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551D3C2-13E7-42AB-9216-BD52296866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База данных" sheetId="13" r:id="rId1"/>
    <sheet name="База данных с фильтрами" sheetId="1" r:id="rId2"/>
    <sheet name="Срезы" sheetId="3" r:id="rId3"/>
    <sheet name="Сводная таблица" sheetId="11" r:id="rId4"/>
    <sheet name="Dashboard" sheetId="6" r:id="rId5"/>
  </sheets>
  <definedNames>
    <definedName name="_xlnm._FilterDatabase" localSheetId="1" hidden="1">'База данных с фильтрами'!$C$1:$J$3776</definedName>
    <definedName name="_xlnm._FilterDatabase" localSheetId="2" hidden="1">Срезы!$A$11:$H$3786</definedName>
    <definedName name="Срез_Город">#N/A</definedName>
    <definedName name="Срез_Заказчик">#N/A</definedName>
    <definedName name="Срез_Категория_товара">#N/A</definedName>
    <definedName name="Срез_Категория_товара1">#N/A</definedName>
    <definedName name="Срез_Квартал">#N/A</definedName>
    <definedName name="Срез_Товар">#N/A</definedName>
  </definedNames>
  <calcPr calcId="191029"/>
  <pivotCaches>
    <pivotCache cacheId="0" r:id="rId6"/>
    <pivotCache cacheId="1" r:id="rId7"/>
    <pivotCache cacheId="2" r:id="rId8"/>
    <pivotCache cacheId="4" r:id="rId9"/>
    <pivotCache cacheId="6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5"/>
        <x14:slicerCache r:id="rId1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" i="6" l="1"/>
  <c r="M36" i="6"/>
  <c r="L36" i="6"/>
  <c r="H3785" i="3" l="1"/>
  <c r="H3786" i="3" s="1"/>
  <c r="H3783" i="3"/>
  <c r="H3782" i="3"/>
  <c r="H3781" i="3"/>
  <c r="H3780" i="3"/>
  <c r="H3779" i="3"/>
  <c r="H3777" i="3"/>
  <c r="H3776" i="3"/>
  <c r="H3775" i="3"/>
  <c r="H3774" i="3"/>
  <c r="H3773" i="3"/>
  <c r="H3772" i="3"/>
  <c r="H3771" i="3"/>
  <c r="H3770" i="3"/>
  <c r="H3769" i="3"/>
  <c r="H3768" i="3"/>
  <c r="H3766" i="3"/>
  <c r="H3765" i="3"/>
  <c r="H3764" i="3"/>
  <c r="H3763" i="3"/>
  <c r="H3762" i="3"/>
  <c r="H3761" i="3"/>
  <c r="H3760" i="3"/>
  <c r="H3759" i="3"/>
  <c r="H3758" i="3"/>
  <c r="H3757" i="3"/>
  <c r="H3756" i="3"/>
  <c r="H3755" i="3"/>
  <c r="H3753" i="3"/>
  <c r="H3752" i="3"/>
  <c r="H3751" i="3"/>
  <c r="H3750" i="3"/>
  <c r="H3749" i="3"/>
  <c r="H3748" i="3"/>
  <c r="H3747" i="3"/>
  <c r="H3746" i="3"/>
  <c r="H3745" i="3"/>
  <c r="H3744" i="3"/>
  <c r="H3743" i="3"/>
  <c r="H3742" i="3"/>
  <c r="H3741" i="3"/>
  <c r="H3740" i="3"/>
  <c r="H3739" i="3"/>
  <c r="H3737" i="3"/>
  <c r="H3736" i="3"/>
  <c r="H3735" i="3"/>
  <c r="H3734" i="3"/>
  <c r="H3733" i="3"/>
  <c r="H3732" i="3"/>
  <c r="H3731" i="3"/>
  <c r="H3730" i="3"/>
  <c r="H3729" i="3"/>
  <c r="H3728" i="3"/>
  <c r="H3726" i="3"/>
  <c r="H3725" i="3"/>
  <c r="H3724" i="3"/>
  <c r="H3723" i="3"/>
  <c r="H3722" i="3"/>
  <c r="H3721" i="3"/>
  <c r="H3720" i="3"/>
  <c r="H3719" i="3"/>
  <c r="H3718" i="3"/>
  <c r="H3717" i="3"/>
  <c r="H3716" i="3"/>
  <c r="H3715" i="3"/>
  <c r="H3714" i="3"/>
  <c r="H3713" i="3"/>
  <c r="H3711" i="3"/>
  <c r="H3710" i="3"/>
  <c r="H3709" i="3"/>
  <c r="H3708" i="3"/>
  <c r="H3707" i="3"/>
  <c r="H3706" i="3"/>
  <c r="H3705" i="3"/>
  <c r="H3703" i="3"/>
  <c r="H3702" i="3"/>
  <c r="H3701" i="3"/>
  <c r="H3700" i="3"/>
  <c r="H3699" i="3"/>
  <c r="H3698" i="3"/>
  <c r="H3697" i="3"/>
  <c r="H3696" i="3"/>
  <c r="H3695" i="3"/>
  <c r="H3694" i="3"/>
  <c r="H3693" i="3"/>
  <c r="H3691" i="3"/>
  <c r="H3690" i="3"/>
  <c r="H3689" i="3"/>
  <c r="H3688" i="3"/>
  <c r="H3687" i="3"/>
  <c r="H3686" i="3"/>
  <c r="H3685" i="3"/>
  <c r="H3684" i="3"/>
  <c r="H3683" i="3"/>
  <c r="H3682" i="3"/>
  <c r="H3680" i="3"/>
  <c r="H3679" i="3"/>
  <c r="H3678" i="3"/>
  <c r="H3677" i="3"/>
  <c r="H3676" i="3"/>
  <c r="H3675" i="3"/>
  <c r="H3674" i="3"/>
  <c r="H3673" i="3"/>
  <c r="H3672" i="3"/>
  <c r="H3671" i="3"/>
  <c r="H3670" i="3"/>
  <c r="H3668" i="3"/>
  <c r="H3667" i="3"/>
  <c r="H3666" i="3"/>
  <c r="H3665" i="3"/>
  <c r="H3664" i="3"/>
  <c r="H3663" i="3"/>
  <c r="H3661" i="3"/>
  <c r="H3660" i="3"/>
  <c r="H3659" i="3"/>
  <c r="H3658" i="3"/>
  <c r="H3657" i="3"/>
  <c r="H3656" i="3"/>
  <c r="H3655" i="3"/>
  <c r="H3654" i="3"/>
  <c r="H3653" i="3"/>
  <c r="H3652" i="3"/>
  <c r="H3651" i="3"/>
  <c r="H3650" i="3"/>
  <c r="H3649" i="3"/>
  <c r="H3647" i="3"/>
  <c r="H3646" i="3"/>
  <c r="H3645" i="3"/>
  <c r="H3644" i="3"/>
  <c r="H3643" i="3"/>
  <c r="H3642" i="3"/>
  <c r="H3641" i="3"/>
  <c r="H3640" i="3"/>
  <c r="H3639" i="3"/>
  <c r="H3638" i="3"/>
  <c r="H3637" i="3"/>
  <c r="H3636" i="3"/>
  <c r="H3634" i="3"/>
  <c r="H3633" i="3"/>
  <c r="H3632" i="3"/>
  <c r="H3631" i="3"/>
  <c r="H3630" i="3"/>
  <c r="H3629" i="3"/>
  <c r="H3628" i="3"/>
  <c r="H3627" i="3"/>
  <c r="H3626" i="3"/>
  <c r="H3624" i="3"/>
  <c r="H3623" i="3"/>
  <c r="H3622" i="3"/>
  <c r="H3621" i="3"/>
  <c r="H3620" i="3"/>
  <c r="H3619" i="3"/>
  <c r="H3618" i="3"/>
  <c r="H3617" i="3"/>
  <c r="H3616" i="3"/>
  <c r="H3615" i="3"/>
  <c r="H3614" i="3"/>
  <c r="H3612" i="3"/>
  <c r="H3611" i="3"/>
  <c r="H3610" i="3"/>
  <c r="H3609" i="3"/>
  <c r="H3608" i="3"/>
  <c r="H3607" i="3"/>
  <c r="H3606" i="3"/>
  <c r="H3604" i="3"/>
  <c r="H3603" i="3"/>
  <c r="H3602" i="3"/>
  <c r="H3601" i="3"/>
  <c r="H3600" i="3"/>
  <c r="H3599" i="3"/>
  <c r="H3598" i="3"/>
  <c r="H3597" i="3"/>
  <c r="H3596" i="3"/>
  <c r="H3595" i="3"/>
  <c r="H3594" i="3"/>
  <c r="H3592" i="3"/>
  <c r="H3591" i="3"/>
  <c r="H3590" i="3"/>
  <c r="H3589" i="3"/>
  <c r="H3588" i="3"/>
  <c r="H3587" i="3"/>
  <c r="H3586" i="3"/>
  <c r="H3585" i="3"/>
  <c r="H3584" i="3"/>
  <c r="H3583" i="3"/>
  <c r="H3581" i="3"/>
  <c r="H3580" i="3"/>
  <c r="H3579" i="3"/>
  <c r="H3578" i="3"/>
  <c r="H3577" i="3"/>
  <c r="H3575" i="3"/>
  <c r="H3574" i="3"/>
  <c r="H3573" i="3"/>
  <c r="H3572" i="3"/>
  <c r="H3571" i="3"/>
  <c r="H3570" i="3"/>
  <c r="H3569" i="3"/>
  <c r="H3568" i="3"/>
  <c r="H3566" i="3"/>
  <c r="H3565" i="3"/>
  <c r="H3564" i="3"/>
  <c r="H3563" i="3"/>
  <c r="H3562" i="3"/>
  <c r="H3560" i="3"/>
  <c r="H3559" i="3"/>
  <c r="H3558" i="3"/>
  <c r="H3557" i="3"/>
  <c r="H3556" i="3"/>
  <c r="H3555" i="3"/>
  <c r="H3554" i="3"/>
  <c r="H3553" i="3"/>
  <c r="H3552" i="3"/>
  <c r="H3551" i="3"/>
  <c r="H3550" i="3"/>
  <c r="H3549" i="3"/>
  <c r="H3548" i="3"/>
  <c r="H3546" i="3"/>
  <c r="H3545" i="3"/>
  <c r="H3544" i="3"/>
  <c r="H3543" i="3"/>
  <c r="H3542" i="3"/>
  <c r="H3541" i="3"/>
  <c r="H3547" i="3" s="1"/>
  <c r="H3539" i="3"/>
  <c r="H3538" i="3"/>
  <c r="H3537" i="3"/>
  <c r="H3536" i="3"/>
  <c r="H3535" i="3"/>
  <c r="H3534" i="3"/>
  <c r="H3533" i="3"/>
  <c r="H3532" i="3"/>
  <c r="H3531" i="3"/>
  <c r="H3530" i="3"/>
  <c r="H3529" i="3"/>
  <c r="H3528" i="3"/>
  <c r="H3527" i="3"/>
  <c r="H3526" i="3"/>
  <c r="H3525" i="3"/>
  <c r="H3524" i="3"/>
  <c r="H3523" i="3"/>
  <c r="H3521" i="3"/>
  <c r="H3520" i="3"/>
  <c r="H3519" i="3"/>
  <c r="H3518" i="3"/>
  <c r="H3517" i="3"/>
  <c r="H3516" i="3"/>
  <c r="H3515" i="3"/>
  <c r="H3514" i="3"/>
  <c r="H3513" i="3"/>
  <c r="H3512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7" i="3"/>
  <c r="H3496" i="3"/>
  <c r="H3495" i="3"/>
  <c r="H3494" i="3"/>
  <c r="H3493" i="3"/>
  <c r="H3492" i="3"/>
  <c r="H3491" i="3"/>
  <c r="H3490" i="3"/>
  <c r="H3489" i="3"/>
  <c r="H3488" i="3"/>
  <c r="H3487" i="3"/>
  <c r="H3486" i="3"/>
  <c r="H3485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0" i="3"/>
  <c r="H3469" i="3"/>
  <c r="H3471" i="3" s="1"/>
  <c r="H3467" i="3"/>
  <c r="H3466" i="3"/>
  <c r="H3465" i="3"/>
  <c r="H3464" i="3"/>
  <c r="H3463" i="3"/>
  <c r="H3462" i="3"/>
  <c r="H3461" i="3"/>
  <c r="H3460" i="3"/>
  <c r="H3459" i="3"/>
  <c r="H3458" i="3"/>
  <c r="H3457" i="3"/>
  <c r="H3456" i="3"/>
  <c r="H3455" i="3"/>
  <c r="H3453" i="3"/>
  <c r="H3452" i="3"/>
  <c r="H3451" i="3"/>
  <c r="H3450" i="3"/>
  <c r="H3449" i="3"/>
  <c r="H3448" i="3"/>
  <c r="H3447" i="3"/>
  <c r="H3446" i="3"/>
  <c r="H3445" i="3"/>
  <c r="H3443" i="3"/>
  <c r="H3442" i="3"/>
  <c r="H3441" i="3"/>
  <c r="H3440" i="3"/>
  <c r="H3439" i="3"/>
  <c r="H3438" i="3"/>
  <c r="H3437" i="3"/>
  <c r="H3436" i="3"/>
  <c r="H3434" i="3"/>
  <c r="H3433" i="3"/>
  <c r="H3432" i="3"/>
  <c r="H3431" i="3"/>
  <c r="H3430" i="3"/>
  <c r="H3429" i="3"/>
  <c r="H3428" i="3"/>
  <c r="H3427" i="3"/>
  <c r="H3425" i="3"/>
  <c r="H3424" i="3"/>
  <c r="H3423" i="3"/>
  <c r="H3422" i="3"/>
  <c r="H3421" i="3"/>
  <c r="H3420" i="3"/>
  <c r="H3419" i="3"/>
  <c r="H3418" i="3"/>
  <c r="H3417" i="3"/>
  <c r="H3416" i="3"/>
  <c r="H3415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401" i="3"/>
  <c r="H3400" i="3"/>
  <c r="H3399" i="3"/>
  <c r="H3398" i="3"/>
  <c r="H3397" i="3"/>
  <c r="H3395" i="3"/>
  <c r="H3394" i="3"/>
  <c r="H3393" i="3"/>
  <c r="H3392" i="3"/>
  <c r="H3391" i="3"/>
  <c r="H3390" i="3"/>
  <c r="H3389" i="3"/>
  <c r="H3387" i="3"/>
  <c r="H3386" i="3"/>
  <c r="H3385" i="3"/>
  <c r="H3384" i="3"/>
  <c r="H3383" i="3"/>
  <c r="H3382" i="3"/>
  <c r="H3381" i="3"/>
  <c r="H3380" i="3"/>
  <c r="H3379" i="3"/>
  <c r="H3378" i="3"/>
  <c r="H3377" i="3"/>
  <c r="H3375" i="3"/>
  <c r="H3374" i="3"/>
  <c r="H3373" i="3"/>
  <c r="H3372" i="3"/>
  <c r="H3371" i="3"/>
  <c r="H3370" i="3"/>
  <c r="H3369" i="3"/>
  <c r="H3368" i="3"/>
  <c r="H3367" i="3"/>
  <c r="H3366" i="3"/>
  <c r="H3365" i="3"/>
  <c r="H3364" i="3"/>
  <c r="H3362" i="3"/>
  <c r="H3361" i="3"/>
  <c r="H3360" i="3"/>
  <c r="H3359" i="3"/>
  <c r="H3358" i="3"/>
  <c r="H3357" i="3"/>
  <c r="H3356" i="3"/>
  <c r="H3354" i="3"/>
  <c r="H3353" i="3"/>
  <c r="H3352" i="3"/>
  <c r="H3351" i="3"/>
  <c r="H3350" i="3"/>
  <c r="H3349" i="3"/>
  <c r="H3348" i="3"/>
  <c r="H3347" i="3"/>
  <c r="H3346" i="3"/>
  <c r="H3345" i="3"/>
  <c r="H3344" i="3"/>
  <c r="H3342" i="3"/>
  <c r="H3341" i="3"/>
  <c r="H3340" i="3"/>
  <c r="H3339" i="3"/>
  <c r="H3338" i="3"/>
  <c r="H3337" i="3"/>
  <c r="H3336" i="3"/>
  <c r="H3335" i="3"/>
  <c r="H3334" i="3"/>
  <c r="H3333" i="3"/>
  <c r="H3332" i="3"/>
  <c r="H3331" i="3"/>
  <c r="H3330" i="3"/>
  <c r="H3329" i="3"/>
  <c r="H3327" i="3"/>
  <c r="H3326" i="3"/>
  <c r="H3325" i="3"/>
  <c r="H3324" i="3"/>
  <c r="H3323" i="3"/>
  <c r="H3322" i="3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6" i="3"/>
  <c r="H3305" i="3"/>
  <c r="H3304" i="3"/>
  <c r="H3303" i="3"/>
  <c r="H3302" i="3"/>
  <c r="H3301" i="3"/>
  <c r="H3299" i="3"/>
  <c r="H3298" i="3"/>
  <c r="H3297" i="3"/>
  <c r="H3296" i="3"/>
  <c r="H3295" i="3"/>
  <c r="H3294" i="3"/>
  <c r="H3293" i="3"/>
  <c r="H3292" i="3"/>
  <c r="H3290" i="3"/>
  <c r="H3289" i="3"/>
  <c r="H3288" i="3"/>
  <c r="H3286" i="3"/>
  <c r="H3285" i="3"/>
  <c r="H3284" i="3"/>
  <c r="H3283" i="3"/>
  <c r="H3282" i="3"/>
  <c r="H3280" i="3"/>
  <c r="H3279" i="3"/>
  <c r="H3278" i="3"/>
  <c r="H3277" i="3"/>
  <c r="H3276" i="3"/>
  <c r="H3275" i="3"/>
  <c r="H3274" i="3"/>
  <c r="H3273" i="3"/>
  <c r="H3271" i="3"/>
  <c r="H3270" i="3"/>
  <c r="H3269" i="3"/>
  <c r="H3268" i="3"/>
  <c r="H3267" i="3"/>
  <c r="H3266" i="3"/>
  <c r="H3265" i="3"/>
  <c r="H3264" i="3"/>
  <c r="H3263" i="3"/>
  <c r="H3261" i="3"/>
  <c r="H3260" i="3"/>
  <c r="H3259" i="3"/>
  <c r="H3258" i="3"/>
  <c r="H3257" i="3"/>
  <c r="H3256" i="3"/>
  <c r="H3255" i="3"/>
  <c r="H3254" i="3"/>
  <c r="H3253" i="3"/>
  <c r="H3251" i="3"/>
  <c r="H3250" i="3"/>
  <c r="H3249" i="3"/>
  <c r="H3248" i="3"/>
  <c r="H3247" i="3"/>
  <c r="H3246" i="3"/>
  <c r="H3245" i="3"/>
  <c r="H3244" i="3"/>
  <c r="H3242" i="3"/>
  <c r="H3241" i="3"/>
  <c r="H3240" i="3"/>
  <c r="H3239" i="3"/>
  <c r="H3238" i="3"/>
  <c r="H3237" i="3"/>
  <c r="H3236" i="3"/>
  <c r="H3235" i="3"/>
  <c r="H3234" i="3"/>
  <c r="H3233" i="3"/>
  <c r="H3231" i="3"/>
  <c r="H3230" i="3"/>
  <c r="H3229" i="3"/>
  <c r="H3228" i="3"/>
  <c r="H3227" i="3"/>
  <c r="H3226" i="3"/>
  <c r="H3225" i="3"/>
  <c r="H3224" i="3"/>
  <c r="H3223" i="3"/>
  <c r="H3222" i="3"/>
  <c r="H3220" i="3"/>
  <c r="H3219" i="3"/>
  <c r="H3218" i="3"/>
  <c r="H3217" i="3"/>
  <c r="H3216" i="3"/>
  <c r="H3215" i="3"/>
  <c r="H3214" i="3"/>
  <c r="H3213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7" i="3"/>
  <c r="H3196" i="3"/>
  <c r="H3195" i="3"/>
  <c r="H3194" i="3"/>
  <c r="H3193" i="3"/>
  <c r="H3192" i="3"/>
  <c r="H3191" i="3"/>
  <c r="H3190" i="3"/>
  <c r="H3189" i="3"/>
  <c r="H3188" i="3"/>
  <c r="H3187" i="3"/>
  <c r="H3186" i="3"/>
  <c r="H3185" i="3"/>
  <c r="H3184" i="3"/>
  <c r="H3183" i="3"/>
  <c r="H3181" i="3"/>
  <c r="H3180" i="3"/>
  <c r="H3179" i="3"/>
  <c r="H3178" i="3"/>
  <c r="H3177" i="3"/>
  <c r="H3176" i="3"/>
  <c r="H3175" i="3"/>
  <c r="H3174" i="3"/>
  <c r="H3172" i="3"/>
  <c r="H3171" i="3"/>
  <c r="H3170" i="3"/>
  <c r="H3169" i="3"/>
  <c r="H3168" i="3"/>
  <c r="H3167" i="3"/>
  <c r="H3166" i="3"/>
  <c r="H3165" i="3"/>
  <c r="H3164" i="3"/>
  <c r="H3163" i="3"/>
  <c r="H3162" i="3"/>
  <c r="H3160" i="3"/>
  <c r="H3159" i="3"/>
  <c r="H3158" i="3"/>
  <c r="H3157" i="3"/>
  <c r="H3156" i="3"/>
  <c r="H3155" i="3"/>
  <c r="H3154" i="3"/>
  <c r="H3153" i="3"/>
  <c r="H3152" i="3"/>
  <c r="H3151" i="3"/>
  <c r="H3150" i="3"/>
  <c r="H3149" i="3"/>
  <c r="H3147" i="3"/>
  <c r="H3146" i="3"/>
  <c r="H3145" i="3"/>
  <c r="H3144" i="3"/>
  <c r="H3143" i="3"/>
  <c r="H3142" i="3"/>
  <c r="H3141" i="3"/>
  <c r="H3140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3" i="3"/>
  <c r="H3122" i="3"/>
  <c r="H3121" i="3"/>
  <c r="H3120" i="3"/>
  <c r="H3119" i="3"/>
  <c r="H3118" i="3"/>
  <c r="H3117" i="3"/>
  <c r="H3115" i="3"/>
  <c r="H3114" i="3"/>
  <c r="H3113" i="3"/>
  <c r="H3112" i="3"/>
  <c r="H3111" i="3"/>
  <c r="H3110" i="3"/>
  <c r="H3109" i="3"/>
  <c r="H3108" i="3"/>
  <c r="H3107" i="3"/>
  <c r="H3106" i="3"/>
  <c r="H3105" i="3"/>
  <c r="H3104" i="3"/>
  <c r="H3103" i="3"/>
  <c r="H3102" i="3"/>
  <c r="H3100" i="3"/>
  <c r="H3099" i="3"/>
  <c r="H3098" i="3"/>
  <c r="H3097" i="3"/>
  <c r="H3096" i="3"/>
  <c r="H3095" i="3"/>
  <c r="H3093" i="3"/>
  <c r="H3092" i="3"/>
  <c r="H3091" i="3"/>
  <c r="H3090" i="3"/>
  <c r="H3089" i="3"/>
  <c r="H3088" i="3"/>
  <c r="H3087" i="3"/>
  <c r="H3086" i="3"/>
  <c r="H3085" i="3"/>
  <c r="H3084" i="3"/>
  <c r="H3082" i="3"/>
  <c r="H3081" i="3"/>
  <c r="H3080" i="3"/>
  <c r="H3079" i="3"/>
  <c r="H3078" i="3"/>
  <c r="H3077" i="3"/>
  <c r="H3076" i="3"/>
  <c r="H3075" i="3"/>
  <c r="H3074" i="3"/>
  <c r="H3073" i="3"/>
  <c r="H3072" i="3"/>
  <c r="H3071" i="3"/>
  <c r="H3070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4" i="3"/>
  <c r="H3053" i="3"/>
  <c r="H3052" i="3"/>
  <c r="H3051" i="3"/>
  <c r="H3050" i="3"/>
  <c r="H3049" i="3"/>
  <c r="H3048" i="3"/>
  <c r="H3046" i="3"/>
  <c r="H3045" i="3"/>
  <c r="H3044" i="3"/>
  <c r="H3043" i="3"/>
  <c r="H3042" i="3"/>
  <c r="H3041" i="3"/>
  <c r="H3040" i="3"/>
  <c r="H3039" i="3"/>
  <c r="H3038" i="3"/>
  <c r="H3037" i="3"/>
  <c r="H3036" i="3"/>
  <c r="H3034" i="3"/>
  <c r="H3033" i="3"/>
  <c r="H3032" i="3"/>
  <c r="H3031" i="3"/>
  <c r="H3030" i="3"/>
  <c r="H3029" i="3"/>
  <c r="H3028" i="3"/>
  <c r="H3027" i="3"/>
  <c r="H3026" i="3"/>
  <c r="H3025" i="3"/>
  <c r="H3023" i="3"/>
  <c r="H3022" i="3"/>
  <c r="H3021" i="3"/>
  <c r="H3020" i="3"/>
  <c r="H3019" i="3"/>
  <c r="H3018" i="3"/>
  <c r="H3016" i="3"/>
  <c r="H3015" i="3"/>
  <c r="H3014" i="3"/>
  <c r="H3013" i="3"/>
  <c r="H3012" i="3"/>
  <c r="H3011" i="3"/>
  <c r="H3010" i="3"/>
  <c r="H3009" i="3"/>
  <c r="H3007" i="3"/>
  <c r="H3006" i="3"/>
  <c r="H3005" i="3"/>
  <c r="H3004" i="3"/>
  <c r="H3003" i="3"/>
  <c r="H3002" i="3"/>
  <c r="H3001" i="3"/>
  <c r="H3000" i="3"/>
  <c r="H2999" i="3"/>
  <c r="H2998" i="3"/>
  <c r="H2997" i="3"/>
  <c r="H2996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0" i="3"/>
  <c r="H2979" i="3"/>
  <c r="H2978" i="3"/>
  <c r="H2977" i="3"/>
  <c r="H2976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8" i="3"/>
  <c r="H2957" i="3"/>
  <c r="H2956" i="3"/>
  <c r="H2955" i="3"/>
  <c r="H2954" i="3"/>
  <c r="H2953" i="3"/>
  <c r="H2952" i="3"/>
  <c r="H2951" i="3"/>
  <c r="H2949" i="3"/>
  <c r="H2948" i="3"/>
  <c r="H2947" i="3"/>
  <c r="H2946" i="3"/>
  <c r="H2945" i="3"/>
  <c r="H2944" i="3"/>
  <c r="H2943" i="3"/>
  <c r="H2942" i="3"/>
  <c r="H2941" i="3"/>
  <c r="H2940" i="3"/>
  <c r="H2939" i="3"/>
  <c r="H2938" i="3"/>
  <c r="H2937" i="3"/>
  <c r="H2936" i="3"/>
  <c r="H2934" i="3"/>
  <c r="H2933" i="3"/>
  <c r="H2932" i="3"/>
  <c r="H2931" i="3"/>
  <c r="H2930" i="3"/>
  <c r="H2929" i="3"/>
  <c r="H2928" i="3"/>
  <c r="H2927" i="3"/>
  <c r="H2926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1" i="3"/>
  <c r="H2910" i="3"/>
  <c r="H2909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3" i="3"/>
  <c r="H2892" i="3"/>
  <c r="H2891" i="3"/>
  <c r="H2890" i="3"/>
  <c r="H2889" i="3"/>
  <c r="H2888" i="3"/>
  <c r="H2887" i="3"/>
  <c r="H2886" i="3"/>
  <c r="H2884" i="3"/>
  <c r="H2883" i="3"/>
  <c r="H2882" i="3"/>
  <c r="H2881" i="3"/>
  <c r="H2880" i="3"/>
  <c r="H2879" i="3"/>
  <c r="H2878" i="3"/>
  <c r="H2877" i="3"/>
  <c r="H2876" i="3"/>
  <c r="H2874" i="3"/>
  <c r="H2873" i="3"/>
  <c r="H2872" i="3"/>
  <c r="H2871" i="3"/>
  <c r="H2870" i="3"/>
  <c r="H2869" i="3"/>
  <c r="H2868" i="3"/>
  <c r="H2866" i="3"/>
  <c r="H2865" i="3"/>
  <c r="H2864" i="3"/>
  <c r="H2863" i="3"/>
  <c r="H2862" i="3"/>
  <c r="H2861" i="3"/>
  <c r="H2860" i="3"/>
  <c r="H2859" i="3"/>
  <c r="H2857" i="3"/>
  <c r="H2856" i="3"/>
  <c r="H2855" i="3"/>
  <c r="H2854" i="3"/>
  <c r="H2853" i="3"/>
  <c r="H2852" i="3"/>
  <c r="H2850" i="3"/>
  <c r="H2849" i="3"/>
  <c r="H2848" i="3"/>
  <c r="H2847" i="3"/>
  <c r="H2846" i="3"/>
  <c r="H2845" i="3"/>
  <c r="H2844" i="3"/>
  <c r="H2843" i="3"/>
  <c r="H2842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7" i="3"/>
  <c r="H2826" i="3"/>
  <c r="H2825" i="3"/>
  <c r="H2824" i="3"/>
  <c r="H2823" i="3"/>
  <c r="H2822" i="3"/>
  <c r="H2821" i="3"/>
  <c r="H2820" i="3"/>
  <c r="H2819" i="3"/>
  <c r="H2818" i="3"/>
  <c r="H2817" i="3"/>
  <c r="H2815" i="3"/>
  <c r="H2814" i="3"/>
  <c r="H2813" i="3"/>
  <c r="H2812" i="3"/>
  <c r="H2811" i="3"/>
  <c r="H2810" i="3"/>
  <c r="H2809" i="3"/>
  <c r="H2808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8" i="3"/>
  <c r="H2777" i="3"/>
  <c r="H2776" i="3"/>
  <c r="H2775" i="3"/>
  <c r="H2774" i="3"/>
  <c r="H2773" i="3"/>
  <c r="H2772" i="3"/>
  <c r="H2771" i="3"/>
  <c r="H2769" i="3"/>
  <c r="H2768" i="3"/>
  <c r="H2767" i="3"/>
  <c r="H2766" i="3"/>
  <c r="H2765" i="3"/>
  <c r="H2764" i="3"/>
  <c r="H2763" i="3"/>
  <c r="H2762" i="3"/>
  <c r="H2761" i="3"/>
  <c r="H2760" i="3"/>
  <c r="H2758" i="3"/>
  <c r="H2757" i="3"/>
  <c r="H2756" i="3"/>
  <c r="H2755" i="3"/>
  <c r="H2754" i="3"/>
  <c r="H2753" i="3"/>
  <c r="H2752" i="3"/>
  <c r="H2750" i="3"/>
  <c r="H2749" i="3"/>
  <c r="H2748" i="3"/>
  <c r="H2747" i="3"/>
  <c r="H2746" i="3"/>
  <c r="H2745" i="3"/>
  <c r="H2744" i="3"/>
  <c r="H2742" i="3"/>
  <c r="H2741" i="3"/>
  <c r="H2740" i="3"/>
  <c r="H2743" i="3" s="1"/>
  <c r="H2738" i="3"/>
  <c r="H2737" i="3"/>
  <c r="H2736" i="3"/>
  <c r="H2735" i="3"/>
  <c r="H2734" i="3"/>
  <c r="H2733" i="3"/>
  <c r="H2732" i="3"/>
  <c r="H2731" i="3"/>
  <c r="H2730" i="3"/>
  <c r="H2729" i="3"/>
  <c r="H2728" i="3"/>
  <c r="H2726" i="3"/>
  <c r="H2725" i="3"/>
  <c r="H2724" i="3"/>
  <c r="H2723" i="3"/>
  <c r="H2722" i="3"/>
  <c r="H2721" i="3"/>
  <c r="H2720" i="3"/>
  <c r="H2719" i="3"/>
  <c r="H2718" i="3"/>
  <c r="H2717" i="3"/>
  <c r="H2716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1" i="3"/>
  <c r="H2670" i="3"/>
  <c r="H2669" i="3"/>
  <c r="H2668" i="3"/>
  <c r="H2667" i="3"/>
  <c r="H2666" i="3"/>
  <c r="H2665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7" i="3"/>
  <c r="H2646" i="3"/>
  <c r="H2645" i="3"/>
  <c r="H2644" i="3"/>
  <c r="H2643" i="3"/>
  <c r="H2642" i="3"/>
  <c r="H2641" i="3"/>
  <c r="H2639" i="3"/>
  <c r="H2638" i="3"/>
  <c r="H2637" i="3"/>
  <c r="H2636" i="3"/>
  <c r="H2635" i="3"/>
  <c r="H2634" i="3"/>
  <c r="H2633" i="3"/>
  <c r="H2632" i="3"/>
  <c r="H2630" i="3"/>
  <c r="H2629" i="3"/>
  <c r="H2628" i="3"/>
  <c r="H2627" i="3"/>
  <c r="H2626" i="3"/>
  <c r="H2625" i="3"/>
  <c r="H2624" i="3"/>
  <c r="H2623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7" i="3"/>
  <c r="H2606" i="3"/>
  <c r="H2605" i="3"/>
  <c r="H2604" i="3"/>
  <c r="H2603" i="3"/>
  <c r="H2602" i="3"/>
  <c r="H2601" i="3"/>
  <c r="H2600" i="3"/>
  <c r="H2599" i="3"/>
  <c r="H2598" i="3"/>
  <c r="H2596" i="3"/>
  <c r="H2595" i="3"/>
  <c r="H2594" i="3"/>
  <c r="H2593" i="3"/>
  <c r="H2592" i="3"/>
  <c r="H2591" i="3"/>
  <c r="H2590" i="3"/>
  <c r="H2589" i="3"/>
  <c r="H2588" i="3"/>
  <c r="H2586" i="3"/>
  <c r="H2585" i="3"/>
  <c r="H2584" i="3"/>
  <c r="H2583" i="3"/>
  <c r="H2582" i="3"/>
  <c r="H2580" i="3"/>
  <c r="H2579" i="3"/>
  <c r="H2578" i="3"/>
  <c r="H2577" i="3"/>
  <c r="H2576" i="3"/>
  <c r="H2574" i="3"/>
  <c r="H2573" i="3"/>
  <c r="H2572" i="3"/>
  <c r="H2571" i="3"/>
  <c r="H2570" i="3"/>
  <c r="H2569" i="3"/>
  <c r="H2568" i="3"/>
  <c r="H2567" i="3"/>
  <c r="H2566" i="3"/>
  <c r="H2565" i="3"/>
  <c r="H2564" i="3"/>
  <c r="H2562" i="3"/>
  <c r="H2561" i="3"/>
  <c r="H2560" i="3"/>
  <c r="H2558" i="3"/>
  <c r="H2557" i="3"/>
  <c r="H2556" i="3"/>
  <c r="H2555" i="3"/>
  <c r="H2554" i="3"/>
  <c r="H2553" i="3"/>
  <c r="H2552" i="3"/>
  <c r="H2551" i="3"/>
  <c r="H2549" i="3"/>
  <c r="H2548" i="3"/>
  <c r="H2547" i="3"/>
  <c r="H2546" i="3"/>
  <c r="H2545" i="3"/>
  <c r="H2543" i="3"/>
  <c r="H2542" i="3"/>
  <c r="H2541" i="3"/>
  <c r="H2540" i="3"/>
  <c r="H2539" i="3"/>
  <c r="H2538" i="3"/>
  <c r="H2537" i="3"/>
  <c r="H2536" i="3"/>
  <c r="H2535" i="3"/>
  <c r="H2533" i="3"/>
  <c r="H2532" i="3"/>
  <c r="H2531" i="3"/>
  <c r="H2530" i="3"/>
  <c r="H2529" i="3"/>
  <c r="H2528" i="3"/>
  <c r="H2527" i="3"/>
  <c r="H2526" i="3"/>
  <c r="H2525" i="3"/>
  <c r="H2524" i="3"/>
  <c r="H2523" i="3"/>
  <c r="H2521" i="3"/>
  <c r="H2520" i="3"/>
  <c r="H2519" i="3"/>
  <c r="H2518" i="3"/>
  <c r="H2517" i="3"/>
  <c r="H2516" i="3"/>
  <c r="H2515" i="3"/>
  <c r="H2513" i="3"/>
  <c r="H2512" i="3"/>
  <c r="H2511" i="3"/>
  <c r="H2510" i="3"/>
  <c r="H2509" i="3"/>
  <c r="H2508" i="3"/>
  <c r="H2507" i="3"/>
  <c r="H2506" i="3"/>
  <c r="H2504" i="3"/>
  <c r="H2503" i="3"/>
  <c r="H2502" i="3"/>
  <c r="H2501" i="3"/>
  <c r="H2500" i="3"/>
  <c r="H2499" i="3"/>
  <c r="H2498" i="3"/>
  <c r="H2497" i="3"/>
  <c r="H2495" i="3"/>
  <c r="H2494" i="3"/>
  <c r="H2493" i="3"/>
  <c r="H2492" i="3"/>
  <c r="H2491" i="3"/>
  <c r="H2489" i="3"/>
  <c r="H2488" i="3"/>
  <c r="H2487" i="3"/>
  <c r="H2486" i="3"/>
  <c r="H2485" i="3"/>
  <c r="H2484" i="3"/>
  <c r="H2483" i="3"/>
  <c r="H2482" i="3"/>
  <c r="H2481" i="3"/>
  <c r="H2480" i="3"/>
  <c r="H2478" i="3"/>
  <c r="H2477" i="3"/>
  <c r="H2476" i="3"/>
  <c r="H2475" i="3"/>
  <c r="H2474" i="3"/>
  <c r="H2473" i="3"/>
  <c r="H2472" i="3"/>
  <c r="H2471" i="3"/>
  <c r="H2470" i="3"/>
  <c r="H2469" i="3"/>
  <c r="H2468" i="3"/>
  <c r="H2466" i="3"/>
  <c r="H2465" i="3"/>
  <c r="H2464" i="3"/>
  <c r="H2463" i="3"/>
  <c r="H2462" i="3"/>
  <c r="H2461" i="3"/>
  <c r="H2460" i="3"/>
  <c r="H2459" i="3"/>
  <c r="H2458" i="3"/>
  <c r="H2457" i="3"/>
  <c r="H2455" i="3"/>
  <c r="H2454" i="3"/>
  <c r="H2453" i="3"/>
  <c r="H2452" i="3"/>
  <c r="H2451" i="3"/>
  <c r="H2450" i="3"/>
  <c r="H2449" i="3"/>
  <c r="H2448" i="3"/>
  <c r="H2447" i="3"/>
  <c r="H2446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0" i="3"/>
  <c r="H2429" i="3"/>
  <c r="H2428" i="3"/>
  <c r="H2427" i="3"/>
  <c r="H2426" i="3"/>
  <c r="H2425" i="3"/>
  <c r="H2424" i="3"/>
  <c r="H2423" i="3"/>
  <c r="H2422" i="3"/>
  <c r="H2421" i="3"/>
  <c r="H2419" i="3"/>
  <c r="H2418" i="3"/>
  <c r="H2417" i="3"/>
  <c r="H2416" i="3"/>
  <c r="H2415" i="3"/>
  <c r="H2414" i="3"/>
  <c r="H2413" i="3"/>
  <c r="H2412" i="3"/>
  <c r="H2410" i="3"/>
  <c r="H2409" i="3"/>
  <c r="H2408" i="3"/>
  <c r="H2407" i="3"/>
  <c r="H2405" i="3"/>
  <c r="H2404" i="3"/>
  <c r="H2403" i="3"/>
  <c r="H2402" i="3"/>
  <c r="H2401" i="3"/>
  <c r="H2399" i="3"/>
  <c r="H2398" i="3"/>
  <c r="H2397" i="3"/>
  <c r="H2396" i="3"/>
  <c r="H2395" i="3"/>
  <c r="H2394" i="3"/>
  <c r="H2393" i="3"/>
  <c r="H2392" i="3"/>
  <c r="H2390" i="3"/>
  <c r="H2389" i="3"/>
  <c r="H2388" i="3"/>
  <c r="H2387" i="3"/>
  <c r="H2386" i="3"/>
  <c r="H2385" i="3"/>
  <c r="H2384" i="3"/>
  <c r="H2382" i="3"/>
  <c r="H2381" i="3"/>
  <c r="H2380" i="3"/>
  <c r="H2379" i="3"/>
  <c r="H2378" i="3"/>
  <c r="H2377" i="3"/>
  <c r="H2376" i="3"/>
  <c r="H2375" i="3"/>
  <c r="H2373" i="3"/>
  <c r="H2372" i="3"/>
  <c r="H2371" i="3"/>
  <c r="H2370" i="3"/>
  <c r="H2369" i="3"/>
  <c r="H2368" i="3"/>
  <c r="H2366" i="3"/>
  <c r="H2365" i="3"/>
  <c r="H2364" i="3"/>
  <c r="H2363" i="3"/>
  <c r="H2362" i="3"/>
  <c r="H2361" i="3"/>
  <c r="H2360" i="3"/>
  <c r="H2359" i="3"/>
  <c r="H2358" i="3"/>
  <c r="H2357" i="3"/>
  <c r="H2356" i="3"/>
  <c r="H2354" i="3"/>
  <c r="H2353" i="3"/>
  <c r="H2352" i="3"/>
  <c r="H2351" i="3"/>
  <c r="H2350" i="3"/>
  <c r="H2349" i="3"/>
  <c r="H2348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3" i="3"/>
  <c r="H2332" i="3"/>
  <c r="H2331" i="3"/>
  <c r="H2330" i="3"/>
  <c r="H2329" i="3"/>
  <c r="H2328" i="3"/>
  <c r="H2327" i="3"/>
  <c r="H2326" i="3"/>
  <c r="H2324" i="3"/>
  <c r="H2323" i="3"/>
  <c r="H2322" i="3"/>
  <c r="H2321" i="3"/>
  <c r="H2320" i="3"/>
  <c r="H2319" i="3"/>
  <c r="H2318" i="3"/>
  <c r="H2317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4" i="3"/>
  <c r="H2283" i="3"/>
  <c r="H2282" i="3"/>
  <c r="H2281" i="3"/>
  <c r="H2280" i="3"/>
  <c r="H2279" i="3"/>
  <c r="H2278" i="3"/>
  <c r="H2277" i="3"/>
  <c r="H2276" i="3"/>
  <c r="H2275" i="3"/>
  <c r="H2274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4" i="3"/>
  <c r="H2243" i="3"/>
  <c r="H2242" i="3"/>
  <c r="H2241" i="3"/>
  <c r="H2240" i="3"/>
  <c r="H2239" i="3"/>
  <c r="H2238" i="3"/>
  <c r="H2237" i="3"/>
  <c r="H2236" i="3"/>
  <c r="H2235" i="3"/>
  <c r="H2233" i="3"/>
  <c r="H2232" i="3"/>
  <c r="H2231" i="3"/>
  <c r="H2230" i="3"/>
  <c r="H2229" i="3"/>
  <c r="H2228" i="3"/>
  <c r="H2227" i="3"/>
  <c r="H2226" i="3"/>
  <c r="H2224" i="3"/>
  <c r="H2223" i="3"/>
  <c r="H2225" i="3" s="1"/>
  <c r="H2221" i="3"/>
  <c r="H2220" i="3"/>
  <c r="H2219" i="3"/>
  <c r="H2218" i="3"/>
  <c r="H2217" i="3"/>
  <c r="H2216" i="3"/>
  <c r="H2215" i="3"/>
  <c r="H2214" i="3"/>
  <c r="H2213" i="3"/>
  <c r="H2212" i="3"/>
  <c r="H2211" i="3"/>
  <c r="H2209" i="3"/>
  <c r="H2208" i="3"/>
  <c r="H2207" i="3"/>
  <c r="H2206" i="3"/>
  <c r="H2205" i="3"/>
  <c r="H2204" i="3"/>
  <c r="H2203" i="3"/>
  <c r="H2202" i="3"/>
  <c r="H2201" i="3"/>
  <c r="H2200" i="3"/>
  <c r="H2198" i="3"/>
  <c r="H2197" i="3"/>
  <c r="H2196" i="3"/>
  <c r="H2195" i="3"/>
  <c r="H2194" i="3"/>
  <c r="H2193" i="3"/>
  <c r="H2192" i="3"/>
  <c r="H2191" i="3"/>
  <c r="H2190" i="3"/>
  <c r="H2189" i="3"/>
  <c r="H2187" i="3"/>
  <c r="H2186" i="3"/>
  <c r="H2185" i="3"/>
  <c r="H2184" i="3"/>
  <c r="H2183" i="3"/>
  <c r="H2182" i="3"/>
  <c r="H2181" i="3"/>
  <c r="H2180" i="3"/>
  <c r="H2179" i="3"/>
  <c r="H2177" i="3"/>
  <c r="H2176" i="3"/>
  <c r="H2175" i="3"/>
  <c r="H2174" i="3"/>
  <c r="H2173" i="3"/>
  <c r="H2171" i="3"/>
  <c r="H2170" i="3"/>
  <c r="H2169" i="3"/>
  <c r="H2168" i="3"/>
  <c r="H2167" i="3"/>
  <c r="H2166" i="3"/>
  <c r="H2165" i="3"/>
  <c r="H2164" i="3"/>
  <c r="H2163" i="3"/>
  <c r="H2162" i="3"/>
  <c r="H2161" i="3"/>
  <c r="H2159" i="3"/>
  <c r="H2158" i="3"/>
  <c r="H2157" i="3"/>
  <c r="H2156" i="3"/>
  <c r="H2155" i="3"/>
  <c r="H2154" i="3"/>
  <c r="H2153" i="3"/>
  <c r="H2152" i="3"/>
  <c r="H2151" i="3"/>
  <c r="H2149" i="3"/>
  <c r="H2148" i="3"/>
  <c r="H2147" i="3"/>
  <c r="H2146" i="3"/>
  <c r="H2145" i="3"/>
  <c r="H2144" i="3"/>
  <c r="H2142" i="3"/>
  <c r="H2141" i="3"/>
  <c r="H2140" i="3"/>
  <c r="H2139" i="3"/>
  <c r="H2138" i="3"/>
  <c r="H2137" i="3"/>
  <c r="H2135" i="3"/>
  <c r="H2134" i="3"/>
  <c r="H2133" i="3"/>
  <c r="H2132" i="3"/>
  <c r="H2131" i="3"/>
  <c r="H2130" i="3"/>
  <c r="H2129" i="3"/>
  <c r="H2128" i="3"/>
  <c r="H2126" i="3"/>
  <c r="H2125" i="3"/>
  <c r="H2124" i="3"/>
  <c r="H2123" i="3"/>
  <c r="H2122" i="3"/>
  <c r="H2121" i="3"/>
  <c r="H2120" i="3"/>
  <c r="H2119" i="3"/>
  <c r="H2117" i="3"/>
  <c r="H2116" i="3"/>
  <c r="H2115" i="3"/>
  <c r="H2114" i="3"/>
  <c r="H2113" i="3"/>
  <c r="H2112" i="3"/>
  <c r="H2111" i="3"/>
  <c r="H2110" i="3"/>
  <c r="H2109" i="3"/>
  <c r="H2108" i="3"/>
  <c r="H2107" i="3"/>
  <c r="H2105" i="3"/>
  <c r="H2104" i="3"/>
  <c r="H2103" i="3"/>
  <c r="H2102" i="3"/>
  <c r="H2101" i="3"/>
  <c r="H2100" i="3"/>
  <c r="H2099" i="3"/>
  <c r="H2098" i="3"/>
  <c r="H2097" i="3"/>
  <c r="H2096" i="3"/>
  <c r="H2095" i="3"/>
  <c r="H2093" i="3"/>
  <c r="H2092" i="3"/>
  <c r="H2091" i="3"/>
  <c r="H2090" i="3"/>
  <c r="H2089" i="3"/>
  <c r="H2088" i="3"/>
  <c r="H2087" i="3"/>
  <c r="H2086" i="3"/>
  <c r="H2085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3" i="3"/>
  <c r="H2042" i="3"/>
  <c r="H2041" i="3"/>
  <c r="H2040" i="3"/>
  <c r="H2039" i="3"/>
  <c r="H2038" i="3"/>
  <c r="H2037" i="3"/>
  <c r="H2036" i="3"/>
  <c r="H2035" i="3"/>
  <c r="H2034" i="3"/>
  <c r="H2033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3" i="3"/>
  <c r="H2002" i="3"/>
  <c r="H2001" i="3"/>
  <c r="H2000" i="3"/>
  <c r="H1999" i="3"/>
  <c r="H1998" i="3"/>
  <c r="H1997" i="3"/>
  <c r="H1996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1" i="3"/>
  <c r="H1980" i="3"/>
  <c r="H1979" i="3"/>
  <c r="H1978" i="3"/>
  <c r="H1977" i="3"/>
  <c r="H1976" i="3"/>
  <c r="H1975" i="3"/>
  <c r="H1973" i="3"/>
  <c r="H1972" i="3"/>
  <c r="H1971" i="3"/>
  <c r="H1970" i="3"/>
  <c r="H1969" i="3"/>
  <c r="H1968" i="3"/>
  <c r="H1967" i="3"/>
  <c r="H1966" i="3"/>
  <c r="H1964" i="3"/>
  <c r="H1963" i="3"/>
  <c r="H1962" i="3"/>
  <c r="H1961" i="3"/>
  <c r="H1960" i="3"/>
  <c r="H1959" i="3"/>
  <c r="H1958" i="3"/>
  <c r="H1956" i="3"/>
  <c r="H1955" i="3"/>
  <c r="H1954" i="3"/>
  <c r="H1953" i="3"/>
  <c r="H1952" i="3"/>
  <c r="H1951" i="3"/>
  <c r="H1950" i="3"/>
  <c r="H1949" i="3"/>
  <c r="H1948" i="3"/>
  <c r="H1947" i="3"/>
  <c r="H1946" i="3"/>
  <c r="H1944" i="3"/>
  <c r="H1943" i="3"/>
  <c r="H1942" i="3"/>
  <c r="H1941" i="3"/>
  <c r="H1940" i="3"/>
  <c r="H1939" i="3"/>
  <c r="H1938" i="3"/>
  <c r="H1937" i="3"/>
  <c r="H1936" i="3"/>
  <c r="H1935" i="3"/>
  <c r="H1933" i="3"/>
  <c r="H1932" i="3"/>
  <c r="H1931" i="3"/>
  <c r="H1930" i="3"/>
  <c r="H1929" i="3"/>
  <c r="H1928" i="3"/>
  <c r="H1927" i="3"/>
  <c r="H1926" i="3"/>
  <c r="H1925" i="3"/>
  <c r="H1923" i="3"/>
  <c r="H1922" i="3"/>
  <c r="H1921" i="3"/>
  <c r="H1920" i="3"/>
  <c r="H1919" i="3"/>
  <c r="H1918" i="3"/>
  <c r="H1917" i="3"/>
  <c r="H1916" i="3"/>
  <c r="H1915" i="3"/>
  <c r="H1914" i="3"/>
  <c r="H1912" i="3"/>
  <c r="H1911" i="3"/>
  <c r="H1910" i="3"/>
  <c r="H1909" i="3"/>
  <c r="H1908" i="3"/>
  <c r="H1907" i="3"/>
  <c r="H1906" i="3"/>
  <c r="H1905" i="3"/>
  <c r="H1904" i="3"/>
  <c r="H1902" i="3"/>
  <c r="H1901" i="3"/>
  <c r="H1900" i="3"/>
  <c r="H1899" i="3"/>
  <c r="H1898" i="3"/>
  <c r="H1897" i="3"/>
  <c r="H1896" i="3"/>
  <c r="H1895" i="3"/>
  <c r="H1894" i="3"/>
  <c r="H1893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8" i="3"/>
  <c r="H1877" i="3"/>
  <c r="H1876" i="3"/>
  <c r="H1875" i="3"/>
  <c r="H1874" i="3"/>
  <c r="H1873" i="3"/>
  <c r="H1872" i="3"/>
  <c r="H1871" i="3"/>
  <c r="H1870" i="3"/>
  <c r="H1869" i="3"/>
  <c r="H1867" i="3"/>
  <c r="H1866" i="3"/>
  <c r="H1865" i="3"/>
  <c r="H1864" i="3"/>
  <c r="H1863" i="3"/>
  <c r="H1862" i="3"/>
  <c r="H1861" i="3"/>
  <c r="H1860" i="3"/>
  <c r="H1859" i="3"/>
  <c r="H1858" i="3"/>
  <c r="H1857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2" i="3"/>
  <c r="H1841" i="3"/>
  <c r="H1840" i="3"/>
  <c r="H1839" i="3"/>
  <c r="H1838" i="3"/>
  <c r="H1836" i="3"/>
  <c r="H1835" i="3"/>
  <c r="H1834" i="3"/>
  <c r="H1833" i="3"/>
  <c r="H1831" i="3"/>
  <c r="H1830" i="3"/>
  <c r="H1829" i="3"/>
  <c r="H1828" i="3"/>
  <c r="H1827" i="3"/>
  <c r="H1826" i="3"/>
  <c r="H1825" i="3"/>
  <c r="H1824" i="3"/>
  <c r="H1823" i="3"/>
  <c r="H1822" i="3"/>
  <c r="H1821" i="3"/>
  <c r="H1819" i="3"/>
  <c r="H1818" i="3"/>
  <c r="H1817" i="3"/>
  <c r="H1816" i="3"/>
  <c r="H1815" i="3"/>
  <c r="H1814" i="3"/>
  <c r="H1813" i="3"/>
  <c r="H1812" i="3"/>
  <c r="H1811" i="3"/>
  <c r="H1810" i="3"/>
  <c r="H1808" i="3"/>
  <c r="H1807" i="3"/>
  <c r="H1806" i="3"/>
  <c r="H1805" i="3"/>
  <c r="H1804" i="3"/>
  <c r="H1803" i="3"/>
  <c r="H1802" i="3"/>
  <c r="H1801" i="3"/>
  <c r="H1800" i="3"/>
  <c r="H1799" i="3"/>
  <c r="H1797" i="3"/>
  <c r="H1796" i="3"/>
  <c r="H1795" i="3"/>
  <c r="H1794" i="3"/>
  <c r="H1793" i="3"/>
  <c r="H1792" i="3"/>
  <c r="H1791" i="3"/>
  <c r="H1789" i="3"/>
  <c r="H1788" i="3"/>
  <c r="H1787" i="3"/>
  <c r="H1786" i="3"/>
  <c r="H1785" i="3"/>
  <c r="H1784" i="3"/>
  <c r="H1783" i="3"/>
  <c r="H1782" i="3"/>
  <c r="H1780" i="3"/>
  <c r="H1779" i="3"/>
  <c r="H1778" i="3"/>
  <c r="H1777" i="3"/>
  <c r="H1776" i="3"/>
  <c r="H1775" i="3"/>
  <c r="H1774" i="3"/>
  <c r="H1773" i="3"/>
  <c r="H1771" i="3"/>
  <c r="H1770" i="3"/>
  <c r="H1769" i="3"/>
  <c r="H1768" i="3"/>
  <c r="H1767" i="3"/>
  <c r="H1766" i="3"/>
  <c r="H1765" i="3"/>
  <c r="H1764" i="3"/>
  <c r="H1763" i="3"/>
  <c r="H1762" i="3"/>
  <c r="H1760" i="3"/>
  <c r="H1759" i="3"/>
  <c r="H1758" i="3"/>
  <c r="H1757" i="3"/>
  <c r="H1756" i="3"/>
  <c r="H1754" i="3"/>
  <c r="H1753" i="3"/>
  <c r="H1752" i="3"/>
  <c r="H1751" i="3"/>
  <c r="H1750" i="3"/>
  <c r="H1749" i="3"/>
  <c r="H1748" i="3"/>
  <c r="H1747" i="3"/>
  <c r="H1746" i="3"/>
  <c r="H1745" i="3"/>
  <c r="H1744" i="3"/>
  <c r="H1742" i="3"/>
  <c r="H1741" i="3"/>
  <c r="H1740" i="3"/>
  <c r="H1739" i="3"/>
  <c r="H1738" i="3"/>
  <c r="H1737" i="3"/>
  <c r="H1736" i="3"/>
  <c r="H1735" i="3"/>
  <c r="H1734" i="3"/>
  <c r="H1733" i="3"/>
  <c r="H1732" i="3"/>
  <c r="H1730" i="3"/>
  <c r="H1729" i="3"/>
  <c r="H1728" i="3"/>
  <c r="H1727" i="3"/>
  <c r="H1726" i="3"/>
  <c r="H1725" i="3"/>
  <c r="H1724" i="3"/>
  <c r="H1723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4" i="3"/>
  <c r="H1693" i="3"/>
  <c r="H1692" i="3"/>
  <c r="H1691" i="3"/>
  <c r="H1690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4" i="3"/>
  <c r="H1673" i="3"/>
  <c r="H1672" i="3"/>
  <c r="H1671" i="3"/>
  <c r="H1670" i="3"/>
  <c r="H1669" i="3"/>
  <c r="H1668" i="3"/>
  <c r="H1667" i="3"/>
  <c r="H1666" i="3"/>
  <c r="H1665" i="3"/>
  <c r="H1663" i="3"/>
  <c r="H1662" i="3"/>
  <c r="H1661" i="3"/>
  <c r="H1660" i="3"/>
  <c r="H1659" i="3"/>
  <c r="H1658" i="3"/>
  <c r="H1656" i="3"/>
  <c r="H1655" i="3"/>
  <c r="H1654" i="3"/>
  <c r="H1653" i="3"/>
  <c r="H1652" i="3"/>
  <c r="H1651" i="3"/>
  <c r="H1650" i="3"/>
  <c r="H1649" i="3"/>
  <c r="H1648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3" i="3"/>
  <c r="H1632" i="3"/>
  <c r="H1631" i="3"/>
  <c r="H1630" i="3"/>
  <c r="H1629" i="3"/>
  <c r="H1628" i="3"/>
  <c r="H1627" i="3"/>
  <c r="H1626" i="3"/>
  <c r="H1625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7" i="3"/>
  <c r="H1596" i="3"/>
  <c r="H1595" i="3"/>
  <c r="H1594" i="3"/>
  <c r="H1593" i="3"/>
  <c r="H1592" i="3"/>
  <c r="H1591" i="3"/>
  <c r="H1590" i="3"/>
  <c r="H1588" i="3"/>
  <c r="H1587" i="3"/>
  <c r="H1586" i="3"/>
  <c r="H1585" i="3"/>
  <c r="H1584" i="3"/>
  <c r="H1583" i="3"/>
  <c r="H1582" i="3"/>
  <c r="H1581" i="3"/>
  <c r="H1580" i="3"/>
  <c r="H1578" i="3"/>
  <c r="H1577" i="3"/>
  <c r="H1576" i="3"/>
  <c r="H1575" i="3"/>
  <c r="H1574" i="3"/>
  <c r="H1573" i="3"/>
  <c r="H1572" i="3"/>
  <c r="H1571" i="3"/>
  <c r="H1570" i="3"/>
  <c r="H1569" i="3"/>
  <c r="H1568" i="3"/>
  <c r="H1566" i="3"/>
  <c r="H1565" i="3"/>
  <c r="H1564" i="3"/>
  <c r="H1563" i="3"/>
  <c r="H1561" i="3"/>
  <c r="H1560" i="3"/>
  <c r="H1559" i="3"/>
  <c r="H1558" i="3"/>
  <c r="H1557" i="3"/>
  <c r="H1556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1" i="3"/>
  <c r="H1540" i="3"/>
  <c r="H1539" i="3"/>
  <c r="H1538" i="3"/>
  <c r="H1537" i="3"/>
  <c r="H1536" i="3"/>
  <c r="H1535" i="3"/>
  <c r="H1534" i="3"/>
  <c r="H1533" i="3"/>
  <c r="H1532" i="3"/>
  <c r="H1531" i="3"/>
  <c r="H1529" i="3"/>
  <c r="H1528" i="3"/>
  <c r="H1527" i="3"/>
  <c r="H1526" i="3"/>
  <c r="H1525" i="3"/>
  <c r="H1524" i="3"/>
  <c r="H1523" i="3"/>
  <c r="H1522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5" i="3"/>
  <c r="H1504" i="3"/>
  <c r="H1503" i="3"/>
  <c r="H1502" i="3"/>
  <c r="H1501" i="3"/>
  <c r="H1499" i="3"/>
  <c r="H1498" i="3"/>
  <c r="H1497" i="3"/>
  <c r="H1496" i="3"/>
  <c r="H1495" i="3"/>
  <c r="H1494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5" i="3"/>
  <c r="H1464" i="3"/>
  <c r="H1463" i="3"/>
  <c r="H1462" i="3"/>
  <c r="H1461" i="3"/>
  <c r="H1460" i="3"/>
  <c r="H1459" i="3"/>
  <c r="H1458" i="3"/>
  <c r="H1457" i="3"/>
  <c r="H1456" i="3"/>
  <c r="H1454" i="3"/>
  <c r="H1453" i="3"/>
  <c r="H1452" i="3"/>
  <c r="H1451" i="3"/>
  <c r="H1450" i="3"/>
  <c r="H1449" i="3"/>
  <c r="H1448" i="3"/>
  <c r="H1447" i="3"/>
  <c r="H1446" i="3"/>
  <c r="H1444" i="3"/>
  <c r="H1443" i="3"/>
  <c r="H1442" i="3"/>
  <c r="H1441" i="3"/>
  <c r="H1440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5" i="3"/>
  <c r="H1424" i="3"/>
  <c r="H1423" i="3"/>
  <c r="H1422" i="3"/>
  <c r="H1421" i="3"/>
  <c r="H1420" i="3"/>
  <c r="H1419" i="3"/>
  <c r="H1418" i="3"/>
  <c r="H1417" i="3"/>
  <c r="H1415" i="3"/>
  <c r="H1414" i="3"/>
  <c r="H1413" i="3"/>
  <c r="H1412" i="3"/>
  <c r="H1411" i="3"/>
  <c r="H1410" i="3"/>
  <c r="H1409" i="3"/>
  <c r="H1408" i="3"/>
  <c r="H1407" i="3"/>
  <c r="H1406" i="3"/>
  <c r="H1405" i="3"/>
  <c r="H1403" i="3"/>
  <c r="H1402" i="3"/>
  <c r="H1401" i="3"/>
  <c r="H1400" i="3"/>
  <c r="H1399" i="3"/>
  <c r="H1398" i="3"/>
  <c r="H1397" i="3"/>
  <c r="H1396" i="3"/>
  <c r="H1395" i="3"/>
  <c r="H1393" i="3"/>
  <c r="H1392" i="3"/>
  <c r="H1391" i="3"/>
  <c r="H1390" i="3"/>
  <c r="H1389" i="3"/>
  <c r="H1388" i="3"/>
  <c r="H1387" i="3"/>
  <c r="H1386" i="3"/>
  <c r="H1385" i="3"/>
  <c r="H1384" i="3"/>
  <c r="H1382" i="3"/>
  <c r="H1381" i="3"/>
  <c r="H1380" i="3"/>
  <c r="H1379" i="3"/>
  <c r="H1378" i="3"/>
  <c r="H1377" i="3"/>
  <c r="H1376" i="3"/>
  <c r="H1375" i="3"/>
  <c r="H1374" i="3"/>
  <c r="H1373" i="3"/>
  <c r="H1371" i="3"/>
  <c r="H1370" i="3"/>
  <c r="H1369" i="3"/>
  <c r="H1368" i="3"/>
  <c r="H1367" i="3"/>
  <c r="H1366" i="3"/>
  <c r="H1365" i="3"/>
  <c r="H1364" i="3"/>
  <c r="H1362" i="3"/>
  <c r="H1361" i="3"/>
  <c r="H1360" i="3"/>
  <c r="H1359" i="3"/>
  <c r="H1358" i="3"/>
  <c r="H1357" i="3"/>
  <c r="H1356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1" i="3"/>
  <c r="H1340" i="3"/>
  <c r="H1339" i="3"/>
  <c r="H1338" i="3"/>
  <c r="H1337" i="3"/>
  <c r="H1336" i="3"/>
  <c r="H1334" i="3"/>
  <c r="H1333" i="3"/>
  <c r="H1332" i="3"/>
  <c r="H1331" i="3"/>
  <c r="H1330" i="3"/>
  <c r="H1329" i="3"/>
  <c r="H1327" i="3"/>
  <c r="H1326" i="3"/>
  <c r="H1325" i="3"/>
  <c r="H1324" i="3"/>
  <c r="H1323" i="3"/>
  <c r="H1321" i="3"/>
  <c r="H1320" i="3"/>
  <c r="H1319" i="3"/>
  <c r="H1318" i="3"/>
  <c r="H1317" i="3"/>
  <c r="H1316" i="3"/>
  <c r="H1315" i="3"/>
  <c r="H1314" i="3"/>
  <c r="H1313" i="3"/>
  <c r="H1311" i="3"/>
  <c r="H1310" i="3"/>
  <c r="H1309" i="3"/>
  <c r="H1308" i="3"/>
  <c r="H1307" i="3"/>
  <c r="H1306" i="3"/>
  <c r="H1305" i="3"/>
  <c r="H1303" i="3"/>
  <c r="H1302" i="3"/>
  <c r="H1301" i="3"/>
  <c r="H1300" i="3"/>
  <c r="H1299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4" i="3"/>
  <c r="H1283" i="3"/>
  <c r="H1282" i="3"/>
  <c r="H1281" i="3"/>
  <c r="H1280" i="3"/>
  <c r="H1279" i="3"/>
  <c r="H1278" i="3"/>
  <c r="H1277" i="3"/>
  <c r="H1275" i="3"/>
  <c r="H1274" i="3"/>
  <c r="H1273" i="3"/>
  <c r="H1272" i="3"/>
  <c r="H1271" i="3"/>
  <c r="H1270" i="3"/>
  <c r="H1269" i="3"/>
  <c r="H1268" i="3"/>
  <c r="H1267" i="3"/>
  <c r="H1265" i="3"/>
  <c r="H1264" i="3"/>
  <c r="H1263" i="3"/>
  <c r="H1262" i="3"/>
  <c r="H1261" i="3"/>
  <c r="H1260" i="3"/>
  <c r="H1259" i="3"/>
  <c r="H1258" i="3"/>
  <c r="H1256" i="3"/>
  <c r="H1255" i="3"/>
  <c r="H1254" i="3"/>
  <c r="H1253" i="3"/>
  <c r="H1252" i="3"/>
  <c r="H1251" i="3"/>
  <c r="H1250" i="3"/>
  <c r="H1249" i="3"/>
  <c r="H1247" i="3"/>
  <c r="H1246" i="3"/>
  <c r="H1245" i="3"/>
  <c r="H1244" i="3"/>
  <c r="H1243" i="3"/>
  <c r="H1242" i="3"/>
  <c r="H1241" i="3"/>
  <c r="H1240" i="3"/>
  <c r="H1239" i="3"/>
  <c r="H1238" i="3"/>
  <c r="H1237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6" i="3"/>
  <c r="H1205" i="3"/>
  <c r="H1203" i="3"/>
  <c r="H1202" i="3"/>
  <c r="H1201" i="3"/>
  <c r="H1200" i="3"/>
  <c r="H1199" i="3"/>
  <c r="H1198" i="3"/>
  <c r="H1197" i="3"/>
  <c r="H1195" i="3"/>
  <c r="H1194" i="3"/>
  <c r="H1193" i="3"/>
  <c r="H1192" i="3"/>
  <c r="H1191" i="3"/>
  <c r="H1190" i="3"/>
  <c r="H1189" i="3"/>
  <c r="H1187" i="3"/>
  <c r="H1186" i="3"/>
  <c r="H1185" i="3"/>
  <c r="H1184" i="3"/>
  <c r="H1183" i="3"/>
  <c r="H1182" i="3"/>
  <c r="H1181" i="3"/>
  <c r="H1180" i="3"/>
  <c r="H1179" i="3"/>
  <c r="H1178" i="3"/>
  <c r="H1176" i="3"/>
  <c r="H1175" i="3"/>
  <c r="H1174" i="3"/>
  <c r="H1173" i="3"/>
  <c r="H1172" i="3"/>
  <c r="H1171" i="3"/>
  <c r="H1170" i="3"/>
  <c r="H1169" i="3"/>
  <c r="H1168" i="3"/>
  <c r="H1167" i="3"/>
  <c r="H1166" i="3"/>
  <c r="H1164" i="3"/>
  <c r="H1163" i="3"/>
  <c r="H1162" i="3"/>
  <c r="H1161" i="3"/>
  <c r="H1160" i="3"/>
  <c r="H1159" i="3"/>
  <c r="H1158" i="3"/>
  <c r="H1157" i="3"/>
  <c r="H1156" i="3"/>
  <c r="H1155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0" i="3"/>
  <c r="H1139" i="3"/>
  <c r="H1138" i="3"/>
  <c r="H1137" i="3"/>
  <c r="H1136" i="3"/>
  <c r="H1135" i="3"/>
  <c r="H1134" i="3"/>
  <c r="H1133" i="3"/>
  <c r="H1132" i="3"/>
  <c r="H1131" i="3"/>
  <c r="H1130" i="3"/>
  <c r="H1128" i="3"/>
  <c r="H1127" i="3"/>
  <c r="H1126" i="3"/>
  <c r="H1125" i="3"/>
  <c r="H1124" i="3"/>
  <c r="H1123" i="3"/>
  <c r="H1122" i="3"/>
  <c r="H1121" i="3"/>
  <c r="H1120" i="3"/>
  <c r="H1119" i="3"/>
  <c r="H1117" i="3"/>
  <c r="H1116" i="3"/>
  <c r="H1115" i="3"/>
  <c r="H1114" i="3"/>
  <c r="H1113" i="3"/>
  <c r="H1112" i="3"/>
  <c r="H1111" i="3"/>
  <c r="H1110" i="3"/>
  <c r="H1109" i="3"/>
  <c r="H1108" i="3"/>
  <c r="H1106" i="3"/>
  <c r="H1105" i="3"/>
  <c r="H1104" i="3"/>
  <c r="H1103" i="3"/>
  <c r="H1102" i="3"/>
  <c r="H1101" i="3"/>
  <c r="H1100" i="3"/>
  <c r="H1099" i="3"/>
  <c r="H1098" i="3"/>
  <c r="H1097" i="3"/>
  <c r="H1095" i="3"/>
  <c r="H1094" i="3"/>
  <c r="H1093" i="3"/>
  <c r="H1092" i="3"/>
  <c r="H1091" i="3"/>
  <c r="H1089" i="3"/>
  <c r="H1088" i="3"/>
  <c r="H1087" i="3"/>
  <c r="H1086" i="3"/>
  <c r="H1085" i="3"/>
  <c r="H1084" i="3"/>
  <c r="H1083" i="3"/>
  <c r="H1082" i="3"/>
  <c r="H1081" i="3"/>
  <c r="H1080" i="3"/>
  <c r="H1078" i="3"/>
  <c r="H1077" i="3"/>
  <c r="H1076" i="3"/>
  <c r="H1075" i="3"/>
  <c r="H1074" i="3"/>
  <c r="H1073" i="3"/>
  <c r="H1072" i="3"/>
  <c r="H1071" i="3"/>
  <c r="H1069" i="3"/>
  <c r="H1068" i="3"/>
  <c r="H1067" i="3"/>
  <c r="H1066" i="3"/>
  <c r="H1065" i="3"/>
  <c r="H1064" i="3"/>
  <c r="H1063" i="3"/>
  <c r="H1062" i="3"/>
  <c r="H1060" i="3"/>
  <c r="H1059" i="3"/>
  <c r="H1058" i="3"/>
  <c r="H1057" i="3"/>
  <c r="H1056" i="3"/>
  <c r="H1055" i="3"/>
  <c r="H1054" i="3"/>
  <c r="H1053" i="3"/>
  <c r="H1052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7" i="3"/>
  <c r="H1036" i="3"/>
  <c r="H1035" i="3"/>
  <c r="H1034" i="3"/>
  <c r="H1033" i="3"/>
  <c r="H1032" i="3"/>
  <c r="H1031" i="3"/>
  <c r="H1030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4" i="3"/>
  <c r="H1013" i="3"/>
  <c r="H1012" i="3"/>
  <c r="H1011" i="3"/>
  <c r="H1010" i="3"/>
  <c r="H1009" i="3"/>
  <c r="H1008" i="3"/>
  <c r="H1007" i="3"/>
  <c r="H1006" i="3"/>
  <c r="H1005" i="3"/>
  <c r="H1003" i="3"/>
  <c r="H1002" i="3"/>
  <c r="H1001" i="3"/>
  <c r="H1000" i="3"/>
  <c r="H999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69" i="3"/>
  <c r="H968" i="3"/>
  <c r="H967" i="3"/>
  <c r="H966" i="3"/>
  <c r="H965" i="3"/>
  <c r="H964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49" i="3"/>
  <c r="H948" i="3"/>
  <c r="H947" i="3"/>
  <c r="H946" i="3"/>
  <c r="H945" i="3"/>
  <c r="H944" i="3"/>
  <c r="H943" i="3"/>
  <c r="H942" i="3"/>
  <c r="H941" i="3"/>
  <c r="H940" i="3"/>
  <c r="H938" i="3"/>
  <c r="H937" i="3"/>
  <c r="H936" i="3"/>
  <c r="H935" i="3"/>
  <c r="H934" i="3"/>
  <c r="H933" i="3"/>
  <c r="H932" i="3"/>
  <c r="H930" i="3"/>
  <c r="H929" i="3"/>
  <c r="H928" i="3"/>
  <c r="H927" i="3"/>
  <c r="H926" i="3"/>
  <c r="H925" i="3"/>
  <c r="H924" i="3"/>
  <c r="H923" i="3"/>
  <c r="H921" i="3"/>
  <c r="H920" i="3"/>
  <c r="H919" i="3"/>
  <c r="H918" i="3"/>
  <c r="H917" i="3"/>
  <c r="H916" i="3"/>
  <c r="H915" i="3"/>
  <c r="H914" i="3"/>
  <c r="H913" i="3"/>
  <c r="H912" i="3"/>
  <c r="H910" i="3"/>
  <c r="H909" i="3"/>
  <c r="H908" i="3"/>
  <c r="H907" i="3"/>
  <c r="H906" i="3"/>
  <c r="H905" i="3"/>
  <c r="H904" i="3"/>
  <c r="H903" i="3"/>
  <c r="H902" i="3"/>
  <c r="H900" i="3"/>
  <c r="H899" i="3"/>
  <c r="H898" i="3"/>
  <c r="H897" i="3"/>
  <c r="H896" i="3"/>
  <c r="H895" i="3"/>
  <c r="H893" i="3"/>
  <c r="H892" i="3"/>
  <c r="H891" i="3"/>
  <c r="H890" i="3"/>
  <c r="H889" i="3"/>
  <c r="H888" i="3"/>
  <c r="H887" i="3"/>
  <c r="H886" i="3"/>
  <c r="H885" i="3"/>
  <c r="H884" i="3"/>
  <c r="H883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6" i="3"/>
  <c r="H865" i="3"/>
  <c r="H864" i="3"/>
  <c r="H863" i="3"/>
  <c r="H862" i="3"/>
  <c r="H861" i="3"/>
  <c r="H860" i="3"/>
  <c r="H859" i="3"/>
  <c r="H858" i="3"/>
  <c r="H857" i="3"/>
  <c r="H856" i="3"/>
  <c r="H854" i="3"/>
  <c r="H853" i="3"/>
  <c r="H852" i="3"/>
  <c r="H851" i="3"/>
  <c r="H850" i="3"/>
  <c r="H848" i="3"/>
  <c r="H847" i="3"/>
  <c r="H846" i="3"/>
  <c r="H845" i="3"/>
  <c r="H844" i="3"/>
  <c r="H842" i="3"/>
  <c r="H841" i="3"/>
  <c r="H840" i="3"/>
  <c r="H839" i="3"/>
  <c r="H838" i="3"/>
  <c r="H837" i="3"/>
  <c r="H836" i="3"/>
  <c r="H835" i="3"/>
  <c r="H834" i="3"/>
  <c r="H832" i="3"/>
  <c r="H831" i="3"/>
  <c r="H830" i="3"/>
  <c r="H829" i="3"/>
  <c r="H828" i="3"/>
  <c r="H827" i="3"/>
  <c r="H826" i="3"/>
  <c r="H825" i="3"/>
  <c r="H824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5" i="3"/>
  <c r="H764" i="3"/>
  <c r="H763" i="3"/>
  <c r="H762" i="3"/>
  <c r="H761" i="3"/>
  <c r="H760" i="3"/>
  <c r="H759" i="3"/>
  <c r="H758" i="3"/>
  <c r="H757" i="3"/>
  <c r="H756" i="3"/>
  <c r="H754" i="3"/>
  <c r="H753" i="3"/>
  <c r="H752" i="3"/>
  <c r="H751" i="3"/>
  <c r="H750" i="3"/>
  <c r="H749" i="3"/>
  <c r="H748" i="3"/>
  <c r="H747" i="3"/>
  <c r="H746" i="3"/>
  <c r="H745" i="3"/>
  <c r="H743" i="3"/>
  <c r="H742" i="3"/>
  <c r="H741" i="3"/>
  <c r="H740" i="3"/>
  <c r="H739" i="3"/>
  <c r="H738" i="3"/>
  <c r="H737" i="3"/>
  <c r="H736" i="3"/>
  <c r="H734" i="3"/>
  <c r="H733" i="3"/>
  <c r="H732" i="3"/>
  <c r="H731" i="3"/>
  <c r="H730" i="3"/>
  <c r="H729" i="3"/>
  <c r="H728" i="3"/>
  <c r="H727" i="3"/>
  <c r="H726" i="3"/>
  <c r="H725" i="3"/>
  <c r="H724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7" i="3"/>
  <c r="H616" i="3"/>
  <c r="H615" i="3"/>
  <c r="H614" i="3"/>
  <c r="H613" i="3"/>
  <c r="H612" i="3"/>
  <c r="H611" i="3"/>
  <c r="H610" i="3"/>
  <c r="H609" i="3"/>
  <c r="H608" i="3"/>
  <c r="H607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0" i="3"/>
  <c r="H149" i="3"/>
  <c r="H148" i="3"/>
  <c r="H147" i="3"/>
  <c r="H146" i="3"/>
  <c r="H144" i="3"/>
  <c r="H143" i="3"/>
  <c r="H142" i="3"/>
  <c r="H141" i="3"/>
  <c r="H140" i="3"/>
  <c r="H139" i="3"/>
  <c r="H138" i="3"/>
  <c r="H137" i="3"/>
  <c r="H136" i="3"/>
  <c r="H135" i="3"/>
  <c r="H133" i="3"/>
  <c r="H132" i="3"/>
  <c r="H131" i="3"/>
  <c r="H130" i="3"/>
  <c r="H129" i="3"/>
  <c r="H128" i="3"/>
  <c r="H127" i="3"/>
  <c r="H126" i="3"/>
  <c r="H125" i="3"/>
  <c r="H124" i="3"/>
  <c r="H122" i="3"/>
  <c r="H121" i="3"/>
  <c r="H120" i="3"/>
  <c r="H119" i="3"/>
  <c r="H118" i="3"/>
  <c r="H117" i="3"/>
  <c r="H116" i="3"/>
  <c r="H115" i="3"/>
  <c r="H114" i="3"/>
  <c r="H112" i="3"/>
  <c r="H111" i="3"/>
  <c r="H110" i="3"/>
  <c r="H109" i="3"/>
  <c r="H108" i="3"/>
  <c r="H107" i="3"/>
  <c r="H106" i="3"/>
  <c r="H105" i="3"/>
  <c r="H104" i="3"/>
  <c r="H103" i="3"/>
  <c r="H101" i="3"/>
  <c r="H100" i="3"/>
  <c r="H99" i="3"/>
  <c r="H98" i="3"/>
  <c r="H97" i="3"/>
  <c r="H96" i="3"/>
  <c r="H95" i="3"/>
  <c r="H94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8" i="3"/>
  <c r="H77" i="3"/>
  <c r="H76" i="3"/>
  <c r="H75" i="3"/>
  <c r="H74" i="3"/>
  <c r="H73" i="3"/>
  <c r="H72" i="3"/>
  <c r="H71" i="3"/>
  <c r="H69" i="3"/>
  <c r="H68" i="3"/>
  <c r="H67" i="3"/>
  <c r="H66" i="3"/>
  <c r="H65" i="3"/>
  <c r="H64" i="3"/>
  <c r="H63" i="3"/>
  <c r="H62" i="3"/>
  <c r="H61" i="3"/>
  <c r="H59" i="3"/>
  <c r="H58" i="3"/>
  <c r="H57" i="3"/>
  <c r="H56" i="3"/>
  <c r="H54" i="3"/>
  <c r="H53" i="3"/>
  <c r="H52" i="3"/>
  <c r="H51" i="3"/>
  <c r="H50" i="3"/>
  <c r="H49" i="3"/>
  <c r="H48" i="3"/>
  <c r="H47" i="3"/>
  <c r="H46" i="3"/>
  <c r="H45" i="3"/>
  <c r="H44" i="3"/>
  <c r="H42" i="3"/>
  <c r="H41" i="3"/>
  <c r="H40" i="3"/>
  <c r="H39" i="3"/>
  <c r="H38" i="3"/>
  <c r="H37" i="3"/>
  <c r="H36" i="3"/>
  <c r="H35" i="3"/>
  <c r="H34" i="3"/>
  <c r="H33" i="3"/>
  <c r="H32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4" i="3"/>
  <c r="H13" i="3"/>
  <c r="H12" i="3"/>
  <c r="H145" i="3" l="1"/>
  <c r="H618" i="3"/>
  <c r="H984" i="3"/>
  <c r="H3139" i="3"/>
  <c r="H3376" i="3"/>
  <c r="H3727" i="3"/>
  <c r="H3778" i="3"/>
  <c r="H60" i="3"/>
  <c r="H1004" i="3"/>
  <c r="H2858" i="3"/>
  <c r="H3124" i="3"/>
  <c r="H1372" i="3"/>
  <c r="H3116" i="3"/>
  <c r="H1236" i="3"/>
  <c r="H2445" i="3"/>
  <c r="H2490" i="3"/>
  <c r="H2672" i="3"/>
  <c r="H2828" i="3"/>
  <c r="H1188" i="3"/>
  <c r="H1394" i="3"/>
  <c r="H1555" i="3"/>
  <c r="H1772" i="3"/>
  <c r="H1790" i="3"/>
  <c r="H1798" i="3"/>
  <c r="H1868" i="3"/>
  <c r="H1924" i="3"/>
  <c r="H3024" i="3"/>
  <c r="H1285" i="3"/>
  <c r="H2004" i="3"/>
  <c r="H2587" i="3"/>
  <c r="H1204" i="3"/>
  <c r="H1506" i="3"/>
  <c r="H1843" i="3"/>
  <c r="H809" i="3"/>
  <c r="H1177" i="3"/>
  <c r="H1335" i="3"/>
  <c r="H1466" i="3"/>
  <c r="H1589" i="3"/>
  <c r="H1761" i="3"/>
  <c r="H2118" i="3"/>
  <c r="H2150" i="3"/>
  <c r="H2188" i="3"/>
  <c r="H2199" i="3"/>
  <c r="H2273" i="3"/>
  <c r="H2299" i="3"/>
  <c r="H2581" i="3"/>
  <c r="H2664" i="3"/>
  <c r="H2908" i="3"/>
  <c r="H2959" i="3"/>
  <c r="H2975" i="3"/>
  <c r="H3287" i="3"/>
  <c r="H1598" i="3"/>
  <c r="H2383" i="3"/>
  <c r="H1416" i="3"/>
  <c r="H1493" i="3"/>
  <c r="H1567" i="3"/>
  <c r="H1743" i="3"/>
  <c r="H1820" i="3"/>
  <c r="H2084" i="3"/>
  <c r="H2127" i="3"/>
  <c r="H2136" i="3"/>
  <c r="H2178" i="3"/>
  <c r="H2245" i="3"/>
  <c r="H2496" i="3"/>
  <c r="H2770" i="3"/>
  <c r="H2912" i="3"/>
  <c r="H3243" i="3"/>
  <c r="H3605" i="3"/>
  <c r="H3784" i="3"/>
  <c r="H1634" i="3"/>
  <c r="H1945" i="3"/>
  <c r="H2018" i="3"/>
  <c r="H2420" i="3"/>
  <c r="H3444" i="3"/>
  <c r="H3576" i="3"/>
  <c r="H3613" i="3"/>
  <c r="H3692" i="3"/>
  <c r="H151" i="3"/>
  <c r="H931" i="3"/>
  <c r="H1221" i="3"/>
  <c r="H1248" i="3"/>
  <c r="H1312" i="3"/>
  <c r="H1342" i="3"/>
  <c r="H1404" i="3"/>
  <c r="H1562" i="3"/>
  <c r="H1647" i="3"/>
  <c r="H2044" i="3"/>
  <c r="H2094" i="3"/>
  <c r="H2258" i="3"/>
  <c r="H2374" i="3"/>
  <c r="H2406" i="3"/>
  <c r="H3291" i="3"/>
  <c r="H3328" i="3"/>
  <c r="H3511" i="3"/>
  <c r="H55" i="3"/>
  <c r="H70" i="3"/>
  <c r="H123" i="3"/>
  <c r="H301" i="3"/>
  <c r="H410" i="3"/>
  <c r="H453" i="3"/>
  <c r="H849" i="3"/>
  <c r="H963" i="3"/>
  <c r="H1029" i="3"/>
  <c r="H1196" i="3"/>
  <c r="H1304" i="3"/>
  <c r="H1500" i="3"/>
  <c r="H1530" i="3"/>
  <c r="H1708" i="3"/>
  <c r="H1965" i="3"/>
  <c r="H1995" i="3"/>
  <c r="H2070" i="3"/>
  <c r="H2106" i="3"/>
  <c r="H2400" i="3"/>
  <c r="H2779" i="3"/>
  <c r="H2794" i="3"/>
  <c r="H3252" i="3"/>
  <c r="H3262" i="3"/>
  <c r="H3321" i="3"/>
  <c r="H3396" i="3"/>
  <c r="H3582" i="3"/>
  <c r="H3669" i="3"/>
  <c r="H3767" i="3"/>
  <c r="H744" i="3"/>
  <c r="H1611" i="3"/>
  <c r="H1664" i="3"/>
  <c r="H1892" i="3"/>
  <c r="H2234" i="3"/>
  <c r="H2316" i="3"/>
  <c r="H2391" i="3"/>
  <c r="H2431" i="3"/>
  <c r="H3484" i="3"/>
  <c r="H79" i="3"/>
  <c r="H134" i="3"/>
  <c r="H280" i="3"/>
  <c r="H475" i="3"/>
  <c r="H606" i="3"/>
  <c r="H779" i="3"/>
  <c r="H1038" i="3"/>
  <c r="H1096" i="3"/>
  <c r="H1207" i="3"/>
  <c r="H1363" i="3"/>
  <c r="H1383" i="3"/>
  <c r="H1542" i="3"/>
  <c r="H1579" i="3"/>
  <c r="H1675" i="3"/>
  <c r="H1879" i="3"/>
  <c r="H1913" i="3"/>
  <c r="H1957" i="3"/>
  <c r="H1982" i="3"/>
  <c r="H2411" i="3"/>
  <c r="H2875" i="3"/>
  <c r="H3047" i="3"/>
  <c r="H3148" i="3"/>
  <c r="H3355" i="3"/>
  <c r="H3388" i="3"/>
  <c r="H3414" i="3"/>
  <c r="H3635" i="3"/>
  <c r="H43" i="3"/>
  <c r="H171" i="3"/>
  <c r="H867" i="3"/>
  <c r="H1257" i="3"/>
  <c r="H1266" i="3"/>
  <c r="H1695" i="3"/>
  <c r="H1856" i="3"/>
  <c r="H2057" i="3"/>
  <c r="H2514" i="3"/>
  <c r="H2522" i="3"/>
  <c r="H2559" i="3"/>
  <c r="H2563" i="3"/>
  <c r="H2597" i="3"/>
  <c r="H3212" i="3"/>
  <c r="H3281" i="3"/>
  <c r="H3307" i="3"/>
  <c r="H3426" i="3"/>
  <c r="H3468" i="3"/>
  <c r="H539" i="3"/>
  <c r="H1129" i="3"/>
  <c r="H1480" i="3"/>
  <c r="H2367" i="3"/>
  <c r="H3712" i="3"/>
  <c r="H735" i="3"/>
  <c r="H1015" i="3"/>
  <c r="H426" i="3"/>
  <c r="H1051" i="3"/>
  <c r="H1837" i="3"/>
  <c r="H2544" i="3"/>
  <c r="H2648" i="3"/>
  <c r="H3055" i="3"/>
  <c r="H3272" i="3"/>
  <c r="H237" i="3"/>
  <c r="H320" i="3"/>
  <c r="H901" i="3"/>
  <c r="H1731" i="3"/>
  <c r="H1974" i="3"/>
  <c r="H2210" i="3"/>
  <c r="H2355" i="3"/>
  <c r="H2575" i="3"/>
  <c r="H2925" i="3"/>
  <c r="H3101" i="3"/>
  <c r="H3625" i="3"/>
  <c r="H559" i="3"/>
  <c r="H1165" i="3"/>
  <c r="H1426" i="3"/>
  <c r="H3704" i="3"/>
  <c r="H265" i="3"/>
  <c r="H911" i="3"/>
  <c r="H1445" i="3"/>
  <c r="H1832" i="3"/>
  <c r="H882" i="3"/>
  <c r="H1107" i="3"/>
  <c r="H1657" i="3"/>
  <c r="H1722" i="3"/>
  <c r="H1755" i="3"/>
  <c r="H1934" i="3"/>
  <c r="H2222" i="3"/>
  <c r="H2479" i="3"/>
  <c r="H2550" i="3"/>
  <c r="H2622" i="3"/>
  <c r="H2751" i="3"/>
  <c r="H2885" i="3"/>
  <c r="H2981" i="3"/>
  <c r="H3035" i="3"/>
  <c r="H3069" i="3"/>
  <c r="H3173" i="3"/>
  <c r="H3232" i="3"/>
  <c r="H3498" i="3"/>
  <c r="H3662" i="3"/>
  <c r="H3681" i="3"/>
  <c r="H3754" i="3"/>
  <c r="H723" i="3"/>
  <c r="H2172" i="3"/>
  <c r="H3540" i="3"/>
  <c r="H681" i="3"/>
  <c r="H998" i="3"/>
  <c r="H2608" i="3"/>
  <c r="H3300" i="3"/>
  <c r="H823" i="3"/>
  <c r="H2467" i="3"/>
  <c r="H2841" i="3"/>
  <c r="H3008" i="3"/>
  <c r="H3094" i="3"/>
  <c r="H3221" i="3"/>
  <c r="H3738" i="3"/>
  <c r="H375" i="3"/>
  <c r="H894" i="3"/>
  <c r="H1298" i="3"/>
  <c r="H2032" i="3"/>
  <c r="H2143" i="3"/>
  <c r="H2727" i="3"/>
  <c r="H2759" i="3"/>
  <c r="H2807" i="3"/>
  <c r="H2935" i="3"/>
  <c r="H3363" i="3"/>
  <c r="H192" i="3"/>
  <c r="H520" i="3"/>
  <c r="H795" i="3"/>
  <c r="H922" i="3"/>
  <c r="H1141" i="3"/>
  <c r="H1439" i="3"/>
  <c r="H31" i="3"/>
  <c r="H102" i="3"/>
  <c r="H113" i="3"/>
  <c r="H341" i="3"/>
  <c r="H496" i="3"/>
  <c r="H585" i="3"/>
  <c r="H656" i="3"/>
  <c r="H833" i="3"/>
  <c r="H950" i="3"/>
  <c r="H1070" i="3"/>
  <c r="H1079" i="3"/>
  <c r="H1090" i="3"/>
  <c r="H1154" i="3"/>
  <c r="H1328" i="3"/>
  <c r="H1355" i="3"/>
  <c r="H1521" i="3"/>
  <c r="H1689" i="3"/>
  <c r="H2160" i="3"/>
  <c r="H2325" i="3"/>
  <c r="H2334" i="3"/>
  <c r="H2347" i="3"/>
  <c r="H2701" i="3"/>
  <c r="H2867" i="3"/>
  <c r="H2894" i="3"/>
  <c r="H2995" i="3"/>
  <c r="H3083" i="3"/>
  <c r="H3182" i="3"/>
  <c r="H3198" i="3"/>
  <c r="H3343" i="3"/>
  <c r="H3522" i="3"/>
  <c r="H3567" i="3"/>
  <c r="H3593" i="3"/>
  <c r="H3648" i="3"/>
  <c r="H221" i="3"/>
  <c r="H705" i="3"/>
  <c r="H970" i="3"/>
  <c r="H1276" i="3"/>
  <c r="H1322" i="3"/>
  <c r="H1624" i="3"/>
  <c r="H2950" i="3"/>
  <c r="H93" i="3"/>
  <c r="H755" i="3"/>
  <c r="H1061" i="3"/>
  <c r="H1455" i="3"/>
  <c r="H361" i="3"/>
  <c r="H393" i="3"/>
  <c r="H633" i="3"/>
  <c r="H766" i="3"/>
  <c r="H843" i="3"/>
  <c r="H855" i="3"/>
  <c r="H939" i="3"/>
  <c r="H1118" i="3"/>
  <c r="H1781" i="3"/>
  <c r="H1809" i="3"/>
  <c r="H1903" i="3"/>
  <c r="H2285" i="3"/>
  <c r="H2456" i="3"/>
  <c r="H2505" i="3"/>
  <c r="H2534" i="3"/>
  <c r="H2631" i="3"/>
  <c r="H2640" i="3"/>
  <c r="H2685" i="3"/>
  <c r="H2715" i="3"/>
  <c r="H2739" i="3"/>
  <c r="H2816" i="3"/>
  <c r="H2851" i="3"/>
  <c r="H3017" i="3"/>
  <c r="H3161" i="3"/>
  <c r="H3435" i="3"/>
  <c r="H3454" i="3"/>
  <c r="H3561" i="3"/>
  <c r="H15" i="3"/>
  <c r="J415" i="1"/>
  <c r="J399" i="1"/>
  <c r="J382" i="1"/>
  <c r="J364" i="1"/>
  <c r="J350" i="1"/>
  <c r="J330" i="1"/>
  <c r="J309" i="1"/>
  <c r="J290" i="1"/>
  <c r="J269" i="1"/>
  <c r="J254" i="1"/>
  <c r="J226" i="1"/>
  <c r="J210" i="1"/>
  <c r="J181" i="1"/>
  <c r="J160" i="1"/>
  <c r="J140" i="1"/>
  <c r="J134" i="1"/>
  <c r="J398" i="1"/>
  <c r="J289" i="1"/>
  <c r="J268" i="1"/>
  <c r="J288" i="1"/>
  <c r="J308" i="1"/>
  <c r="J349" i="1"/>
  <c r="J397" i="1"/>
  <c r="J442" i="1"/>
  <c r="J441" i="1"/>
  <c r="J3773" i="1"/>
  <c r="J3772" i="1"/>
  <c r="J3771" i="1"/>
  <c r="J3770" i="1"/>
  <c r="J3769" i="1"/>
  <c r="J3767" i="1"/>
  <c r="J3766" i="1"/>
  <c r="J3765" i="1"/>
  <c r="J3764" i="1"/>
  <c r="J3763" i="1"/>
  <c r="J3762" i="1"/>
  <c r="J3761" i="1"/>
  <c r="J3760" i="1"/>
  <c r="J3759" i="1"/>
  <c r="J3758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7" i="1"/>
  <c r="J3726" i="1"/>
  <c r="J3725" i="1"/>
  <c r="J3724" i="1"/>
  <c r="J3723" i="1"/>
  <c r="J3722" i="1"/>
  <c r="J3721" i="1"/>
  <c r="J3720" i="1"/>
  <c r="J3719" i="1"/>
  <c r="J3718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1" i="1"/>
  <c r="J3700" i="1"/>
  <c r="J3699" i="1"/>
  <c r="J3698" i="1"/>
  <c r="J3697" i="1"/>
  <c r="J3696" i="1"/>
  <c r="J3695" i="1"/>
  <c r="J3693" i="1"/>
  <c r="J3692" i="1"/>
  <c r="J3691" i="1"/>
  <c r="J3690" i="1"/>
  <c r="J3689" i="1"/>
  <c r="J3688" i="1"/>
  <c r="J3687" i="1"/>
  <c r="J3686" i="1"/>
  <c r="J3685" i="1"/>
  <c r="J3684" i="1"/>
  <c r="J3683" i="1"/>
  <c r="J3681" i="1"/>
  <c r="J3680" i="1"/>
  <c r="J3679" i="1"/>
  <c r="J3678" i="1"/>
  <c r="J3677" i="1"/>
  <c r="J3676" i="1"/>
  <c r="J3675" i="1"/>
  <c r="J3674" i="1"/>
  <c r="J3673" i="1"/>
  <c r="J3672" i="1"/>
  <c r="J3670" i="1"/>
  <c r="J3669" i="1"/>
  <c r="J3668" i="1"/>
  <c r="J3667" i="1"/>
  <c r="J3666" i="1"/>
  <c r="J3665" i="1"/>
  <c r="J3664" i="1"/>
  <c r="J3663" i="1"/>
  <c r="J3662" i="1"/>
  <c r="J3661" i="1"/>
  <c r="J3660" i="1"/>
  <c r="J3658" i="1"/>
  <c r="J3657" i="1"/>
  <c r="J3656" i="1"/>
  <c r="J3655" i="1"/>
  <c r="J3654" i="1"/>
  <c r="J3653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4" i="1"/>
  <c r="J3623" i="1"/>
  <c r="J3622" i="1"/>
  <c r="J3621" i="1"/>
  <c r="J3620" i="1"/>
  <c r="J3619" i="1"/>
  <c r="J3618" i="1"/>
  <c r="J3617" i="1"/>
  <c r="J3616" i="1"/>
  <c r="J3614" i="1"/>
  <c r="J3613" i="1"/>
  <c r="J3612" i="1"/>
  <c r="J3611" i="1"/>
  <c r="J3610" i="1"/>
  <c r="J3609" i="1"/>
  <c r="J3608" i="1"/>
  <c r="J3607" i="1"/>
  <c r="J3606" i="1"/>
  <c r="J3605" i="1"/>
  <c r="J3604" i="1"/>
  <c r="J3602" i="1"/>
  <c r="J3601" i="1"/>
  <c r="J3600" i="1"/>
  <c r="J3599" i="1"/>
  <c r="J3598" i="1"/>
  <c r="J3597" i="1"/>
  <c r="J3596" i="1"/>
  <c r="J3594" i="1"/>
  <c r="J3593" i="1"/>
  <c r="J3592" i="1"/>
  <c r="J3591" i="1"/>
  <c r="J3590" i="1"/>
  <c r="J3589" i="1"/>
  <c r="J3588" i="1"/>
  <c r="J3587" i="1"/>
  <c r="J3586" i="1"/>
  <c r="J3585" i="1"/>
  <c r="J3584" i="1"/>
  <c r="J3582" i="1"/>
  <c r="J3581" i="1"/>
  <c r="J3580" i="1"/>
  <c r="J3579" i="1"/>
  <c r="J3578" i="1"/>
  <c r="J3577" i="1"/>
  <c r="J3576" i="1"/>
  <c r="J3575" i="1"/>
  <c r="J3574" i="1"/>
  <c r="J3573" i="1"/>
  <c r="J3571" i="1"/>
  <c r="J3570" i="1"/>
  <c r="J3569" i="1"/>
  <c r="J3568" i="1"/>
  <c r="J3567" i="1"/>
  <c r="J3565" i="1"/>
  <c r="J3564" i="1"/>
  <c r="J3563" i="1"/>
  <c r="J3562" i="1"/>
  <c r="J3561" i="1"/>
  <c r="J3560" i="1"/>
  <c r="J3559" i="1"/>
  <c r="J3558" i="1"/>
  <c r="J3556" i="1"/>
  <c r="J3555" i="1"/>
  <c r="J3554" i="1"/>
  <c r="J3553" i="1"/>
  <c r="J3552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6" i="1"/>
  <c r="J3535" i="1"/>
  <c r="J3534" i="1"/>
  <c r="J3533" i="1"/>
  <c r="J3532" i="1"/>
  <c r="J3531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1" i="1"/>
  <c r="J3510" i="1"/>
  <c r="J3509" i="1"/>
  <c r="J3508" i="1"/>
  <c r="J3507" i="1"/>
  <c r="J3506" i="1"/>
  <c r="J3505" i="1"/>
  <c r="J3504" i="1"/>
  <c r="J3503" i="1"/>
  <c r="J3502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0" i="1"/>
  <c r="J3459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3" i="1"/>
  <c r="J3442" i="1"/>
  <c r="J3441" i="1"/>
  <c r="J3440" i="1"/>
  <c r="J3439" i="1"/>
  <c r="J3438" i="1"/>
  <c r="J3437" i="1"/>
  <c r="J3436" i="1"/>
  <c r="J3435" i="1"/>
  <c r="J3433" i="1"/>
  <c r="J3432" i="1"/>
  <c r="J3431" i="1"/>
  <c r="J3430" i="1"/>
  <c r="J3429" i="1"/>
  <c r="J3428" i="1"/>
  <c r="J3427" i="1"/>
  <c r="J3426" i="1"/>
  <c r="J3424" i="1"/>
  <c r="J3423" i="1"/>
  <c r="J3422" i="1"/>
  <c r="J3421" i="1"/>
  <c r="J3420" i="1"/>
  <c r="J3419" i="1"/>
  <c r="J3418" i="1"/>
  <c r="J3417" i="1"/>
  <c r="J3415" i="1"/>
  <c r="J3414" i="1"/>
  <c r="J3413" i="1"/>
  <c r="J3412" i="1"/>
  <c r="J3411" i="1"/>
  <c r="J3410" i="1"/>
  <c r="J3409" i="1"/>
  <c r="J3408" i="1"/>
  <c r="J3407" i="1"/>
  <c r="J3406" i="1"/>
  <c r="J3405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5" i="1"/>
  <c r="J3384" i="1"/>
  <c r="J3383" i="1"/>
  <c r="J3382" i="1"/>
  <c r="J3381" i="1"/>
  <c r="J3380" i="1"/>
  <c r="J3379" i="1"/>
  <c r="J3377" i="1"/>
  <c r="J3376" i="1"/>
  <c r="J3375" i="1"/>
  <c r="J3374" i="1"/>
  <c r="J3373" i="1"/>
  <c r="J3372" i="1"/>
  <c r="J3371" i="1"/>
  <c r="J3370" i="1"/>
  <c r="J3369" i="1"/>
  <c r="J3368" i="1"/>
  <c r="J3367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2" i="1"/>
  <c r="J3351" i="1"/>
  <c r="J3350" i="1"/>
  <c r="J3349" i="1"/>
  <c r="J3348" i="1"/>
  <c r="J3347" i="1"/>
  <c r="J3346" i="1"/>
  <c r="J3344" i="1"/>
  <c r="J3343" i="1"/>
  <c r="J3342" i="1"/>
  <c r="J3341" i="1"/>
  <c r="J3340" i="1"/>
  <c r="J3339" i="1"/>
  <c r="J3338" i="1"/>
  <c r="J3337" i="1"/>
  <c r="J3336" i="1"/>
  <c r="J3335" i="1"/>
  <c r="J3334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7" i="1"/>
  <c r="J3316" i="1"/>
  <c r="J3315" i="1"/>
  <c r="J3314" i="1"/>
  <c r="J3313" i="1"/>
  <c r="J3312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6" i="1"/>
  <c r="J3295" i="1"/>
  <c r="J3294" i="1"/>
  <c r="J3293" i="1"/>
  <c r="J3292" i="1"/>
  <c r="J3291" i="1"/>
  <c r="J3289" i="1"/>
  <c r="J3288" i="1"/>
  <c r="J3287" i="1"/>
  <c r="J3286" i="1"/>
  <c r="J3285" i="1"/>
  <c r="J3284" i="1"/>
  <c r="J3283" i="1"/>
  <c r="J3282" i="1"/>
  <c r="J3280" i="1"/>
  <c r="J3279" i="1"/>
  <c r="J3278" i="1"/>
  <c r="J3276" i="1"/>
  <c r="J3275" i="1"/>
  <c r="J3274" i="1"/>
  <c r="J3273" i="1"/>
  <c r="J3272" i="1"/>
  <c r="J3270" i="1"/>
  <c r="J3269" i="1"/>
  <c r="J3268" i="1"/>
  <c r="J3267" i="1"/>
  <c r="J3266" i="1"/>
  <c r="J3265" i="1"/>
  <c r="J3264" i="1"/>
  <c r="J3263" i="1"/>
  <c r="J3261" i="1"/>
  <c r="J3260" i="1"/>
  <c r="J3259" i="1"/>
  <c r="J3258" i="1"/>
  <c r="J3257" i="1"/>
  <c r="J3256" i="1"/>
  <c r="J3255" i="1"/>
  <c r="J3254" i="1"/>
  <c r="J3253" i="1"/>
  <c r="J3251" i="1"/>
  <c r="J3250" i="1"/>
  <c r="J3249" i="1"/>
  <c r="J3248" i="1"/>
  <c r="J3247" i="1"/>
  <c r="J3246" i="1"/>
  <c r="J3245" i="1"/>
  <c r="J3244" i="1"/>
  <c r="J3243" i="1"/>
  <c r="J3241" i="1"/>
  <c r="J3240" i="1"/>
  <c r="J3239" i="1"/>
  <c r="J3238" i="1"/>
  <c r="J3237" i="1"/>
  <c r="J3236" i="1"/>
  <c r="J3235" i="1"/>
  <c r="J3234" i="1"/>
  <c r="J3232" i="1"/>
  <c r="J3231" i="1"/>
  <c r="J3230" i="1"/>
  <c r="J3229" i="1"/>
  <c r="J3228" i="1"/>
  <c r="J3227" i="1"/>
  <c r="J3226" i="1"/>
  <c r="J3225" i="1"/>
  <c r="J3224" i="1"/>
  <c r="J3223" i="1"/>
  <c r="J3221" i="1"/>
  <c r="J3220" i="1"/>
  <c r="J3219" i="1"/>
  <c r="J3218" i="1"/>
  <c r="J3217" i="1"/>
  <c r="J3216" i="1"/>
  <c r="J3215" i="1"/>
  <c r="J3214" i="1"/>
  <c r="J3213" i="1"/>
  <c r="J3212" i="1"/>
  <c r="J3210" i="1"/>
  <c r="J3209" i="1"/>
  <c r="J3208" i="1"/>
  <c r="J3207" i="1"/>
  <c r="J3206" i="1"/>
  <c r="J3205" i="1"/>
  <c r="J3204" i="1"/>
  <c r="J3203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1" i="1"/>
  <c r="J3170" i="1"/>
  <c r="J3169" i="1"/>
  <c r="J3168" i="1"/>
  <c r="J3167" i="1"/>
  <c r="J3166" i="1"/>
  <c r="J3165" i="1"/>
  <c r="J3164" i="1"/>
  <c r="J3162" i="1"/>
  <c r="J3161" i="1"/>
  <c r="J3160" i="1"/>
  <c r="J3159" i="1"/>
  <c r="J3158" i="1"/>
  <c r="J3157" i="1"/>
  <c r="J3156" i="1"/>
  <c r="J3155" i="1"/>
  <c r="J3154" i="1"/>
  <c r="J3153" i="1"/>
  <c r="J3152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7" i="1"/>
  <c r="J3136" i="1"/>
  <c r="J3135" i="1"/>
  <c r="J3134" i="1"/>
  <c r="J3133" i="1"/>
  <c r="J3132" i="1"/>
  <c r="J3131" i="1"/>
  <c r="J3130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3" i="1"/>
  <c r="J3112" i="1"/>
  <c r="J3111" i="1"/>
  <c r="J3110" i="1"/>
  <c r="J3109" i="1"/>
  <c r="J3108" i="1"/>
  <c r="J3107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0" i="1"/>
  <c r="J3089" i="1"/>
  <c r="J3088" i="1"/>
  <c r="J3087" i="1"/>
  <c r="J3086" i="1"/>
  <c r="J3085" i="1"/>
  <c r="J3083" i="1"/>
  <c r="J3082" i="1"/>
  <c r="J3081" i="1"/>
  <c r="J3080" i="1"/>
  <c r="J3079" i="1"/>
  <c r="J3078" i="1"/>
  <c r="J3077" i="1"/>
  <c r="J3076" i="1"/>
  <c r="J3075" i="1"/>
  <c r="J3074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4" i="1"/>
  <c r="J3043" i="1"/>
  <c r="J3042" i="1"/>
  <c r="J3041" i="1"/>
  <c r="J3040" i="1"/>
  <c r="J3039" i="1"/>
  <c r="J3038" i="1"/>
  <c r="J3036" i="1"/>
  <c r="J3035" i="1"/>
  <c r="J3034" i="1"/>
  <c r="J3033" i="1"/>
  <c r="J3032" i="1"/>
  <c r="J3031" i="1"/>
  <c r="J3030" i="1"/>
  <c r="J3029" i="1"/>
  <c r="J3028" i="1"/>
  <c r="J3027" i="1"/>
  <c r="J3026" i="1"/>
  <c r="J3024" i="1"/>
  <c r="J3023" i="1"/>
  <c r="J3022" i="1"/>
  <c r="J3021" i="1"/>
  <c r="J3020" i="1"/>
  <c r="J3019" i="1"/>
  <c r="J3018" i="1"/>
  <c r="J3017" i="1"/>
  <c r="J3016" i="1"/>
  <c r="J3015" i="1"/>
  <c r="J3013" i="1"/>
  <c r="J3012" i="1"/>
  <c r="J3011" i="1"/>
  <c r="J3010" i="1"/>
  <c r="J3009" i="1"/>
  <c r="J3008" i="1"/>
  <c r="J3006" i="1"/>
  <c r="J3005" i="1"/>
  <c r="J3004" i="1"/>
  <c r="J3003" i="1"/>
  <c r="J3002" i="1"/>
  <c r="J3001" i="1"/>
  <c r="J3000" i="1"/>
  <c r="J2999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0" i="1"/>
  <c r="J2969" i="1"/>
  <c r="J2968" i="1"/>
  <c r="J2967" i="1"/>
  <c r="J2966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8" i="1"/>
  <c r="J2947" i="1"/>
  <c r="J2946" i="1"/>
  <c r="J2945" i="1"/>
  <c r="J2944" i="1"/>
  <c r="J2943" i="1"/>
  <c r="J2942" i="1"/>
  <c r="J2941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4" i="1"/>
  <c r="J2923" i="1"/>
  <c r="J2922" i="1"/>
  <c r="J2921" i="1"/>
  <c r="J2920" i="1"/>
  <c r="J2919" i="1"/>
  <c r="J2918" i="1"/>
  <c r="J2917" i="1"/>
  <c r="J2916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1" i="1"/>
  <c r="J2900" i="1"/>
  <c r="J2899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3" i="1"/>
  <c r="J2882" i="1"/>
  <c r="J2881" i="1"/>
  <c r="J2880" i="1"/>
  <c r="J2879" i="1"/>
  <c r="J2878" i="1"/>
  <c r="J2877" i="1"/>
  <c r="J2876" i="1"/>
  <c r="J2874" i="1"/>
  <c r="J2873" i="1"/>
  <c r="J2872" i="1"/>
  <c r="J2871" i="1"/>
  <c r="J2870" i="1"/>
  <c r="J2869" i="1"/>
  <c r="J2868" i="1"/>
  <c r="J2867" i="1"/>
  <c r="J2866" i="1"/>
  <c r="J2864" i="1"/>
  <c r="J2863" i="1"/>
  <c r="J2862" i="1"/>
  <c r="J2861" i="1"/>
  <c r="J2860" i="1"/>
  <c r="J2859" i="1"/>
  <c r="J2858" i="1"/>
  <c r="J2856" i="1"/>
  <c r="J2855" i="1"/>
  <c r="J2854" i="1"/>
  <c r="J2853" i="1"/>
  <c r="J2852" i="1"/>
  <c r="J2851" i="1"/>
  <c r="J2850" i="1"/>
  <c r="J2849" i="1"/>
  <c r="J2847" i="1"/>
  <c r="J2846" i="1"/>
  <c r="J2845" i="1"/>
  <c r="J2844" i="1"/>
  <c r="J2843" i="1"/>
  <c r="J2842" i="1"/>
  <c r="J2840" i="1"/>
  <c r="J2839" i="1"/>
  <c r="J2838" i="1"/>
  <c r="J2837" i="1"/>
  <c r="J2836" i="1"/>
  <c r="J2835" i="1"/>
  <c r="J2834" i="1"/>
  <c r="J2833" i="1"/>
  <c r="J2832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7" i="1"/>
  <c r="J2816" i="1"/>
  <c r="J2815" i="1"/>
  <c r="J2814" i="1"/>
  <c r="J2813" i="1"/>
  <c r="J2812" i="1"/>
  <c r="J2811" i="1"/>
  <c r="J2810" i="1"/>
  <c r="J2809" i="1"/>
  <c r="J2808" i="1"/>
  <c r="J2807" i="1"/>
  <c r="J2805" i="1"/>
  <c r="J2804" i="1"/>
  <c r="J2803" i="1"/>
  <c r="J2802" i="1"/>
  <c r="J2801" i="1"/>
  <c r="J2800" i="1"/>
  <c r="J2799" i="1"/>
  <c r="J2798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8" i="1"/>
  <c r="J2767" i="1"/>
  <c r="J2766" i="1"/>
  <c r="J2765" i="1"/>
  <c r="J2764" i="1"/>
  <c r="J2763" i="1"/>
  <c r="J2762" i="1"/>
  <c r="J2761" i="1"/>
  <c r="J2759" i="1"/>
  <c r="J2758" i="1"/>
  <c r="J2757" i="1"/>
  <c r="J2756" i="1"/>
  <c r="J2755" i="1"/>
  <c r="J2754" i="1"/>
  <c r="J2753" i="1"/>
  <c r="J2752" i="1"/>
  <c r="J2751" i="1"/>
  <c r="J2750" i="1"/>
  <c r="J2748" i="1"/>
  <c r="J2747" i="1"/>
  <c r="J2746" i="1"/>
  <c r="J2745" i="1"/>
  <c r="J2744" i="1"/>
  <c r="J2743" i="1"/>
  <c r="J2742" i="1"/>
  <c r="J2740" i="1"/>
  <c r="J2739" i="1"/>
  <c r="J2738" i="1"/>
  <c r="J2737" i="1"/>
  <c r="J2736" i="1"/>
  <c r="J2735" i="1"/>
  <c r="J2734" i="1"/>
  <c r="J2732" i="1"/>
  <c r="J2731" i="1"/>
  <c r="J2730" i="1"/>
  <c r="J2728" i="1"/>
  <c r="J2727" i="1"/>
  <c r="J2726" i="1"/>
  <c r="J2725" i="1"/>
  <c r="J2724" i="1"/>
  <c r="J2723" i="1"/>
  <c r="J2722" i="1"/>
  <c r="J2721" i="1"/>
  <c r="J2720" i="1"/>
  <c r="J2719" i="1"/>
  <c r="J2718" i="1"/>
  <c r="J2716" i="1"/>
  <c r="J2715" i="1"/>
  <c r="J2714" i="1"/>
  <c r="J2713" i="1"/>
  <c r="J2712" i="1"/>
  <c r="J2711" i="1"/>
  <c r="J2710" i="1"/>
  <c r="J2709" i="1"/>
  <c r="J2708" i="1"/>
  <c r="J2707" i="1"/>
  <c r="J2706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1" i="1"/>
  <c r="J2660" i="1"/>
  <c r="J2659" i="1"/>
  <c r="J2658" i="1"/>
  <c r="J2657" i="1"/>
  <c r="J2656" i="1"/>
  <c r="J2655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7" i="1"/>
  <c r="J2636" i="1"/>
  <c r="J2635" i="1"/>
  <c r="J2634" i="1"/>
  <c r="J2633" i="1"/>
  <c r="J2632" i="1"/>
  <c r="J2631" i="1"/>
  <c r="J2629" i="1"/>
  <c r="J2628" i="1"/>
  <c r="J2627" i="1"/>
  <c r="J2626" i="1"/>
  <c r="J2625" i="1"/>
  <c r="J2624" i="1"/>
  <c r="J2623" i="1"/>
  <c r="J2622" i="1"/>
  <c r="J2620" i="1"/>
  <c r="J2619" i="1"/>
  <c r="J2618" i="1"/>
  <c r="J2617" i="1"/>
  <c r="J2616" i="1"/>
  <c r="J2615" i="1"/>
  <c r="J2614" i="1"/>
  <c r="J2613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7" i="1"/>
  <c r="J2596" i="1"/>
  <c r="J2595" i="1"/>
  <c r="J2594" i="1"/>
  <c r="J2593" i="1"/>
  <c r="J2592" i="1"/>
  <c r="J2591" i="1"/>
  <c r="J2590" i="1"/>
  <c r="J2589" i="1"/>
  <c r="J2588" i="1"/>
  <c r="J2586" i="1"/>
  <c r="J2585" i="1"/>
  <c r="J2584" i="1"/>
  <c r="J2583" i="1"/>
  <c r="J2582" i="1"/>
  <c r="J2581" i="1"/>
  <c r="J2580" i="1"/>
  <c r="J2579" i="1"/>
  <c r="J2578" i="1"/>
  <c r="J2576" i="1"/>
  <c r="J2575" i="1"/>
  <c r="J2574" i="1"/>
  <c r="J2573" i="1"/>
  <c r="J2572" i="1"/>
  <c r="J2570" i="1"/>
  <c r="J2569" i="1"/>
  <c r="J2568" i="1"/>
  <c r="J2567" i="1"/>
  <c r="J2566" i="1"/>
  <c r="J2564" i="1"/>
  <c r="J2563" i="1"/>
  <c r="J2562" i="1"/>
  <c r="J2561" i="1"/>
  <c r="J2560" i="1"/>
  <c r="J2559" i="1"/>
  <c r="J2558" i="1"/>
  <c r="J2557" i="1"/>
  <c r="J2556" i="1"/>
  <c r="J2555" i="1"/>
  <c r="J2554" i="1"/>
  <c r="J2552" i="1"/>
  <c r="J2551" i="1"/>
  <c r="J2550" i="1"/>
  <c r="J2548" i="1"/>
  <c r="J2547" i="1"/>
  <c r="J2546" i="1"/>
  <c r="J2545" i="1"/>
  <c r="J2544" i="1"/>
  <c r="J2543" i="1"/>
  <c r="J2542" i="1"/>
  <c r="J2541" i="1"/>
  <c r="J2539" i="1"/>
  <c r="J2538" i="1"/>
  <c r="J2537" i="1"/>
  <c r="J2536" i="1"/>
  <c r="J2535" i="1"/>
  <c r="J2533" i="1"/>
  <c r="J2532" i="1"/>
  <c r="J2531" i="1"/>
  <c r="J2530" i="1"/>
  <c r="J2529" i="1"/>
  <c r="J2528" i="1"/>
  <c r="J2527" i="1"/>
  <c r="J2526" i="1"/>
  <c r="J2525" i="1"/>
  <c r="J2523" i="1"/>
  <c r="J2522" i="1"/>
  <c r="J2521" i="1"/>
  <c r="J2520" i="1"/>
  <c r="J2519" i="1"/>
  <c r="J2518" i="1"/>
  <c r="J2517" i="1"/>
  <c r="J2516" i="1"/>
  <c r="J2515" i="1"/>
  <c r="J2514" i="1"/>
  <c r="J2513" i="1"/>
  <c r="J2511" i="1"/>
  <c r="J2510" i="1"/>
  <c r="J2509" i="1"/>
  <c r="J2508" i="1"/>
  <c r="J2507" i="1"/>
  <c r="J2506" i="1"/>
  <c r="J2505" i="1"/>
  <c r="J2503" i="1"/>
  <c r="J2502" i="1"/>
  <c r="J2501" i="1"/>
  <c r="J2500" i="1"/>
  <c r="J2499" i="1"/>
  <c r="J2498" i="1"/>
  <c r="J2497" i="1"/>
  <c r="J2496" i="1"/>
  <c r="J2494" i="1"/>
  <c r="J2493" i="1"/>
  <c r="J2492" i="1"/>
  <c r="J2491" i="1"/>
  <c r="J2490" i="1"/>
  <c r="J2489" i="1"/>
  <c r="J2488" i="1"/>
  <c r="J2487" i="1"/>
  <c r="J2485" i="1"/>
  <c r="J2484" i="1"/>
  <c r="J2483" i="1"/>
  <c r="J2482" i="1"/>
  <c r="J2481" i="1"/>
  <c r="J2479" i="1"/>
  <c r="J2478" i="1"/>
  <c r="J2477" i="1"/>
  <c r="J2476" i="1"/>
  <c r="J2475" i="1"/>
  <c r="J2474" i="1"/>
  <c r="J2473" i="1"/>
  <c r="J2472" i="1"/>
  <c r="J2471" i="1"/>
  <c r="J2470" i="1"/>
  <c r="J2468" i="1"/>
  <c r="J2467" i="1"/>
  <c r="J2466" i="1"/>
  <c r="J2465" i="1"/>
  <c r="J2464" i="1"/>
  <c r="J2463" i="1"/>
  <c r="J2462" i="1"/>
  <c r="J2461" i="1"/>
  <c r="J2460" i="1"/>
  <c r="J2459" i="1"/>
  <c r="J2458" i="1"/>
  <c r="J2456" i="1"/>
  <c r="J2455" i="1"/>
  <c r="J2454" i="1"/>
  <c r="J2453" i="1"/>
  <c r="J2452" i="1"/>
  <c r="J2451" i="1"/>
  <c r="J2450" i="1"/>
  <c r="J2449" i="1"/>
  <c r="J2448" i="1"/>
  <c r="J2447" i="1"/>
  <c r="J2445" i="1"/>
  <c r="J2444" i="1"/>
  <c r="J2443" i="1"/>
  <c r="J2442" i="1"/>
  <c r="J2441" i="1"/>
  <c r="J2440" i="1"/>
  <c r="J2439" i="1"/>
  <c r="J2438" i="1"/>
  <c r="J2437" i="1"/>
  <c r="J2436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0" i="1"/>
  <c r="J2419" i="1"/>
  <c r="J2418" i="1"/>
  <c r="J2417" i="1"/>
  <c r="J2416" i="1"/>
  <c r="J2415" i="1"/>
  <c r="J2414" i="1"/>
  <c r="J2413" i="1"/>
  <c r="J2412" i="1"/>
  <c r="J2411" i="1"/>
  <c r="J2409" i="1"/>
  <c r="J2408" i="1"/>
  <c r="J2407" i="1"/>
  <c r="J2406" i="1"/>
  <c r="J2405" i="1"/>
  <c r="J2404" i="1"/>
  <c r="J2403" i="1"/>
  <c r="J2402" i="1"/>
  <c r="J2400" i="1"/>
  <c r="J2399" i="1"/>
  <c r="J2398" i="1"/>
  <c r="J2397" i="1"/>
  <c r="J2395" i="1"/>
  <c r="J2394" i="1"/>
  <c r="J2393" i="1"/>
  <c r="J2392" i="1"/>
  <c r="J2391" i="1"/>
  <c r="J2389" i="1"/>
  <c r="J2388" i="1"/>
  <c r="J2387" i="1"/>
  <c r="J2386" i="1"/>
  <c r="J2385" i="1"/>
  <c r="J2384" i="1"/>
  <c r="J2383" i="1"/>
  <c r="J2382" i="1"/>
  <c r="J2380" i="1"/>
  <c r="J2379" i="1"/>
  <c r="J2378" i="1"/>
  <c r="J2377" i="1"/>
  <c r="J2376" i="1"/>
  <c r="J2375" i="1"/>
  <c r="J2374" i="1"/>
  <c r="J2372" i="1"/>
  <c r="J2371" i="1"/>
  <c r="J2370" i="1"/>
  <c r="J2369" i="1"/>
  <c r="J2368" i="1"/>
  <c r="J2367" i="1"/>
  <c r="J2366" i="1"/>
  <c r="J2365" i="1"/>
  <c r="J2363" i="1"/>
  <c r="J2362" i="1"/>
  <c r="J2361" i="1"/>
  <c r="J2360" i="1"/>
  <c r="J2359" i="1"/>
  <c r="J2358" i="1"/>
  <c r="J2356" i="1"/>
  <c r="J2355" i="1"/>
  <c r="J2354" i="1"/>
  <c r="J2353" i="1"/>
  <c r="J2352" i="1"/>
  <c r="J2351" i="1"/>
  <c r="J2350" i="1"/>
  <c r="J2349" i="1"/>
  <c r="J2348" i="1"/>
  <c r="J2347" i="1"/>
  <c r="J2346" i="1"/>
  <c r="J2344" i="1"/>
  <c r="J2343" i="1"/>
  <c r="J2342" i="1"/>
  <c r="J2341" i="1"/>
  <c r="J2340" i="1"/>
  <c r="J2339" i="1"/>
  <c r="J2338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3" i="1"/>
  <c r="J2322" i="1"/>
  <c r="J2321" i="1"/>
  <c r="J2320" i="1"/>
  <c r="J2319" i="1"/>
  <c r="J2318" i="1"/>
  <c r="J2317" i="1"/>
  <c r="J2316" i="1"/>
  <c r="J2314" i="1"/>
  <c r="J2313" i="1"/>
  <c r="J2312" i="1"/>
  <c r="J2311" i="1"/>
  <c r="J2310" i="1"/>
  <c r="J2309" i="1"/>
  <c r="J2308" i="1"/>
  <c r="J2307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4" i="1"/>
  <c r="J2273" i="1"/>
  <c r="J2272" i="1"/>
  <c r="J2271" i="1"/>
  <c r="J2270" i="1"/>
  <c r="J2269" i="1"/>
  <c r="J2268" i="1"/>
  <c r="J2267" i="1"/>
  <c r="J2266" i="1"/>
  <c r="J2265" i="1"/>
  <c r="J2264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4" i="1"/>
  <c r="J2233" i="1"/>
  <c r="J2232" i="1"/>
  <c r="J2231" i="1"/>
  <c r="J2230" i="1"/>
  <c r="J2229" i="1"/>
  <c r="J2228" i="1"/>
  <c r="J2227" i="1"/>
  <c r="J2226" i="1"/>
  <c r="J2225" i="1"/>
  <c r="J2223" i="1"/>
  <c r="J2222" i="1"/>
  <c r="J2221" i="1"/>
  <c r="J2220" i="1"/>
  <c r="J2219" i="1"/>
  <c r="J2218" i="1"/>
  <c r="J2217" i="1"/>
  <c r="J2216" i="1"/>
  <c r="J2214" i="1"/>
  <c r="J2213" i="1"/>
  <c r="J2211" i="1"/>
  <c r="J2210" i="1"/>
  <c r="J2209" i="1"/>
  <c r="J2208" i="1"/>
  <c r="J2207" i="1"/>
  <c r="J2206" i="1"/>
  <c r="J2205" i="1"/>
  <c r="J2204" i="1"/>
  <c r="J2203" i="1"/>
  <c r="J2202" i="1"/>
  <c r="J2201" i="1"/>
  <c r="J2199" i="1"/>
  <c r="J2198" i="1"/>
  <c r="J2197" i="1"/>
  <c r="J2196" i="1"/>
  <c r="J2195" i="1"/>
  <c r="J2194" i="1"/>
  <c r="J2193" i="1"/>
  <c r="J2192" i="1"/>
  <c r="J2191" i="1"/>
  <c r="J2190" i="1"/>
  <c r="J2188" i="1"/>
  <c r="J2187" i="1"/>
  <c r="J2186" i="1"/>
  <c r="J2185" i="1"/>
  <c r="J2184" i="1"/>
  <c r="J2183" i="1"/>
  <c r="J2182" i="1"/>
  <c r="J2181" i="1"/>
  <c r="J2180" i="1"/>
  <c r="J2179" i="1"/>
  <c r="J2177" i="1"/>
  <c r="J2176" i="1"/>
  <c r="J2175" i="1"/>
  <c r="J2174" i="1"/>
  <c r="J2173" i="1"/>
  <c r="J2172" i="1"/>
  <c r="J2171" i="1"/>
  <c r="J2170" i="1"/>
  <c r="J2169" i="1"/>
  <c r="J2167" i="1"/>
  <c r="J2166" i="1"/>
  <c r="J2165" i="1"/>
  <c r="J2164" i="1"/>
  <c r="J2163" i="1"/>
  <c r="J2161" i="1"/>
  <c r="J2160" i="1"/>
  <c r="J2159" i="1"/>
  <c r="J2158" i="1"/>
  <c r="J2157" i="1"/>
  <c r="J2156" i="1"/>
  <c r="J2155" i="1"/>
  <c r="J2154" i="1"/>
  <c r="J2153" i="1"/>
  <c r="J2152" i="1"/>
  <c r="J2151" i="1"/>
  <c r="J2149" i="1"/>
  <c r="J2148" i="1"/>
  <c r="J2147" i="1"/>
  <c r="J2146" i="1"/>
  <c r="J2145" i="1"/>
  <c r="J2144" i="1"/>
  <c r="J2143" i="1"/>
  <c r="J2142" i="1"/>
  <c r="J2141" i="1"/>
  <c r="J2139" i="1"/>
  <c r="J2138" i="1"/>
  <c r="J2137" i="1"/>
  <c r="J2136" i="1"/>
  <c r="J2135" i="1"/>
  <c r="J2134" i="1"/>
  <c r="J2132" i="1"/>
  <c r="J2131" i="1"/>
  <c r="J2130" i="1"/>
  <c r="J2129" i="1"/>
  <c r="J2128" i="1"/>
  <c r="J2127" i="1"/>
  <c r="J2125" i="1"/>
  <c r="J2124" i="1"/>
  <c r="J2123" i="1"/>
  <c r="J2122" i="1"/>
  <c r="J2121" i="1"/>
  <c r="J2120" i="1"/>
  <c r="J2119" i="1"/>
  <c r="J2118" i="1"/>
  <c r="J2116" i="1"/>
  <c r="J2115" i="1"/>
  <c r="J2114" i="1"/>
  <c r="J2113" i="1"/>
  <c r="J2112" i="1"/>
  <c r="J2111" i="1"/>
  <c r="J2110" i="1"/>
  <c r="J2109" i="1"/>
  <c r="J2107" i="1"/>
  <c r="J2106" i="1"/>
  <c r="J2105" i="1"/>
  <c r="J2104" i="1"/>
  <c r="J2103" i="1"/>
  <c r="J2102" i="1"/>
  <c r="J2101" i="1"/>
  <c r="J2100" i="1"/>
  <c r="J2099" i="1"/>
  <c r="J2098" i="1"/>
  <c r="J2097" i="1"/>
  <c r="J2095" i="1"/>
  <c r="J2094" i="1"/>
  <c r="J2093" i="1"/>
  <c r="J2092" i="1"/>
  <c r="J2091" i="1"/>
  <c r="J2090" i="1"/>
  <c r="J2089" i="1"/>
  <c r="J2088" i="1"/>
  <c r="J2087" i="1"/>
  <c r="J2086" i="1"/>
  <c r="J2085" i="1"/>
  <c r="J2083" i="1"/>
  <c r="J2082" i="1"/>
  <c r="J2081" i="1"/>
  <c r="J2080" i="1"/>
  <c r="J2079" i="1"/>
  <c r="J2078" i="1"/>
  <c r="J2077" i="1"/>
  <c r="J2076" i="1"/>
  <c r="J2075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3" i="1"/>
  <c r="J2032" i="1"/>
  <c r="J2031" i="1"/>
  <c r="J2030" i="1"/>
  <c r="J2029" i="1"/>
  <c r="J2028" i="1"/>
  <c r="J2027" i="1"/>
  <c r="J2026" i="1"/>
  <c r="J2025" i="1"/>
  <c r="J2024" i="1"/>
  <c r="J2023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3" i="1"/>
  <c r="J1992" i="1"/>
  <c r="J1991" i="1"/>
  <c r="J1990" i="1"/>
  <c r="J1989" i="1"/>
  <c r="J1988" i="1"/>
  <c r="J1987" i="1"/>
  <c r="J1986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1" i="1"/>
  <c r="J1970" i="1"/>
  <c r="J1969" i="1"/>
  <c r="J1968" i="1"/>
  <c r="J1967" i="1"/>
  <c r="J1966" i="1"/>
  <c r="J1965" i="1"/>
  <c r="J1963" i="1"/>
  <c r="J1962" i="1"/>
  <c r="J1961" i="1"/>
  <c r="J1960" i="1"/>
  <c r="J1959" i="1"/>
  <c r="J1958" i="1"/>
  <c r="J1957" i="1"/>
  <c r="J1956" i="1"/>
  <c r="J1954" i="1"/>
  <c r="J1953" i="1"/>
  <c r="J1952" i="1"/>
  <c r="J1951" i="1"/>
  <c r="J1950" i="1"/>
  <c r="J1949" i="1"/>
  <c r="J1948" i="1"/>
  <c r="J1946" i="1"/>
  <c r="J1945" i="1"/>
  <c r="J1944" i="1"/>
  <c r="J1943" i="1"/>
  <c r="J1942" i="1"/>
  <c r="J1941" i="1"/>
  <c r="J1940" i="1"/>
  <c r="J1939" i="1"/>
  <c r="J1938" i="1"/>
  <c r="J1937" i="1"/>
  <c r="J1936" i="1"/>
  <c r="J1934" i="1"/>
  <c r="J1933" i="1"/>
  <c r="J1932" i="1"/>
  <c r="J1931" i="1"/>
  <c r="J1930" i="1"/>
  <c r="J1929" i="1"/>
  <c r="J1928" i="1"/>
  <c r="J1927" i="1"/>
  <c r="J1926" i="1"/>
  <c r="J1925" i="1"/>
  <c r="J1923" i="1"/>
  <c r="J1922" i="1"/>
  <c r="J1921" i="1"/>
  <c r="J1920" i="1"/>
  <c r="J1919" i="1"/>
  <c r="J1918" i="1"/>
  <c r="J1917" i="1"/>
  <c r="J1916" i="1"/>
  <c r="J1915" i="1"/>
  <c r="J1913" i="1"/>
  <c r="J1912" i="1"/>
  <c r="J1911" i="1"/>
  <c r="J1910" i="1"/>
  <c r="J1909" i="1"/>
  <c r="J1908" i="1"/>
  <c r="J1907" i="1"/>
  <c r="J1906" i="1"/>
  <c r="J1905" i="1"/>
  <c r="J1904" i="1"/>
  <c r="J1902" i="1"/>
  <c r="J1901" i="1"/>
  <c r="J1900" i="1"/>
  <c r="J1899" i="1"/>
  <c r="J1898" i="1"/>
  <c r="J1897" i="1"/>
  <c r="J1896" i="1"/>
  <c r="J1895" i="1"/>
  <c r="J1894" i="1"/>
  <c r="J1892" i="1"/>
  <c r="J1891" i="1"/>
  <c r="J1890" i="1"/>
  <c r="J1889" i="1"/>
  <c r="J1888" i="1"/>
  <c r="J1887" i="1"/>
  <c r="J1886" i="1"/>
  <c r="J1885" i="1"/>
  <c r="J1884" i="1"/>
  <c r="J1883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8" i="1"/>
  <c r="J1867" i="1"/>
  <c r="J1866" i="1"/>
  <c r="J1865" i="1"/>
  <c r="J1864" i="1"/>
  <c r="J1863" i="1"/>
  <c r="J1862" i="1"/>
  <c r="J1861" i="1"/>
  <c r="J1860" i="1"/>
  <c r="J1859" i="1"/>
  <c r="J1857" i="1"/>
  <c r="J1856" i="1"/>
  <c r="J1855" i="1"/>
  <c r="J1854" i="1"/>
  <c r="J1853" i="1"/>
  <c r="J1852" i="1"/>
  <c r="J1851" i="1"/>
  <c r="J1850" i="1"/>
  <c r="J1849" i="1"/>
  <c r="J1848" i="1"/>
  <c r="J1847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2" i="1"/>
  <c r="J1831" i="1"/>
  <c r="J1830" i="1"/>
  <c r="J1829" i="1"/>
  <c r="J1828" i="1"/>
  <c r="J1826" i="1"/>
  <c r="J1825" i="1"/>
  <c r="J1824" i="1"/>
  <c r="J1823" i="1"/>
  <c r="J1821" i="1"/>
  <c r="J1820" i="1"/>
  <c r="J1819" i="1"/>
  <c r="J1818" i="1"/>
  <c r="J1817" i="1"/>
  <c r="J1816" i="1"/>
  <c r="J1815" i="1"/>
  <c r="J1814" i="1"/>
  <c r="J1813" i="1"/>
  <c r="J1812" i="1"/>
  <c r="J1811" i="1"/>
  <c r="J1809" i="1"/>
  <c r="J1808" i="1"/>
  <c r="J1807" i="1"/>
  <c r="J1806" i="1"/>
  <c r="J1805" i="1"/>
  <c r="J1804" i="1"/>
  <c r="J1803" i="1"/>
  <c r="J1802" i="1"/>
  <c r="J1801" i="1"/>
  <c r="J1800" i="1"/>
  <c r="J1798" i="1"/>
  <c r="J1797" i="1"/>
  <c r="J1796" i="1"/>
  <c r="J1795" i="1"/>
  <c r="J1794" i="1"/>
  <c r="J1793" i="1"/>
  <c r="J1792" i="1"/>
  <c r="J1791" i="1"/>
  <c r="J1790" i="1"/>
  <c r="J1789" i="1"/>
  <c r="J1787" i="1"/>
  <c r="J1786" i="1"/>
  <c r="J1785" i="1"/>
  <c r="J1784" i="1"/>
  <c r="J1783" i="1"/>
  <c r="J1782" i="1"/>
  <c r="J1781" i="1"/>
  <c r="J1779" i="1"/>
  <c r="J1778" i="1"/>
  <c r="J1777" i="1"/>
  <c r="J1776" i="1"/>
  <c r="J1775" i="1"/>
  <c r="J1774" i="1"/>
  <c r="J1773" i="1"/>
  <c r="J1772" i="1"/>
  <c r="J1770" i="1"/>
  <c r="J1769" i="1"/>
  <c r="J1768" i="1"/>
  <c r="J1767" i="1"/>
  <c r="J1766" i="1"/>
  <c r="J1765" i="1"/>
  <c r="J1764" i="1"/>
  <c r="J1763" i="1"/>
  <c r="J1761" i="1"/>
  <c r="J1760" i="1"/>
  <c r="J1759" i="1"/>
  <c r="J1758" i="1"/>
  <c r="J1757" i="1"/>
  <c r="J1756" i="1"/>
  <c r="J1755" i="1"/>
  <c r="J1754" i="1"/>
  <c r="J1753" i="1"/>
  <c r="J1752" i="1"/>
  <c r="J1750" i="1"/>
  <c r="J1749" i="1"/>
  <c r="J1748" i="1"/>
  <c r="J1747" i="1"/>
  <c r="J1746" i="1"/>
  <c r="J1744" i="1"/>
  <c r="J1743" i="1"/>
  <c r="J1742" i="1"/>
  <c r="J1741" i="1"/>
  <c r="J1740" i="1"/>
  <c r="J1739" i="1"/>
  <c r="J1738" i="1"/>
  <c r="J1737" i="1"/>
  <c r="J1736" i="1"/>
  <c r="J1735" i="1"/>
  <c r="J1734" i="1"/>
  <c r="J1732" i="1"/>
  <c r="J1731" i="1"/>
  <c r="J1730" i="1"/>
  <c r="J1729" i="1"/>
  <c r="J1728" i="1"/>
  <c r="J1727" i="1"/>
  <c r="J1726" i="1"/>
  <c r="J1725" i="1"/>
  <c r="J1724" i="1"/>
  <c r="J1723" i="1"/>
  <c r="J1722" i="1"/>
  <c r="J1720" i="1"/>
  <c r="J1719" i="1"/>
  <c r="J1718" i="1"/>
  <c r="J1717" i="1"/>
  <c r="J1716" i="1"/>
  <c r="J1715" i="1"/>
  <c r="J1714" i="1"/>
  <c r="J1713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4" i="1"/>
  <c r="J1683" i="1"/>
  <c r="J1682" i="1"/>
  <c r="J1681" i="1"/>
  <c r="J1680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4" i="1"/>
  <c r="J1663" i="1"/>
  <c r="J1662" i="1"/>
  <c r="J1661" i="1"/>
  <c r="J1660" i="1"/>
  <c r="J1659" i="1"/>
  <c r="J1658" i="1"/>
  <c r="J1657" i="1"/>
  <c r="J1656" i="1"/>
  <c r="J1655" i="1"/>
  <c r="J1653" i="1"/>
  <c r="J1652" i="1"/>
  <c r="J1651" i="1"/>
  <c r="J1650" i="1"/>
  <c r="J1649" i="1"/>
  <c r="J1648" i="1"/>
  <c r="J1646" i="1"/>
  <c r="J1645" i="1"/>
  <c r="J1644" i="1"/>
  <c r="J1643" i="1"/>
  <c r="J1642" i="1"/>
  <c r="J1641" i="1"/>
  <c r="J1640" i="1"/>
  <c r="J1639" i="1"/>
  <c r="J1638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3" i="1"/>
  <c r="J1622" i="1"/>
  <c r="J1621" i="1"/>
  <c r="J1620" i="1"/>
  <c r="J1619" i="1"/>
  <c r="J1618" i="1"/>
  <c r="J1617" i="1"/>
  <c r="J1616" i="1"/>
  <c r="J1615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7" i="1"/>
  <c r="J1586" i="1"/>
  <c r="J1585" i="1"/>
  <c r="J1584" i="1"/>
  <c r="J1583" i="1"/>
  <c r="J1582" i="1"/>
  <c r="J1581" i="1"/>
  <c r="J1580" i="1"/>
  <c r="J1578" i="1"/>
  <c r="J1577" i="1"/>
  <c r="J1576" i="1"/>
  <c r="J1575" i="1"/>
  <c r="J1574" i="1"/>
  <c r="J1573" i="1"/>
  <c r="J1572" i="1"/>
  <c r="J1571" i="1"/>
  <c r="J1570" i="1"/>
  <c r="J1568" i="1"/>
  <c r="J1567" i="1"/>
  <c r="J1566" i="1"/>
  <c r="J1565" i="1"/>
  <c r="J1564" i="1"/>
  <c r="J1563" i="1"/>
  <c r="J1562" i="1"/>
  <c r="J1561" i="1"/>
  <c r="J1560" i="1"/>
  <c r="J1559" i="1"/>
  <c r="J1558" i="1"/>
  <c r="J1556" i="1"/>
  <c r="J1555" i="1"/>
  <c r="J1554" i="1"/>
  <c r="J1553" i="1"/>
  <c r="J1551" i="1"/>
  <c r="J1550" i="1"/>
  <c r="J1549" i="1"/>
  <c r="J1548" i="1"/>
  <c r="J1547" i="1"/>
  <c r="J1546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1" i="1"/>
  <c r="J1530" i="1"/>
  <c r="J1529" i="1"/>
  <c r="J1528" i="1"/>
  <c r="J1527" i="1"/>
  <c r="J1526" i="1"/>
  <c r="J1525" i="1"/>
  <c r="J1524" i="1"/>
  <c r="J1523" i="1"/>
  <c r="J1522" i="1"/>
  <c r="J1521" i="1"/>
  <c r="J1519" i="1"/>
  <c r="J1518" i="1"/>
  <c r="J1517" i="1"/>
  <c r="J1516" i="1"/>
  <c r="J1515" i="1"/>
  <c r="J1514" i="1"/>
  <c r="J1513" i="1"/>
  <c r="J1512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5" i="1"/>
  <c r="J1494" i="1"/>
  <c r="J1493" i="1"/>
  <c r="J1492" i="1"/>
  <c r="J1491" i="1"/>
  <c r="J1489" i="1"/>
  <c r="J1488" i="1"/>
  <c r="J1487" i="1"/>
  <c r="J1486" i="1"/>
  <c r="J1485" i="1"/>
  <c r="J1484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5" i="1"/>
  <c r="J1454" i="1"/>
  <c r="J1453" i="1"/>
  <c r="J1452" i="1"/>
  <c r="J1451" i="1"/>
  <c r="J1450" i="1"/>
  <c r="J1449" i="1"/>
  <c r="J1448" i="1"/>
  <c r="J1447" i="1"/>
  <c r="J1446" i="1"/>
  <c r="J1444" i="1"/>
  <c r="J1443" i="1"/>
  <c r="J1442" i="1"/>
  <c r="J1441" i="1"/>
  <c r="J1440" i="1"/>
  <c r="J1439" i="1"/>
  <c r="J1438" i="1"/>
  <c r="J1437" i="1"/>
  <c r="J1436" i="1"/>
  <c r="J1434" i="1"/>
  <c r="J1433" i="1"/>
  <c r="J1432" i="1"/>
  <c r="J1431" i="1"/>
  <c r="J1430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5" i="1"/>
  <c r="J1414" i="1"/>
  <c r="J1413" i="1"/>
  <c r="J1412" i="1"/>
  <c r="J1411" i="1"/>
  <c r="J1410" i="1"/>
  <c r="J1409" i="1"/>
  <c r="J1408" i="1"/>
  <c r="J1407" i="1"/>
  <c r="J1405" i="1"/>
  <c r="J1404" i="1"/>
  <c r="J1403" i="1"/>
  <c r="J1402" i="1"/>
  <c r="J1401" i="1"/>
  <c r="J1400" i="1"/>
  <c r="J1399" i="1"/>
  <c r="J1398" i="1"/>
  <c r="J1397" i="1"/>
  <c r="J1396" i="1"/>
  <c r="J1395" i="1"/>
  <c r="J1393" i="1"/>
  <c r="J1392" i="1"/>
  <c r="J1391" i="1"/>
  <c r="J1390" i="1"/>
  <c r="J1389" i="1"/>
  <c r="J1388" i="1"/>
  <c r="J1387" i="1"/>
  <c r="J1386" i="1"/>
  <c r="J1385" i="1"/>
  <c r="J1383" i="1"/>
  <c r="J1382" i="1"/>
  <c r="J1381" i="1"/>
  <c r="J1380" i="1"/>
  <c r="J1379" i="1"/>
  <c r="J1378" i="1"/>
  <c r="J1377" i="1"/>
  <c r="J1376" i="1"/>
  <c r="J1375" i="1"/>
  <c r="J1374" i="1"/>
  <c r="J1372" i="1"/>
  <c r="J1371" i="1"/>
  <c r="J1370" i="1"/>
  <c r="J1369" i="1"/>
  <c r="J1368" i="1"/>
  <c r="J1367" i="1"/>
  <c r="J1366" i="1"/>
  <c r="J1365" i="1"/>
  <c r="J1364" i="1"/>
  <c r="J1363" i="1"/>
  <c r="J1361" i="1"/>
  <c r="J1360" i="1"/>
  <c r="J1359" i="1"/>
  <c r="J1358" i="1"/>
  <c r="J1357" i="1"/>
  <c r="J1356" i="1"/>
  <c r="J1355" i="1"/>
  <c r="J1354" i="1"/>
  <c r="J1352" i="1"/>
  <c r="J1351" i="1"/>
  <c r="J1350" i="1"/>
  <c r="J1349" i="1"/>
  <c r="J1348" i="1"/>
  <c r="J1347" i="1"/>
  <c r="J1346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1" i="1"/>
  <c r="J1330" i="1"/>
  <c r="J1329" i="1"/>
  <c r="J1328" i="1"/>
  <c r="J1327" i="1"/>
  <c r="J1326" i="1"/>
  <c r="J1324" i="1"/>
  <c r="J1323" i="1"/>
  <c r="J1322" i="1"/>
  <c r="J1321" i="1"/>
  <c r="J1320" i="1"/>
  <c r="J1319" i="1"/>
  <c r="J1317" i="1"/>
  <c r="J1316" i="1"/>
  <c r="J1315" i="1"/>
  <c r="J1314" i="1"/>
  <c r="J1313" i="1"/>
  <c r="J1311" i="1"/>
  <c r="J1310" i="1"/>
  <c r="J1309" i="1"/>
  <c r="J1308" i="1"/>
  <c r="J1307" i="1"/>
  <c r="J1306" i="1"/>
  <c r="J1305" i="1"/>
  <c r="J1304" i="1"/>
  <c r="J1303" i="1"/>
  <c r="J1301" i="1"/>
  <c r="J1300" i="1"/>
  <c r="J1299" i="1"/>
  <c r="J1298" i="1"/>
  <c r="J1297" i="1"/>
  <c r="J1296" i="1"/>
  <c r="J1295" i="1"/>
  <c r="J1293" i="1"/>
  <c r="J1292" i="1"/>
  <c r="J1291" i="1"/>
  <c r="J1290" i="1"/>
  <c r="J1289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4" i="1"/>
  <c r="J1273" i="1"/>
  <c r="J1272" i="1"/>
  <c r="J1271" i="1"/>
  <c r="J1270" i="1"/>
  <c r="J1269" i="1"/>
  <c r="J1268" i="1"/>
  <c r="J1267" i="1"/>
  <c r="J1265" i="1"/>
  <c r="J1264" i="1"/>
  <c r="J1263" i="1"/>
  <c r="J1262" i="1"/>
  <c r="J1261" i="1"/>
  <c r="J1260" i="1"/>
  <c r="J1259" i="1"/>
  <c r="J1258" i="1"/>
  <c r="J1257" i="1"/>
  <c r="J1255" i="1"/>
  <c r="J1254" i="1"/>
  <c r="J1253" i="1"/>
  <c r="J1252" i="1"/>
  <c r="J1251" i="1"/>
  <c r="J1250" i="1"/>
  <c r="J1249" i="1"/>
  <c r="J1248" i="1"/>
  <c r="J1246" i="1"/>
  <c r="J1245" i="1"/>
  <c r="J1244" i="1"/>
  <c r="J1243" i="1"/>
  <c r="J1242" i="1"/>
  <c r="J1241" i="1"/>
  <c r="J1240" i="1"/>
  <c r="J1239" i="1"/>
  <c r="J1237" i="1"/>
  <c r="J1236" i="1"/>
  <c r="J1235" i="1"/>
  <c r="J1234" i="1"/>
  <c r="J1233" i="1"/>
  <c r="J1232" i="1"/>
  <c r="J1231" i="1"/>
  <c r="J1230" i="1"/>
  <c r="J1229" i="1"/>
  <c r="J1228" i="1"/>
  <c r="J1227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6" i="1"/>
  <c r="J1195" i="1"/>
  <c r="J1193" i="1"/>
  <c r="J1192" i="1"/>
  <c r="J1191" i="1"/>
  <c r="J1190" i="1"/>
  <c r="J1189" i="1"/>
  <c r="J1188" i="1"/>
  <c r="J1187" i="1"/>
  <c r="J1185" i="1"/>
  <c r="J1184" i="1"/>
  <c r="J1183" i="1"/>
  <c r="J1182" i="1"/>
  <c r="J1181" i="1"/>
  <c r="J1180" i="1"/>
  <c r="J1179" i="1"/>
  <c r="J1177" i="1"/>
  <c r="J1176" i="1"/>
  <c r="J1175" i="1"/>
  <c r="J1174" i="1"/>
  <c r="J1173" i="1"/>
  <c r="J1172" i="1"/>
  <c r="J1171" i="1"/>
  <c r="J1170" i="1"/>
  <c r="J1169" i="1"/>
  <c r="J1168" i="1"/>
  <c r="J1166" i="1"/>
  <c r="J1165" i="1"/>
  <c r="J1164" i="1"/>
  <c r="J1163" i="1"/>
  <c r="J1162" i="1"/>
  <c r="J1161" i="1"/>
  <c r="J1160" i="1"/>
  <c r="J1159" i="1"/>
  <c r="J1158" i="1"/>
  <c r="J1157" i="1"/>
  <c r="J1156" i="1"/>
  <c r="J1154" i="1"/>
  <c r="J1153" i="1"/>
  <c r="J1152" i="1"/>
  <c r="J1151" i="1"/>
  <c r="J1150" i="1"/>
  <c r="J1149" i="1"/>
  <c r="J1148" i="1"/>
  <c r="J1147" i="1"/>
  <c r="J1146" i="1"/>
  <c r="J1145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0" i="1"/>
  <c r="J1129" i="1"/>
  <c r="J1128" i="1"/>
  <c r="J1127" i="1"/>
  <c r="J1126" i="1"/>
  <c r="J1125" i="1"/>
  <c r="J1124" i="1"/>
  <c r="J1123" i="1"/>
  <c r="J1122" i="1"/>
  <c r="J1121" i="1"/>
  <c r="J1120" i="1"/>
  <c r="J1118" i="1"/>
  <c r="J1117" i="1"/>
  <c r="J1116" i="1"/>
  <c r="J1115" i="1"/>
  <c r="J1114" i="1"/>
  <c r="J1113" i="1"/>
  <c r="J1112" i="1"/>
  <c r="J1111" i="1"/>
  <c r="J1110" i="1"/>
  <c r="J1109" i="1"/>
  <c r="J1107" i="1"/>
  <c r="J1106" i="1"/>
  <c r="J1105" i="1"/>
  <c r="J1104" i="1"/>
  <c r="J1103" i="1"/>
  <c r="J1102" i="1"/>
  <c r="J1101" i="1"/>
  <c r="J1100" i="1"/>
  <c r="J1099" i="1"/>
  <c r="J1098" i="1"/>
  <c r="J1096" i="1"/>
  <c r="J1095" i="1"/>
  <c r="J1094" i="1"/>
  <c r="J1093" i="1"/>
  <c r="J1092" i="1"/>
  <c r="J1091" i="1"/>
  <c r="J1090" i="1"/>
  <c r="J1089" i="1"/>
  <c r="J1088" i="1"/>
  <c r="J1087" i="1"/>
  <c r="J1085" i="1"/>
  <c r="J1084" i="1"/>
  <c r="J1083" i="1"/>
  <c r="J1082" i="1"/>
  <c r="J1081" i="1"/>
  <c r="J1079" i="1"/>
  <c r="J1078" i="1"/>
  <c r="J1077" i="1"/>
  <c r="J1076" i="1"/>
  <c r="J1075" i="1"/>
  <c r="J1074" i="1"/>
  <c r="J1073" i="1"/>
  <c r="J1072" i="1"/>
  <c r="J1071" i="1"/>
  <c r="J1070" i="1"/>
  <c r="J1068" i="1"/>
  <c r="J1067" i="1"/>
  <c r="J1066" i="1"/>
  <c r="J1065" i="1"/>
  <c r="J1064" i="1"/>
  <c r="J1063" i="1"/>
  <c r="J1062" i="1"/>
  <c r="J1061" i="1"/>
  <c r="J1059" i="1"/>
  <c r="J1058" i="1"/>
  <c r="J1057" i="1"/>
  <c r="J1056" i="1"/>
  <c r="J1055" i="1"/>
  <c r="J1054" i="1"/>
  <c r="J1053" i="1"/>
  <c r="J1052" i="1"/>
  <c r="J1050" i="1"/>
  <c r="J1049" i="1"/>
  <c r="J1048" i="1"/>
  <c r="J1047" i="1"/>
  <c r="J1046" i="1"/>
  <c r="J1045" i="1"/>
  <c r="J1044" i="1"/>
  <c r="J1043" i="1"/>
  <c r="J1042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7" i="1"/>
  <c r="J1026" i="1"/>
  <c r="J1025" i="1"/>
  <c r="J1024" i="1"/>
  <c r="J1023" i="1"/>
  <c r="J1022" i="1"/>
  <c r="J1021" i="1"/>
  <c r="J1020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4" i="1"/>
  <c r="J1003" i="1"/>
  <c r="J1002" i="1"/>
  <c r="J1001" i="1"/>
  <c r="J1000" i="1"/>
  <c r="J999" i="1"/>
  <c r="J998" i="1"/>
  <c r="J997" i="1"/>
  <c r="J996" i="1"/>
  <c r="J995" i="1"/>
  <c r="J993" i="1"/>
  <c r="J992" i="1"/>
  <c r="J991" i="1"/>
  <c r="J990" i="1"/>
  <c r="J989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59" i="1"/>
  <c r="J958" i="1"/>
  <c r="J957" i="1"/>
  <c r="J956" i="1"/>
  <c r="J955" i="1"/>
  <c r="J954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39" i="1"/>
  <c r="J938" i="1"/>
  <c r="J937" i="1"/>
  <c r="J936" i="1"/>
  <c r="J935" i="1"/>
  <c r="J934" i="1"/>
  <c r="J933" i="1"/>
  <c r="J932" i="1"/>
  <c r="J931" i="1"/>
  <c r="J930" i="1"/>
  <c r="J928" i="1"/>
  <c r="J927" i="1"/>
  <c r="J926" i="1"/>
  <c r="J925" i="1"/>
  <c r="J924" i="1"/>
  <c r="J923" i="1"/>
  <c r="J922" i="1"/>
  <c r="J920" i="1"/>
  <c r="J919" i="1"/>
  <c r="J918" i="1"/>
  <c r="J917" i="1"/>
  <c r="J916" i="1"/>
  <c r="J915" i="1"/>
  <c r="J914" i="1"/>
  <c r="J913" i="1"/>
  <c r="J911" i="1"/>
  <c r="J910" i="1"/>
  <c r="J909" i="1"/>
  <c r="J908" i="1"/>
  <c r="J907" i="1"/>
  <c r="J906" i="1"/>
  <c r="J905" i="1"/>
  <c r="J904" i="1"/>
  <c r="J903" i="1"/>
  <c r="J902" i="1"/>
  <c r="J900" i="1"/>
  <c r="J899" i="1"/>
  <c r="J898" i="1"/>
  <c r="J897" i="1"/>
  <c r="J896" i="1"/>
  <c r="J895" i="1"/>
  <c r="J894" i="1"/>
  <c r="J893" i="1"/>
  <c r="J892" i="1"/>
  <c r="J890" i="1"/>
  <c r="J889" i="1"/>
  <c r="J888" i="1"/>
  <c r="J887" i="1"/>
  <c r="J886" i="1"/>
  <c r="J885" i="1"/>
  <c r="J883" i="1"/>
  <c r="J882" i="1"/>
  <c r="J881" i="1"/>
  <c r="J880" i="1"/>
  <c r="J879" i="1"/>
  <c r="J878" i="1"/>
  <c r="J877" i="1"/>
  <c r="J876" i="1"/>
  <c r="J875" i="1"/>
  <c r="J874" i="1"/>
  <c r="J873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6" i="1"/>
  <c r="J855" i="1"/>
  <c r="J854" i="1"/>
  <c r="J853" i="1"/>
  <c r="J852" i="1"/>
  <c r="J851" i="1"/>
  <c r="J850" i="1"/>
  <c r="J849" i="1"/>
  <c r="J848" i="1"/>
  <c r="J847" i="1"/>
  <c r="J846" i="1"/>
  <c r="J844" i="1"/>
  <c r="J843" i="1"/>
  <c r="J842" i="1"/>
  <c r="J841" i="1"/>
  <c r="J840" i="1"/>
  <c r="J838" i="1"/>
  <c r="J837" i="1"/>
  <c r="J836" i="1"/>
  <c r="J835" i="1"/>
  <c r="J834" i="1"/>
  <c r="J832" i="1"/>
  <c r="J831" i="1"/>
  <c r="J830" i="1"/>
  <c r="J829" i="1"/>
  <c r="J828" i="1"/>
  <c r="J827" i="1"/>
  <c r="J826" i="1"/>
  <c r="J825" i="1"/>
  <c r="J824" i="1"/>
  <c r="J822" i="1"/>
  <c r="J821" i="1"/>
  <c r="J820" i="1"/>
  <c r="J819" i="1"/>
  <c r="J818" i="1"/>
  <c r="J817" i="1"/>
  <c r="J816" i="1"/>
  <c r="J815" i="1"/>
  <c r="J814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5" i="1"/>
  <c r="J754" i="1"/>
  <c r="J753" i="1"/>
  <c r="J752" i="1"/>
  <c r="J751" i="1"/>
  <c r="J750" i="1"/>
  <c r="J749" i="1"/>
  <c r="J748" i="1"/>
  <c r="J747" i="1"/>
  <c r="J746" i="1"/>
  <c r="J744" i="1"/>
  <c r="J743" i="1"/>
  <c r="J742" i="1"/>
  <c r="J741" i="1"/>
  <c r="J740" i="1"/>
  <c r="J739" i="1"/>
  <c r="J738" i="1"/>
  <c r="J737" i="1"/>
  <c r="J736" i="1"/>
  <c r="J735" i="1"/>
  <c r="J733" i="1"/>
  <c r="J732" i="1"/>
  <c r="J731" i="1"/>
  <c r="J730" i="1"/>
  <c r="J729" i="1"/>
  <c r="J728" i="1"/>
  <c r="J727" i="1"/>
  <c r="J726" i="1"/>
  <c r="J724" i="1"/>
  <c r="J723" i="1"/>
  <c r="J722" i="1"/>
  <c r="J721" i="1"/>
  <c r="J720" i="1"/>
  <c r="J719" i="1"/>
  <c r="J718" i="1"/>
  <c r="J717" i="1"/>
  <c r="J716" i="1"/>
  <c r="J715" i="1"/>
  <c r="J714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7" i="1"/>
  <c r="J606" i="1"/>
  <c r="J605" i="1"/>
  <c r="J604" i="1"/>
  <c r="J603" i="1"/>
  <c r="J602" i="1"/>
  <c r="J601" i="1"/>
  <c r="J600" i="1"/>
  <c r="J599" i="1"/>
  <c r="J598" i="1"/>
  <c r="J597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39" i="1"/>
  <c r="J138" i="1"/>
  <c r="J137" i="1"/>
  <c r="J136" i="1"/>
  <c r="J133" i="1"/>
  <c r="J132" i="1"/>
  <c r="J131" i="1"/>
  <c r="J130" i="1"/>
  <c r="J129" i="1"/>
  <c r="J128" i="1"/>
  <c r="J127" i="1"/>
  <c r="J126" i="1"/>
  <c r="J125" i="1"/>
  <c r="J123" i="1"/>
  <c r="J122" i="1"/>
  <c r="J121" i="1"/>
  <c r="J120" i="1"/>
  <c r="J119" i="1"/>
  <c r="J118" i="1"/>
  <c r="J117" i="1"/>
  <c r="J116" i="1"/>
  <c r="J115" i="1"/>
  <c r="J114" i="1"/>
  <c r="J112" i="1"/>
  <c r="J111" i="1"/>
  <c r="J110" i="1"/>
  <c r="J109" i="1"/>
  <c r="J108" i="1"/>
  <c r="J107" i="1"/>
  <c r="J106" i="1"/>
  <c r="J105" i="1"/>
  <c r="J104" i="1"/>
  <c r="J102" i="1"/>
  <c r="J101" i="1"/>
  <c r="J100" i="1"/>
  <c r="J99" i="1"/>
  <c r="J98" i="1"/>
  <c r="J97" i="1"/>
  <c r="J96" i="1"/>
  <c r="J95" i="1"/>
  <c r="J94" i="1"/>
  <c r="J93" i="1"/>
  <c r="J91" i="1"/>
  <c r="J90" i="1"/>
  <c r="J89" i="1"/>
  <c r="J88" i="1"/>
  <c r="J87" i="1"/>
  <c r="J86" i="1"/>
  <c r="J85" i="1"/>
  <c r="J84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8" i="1"/>
  <c r="J67" i="1"/>
  <c r="J66" i="1"/>
  <c r="J65" i="1"/>
  <c r="J64" i="1"/>
  <c r="J63" i="1"/>
  <c r="J62" i="1"/>
  <c r="J61" i="1"/>
  <c r="J59" i="1"/>
  <c r="J58" i="1"/>
  <c r="J57" i="1"/>
  <c r="J56" i="1"/>
  <c r="J55" i="1"/>
  <c r="J54" i="1"/>
  <c r="J53" i="1"/>
  <c r="J52" i="1"/>
  <c r="J51" i="1"/>
  <c r="J49" i="1"/>
  <c r="J48" i="1"/>
  <c r="J47" i="1"/>
  <c r="J46" i="1"/>
  <c r="J44" i="1"/>
  <c r="J43" i="1"/>
  <c r="J42" i="1"/>
  <c r="J41" i="1"/>
  <c r="J40" i="1"/>
  <c r="J39" i="1"/>
  <c r="J38" i="1"/>
  <c r="J37" i="1"/>
  <c r="J36" i="1"/>
  <c r="J35" i="1"/>
  <c r="J34" i="1"/>
  <c r="J32" i="1"/>
  <c r="J31" i="1"/>
  <c r="J30" i="1"/>
  <c r="J29" i="1"/>
  <c r="J28" i="1"/>
  <c r="J27" i="1"/>
  <c r="J26" i="1"/>
  <c r="J25" i="1"/>
  <c r="J24" i="1"/>
  <c r="J23" i="1"/>
  <c r="J22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4" i="1"/>
  <c r="J3" i="1"/>
  <c r="J2" i="1"/>
  <c r="J3775" i="1"/>
  <c r="J3776" i="1" s="1"/>
  <c r="H3787" i="3" l="1"/>
  <c r="J416" i="1"/>
  <c r="J549" i="1"/>
  <c r="J608" i="1"/>
  <c r="J884" i="1"/>
  <c r="J1019" i="1"/>
  <c r="J1167" i="1"/>
  <c r="J1238" i="1"/>
  <c r="J1294" i="1"/>
  <c r="J1332" i="1"/>
  <c r="J1520" i="1"/>
  <c r="J1685" i="1"/>
  <c r="J1985" i="1"/>
  <c r="J2275" i="1"/>
  <c r="J2306" i="1"/>
  <c r="J2315" i="1"/>
  <c r="J2324" i="1"/>
  <c r="J2337" i="1"/>
  <c r="J2401" i="1"/>
  <c r="J2524" i="1"/>
  <c r="J2654" i="1"/>
  <c r="J2841" i="1"/>
  <c r="J3129" i="1"/>
  <c r="J3333" i="1"/>
  <c r="J3366" i="1"/>
  <c r="J3461" i="1"/>
  <c r="J3551" i="1"/>
  <c r="J3659" i="1"/>
  <c r="J2733" i="1"/>
  <c r="J2902" i="1"/>
  <c r="J3281" i="1"/>
  <c r="J1197" i="1"/>
  <c r="J1532" i="1"/>
  <c r="J3768" i="1"/>
  <c r="J960" i="1"/>
  <c r="J994" i="1"/>
  <c r="J1827" i="1"/>
  <c r="J1972" i="1"/>
  <c r="J2512" i="1"/>
  <c r="J2553" i="1"/>
  <c r="J2638" i="1"/>
  <c r="J2848" i="1"/>
  <c r="J2971" i="1"/>
  <c r="J3114" i="1"/>
  <c r="J3353" i="1"/>
  <c r="J50" i="1"/>
  <c r="J845" i="1"/>
  <c r="J1325" i="1"/>
  <c r="J2215" i="1"/>
  <c r="J3318" i="1"/>
  <c r="J3537" i="1"/>
  <c r="J3572" i="1"/>
  <c r="J3774" i="1"/>
  <c r="J182" i="1"/>
  <c r="J135" i="1"/>
  <c r="J901" i="1"/>
  <c r="J1051" i="1"/>
  <c r="J1362" i="1"/>
  <c r="J1416" i="1"/>
  <c r="J1614" i="1"/>
  <c r="J1665" i="1"/>
  <c r="J1712" i="1"/>
  <c r="J1745" i="1"/>
  <c r="J1903" i="1"/>
  <c r="J1964" i="1"/>
  <c r="J2074" i="1"/>
  <c r="J2150" i="1"/>
  <c r="J2504" i="1"/>
  <c r="J2549" i="1"/>
  <c r="J2630" i="1"/>
  <c r="J2729" i="1"/>
  <c r="J2806" i="1"/>
  <c r="J3222" i="1"/>
  <c r="J3595" i="1"/>
  <c r="J291" i="1"/>
  <c r="J734" i="1"/>
  <c r="J785" i="1"/>
  <c r="J872" i="1"/>
  <c r="J912" i="1"/>
  <c r="J1060" i="1"/>
  <c r="J1080" i="1"/>
  <c r="J1647" i="1"/>
  <c r="J1799" i="1"/>
  <c r="J1846" i="1"/>
  <c r="J646" i="1"/>
  <c r="J799" i="1"/>
  <c r="J1097" i="1"/>
  <c r="J1373" i="1"/>
  <c r="J1569" i="1"/>
  <c r="J1762" i="1"/>
  <c r="J1869" i="1"/>
  <c r="J2022" i="1"/>
  <c r="J2047" i="1"/>
  <c r="J2495" i="1"/>
  <c r="J2587" i="1"/>
  <c r="J2621" i="1"/>
  <c r="J2705" i="1"/>
  <c r="J2818" i="1"/>
  <c r="J3059" i="1"/>
  <c r="J3211" i="1"/>
  <c r="J3530" i="1"/>
  <c r="J3682" i="1"/>
  <c r="J5" i="1"/>
  <c r="J141" i="1"/>
  <c r="J745" i="1"/>
  <c r="J1069" i="1"/>
  <c r="J1144" i="1"/>
  <c r="J1226" i="1"/>
  <c r="J1353" i="1"/>
  <c r="J1429" i="1"/>
  <c r="J1511" i="1"/>
  <c r="J45" i="1"/>
  <c r="J69" i="1"/>
  <c r="J83" i="1"/>
  <c r="J124" i="1"/>
  <c r="J1955" i="1"/>
  <c r="J2108" i="1"/>
  <c r="J2162" i="1"/>
  <c r="J2263" i="1"/>
  <c r="J2691" i="1"/>
  <c r="J2949" i="1"/>
  <c r="J3434" i="1"/>
  <c r="J3474" i="1"/>
  <c r="J331" i="1"/>
  <c r="J400" i="1"/>
  <c r="J575" i="1"/>
  <c r="J1108" i="1"/>
  <c r="J1178" i="1"/>
  <c r="J1256" i="1"/>
  <c r="J1483" i="1"/>
  <c r="J1679" i="1"/>
  <c r="J1780" i="1"/>
  <c r="J2140" i="1"/>
  <c r="J2289" i="1"/>
  <c r="J2357" i="1"/>
  <c r="J2396" i="1"/>
  <c r="J2446" i="1"/>
  <c r="J2534" i="1"/>
  <c r="J3084" i="1"/>
  <c r="J3458" i="1"/>
  <c r="J3615" i="1"/>
  <c r="J3694" i="1"/>
  <c r="J92" i="1"/>
  <c r="J255" i="1"/>
  <c r="J596" i="1"/>
  <c r="J833" i="1"/>
  <c r="J929" i="1"/>
  <c r="J988" i="1"/>
  <c r="J1086" i="1"/>
  <c r="J1194" i="1"/>
  <c r="J1275" i="1"/>
  <c r="J1312" i="1"/>
  <c r="J1456" i="1"/>
  <c r="J1751" i="1"/>
  <c r="J2008" i="1"/>
  <c r="J2235" i="1"/>
  <c r="J2373" i="1"/>
  <c r="J2421" i="1"/>
  <c r="J2565" i="1"/>
  <c r="J2612" i="1"/>
  <c r="J3378" i="1"/>
  <c r="J3603" i="1"/>
  <c r="J21" i="1"/>
  <c r="J839" i="1"/>
  <c r="J953" i="1"/>
  <c r="J1028" i="1"/>
  <c r="J1041" i="1"/>
  <c r="J1119" i="1"/>
  <c r="J1186" i="1"/>
  <c r="J1211" i="1"/>
  <c r="J1302" i="1"/>
  <c r="J1318" i="1"/>
  <c r="J1394" i="1"/>
  <c r="J1496" i="1"/>
  <c r="J1557" i="1"/>
  <c r="J1588" i="1"/>
  <c r="J1601" i="1"/>
  <c r="J1624" i="1"/>
  <c r="J1698" i="1"/>
  <c r="J1833" i="1"/>
  <c r="J1935" i="1"/>
  <c r="J2060" i="1"/>
  <c r="J2117" i="1"/>
  <c r="J2126" i="1"/>
  <c r="J2133" i="1"/>
  <c r="J2168" i="1"/>
  <c r="J2200" i="1"/>
  <c r="J2457" i="1"/>
  <c r="J2760" i="1"/>
  <c r="J2797" i="1"/>
  <c r="J3025" i="1"/>
  <c r="J3091" i="1"/>
  <c r="J3172" i="1"/>
  <c r="J3188" i="1"/>
  <c r="J3242" i="1"/>
  <c r="J3252" i="1"/>
  <c r="J3311" i="1"/>
  <c r="J3557" i="1"/>
  <c r="J3717" i="1"/>
  <c r="J3744" i="1"/>
  <c r="J1914" i="1"/>
  <c r="J2178" i="1"/>
  <c r="J2480" i="1"/>
  <c r="J2598" i="1"/>
  <c r="J2965" i="1"/>
  <c r="J3045" i="1"/>
  <c r="J3163" i="1"/>
  <c r="J3425" i="1"/>
  <c r="J3444" i="1"/>
  <c r="J3566" i="1"/>
  <c r="J211" i="1"/>
  <c r="J310" i="1"/>
  <c r="J383" i="1"/>
  <c r="J486" i="1"/>
  <c r="J623" i="1"/>
  <c r="J823" i="1"/>
  <c r="J891" i="1"/>
  <c r="J940" i="1"/>
  <c r="J1247" i="1"/>
  <c r="J1266" i="1"/>
  <c r="J1384" i="1"/>
  <c r="J1445" i="1"/>
  <c r="J1545" i="1"/>
  <c r="J1654" i="1"/>
  <c r="J1771" i="1"/>
  <c r="J1788" i="1"/>
  <c r="J1882" i="1"/>
  <c r="J2189" i="1"/>
  <c r="J2390" i="1"/>
  <c r="J2925" i="1"/>
  <c r="J2998" i="1"/>
  <c r="J3106" i="1"/>
  <c r="J3233" i="1"/>
  <c r="J3501" i="1"/>
  <c r="J3652" i="1"/>
  <c r="J3728" i="1"/>
  <c r="J33" i="1"/>
  <c r="J103" i="1"/>
  <c r="J756" i="1"/>
  <c r="J921" i="1"/>
  <c r="J1288" i="1"/>
  <c r="J1579" i="1"/>
  <c r="J1810" i="1"/>
  <c r="J1924" i="1"/>
  <c r="J1994" i="1"/>
  <c r="J2224" i="1"/>
  <c r="J2345" i="1"/>
  <c r="J2381" i="1"/>
  <c r="J2410" i="1"/>
  <c r="J2486" i="1"/>
  <c r="J2540" i="1"/>
  <c r="J2577" i="1"/>
  <c r="J2831" i="1"/>
  <c r="J2940" i="1"/>
  <c r="J3202" i="1"/>
  <c r="J3757" i="1"/>
  <c r="J60" i="1"/>
  <c r="J113" i="1"/>
  <c r="J161" i="1"/>
  <c r="J227" i="1"/>
  <c r="J270" i="1"/>
  <c r="J351" i="1"/>
  <c r="J443" i="1"/>
  <c r="J465" i="1"/>
  <c r="J529" i="1"/>
  <c r="J713" i="1"/>
  <c r="J769" i="1"/>
  <c r="J813" i="1"/>
  <c r="J1005" i="1"/>
  <c r="J1155" i="1"/>
  <c r="J1345" i="1"/>
  <c r="J1406" i="1"/>
  <c r="J1435" i="1"/>
  <c r="J1470" i="1"/>
  <c r="J1637" i="1"/>
  <c r="J1721" i="1"/>
  <c r="J1733" i="1"/>
  <c r="J1822" i="1"/>
  <c r="J1858" i="1"/>
  <c r="J2034" i="1"/>
  <c r="J2084" i="1"/>
  <c r="J2248" i="1"/>
  <c r="J2364" i="1"/>
  <c r="J2435" i="1"/>
  <c r="J2675" i="1"/>
  <c r="J2717" i="1"/>
  <c r="J2749" i="1"/>
  <c r="J2875" i="1"/>
  <c r="J2985" i="1"/>
  <c r="J3073" i="1"/>
  <c r="J3138" i="1"/>
  <c r="J3151" i="1"/>
  <c r="J3262" i="1"/>
  <c r="J3345" i="1"/>
  <c r="J3404" i="1"/>
  <c r="J3488" i="1"/>
  <c r="J3625" i="1"/>
  <c r="J3671" i="1"/>
  <c r="J3702" i="1"/>
  <c r="J365" i="1"/>
  <c r="J510" i="1"/>
  <c r="J671" i="1"/>
  <c r="J695" i="1"/>
  <c r="J725" i="1"/>
  <c r="J857" i="1"/>
  <c r="J974" i="1"/>
  <c r="J1131" i="1"/>
  <c r="J1490" i="1"/>
  <c r="J1552" i="1"/>
  <c r="J1893" i="1"/>
  <c r="J1947" i="1"/>
  <c r="J2096" i="1"/>
  <c r="J2212" i="1"/>
  <c r="J2469" i="1"/>
  <c r="J2571" i="1"/>
  <c r="J2662" i="1"/>
  <c r="J2741" i="1"/>
  <c r="J2769" i="1"/>
  <c r="J2784" i="1"/>
  <c r="J2857" i="1"/>
  <c r="J2865" i="1"/>
  <c r="J2884" i="1"/>
  <c r="J2898" i="1"/>
  <c r="J2915" i="1"/>
  <c r="J3007" i="1"/>
  <c r="J3014" i="1"/>
  <c r="J3037" i="1"/>
  <c r="J3271" i="1"/>
  <c r="J3277" i="1"/>
  <c r="J3290" i="1"/>
  <c r="J3297" i="1"/>
  <c r="J3386" i="1"/>
  <c r="J3416" i="1"/>
  <c r="J3512" i="1"/>
  <c r="J3583" i="1"/>
  <c r="J3638" i="1"/>
  <c r="J3777" i="1" l="1"/>
</calcChain>
</file>

<file path=xl/sharedStrings.xml><?xml version="1.0" encoding="utf-8"?>
<sst xmlns="http://schemas.openxmlformats.org/spreadsheetml/2006/main" count="35651" uniqueCount="413">
  <si>
    <t>Дата</t>
  </si>
  <si>
    <t>Заказчик</t>
  </si>
  <si>
    <t>Город</t>
  </si>
  <si>
    <t>Категория товара</t>
  </si>
  <si>
    <t>Товар</t>
  </si>
  <si>
    <t>Цена за упаковку</t>
  </si>
  <si>
    <t>Количество</t>
  </si>
  <si>
    <t>Итого</t>
  </si>
  <si>
    <t>Виталюр</t>
  </si>
  <si>
    <t>Борисов</t>
  </si>
  <si>
    <t>Зелень</t>
  </si>
  <si>
    <t>Лук зеленый</t>
  </si>
  <si>
    <t>Соседи</t>
  </si>
  <si>
    <t>Фрукты</t>
  </si>
  <si>
    <t>Абрикосы</t>
  </si>
  <si>
    <t>Минск</t>
  </si>
  <si>
    <t>Салат айсберг</t>
  </si>
  <si>
    <t>Евроопт</t>
  </si>
  <si>
    <t>Овощи</t>
  </si>
  <si>
    <t>Кабачки</t>
  </si>
  <si>
    <t>Барановичи</t>
  </si>
  <si>
    <t>Свекла</t>
  </si>
  <si>
    <t>Сливы</t>
  </si>
  <si>
    <t>Петрушка</t>
  </si>
  <si>
    <t>Ягоды</t>
  </si>
  <si>
    <t>Черешня</t>
  </si>
  <si>
    <t>Жодино</t>
  </si>
  <si>
    <t>Капуста</t>
  </si>
  <si>
    <t>Картофель</t>
  </si>
  <si>
    <t>Яблоки</t>
  </si>
  <si>
    <t>Малина</t>
  </si>
  <si>
    <t>Морковь</t>
  </si>
  <si>
    <t>Смородина черная</t>
  </si>
  <si>
    <t>Столбцы</t>
  </si>
  <si>
    <t>Брусника</t>
  </si>
  <si>
    <t>Фаниполь</t>
  </si>
  <si>
    <t>Клубника</t>
  </si>
  <si>
    <t>Баклажаны</t>
  </si>
  <si>
    <t>Бананы</t>
  </si>
  <si>
    <t>Кинза</t>
  </si>
  <si>
    <t>Салат римский</t>
  </si>
  <si>
    <t>Укроп</t>
  </si>
  <si>
    <t>Голубика</t>
  </si>
  <si>
    <t>Груши</t>
  </si>
  <si>
    <t>Апельсины</t>
  </si>
  <si>
    <t>Копеечка</t>
  </si>
  <si>
    <t>Санта</t>
  </si>
  <si>
    <t>02.02.2023 Итог</t>
  </si>
  <si>
    <t>03.02.2023 Итог</t>
  </si>
  <si>
    <t>04.02.2023 Итог</t>
  </si>
  <si>
    <t>05.02.2023 Итог</t>
  </si>
  <si>
    <t>06.02.2023 Итог</t>
  </si>
  <si>
    <t>07.02.2023 Итог</t>
  </si>
  <si>
    <t>08.02.2023 Итог</t>
  </si>
  <si>
    <t>09.02.2023 Итог</t>
  </si>
  <si>
    <t>10.02.2023 Итог</t>
  </si>
  <si>
    <t>11.02.2023 Итог</t>
  </si>
  <si>
    <t>12.02.2023 Итог</t>
  </si>
  <si>
    <t>13.02.2023 Итог</t>
  </si>
  <si>
    <t>14.02.2023 Итог</t>
  </si>
  <si>
    <t>15.02.2023 Итог</t>
  </si>
  <si>
    <t>16.02.2023 Итог</t>
  </si>
  <si>
    <t>17.02.2023 Итог</t>
  </si>
  <si>
    <t>18.02.2023 Итог</t>
  </si>
  <si>
    <t>19.02.2023 Итог</t>
  </si>
  <si>
    <t>20.02.2023 Итог</t>
  </si>
  <si>
    <t>21.02.2023 Итог</t>
  </si>
  <si>
    <t>22.02.2023 Итог</t>
  </si>
  <si>
    <t>23.02.2023 Итог</t>
  </si>
  <si>
    <t>24.02.2023 Итог</t>
  </si>
  <si>
    <t>25.02.2023 Итог</t>
  </si>
  <si>
    <t>26.02.2023 Итог</t>
  </si>
  <si>
    <t>27.02.2023 Итог</t>
  </si>
  <si>
    <t>28.02.2023 Итог</t>
  </si>
  <si>
    <t>01.03.2023 Итог</t>
  </si>
  <si>
    <t>02.03.2023 Итог</t>
  </si>
  <si>
    <t>03.03.2023 Итог</t>
  </si>
  <si>
    <t>04.03.2023 Итог</t>
  </si>
  <si>
    <t>05.03.2023 Итог</t>
  </si>
  <si>
    <t>06.03.2023 Итог</t>
  </si>
  <si>
    <t>07.03.2023 Итог</t>
  </si>
  <si>
    <t>08.03.2023 Итог</t>
  </si>
  <si>
    <t>09.03.2023 Итог</t>
  </si>
  <si>
    <t>10.03.2023 Итог</t>
  </si>
  <si>
    <t>11.03.2023 Итог</t>
  </si>
  <si>
    <t>12.03.2023 Итог</t>
  </si>
  <si>
    <t>13.03.2023 Итог</t>
  </si>
  <si>
    <t>14.03.2023 Итог</t>
  </si>
  <si>
    <t>15.03.2023 Итог</t>
  </si>
  <si>
    <t>16.03.2023 Итог</t>
  </si>
  <si>
    <t>17.03.2023 Итог</t>
  </si>
  <si>
    <t>18.03.2023 Итог</t>
  </si>
  <si>
    <t>19.03.2023 Итог</t>
  </si>
  <si>
    <t>20.03.2023 Итог</t>
  </si>
  <si>
    <t>21.03.2023 Итог</t>
  </si>
  <si>
    <t>22.03.2023 Итог</t>
  </si>
  <si>
    <t>23.03.2023 Итог</t>
  </si>
  <si>
    <t>24.03.2023 Итог</t>
  </si>
  <si>
    <t>25.03.2023 Итог</t>
  </si>
  <si>
    <t>26.03.2023 Итог</t>
  </si>
  <si>
    <t>27.03.2023 Итог</t>
  </si>
  <si>
    <t>28.03.2023 Итог</t>
  </si>
  <si>
    <t>29.03.2023 Итог</t>
  </si>
  <si>
    <t>30.03.2023 Итог</t>
  </si>
  <si>
    <t>31.03.2023 Итог</t>
  </si>
  <si>
    <t>01.04.2023 Итог</t>
  </si>
  <si>
    <t>02.04.2023 Итог</t>
  </si>
  <si>
    <t>03.04.2023 Итог</t>
  </si>
  <si>
    <t>04.04.2023 Итог</t>
  </si>
  <si>
    <t>05.04.2023 Итог</t>
  </si>
  <si>
    <t>06.04.2023 Итог</t>
  </si>
  <si>
    <t>07.04.2023 Итог</t>
  </si>
  <si>
    <t>08.04.2023 Итог</t>
  </si>
  <si>
    <t>09.04.2023 Итог</t>
  </si>
  <si>
    <t>10.04.2023 Итог</t>
  </si>
  <si>
    <t>11.04.2023 Итог</t>
  </si>
  <si>
    <t>12.04.2023 Итог</t>
  </si>
  <si>
    <t>13.04.2023 Итог</t>
  </si>
  <si>
    <t>14.04.2023 Итог</t>
  </si>
  <si>
    <t>15.04.2023 Итог</t>
  </si>
  <si>
    <t>16.04.2023 Итог</t>
  </si>
  <si>
    <t>17.04.2023 Итог</t>
  </si>
  <si>
    <t>18.04.2023 Итог</t>
  </si>
  <si>
    <t>19.04.2023 Итог</t>
  </si>
  <si>
    <t>20.04.2023 Итог</t>
  </si>
  <si>
    <t>21.04.2023 Итог</t>
  </si>
  <si>
    <t>22.04.2023 Итог</t>
  </si>
  <si>
    <t>23.04.2023 Итог</t>
  </si>
  <si>
    <t>24.04.2023 Итог</t>
  </si>
  <si>
    <t>25.04.2023 Итог</t>
  </si>
  <si>
    <t>26.04.2023 Итог</t>
  </si>
  <si>
    <t>27.04.2023 Итог</t>
  </si>
  <si>
    <t>28.04.2023 Итог</t>
  </si>
  <si>
    <t>29.04.2023 Итог</t>
  </si>
  <si>
    <t>30.04.2023 Итог</t>
  </si>
  <si>
    <t>01.05.2023 Итог</t>
  </si>
  <si>
    <t>02.05.2023 Итог</t>
  </si>
  <si>
    <t>03.05.2023 Итог</t>
  </si>
  <si>
    <t>04.05.2023 Итог</t>
  </si>
  <si>
    <t>05.05.2023 Итог</t>
  </si>
  <si>
    <t>06.05.2023 Итог</t>
  </si>
  <si>
    <t>07.05.2023 Итог</t>
  </si>
  <si>
    <t>08.05.2023 Итог</t>
  </si>
  <si>
    <t>09.05.2023 Итог</t>
  </si>
  <si>
    <t>10.05.2023 Итог</t>
  </si>
  <si>
    <t>11.05.2023 Итог</t>
  </si>
  <si>
    <t>12.05.2023 Итог</t>
  </si>
  <si>
    <t>13.05.2023 Итог</t>
  </si>
  <si>
    <t>14.05.2023 Итог</t>
  </si>
  <si>
    <t>15.05.2023 Итог</t>
  </si>
  <si>
    <t>16.05.2023 Итог</t>
  </si>
  <si>
    <t>17.05.2023 Итог</t>
  </si>
  <si>
    <t>18.05.2023 Итог</t>
  </si>
  <si>
    <t>19.05.2023 Итог</t>
  </si>
  <si>
    <t>20.05.2023 Итог</t>
  </si>
  <si>
    <t>21.05.2023 Итог</t>
  </si>
  <si>
    <t>22.05.2023 Итог</t>
  </si>
  <si>
    <t>23.05.2023 Итог</t>
  </si>
  <si>
    <t>24.05.2023 Итог</t>
  </si>
  <si>
    <t>25.05.2023 Итог</t>
  </si>
  <si>
    <t>26.05.2023 Итог</t>
  </si>
  <si>
    <t>27.05.2023 Итог</t>
  </si>
  <si>
    <t>28.05.2023 Итог</t>
  </si>
  <si>
    <t>29.05.2023 Итог</t>
  </si>
  <si>
    <t>30.05.2023 Итог</t>
  </si>
  <si>
    <t>31.05.2023 Итог</t>
  </si>
  <si>
    <t>01.06.2023 Итог</t>
  </si>
  <si>
    <t>02.06.2023 Итог</t>
  </si>
  <si>
    <t>03.06.2023 Итог</t>
  </si>
  <si>
    <t>04.06.2023 Итог</t>
  </si>
  <si>
    <t>05.06.2023 Итог</t>
  </si>
  <si>
    <t>06.06.2023 Итог</t>
  </si>
  <si>
    <t>07.06.2023 Итог</t>
  </si>
  <si>
    <t>08.06.2023 Итог</t>
  </si>
  <si>
    <t>09.06.2023 Итог</t>
  </si>
  <si>
    <t>10.06.2023 Итог</t>
  </si>
  <si>
    <t>11.06.2023 Итог</t>
  </si>
  <si>
    <t>12.06.2023 Итог</t>
  </si>
  <si>
    <t>13.06.2023 Итог</t>
  </si>
  <si>
    <t>14.06.2023 Итог</t>
  </si>
  <si>
    <t>15.06.2023 Итог</t>
  </si>
  <si>
    <t>16.06.2023 Итог</t>
  </si>
  <si>
    <t>17.06.2023 Итог</t>
  </si>
  <si>
    <t>18.06.2023 Итог</t>
  </si>
  <si>
    <t>19.06.2023 Итог</t>
  </si>
  <si>
    <t>20.06.2023 Итог</t>
  </si>
  <si>
    <t>21.06.2023 Итог</t>
  </si>
  <si>
    <t>22.06.2023 Итог</t>
  </si>
  <si>
    <t>23.06.2023 Итог</t>
  </si>
  <si>
    <t>24.06.2023 Итог</t>
  </si>
  <si>
    <t>25.06.2023 Итог</t>
  </si>
  <si>
    <t>26.06.2023 Итог</t>
  </si>
  <si>
    <t>27.06.2023 Итог</t>
  </si>
  <si>
    <t>28.06.2023 Итог</t>
  </si>
  <si>
    <t>29.06.2023 Итог</t>
  </si>
  <si>
    <t>30.06.2023 Итог</t>
  </si>
  <si>
    <t>01.07.2023 Итог</t>
  </si>
  <si>
    <t>02.07.2023 Итог</t>
  </si>
  <si>
    <t>03.07.2023 Итог</t>
  </si>
  <si>
    <t>04.07.2023 Итог</t>
  </si>
  <si>
    <t>05.07.2023 Итог</t>
  </si>
  <si>
    <t>06.07.2023 Итог</t>
  </si>
  <si>
    <t>07.07.2023 Итог</t>
  </si>
  <si>
    <t>08.07.2023 Итог</t>
  </si>
  <si>
    <t>09.07.2023 Итог</t>
  </si>
  <si>
    <t>10.07.2023 Итог</t>
  </si>
  <si>
    <t>11.07.2023 Итог</t>
  </si>
  <si>
    <t>12.07.2023 Итог</t>
  </si>
  <si>
    <t>13.07.2023 Итог</t>
  </si>
  <si>
    <t>14.07.2023 Итог</t>
  </si>
  <si>
    <t>15.07.2023 Итог</t>
  </si>
  <si>
    <t>16.07.2023 Итог</t>
  </si>
  <si>
    <t>17.07.2023 Итог</t>
  </si>
  <si>
    <t>18.07.2023 Итог</t>
  </si>
  <si>
    <t>19.07.2023 Итог</t>
  </si>
  <si>
    <t>20.07.2023 Итог</t>
  </si>
  <si>
    <t>21.07.2023 Итог</t>
  </si>
  <si>
    <t>22.07.2023 Итог</t>
  </si>
  <si>
    <t>23.07.2023 Итог</t>
  </si>
  <si>
    <t>24.07.2023 Итог</t>
  </si>
  <si>
    <t>25.07.2023 Итог</t>
  </si>
  <si>
    <t>26.07.2023 Итог</t>
  </si>
  <si>
    <t>27.07.2023 Итог</t>
  </si>
  <si>
    <t>28.07.2023 Итог</t>
  </si>
  <si>
    <t>29.07.2023 Итог</t>
  </si>
  <si>
    <t>30.07.2023 Итог</t>
  </si>
  <si>
    <t>31.07.2023 Итог</t>
  </si>
  <si>
    <t>01.08.2023 Итог</t>
  </si>
  <si>
    <t>02.08.2023 Итог</t>
  </si>
  <si>
    <t>03.08.2023 Итог</t>
  </si>
  <si>
    <t>04.08.2023 Итог</t>
  </si>
  <si>
    <t>05.08.2023 Итог</t>
  </si>
  <si>
    <t>06.08.2023 Итог</t>
  </si>
  <si>
    <t>07.08.2023 Итог</t>
  </si>
  <si>
    <t>08.08.2023 Итог</t>
  </si>
  <si>
    <t>09.08.2023 Итог</t>
  </si>
  <si>
    <t>10.08.2023 Итог</t>
  </si>
  <si>
    <t>11.08.2023 Итог</t>
  </si>
  <si>
    <t>12.08.2023 Итог</t>
  </si>
  <si>
    <t>13.08.2023 Итог</t>
  </si>
  <si>
    <t>14.08.2023 Итог</t>
  </si>
  <si>
    <t>15.08.2023 Итог</t>
  </si>
  <si>
    <t>16.08.2023 Итог</t>
  </si>
  <si>
    <t>17.08.2023 Итог</t>
  </si>
  <si>
    <t>18.08.2023 Итог</t>
  </si>
  <si>
    <t>19.08.2023 Итог</t>
  </si>
  <si>
    <t>20.08.2023 Итог</t>
  </si>
  <si>
    <t>21.08.2023 Итог</t>
  </si>
  <si>
    <t>22.08.2023 Итог</t>
  </si>
  <si>
    <t>23.08.2023 Итог</t>
  </si>
  <si>
    <t>24.08.2023 Итог</t>
  </si>
  <si>
    <t>25.08.2023 Итог</t>
  </si>
  <si>
    <t>26.08.2023 Итог</t>
  </si>
  <si>
    <t>27.08.2023 Итог</t>
  </si>
  <si>
    <t>28.08.2023 Итог</t>
  </si>
  <si>
    <t>29.08.2023 Итог</t>
  </si>
  <si>
    <t>30.08.2023 Итог</t>
  </si>
  <si>
    <t>31.08.2023 Итог</t>
  </si>
  <si>
    <t>01.09.2023 Итог</t>
  </si>
  <si>
    <t>02.09.2023 Итог</t>
  </si>
  <si>
    <t>03.09.2023 Итог</t>
  </si>
  <si>
    <t>04.09.2023 Итог</t>
  </si>
  <si>
    <t>05.09.2023 Итог</t>
  </si>
  <si>
    <t>06.09.2023 Итог</t>
  </si>
  <si>
    <t>07.09.2023 Итог</t>
  </si>
  <si>
    <t>08.09.2023 Итог</t>
  </si>
  <si>
    <t>09.09.2023 Итог</t>
  </si>
  <si>
    <t>10.09.2023 Итог</t>
  </si>
  <si>
    <t>11.09.2023 Итог</t>
  </si>
  <si>
    <t>12.09.2023 Итог</t>
  </si>
  <si>
    <t>13.09.2023 Итог</t>
  </si>
  <si>
    <t>14.09.2023 Итог</t>
  </si>
  <si>
    <t>15.09.2023 Итог</t>
  </si>
  <si>
    <t>16.09.2023 Итог</t>
  </si>
  <si>
    <t>17.09.2023 Итог</t>
  </si>
  <si>
    <t>18.09.2023 Итог</t>
  </si>
  <si>
    <t>19.09.2023 Итог</t>
  </si>
  <si>
    <t>20.09.2023 Итог</t>
  </si>
  <si>
    <t>21.09.2023 Итог</t>
  </si>
  <si>
    <t>22.09.2023 Итог</t>
  </si>
  <si>
    <t>23.09.2023 Итог</t>
  </si>
  <si>
    <t>24.09.2023 Итог</t>
  </si>
  <si>
    <t>25.09.2023 Итог</t>
  </si>
  <si>
    <t>26.09.2023 Итог</t>
  </si>
  <si>
    <t>27.09.2023 Итог</t>
  </si>
  <si>
    <t>28.09.2023 Итог</t>
  </si>
  <si>
    <t>29.09.2023 Итог</t>
  </si>
  <si>
    <t>30.09.2023 Итог</t>
  </si>
  <si>
    <t>01.10.2023 Итог</t>
  </si>
  <si>
    <t>02.10.2023 Итог</t>
  </si>
  <si>
    <t>03.10.2023 Итог</t>
  </si>
  <si>
    <t>04.10.2023 Итог</t>
  </si>
  <si>
    <t>05.10.2023 Итог</t>
  </si>
  <si>
    <t>06.10.2023 Итог</t>
  </si>
  <si>
    <t>07.10.2023 Итог</t>
  </si>
  <si>
    <t>08.10.2023 Итог</t>
  </si>
  <si>
    <t>09.10.2023 Итог</t>
  </si>
  <si>
    <t>10.10.2023 Итог</t>
  </si>
  <si>
    <t>11.10.2023 Итог</t>
  </si>
  <si>
    <t>12.10.2023 Итог</t>
  </si>
  <si>
    <t>13.10.2023 Итог</t>
  </si>
  <si>
    <t>14.10.2023 Итог</t>
  </si>
  <si>
    <t>15.10.2023 Итог</t>
  </si>
  <si>
    <t>16.10.2023 Итог</t>
  </si>
  <si>
    <t>17.10.2023 Итог</t>
  </si>
  <si>
    <t>18.10.2023 Итог</t>
  </si>
  <si>
    <t>19.10.2023 Итог</t>
  </si>
  <si>
    <t>20.10.2023 Итог</t>
  </si>
  <si>
    <t>21.10.2023 Итог</t>
  </si>
  <si>
    <t>22.10.2023 Итог</t>
  </si>
  <si>
    <t>23.10.2023 Итог</t>
  </si>
  <si>
    <t>24.10.2023 Итог</t>
  </si>
  <si>
    <t>25.10.2023 Итог</t>
  </si>
  <si>
    <t>26.10.2023 Итог</t>
  </si>
  <si>
    <t>27.10.2023 Итог</t>
  </si>
  <si>
    <t>28.10.2023 Итог</t>
  </si>
  <si>
    <t>29.10.2023 Итог</t>
  </si>
  <si>
    <t>30.10.2023 Итог</t>
  </si>
  <si>
    <t>31.10.2023 Итог</t>
  </si>
  <si>
    <t>01.11.2023 Итог</t>
  </si>
  <si>
    <t>02.11.2023 Итог</t>
  </si>
  <si>
    <t>03.11.2023 Итог</t>
  </si>
  <si>
    <t>04.11.2023 Итог</t>
  </si>
  <si>
    <t>05.11.2023 Итог</t>
  </si>
  <si>
    <t>06.11.2023 Итог</t>
  </si>
  <si>
    <t>07.11.2023 Итог</t>
  </si>
  <si>
    <t>08.11.2023 Итог</t>
  </si>
  <si>
    <t>09.11.2023 Итог</t>
  </si>
  <si>
    <t>10.11.2023 Итог</t>
  </si>
  <si>
    <t>11.11.2023 Итог</t>
  </si>
  <si>
    <t>12.11.2023 Итог</t>
  </si>
  <si>
    <t>13.11.2023 Итог</t>
  </si>
  <si>
    <t>14.11.2023 Итог</t>
  </si>
  <si>
    <t>15.11.2023 Итог</t>
  </si>
  <si>
    <t>16.11.2023 Итог</t>
  </si>
  <si>
    <t>17.11.2023 Итог</t>
  </si>
  <si>
    <t>18.11.2023 Итог</t>
  </si>
  <si>
    <t>19.11.2023 Итог</t>
  </si>
  <si>
    <t>20.11.2023 Итог</t>
  </si>
  <si>
    <t>21.11.2023 Итог</t>
  </si>
  <si>
    <t>22.11.2023 Итог</t>
  </si>
  <si>
    <t>23.11.2023 Итог</t>
  </si>
  <si>
    <t>24.11.2023 Итог</t>
  </si>
  <si>
    <t>25.11.2023 Итог</t>
  </si>
  <si>
    <t>26.11.2023 Итог</t>
  </si>
  <si>
    <t>27.11.2023 Итог</t>
  </si>
  <si>
    <t>28.11.2023 Итог</t>
  </si>
  <si>
    <t>29.11.2023 Итог</t>
  </si>
  <si>
    <t>30.11.2023 Итог</t>
  </si>
  <si>
    <t>01.12.2023 Итог</t>
  </si>
  <si>
    <t>02.12.2023 Итог</t>
  </si>
  <si>
    <t>03.12.2023 Итог</t>
  </si>
  <si>
    <t>04.12.2023 Итог</t>
  </si>
  <si>
    <t>05.12.2023 Итог</t>
  </si>
  <si>
    <t>06.12.2023 Итог</t>
  </si>
  <si>
    <t>07.12.2023 Итог</t>
  </si>
  <si>
    <t>08.12.2023 Итог</t>
  </si>
  <si>
    <t>09.12.2023 Итог</t>
  </si>
  <si>
    <t>10.12.2023 Итог</t>
  </si>
  <si>
    <t>11.12.2023 Итог</t>
  </si>
  <si>
    <t>12.12.2023 Итог</t>
  </si>
  <si>
    <t>13.12.2023 Итог</t>
  </si>
  <si>
    <t>14.12.2023 Итог</t>
  </si>
  <si>
    <t>15.12.2023 Итог</t>
  </si>
  <si>
    <t>16.12.2023 Итог</t>
  </si>
  <si>
    <t>17.12.2023 Итог</t>
  </si>
  <si>
    <t>18.12.2023 Итог</t>
  </si>
  <si>
    <t>19.12.2023 Итог</t>
  </si>
  <si>
    <t>20.12.2023 Итог</t>
  </si>
  <si>
    <t>21.12.2023 Итог</t>
  </si>
  <si>
    <t>22.12.2023 Итог</t>
  </si>
  <si>
    <t>23.12.2023 Итог</t>
  </si>
  <si>
    <t>24.12.2023 Итог</t>
  </si>
  <si>
    <t>25.12.2023 Итог</t>
  </si>
  <si>
    <t>26.12.2023 Итог</t>
  </si>
  <si>
    <t>27.12.2023 Итог</t>
  </si>
  <si>
    <t>28.12.2023 Итог</t>
  </si>
  <si>
    <t>29.12.2023 Итог</t>
  </si>
  <si>
    <t>30.12.2023 Итог</t>
  </si>
  <si>
    <t>31.12.2023 Итог</t>
  </si>
  <si>
    <t>25.10.2025 Итог</t>
  </si>
  <si>
    <t>Общий итог</t>
  </si>
  <si>
    <t>01.01.2023 Итого</t>
  </si>
  <si>
    <t>01.02.2023 Итого</t>
  </si>
  <si>
    <t>Названия строк</t>
  </si>
  <si>
    <t>Сумма по полю Итого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</si>
  <si>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</si>
  <si>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</si>
  <si>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</si>
  <si>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</si>
  <si>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</si>
  <si>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</si>
  <si>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</si>
  <si>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</si>
  <si>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</si>
  <si>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</si>
  <si>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</si>
  <si>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</si>
  <si>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</si>
  <si>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Квартал</t>
  </si>
  <si>
    <t>(пусто)</t>
  </si>
  <si>
    <t>Сумма по полю Количество</t>
  </si>
  <si>
    <t>Наименование товара</t>
  </si>
  <si>
    <t>Активность</t>
  </si>
  <si>
    <t>Продажи, BYN</t>
  </si>
  <si>
    <t>Средний чек, BYN</t>
  </si>
  <si>
    <t>Количество продаж</t>
  </si>
  <si>
    <t>Средний чек</t>
  </si>
  <si>
    <t>Самое дорогое приобретение</t>
  </si>
  <si>
    <t>Самое дешевое приобретение</t>
  </si>
  <si>
    <t>5 штук</t>
  </si>
  <si>
    <t xml:space="preserve">Количество </t>
  </si>
  <si>
    <t xml:space="preserve">Самое дорогое приобретение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</si>
</sst>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BYN&quot;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14" fontId="0" fillId="3" borderId="1" xfId="0" applyNumberFormat="1" applyFill="1" applyBorder="1"/>
    <xf numFmtId="0" fontId="0" fillId="3" borderId="2" xfId="0" applyFill="1" applyBorder="1"/>
    <xf numFmtId="14" fontId="0" fillId="0" borderId="0" xfId="0" applyNumberFormat="1"/>
    <xf numFmtId="14" fontId="0" fillId="3" borderId="0" xfId="0" applyNumberFormat="1" applyFill="1"/>
    <xf numFmtId="0" fontId="0" fillId="3" borderId="0" xfId="0" applyFill="1"/>
    <xf numFmtId="14" fontId="2" fillId="0" borderId="1" xfId="0" applyNumberFormat="1" applyFont="1" applyBorder="1"/>
    <xf numFmtId="14" fontId="2" fillId="0" borderId="0" xfId="0" applyNumberFormat="1" applyFont="1"/>
    <xf numFmtId="14" fontId="2" fillId="3" borderId="0" xfId="0" applyNumberFormat="1" applyFont="1" applyFill="1"/>
    <xf numFmtId="164" fontId="0" fillId="0" borderId="0" xfId="0" applyNumberFormat="1"/>
    <xf numFmtId="14" fontId="1" fillId="2" borderId="4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/>
    <xf numFmtId="0" fontId="0" fillId="0" borderId="16" xfId="0" applyBorder="1"/>
    <xf numFmtId="4" fontId="0" fillId="0" borderId="16" xfId="0" applyNumberFormat="1" applyBorder="1"/>
    <xf numFmtId="0" fontId="0" fillId="0" borderId="16" xfId="0" applyBorder="1" applyAlignment="1">
      <alignment horizontal="left"/>
    </xf>
    <xf numFmtId="14" fontId="0" fillId="0" borderId="16" xfId="0" applyNumberFormat="1" applyBorder="1"/>
    <xf numFmtId="0" fontId="0" fillId="0" borderId="17" xfId="0" applyBorder="1"/>
    <xf numFmtId="14" fontId="0" fillId="0" borderId="17" xfId="0" applyNumberFormat="1" applyBorder="1"/>
    <xf numFmtId="0" fontId="0" fillId="0" borderId="19" xfId="0" applyBorder="1"/>
    <xf numFmtId="2" fontId="0" fillId="0" borderId="0" xfId="0" applyNumberFormat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6" xfId="0" pivotButton="1" applyBorder="1"/>
    <xf numFmtId="2" fontId="0" fillId="0" borderId="16" xfId="0" applyNumberFormat="1" applyBorder="1"/>
  </cellXfs>
  <cellStyles count="1">
    <cellStyle name="Обычный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64" formatCode="#,##0.00&quot; BYN&quot;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9" formatCode="dd/mm/yyyy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07/relationships/slicerCache" Target="slicerCaches/slicerCache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[База данных, срезы, сводные таблицы, дашборд.xlsx]Dashboard!Сводная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2000">
                <a:solidFill>
                  <a:sysClr val="windowText" lastClr="000000"/>
                </a:solidFill>
              </a:rPr>
              <a:t>Продажи по городам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78-4974-AC87-750A3F3501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78-4974-AC87-750A3F3501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78-4974-AC87-750A3F3501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78-4974-AC87-750A3F3501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78-4974-AC87-750A3F3501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D78-4974-AC87-750A3F3501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B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Dashboard!$B$3:$B$9</c:f>
              <c:strCache>
                <c:ptCount val="6"/>
                <c:pt idx="0">
                  <c:v>Барановичи</c:v>
                </c:pt>
                <c:pt idx="1">
                  <c:v>Борисов</c:v>
                </c:pt>
                <c:pt idx="2">
                  <c:v>Жодино</c:v>
                </c:pt>
                <c:pt idx="3">
                  <c:v>Минск</c:v>
                </c:pt>
                <c:pt idx="4">
                  <c:v>Столбцы</c:v>
                </c:pt>
                <c:pt idx="5">
                  <c:v>Фаниполь</c:v>
                </c:pt>
              </c:strCache>
            </c:strRef>
          </c:cat>
          <c:val>
            <c:numRef>
              <c:f>Dashboard!$C$3:$C$9</c:f>
              <c:numCache>
                <c:formatCode>General</c:formatCode>
                <c:ptCount val="6"/>
                <c:pt idx="0">
                  <c:v>44680.395000000077</c:v>
                </c:pt>
                <c:pt idx="1">
                  <c:v>41954.889999999985</c:v>
                </c:pt>
                <c:pt idx="2">
                  <c:v>38515.119999999959</c:v>
                </c:pt>
                <c:pt idx="3">
                  <c:v>38616.97500000002</c:v>
                </c:pt>
                <c:pt idx="4">
                  <c:v>39007.079999999994</c:v>
                </c:pt>
                <c:pt idx="5">
                  <c:v>38833.925000000068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F-4BCC-8F08-0E19E9ECB85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[База данных, срезы, сводные таблицы, дашборд.xlsx]Dashboard!Сводная таблица17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Активность</a:t>
            </a:r>
            <a:r>
              <a:rPr lang="ru-RU" baseline="0"/>
              <a:t> заказчиков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Dashboard!$C$87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B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Dashboard!$B$88:$B$94</c:f>
              <c:strCache>
                <c:ptCount val="6"/>
                <c:pt idx="0">
                  <c:v>Виталюр</c:v>
                </c:pt>
                <c:pt idx="1">
                  <c:v>Евроопт</c:v>
                </c:pt>
                <c:pt idx="2">
                  <c:v>Копеечка</c:v>
                </c:pt>
                <c:pt idx="3">
                  <c:v>Санта</c:v>
                </c:pt>
                <c:pt idx="4">
                  <c:v>Соседи</c:v>
                </c:pt>
                <c:pt idx="5">
                  <c:v>(пусто)</c:v>
                </c:pt>
              </c:strCache>
            </c:strRef>
          </c:cat>
          <c:val>
            <c:numRef>
              <c:f>Dashboard!$C$88:$C$94</c:f>
              <c:numCache>
                <c:formatCode>General</c:formatCode>
                <c:ptCount val="6"/>
                <c:pt idx="0">
                  <c:v>45587</c:v>
                </c:pt>
                <c:pt idx="1">
                  <c:v>45798</c:v>
                </c:pt>
                <c:pt idx="2">
                  <c:v>45711</c:v>
                </c:pt>
                <c:pt idx="3">
                  <c:v>588</c:v>
                </c:pt>
                <c:pt idx="4">
                  <c:v>41952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6-4E46-BC28-64E271AD46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-27"/>
        <c:axId val="1536601327"/>
        <c:axId val="1173396863"/>
      </c:barChart>
      <c:catAx>
        <c:axId val="153660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173396863"/>
        <c:crosses val="autoZero"/>
        <c:auto val="1"/>
        <c:lblAlgn val="ctr"/>
        <c:lblOffset val="100"/>
        <c:noMultiLvlLbl val="0"/>
      </c:catAx>
      <c:valAx>
        <c:axId val="117339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53660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кварталам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Итог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7021491039726595E-3"/>
                  <c:y val="-5.01779737660070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06-472F-B260-FD485AF95135}"/>
                </c:ext>
              </c:extLst>
            </c:dLbl>
            <c:dLbl>
              <c:idx val="1"/>
              <c:layout>
                <c:manualLayout>
                  <c:x val="-3.404298207945319E-3"/>
                  <c:y val="-6.5231365895809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06-472F-B260-FD485AF951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BY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116980.19999999982</c:v>
              </c:pt>
              <c:pt idx="1">
                <c:v>116482.35999999996</c:v>
              </c:pt>
              <c:pt idx="2">
                <c:v>118014.45499999973</c:v>
              </c:pt>
              <c:pt idx="3">
                <c:v>126880.44000000021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4B8-47C0-81BC-56877FB9B1E5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8833455"/>
        <c:axId val="1321950319"/>
      </c:lineChart>
      <c:catAx>
        <c:axId val="144883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21950319"/>
        <c:crosses val="autoZero"/>
        <c:auto val="1"/>
        <c:lblAlgn val="ctr"/>
        <c:lblOffset val="100"/>
        <c:noMultiLvlLbl val="0"/>
      </c:catAx>
      <c:valAx>
        <c:axId val="13219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4883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ru-BY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[База данных, срезы, сводные таблицы, дашборд.xlsx]Dashboard!Сводная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категориям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Dashboard!$E$3:$E$7</c:f>
              <c:strCache>
                <c:ptCount val="4"/>
                <c:pt idx="0">
                  <c:v>Зелень</c:v>
                </c:pt>
                <c:pt idx="1">
                  <c:v>Овощи</c:v>
                </c:pt>
                <c:pt idx="2">
                  <c:v>Фрукты</c:v>
                </c:pt>
                <c:pt idx="3">
                  <c:v>Ягоды</c:v>
                </c:pt>
              </c:strCache>
            </c:strRef>
          </c:cat>
          <c:val>
            <c:numRef>
              <c:f>Dashboard!$F$3:$F$7</c:f>
              <c:numCache>
                <c:formatCode>General</c:formatCode>
                <c:ptCount val="4"/>
                <c:pt idx="0">
                  <c:v>38382.134999999987</c:v>
                </c:pt>
                <c:pt idx="1">
                  <c:v>26124.535000000029</c:v>
                </c:pt>
                <c:pt idx="2">
                  <c:v>73644.000000000015</c:v>
                </c:pt>
                <c:pt idx="3">
                  <c:v>103457.71499999998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A-4524-87CF-FF435A7E5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7016271"/>
        <c:axId val="1903849007"/>
      </c:barChart>
      <c:catAx>
        <c:axId val="182701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03849007"/>
        <c:crosses val="autoZero"/>
        <c:auto val="1"/>
        <c:lblAlgn val="ctr"/>
        <c:lblOffset val="100"/>
        <c:noMultiLvlLbl val="0"/>
      </c:catAx>
      <c:valAx>
        <c:axId val="190384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82701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ru-B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304800</xdr:colOff>
      <xdr:row>0</xdr:row>
      <xdr:rowOff>22861</xdr:rowOff>
    </xdr:from>
    <xdr:to>
      <xdr:col>2</xdr:col>
      <xdr:colOff>114300</xdr:colOff>
      <xdr:row>10</xdr:row>
      <xdr:rowOff>7620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Заказчик">
              <a:extLst>
                <a:ext uri="{FF2B5EF4-FFF2-40B4-BE49-F238E27FC236}">
                  <a16:creationId xmlns:a16="http://schemas.microsoft.com/office/drawing/2014/main" id="{EEDB5F72-9E0F-4DD7-901F-E4A8732D89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" y="22861"/>
              <a:ext cx="1752600" cy="18135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BY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502920</xdr:colOff>
      <xdr:row>0</xdr:row>
      <xdr:rowOff>30481</xdr:rowOff>
    </xdr:from>
    <xdr:to>
      <xdr:col>4</xdr:col>
      <xdr:colOff>152400</xdr:colOff>
      <xdr:row>9</xdr:row>
      <xdr:rowOff>60961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Категория товара">
              <a:extLst>
                <a:ext uri="{FF2B5EF4-FFF2-40B4-BE49-F238E27FC236}">
                  <a16:creationId xmlns:a16="http://schemas.microsoft.com/office/drawing/2014/main" id="{60D888C3-A6EA-4412-9B73-F703AA9341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 товар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6020" y="30481"/>
              <a:ext cx="182880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BY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472440</xdr:colOff>
      <xdr:row>0</xdr:row>
      <xdr:rowOff>114300</xdr:rowOff>
    </xdr:from>
    <xdr:to>
      <xdr:col>9</xdr:col>
      <xdr:colOff>144780</xdr:colOff>
      <xdr:row>8</xdr:row>
      <xdr:rowOff>160020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Товар">
              <a:extLst>
                <a:ext uri="{FF2B5EF4-FFF2-40B4-BE49-F238E27FC236}">
                  <a16:creationId xmlns:a16="http://schemas.microsoft.com/office/drawing/2014/main" id="{0E19A620-7965-4276-AD7D-28EE4CB461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ова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4860" y="114300"/>
              <a:ext cx="4061460" cy="1508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BY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23446</xdr:colOff>
      <xdr:row>18</xdr:row>
      <xdr:rowOff>147062</xdr:rowOff>
    </xdr:from>
    <xdr:to>
      <xdr:col>15</xdr:col>
      <xdr:colOff>363415</xdr:colOff>
      <xdr:row>37</xdr:row>
      <xdr:rowOff>82061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6632F1A-D874-4EAD-B3C8-E786B20CB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1322118</xdr:colOff>
      <xdr:row>89</xdr:row>
      <xdr:rowOff>140475</xdr:rowOff>
    </xdr:from>
    <xdr:to>
      <xdr:col>19</xdr:col>
      <xdr:colOff>323282</xdr:colOff>
      <xdr:row>106</xdr:row>
      <xdr:rowOff>91049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9764B7E-1EE0-4C83-ACA9-DFF2A93D1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1288496</xdr:colOff>
      <xdr:row>0</xdr:row>
      <xdr:rowOff>9434</xdr:rowOff>
    </xdr:from>
    <xdr:to>
      <xdr:col>12</xdr:col>
      <xdr:colOff>199292</xdr:colOff>
      <xdr:row>4</xdr:row>
      <xdr:rowOff>135444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5C1FC3-7C16-479D-ABB7-86A1CCB86CFA}"/>
            </a:ext>
          </a:extLst>
        </xdr:cNvPr>
        <xdr:cNvSpPr txBox="1"/>
      </xdr:nvSpPr>
      <xdr:spPr>
        <a:xfrm>
          <a:off x="11569634" y="9434"/>
          <a:ext cx="3107658" cy="876287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/>
            <a:t>Продажи, </a:t>
          </a:r>
          <a:r>
            <a:rPr lang="en-AU" sz="1400" b="1"/>
            <a:t>BYN</a:t>
          </a:r>
          <a:endParaRPr lang="ru-BY" sz="1400" b="1"/>
        </a:p>
      </xdr:txBody>
    </xdr:sp>
    <xdr:clientData/>
  </xdr:twoCellAnchor>
  <xdr:twoCellAnchor>
    <xdr:from>
      <xdr:col>12</xdr:col>
      <xdr:colOff>1095828</xdr:colOff>
      <xdr:row>0</xdr:row>
      <xdr:rowOff>0</xdr:rowOff>
    </xdr:from>
    <xdr:to>
      <xdr:col>15</xdr:col>
      <xdr:colOff>422030</xdr:colOff>
      <xdr:row>4</xdr:row>
      <xdr:rowOff>137886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2BC975-3747-4CB7-B3F2-A7C029224F91}"/>
            </a:ext>
          </a:extLst>
        </xdr:cNvPr>
        <xdr:cNvSpPr txBox="1"/>
      </xdr:nvSpPr>
      <xdr:spPr>
        <a:xfrm>
          <a:off x="15573828" y="0"/>
          <a:ext cx="5410479" cy="888163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/>
            <a:t>Средний</a:t>
          </a:r>
          <a:r>
            <a:rPr lang="ru-RU" sz="1400" b="1" baseline="0"/>
            <a:t> чек, </a:t>
          </a:r>
          <a:r>
            <a:rPr lang="en-AU" sz="1400" b="1" baseline="0"/>
            <a:t>BYN</a:t>
          </a:r>
          <a:endParaRPr lang="ru-BY" sz="1400" b="1"/>
        </a:p>
      </xdr:txBody>
    </xdr:sp>
    <xdr:clientData/>
  </xdr:twoCellAnchor>
  <xdr:twoCellAnchor>
    <xdr:from>
      <xdr:col>11</xdr:col>
      <xdr:colOff>1487129</xdr:colOff>
      <xdr:row>0</xdr:row>
      <xdr:rowOff>0</xdr:rowOff>
    </xdr:from>
    <xdr:to>
      <xdr:col>13</xdr:col>
      <xdr:colOff>602226</xdr:colOff>
      <xdr:row>4</xdr:row>
      <xdr:rowOff>135578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E4D52C-07CE-4B5F-98FD-4670C6939E88}"/>
            </a:ext>
          </a:extLst>
        </xdr:cNvPr>
        <xdr:cNvSpPr txBox="1"/>
      </xdr:nvSpPr>
      <xdr:spPr>
        <a:xfrm>
          <a:off x="13064613" y="0"/>
          <a:ext cx="3158613" cy="872997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/>
            <a:t>Количество</a:t>
          </a:r>
          <a:r>
            <a:rPr lang="ru-RU" sz="1400" b="1" baseline="0"/>
            <a:t> продаж</a:t>
          </a:r>
          <a:endParaRPr lang="ru-BY" sz="1400" b="1"/>
        </a:p>
      </xdr:txBody>
    </xdr:sp>
    <xdr:clientData/>
  </xdr:twoCellAnchor>
  <xdr:twoCellAnchor>
    <xdr:from>
      <xdr:col>11</xdr:col>
      <xdr:colOff>246327</xdr:colOff>
      <xdr:row>2</xdr:row>
      <xdr:rowOff>145937</xdr:rowOff>
    </xdr:from>
    <xdr:to>
      <xdr:col>11</xdr:col>
      <xdr:colOff>1116209</xdr:colOff>
      <xdr:row>4</xdr:row>
      <xdr:rowOff>43038</xdr:rowOff>
    </xdr:to>
    <xdr:sp macro="" textlink="L36">
      <xdr:nvSpPr>
        <xdr:cNvPr id="8" name="TextBox 7">
          <a:extLst>
            <a:ext uri="{FF2B5EF4-FFF2-40B4-BE49-F238E27FC236}">
              <a16:creationId xmlns:a16="http://schemas.microsoft.com/office/drawing/2014/main" id="{82490671-D583-48BA-9C62-05ED1338E58D}"/>
            </a:ext>
          </a:extLst>
        </xdr:cNvPr>
        <xdr:cNvSpPr txBox="1"/>
      </xdr:nvSpPr>
      <xdr:spPr>
        <a:xfrm>
          <a:off x="12719681" y="521075"/>
          <a:ext cx="869882" cy="272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1BC820C-CA0E-47C0-9CF3-2A75B1A64487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241608,385</a:t>
          </a:fld>
          <a:endParaRPr lang="ru-BY" sz="1200" b="1"/>
        </a:p>
      </xdr:txBody>
    </xdr:sp>
    <xdr:clientData/>
  </xdr:twoCellAnchor>
  <xdr:twoCellAnchor>
    <xdr:from>
      <xdr:col>12</xdr:col>
      <xdr:colOff>724129</xdr:colOff>
      <xdr:row>2</xdr:row>
      <xdr:rowOff>162700</xdr:rowOff>
    </xdr:from>
    <xdr:to>
      <xdr:col>12</xdr:col>
      <xdr:colOff>1668064</xdr:colOff>
      <xdr:row>4</xdr:row>
      <xdr:rowOff>62999</xdr:rowOff>
    </xdr:to>
    <xdr:sp macro="" textlink="M36">
      <xdr:nvSpPr>
        <xdr:cNvPr id="9" name="TextBox 8">
          <a:extLst>
            <a:ext uri="{FF2B5EF4-FFF2-40B4-BE49-F238E27FC236}">
              <a16:creationId xmlns:a16="http://schemas.microsoft.com/office/drawing/2014/main" id="{9399E23F-3F7D-40C6-A3B3-F14F12CC0DC1}"/>
            </a:ext>
          </a:extLst>
        </xdr:cNvPr>
        <xdr:cNvSpPr txBox="1"/>
      </xdr:nvSpPr>
      <xdr:spPr>
        <a:xfrm>
          <a:off x="15202129" y="537838"/>
          <a:ext cx="943935" cy="275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6A02EBA-6E41-4E3C-BF20-DDB78056FECC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3439</a:t>
          </a:fld>
          <a:endParaRPr lang="ru-BY" sz="1200" b="1"/>
        </a:p>
      </xdr:txBody>
    </xdr:sp>
    <xdr:clientData/>
  </xdr:twoCellAnchor>
  <xdr:twoCellAnchor>
    <xdr:from>
      <xdr:col>13</xdr:col>
      <xdr:colOff>1309305</xdr:colOff>
      <xdr:row>3</xdr:row>
      <xdr:rowOff>7312</xdr:rowOff>
    </xdr:from>
    <xdr:to>
      <xdr:col>14</xdr:col>
      <xdr:colOff>263282</xdr:colOff>
      <xdr:row>4</xdr:row>
      <xdr:rowOff>123667</xdr:rowOff>
    </xdr:to>
    <xdr:sp macro="" textlink="N36">
      <xdr:nvSpPr>
        <xdr:cNvPr id="10" name="TextBox 9">
          <a:extLst>
            <a:ext uri="{FF2B5EF4-FFF2-40B4-BE49-F238E27FC236}">
              <a16:creationId xmlns:a16="http://schemas.microsoft.com/office/drawing/2014/main" id="{ED7EEB30-873E-4303-AF2D-4D01E395A4C0}"/>
            </a:ext>
          </a:extLst>
        </xdr:cNvPr>
        <xdr:cNvSpPr txBox="1"/>
      </xdr:nvSpPr>
      <xdr:spPr>
        <a:xfrm>
          <a:off x="17827120" y="570020"/>
          <a:ext cx="958624" cy="303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72D7248-0072-434E-A956-FD38294910E1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70,25541873</a:t>
          </a:fld>
          <a:endParaRPr lang="ru-BY" sz="1200" b="1"/>
        </a:p>
      </xdr:txBody>
    </xdr:sp>
    <xdr:clientData/>
  </xdr:twoCellAnchor>
  <xdr:twoCellAnchor editAs="oneCell">
    <xdr:from>
      <xdr:col>7</xdr:col>
      <xdr:colOff>58616</xdr:colOff>
      <xdr:row>8</xdr:row>
      <xdr:rowOff>77959</xdr:rowOff>
    </xdr:from>
    <xdr:to>
      <xdr:col>9</xdr:col>
      <xdr:colOff>1301263</xdr:colOff>
      <xdr:row>18</xdr:row>
      <xdr:rowOff>117230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Город">
              <a:extLst>
                <a:ext uri="{FF2B5EF4-FFF2-40B4-BE49-F238E27FC236}">
                  <a16:creationId xmlns:a16="http://schemas.microsoft.com/office/drawing/2014/main" id="{A21C22F9-E3BB-4986-933A-CB4E4D46ED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4093" y="1578513"/>
              <a:ext cx="3458309" cy="1914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BY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9</xdr:col>
      <xdr:colOff>1313190</xdr:colOff>
      <xdr:row>4</xdr:row>
      <xdr:rowOff>132040</xdr:rowOff>
    </xdr:from>
    <xdr:to>
      <xdr:col>14</xdr:col>
      <xdr:colOff>527539</xdr:colOff>
      <xdr:row>18</xdr:row>
      <xdr:rowOff>82063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36BAE905-2A17-414F-BE47-DD2CF8D52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545940</xdr:colOff>
      <xdr:row>3</xdr:row>
      <xdr:rowOff>11085</xdr:rowOff>
    </xdr:from>
    <xdr:to>
      <xdr:col>15</xdr:col>
      <xdr:colOff>409950</xdr:colOff>
      <xdr:row>10</xdr:row>
      <xdr:rowOff>141210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Квартал ">
              <a:extLst>
                <a:ext uri="{FF2B5EF4-FFF2-40B4-BE49-F238E27FC236}">
                  <a16:creationId xmlns:a16="http://schemas.microsoft.com/office/drawing/2014/main" id="{704D78A5-F473-41CC-9759-450B8E8101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вартал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68402" y="573793"/>
              <a:ext cx="1903826" cy="14431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BY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7</xdr:col>
      <xdr:colOff>11723</xdr:colOff>
      <xdr:row>0</xdr:row>
      <xdr:rowOff>46892</xdr:rowOff>
    </xdr:from>
    <xdr:to>
      <xdr:col>9</xdr:col>
      <xdr:colOff>1289539</xdr:colOff>
      <xdr:row>8</xdr:row>
      <xdr:rowOff>35169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B5724BE-9DCB-46D7-87A6-6F54651104F4}"/>
            </a:ext>
          </a:extLst>
        </xdr:cNvPr>
        <xdr:cNvSpPr txBox="1"/>
      </xdr:nvSpPr>
      <xdr:spPr>
        <a:xfrm>
          <a:off x="8170985" y="46892"/>
          <a:ext cx="3493477" cy="14888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4000" b="1"/>
            <a:t>Отчёт</a:t>
          </a:r>
          <a:r>
            <a:rPr lang="ru-RU" sz="4000" b="1" baseline="0"/>
            <a:t> по продажам</a:t>
          </a:r>
          <a:endParaRPr lang="ru-BY" sz="4000" b="1"/>
        </a:p>
      </xdr:txBody>
    </xdr:sp>
    <xdr:clientData/>
  </xdr:twoCellAnchor>
  <xdr:twoCellAnchor editAs="oneCell">
    <xdr:from>
      <xdr:col>14</xdr:col>
      <xdr:colOff>556952</xdr:colOff>
      <xdr:row>10</xdr:row>
      <xdr:rowOff>180340</xdr:rowOff>
    </xdr:from>
    <xdr:to>
      <xdr:col>15</xdr:col>
      <xdr:colOff>353751</xdr:colOff>
      <xdr:row>18</xdr:row>
      <xdr:rowOff>103909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Категория товара 1">
              <a:extLst>
                <a:ext uri="{FF2B5EF4-FFF2-40B4-BE49-F238E27FC236}">
                  <a16:creationId xmlns:a16="http://schemas.microsoft.com/office/drawing/2014/main" id="{82EC5C3B-3306-4FE7-A53A-FF607979E7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 товара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79414" y="2056032"/>
              <a:ext cx="1836615" cy="14241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BY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7</xdr:col>
      <xdr:colOff>18143</xdr:colOff>
      <xdr:row>19</xdr:row>
      <xdr:rowOff>6031</xdr:rowOff>
    </xdr:from>
    <xdr:to>
      <xdr:col>12</xdr:col>
      <xdr:colOff>36284</xdr:colOff>
      <xdr:row>37</xdr:row>
      <xdr:rowOff>54429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FBA89C13-31CC-45D6-BF66-EA8F87F11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cno\Downloads\&#1083;&#1088;16,17,18,20,21,22&#1040;&#1074;&#1090;&#1086;&#1084;&#1072;&#1090;&#1080;&#1095;&#1077;&#1089;&#1082;&#1080;&#1042;&#1086;&#1089;&#1089;&#1090;&#1072;&#1085;&#1086;&#1074;&#1083;&#1077;&#1085;&#1086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cno\Downloads\&#1083;&#1088;16,17,18,20,21,22&#1040;&#1074;&#1090;&#1086;&#1084;&#1072;&#1090;&#1080;&#1095;&#1077;&#1089;&#1082;&#1080;&#1042;&#1086;&#1089;&#1089;&#1090;&#1072;&#1085;&#1086;&#1074;&#1083;&#1077;&#1085;&#1086;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m6" refreshedDate="45960.949077893521" createdVersion="6" refreshedVersion="6" minRefreshableVersion="3" recordCount="3776" xr:uid="{E3011C4A-9398-4015-BC2E-286E448392BB}">
  <cacheSource type="worksheet">
    <worksheetSource ref="A1:H3777" sheet="Лист2" r:id="rId2"/>
  </cacheSource>
  <cacheFields count="8">
    <cacheField name="Дата" numFmtId="14">
      <sharedItems containsDate="1" containsMixedTypes="1" minDate="2023-01-01T00:00:00" maxDate="2025-10-26T00:00:00" count="673">
        <d v="2023-01-01T00:00:00"/>
        <s v="01.01.2023 Итого"/>
        <d v="2023-02-01T00:00:00"/>
        <s v="01.02.2023 Итого"/>
        <d v="2023-02-02T00:00:00"/>
        <s v="02.02.2023 Итог"/>
        <d v="2023-02-03T00:00:00"/>
        <s v="03.02.2023 Итог"/>
        <d v="2023-02-04T00:00:00"/>
        <s v="04.02.2023 Итог"/>
        <d v="2023-02-05T00:00:00"/>
        <s v="05.02.2023 Итог"/>
        <d v="2023-02-06T00:00:00"/>
        <s v="06.02.2023 Итог"/>
        <d v="2023-02-07T00:00:00"/>
        <s v="07.02.2023 Итог"/>
        <d v="2023-02-08T00:00:00"/>
        <s v="08.02.2023 Итог"/>
        <d v="2023-02-09T00:00:00"/>
        <s v="09.02.2023 Итог"/>
        <d v="2023-02-10T00:00:00"/>
        <s v="10.02.2023 Итог"/>
        <d v="2023-02-11T00:00:00"/>
        <s v="11.02.2023 Итог"/>
        <d v="2023-02-12T00:00:00"/>
        <s v="12.02.2023 Итог"/>
        <d v="2023-02-13T00:00:00"/>
        <s v="13.02.2023 Итог"/>
        <d v="2023-02-14T00:00:00"/>
        <s v="14.02.2023 Итог"/>
        <d v="2023-02-15T00:00:00"/>
        <s v="15.02.2023 Итог"/>
        <d v="2023-02-16T00:00:00"/>
        <s v="16.02.2023 Итог"/>
        <d v="2023-02-17T00:00:00"/>
        <s v="17.02.2023 Итог"/>
        <d v="2023-02-18T00:00:00"/>
        <s v="18.02.2023 Итог"/>
        <d v="2023-02-19T00:00:00"/>
        <s v="19.02.2023 Итог"/>
        <d v="2023-02-20T00:00:00"/>
        <s v="20.02.2023 Итог"/>
        <d v="2023-02-21T00:00:00"/>
        <s v="21.02.2023 Итог"/>
        <d v="2023-02-22T00:00:00"/>
        <s v="22.02.2023 Итог"/>
        <d v="2023-02-23T00:00:00"/>
        <s v="23.02.2023 Итог"/>
        <d v="2023-02-24T00:00:00"/>
        <s v="24.02.2023 Итог"/>
        <d v="2023-02-25T00:00:00"/>
        <s v="25.02.2023 Итог"/>
        <d v="2023-02-26T00:00:00"/>
        <s v="26.02.2023 Итог"/>
        <d v="2023-02-27T00:00:00"/>
        <s v="27.02.2023 Итог"/>
        <d v="2023-02-28T00:00:00"/>
        <s v="28.02.2023 Итог"/>
        <d v="2023-03-01T00:00:00"/>
        <s v="01.03.2023 Итог"/>
        <d v="2023-03-02T00:00:00"/>
        <s v="02.03.2023 Итог"/>
        <d v="2023-03-03T00:00:00"/>
        <s v="03.03.2023 Итог"/>
        <d v="2023-03-04T00:00:00"/>
        <s v="04.03.2023 Итог"/>
        <d v="2023-03-05T00:00:00"/>
        <s v="05.03.2023 Итог"/>
        <d v="2023-03-06T00:00:00"/>
        <s v="06.03.2023 Итог"/>
        <d v="2023-03-07T00:00:00"/>
        <s v="07.03.2023 Итог"/>
        <d v="2023-03-08T00:00:00"/>
        <s v="08.03.2023 Итог"/>
        <d v="2023-03-09T00:00:00"/>
        <s v="09.03.2023 Итог"/>
        <d v="2023-03-10T00:00:00"/>
        <s v="10.03.2023 Итог"/>
        <d v="2023-03-11T00:00:00"/>
        <s v="11.03.2023 Итог"/>
        <d v="2023-03-12T00:00:00"/>
        <s v="12.03.2023 Итог"/>
        <d v="2023-03-13T00:00:00"/>
        <s v="13.03.2023 Итог"/>
        <d v="2023-03-14T00:00:00"/>
        <s v="14.03.2023 Итог"/>
        <d v="2023-03-15T00:00:00"/>
        <s v="15.03.2023 Итог"/>
        <d v="2023-03-16T00:00:00"/>
        <s v="16.03.2023 Итог"/>
        <d v="2023-03-17T00:00:00"/>
        <s v="17.03.2023 Итог"/>
        <d v="2023-03-18T00:00:00"/>
        <s v="18.03.2023 Итог"/>
        <d v="2023-03-19T00:00:00"/>
        <s v="19.03.2023 Итог"/>
        <d v="2023-03-20T00:00:00"/>
        <s v="20.03.2023 Итог"/>
        <d v="2023-03-21T00:00:00"/>
        <s v="21.03.2023 Итог"/>
        <d v="2023-03-22T00:00:00"/>
        <s v="22.03.2023 Итог"/>
        <d v="2023-03-23T00:00:00"/>
        <s v="23.03.2023 Итог"/>
        <d v="2023-03-24T00:00:00"/>
        <s v="24.03.2023 Итог"/>
        <d v="2023-03-25T00:00:00"/>
        <s v="25.03.2023 Итог"/>
        <d v="2023-03-26T00:00:00"/>
        <s v="26.03.2023 Итог"/>
        <d v="2023-03-27T00:00:00"/>
        <s v="27.03.2023 Итог"/>
        <d v="2023-03-28T00:00:00"/>
        <s v="28.03.2023 Итог"/>
        <d v="2023-03-29T00:00:00"/>
        <s v="29.03.2023 Итог"/>
        <d v="2023-03-30T00:00:00"/>
        <s v="30.03.2023 Итог"/>
        <d v="2023-03-31T00:00:00"/>
        <s v="31.03.2023 Итог"/>
        <d v="2023-04-01T00:00:00"/>
        <s v="01.04.2023 Итог"/>
        <d v="2023-04-02T00:00:00"/>
        <s v="02.04.2023 Итог"/>
        <d v="2023-04-03T00:00:00"/>
        <s v="03.04.2023 Итог"/>
        <d v="2023-04-04T00:00:00"/>
        <s v="04.04.2023 Итог"/>
        <d v="2023-04-05T00:00:00"/>
        <s v="05.04.2023 Итог"/>
        <d v="2023-04-06T00:00:00"/>
        <s v="06.04.2023 Итог"/>
        <d v="2023-04-07T00:00:00"/>
        <s v="07.04.2023 Итог"/>
        <d v="2023-04-08T00:00:00"/>
        <s v="08.04.2023 Итог"/>
        <d v="2023-04-09T00:00:00"/>
        <s v="09.04.2023 Итог"/>
        <d v="2023-04-10T00:00:00"/>
        <s v="10.04.2023 Итог"/>
        <d v="2023-04-11T00:00:00"/>
        <s v="11.04.2023 Итог"/>
        <d v="2023-04-12T00:00:00"/>
        <s v="12.04.2023 Итог"/>
        <d v="2023-04-13T00:00:00"/>
        <s v="13.04.2023 Итог"/>
        <d v="2023-04-14T00:00:00"/>
        <s v="14.04.2023 Итог"/>
        <d v="2023-04-15T00:00:00"/>
        <s v="15.04.2023 Итог"/>
        <d v="2023-04-16T00:00:00"/>
        <s v="16.04.2023 Итог"/>
        <d v="2023-04-17T00:00:00"/>
        <s v="17.04.2023 Итог"/>
        <d v="2023-04-18T00:00:00"/>
        <s v="18.04.2023 Итог"/>
        <d v="2023-04-19T00:00:00"/>
        <s v="19.04.2023 Итог"/>
        <d v="2023-04-20T00:00:00"/>
        <s v="20.04.2023 Итог"/>
        <d v="2023-04-21T00:00:00"/>
        <s v="21.04.2023 Итог"/>
        <d v="2023-04-22T00:00:00"/>
        <s v="22.04.2023 Итог"/>
        <d v="2023-04-23T00:00:00"/>
        <s v="23.04.2023 Итог"/>
        <d v="2023-04-24T00:00:00"/>
        <s v="24.04.2023 Итог"/>
        <d v="2023-04-25T00:00:00"/>
        <s v="25.04.2023 Итог"/>
        <d v="2023-04-26T00:00:00"/>
        <s v="26.04.2023 Итог"/>
        <d v="2023-04-27T00:00:00"/>
        <s v="27.04.2023 Итог"/>
        <d v="2023-04-28T00:00:00"/>
        <s v="28.04.2023 Итог"/>
        <d v="2023-04-29T00:00:00"/>
        <s v="29.04.2023 Итог"/>
        <d v="2023-04-30T00:00:00"/>
        <s v="30.04.2023 Итог"/>
        <d v="2023-05-01T00:00:00"/>
        <s v="01.05.2023 Итог"/>
        <d v="2023-05-02T00:00:00"/>
        <s v="02.05.2023 Итог"/>
        <d v="2023-05-03T00:00:00"/>
        <s v="03.05.2023 Итог"/>
        <d v="2023-05-04T00:00:00"/>
        <s v="04.05.2023 Итог"/>
        <d v="2023-05-05T00:00:00"/>
        <s v="05.05.2023 Итог"/>
        <d v="2023-05-06T00:00:00"/>
        <s v="06.05.2023 Итог"/>
        <d v="2023-05-07T00:00:00"/>
        <s v="07.05.2023 Итог"/>
        <d v="2023-05-08T00:00:00"/>
        <s v="08.05.2023 Итог"/>
        <d v="2023-05-09T00:00:00"/>
        <s v="09.05.2023 Итог"/>
        <d v="2023-05-10T00:00:00"/>
        <s v="10.05.2023 Итог"/>
        <d v="2023-05-11T00:00:00"/>
        <s v="11.05.2023 Итог"/>
        <d v="2023-05-12T00:00:00"/>
        <s v="12.05.2023 Итог"/>
        <d v="2023-05-13T00:00:00"/>
        <s v="13.05.2023 Итог"/>
        <d v="2023-05-14T00:00:00"/>
        <s v="14.05.2023 Итог"/>
        <d v="2023-05-15T00:00:00"/>
        <s v="15.05.2023 Итог"/>
        <d v="2023-05-16T00:00:00"/>
        <s v="16.05.2023 Итог"/>
        <d v="2023-05-17T00:00:00"/>
        <s v="17.05.2023 Итог"/>
        <d v="2023-05-18T00:00:00"/>
        <s v="18.05.2023 Итог"/>
        <d v="2023-05-19T00:00:00"/>
        <s v="19.05.2023 Итог"/>
        <d v="2023-05-20T00:00:00"/>
        <s v="20.05.2023 Итог"/>
        <d v="2023-05-21T00:00:00"/>
        <s v="21.05.2023 Итог"/>
        <d v="2023-05-22T00:00:00"/>
        <s v="22.05.2023 Итог"/>
        <d v="2023-05-23T00:00:00"/>
        <s v="23.05.2023 Итог"/>
        <d v="2023-05-24T00:00:00"/>
        <s v="24.05.2023 Итог"/>
        <d v="2023-05-25T00:00:00"/>
        <s v="25.05.2023 Итог"/>
        <d v="2023-05-26T00:00:00"/>
        <s v="26.05.2023 Итог"/>
        <d v="2023-05-27T00:00:00"/>
        <s v="27.05.2023 Итог"/>
        <d v="2023-05-28T00:00:00"/>
        <s v="28.05.2023 Итог"/>
        <d v="2023-05-29T00:00:00"/>
        <s v="29.05.2023 Итог"/>
        <d v="2023-05-30T00:00:00"/>
        <s v="30.05.2023 Итог"/>
        <d v="2023-05-31T00:00:00"/>
        <s v="31.05.2023 Итог"/>
        <d v="2023-06-01T00:00:00"/>
        <s v="01.06.2023 Итог"/>
        <d v="2023-06-02T00:00:00"/>
        <s v="02.06.2023 Итог"/>
        <d v="2023-06-03T00:00:00"/>
        <s v="03.06.2023 Итог"/>
        <d v="2023-06-04T00:00:00"/>
        <s v="04.06.2023 Итог"/>
        <d v="2023-06-05T00:00:00"/>
        <s v="05.06.2023 Итог"/>
        <d v="2023-06-06T00:00:00"/>
        <s v="06.06.2023 Итог"/>
        <d v="2023-06-07T00:00:00"/>
        <s v="07.06.2023 Итог"/>
        <d v="2023-06-08T00:00:00"/>
        <s v="08.06.2023 Итог"/>
        <d v="2023-06-09T00:00:00"/>
        <s v="09.06.2023 Итог"/>
        <d v="2023-06-10T00:00:00"/>
        <s v="10.06.2023 Итог"/>
        <d v="2023-06-11T00:00:00"/>
        <s v="11.06.2023 Итог"/>
        <d v="2023-06-12T00:00:00"/>
        <s v="12.06.2023 Итог"/>
        <d v="2023-06-13T00:00:00"/>
        <s v="13.06.2023 Итог"/>
        <d v="2023-06-14T00:00:00"/>
        <s v="14.06.2023 Итог"/>
        <d v="2023-06-15T00:00:00"/>
        <s v="15.06.2023 Итог"/>
        <d v="2023-06-16T00:00:00"/>
        <s v="16.06.2023 Итог"/>
        <d v="2023-06-17T00:00:00"/>
        <s v="17.06.2023 Итог"/>
        <d v="2023-06-18T00:00:00"/>
        <s v="18.06.2023 Итог"/>
        <d v="2023-06-19T00:00:00"/>
        <s v="19.06.2023 Итог"/>
        <d v="2023-06-20T00:00:00"/>
        <s v="20.06.2023 Итог"/>
        <d v="2023-06-21T00:00:00"/>
        <s v="21.06.2023 Итог"/>
        <d v="2023-06-22T00:00:00"/>
        <s v="22.06.2023 Итог"/>
        <d v="2023-06-23T00:00:00"/>
        <s v="23.06.2023 Итог"/>
        <d v="2023-06-24T00:00:00"/>
        <s v="24.06.2023 Итог"/>
        <d v="2023-06-25T00:00:00"/>
        <s v="25.06.2023 Итог"/>
        <d v="2023-06-26T00:00:00"/>
        <s v="26.06.2023 Итог"/>
        <d v="2023-06-27T00:00:00"/>
        <s v="27.06.2023 Итог"/>
        <d v="2023-06-28T00:00:00"/>
        <s v="28.06.2023 Итог"/>
        <d v="2023-06-29T00:00:00"/>
        <s v="29.06.2023 Итог"/>
        <d v="2023-06-30T00:00:00"/>
        <s v="30.06.2023 Итог"/>
        <d v="2023-07-01T00:00:00"/>
        <s v="01.07.2023 Итог"/>
        <d v="2023-07-02T00:00:00"/>
        <s v="02.07.2023 Итог"/>
        <d v="2023-07-03T00:00:00"/>
        <s v="03.07.2023 Итог"/>
        <d v="2023-07-04T00:00:00"/>
        <s v="04.07.2023 Итог"/>
        <d v="2023-07-05T00:00:00"/>
        <s v="05.07.2023 Итог"/>
        <d v="2023-07-06T00:00:00"/>
        <s v="06.07.2023 Итог"/>
        <d v="2023-07-07T00:00:00"/>
        <s v="07.07.2023 Итог"/>
        <d v="2023-07-08T00:00:00"/>
        <s v="08.07.2023 Итог"/>
        <d v="2023-07-09T00:00:00"/>
        <s v="09.07.2023 Итог"/>
        <d v="2023-07-10T00:00:00"/>
        <s v="10.07.2023 Итог"/>
        <d v="2023-07-11T00:00:00"/>
        <s v="11.07.2023 Итог"/>
        <d v="2023-07-12T00:00:00"/>
        <s v="12.07.2023 Итог"/>
        <d v="2023-07-13T00:00:00"/>
        <s v="13.07.2023 Итог"/>
        <d v="2023-07-14T00:00:00"/>
        <s v="14.07.2023 Итог"/>
        <d v="2023-07-15T00:00:00"/>
        <s v="15.07.2023 Итог"/>
        <d v="2023-07-16T00:00:00"/>
        <s v="16.07.2023 Итог"/>
        <d v="2023-07-17T00:00:00"/>
        <s v="17.07.2023 Итог"/>
        <d v="2023-07-18T00:00:00"/>
        <s v="18.07.2023 Итог"/>
        <d v="2023-07-19T00:00:00"/>
        <s v="19.07.2023 Итог"/>
        <d v="2023-07-20T00:00:00"/>
        <s v="20.07.2023 Итог"/>
        <d v="2023-07-21T00:00:00"/>
        <s v="21.07.2023 Итог"/>
        <d v="2023-07-22T00:00:00"/>
        <s v="22.07.2023 Итог"/>
        <d v="2023-07-23T00:00:00"/>
        <s v="23.07.2023 Итог"/>
        <d v="2023-07-24T00:00:00"/>
        <s v="24.07.2023 Итог"/>
        <d v="2023-07-25T00:00:00"/>
        <s v="25.07.2023 Итог"/>
        <d v="2023-07-26T00:00:00"/>
        <s v="26.07.2023 Итог"/>
        <d v="2023-07-27T00:00:00"/>
        <s v="27.07.2023 Итог"/>
        <d v="2023-07-28T00:00:00"/>
        <s v="28.07.2023 Итог"/>
        <d v="2023-07-29T00:00:00"/>
        <s v="29.07.2023 Итог"/>
        <d v="2023-07-30T00:00:00"/>
        <s v="30.07.2023 Итог"/>
        <d v="2023-07-31T00:00:00"/>
        <s v="31.07.2023 Итог"/>
        <d v="2023-08-01T00:00:00"/>
        <s v="01.08.2023 Итог"/>
        <d v="2023-08-02T00:00:00"/>
        <s v="02.08.2023 Итог"/>
        <d v="2023-08-03T00:00:00"/>
        <s v="03.08.2023 Итог"/>
        <d v="2023-08-04T00:00:00"/>
        <s v="04.08.2023 Итог"/>
        <d v="2023-08-05T00:00:00"/>
        <s v="05.08.2023 Итог"/>
        <d v="2023-08-06T00:00:00"/>
        <s v="06.08.2023 Итог"/>
        <d v="2023-08-07T00:00:00"/>
        <s v="07.08.2023 Итог"/>
        <d v="2023-08-08T00:00:00"/>
        <s v="08.08.2023 Итог"/>
        <d v="2023-08-09T00:00:00"/>
        <s v="09.08.2023 Итог"/>
        <d v="2023-08-10T00:00:00"/>
        <s v="10.08.2023 Итог"/>
        <d v="2023-08-11T00:00:00"/>
        <s v="11.08.2023 Итог"/>
        <d v="2023-08-12T00:00:00"/>
        <s v="12.08.2023 Итог"/>
        <d v="2023-08-13T00:00:00"/>
        <s v="13.08.2023 Итог"/>
        <d v="2023-08-14T00:00:00"/>
        <s v="14.08.2023 Итог"/>
        <d v="2023-08-15T00:00:00"/>
        <s v="15.08.2023 Итог"/>
        <d v="2023-08-16T00:00:00"/>
        <s v="16.08.2023 Итог"/>
        <d v="2023-08-17T00:00:00"/>
        <s v="17.08.2023 Итог"/>
        <d v="2023-08-18T00:00:00"/>
        <s v="18.08.2023 Итог"/>
        <d v="2023-08-19T00:00:00"/>
        <s v="19.08.2023 Итог"/>
        <d v="2023-08-20T00:00:00"/>
        <s v="20.08.2023 Итог"/>
        <d v="2023-08-21T00:00:00"/>
        <s v="21.08.2023 Итог"/>
        <d v="2023-08-22T00:00:00"/>
        <s v="22.08.2023 Итог"/>
        <d v="2023-08-23T00:00:00"/>
        <s v="23.08.2023 Итог"/>
        <d v="2023-08-24T00:00:00"/>
        <s v="24.08.2023 Итог"/>
        <d v="2023-08-25T00:00:00"/>
        <s v="25.08.2023 Итог"/>
        <d v="2023-08-26T00:00:00"/>
        <s v="26.08.2023 Итог"/>
        <d v="2023-08-27T00:00:00"/>
        <s v="27.08.2023 Итог"/>
        <d v="2023-08-28T00:00:00"/>
        <s v="28.08.2023 Итог"/>
        <d v="2023-08-29T00:00:00"/>
        <s v="29.08.2023 Итог"/>
        <d v="2023-08-30T00:00:00"/>
        <s v="30.08.2023 Итог"/>
        <d v="2023-08-31T00:00:00"/>
        <s v="31.08.2023 Итог"/>
        <d v="2023-09-01T00:00:00"/>
        <s v="01.09.2023 Итог"/>
        <d v="2023-09-02T00:00:00"/>
        <s v="02.09.2023 Итог"/>
        <d v="2023-09-03T00:00:00"/>
        <s v="03.09.2023 Итог"/>
        <d v="2023-09-04T00:00:00"/>
        <s v="04.09.2023 Итог"/>
        <d v="2023-09-05T00:00:00"/>
        <s v="05.09.2023 Итог"/>
        <d v="2023-09-06T00:00:00"/>
        <s v="06.09.2023 Итог"/>
        <d v="2023-09-07T00:00:00"/>
        <s v="07.09.2023 Итог"/>
        <d v="2023-09-08T00:00:00"/>
        <s v="08.09.2023 Итог"/>
        <d v="2023-09-09T00:00:00"/>
        <s v="09.09.2023 Итог"/>
        <d v="2023-09-10T00:00:00"/>
        <s v="10.09.2023 Итог"/>
        <d v="2023-09-11T00:00:00"/>
        <s v="11.09.2023 Итог"/>
        <d v="2023-09-12T00:00:00"/>
        <s v="12.09.2023 Итог"/>
        <d v="2023-09-13T00:00:00"/>
        <s v="13.09.2023 Итог"/>
        <d v="2023-09-14T00:00:00"/>
        <s v="14.09.2023 Итог"/>
        <d v="2023-09-15T00:00:00"/>
        <s v="15.09.2023 Итог"/>
        <d v="2023-09-16T00:00:00"/>
        <s v="16.09.2023 Итог"/>
        <d v="2023-09-17T00:00:00"/>
        <s v="17.09.2023 Итог"/>
        <d v="2023-09-18T00:00:00"/>
        <s v="18.09.2023 Итог"/>
        <d v="2023-09-19T00:00:00"/>
        <s v="19.09.2023 Итог"/>
        <d v="2023-09-20T00:00:00"/>
        <s v="20.09.2023 Итог"/>
        <d v="2023-09-21T00:00:00"/>
        <s v="21.09.2023 Итог"/>
        <d v="2023-09-22T00:00:00"/>
        <s v="22.09.2023 Итог"/>
        <d v="2023-09-23T00:00:00"/>
        <s v="23.09.2023 Итог"/>
        <d v="2023-09-24T00:00:00"/>
        <s v="24.09.2023 Итог"/>
        <d v="2023-09-25T00:00:00"/>
        <s v="25.09.2023 Итог"/>
        <d v="2023-09-26T00:00:00"/>
        <s v="26.09.2023 Итог"/>
        <d v="2023-09-27T00:00:00"/>
        <s v="27.09.2023 Итог"/>
        <d v="2023-09-28T00:00:00"/>
        <s v="28.09.2023 Итог"/>
        <d v="2023-09-29T00:00:00"/>
        <s v="29.09.2023 Итог"/>
        <d v="2023-09-30T00:00:00"/>
        <s v="30.09.2023 Итог"/>
        <d v="2023-10-01T00:00:00"/>
        <s v="01.10.2023 Итог"/>
        <d v="2023-10-02T00:00:00"/>
        <s v="02.10.2023 Итог"/>
        <d v="2023-10-03T00:00:00"/>
        <s v="03.10.2023 Итог"/>
        <d v="2023-10-04T00:00:00"/>
        <s v="04.10.2023 Итог"/>
        <d v="2023-10-05T00:00:00"/>
        <s v="05.10.2023 Итог"/>
        <d v="2023-10-06T00:00:00"/>
        <s v="06.10.2023 Итог"/>
        <d v="2023-10-07T00:00:00"/>
        <s v="07.10.2023 Итог"/>
        <d v="2023-10-08T00:00:00"/>
        <s v="08.10.2023 Итог"/>
        <d v="2023-10-09T00:00:00"/>
        <s v="09.10.2023 Итог"/>
        <d v="2023-10-10T00:00:00"/>
        <s v="10.10.2023 Итог"/>
        <d v="2023-10-11T00:00:00"/>
        <s v="11.10.2023 Итог"/>
        <d v="2023-10-12T00:00:00"/>
        <s v="12.10.2023 Итог"/>
        <d v="2023-10-13T00:00:00"/>
        <s v="13.10.2023 Итог"/>
        <d v="2023-10-14T00:00:00"/>
        <s v="14.10.2023 Итог"/>
        <d v="2023-10-15T00:00:00"/>
        <s v="15.10.2023 Итог"/>
        <d v="2023-10-16T00:00:00"/>
        <s v="16.10.2023 Итог"/>
        <d v="2023-10-17T00:00:00"/>
        <s v="17.10.2023 Итог"/>
        <d v="2023-10-18T00:00:00"/>
        <s v="18.10.2023 Итог"/>
        <d v="2023-10-19T00:00:00"/>
        <s v="19.10.2023 Итог"/>
        <d v="2023-10-20T00:00:00"/>
        <s v="20.10.2023 Итог"/>
        <d v="2023-10-21T00:00:00"/>
        <s v="21.10.2023 Итог"/>
        <d v="2023-10-22T00:00:00"/>
        <s v="22.10.2023 Итог"/>
        <d v="2023-10-23T00:00:00"/>
        <s v="23.10.2023 Итог"/>
        <d v="2023-10-24T00:00:00"/>
        <s v="24.10.2023 Итог"/>
        <d v="2023-10-25T00:00:00"/>
        <s v="25.10.2023 Итог"/>
        <d v="2023-10-26T00:00:00"/>
        <s v="26.10.2023 Итог"/>
        <d v="2023-10-27T00:00:00"/>
        <s v="27.10.2023 Итог"/>
        <d v="2023-10-28T00:00:00"/>
        <s v="28.10.2023 Итог"/>
        <d v="2023-10-29T00:00:00"/>
        <s v="29.10.2023 Итог"/>
        <d v="2023-10-30T00:00:00"/>
        <s v="30.10.2023 Итог"/>
        <d v="2023-10-31T00:00:00"/>
        <s v="31.10.2023 Итог"/>
        <d v="2023-11-01T00:00:00"/>
        <s v="01.11.2023 Итог"/>
        <d v="2023-11-02T00:00:00"/>
        <s v="02.11.2023 Итог"/>
        <d v="2023-11-03T00:00:00"/>
        <s v="03.11.2023 Итог"/>
        <d v="2023-11-04T00:00:00"/>
        <s v="04.11.2023 Итог"/>
        <d v="2023-11-05T00:00:00"/>
        <s v="05.11.2023 Итог"/>
        <d v="2023-11-06T00:00:00"/>
        <s v="06.11.2023 Итог"/>
        <d v="2023-11-07T00:00:00"/>
        <s v="07.11.2023 Итог"/>
        <d v="2023-11-08T00:00:00"/>
        <s v="08.11.2023 Итог"/>
        <d v="2023-11-09T00:00:00"/>
        <s v="09.11.2023 Итог"/>
        <d v="2023-11-10T00:00:00"/>
        <s v="10.11.2023 Итог"/>
        <d v="2023-11-11T00:00:00"/>
        <s v="11.11.2023 Итог"/>
        <d v="2023-11-12T00:00:00"/>
        <s v="12.11.2023 Итог"/>
        <d v="2023-11-13T00:00:00"/>
        <s v="13.11.2023 Итог"/>
        <d v="2023-11-14T00:00:00"/>
        <s v="14.11.2023 Итог"/>
        <d v="2023-11-15T00:00:00"/>
        <s v="15.11.2023 Итог"/>
        <d v="2023-11-16T00:00:00"/>
        <s v="16.11.2023 Итог"/>
        <d v="2023-11-17T00:00:00"/>
        <s v="17.11.2023 Итог"/>
        <d v="2023-11-18T00:00:00"/>
        <s v="18.11.2023 Итог"/>
        <d v="2023-11-19T00:00:00"/>
        <s v="19.11.2023 Итог"/>
        <d v="2023-11-20T00:00:00"/>
        <s v="20.11.2023 Итог"/>
        <d v="2023-11-21T00:00:00"/>
        <s v="21.11.2023 Итог"/>
        <d v="2023-11-22T00:00:00"/>
        <s v="22.11.2023 Итог"/>
        <d v="2023-11-23T00:00:00"/>
        <s v="23.11.2023 Итог"/>
        <d v="2023-11-24T00:00:00"/>
        <s v="24.11.2023 Итог"/>
        <d v="2023-11-25T00:00:00"/>
        <s v="25.11.2023 Итог"/>
        <d v="2023-11-26T00:00:00"/>
        <s v="26.11.2023 Итог"/>
        <d v="2023-11-27T00:00:00"/>
        <s v="27.11.2023 Итог"/>
        <d v="2023-11-28T00:00:00"/>
        <s v="28.11.2023 Итог"/>
        <d v="2023-11-29T00:00:00"/>
        <s v="29.11.2023 Итог"/>
        <d v="2023-11-30T00:00:00"/>
        <s v="30.11.2023 Итог"/>
        <d v="2023-12-01T00:00:00"/>
        <s v="01.12.2023 Итог"/>
        <d v="2023-12-02T00:00:00"/>
        <s v="02.12.2023 Итог"/>
        <d v="2023-12-03T00:00:00"/>
        <s v="03.12.2023 Итог"/>
        <d v="2023-12-04T00:00:00"/>
        <s v="04.12.2023 Итог"/>
        <d v="2023-12-05T00:00:00"/>
        <s v="05.12.2023 Итог"/>
        <d v="2023-12-06T00:00:00"/>
        <s v="06.12.2023 Итог"/>
        <d v="2023-12-07T00:00:00"/>
        <s v="07.12.2023 Итог"/>
        <d v="2023-12-08T00:00:00"/>
        <s v="08.12.2023 Итог"/>
        <d v="2023-12-09T00:00:00"/>
        <s v="09.12.2023 Итог"/>
        <d v="2023-12-10T00:00:00"/>
        <s v="10.12.2023 Итог"/>
        <d v="2023-12-11T00:00:00"/>
        <s v="11.12.2023 Итог"/>
        <d v="2023-12-12T00:00:00"/>
        <s v="12.12.2023 Итог"/>
        <d v="2023-12-13T00:00:00"/>
        <s v="13.12.2023 Итог"/>
        <d v="2023-12-14T00:00:00"/>
        <s v="14.12.2023 Итог"/>
        <d v="2023-12-15T00:00:00"/>
        <s v="15.12.2023 Итог"/>
        <d v="2023-12-16T00:00:00"/>
        <s v="16.12.2023 Итог"/>
        <d v="2023-12-17T00:00:00"/>
        <s v="17.12.2023 Итог"/>
        <d v="2023-12-18T00:00:00"/>
        <s v="18.12.2023 Итог"/>
        <d v="2023-12-19T00:00:00"/>
        <s v="19.12.2023 Итог"/>
        <d v="2023-12-20T00:00:00"/>
        <s v="20.12.2023 Итог"/>
        <d v="2023-12-21T00:00:00"/>
        <s v="21.12.2023 Итог"/>
        <d v="2023-12-22T00:00:00"/>
        <s v="22.12.2023 Итог"/>
        <d v="2023-12-23T00:00:00"/>
        <s v="23.12.2023 Итог"/>
        <d v="2023-12-24T00:00:00"/>
        <s v="24.12.2023 Итог"/>
        <d v="2023-12-25T00:00:00"/>
        <s v="25.12.2023 Итог"/>
        <d v="2023-12-26T00:00:00"/>
        <s v="26.12.2023 Итог"/>
        <d v="2023-12-27T00:00:00"/>
        <s v="27.12.2023 Итог"/>
        <d v="2023-12-28T00:00:00"/>
        <s v="28.12.2023 Итог"/>
        <d v="2023-12-29T00:00:00"/>
        <s v="29.12.2023 Итог"/>
        <d v="2023-12-30T00:00:00"/>
        <s v="30.12.2023 Итог"/>
        <d v="2023-12-31T00:00:00"/>
        <s v="31.12.2023 Итог"/>
        <d v="2025-10-25T00:00:00"/>
        <s v="25.10.2025 Итог"/>
        <s v="Общий итог"/>
      </sharedItems>
    </cacheField>
    <cacheField name="Заказчик" numFmtId="0">
      <sharedItems containsBlank="1"/>
    </cacheField>
    <cacheField name="Город" numFmtId="0">
      <sharedItems containsBlank="1" count="7">
        <s v="Борисов"/>
        <s v="Минск"/>
        <m/>
        <s v="Барановичи"/>
        <s v="Жодино"/>
        <s v="Столбцы"/>
        <s v="Фаниполь"/>
      </sharedItems>
    </cacheField>
    <cacheField name="Категория товара" numFmtId="0">
      <sharedItems containsBlank="1" count="5">
        <s v="Фрукты"/>
        <s v="Зелень"/>
        <s v="Овощи"/>
        <m/>
        <s v="Ягоды"/>
      </sharedItems>
    </cacheField>
    <cacheField name="Товар" numFmtId="0">
      <sharedItems containsBlank="1" count="25">
        <s v="Абрикосы"/>
        <s v="Салат айсберг"/>
        <s v="Кабачки"/>
        <m/>
        <s v="Свекла"/>
        <s v="Сливы"/>
        <s v="Петрушка"/>
        <s v="Черешня"/>
        <s v="Капуста"/>
        <s v="Картофель"/>
        <s v="Яблоки"/>
        <s v="Малина"/>
        <s v="Морковь"/>
        <s v="Смородина черная"/>
        <s v="Брусника"/>
        <s v="Клубника"/>
        <s v="Баклажаны"/>
        <s v="Бананы"/>
        <s v="Кинза"/>
        <s v="Салат римский"/>
        <s v="Укроп"/>
        <s v="Голубика"/>
        <s v="Груши"/>
        <s v="Лук зеленый"/>
        <s v="Апельсины"/>
      </sharedItems>
    </cacheField>
    <cacheField name="Цена за упаковку" numFmtId="0">
      <sharedItems containsString="0" containsBlank="1" containsNumber="1" containsInteger="1" minValue="325" maxValue="7050"/>
    </cacheField>
    <cacheField name="Количество" numFmtId="0">
      <sharedItems containsString="0" containsBlank="1" containsNumber="1" containsInteger="1" minValue="5" maxValue="588"/>
    </cacheField>
    <cacheField name="Итого" numFmtId="164">
      <sharedItems containsSemiMixedTypes="0" containsString="0" containsNumber="1" minValue="1.625" maxValue="241608.38499999995" count="1804">
        <n v="249.48"/>
        <n v="37.26"/>
        <n v="65"/>
        <n v="351.74"/>
        <n v="19.8"/>
        <n v="79.98"/>
        <n v="46.08"/>
        <n v="147.84"/>
        <n v="38.18"/>
        <n v="10.35"/>
        <n v="47.97"/>
        <n v="42.24"/>
        <n v="59.4"/>
        <n v="10.01"/>
        <n v="9.0299999999999994"/>
        <n v="41.6"/>
        <n v="81.83"/>
        <n v="31.05"/>
        <n v="142.68"/>
        <n v="808.04"/>
        <n v="43.2"/>
        <n v="67.209999999999994"/>
        <n v="24.15"/>
        <n v="47.905000000000001"/>
        <n v="6.21"/>
        <n v="6.8250000000000002"/>
        <n v="71.28"/>
        <n v="31.605"/>
        <n v="10.725"/>
        <n v="23.14"/>
        <n v="79.2"/>
        <n v="411.45"/>
        <n v="103.84"/>
        <n v="27.885000000000002"/>
        <n v="164.82"/>
        <n v="54.51"/>
        <n v="40.92"/>
        <n v="53.625"/>
        <n v="5.5250000000000004"/>
        <n v="55.25"/>
        <n v="90.21"/>
        <n v="237.6"/>
        <n v="44.33"/>
        <n v="878.51499999999999"/>
        <n v="39.42"/>
        <n v="16.25"/>
        <n v="18.850000000000001"/>
        <n v="102.40500000000002"/>
        <n v="22.25"/>
        <n v="84"/>
        <n v="307.68"/>
        <n v="11.04"/>
        <n v="41.58"/>
        <n v="5.94"/>
        <n v="66.75"/>
        <n v="246"/>
        <n v="107.92"/>
        <n v="893.16"/>
        <n v="23.265000000000001"/>
        <n v="160.80000000000001"/>
        <n v="36.72"/>
        <n v="9"/>
        <n v="42.66"/>
        <n v="8.8000000000000007"/>
        <n v="21.774999999999999"/>
        <n v="24.18"/>
        <n v="327.2"/>
        <n v="33.28"/>
        <n v="70.400000000000006"/>
        <n v="57.96"/>
        <n v="137.74"/>
        <n v="140.28"/>
        <n v="30.1"/>
        <n v="7.15"/>
        <n v="172.2"/>
        <n v="9.66"/>
        <n v="118.8"/>
        <n v="48"/>
        <n v="20.79"/>
        <n v="62.204999999999998"/>
        <n v="908.56499999999983"/>
        <n v="33"/>
        <n v="133.94499999999999"/>
        <n v="57.2"/>
        <n v="14.52"/>
        <n v="63.45"/>
        <n v="19.78"/>
        <n v="177.8"/>
        <n v="76.680000000000007"/>
        <n v="576.375"/>
        <n v="66.974999999999994"/>
        <n v="87.29"/>
        <n v="97.98"/>
        <n v="8.1"/>
        <n v="52.8"/>
        <n v="110.88"/>
        <n v="170.72"/>
        <n v="45.09"/>
        <n v="190.5"/>
        <n v="55.8"/>
        <n v="886.13499999999999"/>
        <n v="50.055"/>
        <n v="116.9"/>
        <n v="44.8"/>
        <n v="24.31"/>
        <n v="90.3"/>
        <n v="22.5"/>
        <n v="126.72"/>
        <n v="31.98"/>
        <n v="189.095"/>
        <n v="696.66000000000008"/>
        <n v="81.599999999999994"/>
        <n v="66.88"/>
        <n v="218.4"/>
        <n v="11.96"/>
        <n v="93.72"/>
        <n v="8.125"/>
        <n v="27.59"/>
        <n v="6.23"/>
        <n v="655.58500000000004"/>
        <n v="20.46"/>
        <n v="122.76"/>
        <n v="161.99"/>
        <n v="163.35"/>
        <n v="33.299999999999997"/>
        <n v="9.24"/>
        <n v="179.48"/>
        <n v="142.24"/>
        <n v="20.010000000000002"/>
        <n v="897.92000000000007"/>
        <n v="14.805"/>
        <n v="27.06"/>
        <n v="152.4"/>
        <n v="173.07"/>
        <n v="17.04"/>
        <n v="384.375"/>
        <n v="52.92"/>
        <n v="65.86"/>
        <n v="78.319999999999993"/>
        <n v="301.27"/>
        <n v="43.42"/>
        <n v="15.73"/>
        <n v="54.12"/>
        <n v="46.5"/>
        <n v="127.925"/>
        <n v="30.48"/>
        <n v="81.84"/>
        <n v="59.34"/>
        <n v="5.4"/>
        <n v="17.875"/>
        <n v="104.14"/>
        <n v="1388.3400000000001"/>
        <n v="122.4"/>
        <n v="221.4"/>
        <n v="14.76"/>
        <n v="14.04"/>
        <n v="60.03"/>
        <n v="16.64"/>
        <n v="35.1"/>
        <n v="137.76"/>
        <n v="16.559999999999999"/>
        <n v="46.15"/>
        <n v="9.9"/>
        <n v="31.85"/>
        <n v="275.63"/>
        <n v="150.63499999999999"/>
        <n v="83.16"/>
        <n v="18.36"/>
        <n v="68.88"/>
        <n v="288.45"/>
        <n v="8.4600000000000009"/>
        <n v="1677.365"/>
        <n v="14.72"/>
        <n v="37.700000000000003"/>
        <n v="59.8"/>
        <n v="40.950000000000003"/>
        <n v="161.91999999999999"/>
        <n v="21.07"/>
        <n v="8.35"/>
        <n v="57.104999999999997"/>
        <n v="46.92"/>
        <n v="4.05"/>
        <n v="6.6"/>
        <n v="105.21"/>
        <n v="21.12"/>
        <n v="45.76"/>
        <n v="74.760000000000005"/>
        <n v="41.82"/>
        <n v="219.78"/>
        <n v="27.3"/>
        <n v="26.324999999999999"/>
        <n v="19.2"/>
        <n v="169.86500000000001"/>
        <n v="38.4"/>
        <n v="81.180000000000007"/>
        <n v="120.24"/>
        <n v="240.57"/>
        <n v="53.82"/>
        <n v="1862.7950000000003"/>
        <n v="22.1"/>
        <n v="24.84"/>
        <n v="121.79"/>
        <n v="17.28"/>
        <n v="63.36"/>
        <n v="233.7"/>
        <n v="40.185000000000002"/>
        <n v="33.479999999999997"/>
        <n v="139.69999999999999"/>
        <n v="17.78"/>
        <n v="135.44999999999999"/>
        <n v="66.239999999999995"/>
        <n v="52.195"/>
        <n v="23.25"/>
        <n v="37.625"/>
        <n v="1028.9749999999999"/>
        <n v="40.020000000000003"/>
        <n v="119.28"/>
        <n v="26.22"/>
        <n v="57.85"/>
        <n v="78.099999999999994"/>
        <n v="16.024999999999999"/>
        <n v="64.349999999999994"/>
        <n v="50.56"/>
        <n v="11.44"/>
        <n v="42.78"/>
        <n v="21.71"/>
        <n v="58.5"/>
        <n v="29.7"/>
        <n v="35.19"/>
        <n v="19.175000000000001"/>
        <n v="21.15"/>
        <n v="262.81"/>
        <n v="106.5"/>
        <n v="40.590000000000003"/>
        <n v="140.80000000000001"/>
        <n v="79.765000000000001"/>
        <n v="1613.645"/>
        <n v="20.8"/>
        <n v="82.775000000000006"/>
        <n v="26.68"/>
        <n v="56.484999999999999"/>
        <n v="5.52"/>
        <n v="28.8"/>
        <n v="166.32"/>
        <n v="8.2799999999999994"/>
        <n v="16.2"/>
        <n v="157.41"/>
        <n v="66.42"/>
        <n v="38.07"/>
        <n v="50.49"/>
        <n v="782.75"/>
        <n v="62.744999999999997"/>
        <n v="115.02"/>
        <n v="22.08"/>
        <n v="19.68"/>
        <n v="96.15"/>
        <n v="33.81"/>
        <n v="26.4"/>
        <n v="207.9"/>
        <n v="310.88499999999999"/>
        <n v="12.025"/>
        <n v="64.715000000000003"/>
        <n v="51.15"/>
        <n v="208.28"/>
        <n v="13.36"/>
        <n v="61.79"/>
        <n v="28.925000000000001"/>
        <n v="44.2"/>
        <n v="1474.0049999999999"/>
        <n v="24.3"/>
        <n v="51.06"/>
        <n v="3.5750000000000002"/>
        <n v="88.56"/>
        <n v="48.075000000000003"/>
        <n v="14.24"/>
        <n v="17.940000000000001"/>
        <n v="52.54"/>
        <n v="12.16"/>
        <n v="3.22"/>
        <n v="5.58"/>
        <n v="35.340000000000003"/>
        <n v="83.64"/>
        <n v="52.38"/>
        <n v="700.99"/>
        <n v="123"/>
        <n v="55.695"/>
        <n v="11.34"/>
        <n v="24.03"/>
        <n v="73.47"/>
        <n v="128.04"/>
        <n v="155.31"/>
        <n v="13.975"/>
        <n v="165.1"/>
        <n v="165.33"/>
        <n v="12.8"/>
        <n v="125.46"/>
        <n v="142.56"/>
        <n v="49.28"/>
        <n v="65.064999999999998"/>
        <n v="272.42500000000001"/>
        <n v="93.98"/>
        <n v="1765.1799999999998"/>
        <n v="36.270000000000003"/>
        <n v="7.04"/>
        <n v="251.46"/>
        <n v="112.18"/>
        <n v="20.149999999999999"/>
        <n v="104.88"/>
        <n v="10.119999999999999"/>
        <n v="15.62"/>
        <n v="14.2"/>
        <n v="70.510000000000005"/>
        <n v="178.2"/>
        <n v="19.84"/>
        <n v="223.52"/>
        <n v="86.13"/>
        <n v="1646.9299999999998"/>
        <n v="44.85"/>
        <n v="47.234999999999999"/>
        <n v="40.04"/>
        <n v="67.305000000000007"/>
        <n v="43.65"/>
        <n v="231.14"/>
        <n v="184.5"/>
        <n v="16.02"/>
        <n v="16.649999999999999"/>
        <n v="121.77"/>
        <n v="13.65"/>
        <n v="890.9799999999999"/>
        <n v="86.94"/>
        <n v="168"/>
        <n v="226.06"/>
        <n v="34.545000000000002"/>
        <n v="14.58"/>
        <n v="58.695"/>
        <n v="243.54"/>
        <n v="89.76"/>
        <n v="15.6"/>
        <n v="115.92"/>
        <n v="111.89"/>
        <n v="86.534999999999997"/>
        <n v="1541.9000000000003"/>
        <n v="3.9"/>
        <n v="221.14500000000001"/>
        <n v="225.72"/>
        <n v="85.56"/>
        <n v="154.88"/>
        <n v="89.46"/>
        <n v="234.63"/>
        <n v="36.479999999999997"/>
        <n v="22.88"/>
        <n v="56.76"/>
        <n v="44.02"/>
        <n v="42.9"/>
        <n v="109.89"/>
        <n v="1495.1450000000004"/>
        <n v="41.4"/>
        <n v="15.925000000000001"/>
        <n v="73.66"/>
        <n v="48.75"/>
        <n v="21.45"/>
        <n v="18.86"/>
        <n v="88"/>
        <n v="72.16"/>
        <n v="25.92"/>
        <n v="32.04"/>
        <n v="134.9"/>
        <n v="779.6450000000001"/>
        <n v="13.324999999999999"/>
        <n v="49.2"/>
        <n v="16.215"/>
        <n v="147.43"/>
        <n v="37.200000000000003"/>
        <n v="99.63"/>
        <n v="46.655000000000001"/>
        <n v="8.4499999999999993"/>
        <n v="26"/>
        <n v="80.959999999999994"/>
        <n v="16.739999999999998"/>
        <n v="26.73"/>
        <n v="191.88"/>
        <n v="93"/>
        <n v="13.395"/>
        <n v="18.63"/>
        <n v="105.08"/>
        <n v="30.75"/>
        <n v="174.24"/>
        <n v="21.6"/>
        <n v="243.84"/>
        <n v="1880.2249999999999"/>
        <n v="84.18"/>
        <n v="63.05"/>
        <n v="32.5"/>
        <n v="35.549999999999997"/>
        <n v="160.32"/>
        <n v="36.465000000000003"/>
        <n v="128.59"/>
        <n v="19.579999999999998"/>
        <n v="5.72"/>
        <n v="86.24"/>
        <n v="144.47999999999999"/>
        <n v="16"/>
        <n v="40.94"/>
        <n v="126.96"/>
        <n v="1311.4350000000002"/>
        <n v="96.6"/>
        <n v="34.32"/>
        <n v="4.45"/>
        <n v="32.659999999999997"/>
        <n v="42.185000000000002"/>
        <n v="136.80000000000001"/>
        <n v="75.260000000000005"/>
        <n v="2.7"/>
        <n v="47.52"/>
        <n v="44.55"/>
        <n v="110.7"/>
        <n v="35.954999999999998"/>
        <n v="41.594999999999999"/>
        <n v="24.75"/>
        <n v="236.22"/>
        <n v="1169.6600000000001"/>
        <n v="6.75"/>
        <n v="47.61"/>
        <n v="62.4"/>
        <n v="78.72"/>
        <n v="39.6"/>
        <n v="28.48"/>
        <n v="25.64"/>
        <n v="189.42"/>
        <n v="56.32"/>
        <n v="47.36"/>
        <n v="8.64"/>
        <n v="84.48"/>
        <n v="46.44"/>
        <n v="38.340000000000003"/>
        <n v="216"/>
        <n v="184.14"/>
        <n v="1427.4100000000003"/>
        <n v="3.24"/>
        <n v="108.55"/>
        <n v="112.86"/>
        <n v="33.119999999999997"/>
        <n v="53.95"/>
        <n v="96.56"/>
        <n v="124.96"/>
        <n v="8.9"/>
        <n v="83.78"/>
        <n v="31.2"/>
        <n v="103.66"/>
        <n v="31.86"/>
        <n v="23.46"/>
        <n v="43.56"/>
        <n v="148.5"/>
        <n v="154.97999999999999"/>
        <n v="1306.1200000000001"/>
        <n v="48.3"/>
        <n v="108.24"/>
        <n v="59.52"/>
        <n v="22.95"/>
        <n v="7.12"/>
        <n v="10.88"/>
        <n v="116.84"/>
        <n v="139.19999999999999"/>
        <n v="109.56"/>
        <n v="75.239999999999995"/>
        <n v="105.78"/>
        <n v="34.71"/>
        <n v="36.799999999999997"/>
        <n v="1248.5300000000002"/>
        <n v="19.5"/>
        <n v="9.4499999999999993"/>
        <n v="38.64"/>
        <n v="30.26"/>
        <n v="101.64"/>
        <n v="72"/>
        <n v="133.6"/>
        <n v="95.19"/>
        <n v="39.76"/>
        <n v="76.819999999999993"/>
        <n v="157.44"/>
        <n v="11.7"/>
        <n v="12.3"/>
        <n v="15.75"/>
        <n v="54.18"/>
        <n v="130.935"/>
        <n v="93.48"/>
        <n v="1489.2350000000001"/>
        <n v="45.44"/>
        <n v="39.06"/>
        <n v="243.58"/>
        <n v="25.53"/>
        <n v="118.08"/>
        <n v="213.84"/>
        <n v="60.8"/>
        <n v="48.645000000000003"/>
        <n v="4.83"/>
        <n v="13.95"/>
        <n v="1301.7850000000001"/>
        <n v="43.55"/>
        <n v="77.44"/>
        <n v="60.12"/>
        <n v="86.84"/>
        <n v="150.06"/>
        <n v="882.30000000000007"/>
        <n v="43.005000000000003"/>
        <n v="13.8"/>
        <n v="21.39"/>
        <n v="213.6"/>
        <n v="130.63999999999999"/>
        <n v="12.04"/>
        <n v="124.46"/>
        <n v="37.76"/>
        <n v="23.04"/>
        <n v="7.44"/>
        <n v="119.38"/>
        <n v="228.6"/>
        <n v="33.15"/>
        <n v="1180.5050000000001"/>
        <n v="241.3"/>
        <n v="36.450000000000003"/>
        <n v="91.14"/>
        <n v="120.12"/>
        <n v="14.95"/>
        <n v="59.344999999999999"/>
        <n v="132"/>
        <n v="114.84"/>
        <n v="53.12"/>
        <n v="77.430000000000007"/>
        <n v="8.5500000000000007"/>
        <n v="9.1649999999999991"/>
        <n v="43.52"/>
        <n v="2.25"/>
        <n v="232.8"/>
        <n v="22.14"/>
        <n v="1608.4900000000002"/>
        <n v="13.02"/>
        <n v="172.48"/>
        <n v="56.78"/>
        <n v="66.930000000000007"/>
        <n v="40.479999999999997"/>
        <n v="259.60500000000002"/>
        <n v="62.04"/>
        <n v="12.46"/>
        <n v="22.32"/>
        <n v="75.150000000000006"/>
        <n v="256.39999999999998"/>
        <n v="24.92"/>
        <n v="36.659999999999997"/>
        <n v="23.594999999999999"/>
        <n v="98.4"/>
        <n v="58.42"/>
        <n v="135.30000000000001"/>
        <n v="185.89"/>
        <n v="1969.6700000000005"/>
        <n v="28.98"/>
        <n v="34.44"/>
        <n v="56.58"/>
        <n v="237.17"/>
        <n v="10.074999999999999"/>
        <n v="46"/>
        <n v="6.4"/>
        <n v="11.52"/>
        <n v="6.5"/>
        <n v="132.47999999999999"/>
        <n v="206.4"/>
        <n v="60"/>
        <n v="130.68"/>
        <n v="55.89"/>
        <n v="18.2"/>
        <n v="1470.3050000000003"/>
        <n v="34.200000000000003"/>
        <n v="72.42"/>
        <n v="133.47999999999999"/>
        <n v="24.7"/>
        <n v="2.2749999999999999"/>
        <n v="74.400000000000006"/>
        <n v="80.19"/>
        <n v="35.64"/>
        <n v="62.3"/>
        <n v="92.07"/>
        <n v="124.74"/>
        <n v="39.36"/>
        <n v="29.44"/>
        <n v="124.2"/>
        <n v="1207.4849999999999"/>
        <n v="126.42"/>
        <n v="60.63"/>
        <n v="20.239999999999998"/>
        <n v="38.25"/>
        <n v="194.4"/>
        <n v="15.99"/>
        <n v="105.35"/>
        <n v="112.875"/>
        <n v="724.255"/>
        <n v="42.72"/>
        <n v="81.88"/>
        <n v="89.79"/>
        <n v="36.96"/>
        <n v="175.23"/>
        <n v="64.97"/>
        <n v="29.52"/>
        <n v="557.53499999999997"/>
        <n v="102.12"/>
        <n v="38.61"/>
        <n v="89"/>
        <n v="57.6"/>
        <n v="264.33"/>
        <n v="48.06"/>
        <n v="54.484999999999999"/>
        <n v="768.44"/>
        <n v="31.74"/>
        <n v="1.625"/>
        <n v="14.85"/>
        <n v="71.34"/>
        <n v="56.55"/>
        <n v="22.164999999999999"/>
        <n v="328.76"/>
        <n v="84.28"/>
        <n v="80.040000000000006"/>
        <n v="16.899999999999999"/>
        <n v="26.1"/>
        <n v="73.8"/>
        <n v="33.020000000000003"/>
        <n v="51.48"/>
        <n v="38.774999999999999"/>
        <n v="7.8"/>
        <n v="477.08499999999998"/>
        <n v="58.65"/>
        <n v="15.18"/>
        <n v="44.82"/>
        <n v="64.08"/>
        <n v="27.45"/>
        <n v="116.44"/>
        <n v="29.37"/>
        <n v="87.33"/>
        <n v="760.04000000000008"/>
        <n v="33.82"/>
        <n v="34.65"/>
        <n v="26.97"/>
        <n v="578.34499999999991"/>
        <n v="103.5"/>
        <n v="25.38"/>
        <n v="134.61000000000001"/>
        <n v="158.65"/>
        <n v="47.45"/>
        <n v="26.65"/>
        <n v="252.45"/>
        <n v="100.74"/>
        <n v="1117.48"/>
        <n v="62.72"/>
        <n v="28.06"/>
        <n v="76.754999999999995"/>
        <n v="49.92"/>
        <n v="31.62"/>
        <n v="28.08"/>
        <n v="126.38"/>
        <n v="683.875"/>
        <n v="28.4"/>
        <n v="53.34"/>
        <n v="22.44"/>
        <n v="58.08"/>
        <n v="35.255000000000003"/>
        <n v="131.405"/>
        <n v="385.18999999999994"/>
        <n v="12.15"/>
        <n v="9.1"/>
        <n v="121.13"/>
        <n v="29.9"/>
        <n v="62.31"/>
        <n v="116.85"/>
        <n v="363.14"/>
        <n v="15.51"/>
        <n v="5.2"/>
        <n v="10.4"/>
        <n v="51.17"/>
        <n v="273.24"/>
        <n v="25.6"/>
        <n v="35.75"/>
        <n v="79.209999999999994"/>
        <n v="88.11"/>
        <n v="816.22000000000014"/>
        <n v="15.64"/>
        <n v="129.54"/>
        <n v="5.85"/>
        <n v="11.984999999999999"/>
        <n v="145.53"/>
        <n v="1103.1599999999999"/>
        <n v="83.7"/>
        <n v="57.69"/>
        <n v="17.55"/>
        <n v="35.880000000000003"/>
        <n v="67.62"/>
        <n v="32.64"/>
        <n v="140.58000000000001"/>
        <n v="803.77500000000009"/>
        <n v="18.37"/>
        <n v="111.78"/>
        <n v="231.66"/>
        <n v="559.84"/>
        <n v="40.299999999999997"/>
        <n v="57.81"/>
        <n v="117.86"/>
        <n v="117.39"/>
        <n v="160.16"/>
        <n v="9.7200000000000006"/>
        <n v="685.31000000000006"/>
        <n v="121.92"/>
        <n v="69.23"/>
        <n v="3.5249999999999999"/>
        <n v="41.04"/>
        <n v="139.16"/>
        <n v="33.92"/>
        <n v="776.59500000000003"/>
        <n v="43.71"/>
        <n v="33.799999999999997"/>
        <n v="25.2"/>
        <n v="7.4749999999999996"/>
        <n v="54.99"/>
        <n v="221.47"/>
        <n v="35.67"/>
        <n v="130.26"/>
        <n v="93.84"/>
        <n v="182.4"/>
        <n v="656.88499999999999"/>
        <n v="50.4"/>
        <n v="64.8"/>
        <n v="6.9"/>
        <n v="172.8"/>
        <n v="200.66"/>
        <n v="82.77"/>
        <n v="904.68000000000006"/>
        <n v="111.37"/>
        <n v="115.62"/>
        <n v="85.17"/>
        <n v="73.14"/>
        <n v="12.88"/>
        <n v="127.8"/>
        <n v="707.24"/>
        <n v="28.29"/>
        <n v="124.08"/>
        <n v="95.22"/>
        <n v="131.1"/>
        <n v="431.65999999999997"/>
        <n v="17.100000000000001"/>
        <n v="45.54"/>
        <n v="27.6"/>
        <n v="31.46"/>
        <n v="54.6"/>
        <n v="69.599999999999994"/>
        <n v="662.78"/>
        <n v="25.3"/>
        <n v="285.245"/>
        <n v="64.86"/>
        <n v="9.4250000000000007"/>
        <n v="88.795000000000002"/>
        <n v="101.6"/>
        <n v="23.4"/>
        <n v="67.319999999999993"/>
        <n v="1061.3999999999999"/>
        <n v="100.32"/>
        <n v="53.58"/>
        <n v="467.26499999999999"/>
        <n v="27.625"/>
        <n v="43.615000000000002"/>
        <n v="131.93"/>
        <n v="716.94499999999994"/>
        <n v="55.38"/>
        <n v="46.86"/>
        <n v="25.024999999999999"/>
        <n v="105.6"/>
        <n v="36"/>
        <n v="76.540000000000006"/>
        <n v="18.45"/>
        <n v="45.39"/>
        <n v="72.599999999999994"/>
        <n v="567.18499999999995"/>
        <n v="59.84"/>
        <n v="61.06"/>
        <n v="115.2"/>
        <n v="117.48"/>
        <n v="588.57000000000005"/>
        <n v="196.02"/>
        <n v="34.450000000000003"/>
        <n v="100.8"/>
        <n v="133.65"/>
        <n v="31.524999999999999"/>
        <n v="78.489999999999995"/>
        <n v="33.4"/>
        <n v="981.60500000000002"/>
        <n v="29.16"/>
        <n v="291.06"/>
        <n v="7.59"/>
        <n v="104.55"/>
        <n v="201.91499999999999"/>
        <n v="828.34500000000003"/>
        <n v="39.65"/>
        <n v="38.130000000000003"/>
        <n v="44.16"/>
        <n v="593.30000000000007"/>
        <n v="20.445"/>
        <n v="21.76"/>
        <n v="70.5"/>
        <n v="147.6"/>
        <n v="460.375"/>
        <n v="53.46"/>
        <n v="51.2"/>
        <n v="117.3"/>
        <n v="32.174999999999997"/>
        <n v="97.17"/>
        <n v="736.47500000000002"/>
        <n v="49.29"/>
        <n v="118.57"/>
        <n v="20.7"/>
        <n v="320.91999999999996"/>
        <n v="4.32"/>
        <n v="163.66"/>
        <n v="32.43"/>
        <n v="18.600000000000001"/>
        <n v="37.950000000000003"/>
        <n v="80.52"/>
        <n v="41.85"/>
        <n v="71.2"/>
        <n v="505.5"/>
        <n v="177.6"/>
        <n v="65.78"/>
        <n v="64.680000000000007"/>
        <n v="113.6"/>
        <n v="16.445"/>
        <n v="782.27500000000009"/>
        <n v="60.96"/>
        <n v="25.35"/>
        <n v="100.86"/>
        <n v="172.72"/>
        <n v="63.7"/>
        <n v="68.31"/>
        <n v="887.27"/>
        <n v="80.125"/>
        <n v="17.920000000000002"/>
        <n v="41.86"/>
        <n v="5.0049999999999999"/>
        <n v="27.14"/>
        <n v="350.63499999999999"/>
        <n v="58.63"/>
        <n v="65.12"/>
        <n v="56.43"/>
        <n v="90.88"/>
        <n v="151.47"/>
        <n v="25.585000000000001"/>
        <n v="180"/>
        <n v="41.18"/>
        <n v="916.59999999999991"/>
        <n v="29.67"/>
        <n v="144.32"/>
        <n v="28.6"/>
        <n v="102.56"/>
        <n v="94.814999999999998"/>
        <n v="13.545"/>
        <n v="9.75"/>
        <n v="781.59999999999991"/>
        <n v="153.84"/>
        <n v="93.52"/>
        <n v="99.4"/>
        <n v="4.5"/>
        <n v="837.05"/>
        <n v="24.6"/>
        <n v="93.28"/>
        <n v="60.52"/>
        <n v="76.92"/>
        <n v="33.58"/>
        <n v="226.32"/>
        <n v="675.19"/>
        <n v="141.02000000000001"/>
        <n v="88.35"/>
        <n v="651.21500000000003"/>
        <n v="72.239999999999995"/>
        <n v="60.45"/>
        <n v="433.64499999999998"/>
        <n v="35.6"/>
        <n v="32.67"/>
        <n v="68.27000000000001"/>
        <n v="56.96"/>
        <n v="2.76"/>
        <n v="55.35"/>
        <n v="285.12"/>
        <n v="106.68"/>
        <n v="26.46"/>
        <n v="73.745000000000005"/>
        <n v="1078.8"/>
        <n v="82.36"/>
        <n v="107.36"/>
        <n v="78.66"/>
        <n v="67.650000000000006"/>
        <n v="77.22"/>
        <n v="10.574999999999999"/>
        <n v="132.08000000000001"/>
        <n v="879.46500000000015"/>
        <n v="145.98500000000001"/>
        <n v="179.58"/>
        <n v="110.76"/>
        <n v="45.57"/>
        <n v="122.12"/>
        <n v="826.06000000000006"/>
        <n v="128.34"/>
        <n v="39.15"/>
        <n v="14.08"/>
        <n v="91.805000000000007"/>
        <n v="95.94"/>
        <n v="38.28"/>
        <n v="599.21500000000003"/>
        <n v="78.12"/>
        <n v="120.4"/>
        <n v="97.825000000000003"/>
        <n v="66.03"/>
        <n v="626.625"/>
        <n v="204.18"/>
        <n v="43.74"/>
        <n v="44.5"/>
        <n v="35.034999999999997"/>
        <n v="92.4"/>
        <n v="40.634999999999998"/>
        <n v="150.5"/>
        <n v="113.52"/>
        <n v="48.26"/>
        <n v="772.77"/>
        <n v="17.82"/>
        <n v="46.8"/>
        <n v="103.32"/>
        <n v="309.91499999999996"/>
        <n v="4.55"/>
        <n v="44.1"/>
        <n v="51.66"/>
        <n v="106.88"/>
        <n v="118.68"/>
        <n v="126.92"/>
        <n v="916.6"/>
        <n v="121.44"/>
        <n v="63.21"/>
        <n v="350.78999999999996"/>
        <n v="30.315000000000001"/>
        <n v="114.54"/>
        <n v="22.54"/>
        <n v="42.09"/>
        <n v="80.94"/>
        <n v="343.79500000000002"/>
        <n v="198.12"/>
        <n v="28.594999999999999"/>
        <n v="54.4"/>
        <n v="19.88"/>
        <n v="963.17"/>
        <n v="137.815"/>
        <n v="375.71500000000003"/>
        <n v="26.98"/>
        <n v="228"/>
        <n v="144.22499999999999"/>
        <n v="457.19500000000005"/>
        <n v="50.22"/>
        <n v="9.1999999999999993"/>
        <n v="13.05"/>
        <n v="91.52"/>
        <n v="345.96499999999997"/>
        <n v="52.48"/>
        <n v="26.88"/>
        <n v="220.98"/>
        <n v="56.8"/>
        <n v="870.78499999999997"/>
        <n v="19.440000000000001"/>
        <n v="272.42"/>
        <n v="115.23"/>
        <n v="30.06"/>
        <n v="475.05500000000001"/>
        <n v="177.12"/>
        <n v="109.02"/>
        <n v="52.17"/>
        <n v="13.11"/>
        <n v="13.44"/>
        <n v="684.15000000000009"/>
        <n v="142"/>
        <n v="249.99"/>
        <n v="103.2"/>
        <n v="147.49"/>
        <n v="972.8950000000001"/>
        <n v="18.690000000000001"/>
        <n v="63.634999999999998"/>
        <n v="454.185"/>
        <n v="38.700000000000003"/>
        <n v="55.2"/>
        <n v="10.58"/>
        <n v="53.44"/>
        <n v="631.21"/>
        <n v="412.42500000000001"/>
        <n v="154.94"/>
        <n v="74.52"/>
        <n v="12.154999999999999"/>
        <n v="32.549999999999997"/>
        <n v="14.3"/>
        <n v="54"/>
        <n v="238.76"/>
        <n v="76.260000000000005"/>
        <n v="946.95499999999981"/>
        <n v="23.92"/>
        <n v="17.625"/>
        <n v="582.83500000000004"/>
        <n v="144.78"/>
        <n v="246.38"/>
        <n v="48.16"/>
        <n v="687"/>
        <n v="3.68"/>
        <n v="32.4"/>
        <n v="86.4"/>
        <n v="10.26"/>
        <n v="340.315"/>
        <n v="8.9700000000000006"/>
        <n v="61.41"/>
        <n v="62.92"/>
        <n v="73.48"/>
        <n v="49.14"/>
        <n v="19.824999999999999"/>
        <n v="35.25"/>
        <n v="848.92500000000007"/>
        <n v="40.049999999999997"/>
        <n v="86.33"/>
        <n v="65.55"/>
        <n v="8.01"/>
        <n v="29.04"/>
        <n v="150.30000000000001"/>
        <n v="23.38"/>
        <n v="729.05"/>
        <n v="141.94999999999999"/>
        <n v="365.46999999999997"/>
        <n v="52.08"/>
        <n v="350.54500000000002"/>
        <n v="4.4800000000000004"/>
        <n v="132.06"/>
        <n v="10.02"/>
        <n v="7.82"/>
        <n v="211.2"/>
        <n v="201.96"/>
        <n v="84.55"/>
        <n v="11.05"/>
        <n v="1149.4899999999998"/>
        <n v="52.674999999999997"/>
        <n v="8.58"/>
        <n v="31.68"/>
        <n v="330.64"/>
        <n v="44.28"/>
        <n v="49.35"/>
        <n v="27.9"/>
        <n v="46.72"/>
        <n v="18.329999999999998"/>
        <n v="317.29500000000002"/>
        <n v="780.17499999999995"/>
        <n v="15.12"/>
        <n v="50.1"/>
        <n v="111.76"/>
        <n v="70.38"/>
        <n v="96.36"/>
        <n v="1041.8900000000001"/>
        <n v="34.5"/>
        <n v="39.99"/>
        <n v="181.17"/>
        <n v="402.63000000000005"/>
        <n v="133.73999999999998"/>
        <n v="22.425000000000001"/>
        <n v="3.84"/>
        <n v="86.62"/>
        <n v="100.83499999999999"/>
        <n v="20.52"/>
        <n v="711.67499999999995"/>
        <n v="69.58"/>
        <n v="36.340000000000003"/>
        <n v="9.2949999999999999"/>
        <n v="4.1399999999999997"/>
        <n v="55.9"/>
        <n v="315.84499999999997"/>
        <n v="33.840000000000003"/>
        <n v="85.784999999999997"/>
        <n v="17.22"/>
        <n v="17.02"/>
        <n v="3.15"/>
        <n v="102.08"/>
        <n v="182.685"/>
        <n v="458.03000000000003"/>
        <n v="109.12"/>
        <n v="115.88500000000001"/>
        <n v="19.035"/>
        <n v="224.35"/>
        <n v="40.89"/>
        <n v="110.4"/>
        <n v="1178.4100000000001"/>
        <n v="61.704999999999998"/>
        <n v="62.08"/>
        <n v="30.55"/>
        <n v="11.375"/>
        <n v="29.25"/>
        <n v="113.16"/>
        <n v="654.04"/>
        <n v="59.15"/>
        <n v="100.98"/>
        <n v="908.66500000000008"/>
        <n v="25.76"/>
        <n v="49.664999999999999"/>
        <n v="48.99"/>
        <n v="10.535"/>
        <n v="60.72"/>
        <n v="66.22"/>
        <n v="565.61"/>
        <n v="15.36"/>
        <n v="231.24"/>
        <n v="55.055"/>
        <n v="39.56"/>
        <n v="153.6"/>
        <n v="82.8"/>
        <n v="881.3549999999999"/>
        <n v="26.91"/>
        <n v="25.675000000000001"/>
        <n v="362.93"/>
        <n v="120"/>
        <n v="23.76"/>
        <n v="4.2300000000000004"/>
        <n v="182.88"/>
        <n v="676.66000000000008"/>
        <n v="28.2"/>
        <n v="123.54"/>
        <n v="59.63"/>
        <n v="958.76499999999999"/>
        <n v="29.61"/>
        <n v="411.76"/>
        <n v="75.680000000000007"/>
        <n v="169.29"/>
        <n v="139.59"/>
        <n v="11.69"/>
        <n v="27.95"/>
        <n v="128.19999999999999"/>
        <n v="1010.1700000000001"/>
        <n v="41.664999999999999"/>
        <n v="193.04"/>
        <n v="70.680000000000007"/>
        <n v="64.17"/>
        <n v="291.65499999999997"/>
        <n v="1142.46"/>
        <n v="55.44"/>
        <n v="63.19"/>
        <n v="37.72"/>
        <n v="76.2"/>
        <n v="344.19"/>
        <n v="46.23"/>
        <n v="11.88"/>
        <n v="114.4"/>
        <n v="87.12"/>
        <n v="222.75"/>
        <n v="891.22500000000002"/>
        <n v="6.44"/>
        <n v="58.24"/>
        <n v="18.899999999999999"/>
        <n v="141.6"/>
        <n v="705.61"/>
        <n v="9.84"/>
        <n v="41.75"/>
        <n v="125.25"/>
        <n v="255.13499999999999"/>
        <n v="211.53"/>
        <n v="91.44"/>
        <n v="12.675000000000001"/>
        <n v="12.6"/>
        <n v="107.64"/>
        <n v="790.57500000000005"/>
        <n v="125.4"/>
        <n v="54.56"/>
        <n v="12.96"/>
        <n v="705.94499999999994"/>
        <n v="33.134999999999998"/>
        <n v="10.56"/>
        <n v="65.319999999999993"/>
        <n v="120.54"/>
        <n v="62.79"/>
        <n v="14.4"/>
        <n v="391.94499999999999"/>
        <n v="11.5"/>
        <n v="282.04000000000002"/>
        <n v="69"/>
        <n v="82.72"/>
        <n v="823.31"/>
        <n v="48.36"/>
        <n v="103.845"/>
        <n v="20.04"/>
        <n v="755.79499999999996"/>
        <n v="872.81500000000005"/>
        <n v="18.399999999999999"/>
        <n v="175.2"/>
        <n v="282.14999999999998"/>
        <n v="31.95"/>
        <n v="32"/>
        <n v="727.73000000000013"/>
        <n v="62.1"/>
        <n v="466.375"/>
        <n v="39.159999999999997"/>
        <n v="40.799999999999997"/>
        <n v="168.94"/>
        <n v="91.2"/>
        <n v="54.29"/>
        <n v="89.1"/>
        <n v="63.24"/>
        <n v="761.97500000000002"/>
        <n v="19.305"/>
        <n v="19.32"/>
        <n v="665.32500000000005"/>
        <n v="18.524999999999999"/>
        <n v="9.8699999999999992"/>
        <n v="45.5"/>
        <n v="382.38499999999999"/>
        <n v="6.4349999999999996"/>
        <n v="167.2"/>
        <n v="136.62"/>
        <n v="50.05"/>
        <n v="36.9"/>
        <n v="890.92500000000018"/>
        <n v="12.42"/>
        <n v="61.5"/>
        <n v="565.995"/>
        <n v="3.6"/>
        <n v="100.82"/>
        <n v="58.515000000000001"/>
        <n v="300.44"/>
        <n v="65.099999999999994"/>
        <n v="889.03500000000008"/>
        <n v="6.48"/>
        <n v="60.2"/>
        <n v="112.8"/>
        <n v="160.25"/>
        <n v="824.96"/>
        <n v="240"/>
        <n v="127"/>
        <n v="19.565000000000001"/>
        <n v="51.35"/>
        <n v="76.56"/>
        <n v="928.93499999999995"/>
        <n v="112.175"/>
        <n v="15.87"/>
        <n v="12.35"/>
        <n v="58.74"/>
        <n v="427.755"/>
        <n v="117.92"/>
        <n v="355.68"/>
        <n v="38.1"/>
        <n v="88.51"/>
        <n v="18"/>
        <n v="246.51"/>
        <n v="588.28"/>
        <n v="266.01499999999999"/>
        <n v="2.2999999999999998"/>
        <n v="33.11"/>
        <n v="451.38499999999999"/>
        <n v="145.13999999999999"/>
        <n v="48.1"/>
        <n v="23.85"/>
        <n v="926.45"/>
        <n v="22.77"/>
        <n v="62.73"/>
        <n v="26.79"/>
        <n v="24"/>
        <n v="345.39000000000004"/>
        <n v="16.91"/>
        <n v="48.28"/>
        <n v="409.89"/>
        <n v="99.36"/>
        <n v="68.64"/>
        <n v="75.900000000000006"/>
        <n v="80.91"/>
        <n v="175.26"/>
        <n v="69.355000000000004"/>
        <n v="62.48"/>
        <n v="59.04"/>
        <n v="24.64"/>
        <n v="54.34"/>
        <n v="902.13499999999999"/>
        <n v="63.48"/>
        <n v="116.16"/>
        <n v="1242.5999999999999"/>
        <n v="39.33"/>
        <n v="72.98"/>
        <n v="51.04"/>
        <n v="230.4"/>
        <n v="76.8"/>
        <n v="1053.3699999999999"/>
        <n v="14.49"/>
        <n v="199.2"/>
        <n v="176.27500000000001"/>
        <n v="225.6"/>
        <n v="28.62"/>
        <n v="1019.1449999999999"/>
        <n v="23.074999999999999"/>
        <n v="136.94"/>
        <n v="182.04"/>
        <n v="960.43499999999995"/>
        <n v="35.840000000000003"/>
        <n v="31.32"/>
        <n v="167.64"/>
        <n v="783.25999999999988"/>
        <n v="49.335000000000001"/>
        <n v="91.08"/>
        <n v="1072.2650000000001"/>
        <n v="96"/>
        <n v="9.94"/>
        <n v="417.19999999999993"/>
        <n v="41.47"/>
        <n v="89.28"/>
        <n v="280.40999999999997"/>
        <n v="27.54"/>
        <n v="129.22"/>
        <n v="30.24"/>
        <n v="485.79999999999995"/>
        <n v="114.39"/>
        <n v="63.9"/>
        <n v="206.64"/>
        <n v="673.94999999999993"/>
        <n v="403.05000000000007"/>
        <n v="205.74"/>
        <n v="129.6"/>
        <n v="33.21"/>
        <n v="59.924999999999997"/>
        <n v="723.86"/>
        <n v="129.43"/>
        <n v="56.07"/>
        <n v="44"/>
        <n v="619.22"/>
        <n v="131.86499999999998"/>
        <n v="32.200000000000003"/>
        <n v="121.91"/>
        <n v="233.68"/>
        <n v="20.91"/>
        <n v="4.875"/>
        <n v="775.74"/>
        <n v="45.51"/>
        <n v="288.08999999999997"/>
        <n v="258.39"/>
        <n v="255.42"/>
        <n v="30.72"/>
        <n v="1236.56"/>
        <n v="10.23"/>
        <n v="78.260000000000005"/>
        <n v="28.274999999999999"/>
        <n v="575.40499999999997"/>
        <n v="73.84"/>
        <n v="165.44"/>
        <n v="68.385000000000005"/>
        <n v="67.724999999999994"/>
        <n v="33.604999999999997"/>
        <n v="81.28"/>
        <n v="834.48500000000001"/>
        <n v="58.59"/>
        <n v="80.350000000000009"/>
        <n v="45.825000000000003"/>
        <n v="53.94"/>
        <n v="543.69499999999994"/>
        <n v="19.350000000000001"/>
        <n v="165.6"/>
        <n v="108"/>
        <n v="910.3549999999999"/>
        <n v="43.05"/>
        <n v="156"/>
        <n v="1090.76"/>
        <n v="56.4"/>
        <n v="51.84"/>
        <n v="167"/>
        <n v="132.84"/>
        <n v="886.88"/>
        <n v="89.74"/>
        <n v="122.82"/>
        <n v="30.03"/>
        <n v="712.46"/>
        <n v="163.19999999999999"/>
        <n v="29.76"/>
        <n v="1009.6"/>
        <n v="11.16"/>
        <n v="75.33"/>
        <n v="24.05"/>
        <n v="48.62"/>
        <n v="55.18"/>
        <n v="146.96"/>
        <n v="38.46"/>
        <n v="903.82500000000005"/>
        <n v="95.14"/>
        <n v="18.059999999999999"/>
        <n v="6.51"/>
        <n v="506.25"/>
        <n v="115.83"/>
        <n v="17.25"/>
        <n v="613.99"/>
        <n v="86.1"/>
        <n v="44.414999999999999"/>
        <n v="837.02499999999986"/>
        <n v="13.53"/>
        <n v="127.71"/>
        <n v="356.95"/>
        <n v="26.975000000000001"/>
        <n v="5.64"/>
        <n v="79.05"/>
        <n v="110.22"/>
        <n v="736.73500000000001"/>
        <n v="28.16"/>
        <n v="138.46"/>
        <n v="134.62"/>
        <n v="109.22"/>
        <n v="583.005"/>
        <n v="228.69"/>
        <n v="158.4"/>
        <n v="761.09"/>
        <n v="208.32499999999999"/>
        <n v="15.84"/>
        <n v="418.36"/>
        <n v="113.56"/>
        <n v="32.049999999999997"/>
        <n v="12.69"/>
        <n v="5.76"/>
        <n v="501.67999999999995"/>
        <n v="39.68"/>
        <n v="48.64"/>
        <n v="34.04"/>
        <n v="345.26000000000005"/>
        <n v="4.29"/>
        <n v="11.36"/>
        <n v="109.64"/>
        <n v="63.96"/>
        <n v="153.63999999999999"/>
        <n v="58.22"/>
        <n v="536.6"/>
        <n v="30.15"/>
        <n v="26.7"/>
        <n v="710.83500000000004"/>
        <n v="28.83"/>
        <n v="196.8"/>
        <n v="140.22"/>
        <n v="278.83499999999998"/>
        <n v="163.45500000000001"/>
        <n v="1274.5199999999998"/>
        <n v="73.715000000000003"/>
        <n v="20.475000000000001"/>
        <n v="31.24"/>
        <n v="84.87"/>
        <n v="269.22000000000003"/>
        <n v="701.43000000000006"/>
        <n v="31.73"/>
        <n v="652.59499999999991"/>
        <n v="703.47499999999991"/>
        <n v="68.819999999999993"/>
        <n v="665.45000000000016"/>
        <n v="145.29"/>
        <n v="13.2"/>
        <n v="501.63"/>
        <n v="139.965"/>
        <n v="300.38499999999999"/>
        <n v="114.38"/>
        <n v="6.1749999999999998"/>
        <n v="418.47499999999997"/>
        <n v="403.37999999999994"/>
        <n v="13"/>
        <n v="47.17"/>
        <n v="723.29000000000008"/>
        <n v="106.92"/>
        <n v="70.31"/>
        <n v="23.22"/>
        <n v="21.06"/>
        <n v="542.23"/>
        <n v="156.97999999999999"/>
        <n v="423.6"/>
        <n v="127.92"/>
        <n v="34.56"/>
        <n v="714.1"/>
        <n v="260.7"/>
        <n v="28.905000000000001"/>
        <n v="23"/>
        <n v="151.36000000000001"/>
        <n v="59.22"/>
        <n v="470.59500000000003"/>
        <n v="27.72"/>
        <n v="371.20000000000005"/>
        <n v="455.63499999999999"/>
        <n v="489.745"/>
        <n v="24.675000000000001"/>
        <n v="86.49"/>
        <n v="138.61000000000001"/>
        <n v="673.23500000000013"/>
        <n v="119.31"/>
        <n v="97.68"/>
        <n v="22.86"/>
        <n v="806.32500000000005"/>
        <n v="204.93"/>
        <n v="22.56"/>
        <n v="25.11"/>
        <n v="129.36000000000001"/>
        <n v="792.6"/>
        <n v="46.74"/>
        <n v="132.44"/>
        <n v="442.89999999999992"/>
        <n v="19.53"/>
        <n v="638.02499999999998"/>
        <n v="67.64"/>
        <n v="74.25"/>
        <n v="80.989999999999995"/>
        <n v="1040.46"/>
        <n v="67.924999999999997"/>
        <n v="649.53499999999997"/>
        <n v="772.67000000000007"/>
        <n v="14.625"/>
        <n v="53.76"/>
        <n v="77.19"/>
        <n v="70.734999999999999"/>
        <n v="48.43"/>
        <n v="1084.93"/>
        <n v="42.3"/>
        <n v="223.2"/>
        <n v="15.81"/>
        <n v="35.56"/>
        <n v="35.5"/>
        <n v="21.3"/>
        <n v="22.75"/>
        <n v="95.04"/>
        <n v="915.20500000000004"/>
        <n v="5.98"/>
        <n v="821.91"/>
        <n v="19.739999999999998"/>
        <n v="383.935"/>
        <n v="292.41999999999996"/>
        <n v="15.03"/>
        <n v="130.38"/>
        <n v="53.3"/>
        <n v="20.32"/>
        <n v="773.25"/>
        <n v="39"/>
        <n v="32.89"/>
        <n v="773.19500000000005"/>
        <n v="9.18"/>
        <n v="42.6"/>
        <n v="36.74"/>
        <n v="331.4"/>
        <n v="324.935"/>
        <n v="218.44"/>
        <n v="25.74"/>
        <n v="31.02"/>
        <n v="7.65"/>
        <n v="713.91499999999996"/>
        <n v="16.555"/>
        <n v="8.61"/>
        <n v="640.37000000000012"/>
        <n v="29.574999999999999"/>
        <n v="154.44"/>
        <n v="798.32"/>
        <n v="184.8"/>
        <n v="893.62"/>
        <n v="44.62"/>
        <n v="80.099999999999994"/>
        <n v="842.34"/>
        <n v="69.795000000000002"/>
        <n v="660.56500000000005"/>
        <n v="57.914999999999999"/>
        <n v="147.32"/>
        <n v="416.92500000000001"/>
        <n v="136.32"/>
        <n v="537.42999999999995"/>
        <n v="13.35"/>
        <n v="28.844999999999999"/>
        <n v="267.66999999999996"/>
        <n v="104.28"/>
        <n v="170.18"/>
        <n v="587.69499999999994"/>
        <n v="44.64"/>
        <n v="33.6"/>
        <n v="124.91500000000001"/>
        <n v="38.35"/>
        <n v="457.875"/>
        <n v="49.4"/>
        <n v="46.28"/>
        <n v="52.44"/>
        <n v="80.16"/>
        <n v="877.37"/>
        <n v="379.96500000000003"/>
        <n v="73.87"/>
        <n v="115.38"/>
        <n v="15.3"/>
        <n v="15.24"/>
        <n v="762.33500000000015"/>
        <n v="40.32"/>
        <n v="552.67499999999995"/>
        <n v="81.42"/>
        <n v="37.049999999999997"/>
        <n v="144"/>
        <n v="1050.4649999999997"/>
        <n v="61.75"/>
        <n v="51.62"/>
        <n v="169.74"/>
        <n v="8.3699999999999992"/>
        <n v="535.59"/>
        <n v="111.93"/>
        <n v="193.05"/>
        <n v="42.14"/>
        <n v="14.26"/>
        <n v="1008.0399999999998"/>
        <n v="5.12"/>
        <n v="539.25"/>
        <n v="112.2"/>
        <n v="123.58"/>
        <n v="1155.335"/>
        <n v="55.88"/>
        <n v="507.35499999999996"/>
        <n v="29.92"/>
        <n v="830.83999999999992"/>
        <n v="46.475000000000001"/>
        <n v="510.19000000000005"/>
        <n v="133.86000000000001"/>
        <n v="66"/>
        <n v="967.34000000000015"/>
        <n v="69.959999999999994"/>
        <n v="27.52"/>
        <n v="176"/>
        <n v="606.97"/>
        <n v="16.574999999999999"/>
        <n v="61.49"/>
        <n v="401.11500000000001"/>
        <n v="156.63999999999999"/>
        <n v="38.409999999999997"/>
        <n v="910.46"/>
        <n v="17.670000000000002"/>
        <n v="3.2"/>
        <n v="90.18"/>
        <n v="135.24"/>
        <n v="39.325000000000003"/>
        <n v="837.27"/>
        <n v="42.32"/>
        <n v="220.8"/>
        <n v="49.68"/>
        <n v="246.785"/>
        <n v="842.03"/>
        <n v="560.90500000000009"/>
        <n v="297"/>
        <n v="37.365000000000002"/>
        <n v="21.62"/>
        <n v="1120.875"/>
        <n v="71"/>
        <n v="449.61500000000001"/>
        <n v="142.97499999999999"/>
        <n v="71.5"/>
        <n v="925.07500000000005"/>
        <n v="45.045000000000002"/>
        <n v="30.36"/>
        <n v="237.29000000000002"/>
        <n v="51.465000000000003"/>
        <n v="96.8"/>
        <n v="983.85500000000002"/>
        <n v="45.9"/>
        <n v="52"/>
        <n v="622.90000000000009"/>
        <n v="364.86500000000001"/>
        <n v="53.01"/>
        <n v="22.68"/>
        <n v="28.52"/>
        <n v="646.08999999999992"/>
        <n v="30.225000000000001"/>
        <n v="21.36"/>
        <n v="216.48"/>
        <n v="959.48500000000001"/>
        <n v="400.32999999999993"/>
        <n v="148.995"/>
        <n v="195.58"/>
        <n v="152.52000000000001"/>
        <n v="765.78499999999997"/>
        <n v="160.38"/>
        <n v="620.70499999999993"/>
        <n v="30.69"/>
        <n v="17.16"/>
        <n v="199.26"/>
        <n v="854.15499999999986"/>
        <n v="37.119999999999997"/>
        <n v="501.61"/>
        <n v="118.895"/>
        <n v="102.24"/>
        <n v="675.76499999999999"/>
        <n v="584.19000000000005"/>
        <n v="66.495000000000005"/>
        <n v="317.88"/>
        <n v="366.09999999999997"/>
        <n v="270.27"/>
        <n v="681.48"/>
        <n v="92.46"/>
        <n v="201.72"/>
        <n v="526.83000000000004"/>
        <n v="51.77"/>
        <n v="1025.4299999999998"/>
        <n v="41.83"/>
        <n v="194.34"/>
        <n v="406"/>
        <n v="52.65"/>
        <n v="201.6"/>
        <n v="88.04"/>
        <n v="160.02000000000001"/>
        <n v="1427.7050000000002"/>
        <n v="23.97"/>
        <n v="550.82999999999993"/>
        <n v="24.32"/>
        <n v="26.085000000000001"/>
        <n v="24.375"/>
        <n v="425.86"/>
        <n v="43.645000000000003"/>
        <n v="1111.0650000000001"/>
        <n v="83.82"/>
        <n v="934.41499999999996"/>
        <n v="89.7"/>
        <n v="7.8650000000000002"/>
        <n v="59.64"/>
        <n v="465.08500000000004"/>
        <n v="45.08"/>
        <n v="72.569999999999993"/>
        <n v="1135.19"/>
        <n v="7.68"/>
        <n v="256.255"/>
        <n v="81.27"/>
        <n v="71.12"/>
        <n v="55.68"/>
        <n v="135.27000000000001"/>
        <n v="100.2"/>
        <n v="542.55499999999995"/>
        <n v="236.16"/>
        <n v="43.47"/>
        <n v="51.12"/>
        <n v="828.76"/>
        <n v="214.73500000000001"/>
        <n v="18.46"/>
        <n v="844.79"/>
        <n v="869.19"/>
        <n v="205.12"/>
        <n v="233.2"/>
        <n v="23.68"/>
        <n v="42.75"/>
        <n v="17.8"/>
        <n v="709.07499999999993"/>
        <n v="304.47500000000002"/>
        <n v="1197.125"/>
        <n v="839.54"/>
        <n v="27"/>
        <n v="8.52"/>
        <n v="157.47999999999999"/>
        <n v="515.28"/>
        <n v="813.84000000000015"/>
        <n v="20.02"/>
        <n v="205.38000000000002"/>
        <n v="25.81"/>
        <n v="22.574999999999999"/>
        <n v="663.625"/>
        <n v="214.73"/>
        <n v="67.2"/>
        <n v="108.97"/>
        <n v="515.51"/>
        <n v="273.66499999999996"/>
        <n v="698.40000000000009"/>
        <n v="209.1"/>
        <n v="123.41"/>
        <n v="60.27"/>
        <n v="908.92499999999995"/>
        <n v="356.37"/>
        <n v="75.03"/>
        <n v="61.38"/>
        <n v="35.200000000000003"/>
        <n v="781.44"/>
        <n v="511.52"/>
        <n v="119.68"/>
        <n v="37.799999999999997"/>
        <n v="137.16"/>
        <n v="976.24499999999989"/>
        <n v="53.96"/>
        <n v="45.15"/>
        <n v="554.89999999999986"/>
        <n v="65.564999999999998"/>
        <n v="282.47499999999997"/>
        <n v="6.3"/>
        <n v="47.19"/>
        <n v="227.55500000000001"/>
        <n v="802.72"/>
        <n v="42.25"/>
        <n v="37.895000000000003"/>
        <n v="60.06"/>
        <n v="208.8"/>
        <n v="39.1"/>
        <n v="663.85"/>
        <n v="595.32000000000005"/>
        <n v="61.44"/>
        <n v="87.22"/>
        <n v="325.52"/>
        <n v="279.18"/>
        <n v="40.755000000000003"/>
        <n v="30.08"/>
        <n v="40.5"/>
        <n v="1109.2049999999999"/>
        <n v="910.56999999999994"/>
        <n v="170.4"/>
        <n v="857.75499999999988"/>
        <n v="22.434999999999999"/>
        <n v="118.58499999999999"/>
        <n v="62.37"/>
        <n v="541.54500000000007"/>
        <n v="88.44"/>
        <n v="785.78"/>
        <n v="36.4"/>
        <n v="157.69"/>
        <n v="4145.3999999999996"/>
        <n v="241608.384999999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m6" refreshedDate="45960.981668171298" createdVersion="6" refreshedVersion="6" minRefreshableVersion="3" recordCount="3776" xr:uid="{8A5AD171-832E-4804-8F53-00C8DD89C64E}">
  <cacheSource type="worksheet">
    <worksheetSource name="Таблица3"/>
  </cacheSource>
  <cacheFields count="9">
    <cacheField name="Дата" numFmtId="14">
      <sharedItems containsDate="1" containsMixedTypes="1" minDate="2023-01-01T00:00:00" maxDate="2025-10-26T00:00:00" count="673">
        <d v="2023-01-01T00:00:00"/>
        <s v="01.01.2023 Итого"/>
        <d v="2023-02-01T00:00:00"/>
        <s v="01.02.2023 Итого"/>
        <d v="2023-02-02T00:00:00"/>
        <s v="02.02.2023 Итог"/>
        <d v="2023-02-03T00:00:00"/>
        <s v="03.02.2023 Итог"/>
        <d v="2023-02-04T00:00:00"/>
        <s v="04.02.2023 Итог"/>
        <d v="2023-02-05T00:00:00"/>
        <s v="05.02.2023 Итог"/>
        <d v="2023-02-06T00:00:00"/>
        <s v="06.02.2023 Итог"/>
        <d v="2023-02-07T00:00:00"/>
        <s v="07.02.2023 Итог"/>
        <d v="2023-02-08T00:00:00"/>
        <s v="08.02.2023 Итог"/>
        <d v="2023-02-09T00:00:00"/>
        <s v="09.02.2023 Итог"/>
        <d v="2023-02-10T00:00:00"/>
        <s v="10.02.2023 Итог"/>
        <d v="2023-02-11T00:00:00"/>
        <s v="11.02.2023 Итог"/>
        <d v="2023-02-12T00:00:00"/>
        <s v="12.02.2023 Итог"/>
        <d v="2023-02-13T00:00:00"/>
        <s v="13.02.2023 Итог"/>
        <d v="2023-02-14T00:00:00"/>
        <s v="14.02.2023 Итог"/>
        <d v="2023-02-15T00:00:00"/>
        <s v="15.02.2023 Итог"/>
        <d v="2023-02-16T00:00:00"/>
        <s v="16.02.2023 Итог"/>
        <d v="2023-02-17T00:00:00"/>
        <s v="17.02.2023 Итог"/>
        <d v="2023-02-18T00:00:00"/>
        <s v="18.02.2023 Итог"/>
        <d v="2023-02-19T00:00:00"/>
        <s v="19.02.2023 Итог"/>
        <d v="2023-02-20T00:00:00"/>
        <s v="20.02.2023 Итог"/>
        <d v="2023-02-21T00:00:00"/>
        <s v="21.02.2023 Итог"/>
        <d v="2023-02-22T00:00:00"/>
        <s v="22.02.2023 Итог"/>
        <d v="2023-02-23T00:00:00"/>
        <s v="23.02.2023 Итог"/>
        <d v="2023-02-24T00:00:00"/>
        <s v="24.02.2023 Итог"/>
        <d v="2023-02-25T00:00:00"/>
        <s v="25.02.2023 Итог"/>
        <d v="2023-02-26T00:00:00"/>
        <s v="26.02.2023 Итог"/>
        <d v="2023-02-27T00:00:00"/>
        <s v="27.02.2023 Итог"/>
        <d v="2023-02-28T00:00:00"/>
        <s v="28.02.2023 Итог"/>
        <d v="2023-03-01T00:00:00"/>
        <s v="01.03.2023 Итог"/>
        <d v="2023-03-02T00:00:00"/>
        <s v="02.03.2023 Итог"/>
        <d v="2023-03-03T00:00:00"/>
        <s v="03.03.2023 Итог"/>
        <d v="2023-03-04T00:00:00"/>
        <s v="04.03.2023 Итог"/>
        <d v="2023-03-05T00:00:00"/>
        <s v="05.03.2023 Итог"/>
        <d v="2023-03-06T00:00:00"/>
        <s v="06.03.2023 Итог"/>
        <d v="2023-03-07T00:00:00"/>
        <s v="07.03.2023 Итог"/>
        <d v="2023-03-08T00:00:00"/>
        <s v="08.03.2023 Итог"/>
        <d v="2023-03-09T00:00:00"/>
        <s v="09.03.2023 Итог"/>
        <d v="2023-03-10T00:00:00"/>
        <s v="10.03.2023 Итог"/>
        <d v="2023-03-11T00:00:00"/>
        <s v="11.03.2023 Итог"/>
        <d v="2023-03-12T00:00:00"/>
        <s v="12.03.2023 Итог"/>
        <d v="2023-03-13T00:00:00"/>
        <s v="13.03.2023 Итог"/>
        <d v="2023-03-14T00:00:00"/>
        <s v="14.03.2023 Итог"/>
        <d v="2023-03-15T00:00:00"/>
        <s v="15.03.2023 Итог"/>
        <d v="2023-03-16T00:00:00"/>
        <s v="16.03.2023 Итог"/>
        <d v="2023-03-17T00:00:00"/>
        <s v="17.03.2023 Итог"/>
        <d v="2023-03-18T00:00:00"/>
        <s v="18.03.2023 Итог"/>
        <d v="2023-03-19T00:00:00"/>
        <s v="19.03.2023 Итог"/>
        <d v="2023-03-20T00:00:00"/>
        <s v="20.03.2023 Итог"/>
        <d v="2023-03-21T00:00:00"/>
        <s v="21.03.2023 Итог"/>
        <d v="2023-03-22T00:00:00"/>
        <s v="22.03.2023 Итог"/>
        <d v="2023-03-23T00:00:00"/>
        <s v="23.03.2023 Итог"/>
        <d v="2023-03-24T00:00:00"/>
        <s v="24.03.2023 Итог"/>
        <d v="2023-03-25T00:00:00"/>
        <s v="25.03.2023 Итог"/>
        <d v="2023-03-26T00:00:00"/>
        <s v="26.03.2023 Итог"/>
        <d v="2023-03-27T00:00:00"/>
        <s v="27.03.2023 Итог"/>
        <d v="2023-03-28T00:00:00"/>
        <s v="28.03.2023 Итог"/>
        <d v="2023-03-29T00:00:00"/>
        <s v="29.03.2023 Итог"/>
        <d v="2023-03-30T00:00:00"/>
        <s v="30.03.2023 Итог"/>
        <d v="2023-03-31T00:00:00"/>
        <s v="31.03.2023 Итог"/>
        <d v="2023-04-01T00:00:00"/>
        <s v="01.04.2023 Итог"/>
        <d v="2023-04-02T00:00:00"/>
        <s v="02.04.2023 Итог"/>
        <d v="2023-04-03T00:00:00"/>
        <s v="03.04.2023 Итог"/>
        <d v="2023-04-04T00:00:00"/>
        <s v="04.04.2023 Итог"/>
        <d v="2023-04-05T00:00:00"/>
        <s v="05.04.2023 Итог"/>
        <d v="2023-04-06T00:00:00"/>
        <s v="06.04.2023 Итог"/>
        <d v="2023-04-07T00:00:00"/>
        <s v="07.04.2023 Итог"/>
        <d v="2023-04-08T00:00:00"/>
        <s v="08.04.2023 Итог"/>
        <d v="2023-04-09T00:00:00"/>
        <s v="09.04.2023 Итог"/>
        <d v="2023-04-10T00:00:00"/>
        <s v="10.04.2023 Итог"/>
        <d v="2023-04-11T00:00:00"/>
        <s v="11.04.2023 Итог"/>
        <d v="2023-04-12T00:00:00"/>
        <s v="12.04.2023 Итог"/>
        <d v="2023-04-13T00:00:00"/>
        <s v="13.04.2023 Итог"/>
        <d v="2023-04-14T00:00:00"/>
        <s v="14.04.2023 Итог"/>
        <d v="2023-04-15T00:00:00"/>
        <s v="15.04.2023 Итог"/>
        <d v="2023-04-16T00:00:00"/>
        <s v="16.04.2023 Итог"/>
        <d v="2023-04-17T00:00:00"/>
        <s v="17.04.2023 Итог"/>
        <d v="2023-04-18T00:00:00"/>
        <s v="18.04.2023 Итог"/>
        <d v="2023-04-19T00:00:00"/>
        <s v="19.04.2023 Итог"/>
        <d v="2023-04-20T00:00:00"/>
        <s v="20.04.2023 Итог"/>
        <d v="2023-04-21T00:00:00"/>
        <s v="21.04.2023 Итог"/>
        <d v="2023-04-22T00:00:00"/>
        <s v="22.04.2023 Итог"/>
        <d v="2023-04-23T00:00:00"/>
        <s v="23.04.2023 Итог"/>
        <d v="2023-04-24T00:00:00"/>
        <s v="24.04.2023 Итог"/>
        <d v="2023-04-25T00:00:00"/>
        <s v="25.04.2023 Итог"/>
        <d v="2023-04-26T00:00:00"/>
        <s v="26.04.2023 Итог"/>
        <d v="2023-04-27T00:00:00"/>
        <s v="27.04.2023 Итог"/>
        <d v="2023-04-28T00:00:00"/>
        <s v="28.04.2023 Итог"/>
        <d v="2023-04-29T00:00:00"/>
        <s v="29.04.2023 Итог"/>
        <d v="2023-04-30T00:00:00"/>
        <s v="30.04.2023 Итог"/>
        <d v="2023-05-01T00:00:00"/>
        <s v="01.05.2023 Итог"/>
        <d v="2023-05-02T00:00:00"/>
        <s v="02.05.2023 Итог"/>
        <d v="2023-05-03T00:00:00"/>
        <s v="03.05.2023 Итог"/>
        <d v="2023-05-04T00:00:00"/>
        <s v="04.05.2023 Итог"/>
        <d v="2023-05-05T00:00:00"/>
        <s v="05.05.2023 Итог"/>
        <d v="2023-05-06T00:00:00"/>
        <s v="06.05.2023 Итог"/>
        <d v="2023-05-07T00:00:00"/>
        <s v="07.05.2023 Итог"/>
        <d v="2023-05-08T00:00:00"/>
        <s v="08.05.2023 Итог"/>
        <d v="2023-05-09T00:00:00"/>
        <s v="09.05.2023 Итог"/>
        <d v="2023-05-10T00:00:00"/>
        <s v="10.05.2023 Итог"/>
        <d v="2023-05-11T00:00:00"/>
        <s v="11.05.2023 Итог"/>
        <d v="2023-05-12T00:00:00"/>
        <s v="12.05.2023 Итог"/>
        <d v="2023-05-13T00:00:00"/>
        <s v="13.05.2023 Итог"/>
        <d v="2023-05-14T00:00:00"/>
        <s v="14.05.2023 Итог"/>
        <d v="2023-05-15T00:00:00"/>
        <s v="15.05.2023 Итог"/>
        <d v="2023-05-16T00:00:00"/>
        <s v="16.05.2023 Итог"/>
        <d v="2023-05-17T00:00:00"/>
        <s v="17.05.2023 Итог"/>
        <d v="2023-05-18T00:00:00"/>
        <s v="18.05.2023 Итог"/>
        <d v="2023-05-19T00:00:00"/>
        <s v="19.05.2023 Итог"/>
        <d v="2023-05-20T00:00:00"/>
        <s v="20.05.2023 Итог"/>
        <d v="2023-05-21T00:00:00"/>
        <s v="21.05.2023 Итог"/>
        <d v="2023-05-22T00:00:00"/>
        <s v="22.05.2023 Итог"/>
        <d v="2023-05-23T00:00:00"/>
        <s v="23.05.2023 Итог"/>
        <d v="2023-05-24T00:00:00"/>
        <s v="24.05.2023 Итог"/>
        <d v="2023-05-25T00:00:00"/>
        <s v="25.05.2023 Итог"/>
        <d v="2023-05-26T00:00:00"/>
        <s v="26.05.2023 Итог"/>
        <d v="2023-05-27T00:00:00"/>
        <s v="27.05.2023 Итог"/>
        <d v="2023-05-28T00:00:00"/>
        <s v="28.05.2023 Итог"/>
        <d v="2023-05-29T00:00:00"/>
        <s v="29.05.2023 Итог"/>
        <d v="2023-05-30T00:00:00"/>
        <s v="30.05.2023 Итог"/>
        <d v="2023-05-31T00:00:00"/>
        <s v="31.05.2023 Итог"/>
        <d v="2023-06-01T00:00:00"/>
        <s v="01.06.2023 Итог"/>
        <d v="2023-06-02T00:00:00"/>
        <s v="02.06.2023 Итог"/>
        <d v="2023-06-03T00:00:00"/>
        <s v="03.06.2023 Итог"/>
        <d v="2023-06-04T00:00:00"/>
        <s v="04.06.2023 Итог"/>
        <d v="2023-06-05T00:00:00"/>
        <s v="05.06.2023 Итог"/>
        <d v="2023-06-06T00:00:00"/>
        <s v="06.06.2023 Итог"/>
        <d v="2023-06-07T00:00:00"/>
        <s v="07.06.2023 Итог"/>
        <d v="2023-06-08T00:00:00"/>
        <s v="08.06.2023 Итог"/>
        <d v="2023-06-09T00:00:00"/>
        <s v="09.06.2023 Итог"/>
        <d v="2023-06-10T00:00:00"/>
        <s v="10.06.2023 Итог"/>
        <d v="2023-06-11T00:00:00"/>
        <s v="11.06.2023 Итог"/>
        <d v="2023-06-12T00:00:00"/>
        <s v="12.06.2023 Итог"/>
        <d v="2023-06-13T00:00:00"/>
        <s v="13.06.2023 Итог"/>
        <d v="2023-06-14T00:00:00"/>
        <s v="14.06.2023 Итог"/>
        <d v="2023-06-15T00:00:00"/>
        <s v="15.06.2023 Итог"/>
        <d v="2023-06-16T00:00:00"/>
        <s v="16.06.2023 Итог"/>
        <d v="2023-06-17T00:00:00"/>
        <s v="17.06.2023 Итог"/>
        <d v="2023-06-18T00:00:00"/>
        <s v="18.06.2023 Итог"/>
        <d v="2023-06-19T00:00:00"/>
        <s v="19.06.2023 Итог"/>
        <d v="2023-06-20T00:00:00"/>
        <s v="20.06.2023 Итог"/>
        <d v="2023-06-21T00:00:00"/>
        <s v="21.06.2023 Итог"/>
        <d v="2023-06-22T00:00:00"/>
        <s v="22.06.2023 Итог"/>
        <d v="2023-06-23T00:00:00"/>
        <s v="23.06.2023 Итог"/>
        <d v="2023-06-24T00:00:00"/>
        <s v="24.06.2023 Итог"/>
        <d v="2023-06-25T00:00:00"/>
        <s v="25.06.2023 Итог"/>
        <d v="2023-06-26T00:00:00"/>
        <s v="26.06.2023 Итог"/>
        <d v="2023-06-27T00:00:00"/>
        <s v="27.06.2023 Итог"/>
        <d v="2023-06-28T00:00:00"/>
        <s v="28.06.2023 Итог"/>
        <d v="2023-06-29T00:00:00"/>
        <s v="29.06.2023 Итог"/>
        <d v="2023-06-30T00:00:00"/>
        <s v="30.06.2023 Итог"/>
        <d v="2023-07-01T00:00:00"/>
        <s v="01.07.2023 Итог"/>
        <d v="2023-07-02T00:00:00"/>
        <s v="02.07.2023 Итог"/>
        <d v="2023-07-03T00:00:00"/>
        <s v="03.07.2023 Итог"/>
        <d v="2023-07-04T00:00:00"/>
        <s v="04.07.2023 Итог"/>
        <d v="2023-07-05T00:00:00"/>
        <s v="05.07.2023 Итог"/>
        <d v="2023-07-06T00:00:00"/>
        <s v="06.07.2023 Итог"/>
        <d v="2023-07-07T00:00:00"/>
        <s v="07.07.2023 Итог"/>
        <d v="2023-07-08T00:00:00"/>
        <s v="08.07.2023 Итог"/>
        <d v="2023-07-09T00:00:00"/>
        <s v="09.07.2023 Итог"/>
        <d v="2023-07-10T00:00:00"/>
        <s v="10.07.2023 Итог"/>
        <d v="2023-07-11T00:00:00"/>
        <s v="11.07.2023 Итог"/>
        <d v="2023-07-12T00:00:00"/>
        <s v="12.07.2023 Итог"/>
        <d v="2023-07-13T00:00:00"/>
        <s v="13.07.2023 Итог"/>
        <d v="2023-07-14T00:00:00"/>
        <s v="14.07.2023 Итог"/>
        <d v="2023-07-15T00:00:00"/>
        <s v="15.07.2023 Итог"/>
        <d v="2023-07-16T00:00:00"/>
        <s v="16.07.2023 Итог"/>
        <d v="2023-07-17T00:00:00"/>
        <s v="17.07.2023 Итог"/>
        <d v="2023-07-18T00:00:00"/>
        <s v="18.07.2023 Итог"/>
        <d v="2023-07-19T00:00:00"/>
        <s v="19.07.2023 Итог"/>
        <d v="2023-07-20T00:00:00"/>
        <s v="20.07.2023 Итог"/>
        <d v="2023-07-21T00:00:00"/>
        <s v="21.07.2023 Итог"/>
        <d v="2023-07-22T00:00:00"/>
        <s v="22.07.2023 Итог"/>
        <d v="2023-07-23T00:00:00"/>
        <s v="23.07.2023 Итог"/>
        <d v="2023-07-24T00:00:00"/>
        <s v="24.07.2023 Итог"/>
        <d v="2023-07-25T00:00:00"/>
        <s v="25.07.2023 Итог"/>
        <d v="2023-07-26T00:00:00"/>
        <s v="26.07.2023 Итог"/>
        <d v="2023-07-27T00:00:00"/>
        <s v="27.07.2023 Итог"/>
        <d v="2023-07-28T00:00:00"/>
        <s v="28.07.2023 Итог"/>
        <d v="2023-07-29T00:00:00"/>
        <s v="29.07.2023 Итог"/>
        <d v="2023-07-30T00:00:00"/>
        <s v="30.07.2023 Итог"/>
        <d v="2023-07-31T00:00:00"/>
        <s v="31.07.2023 Итог"/>
        <d v="2023-08-01T00:00:00"/>
        <s v="01.08.2023 Итог"/>
        <d v="2023-08-02T00:00:00"/>
        <s v="02.08.2023 Итог"/>
        <d v="2023-08-03T00:00:00"/>
        <s v="03.08.2023 Итог"/>
        <d v="2023-08-04T00:00:00"/>
        <s v="04.08.2023 Итог"/>
        <d v="2023-08-05T00:00:00"/>
        <s v="05.08.2023 Итог"/>
        <d v="2023-08-06T00:00:00"/>
        <s v="06.08.2023 Итог"/>
        <d v="2023-08-07T00:00:00"/>
        <s v="07.08.2023 Итог"/>
        <d v="2023-08-08T00:00:00"/>
        <s v="08.08.2023 Итог"/>
        <d v="2023-08-09T00:00:00"/>
        <s v="09.08.2023 Итог"/>
        <d v="2023-08-10T00:00:00"/>
        <s v="10.08.2023 Итог"/>
        <d v="2023-08-11T00:00:00"/>
        <s v="11.08.2023 Итог"/>
        <d v="2023-08-12T00:00:00"/>
        <s v="12.08.2023 Итог"/>
        <d v="2023-08-13T00:00:00"/>
        <s v="13.08.2023 Итог"/>
        <d v="2023-08-14T00:00:00"/>
        <s v="14.08.2023 Итог"/>
        <d v="2023-08-15T00:00:00"/>
        <s v="15.08.2023 Итог"/>
        <d v="2023-08-16T00:00:00"/>
        <s v="16.08.2023 Итог"/>
        <d v="2023-08-17T00:00:00"/>
        <s v="17.08.2023 Итог"/>
        <d v="2023-08-18T00:00:00"/>
        <s v="18.08.2023 Итог"/>
        <d v="2023-08-19T00:00:00"/>
        <s v="19.08.2023 Итог"/>
        <d v="2023-08-20T00:00:00"/>
        <s v="20.08.2023 Итог"/>
        <d v="2023-08-21T00:00:00"/>
        <s v="21.08.2023 Итог"/>
        <d v="2023-08-22T00:00:00"/>
        <s v="22.08.2023 Итог"/>
        <d v="2023-08-23T00:00:00"/>
        <s v="23.08.2023 Итог"/>
        <d v="2023-08-24T00:00:00"/>
        <s v="24.08.2023 Итог"/>
        <d v="2023-08-25T00:00:00"/>
        <s v="25.08.2023 Итог"/>
        <d v="2023-08-26T00:00:00"/>
        <s v="26.08.2023 Итог"/>
        <d v="2023-08-27T00:00:00"/>
        <s v="27.08.2023 Итог"/>
        <d v="2023-08-28T00:00:00"/>
        <s v="28.08.2023 Итог"/>
        <d v="2023-08-29T00:00:00"/>
        <s v="29.08.2023 Итог"/>
        <d v="2023-08-30T00:00:00"/>
        <s v="30.08.2023 Итог"/>
        <d v="2023-08-31T00:00:00"/>
        <s v="31.08.2023 Итог"/>
        <d v="2023-09-01T00:00:00"/>
        <s v="01.09.2023 Итог"/>
        <d v="2023-09-02T00:00:00"/>
        <s v="02.09.2023 Итог"/>
        <d v="2023-09-03T00:00:00"/>
        <s v="03.09.2023 Итог"/>
        <d v="2023-09-04T00:00:00"/>
        <s v="04.09.2023 Итог"/>
        <d v="2023-09-05T00:00:00"/>
        <s v="05.09.2023 Итог"/>
        <d v="2023-09-06T00:00:00"/>
        <s v="06.09.2023 Итог"/>
        <d v="2023-09-07T00:00:00"/>
        <s v="07.09.2023 Итог"/>
        <d v="2023-09-08T00:00:00"/>
        <s v="08.09.2023 Итог"/>
        <d v="2023-09-09T00:00:00"/>
        <s v="09.09.2023 Итог"/>
        <d v="2023-09-10T00:00:00"/>
        <s v="10.09.2023 Итог"/>
        <d v="2023-09-11T00:00:00"/>
        <s v="11.09.2023 Итог"/>
        <d v="2023-09-12T00:00:00"/>
        <s v="12.09.2023 Итог"/>
        <d v="2023-09-13T00:00:00"/>
        <s v="13.09.2023 Итог"/>
        <d v="2023-09-14T00:00:00"/>
        <s v="14.09.2023 Итог"/>
        <d v="2023-09-15T00:00:00"/>
        <s v="15.09.2023 Итог"/>
        <d v="2023-09-16T00:00:00"/>
        <s v="16.09.2023 Итог"/>
        <d v="2023-09-17T00:00:00"/>
        <s v="17.09.2023 Итог"/>
        <d v="2023-09-18T00:00:00"/>
        <s v="18.09.2023 Итог"/>
        <d v="2023-09-19T00:00:00"/>
        <s v="19.09.2023 Итог"/>
        <d v="2023-09-20T00:00:00"/>
        <s v="20.09.2023 Итог"/>
        <d v="2023-09-21T00:00:00"/>
        <s v="21.09.2023 Итог"/>
        <d v="2023-09-22T00:00:00"/>
        <s v="22.09.2023 Итог"/>
        <d v="2023-09-23T00:00:00"/>
        <s v="23.09.2023 Итог"/>
        <d v="2023-09-24T00:00:00"/>
        <s v="24.09.2023 Итог"/>
        <d v="2023-09-25T00:00:00"/>
        <s v="25.09.2023 Итог"/>
        <d v="2023-09-26T00:00:00"/>
        <s v="26.09.2023 Итог"/>
        <d v="2023-09-27T00:00:00"/>
        <s v="27.09.2023 Итог"/>
        <d v="2023-09-28T00:00:00"/>
        <s v="28.09.2023 Итог"/>
        <d v="2023-09-29T00:00:00"/>
        <s v="29.09.2023 Итог"/>
        <d v="2023-09-30T00:00:00"/>
        <s v="30.09.2023 Итог"/>
        <d v="2023-10-01T00:00:00"/>
        <s v="01.10.2023 Итог"/>
        <d v="2023-10-02T00:00:00"/>
        <s v="02.10.2023 Итог"/>
        <d v="2023-10-03T00:00:00"/>
        <s v="03.10.2023 Итог"/>
        <d v="2023-10-04T00:00:00"/>
        <s v="04.10.2023 Итог"/>
        <d v="2023-10-05T00:00:00"/>
        <s v="05.10.2023 Итог"/>
        <d v="2023-10-06T00:00:00"/>
        <s v="06.10.2023 Итог"/>
        <d v="2023-10-07T00:00:00"/>
        <s v="07.10.2023 Итог"/>
        <d v="2023-10-08T00:00:00"/>
        <s v="08.10.2023 Итог"/>
        <d v="2023-10-09T00:00:00"/>
        <s v="09.10.2023 Итог"/>
        <d v="2023-10-10T00:00:00"/>
        <s v="10.10.2023 Итог"/>
        <d v="2023-10-11T00:00:00"/>
        <s v="11.10.2023 Итог"/>
        <d v="2023-10-12T00:00:00"/>
        <s v="12.10.2023 Итог"/>
        <d v="2023-10-13T00:00:00"/>
        <s v="13.10.2023 Итог"/>
        <d v="2023-10-14T00:00:00"/>
        <s v="14.10.2023 Итог"/>
        <d v="2023-10-15T00:00:00"/>
        <s v="15.10.2023 Итог"/>
        <d v="2023-10-16T00:00:00"/>
        <s v="16.10.2023 Итог"/>
        <d v="2023-10-17T00:00:00"/>
        <s v="17.10.2023 Итог"/>
        <d v="2023-10-18T00:00:00"/>
        <s v="18.10.2023 Итог"/>
        <d v="2023-10-19T00:00:00"/>
        <s v="19.10.2023 Итог"/>
        <d v="2023-10-20T00:00:00"/>
        <s v="20.10.2023 Итог"/>
        <d v="2023-10-21T00:00:00"/>
        <s v="21.10.2023 Итог"/>
        <d v="2023-10-22T00:00:00"/>
        <s v="22.10.2023 Итог"/>
        <d v="2023-10-23T00:00:00"/>
        <s v="23.10.2023 Итог"/>
        <d v="2023-10-24T00:00:00"/>
        <s v="24.10.2023 Итог"/>
        <d v="2023-10-25T00:00:00"/>
        <s v="25.10.2023 Итог"/>
        <d v="2023-10-26T00:00:00"/>
        <s v="26.10.2023 Итог"/>
        <d v="2023-10-27T00:00:00"/>
        <s v="27.10.2023 Итог"/>
        <d v="2023-10-28T00:00:00"/>
        <s v="28.10.2023 Итог"/>
        <d v="2023-10-29T00:00:00"/>
        <s v="29.10.2023 Итог"/>
        <d v="2023-10-30T00:00:00"/>
        <s v="30.10.2023 Итог"/>
        <d v="2023-10-31T00:00:00"/>
        <s v="31.10.2023 Итог"/>
        <d v="2023-11-01T00:00:00"/>
        <s v="01.11.2023 Итог"/>
        <d v="2023-11-02T00:00:00"/>
        <s v="02.11.2023 Итог"/>
        <d v="2023-11-03T00:00:00"/>
        <s v="03.11.2023 Итог"/>
        <d v="2023-11-04T00:00:00"/>
        <s v="04.11.2023 Итог"/>
        <d v="2023-11-05T00:00:00"/>
        <s v="05.11.2023 Итог"/>
        <d v="2023-11-06T00:00:00"/>
        <s v="06.11.2023 Итог"/>
        <d v="2023-11-07T00:00:00"/>
        <s v="07.11.2023 Итог"/>
        <d v="2023-11-08T00:00:00"/>
        <s v="08.11.2023 Итог"/>
        <d v="2023-11-09T00:00:00"/>
        <s v="09.11.2023 Итог"/>
        <d v="2023-11-10T00:00:00"/>
        <s v="10.11.2023 Итог"/>
        <d v="2023-11-11T00:00:00"/>
        <s v="11.11.2023 Итог"/>
        <d v="2023-11-12T00:00:00"/>
        <s v="12.11.2023 Итог"/>
        <d v="2023-11-13T00:00:00"/>
        <s v="13.11.2023 Итог"/>
        <d v="2023-11-14T00:00:00"/>
        <s v="14.11.2023 Итог"/>
        <d v="2023-11-15T00:00:00"/>
        <s v="15.11.2023 Итог"/>
        <d v="2023-11-16T00:00:00"/>
        <s v="16.11.2023 Итог"/>
        <d v="2023-11-17T00:00:00"/>
        <s v="17.11.2023 Итог"/>
        <d v="2023-11-18T00:00:00"/>
        <s v="18.11.2023 Итог"/>
        <d v="2023-11-19T00:00:00"/>
        <s v="19.11.2023 Итог"/>
        <d v="2023-11-20T00:00:00"/>
        <s v="20.11.2023 Итог"/>
        <d v="2023-11-21T00:00:00"/>
        <s v="21.11.2023 Итог"/>
        <d v="2023-11-22T00:00:00"/>
        <s v="22.11.2023 Итог"/>
        <d v="2023-11-23T00:00:00"/>
        <s v="23.11.2023 Итог"/>
        <d v="2023-11-24T00:00:00"/>
        <s v="24.11.2023 Итог"/>
        <d v="2023-11-25T00:00:00"/>
        <s v="25.11.2023 Итог"/>
        <d v="2023-11-26T00:00:00"/>
        <s v="26.11.2023 Итог"/>
        <d v="2023-11-27T00:00:00"/>
        <s v="27.11.2023 Итог"/>
        <d v="2023-11-28T00:00:00"/>
        <s v="28.11.2023 Итог"/>
        <d v="2023-11-29T00:00:00"/>
        <s v="29.11.2023 Итог"/>
        <d v="2023-11-30T00:00:00"/>
        <s v="30.11.2023 Итог"/>
        <d v="2023-12-01T00:00:00"/>
        <s v="01.12.2023 Итог"/>
        <d v="2023-12-02T00:00:00"/>
        <s v="02.12.2023 Итог"/>
        <d v="2023-12-03T00:00:00"/>
        <s v="03.12.2023 Итог"/>
        <d v="2023-12-04T00:00:00"/>
        <s v="04.12.2023 Итог"/>
        <d v="2023-12-05T00:00:00"/>
        <s v="05.12.2023 Итог"/>
        <d v="2023-12-06T00:00:00"/>
        <s v="06.12.2023 Итог"/>
        <d v="2023-12-07T00:00:00"/>
        <s v="07.12.2023 Итог"/>
        <d v="2023-12-08T00:00:00"/>
        <s v="08.12.2023 Итог"/>
        <d v="2023-12-09T00:00:00"/>
        <s v="09.12.2023 Итог"/>
        <d v="2023-12-10T00:00:00"/>
        <s v="10.12.2023 Итог"/>
        <d v="2023-12-11T00:00:00"/>
        <s v="11.12.2023 Итог"/>
        <d v="2023-12-12T00:00:00"/>
        <s v="12.12.2023 Итог"/>
        <d v="2023-12-13T00:00:00"/>
        <s v="13.12.2023 Итог"/>
        <d v="2023-12-14T00:00:00"/>
        <s v="14.12.2023 Итог"/>
        <d v="2023-12-15T00:00:00"/>
        <s v="15.12.2023 Итог"/>
        <d v="2023-12-16T00:00:00"/>
        <s v="16.12.2023 Итог"/>
        <d v="2023-12-17T00:00:00"/>
        <s v="17.12.2023 Итог"/>
        <d v="2023-12-18T00:00:00"/>
        <s v="18.12.2023 Итог"/>
        <d v="2023-12-19T00:00:00"/>
        <s v="19.12.2023 Итог"/>
        <d v="2023-12-20T00:00:00"/>
        <s v="20.12.2023 Итог"/>
        <d v="2023-12-21T00:00:00"/>
        <s v="21.12.2023 Итог"/>
        <d v="2023-12-22T00:00:00"/>
        <s v="22.12.2023 Итог"/>
        <d v="2023-12-23T00:00:00"/>
        <s v="23.12.2023 Итог"/>
        <d v="2023-12-24T00:00:00"/>
        <s v="24.12.2023 Итог"/>
        <d v="2023-12-25T00:00:00"/>
        <s v="25.12.2023 Итог"/>
        <d v="2023-12-26T00:00:00"/>
        <s v="26.12.2023 Итог"/>
        <d v="2023-12-27T00:00:00"/>
        <s v="27.12.2023 Итог"/>
        <d v="2023-12-28T00:00:00"/>
        <s v="28.12.2023 Итог"/>
        <d v="2023-12-29T00:00:00"/>
        <s v="29.12.2023 Итог"/>
        <d v="2023-12-30T00:00:00"/>
        <s v="30.12.2023 Итог"/>
        <d v="2023-12-31T00:00:00"/>
        <s v="31.12.2023 Итог"/>
        <d v="2025-10-25T00:00:00"/>
        <s v="25.10.2025 Итог"/>
        <s v="Общий итог"/>
      </sharedItems>
    </cacheField>
    <cacheField name="Заказчик" numFmtId="0">
      <sharedItems containsBlank="1"/>
    </cacheField>
    <cacheField name="Город" numFmtId="0">
      <sharedItems containsBlank="1"/>
    </cacheField>
    <cacheField name="Категория товара" numFmtId="0">
      <sharedItems containsBlank="1"/>
    </cacheField>
    <cacheField name="Товар" numFmtId="0">
      <sharedItems containsBlank="1"/>
    </cacheField>
    <cacheField name="Цена за упаковку" numFmtId="0">
      <sharedItems containsString="0" containsBlank="1" containsNumber="1" containsInteger="1" minValue="325" maxValue="7050"/>
    </cacheField>
    <cacheField name="Количество" numFmtId="0">
      <sharedItems containsString="0" containsBlank="1" containsNumber="1" containsInteger="1" minValue="5" maxValue="588"/>
    </cacheField>
    <cacheField name="Итого" numFmtId="164">
      <sharedItems containsSemiMixedTypes="0" containsString="0" containsNumber="1" minValue="1.625" maxValue="241608.38499999995"/>
    </cacheField>
    <cacheField name="Месяц" numFmtId="0">
      <sharedItems containsBlank="1" count="13">
        <s v="Январь"/>
        <m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m6" refreshedDate="45960.997053587962" createdVersion="6" refreshedVersion="6" minRefreshableVersion="3" recordCount="3776" xr:uid="{FFB2A8BC-65DB-4238-9BF3-69C0B30086E5}">
  <cacheSource type="worksheet">
    <worksheetSource name="Таблица4"/>
  </cacheSource>
  <cacheFields count="9">
    <cacheField name="Дата" numFmtId="14">
      <sharedItems containsDate="1" containsMixedTypes="1" minDate="2023-01-01T00:00:00" maxDate="2025-10-26T00:00:00"/>
    </cacheField>
    <cacheField name="Заказчик" numFmtId="0">
      <sharedItems containsBlank="1" count="6">
        <s v="Соседи"/>
        <s v="Копеечка"/>
        <s v="Евроопт"/>
        <m/>
        <s v="Виталюр"/>
        <s v="Санта"/>
      </sharedItems>
    </cacheField>
    <cacheField name="Город" numFmtId="0">
      <sharedItems containsBlank="1" count="7">
        <s v="Борисов"/>
        <s v="Минск"/>
        <m/>
        <s v="Барановичи"/>
        <s v="Жодино"/>
        <s v="Столбцы"/>
        <s v="Фаниполь"/>
      </sharedItems>
    </cacheField>
    <cacheField name="Категория товара" numFmtId="0">
      <sharedItems containsBlank="1" count="5">
        <s v="Фрукты"/>
        <s v="Зелень"/>
        <s v="Овощи"/>
        <m/>
        <s v="Ягоды"/>
      </sharedItems>
    </cacheField>
    <cacheField name="Товар" numFmtId="0">
      <sharedItems containsBlank="1" count="25">
        <s v="Абрикосы"/>
        <s v="Салат айсберг"/>
        <s v="Кабачки"/>
        <m/>
        <s v="Свекла"/>
        <s v="Сливы"/>
        <s v="Петрушка"/>
        <s v="Черешня"/>
        <s v="Капуста"/>
        <s v="Картофель"/>
        <s v="Яблоки"/>
        <s v="Малина"/>
        <s v="Морковь"/>
        <s v="Смородина черная"/>
        <s v="Брусника"/>
        <s v="Клубника"/>
        <s v="Баклажаны"/>
        <s v="Бананы"/>
        <s v="Кинза"/>
        <s v="Салат римский"/>
        <s v="Укроп"/>
        <s v="Голубика"/>
        <s v="Груши"/>
        <s v="Лук зеленый"/>
        <s v="Апельсины"/>
      </sharedItems>
    </cacheField>
    <cacheField name="Цена" numFmtId="0">
      <sharedItems containsString="0" containsBlank="1" containsNumber="1" containsInteger="1" minValue="325" maxValue="7050"/>
    </cacheField>
    <cacheField name="Количество" numFmtId="0">
      <sharedItems containsString="0" containsBlank="1" containsNumber="1" containsInteger="1" minValue="5" maxValue="588"/>
    </cacheField>
    <cacheField name="Итого" numFmtId="164">
      <sharedItems containsSemiMixedTypes="0" containsString="0" containsNumber="1" minValue="1.625" maxValue="241608.38499999995" count="1804">
        <n v="249.48"/>
        <n v="37.26"/>
        <n v="65"/>
        <n v="351.74"/>
        <n v="19.8"/>
        <n v="79.98"/>
        <n v="46.08"/>
        <n v="147.84"/>
        <n v="38.18"/>
        <n v="10.35"/>
        <n v="47.97"/>
        <n v="42.24"/>
        <n v="59.4"/>
        <n v="10.01"/>
        <n v="9.0299999999999994"/>
        <n v="41.6"/>
        <n v="81.83"/>
        <n v="31.05"/>
        <n v="142.68"/>
        <n v="808.04"/>
        <n v="43.2"/>
        <n v="67.209999999999994"/>
        <n v="24.15"/>
        <n v="47.905000000000001"/>
        <n v="6.21"/>
        <n v="6.8250000000000002"/>
        <n v="71.28"/>
        <n v="31.605"/>
        <n v="10.725"/>
        <n v="23.14"/>
        <n v="79.2"/>
        <n v="411.45"/>
        <n v="103.84"/>
        <n v="27.885000000000002"/>
        <n v="164.82"/>
        <n v="54.51"/>
        <n v="40.92"/>
        <n v="53.625"/>
        <n v="5.5250000000000004"/>
        <n v="55.25"/>
        <n v="90.21"/>
        <n v="237.6"/>
        <n v="44.33"/>
        <n v="878.51499999999999"/>
        <n v="39.42"/>
        <n v="16.25"/>
        <n v="18.850000000000001"/>
        <n v="102.40500000000002"/>
        <n v="22.25"/>
        <n v="84"/>
        <n v="307.68"/>
        <n v="11.04"/>
        <n v="41.58"/>
        <n v="5.94"/>
        <n v="66.75"/>
        <n v="246"/>
        <n v="107.92"/>
        <n v="893.16"/>
        <n v="23.265000000000001"/>
        <n v="160.80000000000001"/>
        <n v="36.72"/>
        <n v="9"/>
        <n v="42.66"/>
        <n v="8.8000000000000007"/>
        <n v="21.774999999999999"/>
        <n v="24.18"/>
        <n v="327.2"/>
        <n v="33.28"/>
        <n v="70.400000000000006"/>
        <n v="57.96"/>
        <n v="137.74"/>
        <n v="140.28"/>
        <n v="30.1"/>
        <n v="7.15"/>
        <n v="172.2"/>
        <n v="9.66"/>
        <n v="118.8"/>
        <n v="48"/>
        <n v="20.79"/>
        <n v="62.204999999999998"/>
        <n v="908.56499999999983"/>
        <n v="33"/>
        <n v="133.94499999999999"/>
        <n v="57.2"/>
        <n v="14.52"/>
        <n v="63.45"/>
        <n v="19.78"/>
        <n v="177.8"/>
        <n v="76.680000000000007"/>
        <n v="576.375"/>
        <n v="66.974999999999994"/>
        <n v="87.29"/>
        <n v="97.98"/>
        <n v="8.1"/>
        <n v="52.8"/>
        <n v="110.88"/>
        <n v="170.72"/>
        <n v="45.09"/>
        <n v="190.5"/>
        <n v="55.8"/>
        <n v="886.13499999999999"/>
        <n v="50.055"/>
        <n v="116.9"/>
        <n v="44.8"/>
        <n v="24.31"/>
        <n v="90.3"/>
        <n v="22.5"/>
        <n v="126.72"/>
        <n v="31.98"/>
        <n v="189.095"/>
        <n v="696.66000000000008"/>
        <n v="81.599999999999994"/>
        <n v="66.88"/>
        <n v="218.4"/>
        <n v="11.96"/>
        <n v="93.72"/>
        <n v="8.125"/>
        <n v="27.59"/>
        <n v="6.23"/>
        <n v="655.58500000000004"/>
        <n v="20.46"/>
        <n v="122.76"/>
        <n v="161.99"/>
        <n v="163.35"/>
        <n v="33.299999999999997"/>
        <n v="9.24"/>
        <n v="179.48"/>
        <n v="142.24"/>
        <n v="20.010000000000002"/>
        <n v="897.92000000000007"/>
        <n v="14.805"/>
        <n v="27.06"/>
        <n v="152.4"/>
        <n v="173.07"/>
        <n v="17.04"/>
        <n v="384.375"/>
        <n v="52.92"/>
        <n v="65.86"/>
        <n v="78.319999999999993"/>
        <n v="301.27"/>
        <n v="43.42"/>
        <n v="15.73"/>
        <n v="54.12"/>
        <n v="46.5"/>
        <n v="127.925"/>
        <n v="30.48"/>
        <n v="81.84"/>
        <n v="59.34"/>
        <n v="5.4"/>
        <n v="17.875"/>
        <n v="104.14"/>
        <n v="1388.3400000000001"/>
        <n v="122.4"/>
        <n v="221.4"/>
        <n v="14.76"/>
        <n v="14.04"/>
        <n v="60.03"/>
        <n v="16.64"/>
        <n v="35.1"/>
        <n v="137.76"/>
        <n v="16.559999999999999"/>
        <n v="46.15"/>
        <n v="9.9"/>
        <n v="31.85"/>
        <n v="275.63"/>
        <n v="150.63499999999999"/>
        <n v="83.16"/>
        <n v="18.36"/>
        <n v="68.88"/>
        <n v="288.45"/>
        <n v="8.4600000000000009"/>
        <n v="1677.365"/>
        <n v="14.72"/>
        <n v="37.700000000000003"/>
        <n v="59.8"/>
        <n v="40.950000000000003"/>
        <n v="161.91999999999999"/>
        <n v="21.07"/>
        <n v="8.35"/>
        <n v="57.104999999999997"/>
        <n v="46.92"/>
        <n v="4.05"/>
        <n v="6.6"/>
        <n v="105.21"/>
        <n v="21.12"/>
        <n v="45.76"/>
        <n v="74.760000000000005"/>
        <n v="41.82"/>
        <n v="219.78"/>
        <n v="27.3"/>
        <n v="26.324999999999999"/>
        <n v="19.2"/>
        <n v="169.86500000000001"/>
        <n v="38.4"/>
        <n v="81.180000000000007"/>
        <n v="120.24"/>
        <n v="240.57"/>
        <n v="53.82"/>
        <n v="1862.7950000000003"/>
        <n v="22.1"/>
        <n v="24.84"/>
        <n v="121.79"/>
        <n v="17.28"/>
        <n v="63.36"/>
        <n v="233.7"/>
        <n v="40.185000000000002"/>
        <n v="33.479999999999997"/>
        <n v="139.69999999999999"/>
        <n v="17.78"/>
        <n v="135.44999999999999"/>
        <n v="66.239999999999995"/>
        <n v="52.195"/>
        <n v="23.25"/>
        <n v="37.625"/>
        <n v="1028.9749999999999"/>
        <n v="40.020000000000003"/>
        <n v="119.28"/>
        <n v="26.22"/>
        <n v="57.85"/>
        <n v="78.099999999999994"/>
        <n v="16.024999999999999"/>
        <n v="64.349999999999994"/>
        <n v="50.56"/>
        <n v="11.44"/>
        <n v="42.78"/>
        <n v="21.71"/>
        <n v="58.5"/>
        <n v="29.7"/>
        <n v="35.19"/>
        <n v="19.175000000000001"/>
        <n v="21.15"/>
        <n v="262.81"/>
        <n v="106.5"/>
        <n v="40.590000000000003"/>
        <n v="140.80000000000001"/>
        <n v="79.765000000000001"/>
        <n v="1613.645"/>
        <n v="20.8"/>
        <n v="82.775000000000006"/>
        <n v="26.68"/>
        <n v="56.484999999999999"/>
        <n v="5.52"/>
        <n v="28.8"/>
        <n v="166.32"/>
        <n v="8.2799999999999994"/>
        <n v="16.2"/>
        <n v="157.41"/>
        <n v="66.42"/>
        <n v="38.07"/>
        <n v="50.49"/>
        <n v="782.75"/>
        <n v="62.744999999999997"/>
        <n v="115.02"/>
        <n v="22.08"/>
        <n v="19.68"/>
        <n v="96.15"/>
        <n v="33.81"/>
        <n v="26.4"/>
        <n v="207.9"/>
        <n v="310.88499999999999"/>
        <n v="12.025"/>
        <n v="64.715000000000003"/>
        <n v="51.15"/>
        <n v="208.28"/>
        <n v="13.36"/>
        <n v="61.79"/>
        <n v="28.925000000000001"/>
        <n v="44.2"/>
        <n v="1474.0049999999999"/>
        <n v="24.3"/>
        <n v="51.06"/>
        <n v="3.5750000000000002"/>
        <n v="88.56"/>
        <n v="48.075000000000003"/>
        <n v="14.24"/>
        <n v="17.940000000000001"/>
        <n v="52.54"/>
        <n v="12.16"/>
        <n v="3.22"/>
        <n v="5.58"/>
        <n v="35.340000000000003"/>
        <n v="83.64"/>
        <n v="52.38"/>
        <n v="700.99"/>
        <n v="123"/>
        <n v="55.695"/>
        <n v="11.34"/>
        <n v="24.03"/>
        <n v="73.47"/>
        <n v="128.04"/>
        <n v="155.31"/>
        <n v="13.975"/>
        <n v="165.1"/>
        <n v="165.33"/>
        <n v="12.8"/>
        <n v="125.46"/>
        <n v="142.56"/>
        <n v="49.28"/>
        <n v="65.064999999999998"/>
        <n v="272.42500000000001"/>
        <n v="93.98"/>
        <n v="1765.1799999999998"/>
        <n v="36.270000000000003"/>
        <n v="7.04"/>
        <n v="251.46"/>
        <n v="112.18"/>
        <n v="20.149999999999999"/>
        <n v="104.88"/>
        <n v="10.119999999999999"/>
        <n v="15.62"/>
        <n v="14.2"/>
        <n v="70.510000000000005"/>
        <n v="178.2"/>
        <n v="19.84"/>
        <n v="223.52"/>
        <n v="86.13"/>
        <n v="1646.9299999999998"/>
        <n v="44.85"/>
        <n v="47.234999999999999"/>
        <n v="40.04"/>
        <n v="67.305000000000007"/>
        <n v="43.65"/>
        <n v="231.14"/>
        <n v="184.5"/>
        <n v="16.02"/>
        <n v="16.649999999999999"/>
        <n v="121.77"/>
        <n v="13.65"/>
        <n v="890.9799999999999"/>
        <n v="86.94"/>
        <n v="168"/>
        <n v="226.06"/>
        <n v="34.545000000000002"/>
        <n v="14.58"/>
        <n v="58.695"/>
        <n v="243.54"/>
        <n v="89.76"/>
        <n v="15.6"/>
        <n v="115.92"/>
        <n v="111.89"/>
        <n v="86.534999999999997"/>
        <n v="1541.9000000000003"/>
        <n v="3.9"/>
        <n v="221.14500000000001"/>
        <n v="225.72"/>
        <n v="85.56"/>
        <n v="154.88"/>
        <n v="89.46"/>
        <n v="234.63"/>
        <n v="36.479999999999997"/>
        <n v="22.88"/>
        <n v="56.76"/>
        <n v="44.02"/>
        <n v="42.9"/>
        <n v="109.89"/>
        <n v="1495.1450000000004"/>
        <n v="41.4"/>
        <n v="15.925000000000001"/>
        <n v="73.66"/>
        <n v="48.75"/>
        <n v="21.45"/>
        <n v="18.86"/>
        <n v="88"/>
        <n v="72.16"/>
        <n v="25.92"/>
        <n v="32.04"/>
        <n v="134.9"/>
        <n v="779.6450000000001"/>
        <n v="13.324999999999999"/>
        <n v="49.2"/>
        <n v="16.215"/>
        <n v="147.43"/>
        <n v="37.200000000000003"/>
        <n v="99.63"/>
        <n v="46.655000000000001"/>
        <n v="8.4499999999999993"/>
        <n v="26"/>
        <n v="80.959999999999994"/>
        <n v="16.739999999999998"/>
        <n v="26.73"/>
        <n v="191.88"/>
        <n v="93"/>
        <n v="13.395"/>
        <n v="18.63"/>
        <n v="105.08"/>
        <n v="30.75"/>
        <n v="174.24"/>
        <n v="21.6"/>
        <n v="243.84"/>
        <n v="1880.2249999999999"/>
        <n v="84.18"/>
        <n v="63.05"/>
        <n v="32.5"/>
        <n v="35.549999999999997"/>
        <n v="160.32"/>
        <n v="36.465000000000003"/>
        <n v="128.59"/>
        <n v="19.579999999999998"/>
        <n v="5.72"/>
        <n v="86.24"/>
        <n v="144.47999999999999"/>
        <n v="16"/>
        <n v="40.94"/>
        <n v="126.96"/>
        <n v="1311.4350000000002"/>
        <n v="96.6"/>
        <n v="34.32"/>
        <n v="4.45"/>
        <n v="32.659999999999997"/>
        <n v="42.185000000000002"/>
        <n v="136.80000000000001"/>
        <n v="75.260000000000005"/>
        <n v="2.7"/>
        <n v="47.52"/>
        <n v="44.55"/>
        <n v="110.7"/>
        <n v="35.954999999999998"/>
        <n v="41.594999999999999"/>
        <n v="24.75"/>
        <n v="236.22"/>
        <n v="1169.6600000000001"/>
        <n v="6.75"/>
        <n v="47.61"/>
        <n v="62.4"/>
        <n v="78.72"/>
        <n v="39.6"/>
        <n v="28.48"/>
        <n v="25.64"/>
        <n v="189.42"/>
        <n v="56.32"/>
        <n v="47.36"/>
        <n v="8.64"/>
        <n v="84.48"/>
        <n v="46.44"/>
        <n v="38.340000000000003"/>
        <n v="216"/>
        <n v="184.14"/>
        <n v="1427.4100000000003"/>
        <n v="3.24"/>
        <n v="108.55"/>
        <n v="112.86"/>
        <n v="33.119999999999997"/>
        <n v="53.95"/>
        <n v="96.56"/>
        <n v="124.96"/>
        <n v="8.9"/>
        <n v="83.78"/>
        <n v="31.2"/>
        <n v="103.66"/>
        <n v="31.86"/>
        <n v="23.46"/>
        <n v="43.56"/>
        <n v="148.5"/>
        <n v="154.97999999999999"/>
        <n v="1306.1200000000001"/>
        <n v="48.3"/>
        <n v="108.24"/>
        <n v="59.52"/>
        <n v="22.95"/>
        <n v="7.12"/>
        <n v="10.88"/>
        <n v="116.84"/>
        <n v="139.19999999999999"/>
        <n v="109.56"/>
        <n v="75.239999999999995"/>
        <n v="105.78"/>
        <n v="34.71"/>
        <n v="36.799999999999997"/>
        <n v="1248.5300000000002"/>
        <n v="19.5"/>
        <n v="9.4499999999999993"/>
        <n v="38.64"/>
        <n v="30.26"/>
        <n v="101.64"/>
        <n v="72"/>
        <n v="133.6"/>
        <n v="95.19"/>
        <n v="39.76"/>
        <n v="76.819999999999993"/>
        <n v="157.44"/>
        <n v="11.7"/>
        <n v="12.3"/>
        <n v="15.75"/>
        <n v="54.18"/>
        <n v="130.935"/>
        <n v="93.48"/>
        <n v="1489.2350000000001"/>
        <n v="45.44"/>
        <n v="39.06"/>
        <n v="243.58"/>
        <n v="25.53"/>
        <n v="118.08"/>
        <n v="213.84"/>
        <n v="60.8"/>
        <n v="48.645000000000003"/>
        <n v="4.83"/>
        <n v="13.95"/>
        <n v="1301.7850000000001"/>
        <n v="43.55"/>
        <n v="77.44"/>
        <n v="60.12"/>
        <n v="86.84"/>
        <n v="150.06"/>
        <n v="882.30000000000007"/>
        <n v="43.005000000000003"/>
        <n v="13.8"/>
        <n v="21.39"/>
        <n v="213.6"/>
        <n v="130.63999999999999"/>
        <n v="12.04"/>
        <n v="124.46"/>
        <n v="37.76"/>
        <n v="23.04"/>
        <n v="7.44"/>
        <n v="119.38"/>
        <n v="228.6"/>
        <n v="33.15"/>
        <n v="1180.5050000000001"/>
        <n v="241.3"/>
        <n v="36.450000000000003"/>
        <n v="91.14"/>
        <n v="120.12"/>
        <n v="14.95"/>
        <n v="59.344999999999999"/>
        <n v="132"/>
        <n v="114.84"/>
        <n v="53.12"/>
        <n v="77.430000000000007"/>
        <n v="8.5500000000000007"/>
        <n v="9.1649999999999991"/>
        <n v="43.52"/>
        <n v="2.25"/>
        <n v="232.8"/>
        <n v="22.14"/>
        <n v="1608.4900000000002"/>
        <n v="13.02"/>
        <n v="172.48"/>
        <n v="56.78"/>
        <n v="66.930000000000007"/>
        <n v="40.479999999999997"/>
        <n v="259.60500000000002"/>
        <n v="62.04"/>
        <n v="12.46"/>
        <n v="22.32"/>
        <n v="75.150000000000006"/>
        <n v="256.39999999999998"/>
        <n v="24.92"/>
        <n v="36.659999999999997"/>
        <n v="23.594999999999999"/>
        <n v="98.4"/>
        <n v="58.42"/>
        <n v="135.30000000000001"/>
        <n v="185.89"/>
        <n v="1969.6700000000005"/>
        <n v="28.98"/>
        <n v="34.44"/>
        <n v="56.58"/>
        <n v="237.17"/>
        <n v="10.074999999999999"/>
        <n v="46"/>
        <n v="6.4"/>
        <n v="11.52"/>
        <n v="6.5"/>
        <n v="132.47999999999999"/>
        <n v="206.4"/>
        <n v="60"/>
        <n v="130.68"/>
        <n v="55.89"/>
        <n v="18.2"/>
        <n v="1470.3050000000003"/>
        <n v="34.200000000000003"/>
        <n v="72.42"/>
        <n v="133.47999999999999"/>
        <n v="24.7"/>
        <n v="2.2749999999999999"/>
        <n v="74.400000000000006"/>
        <n v="80.19"/>
        <n v="35.64"/>
        <n v="62.3"/>
        <n v="92.07"/>
        <n v="124.74"/>
        <n v="39.36"/>
        <n v="29.44"/>
        <n v="124.2"/>
        <n v="1207.4849999999999"/>
        <n v="126.42"/>
        <n v="60.63"/>
        <n v="20.239999999999998"/>
        <n v="38.25"/>
        <n v="194.4"/>
        <n v="15.99"/>
        <n v="105.35"/>
        <n v="112.875"/>
        <n v="724.255"/>
        <n v="42.72"/>
        <n v="81.88"/>
        <n v="89.79"/>
        <n v="36.96"/>
        <n v="175.23"/>
        <n v="64.97"/>
        <n v="29.52"/>
        <n v="557.53499999999997"/>
        <n v="102.12"/>
        <n v="38.61"/>
        <n v="89"/>
        <n v="57.6"/>
        <n v="264.33"/>
        <n v="48.06"/>
        <n v="54.484999999999999"/>
        <n v="768.44"/>
        <n v="31.74"/>
        <n v="1.625"/>
        <n v="14.85"/>
        <n v="71.34"/>
        <n v="56.55"/>
        <n v="22.164999999999999"/>
        <n v="328.76"/>
        <n v="84.28"/>
        <n v="80.040000000000006"/>
        <n v="16.899999999999999"/>
        <n v="26.1"/>
        <n v="73.8"/>
        <n v="33.020000000000003"/>
        <n v="51.48"/>
        <n v="38.774999999999999"/>
        <n v="7.8"/>
        <n v="477.08499999999998"/>
        <n v="58.65"/>
        <n v="15.18"/>
        <n v="44.82"/>
        <n v="64.08"/>
        <n v="27.45"/>
        <n v="116.44"/>
        <n v="29.37"/>
        <n v="87.33"/>
        <n v="760.04000000000008"/>
        <n v="33.82"/>
        <n v="34.65"/>
        <n v="26.97"/>
        <n v="578.34499999999991"/>
        <n v="103.5"/>
        <n v="25.38"/>
        <n v="134.61000000000001"/>
        <n v="158.65"/>
        <n v="47.45"/>
        <n v="26.65"/>
        <n v="252.45"/>
        <n v="100.74"/>
        <n v="1117.48"/>
        <n v="62.72"/>
        <n v="28.06"/>
        <n v="76.754999999999995"/>
        <n v="49.92"/>
        <n v="31.62"/>
        <n v="28.08"/>
        <n v="126.38"/>
        <n v="683.875"/>
        <n v="28.4"/>
        <n v="53.34"/>
        <n v="22.44"/>
        <n v="58.08"/>
        <n v="35.255000000000003"/>
        <n v="131.405"/>
        <n v="385.18999999999994"/>
        <n v="12.15"/>
        <n v="9.1"/>
        <n v="121.13"/>
        <n v="29.9"/>
        <n v="62.31"/>
        <n v="116.85"/>
        <n v="363.14"/>
        <n v="15.51"/>
        <n v="5.2"/>
        <n v="10.4"/>
        <n v="51.17"/>
        <n v="273.24"/>
        <n v="25.6"/>
        <n v="35.75"/>
        <n v="79.209999999999994"/>
        <n v="88.11"/>
        <n v="816.22000000000014"/>
        <n v="15.64"/>
        <n v="129.54"/>
        <n v="5.85"/>
        <n v="11.984999999999999"/>
        <n v="145.53"/>
        <n v="1103.1599999999999"/>
        <n v="83.7"/>
        <n v="57.69"/>
        <n v="17.55"/>
        <n v="35.880000000000003"/>
        <n v="67.62"/>
        <n v="32.64"/>
        <n v="140.58000000000001"/>
        <n v="803.77500000000009"/>
        <n v="18.37"/>
        <n v="111.78"/>
        <n v="231.66"/>
        <n v="559.84"/>
        <n v="40.299999999999997"/>
        <n v="57.81"/>
        <n v="117.86"/>
        <n v="117.39"/>
        <n v="160.16"/>
        <n v="9.7200000000000006"/>
        <n v="685.31000000000006"/>
        <n v="121.92"/>
        <n v="69.23"/>
        <n v="3.5249999999999999"/>
        <n v="41.04"/>
        <n v="139.16"/>
        <n v="33.92"/>
        <n v="776.59500000000003"/>
        <n v="43.71"/>
        <n v="33.799999999999997"/>
        <n v="25.2"/>
        <n v="7.4749999999999996"/>
        <n v="54.99"/>
        <n v="221.47"/>
        <n v="35.67"/>
        <n v="130.26"/>
        <n v="93.84"/>
        <n v="182.4"/>
        <n v="656.88499999999999"/>
        <n v="50.4"/>
        <n v="64.8"/>
        <n v="6.9"/>
        <n v="172.8"/>
        <n v="200.66"/>
        <n v="82.77"/>
        <n v="904.68000000000006"/>
        <n v="111.37"/>
        <n v="115.62"/>
        <n v="85.17"/>
        <n v="73.14"/>
        <n v="12.88"/>
        <n v="127.8"/>
        <n v="707.24"/>
        <n v="28.29"/>
        <n v="124.08"/>
        <n v="95.22"/>
        <n v="131.1"/>
        <n v="431.65999999999997"/>
        <n v="17.100000000000001"/>
        <n v="45.54"/>
        <n v="27.6"/>
        <n v="31.46"/>
        <n v="54.6"/>
        <n v="69.599999999999994"/>
        <n v="662.78"/>
        <n v="25.3"/>
        <n v="285.245"/>
        <n v="64.86"/>
        <n v="9.4250000000000007"/>
        <n v="88.795000000000002"/>
        <n v="101.6"/>
        <n v="23.4"/>
        <n v="67.319999999999993"/>
        <n v="1061.3999999999999"/>
        <n v="100.32"/>
        <n v="53.58"/>
        <n v="467.26499999999999"/>
        <n v="27.625"/>
        <n v="43.615000000000002"/>
        <n v="131.93"/>
        <n v="716.94499999999994"/>
        <n v="55.38"/>
        <n v="46.86"/>
        <n v="25.024999999999999"/>
        <n v="105.6"/>
        <n v="36"/>
        <n v="76.540000000000006"/>
        <n v="18.45"/>
        <n v="45.39"/>
        <n v="72.599999999999994"/>
        <n v="567.18499999999995"/>
        <n v="59.84"/>
        <n v="61.06"/>
        <n v="115.2"/>
        <n v="117.48"/>
        <n v="588.57000000000005"/>
        <n v="196.02"/>
        <n v="34.450000000000003"/>
        <n v="100.8"/>
        <n v="133.65"/>
        <n v="31.524999999999999"/>
        <n v="78.489999999999995"/>
        <n v="33.4"/>
        <n v="981.60500000000002"/>
        <n v="29.16"/>
        <n v="291.06"/>
        <n v="7.59"/>
        <n v="104.55"/>
        <n v="201.91499999999999"/>
        <n v="828.34500000000003"/>
        <n v="39.65"/>
        <n v="38.130000000000003"/>
        <n v="44.16"/>
        <n v="593.30000000000007"/>
        <n v="20.445"/>
        <n v="21.76"/>
        <n v="70.5"/>
        <n v="147.6"/>
        <n v="460.375"/>
        <n v="53.46"/>
        <n v="51.2"/>
        <n v="117.3"/>
        <n v="32.174999999999997"/>
        <n v="97.17"/>
        <n v="736.47500000000002"/>
        <n v="49.29"/>
        <n v="118.57"/>
        <n v="20.7"/>
        <n v="320.91999999999996"/>
        <n v="4.32"/>
        <n v="163.66"/>
        <n v="32.43"/>
        <n v="18.600000000000001"/>
        <n v="37.950000000000003"/>
        <n v="80.52"/>
        <n v="41.85"/>
        <n v="71.2"/>
        <n v="505.5"/>
        <n v="177.6"/>
        <n v="65.78"/>
        <n v="64.680000000000007"/>
        <n v="113.6"/>
        <n v="16.445"/>
        <n v="782.27500000000009"/>
        <n v="60.96"/>
        <n v="25.35"/>
        <n v="100.86"/>
        <n v="172.72"/>
        <n v="63.7"/>
        <n v="68.31"/>
        <n v="887.27"/>
        <n v="80.125"/>
        <n v="17.920000000000002"/>
        <n v="41.86"/>
        <n v="5.0049999999999999"/>
        <n v="27.14"/>
        <n v="350.63499999999999"/>
        <n v="58.63"/>
        <n v="65.12"/>
        <n v="56.43"/>
        <n v="90.88"/>
        <n v="151.47"/>
        <n v="25.585000000000001"/>
        <n v="180"/>
        <n v="41.18"/>
        <n v="916.59999999999991"/>
        <n v="29.67"/>
        <n v="144.32"/>
        <n v="28.6"/>
        <n v="102.56"/>
        <n v="94.814999999999998"/>
        <n v="13.545"/>
        <n v="9.75"/>
        <n v="781.59999999999991"/>
        <n v="153.84"/>
        <n v="93.52"/>
        <n v="99.4"/>
        <n v="4.5"/>
        <n v="837.05"/>
        <n v="24.6"/>
        <n v="93.28"/>
        <n v="60.52"/>
        <n v="76.92"/>
        <n v="33.58"/>
        <n v="226.32"/>
        <n v="675.19"/>
        <n v="141.02000000000001"/>
        <n v="88.35"/>
        <n v="651.21500000000003"/>
        <n v="72.239999999999995"/>
        <n v="60.45"/>
        <n v="433.64499999999998"/>
        <n v="35.6"/>
        <n v="32.67"/>
        <n v="68.27000000000001"/>
        <n v="56.96"/>
        <n v="2.76"/>
        <n v="55.35"/>
        <n v="285.12"/>
        <n v="106.68"/>
        <n v="26.46"/>
        <n v="73.745000000000005"/>
        <n v="1078.8"/>
        <n v="82.36"/>
        <n v="107.36"/>
        <n v="78.66"/>
        <n v="67.650000000000006"/>
        <n v="77.22"/>
        <n v="10.574999999999999"/>
        <n v="132.08000000000001"/>
        <n v="879.46500000000015"/>
        <n v="145.98500000000001"/>
        <n v="179.58"/>
        <n v="110.76"/>
        <n v="45.57"/>
        <n v="122.12"/>
        <n v="826.06000000000006"/>
        <n v="128.34"/>
        <n v="39.15"/>
        <n v="14.08"/>
        <n v="91.805000000000007"/>
        <n v="95.94"/>
        <n v="38.28"/>
        <n v="599.21500000000003"/>
        <n v="78.12"/>
        <n v="120.4"/>
        <n v="97.825000000000003"/>
        <n v="66.03"/>
        <n v="626.625"/>
        <n v="204.18"/>
        <n v="43.74"/>
        <n v="44.5"/>
        <n v="35.034999999999997"/>
        <n v="92.4"/>
        <n v="40.634999999999998"/>
        <n v="150.5"/>
        <n v="113.52"/>
        <n v="48.26"/>
        <n v="772.77"/>
        <n v="17.82"/>
        <n v="46.8"/>
        <n v="103.32"/>
        <n v="309.91499999999996"/>
        <n v="4.55"/>
        <n v="44.1"/>
        <n v="51.66"/>
        <n v="106.88"/>
        <n v="118.68"/>
        <n v="126.92"/>
        <n v="916.6"/>
        <n v="121.44"/>
        <n v="63.21"/>
        <n v="350.78999999999996"/>
        <n v="30.315000000000001"/>
        <n v="114.54"/>
        <n v="22.54"/>
        <n v="42.09"/>
        <n v="80.94"/>
        <n v="343.79500000000002"/>
        <n v="198.12"/>
        <n v="28.594999999999999"/>
        <n v="54.4"/>
        <n v="19.88"/>
        <n v="963.17"/>
        <n v="137.815"/>
        <n v="375.71500000000003"/>
        <n v="26.98"/>
        <n v="228"/>
        <n v="144.22499999999999"/>
        <n v="457.19500000000005"/>
        <n v="50.22"/>
        <n v="9.1999999999999993"/>
        <n v="13.05"/>
        <n v="91.52"/>
        <n v="345.96499999999997"/>
        <n v="52.48"/>
        <n v="26.88"/>
        <n v="220.98"/>
        <n v="56.8"/>
        <n v="870.78499999999997"/>
        <n v="19.440000000000001"/>
        <n v="272.42"/>
        <n v="115.23"/>
        <n v="30.06"/>
        <n v="475.05500000000001"/>
        <n v="177.12"/>
        <n v="109.02"/>
        <n v="52.17"/>
        <n v="13.11"/>
        <n v="13.44"/>
        <n v="684.15000000000009"/>
        <n v="142"/>
        <n v="249.99"/>
        <n v="103.2"/>
        <n v="147.49"/>
        <n v="972.8950000000001"/>
        <n v="18.690000000000001"/>
        <n v="63.634999999999998"/>
        <n v="454.185"/>
        <n v="38.700000000000003"/>
        <n v="55.2"/>
        <n v="10.58"/>
        <n v="53.44"/>
        <n v="631.21"/>
        <n v="412.42500000000001"/>
        <n v="154.94"/>
        <n v="74.52"/>
        <n v="12.154999999999999"/>
        <n v="32.549999999999997"/>
        <n v="14.3"/>
        <n v="54"/>
        <n v="238.76"/>
        <n v="76.260000000000005"/>
        <n v="946.95499999999981"/>
        <n v="23.92"/>
        <n v="17.625"/>
        <n v="582.83500000000004"/>
        <n v="144.78"/>
        <n v="246.38"/>
        <n v="48.16"/>
        <n v="687"/>
        <n v="3.68"/>
        <n v="32.4"/>
        <n v="86.4"/>
        <n v="10.26"/>
        <n v="340.315"/>
        <n v="8.9700000000000006"/>
        <n v="61.41"/>
        <n v="62.92"/>
        <n v="73.48"/>
        <n v="49.14"/>
        <n v="19.824999999999999"/>
        <n v="35.25"/>
        <n v="848.92500000000007"/>
        <n v="40.049999999999997"/>
        <n v="86.33"/>
        <n v="65.55"/>
        <n v="8.01"/>
        <n v="29.04"/>
        <n v="150.30000000000001"/>
        <n v="23.38"/>
        <n v="729.05"/>
        <n v="141.94999999999999"/>
        <n v="365.46999999999997"/>
        <n v="52.08"/>
        <n v="350.54500000000002"/>
        <n v="4.4800000000000004"/>
        <n v="132.06"/>
        <n v="10.02"/>
        <n v="7.82"/>
        <n v="211.2"/>
        <n v="201.96"/>
        <n v="84.55"/>
        <n v="11.05"/>
        <n v="1149.4899999999998"/>
        <n v="52.674999999999997"/>
        <n v="8.58"/>
        <n v="31.68"/>
        <n v="330.64"/>
        <n v="44.28"/>
        <n v="49.35"/>
        <n v="27.9"/>
        <n v="46.72"/>
        <n v="18.329999999999998"/>
        <n v="317.29500000000002"/>
        <n v="780.17499999999995"/>
        <n v="15.12"/>
        <n v="50.1"/>
        <n v="111.76"/>
        <n v="70.38"/>
        <n v="96.36"/>
        <n v="1041.8900000000001"/>
        <n v="34.5"/>
        <n v="39.99"/>
        <n v="181.17"/>
        <n v="402.63000000000005"/>
        <n v="133.73999999999998"/>
        <n v="22.425000000000001"/>
        <n v="3.84"/>
        <n v="86.62"/>
        <n v="100.83499999999999"/>
        <n v="20.52"/>
        <n v="711.67499999999995"/>
        <n v="69.58"/>
        <n v="36.340000000000003"/>
        <n v="9.2949999999999999"/>
        <n v="4.1399999999999997"/>
        <n v="55.9"/>
        <n v="315.84499999999997"/>
        <n v="33.840000000000003"/>
        <n v="85.784999999999997"/>
        <n v="17.22"/>
        <n v="17.02"/>
        <n v="3.15"/>
        <n v="102.08"/>
        <n v="182.685"/>
        <n v="458.03000000000003"/>
        <n v="109.12"/>
        <n v="115.88500000000001"/>
        <n v="19.035"/>
        <n v="224.35"/>
        <n v="40.89"/>
        <n v="110.4"/>
        <n v="1178.4100000000001"/>
        <n v="61.704999999999998"/>
        <n v="62.08"/>
        <n v="30.55"/>
        <n v="11.375"/>
        <n v="29.25"/>
        <n v="113.16"/>
        <n v="654.04"/>
        <n v="59.15"/>
        <n v="100.98"/>
        <n v="908.66500000000008"/>
        <n v="25.76"/>
        <n v="49.664999999999999"/>
        <n v="48.99"/>
        <n v="10.535"/>
        <n v="60.72"/>
        <n v="66.22"/>
        <n v="565.61"/>
        <n v="15.36"/>
        <n v="231.24"/>
        <n v="55.055"/>
        <n v="39.56"/>
        <n v="153.6"/>
        <n v="82.8"/>
        <n v="881.3549999999999"/>
        <n v="26.91"/>
        <n v="25.675000000000001"/>
        <n v="362.93"/>
        <n v="120"/>
        <n v="23.76"/>
        <n v="4.2300000000000004"/>
        <n v="182.88"/>
        <n v="676.66000000000008"/>
        <n v="28.2"/>
        <n v="123.54"/>
        <n v="59.63"/>
        <n v="958.76499999999999"/>
        <n v="29.61"/>
        <n v="411.76"/>
        <n v="75.680000000000007"/>
        <n v="169.29"/>
        <n v="139.59"/>
        <n v="11.69"/>
        <n v="27.95"/>
        <n v="128.19999999999999"/>
        <n v="1010.1700000000001"/>
        <n v="41.664999999999999"/>
        <n v="193.04"/>
        <n v="70.680000000000007"/>
        <n v="64.17"/>
        <n v="291.65499999999997"/>
        <n v="1142.46"/>
        <n v="55.44"/>
        <n v="63.19"/>
        <n v="37.72"/>
        <n v="76.2"/>
        <n v="344.19"/>
        <n v="46.23"/>
        <n v="11.88"/>
        <n v="114.4"/>
        <n v="87.12"/>
        <n v="222.75"/>
        <n v="891.22500000000002"/>
        <n v="6.44"/>
        <n v="58.24"/>
        <n v="18.899999999999999"/>
        <n v="141.6"/>
        <n v="705.61"/>
        <n v="9.84"/>
        <n v="41.75"/>
        <n v="125.25"/>
        <n v="255.13499999999999"/>
        <n v="211.53"/>
        <n v="91.44"/>
        <n v="12.675000000000001"/>
        <n v="12.6"/>
        <n v="107.64"/>
        <n v="790.57500000000005"/>
        <n v="125.4"/>
        <n v="54.56"/>
        <n v="12.96"/>
        <n v="705.94499999999994"/>
        <n v="33.134999999999998"/>
        <n v="10.56"/>
        <n v="65.319999999999993"/>
        <n v="120.54"/>
        <n v="62.79"/>
        <n v="14.4"/>
        <n v="391.94499999999999"/>
        <n v="11.5"/>
        <n v="282.04000000000002"/>
        <n v="69"/>
        <n v="82.72"/>
        <n v="823.31"/>
        <n v="48.36"/>
        <n v="103.845"/>
        <n v="20.04"/>
        <n v="755.79499999999996"/>
        <n v="872.81500000000005"/>
        <n v="18.399999999999999"/>
        <n v="175.2"/>
        <n v="282.14999999999998"/>
        <n v="31.95"/>
        <n v="32"/>
        <n v="727.73000000000013"/>
        <n v="62.1"/>
        <n v="466.375"/>
        <n v="39.159999999999997"/>
        <n v="40.799999999999997"/>
        <n v="168.94"/>
        <n v="91.2"/>
        <n v="54.29"/>
        <n v="89.1"/>
        <n v="63.24"/>
        <n v="761.97500000000002"/>
        <n v="19.305"/>
        <n v="19.32"/>
        <n v="665.32500000000005"/>
        <n v="18.524999999999999"/>
        <n v="9.8699999999999992"/>
        <n v="45.5"/>
        <n v="382.38499999999999"/>
        <n v="6.4349999999999996"/>
        <n v="167.2"/>
        <n v="136.62"/>
        <n v="50.05"/>
        <n v="36.9"/>
        <n v="890.92500000000018"/>
        <n v="12.42"/>
        <n v="61.5"/>
        <n v="565.995"/>
        <n v="3.6"/>
        <n v="100.82"/>
        <n v="58.515000000000001"/>
        <n v="300.44"/>
        <n v="65.099999999999994"/>
        <n v="889.03500000000008"/>
        <n v="6.48"/>
        <n v="60.2"/>
        <n v="112.8"/>
        <n v="160.25"/>
        <n v="824.96"/>
        <n v="240"/>
        <n v="127"/>
        <n v="19.565000000000001"/>
        <n v="51.35"/>
        <n v="76.56"/>
        <n v="928.93499999999995"/>
        <n v="112.175"/>
        <n v="15.87"/>
        <n v="12.35"/>
        <n v="58.74"/>
        <n v="427.755"/>
        <n v="117.92"/>
        <n v="355.68"/>
        <n v="38.1"/>
        <n v="88.51"/>
        <n v="18"/>
        <n v="246.51"/>
        <n v="588.28"/>
        <n v="266.01499999999999"/>
        <n v="2.2999999999999998"/>
        <n v="33.11"/>
        <n v="451.38499999999999"/>
        <n v="145.13999999999999"/>
        <n v="48.1"/>
        <n v="23.85"/>
        <n v="926.45"/>
        <n v="22.77"/>
        <n v="62.73"/>
        <n v="26.79"/>
        <n v="24"/>
        <n v="345.39000000000004"/>
        <n v="16.91"/>
        <n v="48.28"/>
        <n v="409.89"/>
        <n v="99.36"/>
        <n v="68.64"/>
        <n v="75.900000000000006"/>
        <n v="80.91"/>
        <n v="175.26"/>
        <n v="69.355000000000004"/>
        <n v="62.48"/>
        <n v="59.04"/>
        <n v="24.64"/>
        <n v="54.34"/>
        <n v="902.13499999999999"/>
        <n v="63.48"/>
        <n v="116.16"/>
        <n v="1242.5999999999999"/>
        <n v="39.33"/>
        <n v="72.98"/>
        <n v="51.04"/>
        <n v="230.4"/>
        <n v="76.8"/>
        <n v="1053.3699999999999"/>
        <n v="14.49"/>
        <n v="199.2"/>
        <n v="176.27500000000001"/>
        <n v="225.6"/>
        <n v="28.62"/>
        <n v="1019.1449999999999"/>
        <n v="23.074999999999999"/>
        <n v="136.94"/>
        <n v="182.04"/>
        <n v="960.43499999999995"/>
        <n v="35.840000000000003"/>
        <n v="31.32"/>
        <n v="167.64"/>
        <n v="783.25999999999988"/>
        <n v="49.335000000000001"/>
        <n v="91.08"/>
        <n v="1072.2650000000001"/>
        <n v="96"/>
        <n v="9.94"/>
        <n v="417.19999999999993"/>
        <n v="41.47"/>
        <n v="89.28"/>
        <n v="280.40999999999997"/>
        <n v="27.54"/>
        <n v="129.22"/>
        <n v="30.24"/>
        <n v="485.79999999999995"/>
        <n v="114.39"/>
        <n v="63.9"/>
        <n v="206.64"/>
        <n v="673.94999999999993"/>
        <n v="403.05000000000007"/>
        <n v="205.74"/>
        <n v="129.6"/>
        <n v="33.21"/>
        <n v="59.924999999999997"/>
        <n v="723.86"/>
        <n v="129.43"/>
        <n v="56.07"/>
        <n v="44"/>
        <n v="619.22"/>
        <n v="131.86499999999998"/>
        <n v="32.200000000000003"/>
        <n v="121.91"/>
        <n v="233.68"/>
        <n v="20.91"/>
        <n v="4.875"/>
        <n v="775.74"/>
        <n v="45.51"/>
        <n v="288.08999999999997"/>
        <n v="258.39"/>
        <n v="255.42"/>
        <n v="30.72"/>
        <n v="1236.56"/>
        <n v="10.23"/>
        <n v="78.260000000000005"/>
        <n v="28.274999999999999"/>
        <n v="575.40499999999997"/>
        <n v="73.84"/>
        <n v="165.44"/>
        <n v="68.385000000000005"/>
        <n v="67.724999999999994"/>
        <n v="33.604999999999997"/>
        <n v="81.28"/>
        <n v="834.48500000000001"/>
        <n v="58.59"/>
        <n v="80.350000000000009"/>
        <n v="45.825000000000003"/>
        <n v="53.94"/>
        <n v="543.69499999999994"/>
        <n v="19.350000000000001"/>
        <n v="165.6"/>
        <n v="108"/>
        <n v="910.3549999999999"/>
        <n v="43.05"/>
        <n v="156"/>
        <n v="1090.76"/>
        <n v="56.4"/>
        <n v="51.84"/>
        <n v="167"/>
        <n v="132.84"/>
        <n v="886.88"/>
        <n v="89.74"/>
        <n v="122.82"/>
        <n v="30.03"/>
        <n v="712.46"/>
        <n v="163.19999999999999"/>
        <n v="29.76"/>
        <n v="1009.6"/>
        <n v="11.16"/>
        <n v="75.33"/>
        <n v="24.05"/>
        <n v="48.62"/>
        <n v="55.18"/>
        <n v="146.96"/>
        <n v="38.46"/>
        <n v="903.82500000000005"/>
        <n v="95.14"/>
        <n v="18.059999999999999"/>
        <n v="6.51"/>
        <n v="506.25"/>
        <n v="115.83"/>
        <n v="17.25"/>
        <n v="613.99"/>
        <n v="86.1"/>
        <n v="44.414999999999999"/>
        <n v="837.02499999999986"/>
        <n v="13.53"/>
        <n v="127.71"/>
        <n v="356.95"/>
        <n v="26.975000000000001"/>
        <n v="5.64"/>
        <n v="79.05"/>
        <n v="110.22"/>
        <n v="736.73500000000001"/>
        <n v="28.16"/>
        <n v="138.46"/>
        <n v="134.62"/>
        <n v="109.22"/>
        <n v="583.005"/>
        <n v="228.69"/>
        <n v="158.4"/>
        <n v="761.09"/>
        <n v="208.32499999999999"/>
        <n v="15.84"/>
        <n v="418.36"/>
        <n v="113.56"/>
        <n v="32.049999999999997"/>
        <n v="12.69"/>
        <n v="5.76"/>
        <n v="501.67999999999995"/>
        <n v="39.68"/>
        <n v="48.64"/>
        <n v="34.04"/>
        <n v="345.26000000000005"/>
        <n v="4.29"/>
        <n v="11.36"/>
        <n v="109.64"/>
        <n v="63.96"/>
        <n v="153.63999999999999"/>
        <n v="58.22"/>
        <n v="536.6"/>
        <n v="30.15"/>
        <n v="26.7"/>
        <n v="710.83500000000004"/>
        <n v="28.83"/>
        <n v="196.8"/>
        <n v="140.22"/>
        <n v="278.83499999999998"/>
        <n v="163.45500000000001"/>
        <n v="1274.5199999999998"/>
        <n v="73.715000000000003"/>
        <n v="20.475000000000001"/>
        <n v="31.24"/>
        <n v="84.87"/>
        <n v="269.22000000000003"/>
        <n v="701.43000000000006"/>
        <n v="31.73"/>
        <n v="652.59499999999991"/>
        <n v="703.47499999999991"/>
        <n v="68.819999999999993"/>
        <n v="665.45000000000016"/>
        <n v="145.29"/>
        <n v="13.2"/>
        <n v="501.63"/>
        <n v="139.965"/>
        <n v="300.38499999999999"/>
        <n v="114.38"/>
        <n v="6.1749999999999998"/>
        <n v="418.47499999999997"/>
        <n v="403.37999999999994"/>
        <n v="13"/>
        <n v="47.17"/>
        <n v="723.29000000000008"/>
        <n v="106.92"/>
        <n v="70.31"/>
        <n v="23.22"/>
        <n v="21.06"/>
        <n v="542.23"/>
        <n v="156.97999999999999"/>
        <n v="423.6"/>
        <n v="127.92"/>
        <n v="34.56"/>
        <n v="714.1"/>
        <n v="260.7"/>
        <n v="28.905000000000001"/>
        <n v="23"/>
        <n v="151.36000000000001"/>
        <n v="59.22"/>
        <n v="470.59500000000003"/>
        <n v="27.72"/>
        <n v="371.20000000000005"/>
        <n v="455.63499999999999"/>
        <n v="489.745"/>
        <n v="24.675000000000001"/>
        <n v="86.49"/>
        <n v="138.61000000000001"/>
        <n v="673.23500000000013"/>
        <n v="119.31"/>
        <n v="97.68"/>
        <n v="22.86"/>
        <n v="806.32500000000005"/>
        <n v="204.93"/>
        <n v="22.56"/>
        <n v="25.11"/>
        <n v="129.36000000000001"/>
        <n v="792.6"/>
        <n v="46.74"/>
        <n v="132.44"/>
        <n v="442.89999999999992"/>
        <n v="19.53"/>
        <n v="638.02499999999998"/>
        <n v="67.64"/>
        <n v="74.25"/>
        <n v="80.989999999999995"/>
        <n v="1040.46"/>
        <n v="67.924999999999997"/>
        <n v="649.53499999999997"/>
        <n v="772.67000000000007"/>
        <n v="14.625"/>
        <n v="53.76"/>
        <n v="77.19"/>
        <n v="70.734999999999999"/>
        <n v="48.43"/>
        <n v="1084.93"/>
        <n v="42.3"/>
        <n v="223.2"/>
        <n v="15.81"/>
        <n v="35.56"/>
        <n v="35.5"/>
        <n v="21.3"/>
        <n v="22.75"/>
        <n v="95.04"/>
        <n v="915.20500000000004"/>
        <n v="5.98"/>
        <n v="821.91"/>
        <n v="19.739999999999998"/>
        <n v="383.935"/>
        <n v="292.41999999999996"/>
        <n v="15.03"/>
        <n v="130.38"/>
        <n v="53.3"/>
        <n v="20.32"/>
        <n v="773.25"/>
        <n v="39"/>
        <n v="32.89"/>
        <n v="773.19500000000005"/>
        <n v="9.18"/>
        <n v="42.6"/>
        <n v="36.74"/>
        <n v="331.4"/>
        <n v="324.935"/>
        <n v="218.44"/>
        <n v="25.74"/>
        <n v="31.02"/>
        <n v="7.65"/>
        <n v="713.91499999999996"/>
        <n v="16.555"/>
        <n v="8.61"/>
        <n v="640.37000000000012"/>
        <n v="29.574999999999999"/>
        <n v="154.44"/>
        <n v="798.32"/>
        <n v="184.8"/>
        <n v="893.62"/>
        <n v="44.62"/>
        <n v="80.099999999999994"/>
        <n v="842.34"/>
        <n v="69.795000000000002"/>
        <n v="660.56500000000005"/>
        <n v="57.914999999999999"/>
        <n v="147.32"/>
        <n v="416.92500000000001"/>
        <n v="136.32"/>
        <n v="537.42999999999995"/>
        <n v="13.35"/>
        <n v="28.844999999999999"/>
        <n v="267.66999999999996"/>
        <n v="104.28"/>
        <n v="170.18"/>
        <n v="587.69499999999994"/>
        <n v="44.64"/>
        <n v="33.6"/>
        <n v="124.91500000000001"/>
        <n v="38.35"/>
        <n v="457.875"/>
        <n v="49.4"/>
        <n v="46.28"/>
        <n v="52.44"/>
        <n v="80.16"/>
        <n v="877.37"/>
        <n v="379.96500000000003"/>
        <n v="73.87"/>
        <n v="115.38"/>
        <n v="15.3"/>
        <n v="15.24"/>
        <n v="762.33500000000015"/>
        <n v="40.32"/>
        <n v="552.67499999999995"/>
        <n v="81.42"/>
        <n v="37.049999999999997"/>
        <n v="144"/>
        <n v="1050.4649999999997"/>
        <n v="61.75"/>
        <n v="51.62"/>
        <n v="169.74"/>
        <n v="8.3699999999999992"/>
        <n v="535.59"/>
        <n v="111.93"/>
        <n v="193.05"/>
        <n v="42.14"/>
        <n v="14.26"/>
        <n v="1008.0399999999998"/>
        <n v="5.12"/>
        <n v="539.25"/>
        <n v="112.2"/>
        <n v="123.58"/>
        <n v="1155.335"/>
        <n v="55.88"/>
        <n v="507.35499999999996"/>
        <n v="29.92"/>
        <n v="830.83999999999992"/>
        <n v="46.475000000000001"/>
        <n v="510.19000000000005"/>
        <n v="133.86000000000001"/>
        <n v="66"/>
        <n v="967.34000000000015"/>
        <n v="69.959999999999994"/>
        <n v="27.52"/>
        <n v="176"/>
        <n v="606.97"/>
        <n v="16.574999999999999"/>
        <n v="61.49"/>
        <n v="401.11500000000001"/>
        <n v="156.63999999999999"/>
        <n v="38.409999999999997"/>
        <n v="910.46"/>
        <n v="17.670000000000002"/>
        <n v="3.2"/>
        <n v="90.18"/>
        <n v="135.24"/>
        <n v="39.325000000000003"/>
        <n v="837.27"/>
        <n v="42.32"/>
        <n v="220.8"/>
        <n v="49.68"/>
        <n v="246.785"/>
        <n v="842.03"/>
        <n v="560.90500000000009"/>
        <n v="297"/>
        <n v="37.365000000000002"/>
        <n v="21.62"/>
        <n v="1120.875"/>
        <n v="71"/>
        <n v="449.61500000000001"/>
        <n v="142.97499999999999"/>
        <n v="71.5"/>
        <n v="925.07500000000005"/>
        <n v="45.045000000000002"/>
        <n v="30.36"/>
        <n v="237.29000000000002"/>
        <n v="51.465000000000003"/>
        <n v="96.8"/>
        <n v="983.85500000000002"/>
        <n v="45.9"/>
        <n v="52"/>
        <n v="622.90000000000009"/>
        <n v="364.86500000000001"/>
        <n v="53.01"/>
        <n v="22.68"/>
        <n v="28.52"/>
        <n v="646.08999999999992"/>
        <n v="30.225000000000001"/>
        <n v="21.36"/>
        <n v="216.48"/>
        <n v="959.48500000000001"/>
        <n v="400.32999999999993"/>
        <n v="148.995"/>
        <n v="195.58"/>
        <n v="152.52000000000001"/>
        <n v="765.78499999999997"/>
        <n v="160.38"/>
        <n v="620.70499999999993"/>
        <n v="30.69"/>
        <n v="17.16"/>
        <n v="199.26"/>
        <n v="854.15499999999986"/>
        <n v="37.119999999999997"/>
        <n v="501.61"/>
        <n v="118.895"/>
        <n v="102.24"/>
        <n v="675.76499999999999"/>
        <n v="584.19000000000005"/>
        <n v="66.495000000000005"/>
        <n v="317.88"/>
        <n v="366.09999999999997"/>
        <n v="270.27"/>
        <n v="681.48"/>
        <n v="92.46"/>
        <n v="201.72"/>
        <n v="526.83000000000004"/>
        <n v="51.77"/>
        <n v="1025.4299999999998"/>
        <n v="41.83"/>
        <n v="194.34"/>
        <n v="406"/>
        <n v="52.65"/>
        <n v="201.6"/>
        <n v="88.04"/>
        <n v="160.02000000000001"/>
        <n v="1427.7050000000002"/>
        <n v="23.97"/>
        <n v="550.82999999999993"/>
        <n v="24.32"/>
        <n v="26.085000000000001"/>
        <n v="24.375"/>
        <n v="425.86"/>
        <n v="43.645000000000003"/>
        <n v="1111.0650000000001"/>
        <n v="83.82"/>
        <n v="934.41499999999996"/>
        <n v="89.7"/>
        <n v="7.8650000000000002"/>
        <n v="59.64"/>
        <n v="465.08500000000004"/>
        <n v="45.08"/>
        <n v="72.569999999999993"/>
        <n v="1135.19"/>
        <n v="7.68"/>
        <n v="256.255"/>
        <n v="81.27"/>
        <n v="71.12"/>
        <n v="55.68"/>
        <n v="135.27000000000001"/>
        <n v="100.2"/>
        <n v="542.55499999999995"/>
        <n v="236.16"/>
        <n v="43.47"/>
        <n v="51.12"/>
        <n v="828.76"/>
        <n v="214.73500000000001"/>
        <n v="18.46"/>
        <n v="844.79"/>
        <n v="869.19"/>
        <n v="205.12"/>
        <n v="233.2"/>
        <n v="23.68"/>
        <n v="42.75"/>
        <n v="17.8"/>
        <n v="709.07499999999993"/>
        <n v="304.47500000000002"/>
        <n v="1197.125"/>
        <n v="839.54"/>
        <n v="27"/>
        <n v="8.52"/>
        <n v="157.47999999999999"/>
        <n v="515.28"/>
        <n v="813.84000000000015"/>
        <n v="20.02"/>
        <n v="205.38000000000002"/>
        <n v="25.81"/>
        <n v="22.574999999999999"/>
        <n v="663.625"/>
        <n v="214.73"/>
        <n v="67.2"/>
        <n v="108.97"/>
        <n v="515.51"/>
        <n v="273.66499999999996"/>
        <n v="698.40000000000009"/>
        <n v="209.1"/>
        <n v="123.41"/>
        <n v="60.27"/>
        <n v="908.92499999999995"/>
        <n v="356.37"/>
        <n v="75.03"/>
        <n v="61.38"/>
        <n v="35.200000000000003"/>
        <n v="781.44"/>
        <n v="511.52"/>
        <n v="119.68"/>
        <n v="37.799999999999997"/>
        <n v="137.16"/>
        <n v="976.24499999999989"/>
        <n v="53.96"/>
        <n v="45.15"/>
        <n v="554.89999999999986"/>
        <n v="65.564999999999998"/>
        <n v="282.47499999999997"/>
        <n v="6.3"/>
        <n v="47.19"/>
        <n v="227.55500000000001"/>
        <n v="802.72"/>
        <n v="42.25"/>
        <n v="37.895000000000003"/>
        <n v="60.06"/>
        <n v="208.8"/>
        <n v="39.1"/>
        <n v="663.85"/>
        <n v="595.32000000000005"/>
        <n v="61.44"/>
        <n v="87.22"/>
        <n v="325.52"/>
        <n v="279.18"/>
        <n v="40.755000000000003"/>
        <n v="30.08"/>
        <n v="40.5"/>
        <n v="1109.2049999999999"/>
        <n v="910.56999999999994"/>
        <n v="170.4"/>
        <n v="857.75499999999988"/>
        <n v="22.434999999999999"/>
        <n v="118.58499999999999"/>
        <n v="62.37"/>
        <n v="541.54500000000007"/>
        <n v="88.44"/>
        <n v="785.78"/>
        <n v="36.4"/>
        <n v="157.69"/>
        <n v="4145.3999999999996"/>
        <n v="241608.38499999995"/>
      </sharedItems>
    </cacheField>
    <cacheField name="Квартал " numFmtId="0">
      <sharedItems containsString="0" containsBlank="1" containsNumber="1" containsInteger="1" minValue="1" maxValue="4" count="5">
        <n v="1"/>
        <n v="2"/>
        <n v="3"/>
        <m/>
        <n v="4"/>
      </sharedItems>
    </cacheField>
  </cacheFields>
  <extLst>
    <ext xmlns:x14="http://schemas.microsoft.com/office/spreadsheetml/2009/9/main" uri="{725AE2AE-9491-48be-B2B4-4EB974FC3084}">
      <x14:pivotCacheDefinition pivotCacheId="144961579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m6" refreshedDate="45963.610631828706" createdVersion="6" refreshedVersion="6" minRefreshableVersion="3" recordCount="3776" xr:uid="{A419538C-B3FD-4831-B125-8C7F8B21F1B0}">
  <cacheSource type="worksheet">
    <worksheetSource ref="A11:H3787" sheet="Лист5" r:id="rId2"/>
  </cacheSource>
  <cacheFields count="8">
    <cacheField name="Дата" numFmtId="14">
      <sharedItems containsDate="1" containsMixedTypes="1" minDate="2023-01-01T00:00:00" maxDate="2025-10-26T00:00:00"/>
    </cacheField>
    <cacheField name="Заказчик" numFmtId="0">
      <sharedItems containsBlank="1" count="6">
        <s v="Соседи"/>
        <s v="Копеечка"/>
        <s v="Евроопт"/>
        <m/>
        <s v="Виталюр"/>
        <s v="Санта"/>
      </sharedItems>
    </cacheField>
    <cacheField name="Город" numFmtId="0">
      <sharedItems containsBlank="1" count="7">
        <s v="Борисов"/>
        <s v="Минск"/>
        <m/>
        <s v="Барановичи"/>
        <s v="Жодино"/>
        <s v="Столбцы"/>
        <s v="Фаниполь"/>
      </sharedItems>
    </cacheField>
    <cacheField name="Категория товара" numFmtId="0">
      <sharedItems containsBlank="1"/>
    </cacheField>
    <cacheField name="Товар" numFmtId="0">
      <sharedItems containsBlank="1"/>
    </cacheField>
    <cacheField name="Цена за упаковку" numFmtId="0">
      <sharedItems containsString="0" containsBlank="1" containsNumber="1" containsInteger="1" minValue="325" maxValue="7050"/>
    </cacheField>
    <cacheField name="Количество" numFmtId="0">
      <sharedItems containsString="0" containsBlank="1" containsNumber="1" containsInteger="1" minValue="5" maxValue="588"/>
    </cacheField>
    <cacheField name="Итого" numFmtId="164">
      <sharedItems containsSemiMixedTypes="0" containsString="0" containsNumber="1" minValue="1.625" maxValue="241608.38499999995" count="1804">
        <n v="249.48"/>
        <n v="37.26"/>
        <n v="65"/>
        <n v="351.74"/>
        <n v="19.8"/>
        <n v="79.98"/>
        <n v="46.08"/>
        <n v="147.84"/>
        <n v="38.18"/>
        <n v="10.35"/>
        <n v="47.97"/>
        <n v="42.24"/>
        <n v="59.4"/>
        <n v="10.01"/>
        <n v="9.0299999999999994"/>
        <n v="41.6"/>
        <n v="81.83"/>
        <n v="31.05"/>
        <n v="142.68"/>
        <n v="808.04"/>
        <n v="43.2"/>
        <n v="67.209999999999994"/>
        <n v="24.15"/>
        <n v="47.905000000000001"/>
        <n v="6.21"/>
        <n v="6.8250000000000002"/>
        <n v="71.28"/>
        <n v="31.605"/>
        <n v="10.725"/>
        <n v="23.14"/>
        <n v="79.2"/>
        <n v="411.45"/>
        <n v="103.84"/>
        <n v="27.885000000000002"/>
        <n v="164.82"/>
        <n v="54.51"/>
        <n v="40.92"/>
        <n v="53.625"/>
        <n v="5.5250000000000004"/>
        <n v="55.25"/>
        <n v="90.21"/>
        <n v="237.6"/>
        <n v="44.33"/>
        <n v="878.51499999999999"/>
        <n v="39.42"/>
        <n v="16.25"/>
        <n v="18.850000000000001"/>
        <n v="102.40500000000002"/>
        <n v="22.25"/>
        <n v="84"/>
        <n v="307.68"/>
        <n v="11.04"/>
        <n v="41.58"/>
        <n v="5.94"/>
        <n v="66.75"/>
        <n v="246"/>
        <n v="107.92"/>
        <n v="893.16"/>
        <n v="23.265000000000001"/>
        <n v="160.80000000000001"/>
        <n v="36.72"/>
        <n v="9"/>
        <n v="42.66"/>
        <n v="8.8000000000000007"/>
        <n v="21.774999999999999"/>
        <n v="24.18"/>
        <n v="327.2"/>
        <n v="33.28"/>
        <n v="70.400000000000006"/>
        <n v="57.96"/>
        <n v="137.74"/>
        <n v="140.28"/>
        <n v="30.1"/>
        <n v="7.15"/>
        <n v="172.2"/>
        <n v="9.66"/>
        <n v="118.8"/>
        <n v="48"/>
        <n v="20.79"/>
        <n v="62.204999999999998"/>
        <n v="908.56499999999983"/>
        <n v="33"/>
        <n v="133.94499999999999"/>
        <n v="57.2"/>
        <n v="14.52"/>
        <n v="63.45"/>
        <n v="19.78"/>
        <n v="177.8"/>
        <n v="76.680000000000007"/>
        <n v="576.375"/>
        <n v="66.974999999999994"/>
        <n v="87.29"/>
        <n v="97.98"/>
        <n v="8.1"/>
        <n v="52.8"/>
        <n v="110.88"/>
        <n v="170.72"/>
        <n v="45.09"/>
        <n v="190.5"/>
        <n v="55.8"/>
        <n v="886.13499999999999"/>
        <n v="50.055"/>
        <n v="116.9"/>
        <n v="44.8"/>
        <n v="24.31"/>
        <n v="90.3"/>
        <n v="22.5"/>
        <n v="126.72"/>
        <n v="31.98"/>
        <n v="189.095"/>
        <n v="696.66000000000008"/>
        <n v="81.599999999999994"/>
        <n v="66.88"/>
        <n v="218.4"/>
        <n v="11.96"/>
        <n v="93.72"/>
        <n v="8.125"/>
        <n v="27.59"/>
        <n v="6.23"/>
        <n v="655.58500000000004"/>
        <n v="20.46"/>
        <n v="122.76"/>
        <n v="161.99"/>
        <n v="163.35"/>
        <n v="33.299999999999997"/>
        <n v="9.24"/>
        <n v="179.48"/>
        <n v="142.24"/>
        <n v="20.010000000000002"/>
        <n v="897.92000000000007"/>
        <n v="14.805"/>
        <n v="27.06"/>
        <n v="152.4"/>
        <n v="173.07"/>
        <n v="17.04"/>
        <n v="384.375"/>
        <n v="52.92"/>
        <n v="65.86"/>
        <n v="78.319999999999993"/>
        <n v="301.27"/>
        <n v="43.42"/>
        <n v="15.73"/>
        <n v="54.12"/>
        <n v="46.5"/>
        <n v="127.925"/>
        <n v="30.48"/>
        <n v="81.84"/>
        <n v="59.34"/>
        <n v="5.4"/>
        <n v="17.875"/>
        <n v="104.14"/>
        <n v="1388.3400000000001"/>
        <n v="122.4"/>
        <n v="221.4"/>
        <n v="14.76"/>
        <n v="14.04"/>
        <n v="60.03"/>
        <n v="16.64"/>
        <n v="35.1"/>
        <n v="137.76"/>
        <n v="16.559999999999999"/>
        <n v="46.15"/>
        <n v="9.9"/>
        <n v="31.85"/>
        <n v="275.63"/>
        <n v="150.63499999999999"/>
        <n v="83.16"/>
        <n v="18.36"/>
        <n v="68.88"/>
        <n v="288.45"/>
        <n v="8.4600000000000009"/>
        <n v="1677.365"/>
        <n v="14.72"/>
        <n v="37.700000000000003"/>
        <n v="59.8"/>
        <n v="40.950000000000003"/>
        <n v="161.91999999999999"/>
        <n v="21.07"/>
        <n v="8.35"/>
        <n v="57.104999999999997"/>
        <n v="46.92"/>
        <n v="4.05"/>
        <n v="6.6"/>
        <n v="105.21"/>
        <n v="21.12"/>
        <n v="45.76"/>
        <n v="74.760000000000005"/>
        <n v="41.82"/>
        <n v="219.78"/>
        <n v="27.3"/>
        <n v="26.324999999999999"/>
        <n v="19.2"/>
        <n v="169.86500000000001"/>
        <n v="38.4"/>
        <n v="81.180000000000007"/>
        <n v="120.24"/>
        <n v="240.57"/>
        <n v="53.82"/>
        <n v="1862.7950000000003"/>
        <n v="22.1"/>
        <n v="24.84"/>
        <n v="121.79"/>
        <n v="17.28"/>
        <n v="63.36"/>
        <n v="233.7"/>
        <n v="40.185000000000002"/>
        <n v="33.479999999999997"/>
        <n v="139.69999999999999"/>
        <n v="17.78"/>
        <n v="135.44999999999999"/>
        <n v="66.239999999999995"/>
        <n v="52.195"/>
        <n v="23.25"/>
        <n v="37.625"/>
        <n v="1028.9749999999999"/>
        <n v="40.020000000000003"/>
        <n v="119.28"/>
        <n v="26.22"/>
        <n v="57.85"/>
        <n v="78.099999999999994"/>
        <n v="16.024999999999999"/>
        <n v="64.349999999999994"/>
        <n v="50.56"/>
        <n v="11.44"/>
        <n v="42.78"/>
        <n v="21.71"/>
        <n v="58.5"/>
        <n v="29.7"/>
        <n v="35.19"/>
        <n v="19.175000000000001"/>
        <n v="21.15"/>
        <n v="262.81"/>
        <n v="106.5"/>
        <n v="40.590000000000003"/>
        <n v="140.80000000000001"/>
        <n v="79.765000000000001"/>
        <n v="1613.645"/>
        <n v="20.8"/>
        <n v="82.775000000000006"/>
        <n v="26.68"/>
        <n v="56.484999999999999"/>
        <n v="5.52"/>
        <n v="28.8"/>
        <n v="166.32"/>
        <n v="8.2799999999999994"/>
        <n v="16.2"/>
        <n v="157.41"/>
        <n v="66.42"/>
        <n v="38.07"/>
        <n v="50.49"/>
        <n v="782.75"/>
        <n v="62.744999999999997"/>
        <n v="115.02"/>
        <n v="22.08"/>
        <n v="19.68"/>
        <n v="96.15"/>
        <n v="33.81"/>
        <n v="26.4"/>
        <n v="207.9"/>
        <n v="310.88499999999999"/>
        <n v="12.025"/>
        <n v="64.715000000000003"/>
        <n v="51.15"/>
        <n v="208.28"/>
        <n v="13.36"/>
        <n v="61.79"/>
        <n v="28.925000000000001"/>
        <n v="44.2"/>
        <n v="1474.0049999999999"/>
        <n v="24.3"/>
        <n v="51.06"/>
        <n v="3.5750000000000002"/>
        <n v="88.56"/>
        <n v="48.075000000000003"/>
        <n v="14.24"/>
        <n v="17.940000000000001"/>
        <n v="52.54"/>
        <n v="12.16"/>
        <n v="3.22"/>
        <n v="5.58"/>
        <n v="35.340000000000003"/>
        <n v="83.64"/>
        <n v="52.38"/>
        <n v="700.99"/>
        <n v="123"/>
        <n v="55.695"/>
        <n v="11.34"/>
        <n v="24.03"/>
        <n v="73.47"/>
        <n v="128.04"/>
        <n v="155.31"/>
        <n v="13.975"/>
        <n v="165.1"/>
        <n v="165.33"/>
        <n v="12.8"/>
        <n v="125.46"/>
        <n v="142.56"/>
        <n v="49.28"/>
        <n v="65.064999999999998"/>
        <n v="272.42500000000001"/>
        <n v="93.98"/>
        <n v="1765.1799999999998"/>
        <n v="36.270000000000003"/>
        <n v="7.04"/>
        <n v="251.46"/>
        <n v="112.18"/>
        <n v="20.149999999999999"/>
        <n v="104.88"/>
        <n v="10.119999999999999"/>
        <n v="15.62"/>
        <n v="14.2"/>
        <n v="70.510000000000005"/>
        <n v="178.2"/>
        <n v="19.84"/>
        <n v="223.52"/>
        <n v="86.13"/>
        <n v="1646.9299999999998"/>
        <n v="44.85"/>
        <n v="47.234999999999999"/>
        <n v="40.04"/>
        <n v="67.305000000000007"/>
        <n v="43.65"/>
        <n v="231.14"/>
        <n v="184.5"/>
        <n v="16.02"/>
        <n v="16.649999999999999"/>
        <n v="121.77"/>
        <n v="13.65"/>
        <n v="890.9799999999999"/>
        <n v="86.94"/>
        <n v="168"/>
        <n v="226.06"/>
        <n v="34.545000000000002"/>
        <n v="14.58"/>
        <n v="58.695"/>
        <n v="243.54"/>
        <n v="89.76"/>
        <n v="15.6"/>
        <n v="115.92"/>
        <n v="111.89"/>
        <n v="86.534999999999997"/>
        <n v="1541.9000000000003"/>
        <n v="3.9"/>
        <n v="221.14500000000001"/>
        <n v="225.72"/>
        <n v="85.56"/>
        <n v="154.88"/>
        <n v="89.46"/>
        <n v="234.63"/>
        <n v="36.479999999999997"/>
        <n v="22.88"/>
        <n v="56.76"/>
        <n v="44.02"/>
        <n v="42.9"/>
        <n v="109.89"/>
        <n v="1495.1450000000004"/>
        <n v="41.4"/>
        <n v="15.925000000000001"/>
        <n v="73.66"/>
        <n v="48.75"/>
        <n v="21.45"/>
        <n v="18.86"/>
        <n v="88"/>
        <n v="72.16"/>
        <n v="25.92"/>
        <n v="32.04"/>
        <n v="134.9"/>
        <n v="779.6450000000001"/>
        <n v="13.324999999999999"/>
        <n v="49.2"/>
        <n v="16.215"/>
        <n v="147.43"/>
        <n v="37.200000000000003"/>
        <n v="99.63"/>
        <n v="46.655000000000001"/>
        <n v="8.4499999999999993"/>
        <n v="26"/>
        <n v="80.959999999999994"/>
        <n v="16.739999999999998"/>
        <n v="26.73"/>
        <n v="191.88"/>
        <n v="93"/>
        <n v="13.395"/>
        <n v="18.63"/>
        <n v="105.08"/>
        <n v="30.75"/>
        <n v="174.24"/>
        <n v="21.6"/>
        <n v="243.84"/>
        <n v="1880.2249999999999"/>
        <n v="84.18"/>
        <n v="63.05"/>
        <n v="32.5"/>
        <n v="35.549999999999997"/>
        <n v="160.32"/>
        <n v="36.465000000000003"/>
        <n v="128.59"/>
        <n v="19.579999999999998"/>
        <n v="5.72"/>
        <n v="86.24"/>
        <n v="144.47999999999999"/>
        <n v="16"/>
        <n v="40.94"/>
        <n v="126.96"/>
        <n v="1311.4350000000002"/>
        <n v="96.6"/>
        <n v="34.32"/>
        <n v="4.45"/>
        <n v="32.659999999999997"/>
        <n v="42.185000000000002"/>
        <n v="136.80000000000001"/>
        <n v="75.260000000000005"/>
        <n v="2.7"/>
        <n v="47.52"/>
        <n v="44.55"/>
        <n v="110.7"/>
        <n v="35.954999999999998"/>
        <n v="41.594999999999999"/>
        <n v="24.75"/>
        <n v="236.22"/>
        <n v="1169.6600000000001"/>
        <n v="6.75"/>
        <n v="47.61"/>
        <n v="62.4"/>
        <n v="78.72"/>
        <n v="39.6"/>
        <n v="28.48"/>
        <n v="25.64"/>
        <n v="189.42"/>
        <n v="56.32"/>
        <n v="47.36"/>
        <n v="8.64"/>
        <n v="84.48"/>
        <n v="46.44"/>
        <n v="38.340000000000003"/>
        <n v="216"/>
        <n v="184.14"/>
        <n v="1427.4100000000003"/>
        <n v="3.24"/>
        <n v="108.55"/>
        <n v="112.86"/>
        <n v="33.119999999999997"/>
        <n v="53.95"/>
        <n v="96.56"/>
        <n v="124.96"/>
        <n v="8.9"/>
        <n v="83.78"/>
        <n v="31.2"/>
        <n v="103.66"/>
        <n v="31.86"/>
        <n v="23.46"/>
        <n v="43.56"/>
        <n v="148.5"/>
        <n v="154.97999999999999"/>
        <n v="1306.1200000000001"/>
        <n v="48.3"/>
        <n v="108.24"/>
        <n v="59.52"/>
        <n v="22.95"/>
        <n v="7.12"/>
        <n v="10.88"/>
        <n v="116.84"/>
        <n v="139.19999999999999"/>
        <n v="109.56"/>
        <n v="75.239999999999995"/>
        <n v="105.78"/>
        <n v="34.71"/>
        <n v="36.799999999999997"/>
        <n v="1248.5300000000002"/>
        <n v="19.5"/>
        <n v="9.4499999999999993"/>
        <n v="38.64"/>
        <n v="30.26"/>
        <n v="101.64"/>
        <n v="72"/>
        <n v="133.6"/>
        <n v="95.19"/>
        <n v="39.76"/>
        <n v="76.819999999999993"/>
        <n v="157.44"/>
        <n v="11.7"/>
        <n v="12.3"/>
        <n v="15.75"/>
        <n v="54.18"/>
        <n v="130.935"/>
        <n v="93.48"/>
        <n v="1489.2350000000001"/>
        <n v="45.44"/>
        <n v="39.06"/>
        <n v="243.58"/>
        <n v="25.53"/>
        <n v="118.08"/>
        <n v="213.84"/>
        <n v="60.8"/>
        <n v="48.645000000000003"/>
        <n v="4.83"/>
        <n v="13.95"/>
        <n v="1301.7850000000001"/>
        <n v="43.55"/>
        <n v="77.44"/>
        <n v="60.12"/>
        <n v="86.84"/>
        <n v="150.06"/>
        <n v="882.30000000000007"/>
        <n v="43.005000000000003"/>
        <n v="13.8"/>
        <n v="21.39"/>
        <n v="213.6"/>
        <n v="130.63999999999999"/>
        <n v="12.04"/>
        <n v="124.46"/>
        <n v="37.76"/>
        <n v="23.04"/>
        <n v="7.44"/>
        <n v="119.38"/>
        <n v="228.6"/>
        <n v="33.15"/>
        <n v="1180.5050000000001"/>
        <n v="241.3"/>
        <n v="36.450000000000003"/>
        <n v="91.14"/>
        <n v="120.12"/>
        <n v="14.95"/>
        <n v="59.344999999999999"/>
        <n v="132"/>
        <n v="114.84"/>
        <n v="53.12"/>
        <n v="77.430000000000007"/>
        <n v="8.5500000000000007"/>
        <n v="9.1649999999999991"/>
        <n v="43.52"/>
        <n v="2.25"/>
        <n v="232.8"/>
        <n v="22.14"/>
        <n v="1608.4900000000002"/>
        <n v="13.02"/>
        <n v="172.48"/>
        <n v="56.78"/>
        <n v="66.930000000000007"/>
        <n v="40.479999999999997"/>
        <n v="259.60500000000002"/>
        <n v="62.04"/>
        <n v="12.46"/>
        <n v="22.32"/>
        <n v="75.150000000000006"/>
        <n v="256.39999999999998"/>
        <n v="24.92"/>
        <n v="36.659999999999997"/>
        <n v="23.594999999999999"/>
        <n v="98.4"/>
        <n v="58.42"/>
        <n v="135.30000000000001"/>
        <n v="185.89"/>
        <n v="1969.6700000000005"/>
        <n v="28.98"/>
        <n v="34.44"/>
        <n v="56.58"/>
        <n v="237.17"/>
        <n v="10.074999999999999"/>
        <n v="46"/>
        <n v="6.4"/>
        <n v="11.52"/>
        <n v="6.5"/>
        <n v="132.47999999999999"/>
        <n v="206.4"/>
        <n v="60"/>
        <n v="130.68"/>
        <n v="55.89"/>
        <n v="18.2"/>
        <n v="1470.3050000000003"/>
        <n v="34.200000000000003"/>
        <n v="72.42"/>
        <n v="133.47999999999999"/>
        <n v="24.7"/>
        <n v="2.2749999999999999"/>
        <n v="74.400000000000006"/>
        <n v="80.19"/>
        <n v="35.64"/>
        <n v="62.3"/>
        <n v="92.07"/>
        <n v="124.74"/>
        <n v="39.36"/>
        <n v="29.44"/>
        <n v="124.2"/>
        <n v="1207.4849999999999"/>
        <n v="126.42"/>
        <n v="60.63"/>
        <n v="20.239999999999998"/>
        <n v="38.25"/>
        <n v="194.4"/>
        <n v="15.99"/>
        <n v="105.35"/>
        <n v="112.875"/>
        <n v="724.255"/>
        <n v="42.72"/>
        <n v="81.88"/>
        <n v="89.79"/>
        <n v="36.96"/>
        <n v="175.23"/>
        <n v="64.97"/>
        <n v="29.52"/>
        <n v="557.53499999999997"/>
        <n v="102.12"/>
        <n v="38.61"/>
        <n v="89"/>
        <n v="57.6"/>
        <n v="264.33"/>
        <n v="48.06"/>
        <n v="54.484999999999999"/>
        <n v="768.44"/>
        <n v="31.74"/>
        <n v="1.625"/>
        <n v="14.85"/>
        <n v="71.34"/>
        <n v="56.55"/>
        <n v="22.164999999999999"/>
        <n v="328.76"/>
        <n v="84.28"/>
        <n v="80.040000000000006"/>
        <n v="16.899999999999999"/>
        <n v="26.1"/>
        <n v="73.8"/>
        <n v="33.020000000000003"/>
        <n v="51.48"/>
        <n v="38.774999999999999"/>
        <n v="7.8"/>
        <n v="477.08499999999998"/>
        <n v="58.65"/>
        <n v="15.18"/>
        <n v="44.82"/>
        <n v="64.08"/>
        <n v="27.45"/>
        <n v="116.44"/>
        <n v="29.37"/>
        <n v="87.33"/>
        <n v="760.04000000000008"/>
        <n v="33.82"/>
        <n v="34.65"/>
        <n v="26.97"/>
        <n v="578.34499999999991"/>
        <n v="103.5"/>
        <n v="25.38"/>
        <n v="134.61000000000001"/>
        <n v="158.65"/>
        <n v="47.45"/>
        <n v="26.65"/>
        <n v="252.45"/>
        <n v="100.74"/>
        <n v="1117.48"/>
        <n v="62.72"/>
        <n v="28.06"/>
        <n v="76.754999999999995"/>
        <n v="49.92"/>
        <n v="31.62"/>
        <n v="28.08"/>
        <n v="126.38"/>
        <n v="683.875"/>
        <n v="28.4"/>
        <n v="53.34"/>
        <n v="22.44"/>
        <n v="58.08"/>
        <n v="35.255000000000003"/>
        <n v="131.405"/>
        <n v="385.18999999999994"/>
        <n v="12.15"/>
        <n v="9.1"/>
        <n v="121.13"/>
        <n v="29.9"/>
        <n v="62.31"/>
        <n v="116.85"/>
        <n v="363.14"/>
        <n v="15.51"/>
        <n v="5.2"/>
        <n v="10.4"/>
        <n v="51.17"/>
        <n v="273.24"/>
        <n v="25.6"/>
        <n v="35.75"/>
        <n v="79.209999999999994"/>
        <n v="88.11"/>
        <n v="816.22000000000014"/>
        <n v="15.64"/>
        <n v="129.54"/>
        <n v="5.85"/>
        <n v="11.984999999999999"/>
        <n v="145.53"/>
        <n v="1103.1599999999999"/>
        <n v="83.7"/>
        <n v="57.69"/>
        <n v="17.55"/>
        <n v="35.880000000000003"/>
        <n v="67.62"/>
        <n v="32.64"/>
        <n v="140.58000000000001"/>
        <n v="803.77500000000009"/>
        <n v="18.37"/>
        <n v="111.78"/>
        <n v="231.66"/>
        <n v="559.84"/>
        <n v="40.299999999999997"/>
        <n v="57.81"/>
        <n v="117.86"/>
        <n v="117.39"/>
        <n v="160.16"/>
        <n v="9.7200000000000006"/>
        <n v="685.31000000000006"/>
        <n v="121.92"/>
        <n v="69.23"/>
        <n v="3.5249999999999999"/>
        <n v="41.04"/>
        <n v="139.16"/>
        <n v="33.92"/>
        <n v="776.59500000000003"/>
        <n v="43.71"/>
        <n v="33.799999999999997"/>
        <n v="25.2"/>
        <n v="7.4749999999999996"/>
        <n v="54.99"/>
        <n v="221.47"/>
        <n v="35.67"/>
        <n v="130.26"/>
        <n v="93.84"/>
        <n v="182.4"/>
        <n v="656.88499999999999"/>
        <n v="50.4"/>
        <n v="64.8"/>
        <n v="6.9"/>
        <n v="172.8"/>
        <n v="200.66"/>
        <n v="82.77"/>
        <n v="904.68000000000006"/>
        <n v="111.37"/>
        <n v="115.62"/>
        <n v="85.17"/>
        <n v="73.14"/>
        <n v="12.88"/>
        <n v="127.8"/>
        <n v="707.24"/>
        <n v="28.29"/>
        <n v="124.08"/>
        <n v="95.22"/>
        <n v="131.1"/>
        <n v="431.65999999999997"/>
        <n v="17.100000000000001"/>
        <n v="45.54"/>
        <n v="27.6"/>
        <n v="31.46"/>
        <n v="54.6"/>
        <n v="69.599999999999994"/>
        <n v="662.78"/>
        <n v="25.3"/>
        <n v="285.245"/>
        <n v="64.86"/>
        <n v="9.4250000000000007"/>
        <n v="88.795000000000002"/>
        <n v="101.6"/>
        <n v="23.4"/>
        <n v="67.319999999999993"/>
        <n v="1061.3999999999999"/>
        <n v="100.32"/>
        <n v="53.58"/>
        <n v="467.26499999999999"/>
        <n v="27.625"/>
        <n v="43.615000000000002"/>
        <n v="131.93"/>
        <n v="716.94499999999994"/>
        <n v="55.38"/>
        <n v="46.86"/>
        <n v="25.024999999999999"/>
        <n v="105.6"/>
        <n v="36"/>
        <n v="76.540000000000006"/>
        <n v="18.45"/>
        <n v="45.39"/>
        <n v="72.599999999999994"/>
        <n v="567.18499999999995"/>
        <n v="59.84"/>
        <n v="61.06"/>
        <n v="115.2"/>
        <n v="117.48"/>
        <n v="588.57000000000005"/>
        <n v="196.02"/>
        <n v="34.450000000000003"/>
        <n v="100.8"/>
        <n v="133.65"/>
        <n v="31.524999999999999"/>
        <n v="78.489999999999995"/>
        <n v="33.4"/>
        <n v="981.60500000000002"/>
        <n v="29.16"/>
        <n v="291.06"/>
        <n v="7.59"/>
        <n v="104.55"/>
        <n v="201.91499999999999"/>
        <n v="828.34500000000003"/>
        <n v="39.65"/>
        <n v="38.130000000000003"/>
        <n v="44.16"/>
        <n v="593.30000000000007"/>
        <n v="20.445"/>
        <n v="21.76"/>
        <n v="70.5"/>
        <n v="147.6"/>
        <n v="460.375"/>
        <n v="53.46"/>
        <n v="51.2"/>
        <n v="117.3"/>
        <n v="32.174999999999997"/>
        <n v="97.17"/>
        <n v="736.47500000000002"/>
        <n v="49.29"/>
        <n v="118.57"/>
        <n v="20.7"/>
        <n v="320.91999999999996"/>
        <n v="4.32"/>
        <n v="163.66"/>
        <n v="32.43"/>
        <n v="18.600000000000001"/>
        <n v="37.950000000000003"/>
        <n v="80.52"/>
        <n v="41.85"/>
        <n v="71.2"/>
        <n v="505.5"/>
        <n v="177.6"/>
        <n v="65.78"/>
        <n v="64.680000000000007"/>
        <n v="113.6"/>
        <n v="16.445"/>
        <n v="782.27500000000009"/>
        <n v="60.96"/>
        <n v="25.35"/>
        <n v="100.86"/>
        <n v="172.72"/>
        <n v="63.7"/>
        <n v="68.31"/>
        <n v="887.27"/>
        <n v="80.125"/>
        <n v="17.920000000000002"/>
        <n v="41.86"/>
        <n v="5.0049999999999999"/>
        <n v="27.14"/>
        <n v="350.63499999999999"/>
        <n v="58.63"/>
        <n v="65.12"/>
        <n v="56.43"/>
        <n v="90.88"/>
        <n v="151.47"/>
        <n v="25.585000000000001"/>
        <n v="180"/>
        <n v="41.18"/>
        <n v="916.59999999999991"/>
        <n v="29.67"/>
        <n v="144.32"/>
        <n v="28.6"/>
        <n v="102.56"/>
        <n v="94.814999999999998"/>
        <n v="13.545"/>
        <n v="9.75"/>
        <n v="781.59999999999991"/>
        <n v="153.84"/>
        <n v="93.52"/>
        <n v="99.4"/>
        <n v="4.5"/>
        <n v="837.05"/>
        <n v="24.6"/>
        <n v="93.28"/>
        <n v="60.52"/>
        <n v="76.92"/>
        <n v="33.58"/>
        <n v="226.32"/>
        <n v="675.19"/>
        <n v="141.02000000000001"/>
        <n v="88.35"/>
        <n v="651.21500000000003"/>
        <n v="72.239999999999995"/>
        <n v="60.45"/>
        <n v="433.64499999999998"/>
        <n v="35.6"/>
        <n v="32.67"/>
        <n v="68.27000000000001"/>
        <n v="56.96"/>
        <n v="2.76"/>
        <n v="55.35"/>
        <n v="285.12"/>
        <n v="106.68"/>
        <n v="26.46"/>
        <n v="73.745000000000005"/>
        <n v="1078.8"/>
        <n v="82.36"/>
        <n v="107.36"/>
        <n v="78.66"/>
        <n v="67.650000000000006"/>
        <n v="77.22"/>
        <n v="10.574999999999999"/>
        <n v="132.08000000000001"/>
        <n v="879.46500000000015"/>
        <n v="145.98500000000001"/>
        <n v="179.58"/>
        <n v="110.76"/>
        <n v="45.57"/>
        <n v="122.12"/>
        <n v="826.06000000000006"/>
        <n v="128.34"/>
        <n v="39.15"/>
        <n v="14.08"/>
        <n v="91.805000000000007"/>
        <n v="95.94"/>
        <n v="38.28"/>
        <n v="599.21500000000003"/>
        <n v="78.12"/>
        <n v="120.4"/>
        <n v="97.825000000000003"/>
        <n v="66.03"/>
        <n v="626.625"/>
        <n v="204.18"/>
        <n v="43.74"/>
        <n v="44.5"/>
        <n v="35.034999999999997"/>
        <n v="92.4"/>
        <n v="40.634999999999998"/>
        <n v="150.5"/>
        <n v="113.52"/>
        <n v="48.26"/>
        <n v="772.77"/>
        <n v="17.82"/>
        <n v="46.8"/>
        <n v="103.32"/>
        <n v="309.91499999999996"/>
        <n v="4.55"/>
        <n v="44.1"/>
        <n v="51.66"/>
        <n v="106.88"/>
        <n v="118.68"/>
        <n v="126.92"/>
        <n v="916.6"/>
        <n v="121.44"/>
        <n v="63.21"/>
        <n v="350.78999999999996"/>
        <n v="30.315000000000001"/>
        <n v="114.54"/>
        <n v="22.54"/>
        <n v="42.09"/>
        <n v="80.94"/>
        <n v="343.79500000000002"/>
        <n v="198.12"/>
        <n v="28.594999999999999"/>
        <n v="54.4"/>
        <n v="19.88"/>
        <n v="963.17"/>
        <n v="137.815"/>
        <n v="375.71500000000003"/>
        <n v="26.98"/>
        <n v="228"/>
        <n v="144.22499999999999"/>
        <n v="457.19500000000005"/>
        <n v="50.22"/>
        <n v="9.1999999999999993"/>
        <n v="13.05"/>
        <n v="91.52"/>
        <n v="345.96499999999997"/>
        <n v="52.48"/>
        <n v="26.88"/>
        <n v="220.98"/>
        <n v="56.8"/>
        <n v="870.78499999999997"/>
        <n v="19.440000000000001"/>
        <n v="272.42"/>
        <n v="115.23"/>
        <n v="30.06"/>
        <n v="475.05500000000001"/>
        <n v="177.12"/>
        <n v="109.02"/>
        <n v="52.17"/>
        <n v="13.11"/>
        <n v="13.44"/>
        <n v="684.15000000000009"/>
        <n v="142"/>
        <n v="249.99"/>
        <n v="103.2"/>
        <n v="147.49"/>
        <n v="972.8950000000001"/>
        <n v="18.690000000000001"/>
        <n v="63.634999999999998"/>
        <n v="454.185"/>
        <n v="38.700000000000003"/>
        <n v="55.2"/>
        <n v="10.58"/>
        <n v="53.44"/>
        <n v="631.21"/>
        <n v="412.42500000000001"/>
        <n v="154.94"/>
        <n v="74.52"/>
        <n v="12.154999999999999"/>
        <n v="32.549999999999997"/>
        <n v="14.3"/>
        <n v="54"/>
        <n v="238.76"/>
        <n v="76.260000000000005"/>
        <n v="946.95499999999981"/>
        <n v="23.92"/>
        <n v="17.625"/>
        <n v="582.83500000000004"/>
        <n v="144.78"/>
        <n v="246.38"/>
        <n v="48.16"/>
        <n v="687"/>
        <n v="3.68"/>
        <n v="32.4"/>
        <n v="86.4"/>
        <n v="10.26"/>
        <n v="340.315"/>
        <n v="8.9700000000000006"/>
        <n v="61.41"/>
        <n v="62.92"/>
        <n v="73.48"/>
        <n v="49.14"/>
        <n v="19.824999999999999"/>
        <n v="35.25"/>
        <n v="848.92500000000007"/>
        <n v="40.049999999999997"/>
        <n v="86.33"/>
        <n v="65.55"/>
        <n v="8.01"/>
        <n v="29.04"/>
        <n v="150.30000000000001"/>
        <n v="23.38"/>
        <n v="729.05"/>
        <n v="141.94999999999999"/>
        <n v="365.46999999999997"/>
        <n v="52.08"/>
        <n v="350.54500000000002"/>
        <n v="4.4800000000000004"/>
        <n v="132.06"/>
        <n v="10.02"/>
        <n v="7.82"/>
        <n v="211.2"/>
        <n v="201.96"/>
        <n v="84.55"/>
        <n v="11.05"/>
        <n v="1149.4899999999998"/>
        <n v="52.674999999999997"/>
        <n v="8.58"/>
        <n v="31.68"/>
        <n v="330.64"/>
        <n v="44.28"/>
        <n v="49.35"/>
        <n v="27.9"/>
        <n v="46.72"/>
        <n v="18.329999999999998"/>
        <n v="317.29500000000002"/>
        <n v="780.17499999999995"/>
        <n v="15.12"/>
        <n v="50.1"/>
        <n v="111.76"/>
        <n v="70.38"/>
        <n v="96.36"/>
        <n v="1041.8900000000001"/>
        <n v="34.5"/>
        <n v="39.99"/>
        <n v="181.17"/>
        <n v="402.63000000000005"/>
        <n v="133.73999999999998"/>
        <n v="22.425000000000001"/>
        <n v="3.84"/>
        <n v="86.62"/>
        <n v="100.83499999999999"/>
        <n v="20.52"/>
        <n v="711.67499999999995"/>
        <n v="69.58"/>
        <n v="36.340000000000003"/>
        <n v="9.2949999999999999"/>
        <n v="4.1399999999999997"/>
        <n v="55.9"/>
        <n v="315.84499999999997"/>
        <n v="33.840000000000003"/>
        <n v="85.784999999999997"/>
        <n v="17.22"/>
        <n v="17.02"/>
        <n v="3.15"/>
        <n v="102.08"/>
        <n v="182.685"/>
        <n v="458.03000000000003"/>
        <n v="109.12"/>
        <n v="115.88500000000001"/>
        <n v="19.035"/>
        <n v="224.35"/>
        <n v="40.89"/>
        <n v="110.4"/>
        <n v="1178.4100000000001"/>
        <n v="61.704999999999998"/>
        <n v="62.08"/>
        <n v="30.55"/>
        <n v="11.375"/>
        <n v="29.25"/>
        <n v="113.16"/>
        <n v="654.04"/>
        <n v="59.15"/>
        <n v="100.98"/>
        <n v="908.66500000000008"/>
        <n v="25.76"/>
        <n v="49.664999999999999"/>
        <n v="48.99"/>
        <n v="10.535"/>
        <n v="60.72"/>
        <n v="66.22"/>
        <n v="565.61"/>
        <n v="15.36"/>
        <n v="231.24"/>
        <n v="55.055"/>
        <n v="39.56"/>
        <n v="153.6"/>
        <n v="82.8"/>
        <n v="881.3549999999999"/>
        <n v="26.91"/>
        <n v="25.675000000000001"/>
        <n v="362.93"/>
        <n v="120"/>
        <n v="23.76"/>
        <n v="4.2300000000000004"/>
        <n v="182.88"/>
        <n v="676.66000000000008"/>
        <n v="28.2"/>
        <n v="123.54"/>
        <n v="59.63"/>
        <n v="958.76499999999999"/>
        <n v="29.61"/>
        <n v="411.76"/>
        <n v="75.680000000000007"/>
        <n v="169.29"/>
        <n v="139.59"/>
        <n v="11.69"/>
        <n v="27.95"/>
        <n v="128.19999999999999"/>
        <n v="1010.1700000000001"/>
        <n v="41.664999999999999"/>
        <n v="193.04"/>
        <n v="70.680000000000007"/>
        <n v="64.17"/>
        <n v="291.65499999999997"/>
        <n v="1142.46"/>
        <n v="55.44"/>
        <n v="63.19"/>
        <n v="37.72"/>
        <n v="76.2"/>
        <n v="344.19"/>
        <n v="46.23"/>
        <n v="11.88"/>
        <n v="114.4"/>
        <n v="87.12"/>
        <n v="222.75"/>
        <n v="891.22500000000002"/>
        <n v="6.44"/>
        <n v="58.24"/>
        <n v="18.899999999999999"/>
        <n v="141.6"/>
        <n v="705.61"/>
        <n v="9.84"/>
        <n v="41.75"/>
        <n v="125.25"/>
        <n v="255.13499999999999"/>
        <n v="211.53"/>
        <n v="91.44"/>
        <n v="12.675000000000001"/>
        <n v="12.6"/>
        <n v="107.64"/>
        <n v="790.57500000000005"/>
        <n v="125.4"/>
        <n v="54.56"/>
        <n v="12.96"/>
        <n v="705.94499999999994"/>
        <n v="33.134999999999998"/>
        <n v="10.56"/>
        <n v="65.319999999999993"/>
        <n v="120.54"/>
        <n v="62.79"/>
        <n v="14.4"/>
        <n v="391.94499999999999"/>
        <n v="11.5"/>
        <n v="282.04000000000002"/>
        <n v="69"/>
        <n v="82.72"/>
        <n v="823.31"/>
        <n v="48.36"/>
        <n v="103.845"/>
        <n v="20.04"/>
        <n v="755.79499999999996"/>
        <n v="872.81500000000005"/>
        <n v="18.399999999999999"/>
        <n v="175.2"/>
        <n v="282.14999999999998"/>
        <n v="31.95"/>
        <n v="32"/>
        <n v="727.73000000000013"/>
        <n v="62.1"/>
        <n v="466.375"/>
        <n v="39.159999999999997"/>
        <n v="40.799999999999997"/>
        <n v="168.94"/>
        <n v="91.2"/>
        <n v="54.29"/>
        <n v="89.1"/>
        <n v="63.24"/>
        <n v="761.97500000000002"/>
        <n v="19.305"/>
        <n v="19.32"/>
        <n v="665.32500000000005"/>
        <n v="18.524999999999999"/>
        <n v="9.8699999999999992"/>
        <n v="45.5"/>
        <n v="382.38499999999999"/>
        <n v="6.4349999999999996"/>
        <n v="167.2"/>
        <n v="136.62"/>
        <n v="50.05"/>
        <n v="36.9"/>
        <n v="890.92500000000018"/>
        <n v="12.42"/>
        <n v="61.5"/>
        <n v="565.995"/>
        <n v="3.6"/>
        <n v="100.82"/>
        <n v="58.515000000000001"/>
        <n v="300.44"/>
        <n v="65.099999999999994"/>
        <n v="889.03500000000008"/>
        <n v="6.48"/>
        <n v="60.2"/>
        <n v="112.8"/>
        <n v="160.25"/>
        <n v="824.96"/>
        <n v="240"/>
        <n v="127"/>
        <n v="19.565000000000001"/>
        <n v="51.35"/>
        <n v="76.56"/>
        <n v="928.93499999999995"/>
        <n v="112.175"/>
        <n v="15.87"/>
        <n v="12.35"/>
        <n v="58.74"/>
        <n v="427.755"/>
        <n v="117.92"/>
        <n v="355.68"/>
        <n v="38.1"/>
        <n v="88.51"/>
        <n v="18"/>
        <n v="246.51"/>
        <n v="588.28"/>
        <n v="266.01499999999999"/>
        <n v="2.2999999999999998"/>
        <n v="33.11"/>
        <n v="451.38499999999999"/>
        <n v="145.13999999999999"/>
        <n v="48.1"/>
        <n v="23.85"/>
        <n v="926.45"/>
        <n v="22.77"/>
        <n v="62.73"/>
        <n v="26.79"/>
        <n v="24"/>
        <n v="345.39000000000004"/>
        <n v="16.91"/>
        <n v="48.28"/>
        <n v="409.89"/>
        <n v="99.36"/>
        <n v="68.64"/>
        <n v="75.900000000000006"/>
        <n v="80.91"/>
        <n v="175.26"/>
        <n v="69.355000000000004"/>
        <n v="62.48"/>
        <n v="59.04"/>
        <n v="24.64"/>
        <n v="54.34"/>
        <n v="902.13499999999999"/>
        <n v="63.48"/>
        <n v="116.16"/>
        <n v="1242.5999999999999"/>
        <n v="39.33"/>
        <n v="72.98"/>
        <n v="51.04"/>
        <n v="230.4"/>
        <n v="76.8"/>
        <n v="1053.3699999999999"/>
        <n v="14.49"/>
        <n v="199.2"/>
        <n v="176.27500000000001"/>
        <n v="225.6"/>
        <n v="28.62"/>
        <n v="1019.1449999999999"/>
        <n v="23.074999999999999"/>
        <n v="136.94"/>
        <n v="182.04"/>
        <n v="960.43499999999995"/>
        <n v="35.840000000000003"/>
        <n v="31.32"/>
        <n v="167.64"/>
        <n v="783.25999999999988"/>
        <n v="49.335000000000001"/>
        <n v="91.08"/>
        <n v="1072.2650000000001"/>
        <n v="96"/>
        <n v="9.94"/>
        <n v="417.19999999999993"/>
        <n v="41.47"/>
        <n v="89.28"/>
        <n v="280.40999999999997"/>
        <n v="27.54"/>
        <n v="129.22"/>
        <n v="30.24"/>
        <n v="485.79999999999995"/>
        <n v="114.39"/>
        <n v="63.9"/>
        <n v="206.64"/>
        <n v="673.94999999999993"/>
        <n v="403.05000000000007"/>
        <n v="205.74"/>
        <n v="129.6"/>
        <n v="33.21"/>
        <n v="59.924999999999997"/>
        <n v="723.86"/>
        <n v="129.43"/>
        <n v="56.07"/>
        <n v="44"/>
        <n v="619.22"/>
        <n v="131.86499999999998"/>
        <n v="32.200000000000003"/>
        <n v="121.91"/>
        <n v="233.68"/>
        <n v="20.91"/>
        <n v="4.875"/>
        <n v="775.74"/>
        <n v="45.51"/>
        <n v="288.08999999999997"/>
        <n v="258.39"/>
        <n v="255.42"/>
        <n v="30.72"/>
        <n v="1236.56"/>
        <n v="10.23"/>
        <n v="78.260000000000005"/>
        <n v="28.274999999999999"/>
        <n v="575.40499999999997"/>
        <n v="73.84"/>
        <n v="165.44"/>
        <n v="68.385000000000005"/>
        <n v="67.724999999999994"/>
        <n v="33.604999999999997"/>
        <n v="81.28"/>
        <n v="834.48500000000001"/>
        <n v="58.59"/>
        <n v="80.350000000000009"/>
        <n v="45.825000000000003"/>
        <n v="53.94"/>
        <n v="543.69499999999994"/>
        <n v="19.350000000000001"/>
        <n v="165.6"/>
        <n v="108"/>
        <n v="910.3549999999999"/>
        <n v="43.05"/>
        <n v="156"/>
        <n v="1090.76"/>
        <n v="56.4"/>
        <n v="51.84"/>
        <n v="167"/>
        <n v="132.84"/>
        <n v="886.88"/>
        <n v="89.74"/>
        <n v="122.82"/>
        <n v="30.03"/>
        <n v="712.46"/>
        <n v="163.19999999999999"/>
        <n v="29.76"/>
        <n v="1009.6"/>
        <n v="11.16"/>
        <n v="75.33"/>
        <n v="24.05"/>
        <n v="48.62"/>
        <n v="55.18"/>
        <n v="146.96"/>
        <n v="38.46"/>
        <n v="903.82500000000005"/>
        <n v="95.14"/>
        <n v="18.059999999999999"/>
        <n v="6.51"/>
        <n v="506.25"/>
        <n v="115.83"/>
        <n v="17.25"/>
        <n v="613.99"/>
        <n v="86.1"/>
        <n v="44.414999999999999"/>
        <n v="837.02499999999986"/>
        <n v="13.53"/>
        <n v="127.71"/>
        <n v="356.95"/>
        <n v="26.975000000000001"/>
        <n v="5.64"/>
        <n v="79.05"/>
        <n v="110.22"/>
        <n v="736.73500000000001"/>
        <n v="28.16"/>
        <n v="138.46"/>
        <n v="134.62"/>
        <n v="109.22"/>
        <n v="583.005"/>
        <n v="228.69"/>
        <n v="158.4"/>
        <n v="761.09"/>
        <n v="208.32499999999999"/>
        <n v="15.84"/>
        <n v="418.36"/>
        <n v="113.56"/>
        <n v="32.049999999999997"/>
        <n v="12.69"/>
        <n v="5.76"/>
        <n v="501.67999999999995"/>
        <n v="39.68"/>
        <n v="48.64"/>
        <n v="34.04"/>
        <n v="345.26000000000005"/>
        <n v="4.29"/>
        <n v="11.36"/>
        <n v="109.64"/>
        <n v="63.96"/>
        <n v="153.63999999999999"/>
        <n v="58.22"/>
        <n v="536.6"/>
        <n v="30.15"/>
        <n v="26.7"/>
        <n v="710.83500000000004"/>
        <n v="28.83"/>
        <n v="196.8"/>
        <n v="140.22"/>
        <n v="278.83499999999998"/>
        <n v="163.45500000000001"/>
        <n v="1274.5199999999998"/>
        <n v="73.715000000000003"/>
        <n v="20.475000000000001"/>
        <n v="31.24"/>
        <n v="84.87"/>
        <n v="269.22000000000003"/>
        <n v="701.43000000000006"/>
        <n v="31.73"/>
        <n v="652.59499999999991"/>
        <n v="703.47499999999991"/>
        <n v="68.819999999999993"/>
        <n v="665.45000000000016"/>
        <n v="145.29"/>
        <n v="13.2"/>
        <n v="501.63"/>
        <n v="139.965"/>
        <n v="300.38499999999999"/>
        <n v="114.38"/>
        <n v="6.1749999999999998"/>
        <n v="418.47499999999997"/>
        <n v="403.37999999999994"/>
        <n v="13"/>
        <n v="47.17"/>
        <n v="723.29000000000008"/>
        <n v="106.92"/>
        <n v="70.31"/>
        <n v="23.22"/>
        <n v="21.06"/>
        <n v="542.23"/>
        <n v="156.97999999999999"/>
        <n v="423.6"/>
        <n v="127.92"/>
        <n v="34.56"/>
        <n v="714.1"/>
        <n v="260.7"/>
        <n v="28.905000000000001"/>
        <n v="23"/>
        <n v="151.36000000000001"/>
        <n v="59.22"/>
        <n v="470.59500000000003"/>
        <n v="27.72"/>
        <n v="371.20000000000005"/>
        <n v="455.63499999999999"/>
        <n v="489.745"/>
        <n v="24.675000000000001"/>
        <n v="86.49"/>
        <n v="138.61000000000001"/>
        <n v="673.23500000000013"/>
        <n v="119.31"/>
        <n v="97.68"/>
        <n v="22.86"/>
        <n v="806.32500000000005"/>
        <n v="204.93"/>
        <n v="22.56"/>
        <n v="25.11"/>
        <n v="129.36000000000001"/>
        <n v="792.6"/>
        <n v="46.74"/>
        <n v="132.44"/>
        <n v="442.89999999999992"/>
        <n v="19.53"/>
        <n v="638.02499999999998"/>
        <n v="67.64"/>
        <n v="74.25"/>
        <n v="80.989999999999995"/>
        <n v="1040.46"/>
        <n v="67.924999999999997"/>
        <n v="649.53499999999997"/>
        <n v="772.67000000000007"/>
        <n v="14.625"/>
        <n v="53.76"/>
        <n v="77.19"/>
        <n v="70.734999999999999"/>
        <n v="48.43"/>
        <n v="1084.93"/>
        <n v="42.3"/>
        <n v="223.2"/>
        <n v="15.81"/>
        <n v="35.56"/>
        <n v="35.5"/>
        <n v="21.3"/>
        <n v="22.75"/>
        <n v="95.04"/>
        <n v="915.20500000000004"/>
        <n v="5.98"/>
        <n v="821.91"/>
        <n v="19.739999999999998"/>
        <n v="383.935"/>
        <n v="292.41999999999996"/>
        <n v="15.03"/>
        <n v="130.38"/>
        <n v="53.3"/>
        <n v="20.32"/>
        <n v="773.25"/>
        <n v="39"/>
        <n v="32.89"/>
        <n v="773.19500000000005"/>
        <n v="9.18"/>
        <n v="42.6"/>
        <n v="36.74"/>
        <n v="331.4"/>
        <n v="324.935"/>
        <n v="218.44"/>
        <n v="25.74"/>
        <n v="31.02"/>
        <n v="7.65"/>
        <n v="713.91499999999996"/>
        <n v="16.555"/>
        <n v="8.61"/>
        <n v="640.37000000000012"/>
        <n v="29.574999999999999"/>
        <n v="154.44"/>
        <n v="798.32"/>
        <n v="184.8"/>
        <n v="893.62"/>
        <n v="44.62"/>
        <n v="80.099999999999994"/>
        <n v="842.34"/>
        <n v="69.795000000000002"/>
        <n v="660.56500000000005"/>
        <n v="57.914999999999999"/>
        <n v="147.32"/>
        <n v="416.92500000000001"/>
        <n v="136.32"/>
        <n v="537.42999999999995"/>
        <n v="13.35"/>
        <n v="28.844999999999999"/>
        <n v="267.66999999999996"/>
        <n v="104.28"/>
        <n v="170.18"/>
        <n v="587.69499999999994"/>
        <n v="44.64"/>
        <n v="33.6"/>
        <n v="124.91500000000001"/>
        <n v="38.35"/>
        <n v="457.875"/>
        <n v="49.4"/>
        <n v="46.28"/>
        <n v="52.44"/>
        <n v="80.16"/>
        <n v="877.37"/>
        <n v="379.96500000000003"/>
        <n v="73.87"/>
        <n v="115.38"/>
        <n v="15.3"/>
        <n v="15.24"/>
        <n v="762.33500000000015"/>
        <n v="40.32"/>
        <n v="552.67499999999995"/>
        <n v="81.42"/>
        <n v="37.049999999999997"/>
        <n v="144"/>
        <n v="1050.4649999999997"/>
        <n v="61.75"/>
        <n v="51.62"/>
        <n v="169.74"/>
        <n v="8.3699999999999992"/>
        <n v="535.59"/>
        <n v="111.93"/>
        <n v="193.05"/>
        <n v="42.14"/>
        <n v="14.26"/>
        <n v="1008.0399999999998"/>
        <n v="5.12"/>
        <n v="539.25"/>
        <n v="112.2"/>
        <n v="123.58"/>
        <n v="1155.335"/>
        <n v="55.88"/>
        <n v="507.35499999999996"/>
        <n v="29.92"/>
        <n v="830.83999999999992"/>
        <n v="46.475000000000001"/>
        <n v="510.19000000000005"/>
        <n v="133.86000000000001"/>
        <n v="66"/>
        <n v="967.34000000000015"/>
        <n v="69.959999999999994"/>
        <n v="27.52"/>
        <n v="176"/>
        <n v="606.97"/>
        <n v="16.574999999999999"/>
        <n v="61.49"/>
        <n v="401.11500000000001"/>
        <n v="156.63999999999999"/>
        <n v="38.409999999999997"/>
        <n v="910.46"/>
        <n v="17.670000000000002"/>
        <n v="3.2"/>
        <n v="90.18"/>
        <n v="135.24"/>
        <n v="39.325000000000003"/>
        <n v="837.27"/>
        <n v="42.32"/>
        <n v="220.8"/>
        <n v="49.68"/>
        <n v="246.785"/>
        <n v="842.03"/>
        <n v="560.90500000000009"/>
        <n v="297"/>
        <n v="37.365000000000002"/>
        <n v="21.62"/>
        <n v="1120.875"/>
        <n v="71"/>
        <n v="449.61500000000001"/>
        <n v="142.97499999999999"/>
        <n v="71.5"/>
        <n v="925.07500000000005"/>
        <n v="45.045000000000002"/>
        <n v="30.36"/>
        <n v="237.29000000000002"/>
        <n v="51.465000000000003"/>
        <n v="96.8"/>
        <n v="983.85500000000002"/>
        <n v="45.9"/>
        <n v="52"/>
        <n v="622.90000000000009"/>
        <n v="364.86500000000001"/>
        <n v="53.01"/>
        <n v="22.68"/>
        <n v="28.52"/>
        <n v="646.08999999999992"/>
        <n v="30.225000000000001"/>
        <n v="21.36"/>
        <n v="216.48"/>
        <n v="959.48500000000001"/>
        <n v="400.32999999999993"/>
        <n v="148.995"/>
        <n v="195.58"/>
        <n v="152.52000000000001"/>
        <n v="765.78499999999997"/>
        <n v="160.38"/>
        <n v="620.70499999999993"/>
        <n v="30.69"/>
        <n v="17.16"/>
        <n v="199.26"/>
        <n v="854.15499999999986"/>
        <n v="37.119999999999997"/>
        <n v="501.61"/>
        <n v="118.895"/>
        <n v="102.24"/>
        <n v="675.76499999999999"/>
        <n v="584.19000000000005"/>
        <n v="66.495000000000005"/>
        <n v="317.88"/>
        <n v="366.09999999999997"/>
        <n v="270.27"/>
        <n v="681.48"/>
        <n v="92.46"/>
        <n v="201.72"/>
        <n v="526.83000000000004"/>
        <n v="51.77"/>
        <n v="1025.4299999999998"/>
        <n v="41.83"/>
        <n v="194.34"/>
        <n v="406"/>
        <n v="52.65"/>
        <n v="201.6"/>
        <n v="88.04"/>
        <n v="160.02000000000001"/>
        <n v="1427.7050000000002"/>
        <n v="23.97"/>
        <n v="550.82999999999993"/>
        <n v="24.32"/>
        <n v="26.085000000000001"/>
        <n v="24.375"/>
        <n v="425.86"/>
        <n v="43.645000000000003"/>
        <n v="1111.0650000000001"/>
        <n v="83.82"/>
        <n v="934.41499999999996"/>
        <n v="89.7"/>
        <n v="7.8650000000000002"/>
        <n v="59.64"/>
        <n v="465.08500000000004"/>
        <n v="45.08"/>
        <n v="72.569999999999993"/>
        <n v="1135.19"/>
        <n v="7.68"/>
        <n v="256.255"/>
        <n v="81.27"/>
        <n v="71.12"/>
        <n v="55.68"/>
        <n v="135.27000000000001"/>
        <n v="100.2"/>
        <n v="542.55499999999995"/>
        <n v="236.16"/>
        <n v="43.47"/>
        <n v="51.12"/>
        <n v="828.76"/>
        <n v="214.73500000000001"/>
        <n v="18.46"/>
        <n v="844.79"/>
        <n v="869.19"/>
        <n v="205.12"/>
        <n v="233.2"/>
        <n v="23.68"/>
        <n v="42.75"/>
        <n v="17.8"/>
        <n v="709.07499999999993"/>
        <n v="304.47500000000002"/>
        <n v="1197.125"/>
        <n v="839.54"/>
        <n v="27"/>
        <n v="8.52"/>
        <n v="157.47999999999999"/>
        <n v="515.28"/>
        <n v="813.84000000000015"/>
        <n v="20.02"/>
        <n v="205.38000000000002"/>
        <n v="25.81"/>
        <n v="22.574999999999999"/>
        <n v="663.625"/>
        <n v="214.73"/>
        <n v="67.2"/>
        <n v="108.97"/>
        <n v="515.51"/>
        <n v="273.66499999999996"/>
        <n v="698.40000000000009"/>
        <n v="209.1"/>
        <n v="123.41"/>
        <n v="60.27"/>
        <n v="908.92499999999995"/>
        <n v="356.37"/>
        <n v="75.03"/>
        <n v="61.38"/>
        <n v="35.200000000000003"/>
        <n v="781.44"/>
        <n v="511.52"/>
        <n v="119.68"/>
        <n v="37.799999999999997"/>
        <n v="137.16"/>
        <n v="976.24499999999989"/>
        <n v="53.96"/>
        <n v="45.15"/>
        <n v="554.89999999999986"/>
        <n v="65.564999999999998"/>
        <n v="282.47499999999997"/>
        <n v="6.3"/>
        <n v="47.19"/>
        <n v="227.55500000000001"/>
        <n v="802.72"/>
        <n v="42.25"/>
        <n v="37.895000000000003"/>
        <n v="60.06"/>
        <n v="208.8"/>
        <n v="39.1"/>
        <n v="663.85"/>
        <n v="595.32000000000005"/>
        <n v="61.44"/>
        <n v="87.22"/>
        <n v="325.52"/>
        <n v="279.18"/>
        <n v="40.755000000000003"/>
        <n v="30.08"/>
        <n v="40.5"/>
        <n v="1109.2049999999999"/>
        <n v="910.56999999999994"/>
        <n v="170.4"/>
        <n v="857.75499999999988"/>
        <n v="22.434999999999999"/>
        <n v="118.58499999999999"/>
        <n v="62.37"/>
        <n v="541.54500000000007"/>
        <n v="88.44"/>
        <n v="785.78"/>
        <n v="36.4"/>
        <n v="157.69"/>
        <n v="4145.3999999999996"/>
        <n v="241608.38499999995"/>
      </sharedItems>
    </cacheField>
  </cacheFields>
  <extLst>
    <ext xmlns:x14="http://schemas.microsoft.com/office/spreadsheetml/2009/9/main" uri="{725AE2AE-9491-48be-B2B4-4EB974FC3084}">
      <x14:pivotCacheDefinition pivotCacheId="100027987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m6" refreshedDate="45963.634447337965" createdVersion="6" refreshedVersion="6" minRefreshableVersion="3" recordCount="3776" xr:uid="{0D160E29-0619-4C25-99B5-27A4FBCF65FB}">
  <cacheSource type="worksheet">
    <worksheetSource name="Таблица2"/>
  </cacheSource>
  <cacheFields count="9">
    <cacheField name="Дата" numFmtId="14">
      <sharedItems containsDate="1" containsMixedTypes="1" minDate="2023-01-01T00:00:00" maxDate="2025-10-26T00:00:00"/>
    </cacheField>
    <cacheField name="Заказчик" numFmtId="0">
      <sharedItems containsBlank="1" count="6">
        <s v="Соседи"/>
        <s v="Копеечка"/>
        <s v="Евроопт"/>
        <m/>
        <s v="Виталюр"/>
        <s v="Санта"/>
      </sharedItems>
    </cacheField>
    <cacheField name="Город" numFmtId="0">
      <sharedItems containsBlank="1"/>
    </cacheField>
    <cacheField name="Категория товара" numFmtId="0">
      <sharedItems containsBlank="1"/>
    </cacheField>
    <cacheField name="Товар" numFmtId="0">
      <sharedItems containsBlank="1"/>
    </cacheField>
    <cacheField name="Цена за упаковку" numFmtId="0">
      <sharedItems containsString="0" containsBlank="1" containsNumber="1" containsInteger="1" minValue="325" maxValue="7050"/>
    </cacheField>
    <cacheField name="Количество" numFmtId="0">
      <sharedItems containsString="0" containsBlank="1" containsNumber="1" containsInteger="1" minValue="5" maxValue="588"/>
    </cacheField>
    <cacheField name="Итого" numFmtId="164">
      <sharedItems containsSemiMixedTypes="0" containsString="0" containsNumber="1" minValue="1.625" maxValue="241608.38499999995"/>
    </cacheField>
    <cacheField name="Месяц" numFmtId="0">
      <sharedItems containsBlank="1" count="13">
        <s v="Январь"/>
        <m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6">
  <r>
    <x v="0"/>
    <s v="Соседи"/>
    <x v="0"/>
    <x v="0"/>
    <x v="0"/>
    <n v="1320"/>
    <n v="189"/>
    <x v="0"/>
  </r>
  <r>
    <x v="0"/>
    <s v="Копеечка"/>
    <x v="1"/>
    <x v="1"/>
    <x v="1"/>
    <n v="1380"/>
    <n v="27"/>
    <x v="1"/>
  </r>
  <r>
    <x v="0"/>
    <s v="Евроопт"/>
    <x v="1"/>
    <x v="2"/>
    <x v="2"/>
    <n v="3250"/>
    <n v="20"/>
    <x v="2"/>
  </r>
  <r>
    <x v="1"/>
    <m/>
    <x v="2"/>
    <x v="3"/>
    <x v="3"/>
    <m/>
    <m/>
    <x v="3"/>
  </r>
  <r>
    <x v="2"/>
    <s v="Соседи"/>
    <x v="3"/>
    <x v="2"/>
    <x v="4"/>
    <n v="450"/>
    <n v="44"/>
    <x v="4"/>
  </r>
  <r>
    <x v="2"/>
    <s v="Виталюр"/>
    <x v="3"/>
    <x v="0"/>
    <x v="5"/>
    <n v="930"/>
    <n v="86"/>
    <x v="5"/>
  </r>
  <r>
    <x v="2"/>
    <s v="Виталюр"/>
    <x v="0"/>
    <x v="1"/>
    <x v="6"/>
    <n v="640"/>
    <n v="72"/>
    <x v="6"/>
  </r>
  <r>
    <x v="2"/>
    <s v="Копеечка"/>
    <x v="0"/>
    <x v="4"/>
    <x v="7"/>
    <n v="1760"/>
    <n v="84"/>
    <x v="7"/>
  </r>
  <r>
    <x v="2"/>
    <s v="Виталюр"/>
    <x v="4"/>
    <x v="2"/>
    <x v="8"/>
    <n v="460"/>
    <n v="83"/>
    <x v="8"/>
  </r>
  <r>
    <x v="2"/>
    <s v="Виталюр"/>
    <x v="4"/>
    <x v="2"/>
    <x v="9"/>
    <n v="690"/>
    <n v="15"/>
    <x v="9"/>
  </r>
  <r>
    <x v="2"/>
    <s v="Виталюр"/>
    <x v="4"/>
    <x v="0"/>
    <x v="10"/>
    <n v="1230"/>
    <n v="39"/>
    <x v="10"/>
  </r>
  <r>
    <x v="2"/>
    <s v="Виталюр"/>
    <x v="4"/>
    <x v="0"/>
    <x v="0"/>
    <n v="1320"/>
    <n v="32"/>
    <x v="11"/>
  </r>
  <r>
    <x v="2"/>
    <s v="Евроопт"/>
    <x v="4"/>
    <x v="4"/>
    <x v="11"/>
    <n v="2970"/>
    <n v="20"/>
    <x v="12"/>
  </r>
  <r>
    <x v="2"/>
    <s v="Евроопт"/>
    <x v="1"/>
    <x v="2"/>
    <x v="12"/>
    <n v="715"/>
    <n v="14"/>
    <x v="13"/>
  </r>
  <r>
    <x v="2"/>
    <s v="Соседи"/>
    <x v="1"/>
    <x v="4"/>
    <x v="13"/>
    <n v="1505"/>
    <n v="6"/>
    <x v="14"/>
  </r>
  <r>
    <x v="2"/>
    <s v="Соседи"/>
    <x v="5"/>
    <x v="1"/>
    <x v="6"/>
    <n v="640"/>
    <n v="65"/>
    <x v="15"/>
  </r>
  <r>
    <x v="2"/>
    <s v="Копеечка"/>
    <x v="5"/>
    <x v="4"/>
    <x v="14"/>
    <n v="1670"/>
    <n v="49"/>
    <x v="16"/>
  </r>
  <r>
    <x v="2"/>
    <s v="Копеечка"/>
    <x v="6"/>
    <x v="2"/>
    <x v="9"/>
    <n v="690"/>
    <n v="45"/>
    <x v="17"/>
  </r>
  <r>
    <x v="2"/>
    <s v="Евроопт"/>
    <x v="6"/>
    <x v="4"/>
    <x v="15"/>
    <n v="2460"/>
    <n v="58"/>
    <x v="18"/>
  </r>
  <r>
    <x v="3"/>
    <m/>
    <x v="2"/>
    <x v="3"/>
    <x v="3"/>
    <m/>
    <m/>
    <x v="19"/>
  </r>
  <r>
    <x v="4"/>
    <s v="Виталюр"/>
    <x v="3"/>
    <x v="2"/>
    <x v="4"/>
    <n v="450"/>
    <n v="96"/>
    <x v="20"/>
  </r>
  <r>
    <x v="4"/>
    <s v="Соседи"/>
    <x v="3"/>
    <x v="2"/>
    <x v="12"/>
    <n v="715"/>
    <n v="94"/>
    <x v="21"/>
  </r>
  <r>
    <x v="4"/>
    <s v="Евроопт"/>
    <x v="3"/>
    <x v="2"/>
    <x v="9"/>
    <n v="690"/>
    <n v="35"/>
    <x v="22"/>
  </r>
  <r>
    <x v="4"/>
    <s v="Виталюр"/>
    <x v="3"/>
    <x v="2"/>
    <x v="12"/>
    <n v="715"/>
    <n v="67"/>
    <x v="23"/>
  </r>
  <r>
    <x v="4"/>
    <s v="Копеечка"/>
    <x v="0"/>
    <x v="2"/>
    <x v="9"/>
    <n v="690"/>
    <n v="9"/>
    <x v="24"/>
  </r>
  <r>
    <x v="4"/>
    <s v="Евроопт"/>
    <x v="4"/>
    <x v="2"/>
    <x v="2"/>
    <n v="325"/>
    <n v="21"/>
    <x v="25"/>
  </r>
  <r>
    <x v="4"/>
    <s v="Копеечка"/>
    <x v="4"/>
    <x v="0"/>
    <x v="0"/>
    <n v="1320"/>
    <n v="54"/>
    <x v="26"/>
  </r>
  <r>
    <x v="4"/>
    <s v="Виталюр"/>
    <x v="4"/>
    <x v="4"/>
    <x v="13"/>
    <n v="1505"/>
    <n v="21"/>
    <x v="27"/>
  </r>
  <r>
    <x v="4"/>
    <s v="Копеечка"/>
    <x v="5"/>
    <x v="2"/>
    <x v="12"/>
    <n v="715"/>
    <n v="15"/>
    <x v="28"/>
  </r>
  <r>
    <x v="4"/>
    <s v="Евроопт"/>
    <x v="6"/>
    <x v="2"/>
    <x v="16"/>
    <n v="890"/>
    <n v="26"/>
    <x v="29"/>
  </r>
  <r>
    <x v="4"/>
    <s v="Соседи"/>
    <x v="6"/>
    <x v="0"/>
    <x v="17"/>
    <n v="2400"/>
    <n v="33"/>
    <x v="30"/>
  </r>
  <r>
    <x v="5"/>
    <m/>
    <x v="2"/>
    <x v="3"/>
    <x v="3"/>
    <m/>
    <m/>
    <x v="31"/>
  </r>
  <r>
    <x v="6"/>
    <s v="Виталюр"/>
    <x v="3"/>
    <x v="4"/>
    <x v="7"/>
    <n v="1760"/>
    <n v="59"/>
    <x v="32"/>
  </r>
  <r>
    <x v="6"/>
    <s v="Копеечка"/>
    <x v="0"/>
    <x v="2"/>
    <x v="12"/>
    <n v="715"/>
    <n v="39"/>
    <x v="33"/>
  </r>
  <r>
    <x v="6"/>
    <s v="Евроопт"/>
    <x v="0"/>
    <x v="4"/>
    <x v="15"/>
    <n v="2460"/>
    <n v="67"/>
    <x v="34"/>
  </r>
  <r>
    <x v="6"/>
    <s v="Евроопт"/>
    <x v="4"/>
    <x v="2"/>
    <x v="9"/>
    <n v="690"/>
    <n v="79"/>
    <x v="35"/>
  </r>
  <r>
    <x v="6"/>
    <s v="Виталюр"/>
    <x v="4"/>
    <x v="0"/>
    <x v="5"/>
    <n v="930"/>
    <n v="44"/>
    <x v="36"/>
  </r>
  <r>
    <x v="6"/>
    <s v="Соседи"/>
    <x v="1"/>
    <x v="2"/>
    <x v="12"/>
    <n v="715"/>
    <n v="75"/>
    <x v="37"/>
  </r>
  <r>
    <x v="6"/>
    <s v="Евроопт"/>
    <x v="1"/>
    <x v="2"/>
    <x v="2"/>
    <n v="325"/>
    <n v="17"/>
    <x v="38"/>
  </r>
  <r>
    <x v="6"/>
    <s v="Евроопт"/>
    <x v="5"/>
    <x v="1"/>
    <x v="18"/>
    <n v="650"/>
    <n v="85"/>
    <x v="39"/>
  </r>
  <r>
    <x v="6"/>
    <s v="Евроопт"/>
    <x v="5"/>
    <x v="0"/>
    <x v="5"/>
    <n v="930"/>
    <n v="97"/>
    <x v="40"/>
  </r>
  <r>
    <x v="6"/>
    <s v="Копеечка"/>
    <x v="5"/>
    <x v="4"/>
    <x v="11"/>
    <n v="2970"/>
    <n v="80"/>
    <x v="41"/>
  </r>
  <r>
    <x v="6"/>
    <s v="Виталюр"/>
    <x v="6"/>
    <x v="2"/>
    <x v="12"/>
    <n v="715"/>
    <n v="62"/>
    <x v="42"/>
  </r>
  <r>
    <x v="7"/>
    <m/>
    <x v="2"/>
    <x v="3"/>
    <x v="3"/>
    <m/>
    <m/>
    <x v="43"/>
  </r>
  <r>
    <x v="8"/>
    <s v="Евроопт"/>
    <x v="3"/>
    <x v="1"/>
    <x v="19"/>
    <n v="540"/>
    <n v="73"/>
    <x v="44"/>
  </r>
  <r>
    <x v="8"/>
    <s v="Евроопт"/>
    <x v="3"/>
    <x v="2"/>
    <x v="2"/>
    <n v="325"/>
    <n v="50"/>
    <x v="45"/>
  </r>
  <r>
    <x v="8"/>
    <s v="Копеечка"/>
    <x v="4"/>
    <x v="1"/>
    <x v="20"/>
    <n v="650"/>
    <n v="29"/>
    <x v="46"/>
  </r>
  <r>
    <x v="8"/>
    <s v="Евроопт"/>
    <x v="4"/>
    <x v="2"/>
    <x v="12"/>
    <n v="715"/>
    <n v="39"/>
    <x v="33"/>
  </r>
  <r>
    <x v="9"/>
    <m/>
    <x v="2"/>
    <x v="3"/>
    <x v="3"/>
    <m/>
    <m/>
    <x v="47"/>
  </r>
  <r>
    <x v="10"/>
    <s v="Евроопт"/>
    <x v="0"/>
    <x v="2"/>
    <x v="16"/>
    <n v="890"/>
    <n v="25"/>
    <x v="48"/>
  </r>
  <r>
    <x v="10"/>
    <s v="Соседи"/>
    <x v="0"/>
    <x v="0"/>
    <x v="17"/>
    <n v="2400"/>
    <n v="35"/>
    <x v="49"/>
  </r>
  <r>
    <x v="10"/>
    <s v="Копеечка"/>
    <x v="0"/>
    <x v="4"/>
    <x v="21"/>
    <n v="3205"/>
    <n v="96"/>
    <x v="50"/>
  </r>
  <r>
    <x v="10"/>
    <s v="Евроопт"/>
    <x v="4"/>
    <x v="2"/>
    <x v="8"/>
    <n v="460"/>
    <n v="24"/>
    <x v="51"/>
  </r>
  <r>
    <x v="10"/>
    <s v="Евроопт"/>
    <x v="1"/>
    <x v="1"/>
    <x v="19"/>
    <n v="540"/>
    <n v="77"/>
    <x v="52"/>
  </r>
  <r>
    <x v="10"/>
    <s v="Евроопт"/>
    <x v="1"/>
    <x v="1"/>
    <x v="19"/>
    <n v="540"/>
    <n v="11"/>
    <x v="53"/>
  </r>
  <r>
    <x v="10"/>
    <s v="Виталюр"/>
    <x v="1"/>
    <x v="2"/>
    <x v="16"/>
    <n v="890"/>
    <n v="75"/>
    <x v="54"/>
  </r>
  <r>
    <x v="10"/>
    <s v="Виталюр"/>
    <x v="1"/>
    <x v="4"/>
    <x v="15"/>
    <n v="2460"/>
    <n v="100"/>
    <x v="55"/>
  </r>
  <r>
    <x v="10"/>
    <s v="Копеечка"/>
    <x v="5"/>
    <x v="0"/>
    <x v="22"/>
    <n v="1420"/>
    <n v="76"/>
    <x v="56"/>
  </r>
  <r>
    <x v="11"/>
    <m/>
    <x v="2"/>
    <x v="3"/>
    <x v="3"/>
    <m/>
    <m/>
    <x v="57"/>
  </r>
  <r>
    <x v="12"/>
    <s v="Виталюр"/>
    <x v="3"/>
    <x v="1"/>
    <x v="23"/>
    <n v="705"/>
    <n v="33"/>
    <x v="58"/>
  </r>
  <r>
    <x v="12"/>
    <s v="Виталюр"/>
    <x v="3"/>
    <x v="0"/>
    <x v="17"/>
    <n v="2400"/>
    <n v="67"/>
    <x v="59"/>
  </r>
  <r>
    <x v="12"/>
    <s v="Виталюр"/>
    <x v="0"/>
    <x v="1"/>
    <x v="19"/>
    <n v="540"/>
    <n v="68"/>
    <x v="60"/>
  </r>
  <r>
    <x v="12"/>
    <s v="Соседи"/>
    <x v="4"/>
    <x v="2"/>
    <x v="4"/>
    <n v="450"/>
    <n v="20"/>
    <x v="61"/>
  </r>
  <r>
    <x v="12"/>
    <s v="Евроопт"/>
    <x v="5"/>
    <x v="1"/>
    <x v="19"/>
    <n v="540"/>
    <n v="79"/>
    <x v="62"/>
  </r>
  <r>
    <x v="12"/>
    <s v="Виталюр"/>
    <x v="5"/>
    <x v="4"/>
    <x v="7"/>
    <n v="1760"/>
    <n v="5"/>
    <x v="63"/>
  </r>
  <r>
    <x v="12"/>
    <s v="Виталюр"/>
    <x v="6"/>
    <x v="2"/>
    <x v="2"/>
    <n v="325"/>
    <n v="67"/>
    <x v="64"/>
  </r>
  <r>
    <x v="12"/>
    <s v="Евроопт"/>
    <x v="6"/>
    <x v="0"/>
    <x v="5"/>
    <n v="930"/>
    <n v="26"/>
    <x v="65"/>
  </r>
  <r>
    <x v="13"/>
    <m/>
    <x v="2"/>
    <x v="3"/>
    <x v="3"/>
    <m/>
    <m/>
    <x v="66"/>
  </r>
  <r>
    <x v="14"/>
    <s v="Копеечка"/>
    <x v="3"/>
    <x v="1"/>
    <x v="6"/>
    <n v="640"/>
    <n v="52"/>
    <x v="67"/>
  </r>
  <r>
    <x v="14"/>
    <s v="Евроопт"/>
    <x v="0"/>
    <x v="4"/>
    <x v="7"/>
    <n v="1760"/>
    <n v="40"/>
    <x v="68"/>
  </r>
  <r>
    <x v="14"/>
    <s v="Евроопт"/>
    <x v="4"/>
    <x v="2"/>
    <x v="9"/>
    <n v="690"/>
    <n v="84"/>
    <x v="69"/>
  </r>
  <r>
    <x v="14"/>
    <s v="Виталюр"/>
    <x v="4"/>
    <x v="0"/>
    <x v="22"/>
    <n v="1420"/>
    <n v="97"/>
    <x v="70"/>
  </r>
  <r>
    <x v="14"/>
    <s v="Евроопт"/>
    <x v="4"/>
    <x v="4"/>
    <x v="14"/>
    <n v="1670"/>
    <n v="84"/>
    <x v="71"/>
  </r>
  <r>
    <x v="14"/>
    <s v="Соседи"/>
    <x v="4"/>
    <x v="4"/>
    <x v="13"/>
    <n v="1505"/>
    <n v="20"/>
    <x v="72"/>
  </r>
  <r>
    <x v="14"/>
    <s v="Копеечка"/>
    <x v="1"/>
    <x v="1"/>
    <x v="20"/>
    <n v="650"/>
    <n v="11"/>
    <x v="73"/>
  </r>
  <r>
    <x v="14"/>
    <s v="Виталюр"/>
    <x v="1"/>
    <x v="4"/>
    <x v="15"/>
    <n v="2460"/>
    <n v="70"/>
    <x v="74"/>
  </r>
  <r>
    <x v="14"/>
    <s v="Евроопт"/>
    <x v="5"/>
    <x v="2"/>
    <x v="9"/>
    <n v="690"/>
    <n v="14"/>
    <x v="75"/>
  </r>
  <r>
    <x v="14"/>
    <s v="Соседи"/>
    <x v="5"/>
    <x v="0"/>
    <x v="0"/>
    <n v="1320"/>
    <n v="90"/>
    <x v="76"/>
  </r>
  <r>
    <x v="14"/>
    <s v="Виталюр"/>
    <x v="5"/>
    <x v="0"/>
    <x v="17"/>
    <n v="2400"/>
    <n v="20"/>
    <x v="77"/>
  </r>
  <r>
    <x v="14"/>
    <s v="Соседи"/>
    <x v="5"/>
    <x v="4"/>
    <x v="11"/>
    <n v="2970"/>
    <n v="7"/>
    <x v="78"/>
  </r>
  <r>
    <x v="14"/>
    <s v="Евроопт"/>
    <x v="6"/>
    <x v="2"/>
    <x v="12"/>
    <n v="715"/>
    <n v="87"/>
    <x v="79"/>
  </r>
  <r>
    <x v="15"/>
    <m/>
    <x v="2"/>
    <x v="3"/>
    <x v="3"/>
    <m/>
    <m/>
    <x v="80"/>
  </r>
  <r>
    <x v="16"/>
    <s v="Евроопт"/>
    <x v="3"/>
    <x v="0"/>
    <x v="0"/>
    <n v="1320"/>
    <n v="25"/>
    <x v="81"/>
  </r>
  <r>
    <x v="16"/>
    <s v="Копеечка"/>
    <x v="3"/>
    <x v="4"/>
    <x v="13"/>
    <n v="1505"/>
    <n v="89"/>
    <x v="82"/>
  </r>
  <r>
    <x v="16"/>
    <s v="Евроопт"/>
    <x v="0"/>
    <x v="1"/>
    <x v="20"/>
    <n v="650"/>
    <n v="88"/>
    <x v="83"/>
  </r>
  <r>
    <x v="16"/>
    <s v="Виталюр"/>
    <x v="1"/>
    <x v="0"/>
    <x v="0"/>
    <n v="1320"/>
    <n v="11"/>
    <x v="84"/>
  </r>
  <r>
    <x v="16"/>
    <s v="Евроопт"/>
    <x v="5"/>
    <x v="1"/>
    <x v="23"/>
    <n v="705"/>
    <n v="90"/>
    <x v="85"/>
  </r>
  <r>
    <x v="16"/>
    <s v="Копеечка"/>
    <x v="5"/>
    <x v="2"/>
    <x v="8"/>
    <n v="460"/>
    <n v="43"/>
    <x v="86"/>
  </r>
  <r>
    <x v="16"/>
    <s v="Копеечка"/>
    <x v="5"/>
    <x v="0"/>
    <x v="24"/>
    <n v="2540"/>
    <n v="70"/>
    <x v="87"/>
  </r>
  <r>
    <x v="16"/>
    <s v="Евроопт"/>
    <x v="6"/>
    <x v="0"/>
    <x v="22"/>
    <n v="1420"/>
    <n v="54"/>
    <x v="88"/>
  </r>
  <r>
    <x v="17"/>
    <m/>
    <x v="2"/>
    <x v="3"/>
    <x v="3"/>
    <m/>
    <m/>
    <x v="89"/>
  </r>
  <r>
    <x v="18"/>
    <s v="Виталюр"/>
    <x v="3"/>
    <x v="1"/>
    <x v="23"/>
    <n v="705"/>
    <n v="95"/>
    <x v="90"/>
  </r>
  <r>
    <x v="18"/>
    <s v="Соседи"/>
    <x v="3"/>
    <x v="4"/>
    <x v="13"/>
    <n v="1505"/>
    <n v="58"/>
    <x v="91"/>
  </r>
  <r>
    <x v="18"/>
    <s v="Евроопт"/>
    <x v="0"/>
    <x v="1"/>
    <x v="1"/>
    <n v="1380"/>
    <n v="71"/>
    <x v="92"/>
  </r>
  <r>
    <x v="18"/>
    <s v="Копеечка"/>
    <x v="4"/>
    <x v="1"/>
    <x v="19"/>
    <n v="540"/>
    <n v="15"/>
    <x v="93"/>
  </r>
  <r>
    <x v="18"/>
    <s v="Соседи"/>
    <x v="5"/>
    <x v="0"/>
    <x v="0"/>
    <n v="1320"/>
    <n v="40"/>
    <x v="94"/>
  </r>
  <r>
    <x v="18"/>
    <s v="Копеечка"/>
    <x v="5"/>
    <x v="4"/>
    <x v="7"/>
    <n v="1760"/>
    <n v="63"/>
    <x v="95"/>
  </r>
  <r>
    <x v="18"/>
    <s v="Соседи"/>
    <x v="5"/>
    <x v="4"/>
    <x v="7"/>
    <n v="1760"/>
    <n v="97"/>
    <x v="96"/>
  </r>
  <r>
    <x v="18"/>
    <s v="Евроопт"/>
    <x v="5"/>
    <x v="4"/>
    <x v="14"/>
    <n v="1670"/>
    <n v="27"/>
    <x v="97"/>
  </r>
  <r>
    <x v="18"/>
    <s v="Евроопт"/>
    <x v="6"/>
    <x v="0"/>
    <x v="24"/>
    <n v="2540"/>
    <n v="75"/>
    <x v="98"/>
  </r>
  <r>
    <x v="18"/>
    <s v="Копеечка"/>
    <x v="6"/>
    <x v="0"/>
    <x v="5"/>
    <n v="930"/>
    <n v="60"/>
    <x v="99"/>
  </r>
  <r>
    <x v="19"/>
    <m/>
    <x v="2"/>
    <x v="3"/>
    <x v="3"/>
    <m/>
    <m/>
    <x v="100"/>
  </r>
  <r>
    <x v="20"/>
    <s v="Евроопт"/>
    <x v="3"/>
    <x v="1"/>
    <x v="23"/>
    <n v="705"/>
    <n v="71"/>
    <x v="101"/>
  </r>
  <r>
    <x v="20"/>
    <s v="Копеечка"/>
    <x v="3"/>
    <x v="4"/>
    <x v="14"/>
    <n v="1670"/>
    <n v="70"/>
    <x v="102"/>
  </r>
  <r>
    <x v="20"/>
    <s v="Виталюр"/>
    <x v="0"/>
    <x v="1"/>
    <x v="6"/>
    <n v="640"/>
    <n v="70"/>
    <x v="103"/>
  </r>
  <r>
    <x v="20"/>
    <s v="Копеечка"/>
    <x v="0"/>
    <x v="2"/>
    <x v="12"/>
    <n v="715"/>
    <n v="34"/>
    <x v="104"/>
  </r>
  <r>
    <x v="20"/>
    <s v="Копеечка"/>
    <x v="4"/>
    <x v="4"/>
    <x v="13"/>
    <n v="1505"/>
    <n v="60"/>
    <x v="105"/>
  </r>
  <r>
    <x v="20"/>
    <s v="Копеечка"/>
    <x v="1"/>
    <x v="2"/>
    <x v="4"/>
    <n v="450"/>
    <n v="50"/>
    <x v="106"/>
  </r>
  <r>
    <x v="20"/>
    <s v="Соседи"/>
    <x v="5"/>
    <x v="0"/>
    <x v="0"/>
    <n v="1320"/>
    <n v="96"/>
    <x v="107"/>
  </r>
  <r>
    <x v="20"/>
    <s v="Копеечка"/>
    <x v="6"/>
    <x v="4"/>
    <x v="15"/>
    <n v="2460"/>
    <n v="13"/>
    <x v="108"/>
  </r>
  <r>
    <x v="20"/>
    <s v="Соседи"/>
    <x v="6"/>
    <x v="4"/>
    <x v="21"/>
    <n v="3205"/>
    <n v="59"/>
    <x v="109"/>
  </r>
  <r>
    <x v="21"/>
    <m/>
    <x v="2"/>
    <x v="3"/>
    <x v="3"/>
    <m/>
    <m/>
    <x v="110"/>
  </r>
  <r>
    <x v="22"/>
    <s v="Соседи"/>
    <x v="3"/>
    <x v="0"/>
    <x v="5"/>
    <n v="930"/>
    <n v="26"/>
    <x v="65"/>
  </r>
  <r>
    <x v="22"/>
    <s v="Соседи"/>
    <x v="0"/>
    <x v="0"/>
    <x v="17"/>
    <n v="2400"/>
    <n v="34"/>
    <x v="111"/>
  </r>
  <r>
    <x v="22"/>
    <s v="Копеечка"/>
    <x v="0"/>
    <x v="4"/>
    <x v="7"/>
    <n v="1760"/>
    <n v="38"/>
    <x v="112"/>
  </r>
  <r>
    <x v="22"/>
    <s v="Соседи"/>
    <x v="4"/>
    <x v="0"/>
    <x v="17"/>
    <n v="2400"/>
    <n v="91"/>
    <x v="113"/>
  </r>
  <r>
    <x v="22"/>
    <s v="Виталюр"/>
    <x v="1"/>
    <x v="2"/>
    <x v="8"/>
    <n v="460"/>
    <n v="26"/>
    <x v="114"/>
  </r>
  <r>
    <x v="22"/>
    <s v="Виталюр"/>
    <x v="1"/>
    <x v="0"/>
    <x v="0"/>
    <n v="1320"/>
    <n v="71"/>
    <x v="115"/>
  </r>
  <r>
    <x v="22"/>
    <s v="Копеечка"/>
    <x v="1"/>
    <x v="4"/>
    <x v="14"/>
    <n v="1670"/>
    <n v="70"/>
    <x v="102"/>
  </r>
  <r>
    <x v="22"/>
    <s v="Соседи"/>
    <x v="5"/>
    <x v="2"/>
    <x v="2"/>
    <n v="325"/>
    <n v="25"/>
    <x v="116"/>
  </r>
  <r>
    <x v="22"/>
    <s v="Копеечка"/>
    <x v="5"/>
    <x v="2"/>
    <x v="16"/>
    <n v="890"/>
    <n v="31"/>
    <x v="117"/>
  </r>
  <r>
    <x v="22"/>
    <s v="Виталюр"/>
    <x v="5"/>
    <x v="2"/>
    <x v="16"/>
    <n v="890"/>
    <n v="7"/>
    <x v="118"/>
  </r>
  <r>
    <x v="23"/>
    <m/>
    <x v="2"/>
    <x v="3"/>
    <x v="3"/>
    <m/>
    <m/>
    <x v="119"/>
  </r>
  <r>
    <x v="24"/>
    <s v="Соседи"/>
    <x v="3"/>
    <x v="0"/>
    <x v="5"/>
    <n v="930"/>
    <n v="22"/>
    <x v="120"/>
  </r>
  <r>
    <x v="24"/>
    <s v="Соседи"/>
    <x v="3"/>
    <x v="0"/>
    <x v="0"/>
    <n v="1320"/>
    <n v="93"/>
    <x v="121"/>
  </r>
  <r>
    <x v="24"/>
    <s v="Виталюр"/>
    <x v="3"/>
    <x v="4"/>
    <x v="14"/>
    <n v="1670"/>
    <n v="97"/>
    <x v="122"/>
  </r>
  <r>
    <x v="24"/>
    <s v="Соседи"/>
    <x v="3"/>
    <x v="4"/>
    <x v="14"/>
    <n v="1670"/>
    <n v="27"/>
    <x v="97"/>
  </r>
  <r>
    <x v="24"/>
    <s v="Копеечка"/>
    <x v="0"/>
    <x v="4"/>
    <x v="11"/>
    <n v="2970"/>
    <n v="55"/>
    <x v="123"/>
  </r>
  <r>
    <x v="24"/>
    <s v="Копеечка"/>
    <x v="5"/>
    <x v="2"/>
    <x v="4"/>
    <n v="450"/>
    <n v="74"/>
    <x v="124"/>
  </r>
  <r>
    <x v="24"/>
    <s v="Соседи"/>
    <x v="5"/>
    <x v="0"/>
    <x v="0"/>
    <n v="1320"/>
    <n v="7"/>
    <x v="125"/>
  </r>
  <r>
    <x v="24"/>
    <s v="Виталюр"/>
    <x v="5"/>
    <x v="4"/>
    <x v="21"/>
    <n v="3205"/>
    <n v="56"/>
    <x v="126"/>
  </r>
  <r>
    <x v="24"/>
    <s v="Виталюр"/>
    <x v="6"/>
    <x v="0"/>
    <x v="24"/>
    <n v="2540"/>
    <n v="56"/>
    <x v="127"/>
  </r>
  <r>
    <x v="24"/>
    <s v="Копеечка"/>
    <x v="0"/>
    <x v="2"/>
    <x v="9"/>
    <n v="690"/>
    <n v="29"/>
    <x v="128"/>
  </r>
  <r>
    <x v="25"/>
    <m/>
    <x v="2"/>
    <x v="3"/>
    <x v="3"/>
    <m/>
    <m/>
    <x v="129"/>
  </r>
  <r>
    <x v="26"/>
    <s v="Евроопт"/>
    <x v="1"/>
    <x v="1"/>
    <x v="23"/>
    <n v="705"/>
    <n v="21"/>
    <x v="130"/>
  </r>
  <r>
    <x v="26"/>
    <s v="Евроопт"/>
    <x v="1"/>
    <x v="0"/>
    <x v="10"/>
    <n v="1230"/>
    <n v="22"/>
    <x v="131"/>
  </r>
  <r>
    <x v="26"/>
    <s v="Евроопт"/>
    <x v="1"/>
    <x v="0"/>
    <x v="24"/>
    <n v="2540"/>
    <n v="60"/>
    <x v="132"/>
  </r>
  <r>
    <x v="26"/>
    <s v="Соседи"/>
    <x v="5"/>
    <x v="4"/>
    <x v="21"/>
    <n v="3205"/>
    <n v="54"/>
    <x v="133"/>
  </r>
  <r>
    <x v="26"/>
    <s v="Соседи"/>
    <x v="0"/>
    <x v="0"/>
    <x v="22"/>
    <n v="1420"/>
    <n v="12"/>
    <x v="134"/>
  </r>
  <r>
    <x v="27"/>
    <m/>
    <x v="2"/>
    <x v="3"/>
    <x v="3"/>
    <m/>
    <m/>
    <x v="135"/>
  </r>
  <r>
    <x v="28"/>
    <s v="Соседи"/>
    <x v="3"/>
    <x v="1"/>
    <x v="19"/>
    <n v="540"/>
    <n v="98"/>
    <x v="136"/>
  </r>
  <r>
    <x v="28"/>
    <s v="Виталюр"/>
    <x v="0"/>
    <x v="2"/>
    <x v="16"/>
    <n v="890"/>
    <n v="74"/>
    <x v="137"/>
  </r>
  <r>
    <x v="28"/>
    <s v="Евроопт"/>
    <x v="0"/>
    <x v="2"/>
    <x v="16"/>
    <n v="890"/>
    <n v="88"/>
    <x v="138"/>
  </r>
  <r>
    <x v="28"/>
    <s v="Копеечка"/>
    <x v="0"/>
    <x v="4"/>
    <x v="21"/>
    <n v="3205"/>
    <n v="94"/>
    <x v="139"/>
  </r>
  <r>
    <x v="28"/>
    <s v="Виталюр"/>
    <x v="0"/>
    <x v="4"/>
    <x v="14"/>
    <n v="1670"/>
    <n v="26"/>
    <x v="140"/>
  </r>
  <r>
    <x v="28"/>
    <s v="Соседи"/>
    <x v="4"/>
    <x v="2"/>
    <x v="12"/>
    <n v="715"/>
    <n v="22"/>
    <x v="141"/>
  </r>
  <r>
    <x v="28"/>
    <s v="Виталюр"/>
    <x v="4"/>
    <x v="0"/>
    <x v="0"/>
    <n v="1320"/>
    <n v="41"/>
    <x v="142"/>
  </r>
  <r>
    <x v="28"/>
    <s v="Виталюр"/>
    <x v="4"/>
    <x v="0"/>
    <x v="5"/>
    <n v="930"/>
    <n v="50"/>
    <x v="143"/>
  </r>
  <r>
    <x v="28"/>
    <s v="Копеечка"/>
    <x v="4"/>
    <x v="4"/>
    <x v="13"/>
    <n v="1505"/>
    <n v="85"/>
    <x v="144"/>
  </r>
  <r>
    <x v="28"/>
    <s v="Копеечка"/>
    <x v="1"/>
    <x v="2"/>
    <x v="12"/>
    <n v="715"/>
    <n v="14"/>
    <x v="13"/>
  </r>
  <r>
    <x v="28"/>
    <s v="Евроопт"/>
    <x v="1"/>
    <x v="0"/>
    <x v="17"/>
    <n v="2400"/>
    <n v="33"/>
    <x v="30"/>
  </r>
  <r>
    <x v="28"/>
    <s v="Копеечка"/>
    <x v="1"/>
    <x v="0"/>
    <x v="24"/>
    <n v="2540"/>
    <n v="12"/>
    <x v="145"/>
  </r>
  <r>
    <x v="28"/>
    <s v="Соседи"/>
    <x v="1"/>
    <x v="0"/>
    <x v="5"/>
    <n v="930"/>
    <n v="88"/>
    <x v="146"/>
  </r>
  <r>
    <x v="28"/>
    <s v="Евроопт"/>
    <x v="5"/>
    <x v="1"/>
    <x v="1"/>
    <n v="1380"/>
    <n v="43"/>
    <x v="147"/>
  </r>
  <r>
    <x v="28"/>
    <s v="Копеечка"/>
    <x v="5"/>
    <x v="4"/>
    <x v="21"/>
    <n v="3205"/>
    <n v="54"/>
    <x v="133"/>
  </r>
  <r>
    <x v="28"/>
    <s v="Соседи"/>
    <x v="6"/>
    <x v="1"/>
    <x v="19"/>
    <n v="540"/>
    <n v="10"/>
    <x v="148"/>
  </r>
  <r>
    <x v="28"/>
    <s v="Виталюр"/>
    <x v="6"/>
    <x v="2"/>
    <x v="2"/>
    <n v="325"/>
    <n v="55"/>
    <x v="149"/>
  </r>
  <r>
    <x v="28"/>
    <s v="Виталюр"/>
    <x v="6"/>
    <x v="0"/>
    <x v="24"/>
    <n v="2540"/>
    <n v="41"/>
    <x v="150"/>
  </r>
  <r>
    <x v="28"/>
    <s v="Копеечка"/>
    <x v="0"/>
    <x v="0"/>
    <x v="0"/>
    <n v="1320"/>
    <n v="31"/>
    <x v="36"/>
  </r>
  <r>
    <x v="29"/>
    <m/>
    <x v="2"/>
    <x v="3"/>
    <x v="3"/>
    <m/>
    <m/>
    <x v="151"/>
  </r>
  <r>
    <x v="30"/>
    <s v="Копеечка"/>
    <x v="3"/>
    <x v="1"/>
    <x v="18"/>
    <n v="650"/>
    <n v="88"/>
    <x v="83"/>
  </r>
  <r>
    <x v="30"/>
    <s v="Соседи"/>
    <x v="3"/>
    <x v="0"/>
    <x v="17"/>
    <n v="2400"/>
    <n v="51"/>
    <x v="152"/>
  </r>
  <r>
    <x v="30"/>
    <s v="Евроопт"/>
    <x v="3"/>
    <x v="4"/>
    <x v="15"/>
    <n v="2460"/>
    <n v="90"/>
    <x v="153"/>
  </r>
  <r>
    <x v="30"/>
    <s v="Виталюр"/>
    <x v="3"/>
    <x v="4"/>
    <x v="15"/>
    <n v="2460"/>
    <n v="6"/>
    <x v="154"/>
  </r>
  <r>
    <x v="30"/>
    <s v="Евроопт"/>
    <x v="0"/>
    <x v="1"/>
    <x v="19"/>
    <n v="540"/>
    <n v="26"/>
    <x v="155"/>
  </r>
  <r>
    <x v="30"/>
    <s v="Евроопт"/>
    <x v="0"/>
    <x v="2"/>
    <x v="9"/>
    <n v="690"/>
    <n v="87"/>
    <x v="156"/>
  </r>
  <r>
    <x v="30"/>
    <s v="Соседи"/>
    <x v="4"/>
    <x v="1"/>
    <x v="6"/>
    <n v="640"/>
    <n v="26"/>
    <x v="157"/>
  </r>
  <r>
    <x v="30"/>
    <s v="Евроопт"/>
    <x v="4"/>
    <x v="1"/>
    <x v="18"/>
    <n v="650"/>
    <n v="54"/>
    <x v="158"/>
  </r>
  <r>
    <x v="30"/>
    <s v="Виталюр"/>
    <x v="4"/>
    <x v="4"/>
    <x v="15"/>
    <n v="2460"/>
    <n v="56"/>
    <x v="159"/>
  </r>
  <r>
    <x v="30"/>
    <s v="Виталюр"/>
    <x v="1"/>
    <x v="2"/>
    <x v="9"/>
    <n v="690"/>
    <n v="24"/>
    <x v="160"/>
  </r>
  <r>
    <x v="30"/>
    <s v="Виталюр"/>
    <x v="5"/>
    <x v="1"/>
    <x v="18"/>
    <n v="650"/>
    <n v="71"/>
    <x v="161"/>
  </r>
  <r>
    <x v="30"/>
    <s v="Копеечка"/>
    <x v="5"/>
    <x v="2"/>
    <x v="4"/>
    <n v="450"/>
    <n v="22"/>
    <x v="162"/>
  </r>
  <r>
    <x v="30"/>
    <s v="Евроопт"/>
    <x v="5"/>
    <x v="2"/>
    <x v="2"/>
    <n v="325"/>
    <n v="98"/>
    <x v="163"/>
  </r>
  <r>
    <x v="30"/>
    <s v="Евроопт"/>
    <x v="5"/>
    <x v="4"/>
    <x v="21"/>
    <n v="3205"/>
    <n v="86"/>
    <x v="164"/>
  </r>
  <r>
    <x v="30"/>
    <s v="Евроопт"/>
    <x v="5"/>
    <x v="4"/>
    <x v="21"/>
    <n v="3205"/>
    <n v="47"/>
    <x v="165"/>
  </r>
  <r>
    <x v="30"/>
    <s v="Виталюр"/>
    <x v="5"/>
    <x v="4"/>
    <x v="11"/>
    <n v="2970"/>
    <n v="28"/>
    <x v="166"/>
  </r>
  <r>
    <x v="30"/>
    <s v="Виталюр"/>
    <x v="6"/>
    <x v="1"/>
    <x v="19"/>
    <n v="540"/>
    <n v="34"/>
    <x v="167"/>
  </r>
  <r>
    <x v="30"/>
    <s v="Евроопт"/>
    <x v="6"/>
    <x v="4"/>
    <x v="15"/>
    <n v="2460"/>
    <n v="28"/>
    <x v="168"/>
  </r>
  <r>
    <x v="30"/>
    <s v="Евроопт"/>
    <x v="6"/>
    <x v="4"/>
    <x v="21"/>
    <n v="3205"/>
    <n v="90"/>
    <x v="169"/>
  </r>
  <r>
    <x v="30"/>
    <s v="Евроопт"/>
    <x v="4"/>
    <x v="1"/>
    <x v="23"/>
    <n v="705"/>
    <n v="12"/>
    <x v="170"/>
  </r>
  <r>
    <x v="31"/>
    <m/>
    <x v="2"/>
    <x v="3"/>
    <x v="3"/>
    <m/>
    <m/>
    <x v="171"/>
  </r>
  <r>
    <x v="32"/>
    <s v="Копеечка"/>
    <x v="3"/>
    <x v="1"/>
    <x v="6"/>
    <n v="640"/>
    <n v="23"/>
    <x v="172"/>
  </r>
  <r>
    <x v="32"/>
    <s v="Евроопт"/>
    <x v="3"/>
    <x v="2"/>
    <x v="4"/>
    <n v="450"/>
    <n v="78"/>
    <x v="158"/>
  </r>
  <r>
    <x v="32"/>
    <s v="Евроопт"/>
    <x v="0"/>
    <x v="1"/>
    <x v="18"/>
    <n v="650"/>
    <n v="58"/>
    <x v="173"/>
  </r>
  <r>
    <x v="32"/>
    <s v="Виталюр"/>
    <x v="0"/>
    <x v="1"/>
    <x v="18"/>
    <n v="650"/>
    <n v="92"/>
    <x v="174"/>
  </r>
  <r>
    <x v="32"/>
    <s v="Копеечка"/>
    <x v="0"/>
    <x v="2"/>
    <x v="4"/>
    <n v="450"/>
    <n v="91"/>
    <x v="175"/>
  </r>
  <r>
    <x v="32"/>
    <s v="Виталюр"/>
    <x v="0"/>
    <x v="4"/>
    <x v="7"/>
    <n v="1760"/>
    <n v="92"/>
    <x v="176"/>
  </r>
  <r>
    <x v="32"/>
    <s v="Евроопт"/>
    <x v="0"/>
    <x v="4"/>
    <x v="13"/>
    <n v="1505"/>
    <n v="14"/>
    <x v="177"/>
  </r>
  <r>
    <x v="32"/>
    <s v="Евроопт"/>
    <x v="0"/>
    <x v="4"/>
    <x v="14"/>
    <n v="1670"/>
    <n v="5"/>
    <x v="178"/>
  </r>
  <r>
    <x v="32"/>
    <s v="Евроопт"/>
    <x v="4"/>
    <x v="1"/>
    <x v="23"/>
    <n v="705"/>
    <n v="81"/>
    <x v="179"/>
  </r>
  <r>
    <x v="32"/>
    <s v="Соседи"/>
    <x v="4"/>
    <x v="1"/>
    <x v="1"/>
    <n v="1380"/>
    <n v="34"/>
    <x v="180"/>
  </r>
  <r>
    <x v="32"/>
    <s v="Евроопт"/>
    <x v="4"/>
    <x v="2"/>
    <x v="4"/>
    <n v="450"/>
    <n v="9"/>
    <x v="181"/>
  </r>
  <r>
    <x v="32"/>
    <s v="Копеечка"/>
    <x v="4"/>
    <x v="0"/>
    <x v="0"/>
    <n v="1320"/>
    <n v="5"/>
    <x v="182"/>
  </r>
  <r>
    <x v="32"/>
    <s v="Копеечка"/>
    <x v="4"/>
    <x v="4"/>
    <x v="14"/>
    <n v="1670"/>
    <n v="63"/>
    <x v="183"/>
  </r>
  <r>
    <x v="32"/>
    <s v="Копеечка"/>
    <x v="4"/>
    <x v="4"/>
    <x v="7"/>
    <n v="1760"/>
    <n v="12"/>
    <x v="184"/>
  </r>
  <r>
    <x v="32"/>
    <s v="Соседи"/>
    <x v="1"/>
    <x v="2"/>
    <x v="12"/>
    <n v="715"/>
    <n v="64"/>
    <x v="185"/>
  </r>
  <r>
    <x v="32"/>
    <s v="Виталюр"/>
    <x v="1"/>
    <x v="2"/>
    <x v="16"/>
    <n v="890"/>
    <n v="84"/>
    <x v="186"/>
  </r>
  <r>
    <x v="32"/>
    <s v="Копеечка"/>
    <x v="1"/>
    <x v="0"/>
    <x v="10"/>
    <n v="1230"/>
    <n v="34"/>
    <x v="187"/>
  </r>
  <r>
    <x v="32"/>
    <s v="Виталюр"/>
    <x v="1"/>
    <x v="4"/>
    <x v="11"/>
    <n v="2970"/>
    <n v="74"/>
    <x v="188"/>
  </r>
  <r>
    <x v="32"/>
    <s v="Евроопт"/>
    <x v="5"/>
    <x v="1"/>
    <x v="18"/>
    <n v="650"/>
    <n v="42"/>
    <x v="189"/>
  </r>
  <r>
    <x v="32"/>
    <s v="Евроопт"/>
    <x v="5"/>
    <x v="2"/>
    <x v="2"/>
    <n v="325"/>
    <n v="81"/>
    <x v="190"/>
  </r>
  <r>
    <x v="32"/>
    <s v="Евроопт"/>
    <x v="5"/>
    <x v="0"/>
    <x v="17"/>
    <n v="2400"/>
    <n v="8"/>
    <x v="191"/>
  </r>
  <r>
    <x v="32"/>
    <s v="Виталюр"/>
    <x v="5"/>
    <x v="4"/>
    <x v="11"/>
    <n v="2970"/>
    <n v="28"/>
    <x v="166"/>
  </r>
  <r>
    <x v="32"/>
    <s v="Соседи"/>
    <x v="5"/>
    <x v="4"/>
    <x v="21"/>
    <n v="3205"/>
    <n v="53"/>
    <x v="192"/>
  </r>
  <r>
    <x v="32"/>
    <s v="Копеечка"/>
    <x v="6"/>
    <x v="0"/>
    <x v="17"/>
    <n v="2400"/>
    <n v="16"/>
    <x v="193"/>
  </r>
  <r>
    <x v="32"/>
    <s v="Виталюр"/>
    <x v="6"/>
    <x v="0"/>
    <x v="10"/>
    <n v="1230"/>
    <n v="66"/>
    <x v="194"/>
  </r>
  <r>
    <x v="32"/>
    <s v="Соседи"/>
    <x v="6"/>
    <x v="4"/>
    <x v="14"/>
    <n v="1670"/>
    <n v="72"/>
    <x v="195"/>
  </r>
  <r>
    <x v="32"/>
    <s v="Копеечка"/>
    <x v="6"/>
    <x v="4"/>
    <x v="11"/>
    <n v="2970"/>
    <n v="81"/>
    <x v="196"/>
  </r>
  <r>
    <x v="32"/>
    <s v="Копеечка"/>
    <x v="4"/>
    <x v="2"/>
    <x v="9"/>
    <n v="690"/>
    <n v="78"/>
    <x v="197"/>
  </r>
  <r>
    <x v="33"/>
    <m/>
    <x v="2"/>
    <x v="3"/>
    <x v="3"/>
    <m/>
    <m/>
    <x v="198"/>
  </r>
  <r>
    <x v="34"/>
    <s v="Евроопт"/>
    <x v="0"/>
    <x v="1"/>
    <x v="20"/>
    <n v="650"/>
    <n v="34"/>
    <x v="199"/>
  </r>
  <r>
    <x v="34"/>
    <s v="Евроопт"/>
    <x v="0"/>
    <x v="1"/>
    <x v="19"/>
    <n v="540"/>
    <n v="46"/>
    <x v="200"/>
  </r>
  <r>
    <x v="34"/>
    <s v="Соседи"/>
    <x v="0"/>
    <x v="4"/>
    <x v="21"/>
    <n v="3205"/>
    <n v="38"/>
    <x v="201"/>
  </r>
  <r>
    <x v="34"/>
    <s v="Копеечка"/>
    <x v="4"/>
    <x v="1"/>
    <x v="19"/>
    <n v="540"/>
    <n v="32"/>
    <x v="202"/>
  </r>
  <r>
    <x v="34"/>
    <s v="Соседи"/>
    <x v="4"/>
    <x v="4"/>
    <x v="7"/>
    <n v="1760"/>
    <n v="36"/>
    <x v="203"/>
  </r>
  <r>
    <x v="34"/>
    <s v="Виталюр"/>
    <x v="4"/>
    <x v="4"/>
    <x v="15"/>
    <n v="2460"/>
    <n v="95"/>
    <x v="204"/>
  </r>
  <r>
    <x v="34"/>
    <s v="Виталюр"/>
    <x v="1"/>
    <x v="1"/>
    <x v="23"/>
    <n v="705"/>
    <n v="57"/>
    <x v="205"/>
  </r>
  <r>
    <x v="34"/>
    <s v="Копеечка"/>
    <x v="1"/>
    <x v="0"/>
    <x v="5"/>
    <n v="930"/>
    <n v="36"/>
    <x v="206"/>
  </r>
  <r>
    <x v="34"/>
    <s v="Виталюр"/>
    <x v="5"/>
    <x v="0"/>
    <x v="24"/>
    <n v="2540"/>
    <n v="55"/>
    <x v="207"/>
  </r>
  <r>
    <x v="34"/>
    <s v="Евроопт"/>
    <x v="5"/>
    <x v="0"/>
    <x v="24"/>
    <n v="2540"/>
    <n v="7"/>
    <x v="208"/>
  </r>
  <r>
    <x v="34"/>
    <s v="Виталюр"/>
    <x v="5"/>
    <x v="4"/>
    <x v="13"/>
    <n v="1505"/>
    <n v="90"/>
    <x v="209"/>
  </r>
  <r>
    <x v="34"/>
    <s v="Виталюр"/>
    <x v="6"/>
    <x v="2"/>
    <x v="9"/>
    <n v="690"/>
    <n v="96"/>
    <x v="210"/>
  </r>
  <r>
    <x v="34"/>
    <s v="Евроопт"/>
    <x v="6"/>
    <x v="2"/>
    <x v="12"/>
    <n v="715"/>
    <n v="73"/>
    <x v="211"/>
  </r>
  <r>
    <x v="34"/>
    <s v="Соседи"/>
    <x v="6"/>
    <x v="0"/>
    <x v="5"/>
    <n v="930"/>
    <n v="25"/>
    <x v="212"/>
  </r>
  <r>
    <x v="34"/>
    <s v="Евроопт"/>
    <x v="4"/>
    <x v="4"/>
    <x v="13"/>
    <n v="1505"/>
    <n v="25"/>
    <x v="213"/>
  </r>
  <r>
    <x v="35"/>
    <m/>
    <x v="2"/>
    <x v="3"/>
    <x v="3"/>
    <m/>
    <m/>
    <x v="214"/>
  </r>
  <r>
    <x v="36"/>
    <s v="Копеечка"/>
    <x v="3"/>
    <x v="1"/>
    <x v="1"/>
    <n v="1380"/>
    <n v="29"/>
    <x v="215"/>
  </r>
  <r>
    <x v="36"/>
    <s v="Виталюр"/>
    <x v="3"/>
    <x v="0"/>
    <x v="22"/>
    <n v="1420"/>
    <n v="84"/>
    <x v="216"/>
  </r>
  <r>
    <x v="36"/>
    <s v="Соседи"/>
    <x v="0"/>
    <x v="1"/>
    <x v="1"/>
    <n v="1380"/>
    <n v="19"/>
    <x v="217"/>
  </r>
  <r>
    <x v="36"/>
    <s v="Виталюр"/>
    <x v="0"/>
    <x v="2"/>
    <x v="16"/>
    <n v="890"/>
    <n v="65"/>
    <x v="218"/>
  </r>
  <r>
    <x v="36"/>
    <s v="Евроопт"/>
    <x v="0"/>
    <x v="0"/>
    <x v="22"/>
    <n v="1420"/>
    <n v="55"/>
    <x v="219"/>
  </r>
  <r>
    <x v="36"/>
    <s v="Евроопт"/>
    <x v="0"/>
    <x v="4"/>
    <x v="21"/>
    <n v="3205"/>
    <n v="5"/>
    <x v="220"/>
  </r>
  <r>
    <x v="36"/>
    <s v="Копеечка"/>
    <x v="4"/>
    <x v="1"/>
    <x v="18"/>
    <n v="650"/>
    <n v="29"/>
    <x v="46"/>
  </r>
  <r>
    <x v="36"/>
    <s v="Евроопт"/>
    <x v="4"/>
    <x v="1"/>
    <x v="19"/>
    <n v="540"/>
    <n v="79"/>
    <x v="62"/>
  </r>
  <r>
    <x v="36"/>
    <s v="Копеечка"/>
    <x v="4"/>
    <x v="1"/>
    <x v="18"/>
    <n v="650"/>
    <n v="99"/>
    <x v="221"/>
  </r>
  <r>
    <x v="36"/>
    <s v="Копеечка"/>
    <x v="4"/>
    <x v="1"/>
    <x v="6"/>
    <n v="640"/>
    <n v="79"/>
    <x v="222"/>
  </r>
  <r>
    <x v="36"/>
    <s v="Евроопт"/>
    <x v="4"/>
    <x v="2"/>
    <x v="12"/>
    <n v="715"/>
    <n v="16"/>
    <x v="223"/>
  </r>
  <r>
    <x v="36"/>
    <s v="Евроопт"/>
    <x v="4"/>
    <x v="0"/>
    <x v="5"/>
    <n v="930"/>
    <n v="46"/>
    <x v="224"/>
  </r>
  <r>
    <x v="36"/>
    <s v="Соседи"/>
    <x v="4"/>
    <x v="4"/>
    <x v="14"/>
    <n v="1670"/>
    <n v="13"/>
    <x v="225"/>
  </r>
  <r>
    <x v="36"/>
    <s v="Копеечка"/>
    <x v="1"/>
    <x v="1"/>
    <x v="18"/>
    <n v="650"/>
    <n v="90"/>
    <x v="226"/>
  </r>
  <r>
    <x v="36"/>
    <s v="Соседи"/>
    <x v="1"/>
    <x v="1"/>
    <x v="19"/>
    <n v="540"/>
    <n v="55"/>
    <x v="227"/>
  </r>
  <r>
    <x v="36"/>
    <s v="Копеечка"/>
    <x v="1"/>
    <x v="2"/>
    <x v="9"/>
    <n v="690"/>
    <n v="51"/>
    <x v="228"/>
  </r>
  <r>
    <x v="36"/>
    <s v="Евроопт"/>
    <x v="1"/>
    <x v="2"/>
    <x v="2"/>
    <n v="325"/>
    <n v="59"/>
    <x v="229"/>
  </r>
  <r>
    <x v="36"/>
    <s v="Евроопт"/>
    <x v="5"/>
    <x v="2"/>
    <x v="4"/>
    <n v="450"/>
    <n v="47"/>
    <x v="230"/>
  </r>
  <r>
    <x v="36"/>
    <s v="Евроопт"/>
    <x v="5"/>
    <x v="4"/>
    <x v="21"/>
    <n v="3205"/>
    <n v="82"/>
    <x v="231"/>
  </r>
  <r>
    <x v="36"/>
    <s v="Соседи"/>
    <x v="6"/>
    <x v="1"/>
    <x v="6"/>
    <n v="640"/>
    <n v="33"/>
    <x v="184"/>
  </r>
  <r>
    <x v="36"/>
    <s v="Копеечка"/>
    <x v="6"/>
    <x v="1"/>
    <x v="1"/>
    <n v="1380"/>
    <n v="34"/>
    <x v="180"/>
  </r>
  <r>
    <x v="36"/>
    <s v="Виталюр"/>
    <x v="6"/>
    <x v="0"/>
    <x v="5"/>
    <n v="930"/>
    <n v="46"/>
    <x v="224"/>
  </r>
  <r>
    <x v="36"/>
    <s v="Евроопт"/>
    <x v="6"/>
    <x v="0"/>
    <x v="22"/>
    <n v="1420"/>
    <n v="75"/>
    <x v="232"/>
  </r>
  <r>
    <x v="36"/>
    <s v="Евроопт"/>
    <x v="6"/>
    <x v="0"/>
    <x v="0"/>
    <n v="1320"/>
    <n v="90"/>
    <x v="76"/>
  </r>
  <r>
    <x v="36"/>
    <s v="Копеечка"/>
    <x v="6"/>
    <x v="0"/>
    <x v="10"/>
    <n v="1230"/>
    <n v="33"/>
    <x v="233"/>
  </r>
  <r>
    <x v="36"/>
    <s v="Соседи"/>
    <x v="6"/>
    <x v="4"/>
    <x v="7"/>
    <n v="1760"/>
    <n v="80"/>
    <x v="234"/>
  </r>
  <r>
    <x v="36"/>
    <s v="Соседи"/>
    <x v="4"/>
    <x v="4"/>
    <x v="13"/>
    <n v="1505"/>
    <n v="53"/>
    <x v="235"/>
  </r>
  <r>
    <x v="37"/>
    <m/>
    <x v="2"/>
    <x v="3"/>
    <x v="3"/>
    <m/>
    <m/>
    <x v="236"/>
  </r>
  <r>
    <x v="38"/>
    <s v="Евроопт"/>
    <x v="3"/>
    <x v="1"/>
    <x v="20"/>
    <n v="650"/>
    <n v="32"/>
    <x v="237"/>
  </r>
  <r>
    <x v="38"/>
    <s v="Виталюр"/>
    <x v="0"/>
    <x v="4"/>
    <x v="13"/>
    <n v="1505"/>
    <n v="55"/>
    <x v="238"/>
  </r>
  <r>
    <x v="38"/>
    <s v="Соседи"/>
    <x v="4"/>
    <x v="2"/>
    <x v="8"/>
    <n v="460"/>
    <n v="58"/>
    <x v="239"/>
  </r>
  <r>
    <x v="38"/>
    <s v="Соседи"/>
    <x v="1"/>
    <x v="2"/>
    <x v="12"/>
    <n v="715"/>
    <n v="79"/>
    <x v="240"/>
  </r>
  <r>
    <x v="38"/>
    <s v="Виталюр"/>
    <x v="1"/>
    <x v="2"/>
    <x v="8"/>
    <n v="460"/>
    <n v="12"/>
    <x v="241"/>
  </r>
  <r>
    <x v="38"/>
    <s v="Копеечка"/>
    <x v="1"/>
    <x v="0"/>
    <x v="17"/>
    <n v="2400"/>
    <n v="12"/>
    <x v="242"/>
  </r>
  <r>
    <x v="38"/>
    <s v="Копеечка"/>
    <x v="1"/>
    <x v="4"/>
    <x v="11"/>
    <n v="2970"/>
    <n v="56"/>
    <x v="243"/>
  </r>
  <r>
    <x v="38"/>
    <s v="Евроопт"/>
    <x v="5"/>
    <x v="2"/>
    <x v="9"/>
    <n v="690"/>
    <n v="12"/>
    <x v="244"/>
  </r>
  <r>
    <x v="38"/>
    <s v="Виталюр"/>
    <x v="5"/>
    <x v="2"/>
    <x v="4"/>
    <n v="450"/>
    <n v="36"/>
    <x v="245"/>
  </r>
  <r>
    <x v="38"/>
    <s v="Копеечка"/>
    <x v="5"/>
    <x v="4"/>
    <x v="11"/>
    <n v="2970"/>
    <n v="53"/>
    <x v="246"/>
  </r>
  <r>
    <x v="38"/>
    <s v="Копеечка"/>
    <x v="6"/>
    <x v="1"/>
    <x v="18"/>
    <n v="650"/>
    <n v="90"/>
    <x v="226"/>
  </r>
  <r>
    <x v="38"/>
    <s v="Виталюр"/>
    <x v="6"/>
    <x v="0"/>
    <x v="10"/>
    <n v="1230"/>
    <n v="54"/>
    <x v="247"/>
  </r>
  <r>
    <x v="38"/>
    <s v="Виталюр"/>
    <x v="0"/>
    <x v="1"/>
    <x v="23"/>
    <n v="705"/>
    <n v="54"/>
    <x v="248"/>
  </r>
  <r>
    <x v="38"/>
    <s v="Соседи"/>
    <x v="4"/>
    <x v="4"/>
    <x v="11"/>
    <n v="2970"/>
    <n v="17"/>
    <x v="249"/>
  </r>
  <r>
    <x v="39"/>
    <m/>
    <x v="2"/>
    <x v="3"/>
    <x v="3"/>
    <m/>
    <m/>
    <x v="250"/>
  </r>
  <r>
    <x v="40"/>
    <s v="Соседи"/>
    <x v="3"/>
    <x v="1"/>
    <x v="23"/>
    <n v="705"/>
    <n v="89"/>
    <x v="251"/>
  </r>
  <r>
    <x v="40"/>
    <s v="Евроопт"/>
    <x v="3"/>
    <x v="0"/>
    <x v="22"/>
    <n v="1420"/>
    <n v="81"/>
    <x v="252"/>
  </r>
  <r>
    <x v="40"/>
    <s v="Виталюр"/>
    <x v="3"/>
    <x v="0"/>
    <x v="0"/>
    <n v="1320"/>
    <n v="5"/>
    <x v="182"/>
  </r>
  <r>
    <x v="40"/>
    <s v="Соседи"/>
    <x v="0"/>
    <x v="1"/>
    <x v="19"/>
    <n v="540"/>
    <n v="46"/>
    <x v="200"/>
  </r>
  <r>
    <x v="40"/>
    <s v="Виталюр"/>
    <x v="0"/>
    <x v="2"/>
    <x v="8"/>
    <n v="460"/>
    <n v="48"/>
    <x v="253"/>
  </r>
  <r>
    <x v="40"/>
    <s v="Соседи"/>
    <x v="0"/>
    <x v="0"/>
    <x v="10"/>
    <n v="1230"/>
    <n v="16"/>
    <x v="254"/>
  </r>
  <r>
    <x v="40"/>
    <s v="Виталюр"/>
    <x v="0"/>
    <x v="4"/>
    <x v="21"/>
    <n v="3205"/>
    <n v="30"/>
    <x v="255"/>
  </r>
  <r>
    <x v="40"/>
    <s v="Соседи"/>
    <x v="4"/>
    <x v="2"/>
    <x v="9"/>
    <n v="690"/>
    <n v="49"/>
    <x v="256"/>
  </r>
  <r>
    <x v="40"/>
    <s v="Евроопт"/>
    <x v="4"/>
    <x v="0"/>
    <x v="17"/>
    <n v="2400"/>
    <n v="11"/>
    <x v="257"/>
  </r>
  <r>
    <x v="40"/>
    <s v="Копеечка"/>
    <x v="4"/>
    <x v="4"/>
    <x v="11"/>
    <n v="2970"/>
    <n v="70"/>
    <x v="258"/>
  </r>
  <r>
    <x v="40"/>
    <s v="Евроопт"/>
    <x v="1"/>
    <x v="4"/>
    <x v="21"/>
    <n v="3205"/>
    <n v="97"/>
    <x v="259"/>
  </r>
  <r>
    <x v="40"/>
    <s v="Виталюр"/>
    <x v="5"/>
    <x v="1"/>
    <x v="23"/>
    <n v="705"/>
    <n v="90"/>
    <x v="85"/>
  </r>
  <r>
    <x v="40"/>
    <s v="Копеечка"/>
    <x v="5"/>
    <x v="2"/>
    <x v="2"/>
    <n v="325"/>
    <n v="37"/>
    <x v="260"/>
  </r>
  <r>
    <x v="40"/>
    <s v="Евроопт"/>
    <x v="5"/>
    <x v="4"/>
    <x v="13"/>
    <n v="1505"/>
    <n v="43"/>
    <x v="261"/>
  </r>
  <r>
    <x v="40"/>
    <s v="Евроопт"/>
    <x v="6"/>
    <x v="0"/>
    <x v="5"/>
    <n v="930"/>
    <n v="55"/>
    <x v="262"/>
  </r>
  <r>
    <x v="40"/>
    <s v="Копеечка"/>
    <x v="6"/>
    <x v="0"/>
    <x v="24"/>
    <n v="2540"/>
    <n v="82"/>
    <x v="263"/>
  </r>
  <r>
    <x v="40"/>
    <s v="Евроопт"/>
    <x v="6"/>
    <x v="4"/>
    <x v="14"/>
    <n v="1670"/>
    <n v="8"/>
    <x v="264"/>
  </r>
  <r>
    <x v="40"/>
    <s v="Виталюр"/>
    <x v="3"/>
    <x v="4"/>
    <x v="14"/>
    <n v="1670"/>
    <n v="37"/>
    <x v="265"/>
  </r>
  <r>
    <x v="40"/>
    <s v="Копеечка"/>
    <x v="0"/>
    <x v="2"/>
    <x v="2"/>
    <n v="325"/>
    <n v="89"/>
    <x v="266"/>
  </r>
  <r>
    <x v="40"/>
    <s v="Евроопт"/>
    <x v="1"/>
    <x v="1"/>
    <x v="18"/>
    <n v="650"/>
    <n v="68"/>
    <x v="267"/>
  </r>
  <r>
    <x v="41"/>
    <m/>
    <x v="2"/>
    <x v="3"/>
    <x v="3"/>
    <m/>
    <m/>
    <x v="268"/>
  </r>
  <r>
    <x v="42"/>
    <s v="Виталюр"/>
    <x v="3"/>
    <x v="1"/>
    <x v="19"/>
    <n v="540"/>
    <n v="80"/>
    <x v="20"/>
  </r>
  <r>
    <x v="42"/>
    <s v="Евроопт"/>
    <x v="3"/>
    <x v="2"/>
    <x v="4"/>
    <n v="450"/>
    <n v="54"/>
    <x v="269"/>
  </r>
  <r>
    <x v="42"/>
    <s v="Евроопт"/>
    <x v="0"/>
    <x v="1"/>
    <x v="1"/>
    <n v="1380"/>
    <n v="37"/>
    <x v="270"/>
  </r>
  <r>
    <x v="42"/>
    <s v="Евроопт"/>
    <x v="0"/>
    <x v="2"/>
    <x v="12"/>
    <n v="715"/>
    <n v="5"/>
    <x v="271"/>
  </r>
  <r>
    <x v="42"/>
    <s v="Копеечка"/>
    <x v="0"/>
    <x v="4"/>
    <x v="15"/>
    <n v="2460"/>
    <n v="36"/>
    <x v="272"/>
  </r>
  <r>
    <x v="42"/>
    <s v="Соседи"/>
    <x v="0"/>
    <x v="4"/>
    <x v="21"/>
    <n v="3205"/>
    <n v="15"/>
    <x v="273"/>
  </r>
  <r>
    <x v="42"/>
    <s v="Соседи"/>
    <x v="4"/>
    <x v="2"/>
    <x v="16"/>
    <n v="890"/>
    <n v="16"/>
    <x v="274"/>
  </r>
  <r>
    <x v="42"/>
    <s v="Виталюр"/>
    <x v="4"/>
    <x v="2"/>
    <x v="8"/>
    <n v="460"/>
    <n v="39"/>
    <x v="275"/>
  </r>
  <r>
    <x v="42"/>
    <s v="Соседи"/>
    <x v="5"/>
    <x v="2"/>
    <x v="16"/>
    <n v="890"/>
    <n v="84"/>
    <x v="186"/>
  </r>
  <r>
    <x v="42"/>
    <s v="Копеечка"/>
    <x v="5"/>
    <x v="0"/>
    <x v="22"/>
    <n v="1420"/>
    <n v="37"/>
    <x v="276"/>
  </r>
  <r>
    <x v="42"/>
    <s v="Соседи"/>
    <x v="6"/>
    <x v="1"/>
    <x v="6"/>
    <n v="640"/>
    <n v="19"/>
    <x v="277"/>
  </r>
  <r>
    <x v="42"/>
    <s v="Евроопт"/>
    <x v="6"/>
    <x v="2"/>
    <x v="8"/>
    <n v="460"/>
    <n v="7"/>
    <x v="278"/>
  </r>
  <r>
    <x v="42"/>
    <s v="Копеечка"/>
    <x v="6"/>
    <x v="0"/>
    <x v="5"/>
    <n v="930"/>
    <n v="6"/>
    <x v="279"/>
  </r>
  <r>
    <x v="42"/>
    <s v="Виталюр"/>
    <x v="6"/>
    <x v="0"/>
    <x v="0"/>
    <n v="1320"/>
    <n v="48"/>
    <x v="203"/>
  </r>
  <r>
    <x v="42"/>
    <s v="Виталюр"/>
    <x v="6"/>
    <x v="0"/>
    <x v="5"/>
    <n v="930"/>
    <n v="38"/>
    <x v="280"/>
  </r>
  <r>
    <x v="42"/>
    <s v="Виталюр"/>
    <x v="6"/>
    <x v="4"/>
    <x v="15"/>
    <n v="2460"/>
    <n v="34"/>
    <x v="281"/>
  </r>
  <r>
    <x v="42"/>
    <s v="Копеечка"/>
    <x v="3"/>
    <x v="4"/>
    <x v="15"/>
    <n v="2460"/>
    <n v="11"/>
    <x v="131"/>
  </r>
  <r>
    <x v="42"/>
    <s v="Соседи"/>
    <x v="1"/>
    <x v="1"/>
    <x v="19"/>
    <n v="540"/>
    <n v="97"/>
    <x v="282"/>
  </r>
  <r>
    <x v="43"/>
    <m/>
    <x v="2"/>
    <x v="3"/>
    <x v="3"/>
    <m/>
    <m/>
    <x v="283"/>
  </r>
  <r>
    <x v="44"/>
    <s v="Евроопт"/>
    <x v="3"/>
    <x v="1"/>
    <x v="1"/>
    <n v="1380"/>
    <n v="12"/>
    <x v="160"/>
  </r>
  <r>
    <x v="44"/>
    <s v="Виталюр"/>
    <x v="3"/>
    <x v="1"/>
    <x v="1"/>
    <n v="1380"/>
    <n v="39"/>
    <x v="197"/>
  </r>
  <r>
    <x v="44"/>
    <s v="Копеечка"/>
    <x v="0"/>
    <x v="2"/>
    <x v="9"/>
    <n v="690"/>
    <n v="26"/>
    <x v="275"/>
  </r>
  <r>
    <x v="44"/>
    <s v="Виталюр"/>
    <x v="0"/>
    <x v="4"/>
    <x v="15"/>
    <n v="2460"/>
    <n v="50"/>
    <x v="284"/>
  </r>
  <r>
    <x v="44"/>
    <s v="Виталюр"/>
    <x v="4"/>
    <x v="1"/>
    <x v="23"/>
    <n v="705"/>
    <n v="79"/>
    <x v="285"/>
  </r>
  <r>
    <x v="44"/>
    <s v="Копеечка"/>
    <x v="4"/>
    <x v="1"/>
    <x v="19"/>
    <n v="540"/>
    <n v="21"/>
    <x v="286"/>
  </r>
  <r>
    <x v="44"/>
    <s v="Копеечка"/>
    <x v="4"/>
    <x v="2"/>
    <x v="16"/>
    <n v="890"/>
    <n v="27"/>
    <x v="287"/>
  </r>
  <r>
    <x v="44"/>
    <s v="Соседи"/>
    <x v="4"/>
    <x v="0"/>
    <x v="5"/>
    <n v="930"/>
    <n v="79"/>
    <x v="288"/>
  </r>
  <r>
    <x v="44"/>
    <s v="Соседи"/>
    <x v="4"/>
    <x v="0"/>
    <x v="0"/>
    <n v="1320"/>
    <n v="97"/>
    <x v="289"/>
  </r>
  <r>
    <x v="44"/>
    <s v="Соседи"/>
    <x v="4"/>
    <x v="4"/>
    <x v="14"/>
    <n v="1670"/>
    <n v="93"/>
    <x v="290"/>
  </r>
  <r>
    <x v="44"/>
    <s v="Виталюр"/>
    <x v="1"/>
    <x v="2"/>
    <x v="2"/>
    <n v="325"/>
    <n v="43"/>
    <x v="291"/>
  </r>
  <r>
    <x v="44"/>
    <s v="Виталюр"/>
    <x v="1"/>
    <x v="0"/>
    <x v="24"/>
    <n v="2540"/>
    <n v="65"/>
    <x v="292"/>
  </r>
  <r>
    <x v="44"/>
    <s v="Евроопт"/>
    <x v="1"/>
    <x v="4"/>
    <x v="14"/>
    <n v="1670"/>
    <n v="99"/>
    <x v="293"/>
  </r>
  <r>
    <x v="44"/>
    <s v="Евроопт"/>
    <x v="5"/>
    <x v="1"/>
    <x v="6"/>
    <n v="640"/>
    <n v="20"/>
    <x v="294"/>
  </r>
  <r>
    <x v="44"/>
    <s v="Копеечка"/>
    <x v="5"/>
    <x v="4"/>
    <x v="15"/>
    <n v="2460"/>
    <n v="51"/>
    <x v="295"/>
  </r>
  <r>
    <x v="44"/>
    <s v="Виталюр"/>
    <x v="5"/>
    <x v="4"/>
    <x v="11"/>
    <n v="2970"/>
    <n v="48"/>
    <x v="296"/>
  </r>
  <r>
    <x v="44"/>
    <s v="Соседи"/>
    <x v="6"/>
    <x v="1"/>
    <x v="6"/>
    <n v="640"/>
    <n v="77"/>
    <x v="297"/>
  </r>
  <r>
    <x v="44"/>
    <s v="Виталюр"/>
    <x v="6"/>
    <x v="2"/>
    <x v="12"/>
    <n v="715"/>
    <n v="91"/>
    <x v="298"/>
  </r>
  <r>
    <x v="44"/>
    <s v="Виталюр"/>
    <x v="6"/>
    <x v="4"/>
    <x v="21"/>
    <n v="3205"/>
    <n v="85"/>
    <x v="299"/>
  </r>
  <r>
    <x v="44"/>
    <s v="Копеечка"/>
    <x v="1"/>
    <x v="0"/>
    <x v="24"/>
    <n v="2540"/>
    <n v="37"/>
    <x v="300"/>
  </r>
  <r>
    <x v="45"/>
    <m/>
    <x v="2"/>
    <x v="3"/>
    <x v="3"/>
    <m/>
    <m/>
    <x v="301"/>
  </r>
  <r>
    <x v="46"/>
    <s v="Виталюр"/>
    <x v="3"/>
    <x v="1"/>
    <x v="18"/>
    <n v="650"/>
    <n v="25"/>
    <x v="45"/>
  </r>
  <r>
    <x v="46"/>
    <s v="Копеечка"/>
    <x v="3"/>
    <x v="0"/>
    <x v="5"/>
    <n v="930"/>
    <n v="39"/>
    <x v="302"/>
  </r>
  <r>
    <x v="46"/>
    <s v="Соседи"/>
    <x v="0"/>
    <x v="1"/>
    <x v="6"/>
    <n v="640"/>
    <n v="11"/>
    <x v="303"/>
  </r>
  <r>
    <x v="46"/>
    <s v="Виталюр"/>
    <x v="0"/>
    <x v="0"/>
    <x v="24"/>
    <n v="2540"/>
    <n v="99"/>
    <x v="304"/>
  </r>
  <r>
    <x v="46"/>
    <s v="Копеечка"/>
    <x v="0"/>
    <x v="0"/>
    <x v="22"/>
    <n v="1420"/>
    <n v="79"/>
    <x v="305"/>
  </r>
  <r>
    <x v="46"/>
    <s v="Виталюр"/>
    <x v="4"/>
    <x v="2"/>
    <x v="2"/>
    <n v="325"/>
    <n v="62"/>
    <x v="306"/>
  </r>
  <r>
    <x v="46"/>
    <s v="Евроопт"/>
    <x v="4"/>
    <x v="0"/>
    <x v="0"/>
    <n v="1320"/>
    <n v="96"/>
    <x v="107"/>
  </r>
  <r>
    <x v="46"/>
    <s v="Виталюр"/>
    <x v="1"/>
    <x v="1"/>
    <x v="1"/>
    <n v="1380"/>
    <n v="76"/>
    <x v="307"/>
  </r>
  <r>
    <x v="46"/>
    <s v="Виталюр"/>
    <x v="1"/>
    <x v="2"/>
    <x v="8"/>
    <n v="460"/>
    <n v="22"/>
    <x v="308"/>
  </r>
  <r>
    <x v="46"/>
    <s v="Копеечка"/>
    <x v="1"/>
    <x v="0"/>
    <x v="22"/>
    <n v="1420"/>
    <n v="11"/>
    <x v="309"/>
  </r>
  <r>
    <x v="46"/>
    <s v="Копеечка"/>
    <x v="1"/>
    <x v="0"/>
    <x v="22"/>
    <n v="1420"/>
    <n v="10"/>
    <x v="310"/>
  </r>
  <r>
    <x v="46"/>
    <s v="Копеечка"/>
    <x v="1"/>
    <x v="4"/>
    <x v="21"/>
    <n v="3205"/>
    <n v="22"/>
    <x v="311"/>
  </r>
  <r>
    <x v="46"/>
    <s v="Евроопт"/>
    <x v="5"/>
    <x v="1"/>
    <x v="20"/>
    <n v="650"/>
    <n v="100"/>
    <x v="2"/>
  </r>
  <r>
    <x v="46"/>
    <s v="Евроопт"/>
    <x v="5"/>
    <x v="0"/>
    <x v="0"/>
    <n v="1320"/>
    <n v="97"/>
    <x v="289"/>
  </r>
  <r>
    <x v="46"/>
    <s v="Соседи"/>
    <x v="5"/>
    <x v="0"/>
    <x v="17"/>
    <n v="2400"/>
    <n v="67"/>
    <x v="59"/>
  </r>
  <r>
    <x v="46"/>
    <s v="Виталюр"/>
    <x v="5"/>
    <x v="4"/>
    <x v="11"/>
    <n v="2970"/>
    <n v="60"/>
    <x v="312"/>
  </r>
  <r>
    <x v="46"/>
    <s v="Евроопт"/>
    <x v="6"/>
    <x v="1"/>
    <x v="6"/>
    <n v="640"/>
    <n v="31"/>
    <x v="313"/>
  </r>
  <r>
    <x v="46"/>
    <s v="Соседи"/>
    <x v="3"/>
    <x v="0"/>
    <x v="24"/>
    <n v="2540"/>
    <n v="88"/>
    <x v="314"/>
  </r>
  <r>
    <x v="46"/>
    <s v="Виталюр"/>
    <x v="1"/>
    <x v="4"/>
    <x v="11"/>
    <n v="2970"/>
    <n v="29"/>
    <x v="315"/>
  </r>
  <r>
    <x v="47"/>
    <m/>
    <x v="2"/>
    <x v="3"/>
    <x v="3"/>
    <m/>
    <m/>
    <x v="316"/>
  </r>
  <r>
    <x v="48"/>
    <s v="Копеечка"/>
    <x v="3"/>
    <x v="1"/>
    <x v="18"/>
    <n v="650"/>
    <n v="69"/>
    <x v="317"/>
  </r>
  <r>
    <x v="48"/>
    <s v="Соседи"/>
    <x v="3"/>
    <x v="1"/>
    <x v="23"/>
    <n v="705"/>
    <n v="67"/>
    <x v="318"/>
  </r>
  <r>
    <x v="48"/>
    <s v="Евроопт"/>
    <x v="3"/>
    <x v="2"/>
    <x v="12"/>
    <n v="715"/>
    <n v="56"/>
    <x v="319"/>
  </r>
  <r>
    <x v="48"/>
    <s v="Копеечка"/>
    <x v="3"/>
    <x v="4"/>
    <x v="21"/>
    <n v="3205"/>
    <n v="21"/>
    <x v="320"/>
  </r>
  <r>
    <x v="48"/>
    <s v="Соседи"/>
    <x v="0"/>
    <x v="1"/>
    <x v="1"/>
    <n v="1380"/>
    <n v="42"/>
    <x v="69"/>
  </r>
  <r>
    <x v="48"/>
    <s v="Евроопт"/>
    <x v="0"/>
    <x v="2"/>
    <x v="4"/>
    <n v="450"/>
    <n v="97"/>
    <x v="321"/>
  </r>
  <r>
    <x v="48"/>
    <s v="Виталюр"/>
    <x v="0"/>
    <x v="0"/>
    <x v="24"/>
    <n v="2540"/>
    <n v="91"/>
    <x v="322"/>
  </r>
  <r>
    <x v="48"/>
    <s v="Соседи"/>
    <x v="4"/>
    <x v="2"/>
    <x v="9"/>
    <n v="690"/>
    <n v="9"/>
    <x v="24"/>
  </r>
  <r>
    <x v="48"/>
    <s v="Соседи"/>
    <x v="4"/>
    <x v="4"/>
    <x v="15"/>
    <n v="2460"/>
    <n v="75"/>
    <x v="323"/>
  </r>
  <r>
    <x v="48"/>
    <s v="Виталюр"/>
    <x v="1"/>
    <x v="2"/>
    <x v="16"/>
    <n v="890"/>
    <n v="18"/>
    <x v="324"/>
  </r>
  <r>
    <x v="48"/>
    <s v="Евроопт"/>
    <x v="6"/>
    <x v="2"/>
    <x v="4"/>
    <n v="450"/>
    <n v="37"/>
    <x v="325"/>
  </r>
  <r>
    <x v="48"/>
    <s v="Виталюр"/>
    <x v="6"/>
    <x v="0"/>
    <x v="10"/>
    <n v="1230"/>
    <n v="99"/>
    <x v="326"/>
  </r>
  <r>
    <x v="48"/>
    <s v="Виталюр"/>
    <x v="5"/>
    <x v="1"/>
    <x v="18"/>
    <n v="650"/>
    <n v="21"/>
    <x v="327"/>
  </r>
  <r>
    <x v="49"/>
    <m/>
    <x v="2"/>
    <x v="3"/>
    <x v="3"/>
    <m/>
    <m/>
    <x v="328"/>
  </r>
  <r>
    <x v="50"/>
    <s v="Копеечка"/>
    <x v="3"/>
    <x v="1"/>
    <x v="1"/>
    <n v="1380"/>
    <n v="63"/>
    <x v="329"/>
  </r>
  <r>
    <x v="50"/>
    <s v="Копеечка"/>
    <x v="3"/>
    <x v="1"/>
    <x v="18"/>
    <n v="650"/>
    <n v="21"/>
    <x v="327"/>
  </r>
  <r>
    <x v="50"/>
    <s v="Соседи"/>
    <x v="3"/>
    <x v="0"/>
    <x v="17"/>
    <n v="2400"/>
    <n v="70"/>
    <x v="330"/>
  </r>
  <r>
    <x v="50"/>
    <s v="Соседи"/>
    <x v="3"/>
    <x v="0"/>
    <x v="24"/>
    <n v="2540"/>
    <n v="89"/>
    <x v="331"/>
  </r>
  <r>
    <x v="50"/>
    <s v="Копеечка"/>
    <x v="3"/>
    <x v="4"/>
    <x v="13"/>
    <n v="1505"/>
    <n v="53"/>
    <x v="235"/>
  </r>
  <r>
    <x v="50"/>
    <s v="Соседи"/>
    <x v="0"/>
    <x v="1"/>
    <x v="23"/>
    <n v="705"/>
    <n v="49"/>
    <x v="332"/>
  </r>
  <r>
    <x v="50"/>
    <s v="Копеечка"/>
    <x v="4"/>
    <x v="1"/>
    <x v="19"/>
    <n v="540"/>
    <n v="27"/>
    <x v="333"/>
  </r>
  <r>
    <x v="50"/>
    <s v="Виталюр"/>
    <x v="4"/>
    <x v="0"/>
    <x v="5"/>
    <n v="930"/>
    <n v="46"/>
    <x v="224"/>
  </r>
  <r>
    <x v="50"/>
    <s v="Копеечка"/>
    <x v="4"/>
    <x v="4"/>
    <x v="13"/>
    <n v="1505"/>
    <n v="39"/>
    <x v="334"/>
  </r>
  <r>
    <x v="50"/>
    <s v="Копеечка"/>
    <x v="1"/>
    <x v="2"/>
    <x v="2"/>
    <n v="325"/>
    <n v="98"/>
    <x v="163"/>
  </r>
  <r>
    <x v="50"/>
    <s v="Соседи"/>
    <x v="1"/>
    <x v="4"/>
    <x v="11"/>
    <n v="2970"/>
    <n v="82"/>
    <x v="335"/>
  </r>
  <r>
    <x v="50"/>
    <s v="Соседи"/>
    <x v="1"/>
    <x v="4"/>
    <x v="7"/>
    <n v="1760"/>
    <n v="51"/>
    <x v="336"/>
  </r>
  <r>
    <x v="50"/>
    <s v="Виталюр"/>
    <x v="5"/>
    <x v="2"/>
    <x v="2"/>
    <n v="325"/>
    <n v="48"/>
    <x v="337"/>
  </r>
  <r>
    <x v="50"/>
    <s v="Евроопт"/>
    <x v="6"/>
    <x v="1"/>
    <x v="1"/>
    <n v="1380"/>
    <n v="84"/>
    <x v="338"/>
  </r>
  <r>
    <x v="50"/>
    <s v="Копеечка"/>
    <x v="6"/>
    <x v="4"/>
    <x v="14"/>
    <n v="1670"/>
    <n v="67"/>
    <x v="339"/>
  </r>
  <r>
    <x v="50"/>
    <s v="Копеечка"/>
    <x v="6"/>
    <x v="4"/>
    <x v="21"/>
    <n v="3205"/>
    <n v="38"/>
    <x v="201"/>
  </r>
  <r>
    <x v="50"/>
    <s v="Копеечка"/>
    <x v="5"/>
    <x v="4"/>
    <x v="21"/>
    <n v="3205"/>
    <n v="27"/>
    <x v="340"/>
  </r>
  <r>
    <x v="51"/>
    <m/>
    <x v="2"/>
    <x v="3"/>
    <x v="3"/>
    <m/>
    <m/>
    <x v="341"/>
  </r>
  <r>
    <x v="52"/>
    <s v="Копеечка"/>
    <x v="3"/>
    <x v="2"/>
    <x v="2"/>
    <n v="325"/>
    <n v="12"/>
    <x v="342"/>
  </r>
  <r>
    <x v="52"/>
    <s v="Копеечка"/>
    <x v="3"/>
    <x v="4"/>
    <x v="21"/>
    <n v="3205"/>
    <n v="69"/>
    <x v="343"/>
  </r>
  <r>
    <x v="52"/>
    <s v="Соседи"/>
    <x v="4"/>
    <x v="0"/>
    <x v="0"/>
    <n v="1320"/>
    <n v="60"/>
    <x v="30"/>
  </r>
  <r>
    <x v="52"/>
    <s v="Виталюр"/>
    <x v="4"/>
    <x v="4"/>
    <x v="11"/>
    <n v="2970"/>
    <n v="76"/>
    <x v="344"/>
  </r>
  <r>
    <x v="52"/>
    <s v="Соседи"/>
    <x v="1"/>
    <x v="2"/>
    <x v="8"/>
    <n v="460"/>
    <n v="24"/>
    <x v="51"/>
  </r>
  <r>
    <x v="52"/>
    <s v="Соседи"/>
    <x v="1"/>
    <x v="0"/>
    <x v="5"/>
    <n v="930"/>
    <n v="92"/>
    <x v="345"/>
  </r>
  <r>
    <x v="52"/>
    <s v="Евроопт"/>
    <x v="1"/>
    <x v="4"/>
    <x v="7"/>
    <n v="1760"/>
    <n v="88"/>
    <x v="346"/>
  </r>
  <r>
    <x v="52"/>
    <s v="Виталюр"/>
    <x v="5"/>
    <x v="0"/>
    <x v="22"/>
    <n v="1420"/>
    <n v="63"/>
    <x v="347"/>
  </r>
  <r>
    <x v="52"/>
    <s v="Евроопт"/>
    <x v="5"/>
    <x v="4"/>
    <x v="11"/>
    <n v="2970"/>
    <n v="79"/>
    <x v="348"/>
  </r>
  <r>
    <x v="52"/>
    <s v="Копеечка"/>
    <x v="6"/>
    <x v="1"/>
    <x v="6"/>
    <n v="640"/>
    <n v="57"/>
    <x v="349"/>
  </r>
  <r>
    <x v="52"/>
    <s v="Соседи"/>
    <x v="6"/>
    <x v="2"/>
    <x v="12"/>
    <n v="715"/>
    <n v="32"/>
    <x v="350"/>
  </r>
  <r>
    <x v="52"/>
    <s v="Соседи"/>
    <x v="6"/>
    <x v="0"/>
    <x v="0"/>
    <n v="1320"/>
    <n v="43"/>
    <x v="351"/>
  </r>
  <r>
    <x v="52"/>
    <s v="Евроопт"/>
    <x v="6"/>
    <x v="0"/>
    <x v="22"/>
    <n v="1420"/>
    <n v="54"/>
    <x v="88"/>
  </r>
  <r>
    <x v="52"/>
    <s v="Евроопт"/>
    <x v="3"/>
    <x v="0"/>
    <x v="22"/>
    <n v="1420"/>
    <n v="31"/>
    <x v="352"/>
  </r>
  <r>
    <x v="52"/>
    <s v="Копеечка"/>
    <x v="0"/>
    <x v="2"/>
    <x v="12"/>
    <n v="715"/>
    <n v="60"/>
    <x v="353"/>
  </r>
  <r>
    <x v="52"/>
    <s v="Соседи"/>
    <x v="5"/>
    <x v="4"/>
    <x v="11"/>
    <n v="2970"/>
    <n v="37"/>
    <x v="354"/>
  </r>
  <r>
    <x v="53"/>
    <m/>
    <x v="2"/>
    <x v="3"/>
    <x v="3"/>
    <m/>
    <m/>
    <x v="355"/>
  </r>
  <r>
    <x v="54"/>
    <s v="Виталюр"/>
    <x v="3"/>
    <x v="2"/>
    <x v="8"/>
    <n v="460"/>
    <n v="90"/>
    <x v="356"/>
  </r>
  <r>
    <x v="54"/>
    <s v="Соседи"/>
    <x v="0"/>
    <x v="2"/>
    <x v="2"/>
    <n v="325"/>
    <n v="49"/>
    <x v="357"/>
  </r>
  <r>
    <x v="54"/>
    <s v="Соседи"/>
    <x v="0"/>
    <x v="0"/>
    <x v="24"/>
    <n v="2540"/>
    <n v="29"/>
    <x v="358"/>
  </r>
  <r>
    <x v="54"/>
    <s v="Виталюр"/>
    <x v="4"/>
    <x v="1"/>
    <x v="20"/>
    <n v="650"/>
    <n v="75"/>
    <x v="359"/>
  </r>
  <r>
    <x v="54"/>
    <s v="Виталюр"/>
    <x v="4"/>
    <x v="1"/>
    <x v="20"/>
    <n v="650"/>
    <n v="33"/>
    <x v="360"/>
  </r>
  <r>
    <x v="54"/>
    <s v="Соседи"/>
    <x v="4"/>
    <x v="1"/>
    <x v="1"/>
    <n v="1380"/>
    <n v="6"/>
    <x v="244"/>
  </r>
  <r>
    <x v="54"/>
    <s v="Виталюр"/>
    <x v="4"/>
    <x v="2"/>
    <x v="8"/>
    <n v="460"/>
    <n v="41"/>
    <x v="361"/>
  </r>
  <r>
    <x v="54"/>
    <s v="Виталюр"/>
    <x v="4"/>
    <x v="4"/>
    <x v="7"/>
    <n v="1760"/>
    <n v="50"/>
    <x v="362"/>
  </r>
  <r>
    <x v="54"/>
    <s v="Виталюр"/>
    <x v="4"/>
    <x v="4"/>
    <x v="7"/>
    <n v="1760"/>
    <n v="41"/>
    <x v="363"/>
  </r>
  <r>
    <x v="54"/>
    <s v="Виталюр"/>
    <x v="1"/>
    <x v="1"/>
    <x v="19"/>
    <n v="540"/>
    <n v="48"/>
    <x v="364"/>
  </r>
  <r>
    <x v="54"/>
    <s v="Соседи"/>
    <x v="1"/>
    <x v="2"/>
    <x v="2"/>
    <n v="325"/>
    <n v="12"/>
    <x v="342"/>
  </r>
  <r>
    <x v="54"/>
    <s v="Копеечка"/>
    <x v="5"/>
    <x v="2"/>
    <x v="4"/>
    <n v="450"/>
    <n v="69"/>
    <x v="17"/>
  </r>
  <r>
    <x v="54"/>
    <s v="Соседи"/>
    <x v="5"/>
    <x v="2"/>
    <x v="16"/>
    <n v="890"/>
    <n v="36"/>
    <x v="365"/>
  </r>
  <r>
    <x v="54"/>
    <s v="Соседи"/>
    <x v="6"/>
    <x v="0"/>
    <x v="22"/>
    <n v="1420"/>
    <n v="95"/>
    <x v="366"/>
  </r>
  <r>
    <x v="54"/>
    <s v="Соседи"/>
    <x v="5"/>
    <x v="4"/>
    <x v="11"/>
    <n v="2970"/>
    <n v="55"/>
    <x v="123"/>
  </r>
  <r>
    <x v="55"/>
    <m/>
    <x v="2"/>
    <x v="3"/>
    <x v="3"/>
    <m/>
    <m/>
    <x v="367"/>
  </r>
  <r>
    <x v="56"/>
    <s v="Соседи"/>
    <x v="3"/>
    <x v="2"/>
    <x v="2"/>
    <n v="325"/>
    <n v="41"/>
    <x v="368"/>
  </r>
  <r>
    <x v="56"/>
    <s v="Соседи"/>
    <x v="3"/>
    <x v="0"/>
    <x v="10"/>
    <n v="1230"/>
    <n v="40"/>
    <x v="369"/>
  </r>
  <r>
    <x v="56"/>
    <s v="Евроопт"/>
    <x v="0"/>
    <x v="1"/>
    <x v="23"/>
    <n v="705"/>
    <n v="23"/>
    <x v="370"/>
  </r>
  <r>
    <x v="56"/>
    <s v="Виталюр"/>
    <x v="0"/>
    <x v="1"/>
    <x v="19"/>
    <n v="540"/>
    <n v="46"/>
    <x v="200"/>
  </r>
  <r>
    <x v="56"/>
    <s v="Виталюр"/>
    <x v="0"/>
    <x v="2"/>
    <x v="8"/>
    <n v="460"/>
    <n v="21"/>
    <x v="75"/>
  </r>
  <r>
    <x v="56"/>
    <s v="Евроопт"/>
    <x v="0"/>
    <x v="4"/>
    <x v="21"/>
    <n v="3205"/>
    <n v="46"/>
    <x v="371"/>
  </r>
  <r>
    <x v="56"/>
    <s v="Евроопт"/>
    <x v="4"/>
    <x v="0"/>
    <x v="5"/>
    <n v="930"/>
    <n v="40"/>
    <x v="372"/>
  </r>
  <r>
    <x v="56"/>
    <s v="Евроопт"/>
    <x v="4"/>
    <x v="0"/>
    <x v="10"/>
    <n v="1230"/>
    <n v="81"/>
    <x v="373"/>
  </r>
  <r>
    <x v="56"/>
    <s v="Виталюр"/>
    <x v="4"/>
    <x v="4"/>
    <x v="13"/>
    <n v="1505"/>
    <n v="31"/>
    <x v="374"/>
  </r>
  <r>
    <x v="56"/>
    <s v="Виталюр"/>
    <x v="1"/>
    <x v="1"/>
    <x v="20"/>
    <n v="650"/>
    <n v="13"/>
    <x v="375"/>
  </r>
  <r>
    <x v="56"/>
    <s v="Копеечка"/>
    <x v="1"/>
    <x v="2"/>
    <x v="2"/>
    <n v="325"/>
    <n v="80"/>
    <x v="376"/>
  </r>
  <r>
    <x v="56"/>
    <s v="Виталюр"/>
    <x v="1"/>
    <x v="4"/>
    <x v="7"/>
    <n v="1760"/>
    <n v="46"/>
    <x v="377"/>
  </r>
  <r>
    <x v="56"/>
    <s v="Соседи"/>
    <x v="5"/>
    <x v="0"/>
    <x v="5"/>
    <n v="930"/>
    <n v="18"/>
    <x v="378"/>
  </r>
  <r>
    <x v="56"/>
    <s v="Соседи"/>
    <x v="5"/>
    <x v="4"/>
    <x v="14"/>
    <n v="1670"/>
    <n v="97"/>
    <x v="122"/>
  </r>
  <r>
    <x v="56"/>
    <s v="Копеечка"/>
    <x v="5"/>
    <x v="4"/>
    <x v="11"/>
    <n v="2970"/>
    <n v="9"/>
    <x v="379"/>
  </r>
  <r>
    <x v="56"/>
    <s v="Виталюр"/>
    <x v="5"/>
    <x v="4"/>
    <x v="15"/>
    <n v="2460"/>
    <n v="78"/>
    <x v="380"/>
  </r>
  <r>
    <x v="56"/>
    <s v="Евроопт"/>
    <x v="6"/>
    <x v="0"/>
    <x v="5"/>
    <n v="930"/>
    <n v="100"/>
    <x v="381"/>
  </r>
  <r>
    <x v="56"/>
    <s v="Соседи"/>
    <x v="6"/>
    <x v="1"/>
    <x v="19"/>
    <n v="540"/>
    <n v="98"/>
    <x v="136"/>
  </r>
  <r>
    <x v="56"/>
    <s v="Соседи"/>
    <x v="6"/>
    <x v="1"/>
    <x v="23"/>
    <n v="705"/>
    <n v="19"/>
    <x v="382"/>
  </r>
  <r>
    <x v="56"/>
    <s v="Соседи"/>
    <x v="6"/>
    <x v="2"/>
    <x v="9"/>
    <n v="690"/>
    <n v="27"/>
    <x v="383"/>
  </r>
  <r>
    <x v="56"/>
    <s v="Евроопт"/>
    <x v="6"/>
    <x v="0"/>
    <x v="22"/>
    <n v="1420"/>
    <n v="74"/>
    <x v="384"/>
  </r>
  <r>
    <x v="56"/>
    <s v="Евроопт"/>
    <x v="6"/>
    <x v="0"/>
    <x v="10"/>
    <n v="1230"/>
    <n v="25"/>
    <x v="385"/>
  </r>
  <r>
    <x v="56"/>
    <s v="Копеечка"/>
    <x v="6"/>
    <x v="4"/>
    <x v="7"/>
    <n v="1760"/>
    <n v="99"/>
    <x v="386"/>
  </r>
  <r>
    <x v="56"/>
    <s v="Копеечка"/>
    <x v="6"/>
    <x v="4"/>
    <x v="21"/>
    <n v="3205"/>
    <n v="53"/>
    <x v="192"/>
  </r>
  <r>
    <x v="56"/>
    <s v="Евроопт"/>
    <x v="3"/>
    <x v="2"/>
    <x v="4"/>
    <n v="450"/>
    <n v="48"/>
    <x v="387"/>
  </r>
  <r>
    <x v="56"/>
    <s v="Виталюр"/>
    <x v="3"/>
    <x v="0"/>
    <x v="24"/>
    <n v="2540"/>
    <n v="96"/>
    <x v="388"/>
  </r>
  <r>
    <x v="57"/>
    <m/>
    <x v="2"/>
    <x v="3"/>
    <x v="3"/>
    <m/>
    <m/>
    <x v="389"/>
  </r>
  <r>
    <x v="58"/>
    <s v="Копеечка"/>
    <x v="3"/>
    <x v="1"/>
    <x v="1"/>
    <n v="1380"/>
    <n v="61"/>
    <x v="390"/>
  </r>
  <r>
    <x v="58"/>
    <s v="Соседи"/>
    <x v="0"/>
    <x v="1"/>
    <x v="20"/>
    <n v="650"/>
    <n v="97"/>
    <x v="391"/>
  </r>
  <r>
    <x v="58"/>
    <s v="Соседи"/>
    <x v="0"/>
    <x v="2"/>
    <x v="2"/>
    <n v="325"/>
    <n v="100"/>
    <x v="392"/>
  </r>
  <r>
    <x v="58"/>
    <s v="Копеечка"/>
    <x v="0"/>
    <x v="2"/>
    <x v="9"/>
    <n v="690"/>
    <n v="68"/>
    <x v="180"/>
  </r>
  <r>
    <x v="58"/>
    <s v="Копеечка"/>
    <x v="0"/>
    <x v="2"/>
    <x v="4"/>
    <n v="450"/>
    <n v="79"/>
    <x v="393"/>
  </r>
  <r>
    <x v="58"/>
    <s v="Копеечка"/>
    <x v="0"/>
    <x v="4"/>
    <x v="14"/>
    <n v="1670"/>
    <n v="96"/>
    <x v="394"/>
  </r>
  <r>
    <x v="58"/>
    <s v="Соседи"/>
    <x v="4"/>
    <x v="1"/>
    <x v="18"/>
    <n v="650"/>
    <n v="64"/>
    <x v="15"/>
  </r>
  <r>
    <x v="58"/>
    <s v="Копеечка"/>
    <x v="4"/>
    <x v="2"/>
    <x v="12"/>
    <n v="715"/>
    <n v="51"/>
    <x v="395"/>
  </r>
  <r>
    <x v="58"/>
    <s v="Евроопт"/>
    <x v="4"/>
    <x v="4"/>
    <x v="14"/>
    <n v="1670"/>
    <n v="77"/>
    <x v="396"/>
  </r>
  <r>
    <x v="58"/>
    <s v="Евроопт"/>
    <x v="1"/>
    <x v="2"/>
    <x v="16"/>
    <n v="890"/>
    <n v="22"/>
    <x v="397"/>
  </r>
  <r>
    <x v="58"/>
    <s v="Соседи"/>
    <x v="1"/>
    <x v="2"/>
    <x v="12"/>
    <n v="715"/>
    <n v="8"/>
    <x v="398"/>
  </r>
  <r>
    <x v="58"/>
    <s v="Евроопт"/>
    <x v="1"/>
    <x v="2"/>
    <x v="4"/>
    <n v="450"/>
    <n v="12"/>
    <x v="148"/>
  </r>
  <r>
    <x v="58"/>
    <s v="Виталюр"/>
    <x v="1"/>
    <x v="4"/>
    <x v="7"/>
    <n v="1760"/>
    <n v="49"/>
    <x v="399"/>
  </r>
  <r>
    <x v="58"/>
    <s v="Виталюр"/>
    <x v="1"/>
    <x v="4"/>
    <x v="7"/>
    <n v="1760"/>
    <n v="99"/>
    <x v="386"/>
  </r>
  <r>
    <x v="58"/>
    <s v="Копеечка"/>
    <x v="1"/>
    <x v="4"/>
    <x v="13"/>
    <n v="1505"/>
    <n v="96"/>
    <x v="400"/>
  </r>
  <r>
    <x v="58"/>
    <s v="Виталюр"/>
    <x v="5"/>
    <x v="1"/>
    <x v="6"/>
    <n v="640"/>
    <n v="25"/>
    <x v="401"/>
  </r>
  <r>
    <x v="58"/>
    <s v="Соседи"/>
    <x v="5"/>
    <x v="2"/>
    <x v="4"/>
    <n v="450"/>
    <n v="12"/>
    <x v="148"/>
  </r>
  <r>
    <x v="58"/>
    <s v="Копеечка"/>
    <x v="5"/>
    <x v="2"/>
    <x v="8"/>
    <n v="460"/>
    <n v="89"/>
    <x v="402"/>
  </r>
  <r>
    <x v="58"/>
    <s v="Евроопт"/>
    <x v="5"/>
    <x v="0"/>
    <x v="0"/>
    <n v="1320"/>
    <n v="11"/>
    <x v="84"/>
  </r>
  <r>
    <x v="58"/>
    <s v="Виталюр"/>
    <x v="6"/>
    <x v="1"/>
    <x v="1"/>
    <n v="1380"/>
    <n v="31"/>
    <x v="224"/>
  </r>
  <r>
    <x v="58"/>
    <s v="Евроопт"/>
    <x v="6"/>
    <x v="1"/>
    <x v="1"/>
    <n v="1380"/>
    <n v="92"/>
    <x v="403"/>
  </r>
  <r>
    <x v="59"/>
    <m/>
    <x v="2"/>
    <x v="3"/>
    <x v="3"/>
    <m/>
    <m/>
    <x v="404"/>
  </r>
  <r>
    <x v="60"/>
    <s v="Соседи"/>
    <x v="3"/>
    <x v="1"/>
    <x v="19"/>
    <n v="540"/>
    <n v="21"/>
    <x v="286"/>
  </r>
  <r>
    <x v="60"/>
    <s v="Соседи"/>
    <x v="3"/>
    <x v="1"/>
    <x v="1"/>
    <n v="1380"/>
    <n v="70"/>
    <x v="405"/>
  </r>
  <r>
    <x v="60"/>
    <s v="Виталюр"/>
    <x v="3"/>
    <x v="2"/>
    <x v="12"/>
    <n v="715"/>
    <n v="48"/>
    <x v="406"/>
  </r>
  <r>
    <x v="60"/>
    <s v="Соседи"/>
    <x v="0"/>
    <x v="1"/>
    <x v="18"/>
    <n v="650"/>
    <n v="49"/>
    <x v="163"/>
  </r>
  <r>
    <x v="60"/>
    <s v="Евроопт"/>
    <x v="0"/>
    <x v="2"/>
    <x v="16"/>
    <n v="890"/>
    <n v="5"/>
    <x v="407"/>
  </r>
  <r>
    <x v="60"/>
    <s v="Евроопт"/>
    <x v="0"/>
    <x v="2"/>
    <x v="8"/>
    <n v="460"/>
    <n v="71"/>
    <x v="408"/>
  </r>
  <r>
    <x v="60"/>
    <s v="Евроопт"/>
    <x v="0"/>
    <x v="2"/>
    <x v="12"/>
    <n v="715"/>
    <n v="59"/>
    <x v="409"/>
  </r>
  <r>
    <x v="60"/>
    <s v="Евроопт"/>
    <x v="0"/>
    <x v="0"/>
    <x v="17"/>
    <n v="2400"/>
    <n v="57"/>
    <x v="410"/>
  </r>
  <r>
    <x v="60"/>
    <s v="Евроопт"/>
    <x v="0"/>
    <x v="0"/>
    <x v="22"/>
    <n v="1420"/>
    <n v="53"/>
    <x v="411"/>
  </r>
  <r>
    <x v="60"/>
    <s v="Евроопт"/>
    <x v="1"/>
    <x v="1"/>
    <x v="19"/>
    <n v="540"/>
    <n v="5"/>
    <x v="412"/>
  </r>
  <r>
    <x v="60"/>
    <s v="Евроопт"/>
    <x v="1"/>
    <x v="0"/>
    <x v="0"/>
    <n v="1320"/>
    <n v="36"/>
    <x v="413"/>
  </r>
  <r>
    <x v="60"/>
    <s v="Виталюр"/>
    <x v="1"/>
    <x v="4"/>
    <x v="11"/>
    <n v="2970"/>
    <n v="15"/>
    <x v="414"/>
  </r>
  <r>
    <x v="60"/>
    <s v="Соседи"/>
    <x v="5"/>
    <x v="1"/>
    <x v="6"/>
    <n v="640"/>
    <n v="57"/>
    <x v="349"/>
  </r>
  <r>
    <x v="60"/>
    <s v="Копеечка"/>
    <x v="5"/>
    <x v="2"/>
    <x v="2"/>
    <n v="325"/>
    <n v="21"/>
    <x v="25"/>
  </r>
  <r>
    <x v="60"/>
    <s v="Копеечка"/>
    <x v="5"/>
    <x v="4"/>
    <x v="14"/>
    <n v="1670"/>
    <n v="70"/>
    <x v="102"/>
  </r>
  <r>
    <x v="60"/>
    <s v="Евроопт"/>
    <x v="5"/>
    <x v="4"/>
    <x v="15"/>
    <n v="2460"/>
    <n v="45"/>
    <x v="415"/>
  </r>
  <r>
    <x v="60"/>
    <s v="Виталюр"/>
    <x v="6"/>
    <x v="1"/>
    <x v="23"/>
    <n v="705"/>
    <n v="51"/>
    <x v="416"/>
  </r>
  <r>
    <x v="60"/>
    <s v="Евроопт"/>
    <x v="6"/>
    <x v="1"/>
    <x v="23"/>
    <n v="705"/>
    <n v="59"/>
    <x v="417"/>
  </r>
  <r>
    <x v="60"/>
    <s v="Виталюр"/>
    <x v="6"/>
    <x v="2"/>
    <x v="4"/>
    <n v="450"/>
    <n v="55"/>
    <x v="418"/>
  </r>
  <r>
    <x v="60"/>
    <s v="Соседи"/>
    <x v="6"/>
    <x v="0"/>
    <x v="24"/>
    <n v="2540"/>
    <n v="93"/>
    <x v="419"/>
  </r>
  <r>
    <x v="61"/>
    <m/>
    <x v="2"/>
    <x v="3"/>
    <x v="3"/>
    <m/>
    <m/>
    <x v="420"/>
  </r>
  <r>
    <x v="62"/>
    <s v="Копеечка"/>
    <x v="3"/>
    <x v="1"/>
    <x v="18"/>
    <n v="650"/>
    <n v="34"/>
    <x v="199"/>
  </r>
  <r>
    <x v="62"/>
    <s v="Копеечка"/>
    <x v="3"/>
    <x v="2"/>
    <x v="4"/>
    <n v="450"/>
    <n v="15"/>
    <x v="421"/>
  </r>
  <r>
    <x v="62"/>
    <s v="Соседи"/>
    <x v="3"/>
    <x v="2"/>
    <x v="9"/>
    <n v="690"/>
    <n v="69"/>
    <x v="422"/>
  </r>
  <r>
    <x v="62"/>
    <s v="Евроопт"/>
    <x v="3"/>
    <x v="2"/>
    <x v="4"/>
    <n v="450"/>
    <n v="44"/>
    <x v="4"/>
  </r>
  <r>
    <x v="62"/>
    <s v="Виталюр"/>
    <x v="3"/>
    <x v="0"/>
    <x v="17"/>
    <n v="2400"/>
    <n v="26"/>
    <x v="423"/>
  </r>
  <r>
    <x v="62"/>
    <s v="Виталюр"/>
    <x v="3"/>
    <x v="4"/>
    <x v="15"/>
    <n v="2460"/>
    <n v="32"/>
    <x v="424"/>
  </r>
  <r>
    <x v="62"/>
    <s v="Соседи"/>
    <x v="0"/>
    <x v="2"/>
    <x v="4"/>
    <n v="450"/>
    <n v="88"/>
    <x v="425"/>
  </r>
  <r>
    <x v="62"/>
    <s v="Копеечка"/>
    <x v="0"/>
    <x v="2"/>
    <x v="2"/>
    <n v="325"/>
    <n v="21"/>
    <x v="25"/>
  </r>
  <r>
    <x v="62"/>
    <s v="Виталюр"/>
    <x v="0"/>
    <x v="2"/>
    <x v="16"/>
    <n v="890"/>
    <n v="32"/>
    <x v="426"/>
  </r>
  <r>
    <x v="62"/>
    <s v="Соседи"/>
    <x v="0"/>
    <x v="4"/>
    <x v="21"/>
    <n v="3205"/>
    <n v="8"/>
    <x v="427"/>
  </r>
  <r>
    <x v="62"/>
    <s v="Соседи"/>
    <x v="0"/>
    <x v="4"/>
    <x v="15"/>
    <n v="2460"/>
    <n v="77"/>
    <x v="428"/>
  </r>
  <r>
    <x v="62"/>
    <s v="Виталюр"/>
    <x v="0"/>
    <x v="4"/>
    <x v="7"/>
    <n v="1760"/>
    <n v="32"/>
    <x v="429"/>
  </r>
  <r>
    <x v="62"/>
    <s v="Виталюр"/>
    <x v="4"/>
    <x v="1"/>
    <x v="1"/>
    <n v="1380"/>
    <n v="70"/>
    <x v="405"/>
  </r>
  <r>
    <x v="62"/>
    <s v="Соседи"/>
    <x v="4"/>
    <x v="1"/>
    <x v="6"/>
    <n v="640"/>
    <n v="74"/>
    <x v="430"/>
  </r>
  <r>
    <x v="62"/>
    <s v="Копеечка"/>
    <x v="1"/>
    <x v="1"/>
    <x v="19"/>
    <n v="540"/>
    <n v="16"/>
    <x v="431"/>
  </r>
  <r>
    <x v="62"/>
    <s v="Евроопт"/>
    <x v="1"/>
    <x v="4"/>
    <x v="7"/>
    <n v="1760"/>
    <n v="48"/>
    <x v="432"/>
  </r>
  <r>
    <x v="62"/>
    <s v="Виталюр"/>
    <x v="5"/>
    <x v="1"/>
    <x v="19"/>
    <n v="540"/>
    <n v="86"/>
    <x v="433"/>
  </r>
  <r>
    <x v="62"/>
    <s v="Виталюр"/>
    <x v="5"/>
    <x v="0"/>
    <x v="22"/>
    <n v="1420"/>
    <n v="27"/>
    <x v="434"/>
  </r>
  <r>
    <x v="62"/>
    <s v="Соседи"/>
    <x v="5"/>
    <x v="0"/>
    <x v="10"/>
    <n v="1230"/>
    <n v="64"/>
    <x v="424"/>
  </r>
  <r>
    <x v="62"/>
    <s v="Копеечка"/>
    <x v="5"/>
    <x v="0"/>
    <x v="17"/>
    <n v="2400"/>
    <n v="90"/>
    <x v="435"/>
  </r>
  <r>
    <x v="62"/>
    <s v="Евроопт"/>
    <x v="6"/>
    <x v="2"/>
    <x v="4"/>
    <n v="450"/>
    <n v="12"/>
    <x v="148"/>
  </r>
  <r>
    <x v="62"/>
    <s v="Виталюр"/>
    <x v="6"/>
    <x v="4"/>
    <x v="13"/>
    <n v="1505"/>
    <n v="25"/>
    <x v="213"/>
  </r>
  <r>
    <x v="62"/>
    <s v="Евроопт"/>
    <x v="6"/>
    <x v="4"/>
    <x v="11"/>
    <n v="2970"/>
    <n v="62"/>
    <x v="436"/>
  </r>
  <r>
    <x v="63"/>
    <m/>
    <x v="2"/>
    <x v="3"/>
    <x v="3"/>
    <m/>
    <m/>
    <x v="437"/>
  </r>
  <r>
    <x v="64"/>
    <s v="Копеечка"/>
    <x v="3"/>
    <x v="1"/>
    <x v="6"/>
    <n v="640"/>
    <n v="57"/>
    <x v="349"/>
  </r>
  <r>
    <x v="64"/>
    <s v="Копеечка"/>
    <x v="3"/>
    <x v="1"/>
    <x v="19"/>
    <n v="540"/>
    <n v="6"/>
    <x v="438"/>
  </r>
  <r>
    <x v="64"/>
    <s v="Виталюр"/>
    <x v="3"/>
    <x v="4"/>
    <x v="14"/>
    <n v="1670"/>
    <n v="65"/>
    <x v="439"/>
  </r>
  <r>
    <x v="64"/>
    <s v="Евроопт"/>
    <x v="3"/>
    <x v="4"/>
    <x v="11"/>
    <n v="2970"/>
    <n v="38"/>
    <x v="440"/>
  </r>
  <r>
    <x v="64"/>
    <s v="Евроопт"/>
    <x v="0"/>
    <x v="1"/>
    <x v="1"/>
    <n v="1380"/>
    <n v="24"/>
    <x v="441"/>
  </r>
  <r>
    <x v="64"/>
    <s v="Евроопт"/>
    <x v="0"/>
    <x v="1"/>
    <x v="20"/>
    <n v="650"/>
    <n v="83"/>
    <x v="442"/>
  </r>
  <r>
    <x v="64"/>
    <s v="Евроопт"/>
    <x v="0"/>
    <x v="0"/>
    <x v="22"/>
    <n v="1420"/>
    <n v="68"/>
    <x v="443"/>
  </r>
  <r>
    <x v="64"/>
    <s v="Виталюр"/>
    <x v="0"/>
    <x v="0"/>
    <x v="22"/>
    <n v="1420"/>
    <n v="88"/>
    <x v="444"/>
  </r>
  <r>
    <x v="64"/>
    <s v="Виталюр"/>
    <x v="4"/>
    <x v="2"/>
    <x v="16"/>
    <n v="890"/>
    <n v="10"/>
    <x v="445"/>
  </r>
  <r>
    <x v="64"/>
    <s v="Копеечка"/>
    <x v="4"/>
    <x v="0"/>
    <x v="22"/>
    <n v="1420"/>
    <n v="59"/>
    <x v="446"/>
  </r>
  <r>
    <x v="64"/>
    <s v="Виталюр"/>
    <x v="5"/>
    <x v="1"/>
    <x v="20"/>
    <n v="650"/>
    <n v="48"/>
    <x v="447"/>
  </r>
  <r>
    <x v="64"/>
    <s v="Виталюр"/>
    <x v="5"/>
    <x v="0"/>
    <x v="22"/>
    <n v="1420"/>
    <n v="73"/>
    <x v="448"/>
  </r>
  <r>
    <x v="64"/>
    <s v="Соседи"/>
    <x v="5"/>
    <x v="0"/>
    <x v="22"/>
    <n v="1420"/>
    <n v="75"/>
    <x v="232"/>
  </r>
  <r>
    <x v="64"/>
    <s v="Евроопт"/>
    <x v="6"/>
    <x v="1"/>
    <x v="19"/>
    <n v="540"/>
    <n v="59"/>
    <x v="449"/>
  </r>
  <r>
    <x v="64"/>
    <s v="Евроопт"/>
    <x v="6"/>
    <x v="2"/>
    <x v="8"/>
    <n v="460"/>
    <n v="51"/>
    <x v="450"/>
  </r>
  <r>
    <x v="64"/>
    <s v="Евроопт"/>
    <x v="6"/>
    <x v="0"/>
    <x v="0"/>
    <n v="1320"/>
    <n v="33"/>
    <x v="451"/>
  </r>
  <r>
    <x v="64"/>
    <s v="Соседи"/>
    <x v="6"/>
    <x v="4"/>
    <x v="11"/>
    <n v="2970"/>
    <n v="50"/>
    <x v="452"/>
  </r>
  <r>
    <x v="64"/>
    <s v="Евроопт"/>
    <x v="6"/>
    <x v="4"/>
    <x v="15"/>
    <n v="2460"/>
    <n v="63"/>
    <x v="453"/>
  </r>
  <r>
    <x v="65"/>
    <m/>
    <x v="2"/>
    <x v="3"/>
    <x v="3"/>
    <m/>
    <m/>
    <x v="454"/>
  </r>
  <r>
    <x v="66"/>
    <s v="Евроопт"/>
    <x v="3"/>
    <x v="1"/>
    <x v="1"/>
    <n v="1380"/>
    <n v="35"/>
    <x v="455"/>
  </r>
  <r>
    <x v="66"/>
    <s v="Виталюр"/>
    <x v="3"/>
    <x v="0"/>
    <x v="10"/>
    <n v="1230"/>
    <n v="88"/>
    <x v="456"/>
  </r>
  <r>
    <x v="66"/>
    <s v="Копеечка"/>
    <x v="3"/>
    <x v="0"/>
    <x v="5"/>
    <n v="930"/>
    <n v="64"/>
    <x v="457"/>
  </r>
  <r>
    <x v="66"/>
    <s v="Копеечка"/>
    <x v="0"/>
    <x v="2"/>
    <x v="4"/>
    <n v="450"/>
    <n v="51"/>
    <x v="458"/>
  </r>
  <r>
    <x v="66"/>
    <s v="Соседи"/>
    <x v="0"/>
    <x v="2"/>
    <x v="16"/>
    <n v="890"/>
    <n v="8"/>
    <x v="459"/>
  </r>
  <r>
    <x v="66"/>
    <s v="Копеечка"/>
    <x v="4"/>
    <x v="1"/>
    <x v="6"/>
    <n v="640"/>
    <n v="17"/>
    <x v="460"/>
  </r>
  <r>
    <x v="66"/>
    <s v="Соседи"/>
    <x v="4"/>
    <x v="2"/>
    <x v="16"/>
    <n v="890"/>
    <n v="16"/>
    <x v="274"/>
  </r>
  <r>
    <x v="66"/>
    <s v="Евроопт"/>
    <x v="1"/>
    <x v="1"/>
    <x v="19"/>
    <n v="540"/>
    <n v="98"/>
    <x v="136"/>
  </r>
  <r>
    <x v="66"/>
    <s v="Евроопт"/>
    <x v="1"/>
    <x v="1"/>
    <x v="1"/>
    <n v="1380"/>
    <n v="35"/>
    <x v="455"/>
  </r>
  <r>
    <x v="66"/>
    <s v="Евроопт"/>
    <x v="5"/>
    <x v="1"/>
    <x v="18"/>
    <n v="650"/>
    <n v="99"/>
    <x v="221"/>
  </r>
  <r>
    <x v="66"/>
    <s v="Соседи"/>
    <x v="5"/>
    <x v="0"/>
    <x v="24"/>
    <n v="2540"/>
    <n v="46"/>
    <x v="461"/>
  </r>
  <r>
    <x v="66"/>
    <s v="Соседи"/>
    <x v="5"/>
    <x v="0"/>
    <x v="17"/>
    <n v="2400"/>
    <n v="58"/>
    <x v="462"/>
  </r>
  <r>
    <x v="66"/>
    <s v="Виталюр"/>
    <x v="5"/>
    <x v="0"/>
    <x v="0"/>
    <n v="1320"/>
    <n v="83"/>
    <x v="463"/>
  </r>
  <r>
    <x v="66"/>
    <s v="Виталюр"/>
    <x v="5"/>
    <x v="0"/>
    <x v="0"/>
    <n v="1320"/>
    <n v="57"/>
    <x v="464"/>
  </r>
  <r>
    <x v="66"/>
    <s v="Соседи"/>
    <x v="5"/>
    <x v="4"/>
    <x v="15"/>
    <n v="2460"/>
    <n v="43"/>
    <x v="465"/>
  </r>
  <r>
    <x v="66"/>
    <s v="Евроопт"/>
    <x v="6"/>
    <x v="1"/>
    <x v="18"/>
    <n v="650"/>
    <n v="71"/>
    <x v="161"/>
  </r>
  <r>
    <x v="66"/>
    <s v="Виталюр"/>
    <x v="6"/>
    <x v="2"/>
    <x v="16"/>
    <n v="890"/>
    <n v="39"/>
    <x v="466"/>
  </r>
  <r>
    <x v="66"/>
    <s v="Евроопт"/>
    <x v="6"/>
    <x v="2"/>
    <x v="8"/>
    <n v="460"/>
    <n v="80"/>
    <x v="467"/>
  </r>
  <r>
    <x v="66"/>
    <s v="Евроопт"/>
    <x v="6"/>
    <x v="4"/>
    <x v="21"/>
    <n v="3205"/>
    <n v="46"/>
    <x v="371"/>
  </r>
  <r>
    <x v="67"/>
    <m/>
    <x v="2"/>
    <x v="3"/>
    <x v="3"/>
    <m/>
    <m/>
    <x v="468"/>
  </r>
  <r>
    <x v="68"/>
    <s v="Евроопт"/>
    <x v="3"/>
    <x v="1"/>
    <x v="20"/>
    <n v="650"/>
    <n v="30"/>
    <x v="469"/>
  </r>
  <r>
    <x v="68"/>
    <s v="Евроопт"/>
    <x v="3"/>
    <x v="2"/>
    <x v="4"/>
    <n v="450"/>
    <n v="21"/>
    <x v="470"/>
  </r>
  <r>
    <x v="68"/>
    <s v="Евроопт"/>
    <x v="0"/>
    <x v="1"/>
    <x v="18"/>
    <n v="650"/>
    <n v="48"/>
    <x v="447"/>
  </r>
  <r>
    <x v="68"/>
    <s v="Виталюр"/>
    <x v="0"/>
    <x v="1"/>
    <x v="1"/>
    <n v="1380"/>
    <n v="28"/>
    <x v="471"/>
  </r>
  <r>
    <x v="68"/>
    <s v="Соседи"/>
    <x v="0"/>
    <x v="2"/>
    <x v="4"/>
    <n v="450"/>
    <n v="55"/>
    <x v="418"/>
  </r>
  <r>
    <x v="68"/>
    <s v="Евроопт"/>
    <x v="0"/>
    <x v="2"/>
    <x v="16"/>
    <n v="890"/>
    <n v="34"/>
    <x v="472"/>
  </r>
  <r>
    <x v="68"/>
    <s v="Копеечка"/>
    <x v="0"/>
    <x v="0"/>
    <x v="0"/>
    <n v="1320"/>
    <n v="62"/>
    <x v="146"/>
  </r>
  <r>
    <x v="68"/>
    <s v="Копеечка"/>
    <x v="0"/>
    <x v="0"/>
    <x v="5"/>
    <n v="930"/>
    <n v="97"/>
    <x v="40"/>
  </r>
  <r>
    <x v="68"/>
    <s v="Копеечка"/>
    <x v="0"/>
    <x v="0"/>
    <x v="22"/>
    <n v="1420"/>
    <n v="84"/>
    <x v="216"/>
  </r>
  <r>
    <x v="68"/>
    <s v="Соседи"/>
    <x v="0"/>
    <x v="0"/>
    <x v="0"/>
    <n v="1320"/>
    <n v="77"/>
    <x v="473"/>
  </r>
  <r>
    <x v="68"/>
    <s v="Виталюр"/>
    <x v="0"/>
    <x v="0"/>
    <x v="17"/>
    <n v="2400"/>
    <n v="30"/>
    <x v="474"/>
  </r>
  <r>
    <x v="68"/>
    <s v="Евроопт"/>
    <x v="0"/>
    <x v="4"/>
    <x v="14"/>
    <n v="1670"/>
    <n v="80"/>
    <x v="475"/>
  </r>
  <r>
    <x v="68"/>
    <s v="Евроопт"/>
    <x v="0"/>
    <x v="4"/>
    <x v="14"/>
    <n v="1670"/>
    <n v="57"/>
    <x v="476"/>
  </r>
  <r>
    <x v="68"/>
    <s v="Копеечка"/>
    <x v="4"/>
    <x v="0"/>
    <x v="22"/>
    <n v="1420"/>
    <n v="28"/>
    <x v="477"/>
  </r>
  <r>
    <x v="68"/>
    <s v="Виталюр"/>
    <x v="4"/>
    <x v="4"/>
    <x v="14"/>
    <n v="1670"/>
    <n v="46"/>
    <x v="478"/>
  </r>
  <r>
    <x v="68"/>
    <s v="Евроопт"/>
    <x v="4"/>
    <x v="4"/>
    <x v="15"/>
    <n v="2460"/>
    <n v="64"/>
    <x v="479"/>
  </r>
  <r>
    <x v="68"/>
    <s v="Соседи"/>
    <x v="5"/>
    <x v="1"/>
    <x v="1"/>
    <n v="1380"/>
    <n v="7"/>
    <x v="75"/>
  </r>
  <r>
    <x v="68"/>
    <s v="Копеечка"/>
    <x v="5"/>
    <x v="2"/>
    <x v="4"/>
    <n v="450"/>
    <n v="26"/>
    <x v="480"/>
  </r>
  <r>
    <x v="68"/>
    <s v="Виталюр"/>
    <x v="5"/>
    <x v="4"/>
    <x v="15"/>
    <n v="2460"/>
    <n v="5"/>
    <x v="481"/>
  </r>
  <r>
    <x v="68"/>
    <s v="Копеечка"/>
    <x v="6"/>
    <x v="1"/>
    <x v="20"/>
    <n v="650"/>
    <n v="13"/>
    <x v="375"/>
  </r>
  <r>
    <x v="68"/>
    <s v="Соседи"/>
    <x v="6"/>
    <x v="2"/>
    <x v="4"/>
    <n v="450"/>
    <n v="35"/>
    <x v="482"/>
  </r>
  <r>
    <x v="68"/>
    <s v="Соседи"/>
    <x v="6"/>
    <x v="0"/>
    <x v="17"/>
    <n v="2400"/>
    <n v="13"/>
    <x v="447"/>
  </r>
  <r>
    <x v="68"/>
    <s v="Виталюр"/>
    <x v="6"/>
    <x v="4"/>
    <x v="13"/>
    <n v="1505"/>
    <n v="36"/>
    <x v="483"/>
  </r>
  <r>
    <x v="68"/>
    <s v="Виталюр"/>
    <x v="6"/>
    <x v="4"/>
    <x v="13"/>
    <n v="1505"/>
    <n v="87"/>
    <x v="484"/>
  </r>
  <r>
    <x v="68"/>
    <s v="Копеечка"/>
    <x v="6"/>
    <x v="4"/>
    <x v="15"/>
    <n v="2460"/>
    <n v="38"/>
    <x v="485"/>
  </r>
  <r>
    <x v="69"/>
    <m/>
    <x v="2"/>
    <x v="3"/>
    <x v="3"/>
    <m/>
    <m/>
    <x v="486"/>
  </r>
  <r>
    <x v="70"/>
    <s v="Евроопт"/>
    <x v="3"/>
    <x v="1"/>
    <x v="6"/>
    <n v="640"/>
    <n v="71"/>
    <x v="487"/>
  </r>
  <r>
    <x v="70"/>
    <s v="Соседи"/>
    <x v="3"/>
    <x v="0"/>
    <x v="5"/>
    <n v="930"/>
    <n v="42"/>
    <x v="488"/>
  </r>
  <r>
    <x v="70"/>
    <s v="Копеечка"/>
    <x v="3"/>
    <x v="4"/>
    <x v="21"/>
    <n v="3205"/>
    <n v="76"/>
    <x v="489"/>
  </r>
  <r>
    <x v="70"/>
    <s v="Евроопт"/>
    <x v="0"/>
    <x v="1"/>
    <x v="20"/>
    <n v="650"/>
    <n v="66"/>
    <x v="353"/>
  </r>
  <r>
    <x v="70"/>
    <s v="Виталюр"/>
    <x v="0"/>
    <x v="2"/>
    <x v="9"/>
    <n v="690"/>
    <n v="37"/>
    <x v="490"/>
  </r>
  <r>
    <x v="70"/>
    <s v="Виталюр"/>
    <x v="0"/>
    <x v="4"/>
    <x v="15"/>
    <n v="2460"/>
    <n v="48"/>
    <x v="491"/>
  </r>
  <r>
    <x v="70"/>
    <s v="Виталюр"/>
    <x v="4"/>
    <x v="4"/>
    <x v="15"/>
    <n v="2460"/>
    <n v="17"/>
    <x v="187"/>
  </r>
  <r>
    <x v="70"/>
    <s v="Соседи"/>
    <x v="4"/>
    <x v="4"/>
    <x v="11"/>
    <n v="2970"/>
    <n v="72"/>
    <x v="492"/>
  </r>
  <r>
    <x v="70"/>
    <s v="Виталюр"/>
    <x v="1"/>
    <x v="1"/>
    <x v="6"/>
    <n v="640"/>
    <n v="95"/>
    <x v="493"/>
  </r>
  <r>
    <x v="70"/>
    <s v="Виталюр"/>
    <x v="1"/>
    <x v="1"/>
    <x v="23"/>
    <n v="705"/>
    <n v="23"/>
    <x v="370"/>
  </r>
  <r>
    <x v="70"/>
    <s v="Евроопт"/>
    <x v="1"/>
    <x v="1"/>
    <x v="23"/>
    <n v="705"/>
    <n v="69"/>
    <x v="494"/>
  </r>
  <r>
    <x v="70"/>
    <s v="Соседи"/>
    <x v="1"/>
    <x v="1"/>
    <x v="20"/>
    <n v="650"/>
    <n v="24"/>
    <x v="337"/>
  </r>
  <r>
    <x v="70"/>
    <s v="Копеечка"/>
    <x v="1"/>
    <x v="2"/>
    <x v="12"/>
    <n v="715"/>
    <n v="48"/>
    <x v="406"/>
  </r>
  <r>
    <x v="70"/>
    <s v="Виталюр"/>
    <x v="1"/>
    <x v="4"/>
    <x v="21"/>
    <n v="3205"/>
    <n v="21"/>
    <x v="320"/>
  </r>
  <r>
    <x v="70"/>
    <s v="Евроопт"/>
    <x v="5"/>
    <x v="2"/>
    <x v="9"/>
    <n v="690"/>
    <n v="7"/>
    <x v="495"/>
  </r>
  <r>
    <x v="70"/>
    <s v="Виталюр"/>
    <x v="5"/>
    <x v="0"/>
    <x v="5"/>
    <n v="930"/>
    <n v="15"/>
    <x v="496"/>
  </r>
  <r>
    <x v="70"/>
    <s v="Виталюр"/>
    <x v="5"/>
    <x v="0"/>
    <x v="24"/>
    <n v="2540"/>
    <n v="65"/>
    <x v="292"/>
  </r>
  <r>
    <x v="70"/>
    <s v="Соседи"/>
    <x v="6"/>
    <x v="2"/>
    <x v="4"/>
    <n v="450"/>
    <n v="47"/>
    <x v="230"/>
  </r>
  <r>
    <x v="70"/>
    <s v="Евроопт"/>
    <x v="6"/>
    <x v="2"/>
    <x v="8"/>
    <n v="460"/>
    <n v="12"/>
    <x v="241"/>
  </r>
  <r>
    <x v="70"/>
    <s v="Евроопт"/>
    <x v="6"/>
    <x v="0"/>
    <x v="22"/>
    <n v="1420"/>
    <n v="55"/>
    <x v="219"/>
  </r>
  <r>
    <x v="71"/>
    <m/>
    <x v="2"/>
    <x v="3"/>
    <x v="3"/>
    <m/>
    <m/>
    <x v="497"/>
  </r>
  <r>
    <x v="72"/>
    <s v="Евроопт"/>
    <x v="3"/>
    <x v="1"/>
    <x v="18"/>
    <n v="650"/>
    <n v="67"/>
    <x v="498"/>
  </r>
  <r>
    <x v="72"/>
    <s v="Копеечка"/>
    <x v="3"/>
    <x v="1"/>
    <x v="1"/>
    <n v="1380"/>
    <n v="84"/>
    <x v="338"/>
  </r>
  <r>
    <x v="72"/>
    <s v="Евроопт"/>
    <x v="0"/>
    <x v="4"/>
    <x v="7"/>
    <n v="1760"/>
    <n v="44"/>
    <x v="499"/>
  </r>
  <r>
    <x v="72"/>
    <s v="Виталюр"/>
    <x v="0"/>
    <x v="4"/>
    <x v="14"/>
    <n v="1670"/>
    <n v="36"/>
    <x v="500"/>
  </r>
  <r>
    <x v="72"/>
    <s v="Соседи"/>
    <x v="4"/>
    <x v="2"/>
    <x v="4"/>
    <n v="450"/>
    <n v="96"/>
    <x v="20"/>
  </r>
  <r>
    <x v="72"/>
    <s v="Соседи"/>
    <x v="4"/>
    <x v="4"/>
    <x v="14"/>
    <n v="1670"/>
    <n v="52"/>
    <x v="501"/>
  </r>
  <r>
    <x v="72"/>
    <s v="Виталюр"/>
    <x v="4"/>
    <x v="4"/>
    <x v="14"/>
    <n v="1670"/>
    <n v="27"/>
    <x v="97"/>
  </r>
  <r>
    <x v="72"/>
    <s v="Виталюр"/>
    <x v="4"/>
    <x v="4"/>
    <x v="21"/>
    <n v="3205"/>
    <n v="56"/>
    <x v="126"/>
  </r>
  <r>
    <x v="72"/>
    <s v="Виталюр"/>
    <x v="5"/>
    <x v="1"/>
    <x v="18"/>
    <n v="650"/>
    <n v="90"/>
    <x v="226"/>
  </r>
  <r>
    <x v="72"/>
    <s v="Виталюр"/>
    <x v="5"/>
    <x v="4"/>
    <x v="15"/>
    <n v="2460"/>
    <n v="61"/>
    <x v="502"/>
  </r>
  <r>
    <x v="72"/>
    <s v="Евроопт"/>
    <x v="6"/>
    <x v="1"/>
    <x v="20"/>
    <n v="650"/>
    <n v="34"/>
    <x v="199"/>
  </r>
  <r>
    <x v="73"/>
    <m/>
    <x v="2"/>
    <x v="3"/>
    <x v="3"/>
    <m/>
    <m/>
    <x v="503"/>
  </r>
  <r>
    <x v="74"/>
    <s v="Евроопт"/>
    <x v="3"/>
    <x v="1"/>
    <x v="23"/>
    <n v="705"/>
    <n v="61"/>
    <x v="504"/>
  </r>
  <r>
    <x v="74"/>
    <s v="Виталюр"/>
    <x v="3"/>
    <x v="2"/>
    <x v="8"/>
    <n v="460"/>
    <n v="30"/>
    <x v="505"/>
  </r>
  <r>
    <x v="74"/>
    <s v="Копеечка"/>
    <x v="3"/>
    <x v="0"/>
    <x v="5"/>
    <n v="930"/>
    <n v="23"/>
    <x v="506"/>
  </r>
  <r>
    <x v="74"/>
    <s v="Евроопт"/>
    <x v="3"/>
    <x v="0"/>
    <x v="17"/>
    <n v="2400"/>
    <n v="89"/>
    <x v="507"/>
  </r>
  <r>
    <x v="74"/>
    <s v="Соседи"/>
    <x v="3"/>
    <x v="0"/>
    <x v="22"/>
    <n v="1420"/>
    <n v="92"/>
    <x v="508"/>
  </r>
  <r>
    <x v="74"/>
    <s v="Евроопт"/>
    <x v="3"/>
    <x v="4"/>
    <x v="13"/>
    <n v="1505"/>
    <n v="8"/>
    <x v="509"/>
  </r>
  <r>
    <x v="74"/>
    <s v="Виталюр"/>
    <x v="0"/>
    <x v="0"/>
    <x v="24"/>
    <n v="2540"/>
    <n v="49"/>
    <x v="510"/>
  </r>
  <r>
    <x v="74"/>
    <s v="Евроопт"/>
    <x v="0"/>
    <x v="4"/>
    <x v="15"/>
    <n v="2460"/>
    <n v="70"/>
    <x v="74"/>
  </r>
  <r>
    <x v="74"/>
    <s v="Копеечка"/>
    <x v="1"/>
    <x v="1"/>
    <x v="6"/>
    <n v="640"/>
    <n v="59"/>
    <x v="511"/>
  </r>
  <r>
    <x v="74"/>
    <s v="Виталюр"/>
    <x v="1"/>
    <x v="1"/>
    <x v="6"/>
    <n v="640"/>
    <n v="36"/>
    <x v="512"/>
  </r>
  <r>
    <x v="74"/>
    <s v="Виталюр"/>
    <x v="1"/>
    <x v="0"/>
    <x v="5"/>
    <n v="930"/>
    <n v="8"/>
    <x v="513"/>
  </r>
  <r>
    <x v="74"/>
    <s v="Виталюр"/>
    <x v="5"/>
    <x v="0"/>
    <x v="24"/>
    <n v="2540"/>
    <n v="47"/>
    <x v="514"/>
  </r>
  <r>
    <x v="74"/>
    <s v="Евроопт"/>
    <x v="5"/>
    <x v="0"/>
    <x v="24"/>
    <n v="2540"/>
    <n v="90"/>
    <x v="515"/>
  </r>
  <r>
    <x v="74"/>
    <s v="Соседи"/>
    <x v="6"/>
    <x v="1"/>
    <x v="20"/>
    <n v="650"/>
    <n v="51"/>
    <x v="516"/>
  </r>
  <r>
    <x v="75"/>
    <m/>
    <x v="2"/>
    <x v="3"/>
    <x v="3"/>
    <m/>
    <m/>
    <x v="517"/>
  </r>
  <r>
    <x v="76"/>
    <s v="Евроопт"/>
    <x v="3"/>
    <x v="0"/>
    <x v="24"/>
    <n v="2540"/>
    <n v="95"/>
    <x v="518"/>
  </r>
  <r>
    <x v="76"/>
    <s v="Соседи"/>
    <x v="0"/>
    <x v="1"/>
    <x v="1"/>
    <n v="1380"/>
    <n v="30"/>
    <x v="356"/>
  </r>
  <r>
    <x v="76"/>
    <s v="Виталюр"/>
    <x v="0"/>
    <x v="2"/>
    <x v="4"/>
    <n v="450"/>
    <n v="81"/>
    <x v="519"/>
  </r>
  <r>
    <x v="76"/>
    <s v="Соседи"/>
    <x v="0"/>
    <x v="0"/>
    <x v="5"/>
    <n v="930"/>
    <n v="98"/>
    <x v="520"/>
  </r>
  <r>
    <x v="76"/>
    <s v="Евроопт"/>
    <x v="0"/>
    <x v="0"/>
    <x v="0"/>
    <n v="1320"/>
    <n v="91"/>
    <x v="521"/>
  </r>
  <r>
    <x v="76"/>
    <s v="Евроопт"/>
    <x v="4"/>
    <x v="1"/>
    <x v="20"/>
    <n v="650"/>
    <n v="23"/>
    <x v="522"/>
  </r>
  <r>
    <x v="76"/>
    <s v="Виталюр"/>
    <x v="4"/>
    <x v="2"/>
    <x v="12"/>
    <n v="715"/>
    <n v="83"/>
    <x v="523"/>
  </r>
  <r>
    <x v="76"/>
    <s v="Виталюр"/>
    <x v="4"/>
    <x v="0"/>
    <x v="0"/>
    <n v="1320"/>
    <n v="100"/>
    <x v="524"/>
  </r>
  <r>
    <x v="76"/>
    <s v="Виталюр"/>
    <x v="4"/>
    <x v="0"/>
    <x v="0"/>
    <n v="1320"/>
    <n v="87"/>
    <x v="525"/>
  </r>
  <r>
    <x v="76"/>
    <s v="Евроопт"/>
    <x v="4"/>
    <x v="4"/>
    <x v="15"/>
    <n v="2460"/>
    <n v="48"/>
    <x v="491"/>
  </r>
  <r>
    <x v="76"/>
    <s v="Евроопт"/>
    <x v="5"/>
    <x v="1"/>
    <x v="6"/>
    <n v="640"/>
    <n v="83"/>
    <x v="526"/>
  </r>
  <r>
    <x v="76"/>
    <s v="Евроопт"/>
    <x v="5"/>
    <x v="1"/>
    <x v="6"/>
    <n v="640"/>
    <n v="26"/>
    <x v="157"/>
  </r>
  <r>
    <x v="76"/>
    <s v="Евроопт"/>
    <x v="5"/>
    <x v="2"/>
    <x v="16"/>
    <n v="890"/>
    <n v="87"/>
    <x v="527"/>
  </r>
  <r>
    <x v="76"/>
    <s v="Соседи"/>
    <x v="5"/>
    <x v="2"/>
    <x v="4"/>
    <n v="450"/>
    <n v="19"/>
    <x v="528"/>
  </r>
  <r>
    <x v="76"/>
    <s v="Соседи"/>
    <x v="5"/>
    <x v="2"/>
    <x v="4"/>
    <n v="450"/>
    <n v="19"/>
    <x v="528"/>
  </r>
  <r>
    <x v="76"/>
    <s v="Копеечка"/>
    <x v="5"/>
    <x v="0"/>
    <x v="17"/>
    <n v="2400"/>
    <n v="67"/>
    <x v="59"/>
  </r>
  <r>
    <x v="76"/>
    <s v="Евроопт"/>
    <x v="6"/>
    <x v="1"/>
    <x v="23"/>
    <n v="705"/>
    <n v="13"/>
    <x v="529"/>
  </r>
  <r>
    <x v="76"/>
    <s v="Евроопт"/>
    <x v="6"/>
    <x v="1"/>
    <x v="6"/>
    <n v="640"/>
    <n v="68"/>
    <x v="530"/>
  </r>
  <r>
    <x v="76"/>
    <s v="Евроопт"/>
    <x v="6"/>
    <x v="2"/>
    <x v="2"/>
    <n v="325"/>
    <n v="12"/>
    <x v="342"/>
  </r>
  <r>
    <x v="76"/>
    <s v="Соседи"/>
    <x v="6"/>
    <x v="2"/>
    <x v="4"/>
    <n v="450"/>
    <n v="5"/>
    <x v="531"/>
  </r>
  <r>
    <x v="76"/>
    <s v="Соседи"/>
    <x v="6"/>
    <x v="0"/>
    <x v="17"/>
    <n v="2400"/>
    <n v="97"/>
    <x v="532"/>
  </r>
  <r>
    <x v="76"/>
    <s v="Виталюр"/>
    <x v="6"/>
    <x v="4"/>
    <x v="15"/>
    <n v="2460"/>
    <n v="9"/>
    <x v="533"/>
  </r>
  <r>
    <x v="77"/>
    <m/>
    <x v="2"/>
    <x v="3"/>
    <x v="3"/>
    <m/>
    <m/>
    <x v="534"/>
  </r>
  <r>
    <x v="78"/>
    <s v="Копеечка"/>
    <x v="3"/>
    <x v="0"/>
    <x v="17"/>
    <n v="2400"/>
    <n v="35"/>
    <x v="49"/>
  </r>
  <r>
    <x v="78"/>
    <s v="Копеечка"/>
    <x v="3"/>
    <x v="0"/>
    <x v="5"/>
    <n v="930"/>
    <n v="14"/>
    <x v="535"/>
  </r>
  <r>
    <x v="78"/>
    <s v="Виталюр"/>
    <x v="3"/>
    <x v="4"/>
    <x v="7"/>
    <n v="1760"/>
    <n v="98"/>
    <x v="536"/>
  </r>
  <r>
    <x v="78"/>
    <s v="Копеечка"/>
    <x v="3"/>
    <x v="4"/>
    <x v="14"/>
    <n v="1670"/>
    <n v="34"/>
    <x v="537"/>
  </r>
  <r>
    <x v="78"/>
    <s v="Евроопт"/>
    <x v="0"/>
    <x v="2"/>
    <x v="9"/>
    <n v="690"/>
    <n v="97"/>
    <x v="538"/>
  </r>
  <r>
    <x v="78"/>
    <s v="Соседи"/>
    <x v="0"/>
    <x v="4"/>
    <x v="7"/>
    <n v="1760"/>
    <n v="23"/>
    <x v="539"/>
  </r>
  <r>
    <x v="78"/>
    <s v="Евроопт"/>
    <x v="0"/>
    <x v="4"/>
    <x v="21"/>
    <n v="3205"/>
    <n v="81"/>
    <x v="540"/>
  </r>
  <r>
    <x v="78"/>
    <s v="Копеечка"/>
    <x v="4"/>
    <x v="1"/>
    <x v="23"/>
    <n v="705"/>
    <n v="88"/>
    <x v="541"/>
  </r>
  <r>
    <x v="78"/>
    <s v="Евроопт"/>
    <x v="1"/>
    <x v="1"/>
    <x v="18"/>
    <n v="650"/>
    <n v="58"/>
    <x v="173"/>
  </r>
  <r>
    <x v="78"/>
    <s v="Виталюр"/>
    <x v="1"/>
    <x v="2"/>
    <x v="16"/>
    <n v="890"/>
    <n v="14"/>
    <x v="542"/>
  </r>
  <r>
    <x v="78"/>
    <s v="Виталюр"/>
    <x v="1"/>
    <x v="0"/>
    <x v="5"/>
    <n v="930"/>
    <n v="24"/>
    <x v="543"/>
  </r>
  <r>
    <x v="78"/>
    <s v="Копеечка"/>
    <x v="1"/>
    <x v="4"/>
    <x v="14"/>
    <n v="1670"/>
    <n v="45"/>
    <x v="544"/>
  </r>
  <r>
    <x v="78"/>
    <s v="Копеечка"/>
    <x v="1"/>
    <x v="4"/>
    <x v="21"/>
    <n v="3205"/>
    <n v="80"/>
    <x v="545"/>
  </r>
  <r>
    <x v="78"/>
    <s v="Копеечка"/>
    <x v="5"/>
    <x v="2"/>
    <x v="16"/>
    <n v="890"/>
    <n v="28"/>
    <x v="546"/>
  </r>
  <r>
    <x v="78"/>
    <s v="Евроопт"/>
    <x v="5"/>
    <x v="0"/>
    <x v="22"/>
    <n v="1420"/>
    <n v="73"/>
    <x v="448"/>
  </r>
  <r>
    <x v="78"/>
    <s v="Виталюр"/>
    <x v="6"/>
    <x v="1"/>
    <x v="23"/>
    <n v="705"/>
    <n v="52"/>
    <x v="547"/>
  </r>
  <r>
    <x v="78"/>
    <s v="Копеечка"/>
    <x v="6"/>
    <x v="2"/>
    <x v="12"/>
    <n v="715"/>
    <n v="33"/>
    <x v="548"/>
  </r>
  <r>
    <x v="78"/>
    <s v="Евроопт"/>
    <x v="6"/>
    <x v="0"/>
    <x v="17"/>
    <n v="2400"/>
    <n v="41"/>
    <x v="549"/>
  </r>
  <r>
    <x v="78"/>
    <s v="Соседи"/>
    <x v="6"/>
    <x v="0"/>
    <x v="24"/>
    <n v="2540"/>
    <n v="23"/>
    <x v="550"/>
  </r>
  <r>
    <x v="78"/>
    <s v="Копеечка"/>
    <x v="6"/>
    <x v="0"/>
    <x v="10"/>
    <n v="1230"/>
    <n v="12"/>
    <x v="154"/>
  </r>
  <r>
    <x v="78"/>
    <s v="Соседи"/>
    <x v="6"/>
    <x v="0"/>
    <x v="5"/>
    <n v="930"/>
    <n v="22"/>
    <x v="120"/>
  </r>
  <r>
    <x v="78"/>
    <s v="Копеечка"/>
    <x v="6"/>
    <x v="0"/>
    <x v="10"/>
    <n v="1230"/>
    <n v="88"/>
    <x v="456"/>
  </r>
  <r>
    <x v="78"/>
    <s v="Евроопт"/>
    <x v="6"/>
    <x v="4"/>
    <x v="15"/>
    <n v="2460"/>
    <n v="55"/>
    <x v="551"/>
  </r>
  <r>
    <x v="78"/>
    <s v="Виталюр"/>
    <x v="6"/>
    <x v="4"/>
    <x v="21"/>
    <n v="3205"/>
    <n v="58"/>
    <x v="552"/>
  </r>
  <r>
    <x v="79"/>
    <m/>
    <x v="2"/>
    <x v="3"/>
    <x v="3"/>
    <m/>
    <m/>
    <x v="553"/>
  </r>
  <r>
    <x v="80"/>
    <s v="Виталюр"/>
    <x v="3"/>
    <x v="1"/>
    <x v="6"/>
    <n v="640"/>
    <n v="74"/>
    <x v="430"/>
  </r>
  <r>
    <x v="80"/>
    <s v="Виталюр"/>
    <x v="3"/>
    <x v="2"/>
    <x v="8"/>
    <n v="460"/>
    <n v="63"/>
    <x v="554"/>
  </r>
  <r>
    <x v="80"/>
    <s v="Копеечка"/>
    <x v="3"/>
    <x v="0"/>
    <x v="10"/>
    <n v="1230"/>
    <n v="28"/>
    <x v="555"/>
  </r>
  <r>
    <x v="80"/>
    <s v="Копеечка"/>
    <x v="3"/>
    <x v="4"/>
    <x v="15"/>
    <n v="2460"/>
    <n v="23"/>
    <x v="556"/>
  </r>
  <r>
    <x v="80"/>
    <s v="Копеечка"/>
    <x v="3"/>
    <x v="4"/>
    <x v="21"/>
    <n v="3205"/>
    <n v="74"/>
    <x v="557"/>
  </r>
  <r>
    <x v="80"/>
    <s v="Виталюр"/>
    <x v="0"/>
    <x v="2"/>
    <x v="2"/>
    <n v="325"/>
    <n v="31"/>
    <x v="558"/>
  </r>
  <r>
    <x v="80"/>
    <s v="Соседи"/>
    <x v="0"/>
    <x v="2"/>
    <x v="8"/>
    <n v="460"/>
    <n v="100"/>
    <x v="559"/>
  </r>
  <r>
    <x v="80"/>
    <s v="Соседи"/>
    <x v="4"/>
    <x v="1"/>
    <x v="6"/>
    <n v="640"/>
    <n v="10"/>
    <x v="560"/>
  </r>
  <r>
    <x v="80"/>
    <s v="Соседи"/>
    <x v="1"/>
    <x v="1"/>
    <x v="19"/>
    <n v="540"/>
    <n v="59"/>
    <x v="449"/>
  </r>
  <r>
    <x v="80"/>
    <s v="Виталюр"/>
    <x v="1"/>
    <x v="1"/>
    <x v="6"/>
    <n v="640"/>
    <n v="18"/>
    <x v="561"/>
  </r>
  <r>
    <x v="80"/>
    <s v="Копеечка"/>
    <x v="1"/>
    <x v="2"/>
    <x v="2"/>
    <n v="325"/>
    <n v="62"/>
    <x v="306"/>
  </r>
  <r>
    <x v="80"/>
    <s v="Соседи"/>
    <x v="5"/>
    <x v="1"/>
    <x v="20"/>
    <n v="650"/>
    <n v="10"/>
    <x v="562"/>
  </r>
  <r>
    <x v="80"/>
    <s v="Виталюр"/>
    <x v="5"/>
    <x v="1"/>
    <x v="1"/>
    <n v="1380"/>
    <n v="96"/>
    <x v="563"/>
  </r>
  <r>
    <x v="80"/>
    <s v="Соседи"/>
    <x v="5"/>
    <x v="2"/>
    <x v="16"/>
    <n v="890"/>
    <n v="87"/>
    <x v="527"/>
  </r>
  <r>
    <x v="80"/>
    <s v="Копеечка"/>
    <x v="5"/>
    <x v="2"/>
    <x v="9"/>
    <n v="690"/>
    <n v="20"/>
    <x v="505"/>
  </r>
  <r>
    <x v="80"/>
    <s v="Копеечка"/>
    <x v="5"/>
    <x v="0"/>
    <x v="17"/>
    <n v="2400"/>
    <n v="86"/>
    <x v="564"/>
  </r>
  <r>
    <x v="80"/>
    <s v="Копеечка"/>
    <x v="5"/>
    <x v="0"/>
    <x v="17"/>
    <n v="2400"/>
    <n v="25"/>
    <x v="565"/>
  </r>
  <r>
    <x v="80"/>
    <s v="Евроопт"/>
    <x v="5"/>
    <x v="4"/>
    <x v="11"/>
    <n v="2970"/>
    <n v="44"/>
    <x v="566"/>
  </r>
  <r>
    <x v="80"/>
    <s v="Виталюр"/>
    <x v="6"/>
    <x v="2"/>
    <x v="4"/>
    <n v="450"/>
    <n v="36"/>
    <x v="245"/>
  </r>
  <r>
    <x v="80"/>
    <s v="Евроопт"/>
    <x v="6"/>
    <x v="2"/>
    <x v="9"/>
    <n v="690"/>
    <n v="81"/>
    <x v="567"/>
  </r>
  <r>
    <x v="80"/>
    <s v="Копеечка"/>
    <x v="6"/>
    <x v="2"/>
    <x v="12"/>
    <n v="715"/>
    <n v="94"/>
    <x v="21"/>
  </r>
  <r>
    <x v="80"/>
    <s v="Евроопт"/>
    <x v="6"/>
    <x v="2"/>
    <x v="2"/>
    <n v="325"/>
    <n v="56"/>
    <x v="568"/>
  </r>
  <r>
    <x v="80"/>
    <s v="Соседи"/>
    <x v="6"/>
    <x v="4"/>
    <x v="15"/>
    <n v="2460"/>
    <n v="63"/>
    <x v="453"/>
  </r>
  <r>
    <x v="81"/>
    <m/>
    <x v="2"/>
    <x v="3"/>
    <x v="3"/>
    <m/>
    <m/>
    <x v="569"/>
  </r>
  <r>
    <x v="82"/>
    <s v="Евроопт"/>
    <x v="3"/>
    <x v="2"/>
    <x v="4"/>
    <n v="450"/>
    <n v="76"/>
    <x v="570"/>
  </r>
  <r>
    <x v="82"/>
    <s v="Копеечка"/>
    <x v="3"/>
    <x v="0"/>
    <x v="22"/>
    <n v="1420"/>
    <n v="51"/>
    <x v="571"/>
  </r>
  <r>
    <x v="82"/>
    <s v="Евроопт"/>
    <x v="3"/>
    <x v="0"/>
    <x v="22"/>
    <n v="1420"/>
    <n v="94"/>
    <x v="572"/>
  </r>
  <r>
    <x v="82"/>
    <s v="Соседи"/>
    <x v="3"/>
    <x v="4"/>
    <x v="14"/>
    <n v="1670"/>
    <n v="36"/>
    <x v="500"/>
  </r>
  <r>
    <x v="82"/>
    <s v="Евроопт"/>
    <x v="0"/>
    <x v="1"/>
    <x v="20"/>
    <n v="650"/>
    <n v="38"/>
    <x v="573"/>
  </r>
  <r>
    <x v="82"/>
    <s v="Евроопт"/>
    <x v="0"/>
    <x v="2"/>
    <x v="2"/>
    <n v="325"/>
    <n v="7"/>
    <x v="574"/>
  </r>
  <r>
    <x v="82"/>
    <s v="Виталюр"/>
    <x v="0"/>
    <x v="0"/>
    <x v="17"/>
    <n v="2400"/>
    <n v="31"/>
    <x v="575"/>
  </r>
  <r>
    <x v="82"/>
    <s v="Виталюр"/>
    <x v="0"/>
    <x v="4"/>
    <x v="11"/>
    <n v="2970"/>
    <n v="27"/>
    <x v="576"/>
  </r>
  <r>
    <x v="82"/>
    <s v="Евроопт"/>
    <x v="0"/>
    <x v="4"/>
    <x v="11"/>
    <n v="2970"/>
    <n v="62"/>
    <x v="436"/>
  </r>
  <r>
    <x v="82"/>
    <s v="Виталюр"/>
    <x v="0"/>
    <x v="4"/>
    <x v="11"/>
    <n v="2970"/>
    <n v="12"/>
    <x v="577"/>
  </r>
  <r>
    <x v="82"/>
    <s v="Копеечка"/>
    <x v="4"/>
    <x v="2"/>
    <x v="16"/>
    <n v="890"/>
    <n v="70"/>
    <x v="578"/>
  </r>
  <r>
    <x v="82"/>
    <s v="Виталюр"/>
    <x v="4"/>
    <x v="4"/>
    <x v="11"/>
    <n v="2970"/>
    <n v="31"/>
    <x v="579"/>
  </r>
  <r>
    <x v="82"/>
    <s v="Евроопт"/>
    <x v="4"/>
    <x v="4"/>
    <x v="11"/>
    <n v="2970"/>
    <n v="42"/>
    <x v="580"/>
  </r>
  <r>
    <x v="82"/>
    <s v="Копеечка"/>
    <x v="1"/>
    <x v="0"/>
    <x v="10"/>
    <n v="1230"/>
    <n v="32"/>
    <x v="581"/>
  </r>
  <r>
    <x v="82"/>
    <s v="Копеечка"/>
    <x v="5"/>
    <x v="1"/>
    <x v="6"/>
    <n v="640"/>
    <n v="46"/>
    <x v="582"/>
  </r>
  <r>
    <x v="82"/>
    <s v="Соседи"/>
    <x v="6"/>
    <x v="1"/>
    <x v="1"/>
    <n v="1380"/>
    <n v="90"/>
    <x v="583"/>
  </r>
  <r>
    <x v="82"/>
    <s v="Евроопт"/>
    <x v="6"/>
    <x v="2"/>
    <x v="9"/>
    <n v="690"/>
    <n v="49"/>
    <x v="256"/>
  </r>
  <r>
    <x v="83"/>
    <m/>
    <x v="2"/>
    <x v="3"/>
    <x v="3"/>
    <m/>
    <m/>
    <x v="584"/>
  </r>
  <r>
    <x v="84"/>
    <s v="Виталюр"/>
    <x v="3"/>
    <x v="1"/>
    <x v="19"/>
    <n v="540"/>
    <n v="34"/>
    <x v="167"/>
  </r>
  <r>
    <x v="84"/>
    <s v="Евроопт"/>
    <x v="0"/>
    <x v="0"/>
    <x v="5"/>
    <n v="930"/>
    <n v="8"/>
    <x v="513"/>
  </r>
  <r>
    <x v="84"/>
    <s v="Виталюр"/>
    <x v="0"/>
    <x v="4"/>
    <x v="13"/>
    <n v="1505"/>
    <n v="84"/>
    <x v="585"/>
  </r>
  <r>
    <x v="84"/>
    <s v="Евроопт"/>
    <x v="4"/>
    <x v="1"/>
    <x v="23"/>
    <n v="705"/>
    <n v="86"/>
    <x v="586"/>
  </r>
  <r>
    <x v="84"/>
    <s v="Виталюр"/>
    <x v="4"/>
    <x v="2"/>
    <x v="8"/>
    <n v="460"/>
    <n v="44"/>
    <x v="587"/>
  </r>
  <r>
    <x v="84"/>
    <s v="Евроопт"/>
    <x v="4"/>
    <x v="2"/>
    <x v="4"/>
    <n v="450"/>
    <n v="85"/>
    <x v="588"/>
  </r>
  <r>
    <x v="84"/>
    <s v="Соседи"/>
    <x v="4"/>
    <x v="0"/>
    <x v="17"/>
    <n v="2400"/>
    <n v="81"/>
    <x v="589"/>
  </r>
  <r>
    <x v="84"/>
    <s v="Соседи"/>
    <x v="1"/>
    <x v="1"/>
    <x v="19"/>
    <n v="540"/>
    <n v="45"/>
    <x v="269"/>
  </r>
  <r>
    <x v="84"/>
    <s v="Соседи"/>
    <x v="1"/>
    <x v="0"/>
    <x v="10"/>
    <n v="1230"/>
    <n v="13"/>
    <x v="590"/>
  </r>
  <r>
    <x v="84"/>
    <s v="Копеечка"/>
    <x v="5"/>
    <x v="4"/>
    <x v="13"/>
    <n v="1505"/>
    <n v="70"/>
    <x v="591"/>
  </r>
  <r>
    <x v="84"/>
    <s v="Копеечка"/>
    <x v="6"/>
    <x v="4"/>
    <x v="13"/>
    <n v="1505"/>
    <n v="75"/>
    <x v="592"/>
  </r>
  <r>
    <x v="85"/>
    <m/>
    <x v="2"/>
    <x v="3"/>
    <x v="3"/>
    <m/>
    <m/>
    <x v="593"/>
  </r>
  <r>
    <x v="86"/>
    <s v="Виталюр"/>
    <x v="3"/>
    <x v="2"/>
    <x v="16"/>
    <n v="890"/>
    <n v="48"/>
    <x v="594"/>
  </r>
  <r>
    <x v="86"/>
    <s v="Копеечка"/>
    <x v="3"/>
    <x v="2"/>
    <x v="16"/>
    <n v="890"/>
    <n v="92"/>
    <x v="595"/>
  </r>
  <r>
    <x v="86"/>
    <s v="Евроопт"/>
    <x v="3"/>
    <x v="0"/>
    <x v="10"/>
    <n v="1230"/>
    <n v="73"/>
    <x v="596"/>
  </r>
  <r>
    <x v="86"/>
    <s v="Соседи"/>
    <x v="0"/>
    <x v="0"/>
    <x v="0"/>
    <n v="1320"/>
    <n v="28"/>
    <x v="597"/>
  </r>
  <r>
    <x v="86"/>
    <s v="Виталюр"/>
    <x v="0"/>
    <x v="4"/>
    <x v="11"/>
    <n v="2970"/>
    <n v="59"/>
    <x v="598"/>
  </r>
  <r>
    <x v="86"/>
    <s v="Копеечка"/>
    <x v="4"/>
    <x v="2"/>
    <x v="16"/>
    <n v="890"/>
    <n v="73"/>
    <x v="599"/>
  </r>
  <r>
    <x v="86"/>
    <s v="Виталюр"/>
    <x v="4"/>
    <x v="4"/>
    <x v="15"/>
    <n v="2460"/>
    <n v="12"/>
    <x v="600"/>
  </r>
  <r>
    <x v="86"/>
    <s v="Виталюр"/>
    <x v="1"/>
    <x v="2"/>
    <x v="12"/>
    <n v="715"/>
    <n v="51"/>
    <x v="395"/>
  </r>
  <r>
    <x v="87"/>
    <m/>
    <x v="2"/>
    <x v="3"/>
    <x v="3"/>
    <m/>
    <m/>
    <x v="601"/>
  </r>
  <r>
    <x v="88"/>
    <s v="Виталюр"/>
    <x v="3"/>
    <x v="1"/>
    <x v="1"/>
    <n v="1380"/>
    <n v="74"/>
    <x v="602"/>
  </r>
  <r>
    <x v="88"/>
    <s v="Копеечка"/>
    <x v="3"/>
    <x v="4"/>
    <x v="11"/>
    <n v="2970"/>
    <n v="13"/>
    <x v="603"/>
  </r>
  <r>
    <x v="88"/>
    <s v="Копеечка"/>
    <x v="0"/>
    <x v="2"/>
    <x v="16"/>
    <n v="890"/>
    <n v="100"/>
    <x v="604"/>
  </r>
  <r>
    <x v="88"/>
    <s v="Виталюр"/>
    <x v="0"/>
    <x v="4"/>
    <x v="7"/>
    <n v="1760"/>
    <n v="21"/>
    <x v="597"/>
  </r>
  <r>
    <x v="88"/>
    <s v="Соседи"/>
    <x v="4"/>
    <x v="4"/>
    <x v="11"/>
    <n v="2970"/>
    <n v="7"/>
    <x v="78"/>
  </r>
  <r>
    <x v="88"/>
    <s v="Соседи"/>
    <x v="1"/>
    <x v="0"/>
    <x v="17"/>
    <n v="2400"/>
    <n v="24"/>
    <x v="605"/>
  </r>
  <r>
    <x v="88"/>
    <s v="Копеечка"/>
    <x v="1"/>
    <x v="4"/>
    <x v="11"/>
    <n v="2970"/>
    <n v="89"/>
    <x v="606"/>
  </r>
  <r>
    <x v="88"/>
    <s v="Копеечка"/>
    <x v="5"/>
    <x v="1"/>
    <x v="19"/>
    <n v="540"/>
    <n v="89"/>
    <x v="607"/>
  </r>
  <r>
    <x v="88"/>
    <s v="Виталюр"/>
    <x v="6"/>
    <x v="2"/>
    <x v="12"/>
    <n v="715"/>
    <n v="79"/>
    <x v="240"/>
  </r>
  <r>
    <x v="88"/>
    <s v="Копеечка"/>
    <x v="6"/>
    <x v="4"/>
    <x v="21"/>
    <n v="3205"/>
    <n v="17"/>
    <x v="608"/>
  </r>
  <r>
    <x v="89"/>
    <m/>
    <x v="2"/>
    <x v="3"/>
    <x v="3"/>
    <m/>
    <m/>
    <x v="609"/>
  </r>
  <r>
    <x v="90"/>
    <s v="Соседи"/>
    <x v="3"/>
    <x v="1"/>
    <x v="19"/>
    <n v="540"/>
    <n v="89"/>
    <x v="607"/>
  </r>
  <r>
    <x v="90"/>
    <s v="Евроопт"/>
    <x v="3"/>
    <x v="2"/>
    <x v="9"/>
    <n v="690"/>
    <n v="46"/>
    <x v="610"/>
  </r>
  <r>
    <x v="90"/>
    <s v="Соседи"/>
    <x v="3"/>
    <x v="2"/>
    <x v="2"/>
    <n v="325"/>
    <n v="5"/>
    <x v="611"/>
  </r>
  <r>
    <x v="90"/>
    <s v="Соседи"/>
    <x v="3"/>
    <x v="2"/>
    <x v="4"/>
    <n v="450"/>
    <n v="33"/>
    <x v="612"/>
  </r>
  <r>
    <x v="90"/>
    <s v="Евроопт"/>
    <x v="0"/>
    <x v="0"/>
    <x v="10"/>
    <n v="1230"/>
    <n v="58"/>
    <x v="613"/>
  </r>
  <r>
    <x v="90"/>
    <s v="Виталюр"/>
    <x v="4"/>
    <x v="1"/>
    <x v="20"/>
    <n v="650"/>
    <n v="87"/>
    <x v="614"/>
  </r>
  <r>
    <x v="90"/>
    <s v="Виталюр"/>
    <x v="4"/>
    <x v="2"/>
    <x v="12"/>
    <n v="715"/>
    <n v="31"/>
    <x v="615"/>
  </r>
  <r>
    <x v="90"/>
    <s v="Евроопт"/>
    <x v="1"/>
    <x v="1"/>
    <x v="20"/>
    <n v="650"/>
    <n v="48"/>
    <x v="447"/>
  </r>
  <r>
    <x v="90"/>
    <s v="Копеечка"/>
    <x v="1"/>
    <x v="1"/>
    <x v="18"/>
    <n v="650"/>
    <n v="13"/>
    <x v="375"/>
  </r>
  <r>
    <x v="90"/>
    <s v="Копеечка"/>
    <x v="6"/>
    <x v="1"/>
    <x v="1"/>
    <n v="1380"/>
    <n v="31"/>
    <x v="224"/>
  </r>
  <r>
    <x v="91"/>
    <m/>
    <x v="2"/>
    <x v="3"/>
    <x v="3"/>
    <m/>
    <m/>
    <x v="616"/>
  </r>
  <r>
    <x v="92"/>
    <s v="Евроопт"/>
    <x v="0"/>
    <x v="4"/>
    <x v="13"/>
    <n v="1505"/>
    <n v="56"/>
    <x v="617"/>
  </r>
  <r>
    <x v="92"/>
    <s v="Виталюр"/>
    <x v="4"/>
    <x v="1"/>
    <x v="1"/>
    <n v="1380"/>
    <n v="58"/>
    <x v="618"/>
  </r>
  <r>
    <x v="92"/>
    <s v="Виталюр"/>
    <x v="4"/>
    <x v="1"/>
    <x v="20"/>
    <n v="650"/>
    <n v="26"/>
    <x v="619"/>
  </r>
  <r>
    <x v="92"/>
    <s v="Соседи"/>
    <x v="4"/>
    <x v="2"/>
    <x v="4"/>
    <n v="450"/>
    <n v="58"/>
    <x v="620"/>
  </r>
  <r>
    <x v="92"/>
    <s v="Виталюр"/>
    <x v="1"/>
    <x v="2"/>
    <x v="9"/>
    <n v="690"/>
    <n v="69"/>
    <x v="422"/>
  </r>
  <r>
    <x v="92"/>
    <s v="Соседи"/>
    <x v="1"/>
    <x v="0"/>
    <x v="10"/>
    <n v="1230"/>
    <n v="60"/>
    <x v="621"/>
  </r>
  <r>
    <x v="92"/>
    <s v="Копеечка"/>
    <x v="1"/>
    <x v="0"/>
    <x v="5"/>
    <n v="930"/>
    <n v="6"/>
    <x v="279"/>
  </r>
  <r>
    <x v="92"/>
    <s v="Соседи"/>
    <x v="1"/>
    <x v="0"/>
    <x v="24"/>
    <n v="2540"/>
    <n v="13"/>
    <x v="622"/>
  </r>
  <r>
    <x v="92"/>
    <s v="Копеечка"/>
    <x v="1"/>
    <x v="0"/>
    <x v="0"/>
    <n v="1320"/>
    <n v="39"/>
    <x v="623"/>
  </r>
  <r>
    <x v="92"/>
    <s v="Евроопт"/>
    <x v="6"/>
    <x v="1"/>
    <x v="23"/>
    <n v="705"/>
    <n v="55"/>
    <x v="624"/>
  </r>
  <r>
    <x v="92"/>
    <s v="Копеечка"/>
    <x v="6"/>
    <x v="1"/>
    <x v="20"/>
    <n v="650"/>
    <n v="12"/>
    <x v="625"/>
  </r>
  <r>
    <x v="92"/>
    <s v="Евроопт"/>
    <x v="6"/>
    <x v="1"/>
    <x v="18"/>
    <n v="650"/>
    <n v="18"/>
    <x v="480"/>
  </r>
  <r>
    <x v="93"/>
    <m/>
    <x v="2"/>
    <x v="3"/>
    <x v="3"/>
    <m/>
    <m/>
    <x v="626"/>
  </r>
  <r>
    <x v="94"/>
    <s v="Евроопт"/>
    <x v="3"/>
    <x v="2"/>
    <x v="9"/>
    <n v="690"/>
    <n v="85"/>
    <x v="627"/>
  </r>
  <r>
    <x v="94"/>
    <s v="Евроопт"/>
    <x v="3"/>
    <x v="0"/>
    <x v="22"/>
    <n v="1420"/>
    <n v="81"/>
    <x v="252"/>
  </r>
  <r>
    <x v="94"/>
    <s v="Виталюр"/>
    <x v="0"/>
    <x v="1"/>
    <x v="6"/>
    <n v="640"/>
    <n v="77"/>
    <x v="297"/>
  </r>
  <r>
    <x v="94"/>
    <s v="Копеечка"/>
    <x v="0"/>
    <x v="2"/>
    <x v="8"/>
    <n v="460"/>
    <n v="33"/>
    <x v="628"/>
  </r>
  <r>
    <x v="94"/>
    <s v="Виталюр"/>
    <x v="4"/>
    <x v="1"/>
    <x v="19"/>
    <n v="540"/>
    <n v="83"/>
    <x v="629"/>
  </r>
  <r>
    <x v="94"/>
    <s v="Евроопт"/>
    <x v="4"/>
    <x v="2"/>
    <x v="16"/>
    <n v="890"/>
    <n v="72"/>
    <x v="630"/>
  </r>
  <r>
    <x v="94"/>
    <s v="Копеечка"/>
    <x v="4"/>
    <x v="0"/>
    <x v="17"/>
    <n v="2400"/>
    <n v="9"/>
    <x v="387"/>
  </r>
  <r>
    <x v="94"/>
    <s v="Виталюр"/>
    <x v="1"/>
    <x v="2"/>
    <x v="8"/>
    <n v="460"/>
    <n v="44"/>
    <x v="587"/>
  </r>
  <r>
    <x v="94"/>
    <s v="Виталюр"/>
    <x v="1"/>
    <x v="2"/>
    <x v="4"/>
    <n v="450"/>
    <n v="61"/>
    <x v="631"/>
  </r>
  <r>
    <x v="94"/>
    <s v="Евроопт"/>
    <x v="1"/>
    <x v="0"/>
    <x v="22"/>
    <n v="1420"/>
    <n v="82"/>
    <x v="632"/>
  </r>
  <r>
    <x v="94"/>
    <s v="Виталюр"/>
    <x v="5"/>
    <x v="1"/>
    <x v="1"/>
    <n v="1380"/>
    <n v="43"/>
    <x v="147"/>
  </r>
  <r>
    <x v="94"/>
    <s v="Евроопт"/>
    <x v="5"/>
    <x v="2"/>
    <x v="16"/>
    <n v="890"/>
    <n v="33"/>
    <x v="633"/>
  </r>
  <r>
    <x v="94"/>
    <s v="Соседи"/>
    <x v="5"/>
    <x v="2"/>
    <x v="2"/>
    <n v="325"/>
    <n v="48"/>
    <x v="337"/>
  </r>
  <r>
    <x v="94"/>
    <s v="Копеечка"/>
    <x v="5"/>
    <x v="0"/>
    <x v="0"/>
    <n v="1320"/>
    <n v="27"/>
    <x v="577"/>
  </r>
  <r>
    <x v="94"/>
    <s v="Соседи"/>
    <x v="5"/>
    <x v="0"/>
    <x v="10"/>
    <n v="1230"/>
    <n v="71"/>
    <x v="634"/>
  </r>
  <r>
    <x v="95"/>
    <m/>
    <x v="2"/>
    <x v="3"/>
    <x v="3"/>
    <m/>
    <m/>
    <x v="635"/>
  </r>
  <r>
    <x v="96"/>
    <s v="Виталюр"/>
    <x v="3"/>
    <x v="1"/>
    <x v="19"/>
    <n v="540"/>
    <n v="86"/>
    <x v="433"/>
  </r>
  <r>
    <x v="96"/>
    <s v="Виталюр"/>
    <x v="3"/>
    <x v="0"/>
    <x v="0"/>
    <n v="1320"/>
    <n v="84"/>
    <x v="95"/>
  </r>
  <r>
    <x v="96"/>
    <s v="Виталюр"/>
    <x v="4"/>
    <x v="1"/>
    <x v="18"/>
    <n v="650"/>
    <n v="89"/>
    <x v="218"/>
  </r>
  <r>
    <x v="96"/>
    <s v="Соседи"/>
    <x v="1"/>
    <x v="2"/>
    <x v="12"/>
    <n v="715"/>
    <n v="5"/>
    <x v="271"/>
  </r>
  <r>
    <x v="96"/>
    <s v="Евроопт"/>
    <x v="1"/>
    <x v="4"/>
    <x v="14"/>
    <n v="1670"/>
    <n v="52"/>
    <x v="501"/>
  </r>
  <r>
    <x v="96"/>
    <s v="Копеечка"/>
    <x v="5"/>
    <x v="2"/>
    <x v="8"/>
    <n v="460"/>
    <n v="48"/>
    <x v="253"/>
  </r>
  <r>
    <x v="96"/>
    <s v="Соседи"/>
    <x v="5"/>
    <x v="2"/>
    <x v="16"/>
    <n v="890"/>
    <n v="38"/>
    <x v="636"/>
  </r>
  <r>
    <x v="96"/>
    <s v="Виталюр"/>
    <x v="5"/>
    <x v="2"/>
    <x v="4"/>
    <n v="450"/>
    <n v="77"/>
    <x v="637"/>
  </r>
  <r>
    <x v="96"/>
    <s v="Соседи"/>
    <x v="5"/>
    <x v="0"/>
    <x v="5"/>
    <n v="930"/>
    <n v="29"/>
    <x v="638"/>
  </r>
  <r>
    <x v="96"/>
    <s v="Евроопт"/>
    <x v="5"/>
    <x v="0"/>
    <x v="22"/>
    <n v="1420"/>
    <n v="37"/>
    <x v="276"/>
  </r>
  <r>
    <x v="96"/>
    <s v="Соседи"/>
    <x v="5"/>
    <x v="4"/>
    <x v="13"/>
    <n v="1505"/>
    <n v="6"/>
    <x v="14"/>
  </r>
  <r>
    <x v="96"/>
    <s v="Соседи"/>
    <x v="6"/>
    <x v="1"/>
    <x v="20"/>
    <n v="650"/>
    <n v="71"/>
    <x v="161"/>
  </r>
  <r>
    <x v="96"/>
    <s v="Виталюр"/>
    <x v="6"/>
    <x v="4"/>
    <x v="7"/>
    <n v="1760"/>
    <n v="27"/>
    <x v="413"/>
  </r>
  <r>
    <x v="97"/>
    <m/>
    <x v="2"/>
    <x v="3"/>
    <x v="3"/>
    <m/>
    <m/>
    <x v="639"/>
  </r>
  <r>
    <x v="98"/>
    <s v="Евроопт"/>
    <x v="3"/>
    <x v="1"/>
    <x v="1"/>
    <n v="1380"/>
    <n v="75"/>
    <x v="640"/>
  </r>
  <r>
    <x v="98"/>
    <s v="Виталюр"/>
    <x v="3"/>
    <x v="1"/>
    <x v="19"/>
    <n v="540"/>
    <n v="47"/>
    <x v="641"/>
  </r>
  <r>
    <x v="98"/>
    <s v="Соседи"/>
    <x v="3"/>
    <x v="2"/>
    <x v="9"/>
    <n v="690"/>
    <n v="84"/>
    <x v="69"/>
  </r>
  <r>
    <x v="98"/>
    <s v="Соседи"/>
    <x v="3"/>
    <x v="4"/>
    <x v="21"/>
    <n v="3205"/>
    <n v="42"/>
    <x v="642"/>
  </r>
  <r>
    <x v="98"/>
    <s v="Евроопт"/>
    <x v="3"/>
    <x v="4"/>
    <x v="14"/>
    <n v="1670"/>
    <n v="95"/>
    <x v="643"/>
  </r>
  <r>
    <x v="98"/>
    <s v="Евроопт"/>
    <x v="0"/>
    <x v="1"/>
    <x v="20"/>
    <n v="650"/>
    <n v="73"/>
    <x v="644"/>
  </r>
  <r>
    <x v="98"/>
    <s v="Виталюр"/>
    <x v="4"/>
    <x v="1"/>
    <x v="19"/>
    <n v="540"/>
    <n v="10"/>
    <x v="148"/>
  </r>
  <r>
    <x v="98"/>
    <s v="Соседи"/>
    <x v="4"/>
    <x v="0"/>
    <x v="22"/>
    <n v="1420"/>
    <n v="97"/>
    <x v="70"/>
  </r>
  <r>
    <x v="98"/>
    <s v="Копеечка"/>
    <x v="1"/>
    <x v="1"/>
    <x v="20"/>
    <n v="650"/>
    <n v="41"/>
    <x v="645"/>
  </r>
  <r>
    <x v="98"/>
    <s v="Евроопт"/>
    <x v="1"/>
    <x v="2"/>
    <x v="2"/>
    <n v="325"/>
    <n v="80"/>
    <x v="376"/>
  </r>
  <r>
    <x v="98"/>
    <s v="Копеечка"/>
    <x v="1"/>
    <x v="4"/>
    <x v="11"/>
    <n v="2970"/>
    <n v="85"/>
    <x v="646"/>
  </r>
  <r>
    <x v="98"/>
    <s v="Евроопт"/>
    <x v="5"/>
    <x v="1"/>
    <x v="1"/>
    <n v="1380"/>
    <n v="73"/>
    <x v="647"/>
  </r>
  <r>
    <x v="98"/>
    <s v="Виталюр"/>
    <x v="6"/>
    <x v="1"/>
    <x v="18"/>
    <n v="650"/>
    <n v="63"/>
    <x v="175"/>
  </r>
  <r>
    <x v="99"/>
    <m/>
    <x v="2"/>
    <x v="3"/>
    <x v="3"/>
    <m/>
    <m/>
    <x v="648"/>
  </r>
  <r>
    <x v="100"/>
    <s v="Виталюр"/>
    <x v="3"/>
    <x v="1"/>
    <x v="6"/>
    <n v="640"/>
    <n v="98"/>
    <x v="649"/>
  </r>
  <r>
    <x v="100"/>
    <s v="Евроопт"/>
    <x v="0"/>
    <x v="2"/>
    <x v="8"/>
    <n v="460"/>
    <n v="61"/>
    <x v="650"/>
  </r>
  <r>
    <x v="100"/>
    <s v="Евроопт"/>
    <x v="0"/>
    <x v="4"/>
    <x v="13"/>
    <n v="1505"/>
    <n v="51"/>
    <x v="651"/>
  </r>
  <r>
    <x v="100"/>
    <s v="Копеечка"/>
    <x v="4"/>
    <x v="1"/>
    <x v="6"/>
    <n v="640"/>
    <n v="78"/>
    <x v="652"/>
  </r>
  <r>
    <x v="100"/>
    <s v="Копеечка"/>
    <x v="4"/>
    <x v="0"/>
    <x v="5"/>
    <n v="930"/>
    <n v="34"/>
    <x v="653"/>
  </r>
  <r>
    <x v="100"/>
    <s v="Копеечка"/>
    <x v="1"/>
    <x v="0"/>
    <x v="24"/>
    <n v="2540"/>
    <n v="91"/>
    <x v="322"/>
  </r>
  <r>
    <x v="100"/>
    <s v="Копеечка"/>
    <x v="1"/>
    <x v="0"/>
    <x v="10"/>
    <n v="1230"/>
    <n v="40"/>
    <x v="369"/>
  </r>
  <r>
    <x v="100"/>
    <s v="Виталюр"/>
    <x v="5"/>
    <x v="1"/>
    <x v="19"/>
    <n v="540"/>
    <n v="52"/>
    <x v="654"/>
  </r>
  <r>
    <x v="100"/>
    <s v="Соседи"/>
    <x v="5"/>
    <x v="0"/>
    <x v="22"/>
    <n v="1420"/>
    <n v="89"/>
    <x v="655"/>
  </r>
  <r>
    <x v="101"/>
    <m/>
    <x v="2"/>
    <x v="3"/>
    <x v="3"/>
    <m/>
    <m/>
    <x v="656"/>
  </r>
  <r>
    <x v="102"/>
    <s v="Виталюр"/>
    <x v="3"/>
    <x v="0"/>
    <x v="22"/>
    <n v="1420"/>
    <n v="20"/>
    <x v="657"/>
  </r>
  <r>
    <x v="102"/>
    <s v="Виталюр"/>
    <x v="3"/>
    <x v="0"/>
    <x v="24"/>
    <n v="2540"/>
    <n v="21"/>
    <x v="658"/>
  </r>
  <r>
    <x v="102"/>
    <s v="Евроопт"/>
    <x v="0"/>
    <x v="1"/>
    <x v="19"/>
    <n v="540"/>
    <n v="6"/>
    <x v="438"/>
  </r>
  <r>
    <x v="102"/>
    <s v="Евроопт"/>
    <x v="0"/>
    <x v="2"/>
    <x v="4"/>
    <n v="450"/>
    <n v="33"/>
    <x v="612"/>
  </r>
  <r>
    <x v="102"/>
    <s v="Копеечка"/>
    <x v="4"/>
    <x v="2"/>
    <x v="8"/>
    <n v="460"/>
    <n v="83"/>
    <x v="8"/>
  </r>
  <r>
    <x v="102"/>
    <s v="Соседи"/>
    <x v="1"/>
    <x v="0"/>
    <x v="0"/>
    <n v="1320"/>
    <n v="17"/>
    <x v="659"/>
  </r>
  <r>
    <x v="102"/>
    <s v="Евроопт"/>
    <x v="5"/>
    <x v="4"/>
    <x v="7"/>
    <n v="1760"/>
    <n v="33"/>
    <x v="660"/>
  </r>
  <r>
    <x v="102"/>
    <s v="Соседи"/>
    <x v="5"/>
    <x v="4"/>
    <x v="21"/>
    <n v="3205"/>
    <n v="11"/>
    <x v="661"/>
  </r>
  <r>
    <x v="102"/>
    <s v="Виталюр"/>
    <x v="6"/>
    <x v="4"/>
    <x v="21"/>
    <n v="3205"/>
    <n v="41"/>
    <x v="662"/>
  </r>
  <r>
    <x v="103"/>
    <m/>
    <x v="2"/>
    <x v="3"/>
    <x v="3"/>
    <m/>
    <m/>
    <x v="663"/>
  </r>
  <r>
    <x v="104"/>
    <s v="Соседи"/>
    <x v="4"/>
    <x v="1"/>
    <x v="18"/>
    <n v="650"/>
    <n v="71"/>
    <x v="161"/>
  </r>
  <r>
    <x v="104"/>
    <s v="Виталюр"/>
    <x v="4"/>
    <x v="2"/>
    <x v="4"/>
    <n v="450"/>
    <n v="27"/>
    <x v="664"/>
  </r>
  <r>
    <x v="104"/>
    <s v="Евроопт"/>
    <x v="4"/>
    <x v="2"/>
    <x v="9"/>
    <n v="690"/>
    <n v="27"/>
    <x v="383"/>
  </r>
  <r>
    <x v="104"/>
    <s v="Евроопт"/>
    <x v="5"/>
    <x v="1"/>
    <x v="20"/>
    <n v="650"/>
    <n v="14"/>
    <x v="665"/>
  </r>
  <r>
    <x v="104"/>
    <s v="Соседи"/>
    <x v="6"/>
    <x v="2"/>
    <x v="4"/>
    <n v="450"/>
    <n v="78"/>
    <x v="158"/>
  </r>
  <r>
    <x v="105"/>
    <m/>
    <x v="2"/>
    <x v="3"/>
    <x v="3"/>
    <m/>
    <m/>
    <x v="666"/>
  </r>
  <r>
    <x v="106"/>
    <s v="Копеечка"/>
    <x v="0"/>
    <x v="2"/>
    <x v="9"/>
    <n v="690"/>
    <n v="32"/>
    <x v="253"/>
  </r>
  <r>
    <x v="106"/>
    <s v="Виталюр"/>
    <x v="1"/>
    <x v="1"/>
    <x v="18"/>
    <n v="650"/>
    <n v="46"/>
    <x v="667"/>
  </r>
  <r>
    <x v="106"/>
    <s v="Виталюр"/>
    <x v="1"/>
    <x v="4"/>
    <x v="7"/>
    <n v="1760"/>
    <n v="75"/>
    <x v="524"/>
  </r>
  <r>
    <x v="106"/>
    <s v="Копеечка"/>
    <x v="5"/>
    <x v="0"/>
    <x v="5"/>
    <n v="930"/>
    <n v="67"/>
    <x v="668"/>
  </r>
  <r>
    <x v="106"/>
    <s v="Соседи"/>
    <x v="5"/>
    <x v="0"/>
    <x v="10"/>
    <n v="1230"/>
    <n v="95"/>
    <x v="669"/>
  </r>
  <r>
    <x v="107"/>
    <m/>
    <x v="2"/>
    <x v="3"/>
    <x v="3"/>
    <m/>
    <m/>
    <x v="670"/>
  </r>
  <r>
    <x v="108"/>
    <s v="Виталюр"/>
    <x v="3"/>
    <x v="1"/>
    <x v="23"/>
    <n v="705"/>
    <n v="22"/>
    <x v="671"/>
  </r>
  <r>
    <x v="108"/>
    <s v="Соседи"/>
    <x v="3"/>
    <x v="1"/>
    <x v="20"/>
    <n v="650"/>
    <n v="8"/>
    <x v="672"/>
  </r>
  <r>
    <x v="108"/>
    <s v="Копеечка"/>
    <x v="0"/>
    <x v="2"/>
    <x v="9"/>
    <n v="690"/>
    <n v="97"/>
    <x v="538"/>
  </r>
  <r>
    <x v="108"/>
    <s v="Виталюр"/>
    <x v="0"/>
    <x v="2"/>
    <x v="2"/>
    <n v="325"/>
    <n v="32"/>
    <x v="673"/>
  </r>
  <r>
    <x v="108"/>
    <s v="Копеечка"/>
    <x v="0"/>
    <x v="4"/>
    <x v="13"/>
    <n v="1505"/>
    <n v="34"/>
    <x v="674"/>
  </r>
  <r>
    <x v="108"/>
    <s v="Виталюр"/>
    <x v="0"/>
    <x v="4"/>
    <x v="11"/>
    <n v="2970"/>
    <n v="92"/>
    <x v="675"/>
  </r>
  <r>
    <x v="108"/>
    <s v="Соседи"/>
    <x v="4"/>
    <x v="0"/>
    <x v="24"/>
    <n v="2540"/>
    <n v="65"/>
    <x v="292"/>
  </r>
  <r>
    <x v="108"/>
    <s v="Виталюр"/>
    <x v="1"/>
    <x v="1"/>
    <x v="6"/>
    <n v="640"/>
    <n v="40"/>
    <x v="676"/>
  </r>
  <r>
    <x v="108"/>
    <s v="Соседи"/>
    <x v="1"/>
    <x v="2"/>
    <x v="12"/>
    <n v="715"/>
    <n v="50"/>
    <x v="677"/>
  </r>
  <r>
    <x v="108"/>
    <s v="Соседи"/>
    <x v="1"/>
    <x v="2"/>
    <x v="16"/>
    <n v="890"/>
    <n v="89"/>
    <x v="678"/>
  </r>
  <r>
    <x v="108"/>
    <s v="Евроопт"/>
    <x v="6"/>
    <x v="2"/>
    <x v="16"/>
    <n v="890"/>
    <n v="99"/>
    <x v="679"/>
  </r>
  <r>
    <x v="109"/>
    <m/>
    <x v="2"/>
    <x v="3"/>
    <x v="3"/>
    <m/>
    <m/>
    <x v="680"/>
  </r>
  <r>
    <x v="110"/>
    <s v="Виталюр"/>
    <x v="3"/>
    <x v="2"/>
    <x v="8"/>
    <n v="460"/>
    <n v="34"/>
    <x v="681"/>
  </r>
  <r>
    <x v="110"/>
    <s v="Евроопт"/>
    <x v="0"/>
    <x v="1"/>
    <x v="19"/>
    <n v="540"/>
    <n v="55"/>
    <x v="227"/>
  </r>
  <r>
    <x v="110"/>
    <s v="Евроопт"/>
    <x v="4"/>
    <x v="1"/>
    <x v="18"/>
    <n v="650"/>
    <n v="67"/>
    <x v="498"/>
  </r>
  <r>
    <x v="110"/>
    <s v="Виталюр"/>
    <x v="4"/>
    <x v="2"/>
    <x v="2"/>
    <n v="325"/>
    <n v="37"/>
    <x v="260"/>
  </r>
  <r>
    <x v="110"/>
    <s v="Копеечка"/>
    <x v="4"/>
    <x v="4"/>
    <x v="21"/>
    <n v="3205"/>
    <n v="90"/>
    <x v="169"/>
  </r>
  <r>
    <x v="110"/>
    <s v="Виталюр"/>
    <x v="1"/>
    <x v="0"/>
    <x v="17"/>
    <n v="2400"/>
    <n v="8"/>
    <x v="191"/>
  </r>
  <r>
    <x v="110"/>
    <s v="Соседи"/>
    <x v="1"/>
    <x v="0"/>
    <x v="5"/>
    <n v="930"/>
    <n v="38"/>
    <x v="280"/>
  </r>
  <r>
    <x v="110"/>
    <s v="Виталюр"/>
    <x v="1"/>
    <x v="0"/>
    <x v="24"/>
    <n v="2540"/>
    <n v="51"/>
    <x v="682"/>
  </r>
  <r>
    <x v="110"/>
    <s v="Соседи"/>
    <x v="5"/>
    <x v="1"/>
    <x v="20"/>
    <n v="650"/>
    <n v="9"/>
    <x v="683"/>
  </r>
  <r>
    <x v="110"/>
    <s v="Евроопт"/>
    <x v="5"/>
    <x v="1"/>
    <x v="23"/>
    <n v="705"/>
    <n v="17"/>
    <x v="684"/>
  </r>
  <r>
    <x v="110"/>
    <s v="Виталюр"/>
    <x v="5"/>
    <x v="2"/>
    <x v="12"/>
    <n v="715"/>
    <n v="54"/>
    <x v="603"/>
  </r>
  <r>
    <x v="110"/>
    <s v="Копеечка"/>
    <x v="5"/>
    <x v="0"/>
    <x v="10"/>
    <n v="1230"/>
    <n v="58"/>
    <x v="613"/>
  </r>
  <r>
    <x v="110"/>
    <s v="Копеечка"/>
    <x v="6"/>
    <x v="4"/>
    <x v="11"/>
    <n v="2970"/>
    <n v="49"/>
    <x v="685"/>
  </r>
  <r>
    <x v="110"/>
    <s v="Виталюр"/>
    <x v="6"/>
    <x v="4"/>
    <x v="21"/>
    <n v="3205"/>
    <n v="80"/>
    <x v="545"/>
  </r>
  <r>
    <x v="111"/>
    <m/>
    <x v="2"/>
    <x v="3"/>
    <x v="3"/>
    <m/>
    <m/>
    <x v="686"/>
  </r>
  <r>
    <x v="112"/>
    <s v="Виталюр"/>
    <x v="3"/>
    <x v="1"/>
    <x v="18"/>
    <n v="650"/>
    <n v="54"/>
    <x v="158"/>
  </r>
  <r>
    <x v="112"/>
    <s v="Копеечка"/>
    <x v="3"/>
    <x v="0"/>
    <x v="5"/>
    <n v="930"/>
    <n v="90"/>
    <x v="687"/>
  </r>
  <r>
    <x v="112"/>
    <s v="Копеечка"/>
    <x v="0"/>
    <x v="4"/>
    <x v="21"/>
    <n v="3205"/>
    <n v="74"/>
    <x v="557"/>
  </r>
  <r>
    <x v="112"/>
    <s v="Евроопт"/>
    <x v="4"/>
    <x v="4"/>
    <x v="21"/>
    <n v="3205"/>
    <n v="18"/>
    <x v="688"/>
  </r>
  <r>
    <x v="112"/>
    <s v="Копеечка"/>
    <x v="1"/>
    <x v="1"/>
    <x v="20"/>
    <n v="650"/>
    <n v="27"/>
    <x v="689"/>
  </r>
  <r>
    <x v="112"/>
    <s v="Соседи"/>
    <x v="1"/>
    <x v="2"/>
    <x v="9"/>
    <n v="690"/>
    <n v="52"/>
    <x v="690"/>
  </r>
  <r>
    <x v="112"/>
    <s v="Соседи"/>
    <x v="5"/>
    <x v="2"/>
    <x v="12"/>
    <n v="715"/>
    <n v="79"/>
    <x v="240"/>
  </r>
  <r>
    <x v="112"/>
    <s v="Виталюр"/>
    <x v="5"/>
    <x v="2"/>
    <x v="9"/>
    <n v="690"/>
    <n v="98"/>
    <x v="691"/>
  </r>
  <r>
    <x v="112"/>
    <s v="Евроопт"/>
    <x v="5"/>
    <x v="0"/>
    <x v="10"/>
    <n v="1230"/>
    <n v="32"/>
    <x v="581"/>
  </r>
  <r>
    <x v="112"/>
    <s v="Соседи"/>
    <x v="6"/>
    <x v="1"/>
    <x v="6"/>
    <n v="640"/>
    <n v="51"/>
    <x v="692"/>
  </r>
  <r>
    <x v="112"/>
    <s v="Евроопт"/>
    <x v="6"/>
    <x v="0"/>
    <x v="22"/>
    <n v="1420"/>
    <n v="99"/>
    <x v="693"/>
  </r>
  <r>
    <x v="113"/>
    <m/>
    <x v="2"/>
    <x v="3"/>
    <x v="3"/>
    <m/>
    <m/>
    <x v="694"/>
  </r>
  <r>
    <x v="114"/>
    <s v="Копеечка"/>
    <x v="4"/>
    <x v="4"/>
    <x v="14"/>
    <n v="1670"/>
    <n v="11"/>
    <x v="695"/>
  </r>
  <r>
    <x v="114"/>
    <s v="Соседи"/>
    <x v="1"/>
    <x v="1"/>
    <x v="1"/>
    <n v="1380"/>
    <n v="23"/>
    <x v="610"/>
  </r>
  <r>
    <x v="114"/>
    <s v="Виталюр"/>
    <x v="1"/>
    <x v="4"/>
    <x v="14"/>
    <n v="1670"/>
    <n v="77"/>
    <x v="396"/>
  </r>
  <r>
    <x v="114"/>
    <s v="Соседи"/>
    <x v="5"/>
    <x v="1"/>
    <x v="1"/>
    <n v="1380"/>
    <n v="81"/>
    <x v="696"/>
  </r>
  <r>
    <x v="114"/>
    <s v="Копеечка"/>
    <x v="5"/>
    <x v="1"/>
    <x v="18"/>
    <n v="650"/>
    <n v="58"/>
    <x v="173"/>
  </r>
  <r>
    <x v="114"/>
    <s v="Виталюр"/>
    <x v="5"/>
    <x v="4"/>
    <x v="11"/>
    <n v="2970"/>
    <n v="78"/>
    <x v="697"/>
  </r>
  <r>
    <x v="115"/>
    <m/>
    <x v="2"/>
    <x v="3"/>
    <x v="3"/>
    <m/>
    <m/>
    <x v="698"/>
  </r>
  <r>
    <x v="116"/>
    <s v="Соседи"/>
    <x v="3"/>
    <x v="1"/>
    <x v="18"/>
    <n v="650"/>
    <n v="62"/>
    <x v="699"/>
  </r>
  <r>
    <x v="116"/>
    <s v="Виталюр"/>
    <x v="3"/>
    <x v="0"/>
    <x v="10"/>
    <n v="1230"/>
    <n v="47"/>
    <x v="700"/>
  </r>
  <r>
    <x v="116"/>
    <s v="Копеечка"/>
    <x v="3"/>
    <x v="0"/>
    <x v="22"/>
    <n v="1420"/>
    <n v="83"/>
    <x v="701"/>
  </r>
  <r>
    <x v="116"/>
    <s v="Копеечка"/>
    <x v="0"/>
    <x v="2"/>
    <x v="9"/>
    <n v="690"/>
    <n v="82"/>
    <x v="556"/>
  </r>
  <r>
    <x v="116"/>
    <s v="Виталюр"/>
    <x v="0"/>
    <x v="0"/>
    <x v="0"/>
    <n v="1320"/>
    <n v="47"/>
    <x v="541"/>
  </r>
  <r>
    <x v="116"/>
    <s v="Копеечка"/>
    <x v="4"/>
    <x v="4"/>
    <x v="13"/>
    <n v="1505"/>
    <n v="78"/>
    <x v="702"/>
  </r>
  <r>
    <x v="116"/>
    <s v="Соседи"/>
    <x v="1"/>
    <x v="4"/>
    <x v="7"/>
    <n v="1760"/>
    <n v="91"/>
    <x v="703"/>
  </r>
  <r>
    <x v="116"/>
    <s v="Виталюр"/>
    <x v="5"/>
    <x v="1"/>
    <x v="19"/>
    <n v="540"/>
    <n v="18"/>
    <x v="704"/>
  </r>
  <r>
    <x v="116"/>
    <s v="Евроопт"/>
    <x v="5"/>
    <x v="1"/>
    <x v="23"/>
    <n v="705"/>
    <n v="90"/>
    <x v="85"/>
  </r>
  <r>
    <x v="117"/>
    <m/>
    <x v="2"/>
    <x v="3"/>
    <x v="3"/>
    <m/>
    <m/>
    <x v="705"/>
  </r>
  <r>
    <x v="118"/>
    <s v="Соседи"/>
    <x v="3"/>
    <x v="0"/>
    <x v="24"/>
    <n v="2540"/>
    <n v="48"/>
    <x v="706"/>
  </r>
  <r>
    <x v="118"/>
    <s v="Евроопт"/>
    <x v="3"/>
    <x v="4"/>
    <x v="7"/>
    <n v="1760"/>
    <n v="84"/>
    <x v="7"/>
  </r>
  <r>
    <x v="118"/>
    <s v="Копеечка"/>
    <x v="0"/>
    <x v="4"/>
    <x v="13"/>
    <n v="1505"/>
    <n v="46"/>
    <x v="707"/>
  </r>
  <r>
    <x v="118"/>
    <s v="Виталюр"/>
    <x v="1"/>
    <x v="1"/>
    <x v="23"/>
    <n v="705"/>
    <n v="5"/>
    <x v="708"/>
  </r>
  <r>
    <x v="118"/>
    <s v="Соседи"/>
    <x v="1"/>
    <x v="1"/>
    <x v="19"/>
    <n v="540"/>
    <n v="76"/>
    <x v="709"/>
  </r>
  <r>
    <x v="118"/>
    <s v="Копеечка"/>
    <x v="1"/>
    <x v="1"/>
    <x v="18"/>
    <n v="650"/>
    <n v="90"/>
    <x v="226"/>
  </r>
  <r>
    <x v="118"/>
    <s v="Копеечка"/>
    <x v="1"/>
    <x v="0"/>
    <x v="22"/>
    <n v="1420"/>
    <n v="98"/>
    <x v="710"/>
  </r>
  <r>
    <x v="118"/>
    <s v="Копеечка"/>
    <x v="5"/>
    <x v="1"/>
    <x v="1"/>
    <n v="1380"/>
    <n v="43"/>
    <x v="147"/>
  </r>
  <r>
    <x v="118"/>
    <s v="Копеечка"/>
    <x v="6"/>
    <x v="1"/>
    <x v="1"/>
    <n v="1380"/>
    <n v="74"/>
    <x v="602"/>
  </r>
  <r>
    <x v="118"/>
    <s v="Евроопт"/>
    <x v="6"/>
    <x v="1"/>
    <x v="6"/>
    <n v="640"/>
    <n v="53"/>
    <x v="711"/>
  </r>
  <r>
    <x v="119"/>
    <m/>
    <x v="2"/>
    <x v="3"/>
    <x v="3"/>
    <m/>
    <m/>
    <x v="712"/>
  </r>
  <r>
    <x v="120"/>
    <s v="Евроопт"/>
    <x v="0"/>
    <x v="0"/>
    <x v="5"/>
    <n v="930"/>
    <n v="47"/>
    <x v="713"/>
  </r>
  <r>
    <x v="120"/>
    <s v="Евроопт"/>
    <x v="4"/>
    <x v="1"/>
    <x v="18"/>
    <n v="650"/>
    <n v="52"/>
    <x v="714"/>
  </r>
  <r>
    <x v="120"/>
    <s v="Евроопт"/>
    <x v="4"/>
    <x v="1"/>
    <x v="23"/>
    <n v="705"/>
    <n v="5"/>
    <x v="708"/>
  </r>
  <r>
    <x v="120"/>
    <s v="Копеечка"/>
    <x v="4"/>
    <x v="2"/>
    <x v="4"/>
    <n v="450"/>
    <n v="56"/>
    <x v="715"/>
  </r>
  <r>
    <x v="120"/>
    <s v="Евроопт"/>
    <x v="1"/>
    <x v="1"/>
    <x v="1"/>
    <n v="1380"/>
    <n v="34"/>
    <x v="180"/>
  </r>
  <r>
    <x v="120"/>
    <s v="Соседи"/>
    <x v="1"/>
    <x v="2"/>
    <x v="2"/>
    <n v="325"/>
    <n v="18"/>
    <x v="683"/>
  </r>
  <r>
    <x v="120"/>
    <s v="Копеечка"/>
    <x v="1"/>
    <x v="2"/>
    <x v="2"/>
    <n v="325"/>
    <n v="23"/>
    <x v="716"/>
  </r>
  <r>
    <x v="120"/>
    <s v="Виталюр"/>
    <x v="5"/>
    <x v="1"/>
    <x v="23"/>
    <n v="705"/>
    <n v="78"/>
    <x v="717"/>
  </r>
  <r>
    <x v="121"/>
    <m/>
    <x v="2"/>
    <x v="3"/>
    <x v="3"/>
    <m/>
    <m/>
    <x v="718"/>
  </r>
  <r>
    <x v="122"/>
    <s v="Соседи"/>
    <x v="3"/>
    <x v="0"/>
    <x v="10"/>
    <n v="1230"/>
    <n v="29"/>
    <x v="719"/>
  </r>
  <r>
    <x v="122"/>
    <s v="Виталюр"/>
    <x v="3"/>
    <x v="4"/>
    <x v="14"/>
    <n v="1670"/>
    <n v="78"/>
    <x v="720"/>
  </r>
  <r>
    <x v="122"/>
    <s v="Копеечка"/>
    <x v="1"/>
    <x v="4"/>
    <x v="7"/>
    <n v="1760"/>
    <n v="92"/>
    <x v="176"/>
  </r>
  <r>
    <x v="122"/>
    <s v="Виталюр"/>
    <x v="5"/>
    <x v="1"/>
    <x v="1"/>
    <n v="1380"/>
    <n v="68"/>
    <x v="721"/>
  </r>
  <r>
    <x v="122"/>
    <s v="Соседи"/>
    <x v="6"/>
    <x v="2"/>
    <x v="2"/>
    <n v="325"/>
    <n v="5"/>
    <x v="611"/>
  </r>
  <r>
    <x v="122"/>
    <s v="Евроопт"/>
    <x v="6"/>
    <x v="0"/>
    <x v="17"/>
    <n v="2400"/>
    <n v="76"/>
    <x v="722"/>
  </r>
  <r>
    <x v="122"/>
    <s v="Евроопт"/>
    <x v="6"/>
    <x v="4"/>
    <x v="13"/>
    <n v="1505"/>
    <n v="34"/>
    <x v="674"/>
  </r>
  <r>
    <x v="123"/>
    <m/>
    <x v="2"/>
    <x v="3"/>
    <x v="3"/>
    <m/>
    <m/>
    <x v="723"/>
  </r>
  <r>
    <x v="124"/>
    <s v="Виталюр"/>
    <x v="3"/>
    <x v="0"/>
    <x v="17"/>
    <n v="2400"/>
    <n v="21"/>
    <x v="724"/>
  </r>
  <r>
    <x v="124"/>
    <s v="Соседи"/>
    <x v="0"/>
    <x v="0"/>
    <x v="17"/>
    <n v="2400"/>
    <n v="27"/>
    <x v="725"/>
  </r>
  <r>
    <x v="124"/>
    <s v="Евроопт"/>
    <x v="0"/>
    <x v="4"/>
    <x v="21"/>
    <n v="3205"/>
    <n v="81"/>
    <x v="540"/>
  </r>
  <r>
    <x v="124"/>
    <s v="Виталюр"/>
    <x v="4"/>
    <x v="2"/>
    <x v="9"/>
    <n v="690"/>
    <n v="10"/>
    <x v="726"/>
  </r>
  <r>
    <x v="124"/>
    <s v="Евроопт"/>
    <x v="4"/>
    <x v="2"/>
    <x v="4"/>
    <n v="450"/>
    <n v="74"/>
    <x v="124"/>
  </r>
  <r>
    <x v="124"/>
    <s v="Виталюр"/>
    <x v="4"/>
    <x v="0"/>
    <x v="17"/>
    <n v="2400"/>
    <n v="72"/>
    <x v="727"/>
  </r>
  <r>
    <x v="124"/>
    <s v="Соседи"/>
    <x v="4"/>
    <x v="0"/>
    <x v="24"/>
    <n v="2540"/>
    <n v="79"/>
    <x v="728"/>
  </r>
  <r>
    <x v="124"/>
    <s v="Копеечка"/>
    <x v="1"/>
    <x v="2"/>
    <x v="2"/>
    <n v="325"/>
    <n v="81"/>
    <x v="190"/>
  </r>
  <r>
    <x v="124"/>
    <s v="Виталюр"/>
    <x v="1"/>
    <x v="0"/>
    <x v="5"/>
    <n v="930"/>
    <n v="89"/>
    <x v="729"/>
  </r>
  <r>
    <x v="124"/>
    <s v="Соседи"/>
    <x v="5"/>
    <x v="2"/>
    <x v="16"/>
    <n v="890"/>
    <n v="8"/>
    <x v="459"/>
  </r>
  <r>
    <x v="125"/>
    <m/>
    <x v="2"/>
    <x v="3"/>
    <x v="3"/>
    <m/>
    <m/>
    <x v="730"/>
  </r>
  <r>
    <x v="126"/>
    <s v="Евроопт"/>
    <x v="3"/>
    <x v="0"/>
    <x v="5"/>
    <n v="930"/>
    <n v="40"/>
    <x v="372"/>
  </r>
  <r>
    <x v="126"/>
    <s v="Виталюр"/>
    <x v="3"/>
    <x v="0"/>
    <x v="10"/>
    <n v="1230"/>
    <n v="33"/>
    <x v="233"/>
  </r>
  <r>
    <x v="126"/>
    <s v="Копеечка"/>
    <x v="3"/>
    <x v="4"/>
    <x v="13"/>
    <n v="1505"/>
    <n v="74"/>
    <x v="731"/>
  </r>
  <r>
    <x v="126"/>
    <s v="Евроопт"/>
    <x v="4"/>
    <x v="2"/>
    <x v="4"/>
    <n v="450"/>
    <n v="99"/>
    <x v="414"/>
  </r>
  <r>
    <x v="126"/>
    <s v="Копеечка"/>
    <x v="4"/>
    <x v="0"/>
    <x v="5"/>
    <n v="930"/>
    <n v="22"/>
    <x v="120"/>
  </r>
  <r>
    <x v="126"/>
    <s v="Виталюр"/>
    <x v="1"/>
    <x v="0"/>
    <x v="0"/>
    <n v="1320"/>
    <n v="17"/>
    <x v="659"/>
  </r>
  <r>
    <x v="126"/>
    <s v="Евроопт"/>
    <x v="1"/>
    <x v="0"/>
    <x v="10"/>
    <n v="1230"/>
    <n v="94"/>
    <x v="732"/>
  </r>
  <r>
    <x v="126"/>
    <s v="Копеечка"/>
    <x v="5"/>
    <x v="4"/>
    <x v="14"/>
    <n v="1670"/>
    <n v="51"/>
    <x v="733"/>
  </r>
  <r>
    <x v="126"/>
    <s v="Копеечка"/>
    <x v="6"/>
    <x v="1"/>
    <x v="1"/>
    <n v="1380"/>
    <n v="53"/>
    <x v="734"/>
  </r>
  <r>
    <x v="126"/>
    <s v="Копеечка"/>
    <x v="6"/>
    <x v="2"/>
    <x v="8"/>
    <n v="460"/>
    <n v="28"/>
    <x v="735"/>
  </r>
  <r>
    <x v="126"/>
    <s v="Евроопт"/>
    <x v="6"/>
    <x v="2"/>
    <x v="16"/>
    <n v="890"/>
    <n v="18"/>
    <x v="324"/>
  </r>
  <r>
    <x v="126"/>
    <s v="Евроопт"/>
    <x v="6"/>
    <x v="0"/>
    <x v="22"/>
    <n v="1420"/>
    <n v="90"/>
    <x v="736"/>
  </r>
  <r>
    <x v="127"/>
    <m/>
    <x v="2"/>
    <x v="3"/>
    <x v="3"/>
    <m/>
    <m/>
    <x v="737"/>
  </r>
  <r>
    <x v="128"/>
    <s v="Соседи"/>
    <x v="3"/>
    <x v="2"/>
    <x v="9"/>
    <n v="690"/>
    <n v="41"/>
    <x v="738"/>
  </r>
  <r>
    <x v="128"/>
    <s v="Евроопт"/>
    <x v="0"/>
    <x v="2"/>
    <x v="8"/>
    <n v="460"/>
    <n v="12"/>
    <x v="241"/>
  </r>
  <r>
    <x v="128"/>
    <s v="Соседи"/>
    <x v="4"/>
    <x v="0"/>
    <x v="0"/>
    <n v="1320"/>
    <n v="94"/>
    <x v="739"/>
  </r>
  <r>
    <x v="128"/>
    <s v="Соседи"/>
    <x v="1"/>
    <x v="1"/>
    <x v="1"/>
    <n v="1380"/>
    <n v="69"/>
    <x v="740"/>
  </r>
  <r>
    <x v="128"/>
    <s v="Евроопт"/>
    <x v="6"/>
    <x v="1"/>
    <x v="1"/>
    <n v="1380"/>
    <n v="95"/>
    <x v="741"/>
  </r>
  <r>
    <x v="128"/>
    <s v="Евроопт"/>
    <x v="6"/>
    <x v="1"/>
    <x v="18"/>
    <n v="650"/>
    <n v="73"/>
    <x v="644"/>
  </r>
  <r>
    <x v="129"/>
    <m/>
    <x v="2"/>
    <x v="3"/>
    <x v="3"/>
    <m/>
    <m/>
    <x v="742"/>
  </r>
  <r>
    <x v="130"/>
    <s v="Евроопт"/>
    <x v="3"/>
    <x v="2"/>
    <x v="4"/>
    <n v="450"/>
    <n v="38"/>
    <x v="743"/>
  </r>
  <r>
    <x v="130"/>
    <s v="Соседи"/>
    <x v="3"/>
    <x v="2"/>
    <x v="9"/>
    <n v="690"/>
    <n v="66"/>
    <x v="744"/>
  </r>
  <r>
    <x v="130"/>
    <s v="Копеечка"/>
    <x v="3"/>
    <x v="2"/>
    <x v="2"/>
    <n v="325"/>
    <n v="64"/>
    <x v="237"/>
  </r>
  <r>
    <x v="130"/>
    <s v="Евроопт"/>
    <x v="0"/>
    <x v="2"/>
    <x v="4"/>
    <n v="450"/>
    <n v="48"/>
    <x v="387"/>
  </r>
  <r>
    <x v="130"/>
    <s v="Соседи"/>
    <x v="0"/>
    <x v="4"/>
    <x v="7"/>
    <n v="1760"/>
    <n v="49"/>
    <x v="399"/>
  </r>
  <r>
    <x v="130"/>
    <s v="Евроопт"/>
    <x v="4"/>
    <x v="2"/>
    <x v="9"/>
    <n v="690"/>
    <n v="40"/>
    <x v="745"/>
  </r>
  <r>
    <x v="130"/>
    <s v="Копеечка"/>
    <x v="4"/>
    <x v="0"/>
    <x v="10"/>
    <n v="1230"/>
    <n v="28"/>
    <x v="555"/>
  </r>
  <r>
    <x v="130"/>
    <s v="Соседи"/>
    <x v="4"/>
    <x v="4"/>
    <x v="15"/>
    <n v="2460"/>
    <n v="67"/>
    <x v="34"/>
  </r>
  <r>
    <x v="130"/>
    <s v="Виталюр"/>
    <x v="1"/>
    <x v="2"/>
    <x v="8"/>
    <n v="460"/>
    <n v="71"/>
    <x v="408"/>
  </r>
  <r>
    <x v="130"/>
    <s v="Соседи"/>
    <x v="1"/>
    <x v="2"/>
    <x v="12"/>
    <n v="715"/>
    <n v="44"/>
    <x v="746"/>
  </r>
  <r>
    <x v="130"/>
    <s v="Виталюр"/>
    <x v="5"/>
    <x v="1"/>
    <x v="18"/>
    <n v="650"/>
    <n v="84"/>
    <x v="747"/>
  </r>
  <r>
    <x v="130"/>
    <s v="Виталюр"/>
    <x v="6"/>
    <x v="1"/>
    <x v="6"/>
    <n v="640"/>
    <n v="88"/>
    <x v="429"/>
  </r>
  <r>
    <x v="130"/>
    <s v="Евроопт"/>
    <x v="6"/>
    <x v="0"/>
    <x v="17"/>
    <n v="2400"/>
    <n v="29"/>
    <x v="748"/>
  </r>
  <r>
    <x v="131"/>
    <m/>
    <x v="2"/>
    <x v="3"/>
    <x v="3"/>
    <m/>
    <m/>
    <x v="749"/>
  </r>
  <r>
    <x v="132"/>
    <s v="Виталюр"/>
    <x v="3"/>
    <x v="2"/>
    <x v="4"/>
    <n v="450"/>
    <n v="27"/>
    <x v="664"/>
  </r>
  <r>
    <x v="132"/>
    <s v="Виталюр"/>
    <x v="3"/>
    <x v="2"/>
    <x v="8"/>
    <n v="460"/>
    <n v="55"/>
    <x v="750"/>
  </r>
  <r>
    <x v="132"/>
    <s v="Евроопт"/>
    <x v="3"/>
    <x v="4"/>
    <x v="21"/>
    <n v="3205"/>
    <n v="89"/>
    <x v="751"/>
  </r>
  <r>
    <x v="132"/>
    <s v="Соседи"/>
    <x v="0"/>
    <x v="1"/>
    <x v="23"/>
    <n v="705"/>
    <n v="92"/>
    <x v="752"/>
  </r>
  <r>
    <x v="132"/>
    <s v="Евроопт"/>
    <x v="0"/>
    <x v="2"/>
    <x v="9"/>
    <n v="690"/>
    <n v="52"/>
    <x v="690"/>
  </r>
  <r>
    <x v="132"/>
    <s v="Копеечка"/>
    <x v="0"/>
    <x v="4"/>
    <x v="11"/>
    <n v="2970"/>
    <n v="85"/>
    <x v="646"/>
  </r>
  <r>
    <x v="132"/>
    <s v="Евроопт"/>
    <x v="1"/>
    <x v="2"/>
    <x v="12"/>
    <n v="715"/>
    <n v="73"/>
    <x v="211"/>
  </r>
  <r>
    <x v="132"/>
    <s v="Соседи"/>
    <x v="1"/>
    <x v="2"/>
    <x v="2"/>
    <n v="325"/>
    <n v="29"/>
    <x v="753"/>
  </r>
  <r>
    <x v="132"/>
    <s v="Виталюр"/>
    <x v="1"/>
    <x v="4"/>
    <x v="13"/>
    <n v="1505"/>
    <n v="59"/>
    <x v="754"/>
  </r>
  <r>
    <x v="132"/>
    <s v="Евроопт"/>
    <x v="5"/>
    <x v="0"/>
    <x v="24"/>
    <n v="2540"/>
    <n v="40"/>
    <x v="755"/>
  </r>
  <r>
    <x v="132"/>
    <s v="Копеечка"/>
    <x v="6"/>
    <x v="2"/>
    <x v="8"/>
    <n v="460"/>
    <n v="93"/>
    <x v="224"/>
  </r>
  <r>
    <x v="132"/>
    <s v="Соседи"/>
    <x v="6"/>
    <x v="2"/>
    <x v="2"/>
    <n v="325"/>
    <n v="72"/>
    <x v="756"/>
  </r>
  <r>
    <x v="132"/>
    <s v="Виталюр"/>
    <x v="6"/>
    <x v="0"/>
    <x v="0"/>
    <n v="1320"/>
    <n v="51"/>
    <x v="757"/>
  </r>
  <r>
    <x v="133"/>
    <m/>
    <x v="2"/>
    <x v="3"/>
    <x v="3"/>
    <m/>
    <m/>
    <x v="758"/>
  </r>
  <r>
    <x v="134"/>
    <s v="Копеечка"/>
    <x v="3"/>
    <x v="4"/>
    <x v="7"/>
    <n v="1760"/>
    <n v="57"/>
    <x v="759"/>
  </r>
  <r>
    <x v="134"/>
    <s v="Соседи"/>
    <x v="0"/>
    <x v="1"/>
    <x v="20"/>
    <n v="650"/>
    <n v="99"/>
    <x v="221"/>
  </r>
  <r>
    <x v="134"/>
    <s v="Евроопт"/>
    <x v="0"/>
    <x v="1"/>
    <x v="23"/>
    <n v="705"/>
    <n v="76"/>
    <x v="760"/>
  </r>
  <r>
    <x v="134"/>
    <s v="Копеечка"/>
    <x v="4"/>
    <x v="0"/>
    <x v="24"/>
    <n v="2540"/>
    <n v="91"/>
    <x v="322"/>
  </r>
  <r>
    <x v="134"/>
    <s v="Копеечка"/>
    <x v="5"/>
    <x v="2"/>
    <x v="12"/>
    <n v="715"/>
    <n v="25"/>
    <x v="149"/>
  </r>
  <r>
    <x v="135"/>
    <m/>
    <x v="2"/>
    <x v="3"/>
    <x v="3"/>
    <m/>
    <m/>
    <x v="761"/>
  </r>
  <r>
    <x v="136"/>
    <s v="Соседи"/>
    <x v="3"/>
    <x v="2"/>
    <x v="2"/>
    <n v="325"/>
    <n v="81"/>
    <x v="190"/>
  </r>
  <r>
    <x v="136"/>
    <s v="Виталюр"/>
    <x v="3"/>
    <x v="2"/>
    <x v="16"/>
    <n v="890"/>
    <n v="27"/>
    <x v="287"/>
  </r>
  <r>
    <x v="136"/>
    <s v="Виталюр"/>
    <x v="0"/>
    <x v="2"/>
    <x v="2"/>
    <n v="325"/>
    <n v="85"/>
    <x v="762"/>
  </r>
  <r>
    <x v="136"/>
    <s v="Виталюр"/>
    <x v="0"/>
    <x v="0"/>
    <x v="5"/>
    <n v="930"/>
    <n v="6"/>
    <x v="279"/>
  </r>
  <r>
    <x v="136"/>
    <s v="Соседи"/>
    <x v="0"/>
    <x v="4"/>
    <x v="11"/>
    <n v="2970"/>
    <n v="12"/>
    <x v="577"/>
  </r>
  <r>
    <x v="136"/>
    <s v="Виталюр"/>
    <x v="4"/>
    <x v="1"/>
    <x v="20"/>
    <n v="650"/>
    <n v="52"/>
    <x v="714"/>
  </r>
  <r>
    <x v="136"/>
    <s v="Соседи"/>
    <x v="4"/>
    <x v="0"/>
    <x v="0"/>
    <n v="1320"/>
    <n v="100"/>
    <x v="524"/>
  </r>
  <r>
    <x v="136"/>
    <s v="Виталюр"/>
    <x v="1"/>
    <x v="2"/>
    <x v="12"/>
    <n v="715"/>
    <n v="61"/>
    <x v="763"/>
  </r>
  <r>
    <x v="136"/>
    <s v="Евроопт"/>
    <x v="1"/>
    <x v="4"/>
    <x v="21"/>
    <n v="3205"/>
    <n v="80"/>
    <x v="545"/>
  </r>
  <r>
    <x v="136"/>
    <s v="Копеечка"/>
    <x v="5"/>
    <x v="4"/>
    <x v="14"/>
    <n v="1670"/>
    <n v="79"/>
    <x v="764"/>
  </r>
  <r>
    <x v="137"/>
    <m/>
    <x v="2"/>
    <x v="3"/>
    <x v="3"/>
    <m/>
    <m/>
    <x v="765"/>
  </r>
  <r>
    <x v="138"/>
    <s v="Виталюр"/>
    <x v="3"/>
    <x v="2"/>
    <x v="8"/>
    <n v="460"/>
    <n v="55"/>
    <x v="750"/>
  </r>
  <r>
    <x v="138"/>
    <s v="Евроопт"/>
    <x v="3"/>
    <x v="0"/>
    <x v="22"/>
    <n v="1420"/>
    <n v="39"/>
    <x v="766"/>
  </r>
  <r>
    <x v="138"/>
    <s v="Копеечка"/>
    <x v="0"/>
    <x v="2"/>
    <x v="9"/>
    <n v="690"/>
    <n v="16"/>
    <x v="51"/>
  </r>
  <r>
    <x v="138"/>
    <s v="Копеечка"/>
    <x v="0"/>
    <x v="0"/>
    <x v="22"/>
    <n v="1420"/>
    <n v="33"/>
    <x v="767"/>
  </r>
  <r>
    <x v="138"/>
    <s v="Евроопт"/>
    <x v="4"/>
    <x v="2"/>
    <x v="2"/>
    <n v="325"/>
    <n v="77"/>
    <x v="768"/>
  </r>
  <r>
    <x v="138"/>
    <s v="Копеечка"/>
    <x v="1"/>
    <x v="0"/>
    <x v="0"/>
    <n v="1320"/>
    <n v="80"/>
    <x v="769"/>
  </r>
  <r>
    <x v="138"/>
    <s v="Копеечка"/>
    <x v="1"/>
    <x v="0"/>
    <x v="17"/>
    <n v="2400"/>
    <n v="15"/>
    <x v="770"/>
  </r>
  <r>
    <x v="138"/>
    <s v="Виталюр"/>
    <x v="1"/>
    <x v="4"/>
    <x v="14"/>
    <n v="1670"/>
    <n v="8"/>
    <x v="264"/>
  </r>
  <r>
    <x v="138"/>
    <s v="Копеечка"/>
    <x v="5"/>
    <x v="2"/>
    <x v="16"/>
    <n v="890"/>
    <n v="86"/>
    <x v="771"/>
  </r>
  <r>
    <x v="138"/>
    <s v="Копеечка"/>
    <x v="5"/>
    <x v="0"/>
    <x v="10"/>
    <n v="1230"/>
    <n v="15"/>
    <x v="772"/>
  </r>
  <r>
    <x v="138"/>
    <s v="Виталюр"/>
    <x v="5"/>
    <x v="4"/>
    <x v="11"/>
    <n v="2970"/>
    <n v="12"/>
    <x v="577"/>
  </r>
  <r>
    <x v="138"/>
    <s v="Соседи"/>
    <x v="6"/>
    <x v="2"/>
    <x v="16"/>
    <n v="890"/>
    <n v="51"/>
    <x v="773"/>
  </r>
  <r>
    <x v="138"/>
    <s v="Копеечка"/>
    <x v="6"/>
    <x v="0"/>
    <x v="0"/>
    <n v="1320"/>
    <n v="55"/>
    <x v="774"/>
  </r>
  <r>
    <x v="139"/>
    <m/>
    <x v="2"/>
    <x v="3"/>
    <x v="3"/>
    <m/>
    <m/>
    <x v="775"/>
  </r>
  <r>
    <x v="140"/>
    <s v="Евроопт"/>
    <x v="3"/>
    <x v="4"/>
    <x v="11"/>
    <n v="2970"/>
    <n v="48"/>
    <x v="296"/>
  </r>
  <r>
    <x v="140"/>
    <s v="Евроопт"/>
    <x v="0"/>
    <x v="4"/>
    <x v="7"/>
    <n v="1760"/>
    <n v="34"/>
    <x v="776"/>
  </r>
  <r>
    <x v="140"/>
    <s v="Соседи"/>
    <x v="4"/>
    <x v="0"/>
    <x v="10"/>
    <n v="1230"/>
    <n v="26"/>
    <x v="108"/>
  </r>
  <r>
    <x v="140"/>
    <s v="Виталюр"/>
    <x v="1"/>
    <x v="0"/>
    <x v="22"/>
    <n v="1420"/>
    <n v="43"/>
    <x v="777"/>
  </r>
  <r>
    <x v="140"/>
    <s v="Виталюр"/>
    <x v="1"/>
    <x v="0"/>
    <x v="17"/>
    <n v="2400"/>
    <n v="48"/>
    <x v="778"/>
  </r>
  <r>
    <x v="140"/>
    <s v="Соседи"/>
    <x v="5"/>
    <x v="0"/>
    <x v="0"/>
    <n v="1320"/>
    <n v="89"/>
    <x v="779"/>
  </r>
  <r>
    <x v="140"/>
    <s v="Евроопт"/>
    <x v="6"/>
    <x v="1"/>
    <x v="18"/>
    <n v="650"/>
    <n v="64"/>
    <x v="15"/>
  </r>
  <r>
    <x v="140"/>
    <s v="Виталюр"/>
    <x v="6"/>
    <x v="2"/>
    <x v="2"/>
    <n v="325"/>
    <n v="58"/>
    <x v="46"/>
  </r>
  <r>
    <x v="141"/>
    <m/>
    <x v="2"/>
    <x v="3"/>
    <x v="3"/>
    <m/>
    <m/>
    <x v="780"/>
  </r>
  <r>
    <x v="142"/>
    <s v="Копеечка"/>
    <x v="3"/>
    <x v="4"/>
    <x v="11"/>
    <n v="2970"/>
    <n v="66"/>
    <x v="781"/>
  </r>
  <r>
    <x v="142"/>
    <s v="Копеечка"/>
    <x v="0"/>
    <x v="1"/>
    <x v="18"/>
    <n v="650"/>
    <n v="53"/>
    <x v="782"/>
  </r>
  <r>
    <x v="142"/>
    <s v="Евроопт"/>
    <x v="0"/>
    <x v="2"/>
    <x v="4"/>
    <n v="450"/>
    <n v="92"/>
    <x v="356"/>
  </r>
  <r>
    <x v="142"/>
    <s v="Евроопт"/>
    <x v="0"/>
    <x v="0"/>
    <x v="17"/>
    <n v="2400"/>
    <n v="42"/>
    <x v="783"/>
  </r>
  <r>
    <x v="142"/>
    <s v="Евроопт"/>
    <x v="4"/>
    <x v="4"/>
    <x v="11"/>
    <n v="2970"/>
    <n v="45"/>
    <x v="784"/>
  </r>
  <r>
    <x v="142"/>
    <s v="Соседи"/>
    <x v="1"/>
    <x v="0"/>
    <x v="22"/>
    <n v="1420"/>
    <n v="37"/>
    <x v="276"/>
  </r>
  <r>
    <x v="142"/>
    <s v="Виталюр"/>
    <x v="1"/>
    <x v="4"/>
    <x v="21"/>
    <n v="3205"/>
    <n v="54"/>
    <x v="133"/>
  </r>
  <r>
    <x v="142"/>
    <s v="Соседи"/>
    <x v="5"/>
    <x v="2"/>
    <x v="2"/>
    <n v="325"/>
    <n v="97"/>
    <x v="785"/>
  </r>
  <r>
    <x v="142"/>
    <s v="Соседи"/>
    <x v="5"/>
    <x v="2"/>
    <x v="9"/>
    <n v="690"/>
    <n v="98"/>
    <x v="691"/>
  </r>
  <r>
    <x v="142"/>
    <s v="Соседи"/>
    <x v="5"/>
    <x v="2"/>
    <x v="8"/>
    <n v="460"/>
    <n v="84"/>
    <x v="471"/>
  </r>
  <r>
    <x v="142"/>
    <s v="Копеечка"/>
    <x v="5"/>
    <x v="4"/>
    <x v="14"/>
    <n v="1670"/>
    <n v="47"/>
    <x v="786"/>
  </r>
  <r>
    <x v="142"/>
    <s v="Копеечка"/>
    <x v="6"/>
    <x v="4"/>
    <x v="14"/>
    <n v="1670"/>
    <n v="20"/>
    <x v="787"/>
  </r>
  <r>
    <x v="143"/>
    <m/>
    <x v="2"/>
    <x v="3"/>
    <x v="3"/>
    <m/>
    <m/>
    <x v="788"/>
  </r>
  <r>
    <x v="144"/>
    <s v="Виталюр"/>
    <x v="1"/>
    <x v="1"/>
    <x v="19"/>
    <n v="540"/>
    <n v="54"/>
    <x v="789"/>
  </r>
  <r>
    <x v="144"/>
    <s v="Евроопт"/>
    <x v="1"/>
    <x v="4"/>
    <x v="11"/>
    <n v="2970"/>
    <n v="98"/>
    <x v="790"/>
  </r>
  <r>
    <x v="144"/>
    <s v="Виталюр"/>
    <x v="5"/>
    <x v="2"/>
    <x v="9"/>
    <n v="690"/>
    <n v="11"/>
    <x v="791"/>
  </r>
  <r>
    <x v="144"/>
    <s v="Копеечка"/>
    <x v="5"/>
    <x v="2"/>
    <x v="9"/>
    <n v="690"/>
    <n v="32"/>
    <x v="253"/>
  </r>
  <r>
    <x v="144"/>
    <s v="Соседи"/>
    <x v="5"/>
    <x v="0"/>
    <x v="10"/>
    <n v="1230"/>
    <n v="85"/>
    <x v="792"/>
  </r>
  <r>
    <x v="144"/>
    <s v="Соседи"/>
    <x v="5"/>
    <x v="4"/>
    <x v="21"/>
    <n v="3205"/>
    <n v="63"/>
    <x v="793"/>
  </r>
  <r>
    <x v="144"/>
    <s v="Соседи"/>
    <x v="6"/>
    <x v="1"/>
    <x v="6"/>
    <n v="640"/>
    <n v="74"/>
    <x v="430"/>
  </r>
  <r>
    <x v="144"/>
    <s v="Евроопт"/>
    <x v="6"/>
    <x v="2"/>
    <x v="2"/>
    <n v="325"/>
    <n v="82"/>
    <x v="645"/>
  </r>
  <r>
    <x v="144"/>
    <s v="Виталюр"/>
    <x v="6"/>
    <x v="0"/>
    <x v="22"/>
    <n v="1420"/>
    <n v="69"/>
    <x v="92"/>
  </r>
  <r>
    <x v="145"/>
    <m/>
    <x v="2"/>
    <x v="3"/>
    <x v="3"/>
    <m/>
    <m/>
    <x v="794"/>
  </r>
  <r>
    <x v="146"/>
    <s v="Соседи"/>
    <x v="3"/>
    <x v="1"/>
    <x v="20"/>
    <n v="650"/>
    <n v="61"/>
    <x v="795"/>
  </r>
  <r>
    <x v="146"/>
    <s v="Копеечка"/>
    <x v="3"/>
    <x v="0"/>
    <x v="17"/>
    <n v="2400"/>
    <n v="72"/>
    <x v="727"/>
  </r>
  <r>
    <x v="146"/>
    <s v="Соседи"/>
    <x v="3"/>
    <x v="0"/>
    <x v="0"/>
    <n v="1320"/>
    <n v="55"/>
    <x v="774"/>
  </r>
  <r>
    <x v="146"/>
    <s v="Евроопт"/>
    <x v="1"/>
    <x v="1"/>
    <x v="6"/>
    <n v="640"/>
    <n v="65"/>
    <x v="15"/>
  </r>
  <r>
    <x v="146"/>
    <s v="Евроопт"/>
    <x v="1"/>
    <x v="0"/>
    <x v="24"/>
    <n v="2540"/>
    <n v="29"/>
    <x v="358"/>
  </r>
  <r>
    <x v="146"/>
    <s v="Копеечка"/>
    <x v="1"/>
    <x v="0"/>
    <x v="5"/>
    <n v="930"/>
    <n v="41"/>
    <x v="796"/>
  </r>
  <r>
    <x v="146"/>
    <s v="Соседи"/>
    <x v="5"/>
    <x v="4"/>
    <x v="15"/>
    <n v="2460"/>
    <n v="45"/>
    <x v="415"/>
  </r>
  <r>
    <x v="146"/>
    <s v="Соседи"/>
    <x v="6"/>
    <x v="2"/>
    <x v="8"/>
    <n v="460"/>
    <n v="96"/>
    <x v="797"/>
  </r>
  <r>
    <x v="147"/>
    <m/>
    <x v="2"/>
    <x v="3"/>
    <x v="3"/>
    <m/>
    <m/>
    <x v="798"/>
  </r>
  <r>
    <x v="148"/>
    <s v="Копеечка"/>
    <x v="3"/>
    <x v="1"/>
    <x v="23"/>
    <n v="705"/>
    <n v="29"/>
    <x v="799"/>
  </r>
  <r>
    <x v="148"/>
    <s v="Евроопт"/>
    <x v="0"/>
    <x v="1"/>
    <x v="1"/>
    <n v="1380"/>
    <n v="73"/>
    <x v="647"/>
  </r>
  <r>
    <x v="148"/>
    <s v="Копеечка"/>
    <x v="0"/>
    <x v="1"/>
    <x v="6"/>
    <n v="640"/>
    <n v="34"/>
    <x v="800"/>
  </r>
  <r>
    <x v="148"/>
    <s v="Евроопт"/>
    <x v="0"/>
    <x v="0"/>
    <x v="10"/>
    <n v="1230"/>
    <n v="33"/>
    <x v="233"/>
  </r>
  <r>
    <x v="148"/>
    <s v="Евроопт"/>
    <x v="4"/>
    <x v="0"/>
    <x v="5"/>
    <n v="930"/>
    <n v="42"/>
    <x v="488"/>
  </r>
  <r>
    <x v="148"/>
    <s v="Копеечка"/>
    <x v="5"/>
    <x v="4"/>
    <x v="15"/>
    <n v="2460"/>
    <n v="8"/>
    <x v="254"/>
  </r>
  <r>
    <x v="148"/>
    <s v="Копеечка"/>
    <x v="6"/>
    <x v="1"/>
    <x v="23"/>
    <n v="705"/>
    <n v="100"/>
    <x v="801"/>
  </r>
  <r>
    <x v="148"/>
    <s v="Евроопт"/>
    <x v="6"/>
    <x v="4"/>
    <x v="15"/>
    <n v="2460"/>
    <n v="60"/>
    <x v="802"/>
  </r>
  <r>
    <x v="149"/>
    <m/>
    <x v="2"/>
    <x v="3"/>
    <x v="3"/>
    <m/>
    <m/>
    <x v="803"/>
  </r>
  <r>
    <x v="150"/>
    <s v="Копеечка"/>
    <x v="3"/>
    <x v="1"/>
    <x v="19"/>
    <n v="540"/>
    <n v="99"/>
    <x v="804"/>
  </r>
  <r>
    <x v="150"/>
    <s v="Евроопт"/>
    <x v="3"/>
    <x v="1"/>
    <x v="6"/>
    <n v="640"/>
    <n v="80"/>
    <x v="805"/>
  </r>
  <r>
    <x v="150"/>
    <s v="Копеечка"/>
    <x v="0"/>
    <x v="4"/>
    <x v="7"/>
    <n v="1760"/>
    <n v="57"/>
    <x v="759"/>
  </r>
  <r>
    <x v="150"/>
    <s v="Соседи"/>
    <x v="4"/>
    <x v="4"/>
    <x v="13"/>
    <n v="1505"/>
    <n v="6"/>
    <x v="14"/>
  </r>
  <r>
    <x v="150"/>
    <s v="Соседи"/>
    <x v="1"/>
    <x v="1"/>
    <x v="1"/>
    <n v="1380"/>
    <n v="85"/>
    <x v="806"/>
  </r>
  <r>
    <x v="150"/>
    <s v="Соседи"/>
    <x v="1"/>
    <x v="2"/>
    <x v="16"/>
    <n v="890"/>
    <n v="33"/>
    <x v="633"/>
  </r>
  <r>
    <x v="150"/>
    <s v="Соседи"/>
    <x v="6"/>
    <x v="2"/>
    <x v="12"/>
    <n v="715"/>
    <n v="45"/>
    <x v="807"/>
  </r>
  <r>
    <x v="150"/>
    <s v="Соседи"/>
    <x v="6"/>
    <x v="0"/>
    <x v="10"/>
    <n v="1230"/>
    <n v="79"/>
    <x v="808"/>
  </r>
  <r>
    <x v="150"/>
    <s v="Виталюр"/>
    <x v="6"/>
    <x v="0"/>
    <x v="5"/>
    <n v="930"/>
    <n v="67"/>
    <x v="668"/>
  </r>
  <r>
    <x v="150"/>
    <s v="Соседи"/>
    <x v="6"/>
    <x v="4"/>
    <x v="11"/>
    <n v="2970"/>
    <n v="62"/>
    <x v="436"/>
  </r>
  <r>
    <x v="151"/>
    <m/>
    <x v="2"/>
    <x v="3"/>
    <x v="3"/>
    <m/>
    <m/>
    <x v="809"/>
  </r>
  <r>
    <x v="152"/>
    <s v="Виталюр"/>
    <x v="4"/>
    <x v="0"/>
    <x v="5"/>
    <n v="930"/>
    <n v="53"/>
    <x v="810"/>
  </r>
  <r>
    <x v="152"/>
    <s v="Виталюр"/>
    <x v="1"/>
    <x v="1"/>
    <x v="19"/>
    <n v="540"/>
    <n v="10"/>
    <x v="148"/>
  </r>
  <r>
    <x v="152"/>
    <s v="Евроопт"/>
    <x v="5"/>
    <x v="1"/>
    <x v="1"/>
    <n v="1380"/>
    <n v="92"/>
    <x v="403"/>
  </r>
  <r>
    <x v="152"/>
    <s v="Евроопт"/>
    <x v="5"/>
    <x v="4"/>
    <x v="14"/>
    <n v="1670"/>
    <n v="71"/>
    <x v="811"/>
  </r>
  <r>
    <x v="152"/>
    <s v="Евроопт"/>
    <x v="6"/>
    <x v="2"/>
    <x v="9"/>
    <n v="690"/>
    <n v="30"/>
    <x v="812"/>
  </r>
  <r>
    <x v="153"/>
    <m/>
    <x v="2"/>
    <x v="3"/>
    <x v="3"/>
    <m/>
    <m/>
    <x v="813"/>
  </r>
  <r>
    <x v="154"/>
    <s v="Виталюр"/>
    <x v="3"/>
    <x v="1"/>
    <x v="19"/>
    <n v="540"/>
    <n v="8"/>
    <x v="814"/>
  </r>
  <r>
    <x v="154"/>
    <s v="Евроопт"/>
    <x v="3"/>
    <x v="1"/>
    <x v="18"/>
    <n v="650"/>
    <n v="23"/>
    <x v="522"/>
  </r>
  <r>
    <x v="154"/>
    <s v="Копеечка"/>
    <x v="3"/>
    <x v="4"/>
    <x v="14"/>
    <n v="1670"/>
    <n v="98"/>
    <x v="815"/>
  </r>
  <r>
    <x v="154"/>
    <s v="Виталюр"/>
    <x v="0"/>
    <x v="1"/>
    <x v="23"/>
    <n v="705"/>
    <n v="46"/>
    <x v="816"/>
  </r>
  <r>
    <x v="154"/>
    <s v="Виталюр"/>
    <x v="4"/>
    <x v="2"/>
    <x v="8"/>
    <n v="460"/>
    <n v="87"/>
    <x v="215"/>
  </r>
  <r>
    <x v="154"/>
    <s v="Виталюр"/>
    <x v="4"/>
    <x v="0"/>
    <x v="5"/>
    <n v="930"/>
    <n v="20"/>
    <x v="817"/>
  </r>
  <r>
    <x v="154"/>
    <s v="Виталюр"/>
    <x v="1"/>
    <x v="2"/>
    <x v="9"/>
    <n v="690"/>
    <n v="55"/>
    <x v="818"/>
  </r>
  <r>
    <x v="154"/>
    <s v="Виталюр"/>
    <x v="1"/>
    <x v="0"/>
    <x v="0"/>
    <n v="1320"/>
    <n v="61"/>
    <x v="819"/>
  </r>
  <r>
    <x v="154"/>
    <s v="Соседи"/>
    <x v="1"/>
    <x v="0"/>
    <x v="5"/>
    <n v="930"/>
    <n v="45"/>
    <x v="820"/>
  </r>
  <r>
    <x v="154"/>
    <s v="Евроопт"/>
    <x v="6"/>
    <x v="2"/>
    <x v="16"/>
    <n v="890"/>
    <n v="80"/>
    <x v="821"/>
  </r>
  <r>
    <x v="155"/>
    <m/>
    <x v="2"/>
    <x v="3"/>
    <x v="3"/>
    <m/>
    <m/>
    <x v="822"/>
  </r>
  <r>
    <x v="156"/>
    <s v="Виталюр"/>
    <x v="3"/>
    <x v="1"/>
    <x v="18"/>
    <n v="650"/>
    <n v="75"/>
    <x v="359"/>
  </r>
  <r>
    <x v="156"/>
    <s v="Соседи"/>
    <x v="3"/>
    <x v="0"/>
    <x v="17"/>
    <n v="2400"/>
    <n v="74"/>
    <x v="823"/>
  </r>
  <r>
    <x v="156"/>
    <s v="Соседи"/>
    <x v="0"/>
    <x v="0"/>
    <x v="22"/>
    <n v="1420"/>
    <n v="81"/>
    <x v="252"/>
  </r>
  <r>
    <x v="156"/>
    <s v="Соседи"/>
    <x v="4"/>
    <x v="1"/>
    <x v="6"/>
    <n v="640"/>
    <n v="46"/>
    <x v="582"/>
  </r>
  <r>
    <x v="156"/>
    <s v="Копеечка"/>
    <x v="4"/>
    <x v="2"/>
    <x v="12"/>
    <n v="715"/>
    <n v="92"/>
    <x v="824"/>
  </r>
  <r>
    <x v="156"/>
    <s v="Соседи"/>
    <x v="4"/>
    <x v="0"/>
    <x v="0"/>
    <n v="1320"/>
    <n v="49"/>
    <x v="825"/>
  </r>
  <r>
    <x v="156"/>
    <s v="Копеечка"/>
    <x v="4"/>
    <x v="4"/>
    <x v="15"/>
    <n v="2460"/>
    <n v="36"/>
    <x v="272"/>
  </r>
  <r>
    <x v="156"/>
    <s v="Евроопт"/>
    <x v="1"/>
    <x v="1"/>
    <x v="18"/>
    <n v="650"/>
    <n v="96"/>
    <x v="423"/>
  </r>
  <r>
    <x v="156"/>
    <s v="Соседи"/>
    <x v="1"/>
    <x v="0"/>
    <x v="22"/>
    <n v="1420"/>
    <n v="80"/>
    <x v="826"/>
  </r>
  <r>
    <x v="156"/>
    <s v="Евроопт"/>
    <x v="5"/>
    <x v="2"/>
    <x v="12"/>
    <n v="715"/>
    <n v="23"/>
    <x v="827"/>
  </r>
  <r>
    <x v="157"/>
    <m/>
    <x v="2"/>
    <x v="3"/>
    <x v="3"/>
    <m/>
    <m/>
    <x v="828"/>
  </r>
  <r>
    <x v="158"/>
    <s v="Копеечка"/>
    <x v="3"/>
    <x v="0"/>
    <x v="24"/>
    <n v="2540"/>
    <n v="24"/>
    <x v="829"/>
  </r>
  <r>
    <x v="158"/>
    <s v="Копеечка"/>
    <x v="3"/>
    <x v="4"/>
    <x v="11"/>
    <n v="2970"/>
    <n v="37"/>
    <x v="354"/>
  </r>
  <r>
    <x v="158"/>
    <s v="Копеечка"/>
    <x v="0"/>
    <x v="1"/>
    <x v="1"/>
    <n v="1380"/>
    <n v="5"/>
    <x v="726"/>
  </r>
  <r>
    <x v="158"/>
    <s v="Виталюр"/>
    <x v="0"/>
    <x v="1"/>
    <x v="18"/>
    <n v="650"/>
    <n v="39"/>
    <x v="830"/>
  </r>
  <r>
    <x v="158"/>
    <s v="Виталюр"/>
    <x v="0"/>
    <x v="0"/>
    <x v="10"/>
    <n v="1230"/>
    <n v="82"/>
    <x v="831"/>
  </r>
  <r>
    <x v="158"/>
    <s v="Виталюр"/>
    <x v="4"/>
    <x v="0"/>
    <x v="24"/>
    <n v="2540"/>
    <n v="68"/>
    <x v="832"/>
  </r>
  <r>
    <x v="158"/>
    <s v="Соседи"/>
    <x v="5"/>
    <x v="1"/>
    <x v="18"/>
    <n v="650"/>
    <n v="98"/>
    <x v="833"/>
  </r>
  <r>
    <x v="158"/>
    <s v="Копеечка"/>
    <x v="5"/>
    <x v="2"/>
    <x v="9"/>
    <n v="690"/>
    <n v="99"/>
    <x v="834"/>
  </r>
  <r>
    <x v="158"/>
    <s v="Копеечка"/>
    <x v="5"/>
    <x v="2"/>
    <x v="9"/>
    <n v="690"/>
    <n v="68"/>
    <x v="180"/>
  </r>
  <r>
    <x v="158"/>
    <s v="Соседи"/>
    <x v="5"/>
    <x v="4"/>
    <x v="11"/>
    <n v="2970"/>
    <n v="78"/>
    <x v="697"/>
  </r>
  <r>
    <x v="159"/>
    <m/>
    <x v="2"/>
    <x v="3"/>
    <x v="3"/>
    <m/>
    <m/>
    <x v="835"/>
  </r>
  <r>
    <x v="160"/>
    <s v="Копеечка"/>
    <x v="3"/>
    <x v="0"/>
    <x v="0"/>
    <n v="1320"/>
    <n v="17"/>
    <x v="659"/>
  </r>
  <r>
    <x v="160"/>
    <s v="Евроопт"/>
    <x v="3"/>
    <x v="4"/>
    <x v="14"/>
    <n v="1670"/>
    <n v="11"/>
    <x v="695"/>
  </r>
  <r>
    <x v="160"/>
    <s v="Евроопт"/>
    <x v="3"/>
    <x v="4"/>
    <x v="21"/>
    <n v="3205"/>
    <n v="25"/>
    <x v="836"/>
  </r>
  <r>
    <x v="160"/>
    <s v="Виталюр"/>
    <x v="0"/>
    <x v="2"/>
    <x v="4"/>
    <n v="450"/>
    <n v="96"/>
    <x v="20"/>
  </r>
  <r>
    <x v="160"/>
    <s v="Евроопт"/>
    <x v="0"/>
    <x v="2"/>
    <x v="2"/>
    <n v="325"/>
    <n v="46"/>
    <x v="522"/>
  </r>
  <r>
    <x v="160"/>
    <s v="Копеечка"/>
    <x v="4"/>
    <x v="1"/>
    <x v="6"/>
    <n v="640"/>
    <n v="28"/>
    <x v="837"/>
  </r>
  <r>
    <x v="160"/>
    <s v="Евроопт"/>
    <x v="1"/>
    <x v="1"/>
    <x v="18"/>
    <n v="650"/>
    <n v="73"/>
    <x v="644"/>
  </r>
  <r>
    <x v="160"/>
    <s v="Евроопт"/>
    <x v="1"/>
    <x v="2"/>
    <x v="8"/>
    <n v="460"/>
    <n v="91"/>
    <x v="838"/>
  </r>
  <r>
    <x v="160"/>
    <s v="Копеечка"/>
    <x v="5"/>
    <x v="2"/>
    <x v="12"/>
    <n v="715"/>
    <n v="7"/>
    <x v="839"/>
  </r>
  <r>
    <x v="160"/>
    <s v="Евроопт"/>
    <x v="5"/>
    <x v="2"/>
    <x v="8"/>
    <n v="460"/>
    <n v="59"/>
    <x v="840"/>
  </r>
  <r>
    <x v="160"/>
    <s v="Евроопт"/>
    <x v="6"/>
    <x v="2"/>
    <x v="12"/>
    <n v="715"/>
    <n v="45"/>
    <x v="807"/>
  </r>
  <r>
    <x v="161"/>
    <m/>
    <x v="2"/>
    <x v="3"/>
    <x v="3"/>
    <m/>
    <m/>
    <x v="841"/>
  </r>
  <r>
    <x v="162"/>
    <s v="Евроопт"/>
    <x v="3"/>
    <x v="1"/>
    <x v="23"/>
    <n v="705"/>
    <n v="17"/>
    <x v="684"/>
  </r>
  <r>
    <x v="162"/>
    <s v="Соседи"/>
    <x v="0"/>
    <x v="2"/>
    <x v="12"/>
    <n v="715"/>
    <n v="82"/>
    <x v="842"/>
  </r>
  <r>
    <x v="162"/>
    <s v="Евроопт"/>
    <x v="0"/>
    <x v="4"/>
    <x v="7"/>
    <n v="1760"/>
    <n v="37"/>
    <x v="843"/>
  </r>
  <r>
    <x v="162"/>
    <s v="Виталюр"/>
    <x v="0"/>
    <x v="4"/>
    <x v="11"/>
    <n v="2970"/>
    <n v="19"/>
    <x v="844"/>
  </r>
  <r>
    <x v="162"/>
    <s v="Евроопт"/>
    <x v="4"/>
    <x v="0"/>
    <x v="22"/>
    <n v="1420"/>
    <n v="64"/>
    <x v="845"/>
  </r>
  <r>
    <x v="162"/>
    <s v="Соседи"/>
    <x v="4"/>
    <x v="4"/>
    <x v="11"/>
    <n v="2970"/>
    <n v="51"/>
    <x v="846"/>
  </r>
  <r>
    <x v="162"/>
    <s v="Евроопт"/>
    <x v="4"/>
    <x v="4"/>
    <x v="13"/>
    <n v="1505"/>
    <n v="17"/>
    <x v="847"/>
  </r>
  <r>
    <x v="162"/>
    <s v="Евроопт"/>
    <x v="4"/>
    <x v="4"/>
    <x v="15"/>
    <n v="2460"/>
    <n v="77"/>
    <x v="428"/>
  </r>
  <r>
    <x v="162"/>
    <s v="Копеечка"/>
    <x v="1"/>
    <x v="2"/>
    <x v="4"/>
    <n v="450"/>
    <n v="9"/>
    <x v="181"/>
  </r>
  <r>
    <x v="162"/>
    <s v="Соседи"/>
    <x v="1"/>
    <x v="0"/>
    <x v="17"/>
    <n v="2400"/>
    <n v="75"/>
    <x v="848"/>
  </r>
  <r>
    <x v="162"/>
    <s v="Евроопт"/>
    <x v="5"/>
    <x v="2"/>
    <x v="4"/>
    <n v="450"/>
    <n v="93"/>
    <x v="820"/>
  </r>
  <r>
    <x v="162"/>
    <s v="Евроопт"/>
    <x v="5"/>
    <x v="0"/>
    <x v="22"/>
    <n v="1420"/>
    <n v="29"/>
    <x v="849"/>
  </r>
  <r>
    <x v="163"/>
    <m/>
    <x v="2"/>
    <x v="3"/>
    <x v="3"/>
    <m/>
    <m/>
    <x v="850"/>
  </r>
  <r>
    <x v="164"/>
    <s v="Виталюр"/>
    <x v="3"/>
    <x v="2"/>
    <x v="2"/>
    <n v="325"/>
    <n v="84"/>
    <x v="189"/>
  </r>
  <r>
    <x v="164"/>
    <s v="Евроопт"/>
    <x v="0"/>
    <x v="2"/>
    <x v="9"/>
    <n v="690"/>
    <n v="43"/>
    <x v="851"/>
  </r>
  <r>
    <x v="164"/>
    <s v="Виталюр"/>
    <x v="0"/>
    <x v="4"/>
    <x v="7"/>
    <n v="1760"/>
    <n v="82"/>
    <x v="852"/>
  </r>
  <r>
    <x v="164"/>
    <s v="Копеечка"/>
    <x v="4"/>
    <x v="1"/>
    <x v="20"/>
    <n v="650"/>
    <n v="44"/>
    <x v="853"/>
  </r>
  <r>
    <x v="164"/>
    <s v="Виталюр"/>
    <x v="4"/>
    <x v="4"/>
    <x v="21"/>
    <n v="3205"/>
    <n v="32"/>
    <x v="854"/>
  </r>
  <r>
    <x v="164"/>
    <s v="Соседи"/>
    <x v="4"/>
    <x v="4"/>
    <x v="13"/>
    <n v="1505"/>
    <n v="63"/>
    <x v="855"/>
  </r>
  <r>
    <x v="164"/>
    <s v="Евроопт"/>
    <x v="1"/>
    <x v="0"/>
    <x v="22"/>
    <n v="1420"/>
    <n v="98"/>
    <x v="710"/>
  </r>
  <r>
    <x v="164"/>
    <s v="Виталюр"/>
    <x v="1"/>
    <x v="4"/>
    <x v="13"/>
    <n v="1505"/>
    <n v="9"/>
    <x v="856"/>
  </r>
  <r>
    <x v="164"/>
    <s v="Копеечка"/>
    <x v="5"/>
    <x v="2"/>
    <x v="2"/>
    <n v="325"/>
    <n v="30"/>
    <x v="857"/>
  </r>
  <r>
    <x v="164"/>
    <s v="Евроопт"/>
    <x v="6"/>
    <x v="4"/>
    <x v="15"/>
    <n v="2460"/>
    <n v="78"/>
    <x v="380"/>
  </r>
  <r>
    <x v="165"/>
    <m/>
    <x v="2"/>
    <x v="3"/>
    <x v="3"/>
    <m/>
    <m/>
    <x v="858"/>
  </r>
  <r>
    <x v="166"/>
    <s v="Копеечка"/>
    <x v="3"/>
    <x v="1"/>
    <x v="6"/>
    <n v="640"/>
    <n v="79"/>
    <x v="222"/>
  </r>
  <r>
    <x v="166"/>
    <s v="Копеечка"/>
    <x v="3"/>
    <x v="2"/>
    <x v="16"/>
    <n v="890"/>
    <n v="100"/>
    <x v="604"/>
  </r>
  <r>
    <x v="166"/>
    <s v="Виталюр"/>
    <x v="0"/>
    <x v="4"/>
    <x v="21"/>
    <n v="3205"/>
    <n v="48"/>
    <x v="859"/>
  </r>
  <r>
    <x v="166"/>
    <s v="Соседи"/>
    <x v="4"/>
    <x v="1"/>
    <x v="1"/>
    <n v="1380"/>
    <n v="19"/>
    <x v="217"/>
  </r>
  <r>
    <x v="166"/>
    <s v="Виталюр"/>
    <x v="4"/>
    <x v="4"/>
    <x v="14"/>
    <n v="1670"/>
    <n v="72"/>
    <x v="195"/>
  </r>
  <r>
    <x v="166"/>
    <s v="Виталюр"/>
    <x v="4"/>
    <x v="4"/>
    <x v="14"/>
    <n v="1670"/>
    <n v="56"/>
    <x v="860"/>
  </r>
  <r>
    <x v="166"/>
    <s v="Соседи"/>
    <x v="1"/>
    <x v="0"/>
    <x v="22"/>
    <n v="1420"/>
    <n v="70"/>
    <x v="861"/>
  </r>
  <r>
    <x v="166"/>
    <s v="Виталюр"/>
    <x v="1"/>
    <x v="4"/>
    <x v="15"/>
    <n v="2460"/>
    <n v="44"/>
    <x v="456"/>
  </r>
  <r>
    <x v="166"/>
    <s v="Соседи"/>
    <x v="1"/>
    <x v="4"/>
    <x v="11"/>
    <n v="2970"/>
    <n v="17"/>
    <x v="249"/>
  </r>
  <r>
    <x v="166"/>
    <s v="Виталюр"/>
    <x v="5"/>
    <x v="2"/>
    <x v="4"/>
    <n v="450"/>
    <n v="10"/>
    <x v="862"/>
  </r>
  <r>
    <x v="166"/>
    <s v="Евроопт"/>
    <x v="6"/>
    <x v="1"/>
    <x v="19"/>
    <n v="540"/>
    <n v="76"/>
    <x v="709"/>
  </r>
  <r>
    <x v="167"/>
    <m/>
    <x v="2"/>
    <x v="3"/>
    <x v="3"/>
    <m/>
    <m/>
    <x v="863"/>
  </r>
  <r>
    <x v="168"/>
    <s v="Евроопт"/>
    <x v="3"/>
    <x v="2"/>
    <x v="16"/>
    <n v="890"/>
    <n v="73"/>
    <x v="599"/>
  </r>
  <r>
    <x v="168"/>
    <s v="Евроопт"/>
    <x v="0"/>
    <x v="1"/>
    <x v="6"/>
    <n v="640"/>
    <n v="68"/>
    <x v="530"/>
  </r>
  <r>
    <x v="168"/>
    <s v="Копеечка"/>
    <x v="0"/>
    <x v="0"/>
    <x v="10"/>
    <n v="1230"/>
    <n v="20"/>
    <x v="864"/>
  </r>
  <r>
    <x v="168"/>
    <s v="Копеечка"/>
    <x v="0"/>
    <x v="4"/>
    <x v="7"/>
    <n v="1760"/>
    <n v="53"/>
    <x v="865"/>
  </r>
  <r>
    <x v="168"/>
    <s v="Соседи"/>
    <x v="4"/>
    <x v="2"/>
    <x v="16"/>
    <n v="890"/>
    <n v="68"/>
    <x v="866"/>
  </r>
  <r>
    <x v="168"/>
    <s v="Копеечка"/>
    <x v="1"/>
    <x v="4"/>
    <x v="21"/>
    <n v="3205"/>
    <n v="24"/>
    <x v="867"/>
  </r>
  <r>
    <x v="168"/>
    <s v="Копеечка"/>
    <x v="5"/>
    <x v="2"/>
    <x v="8"/>
    <n v="460"/>
    <n v="73"/>
    <x v="868"/>
  </r>
  <r>
    <x v="168"/>
    <s v="Соседи"/>
    <x v="5"/>
    <x v="0"/>
    <x v="22"/>
    <n v="1420"/>
    <n v="12"/>
    <x v="134"/>
  </r>
  <r>
    <x v="168"/>
    <s v="Копеечка"/>
    <x v="5"/>
    <x v="4"/>
    <x v="15"/>
    <n v="2460"/>
    <n v="92"/>
    <x v="869"/>
  </r>
  <r>
    <x v="168"/>
    <s v="Копеечка"/>
    <x v="6"/>
    <x v="4"/>
    <x v="15"/>
    <n v="2460"/>
    <n v="14"/>
    <x v="555"/>
  </r>
  <r>
    <x v="169"/>
    <m/>
    <x v="2"/>
    <x v="3"/>
    <x v="3"/>
    <m/>
    <m/>
    <x v="870"/>
  </r>
  <r>
    <x v="170"/>
    <s v="Виталюр"/>
    <x v="0"/>
    <x v="4"/>
    <x v="13"/>
    <n v="1505"/>
    <n v="43"/>
    <x v="261"/>
  </r>
  <r>
    <x v="170"/>
    <s v="Виталюр"/>
    <x v="4"/>
    <x v="4"/>
    <x v="21"/>
    <n v="3205"/>
    <n v="44"/>
    <x v="871"/>
  </r>
  <r>
    <x v="170"/>
    <s v="Соседи"/>
    <x v="4"/>
    <x v="4"/>
    <x v="11"/>
    <n v="2970"/>
    <n v="49"/>
    <x v="685"/>
  </r>
  <r>
    <x v="170"/>
    <s v="Соседи"/>
    <x v="5"/>
    <x v="1"/>
    <x v="20"/>
    <n v="650"/>
    <n v="32"/>
    <x v="237"/>
  </r>
  <r>
    <x v="170"/>
    <s v="Соседи"/>
    <x v="6"/>
    <x v="0"/>
    <x v="24"/>
    <n v="2540"/>
    <n v="60"/>
    <x v="132"/>
  </r>
  <r>
    <x v="170"/>
    <s v="Евроопт"/>
    <x v="6"/>
    <x v="0"/>
    <x v="17"/>
    <n v="2400"/>
    <n v="16"/>
    <x v="193"/>
  </r>
  <r>
    <x v="170"/>
    <s v="Евроопт"/>
    <x v="6"/>
    <x v="0"/>
    <x v="5"/>
    <n v="930"/>
    <n v="95"/>
    <x v="872"/>
  </r>
  <r>
    <x v="171"/>
    <m/>
    <x v="2"/>
    <x v="3"/>
    <x v="3"/>
    <m/>
    <m/>
    <x v="873"/>
  </r>
  <r>
    <x v="172"/>
    <s v="Копеечка"/>
    <x v="4"/>
    <x v="4"/>
    <x v="14"/>
    <n v="1670"/>
    <n v="8"/>
    <x v="264"/>
  </r>
  <r>
    <x v="172"/>
    <s v="Виталюр"/>
    <x v="4"/>
    <x v="4"/>
    <x v="13"/>
    <n v="1505"/>
    <n v="48"/>
    <x v="874"/>
  </r>
  <r>
    <x v="172"/>
    <s v="Соседи"/>
    <x v="1"/>
    <x v="2"/>
    <x v="2"/>
    <n v="325"/>
    <n v="59"/>
    <x v="229"/>
  </r>
  <r>
    <x v="172"/>
    <s v="Евроопт"/>
    <x v="5"/>
    <x v="1"/>
    <x v="18"/>
    <n v="650"/>
    <n v="44"/>
    <x v="853"/>
  </r>
  <r>
    <x v="172"/>
    <s v="Копеечка"/>
    <x v="6"/>
    <x v="1"/>
    <x v="1"/>
    <n v="1380"/>
    <n v="92"/>
    <x v="403"/>
  </r>
  <r>
    <x v="172"/>
    <s v="Копеечка"/>
    <x v="6"/>
    <x v="0"/>
    <x v="5"/>
    <n v="930"/>
    <n v="65"/>
    <x v="875"/>
  </r>
  <r>
    <x v="172"/>
    <s v="Копеечка"/>
    <x v="6"/>
    <x v="4"/>
    <x v="11"/>
    <n v="2970"/>
    <n v="38"/>
    <x v="440"/>
  </r>
  <r>
    <x v="173"/>
    <m/>
    <x v="2"/>
    <x v="3"/>
    <x v="3"/>
    <m/>
    <m/>
    <x v="876"/>
  </r>
  <r>
    <x v="174"/>
    <s v="Евроопт"/>
    <x v="3"/>
    <x v="2"/>
    <x v="16"/>
    <n v="890"/>
    <n v="40"/>
    <x v="877"/>
  </r>
  <r>
    <x v="174"/>
    <s v="Виталюр"/>
    <x v="3"/>
    <x v="4"/>
    <x v="11"/>
    <n v="2970"/>
    <n v="11"/>
    <x v="878"/>
  </r>
  <r>
    <x v="175"/>
    <m/>
    <x v="2"/>
    <x v="3"/>
    <x v="3"/>
    <m/>
    <m/>
    <x v="879"/>
  </r>
  <r>
    <x v="176"/>
    <s v="Виталюр"/>
    <x v="3"/>
    <x v="1"/>
    <x v="20"/>
    <n v="650"/>
    <n v="23"/>
    <x v="522"/>
  </r>
  <r>
    <x v="176"/>
    <s v="Евроопт"/>
    <x v="0"/>
    <x v="1"/>
    <x v="6"/>
    <n v="640"/>
    <n v="57"/>
    <x v="349"/>
  </r>
  <r>
    <x v="176"/>
    <s v="Копеечка"/>
    <x v="0"/>
    <x v="1"/>
    <x v="6"/>
    <n v="640"/>
    <n v="89"/>
    <x v="880"/>
  </r>
  <r>
    <x v="176"/>
    <s v="Соседи"/>
    <x v="0"/>
    <x v="2"/>
    <x v="8"/>
    <n v="460"/>
    <n v="6"/>
    <x v="881"/>
  </r>
  <r>
    <x v="176"/>
    <s v="Виталюр"/>
    <x v="0"/>
    <x v="0"/>
    <x v="10"/>
    <n v="1230"/>
    <n v="45"/>
    <x v="882"/>
  </r>
  <r>
    <x v="176"/>
    <s v="Соседи"/>
    <x v="0"/>
    <x v="4"/>
    <x v="11"/>
    <n v="2970"/>
    <n v="96"/>
    <x v="883"/>
  </r>
  <r>
    <x v="176"/>
    <s v="Соседи"/>
    <x v="4"/>
    <x v="0"/>
    <x v="24"/>
    <n v="2540"/>
    <n v="42"/>
    <x v="884"/>
  </r>
  <r>
    <x v="176"/>
    <s v="Соседи"/>
    <x v="4"/>
    <x v="4"/>
    <x v="21"/>
    <n v="3205"/>
    <n v="85"/>
    <x v="299"/>
  </r>
  <r>
    <x v="176"/>
    <s v="Соседи"/>
    <x v="5"/>
    <x v="1"/>
    <x v="1"/>
    <n v="1380"/>
    <n v="69"/>
    <x v="740"/>
  </r>
  <r>
    <x v="176"/>
    <s v="Евроопт"/>
    <x v="6"/>
    <x v="1"/>
    <x v="20"/>
    <n v="650"/>
    <n v="51"/>
    <x v="516"/>
  </r>
  <r>
    <x v="176"/>
    <s v="Соседи"/>
    <x v="6"/>
    <x v="1"/>
    <x v="18"/>
    <n v="650"/>
    <n v="30"/>
    <x v="469"/>
  </r>
  <r>
    <x v="176"/>
    <s v="Соседи"/>
    <x v="6"/>
    <x v="1"/>
    <x v="19"/>
    <n v="540"/>
    <n v="49"/>
    <x v="885"/>
  </r>
  <r>
    <x v="176"/>
    <s v="Копеечка"/>
    <x v="6"/>
    <x v="4"/>
    <x v="13"/>
    <n v="1505"/>
    <n v="49"/>
    <x v="886"/>
  </r>
  <r>
    <x v="177"/>
    <m/>
    <x v="2"/>
    <x v="3"/>
    <x v="3"/>
    <m/>
    <m/>
    <x v="887"/>
  </r>
  <r>
    <x v="178"/>
    <s v="Соседи"/>
    <x v="3"/>
    <x v="1"/>
    <x v="19"/>
    <n v="540"/>
    <n v="15"/>
    <x v="93"/>
  </r>
  <r>
    <x v="178"/>
    <s v="Евроопт"/>
    <x v="3"/>
    <x v="0"/>
    <x v="22"/>
    <n v="1420"/>
    <n v="58"/>
    <x v="888"/>
  </r>
  <r>
    <x v="178"/>
    <s v="Копеечка"/>
    <x v="3"/>
    <x v="4"/>
    <x v="7"/>
    <n v="1760"/>
    <n v="61"/>
    <x v="889"/>
  </r>
  <r>
    <x v="178"/>
    <s v="Копеечка"/>
    <x v="0"/>
    <x v="1"/>
    <x v="1"/>
    <n v="1380"/>
    <n v="57"/>
    <x v="890"/>
  </r>
  <r>
    <x v="178"/>
    <s v="Виталюр"/>
    <x v="0"/>
    <x v="2"/>
    <x v="4"/>
    <n v="450"/>
    <n v="6"/>
    <x v="412"/>
  </r>
  <r>
    <x v="178"/>
    <s v="Виталюр"/>
    <x v="4"/>
    <x v="1"/>
    <x v="1"/>
    <n v="1380"/>
    <n v="6"/>
    <x v="244"/>
  </r>
  <r>
    <x v="178"/>
    <s v="Копеечка"/>
    <x v="4"/>
    <x v="1"/>
    <x v="1"/>
    <n v="1380"/>
    <n v="69"/>
    <x v="740"/>
  </r>
  <r>
    <x v="178"/>
    <s v="Соседи"/>
    <x v="4"/>
    <x v="0"/>
    <x v="10"/>
    <n v="1230"/>
    <n v="55"/>
    <x v="891"/>
  </r>
  <r>
    <x v="178"/>
    <s v="Евроопт"/>
    <x v="4"/>
    <x v="0"/>
    <x v="24"/>
    <n v="2540"/>
    <n v="65"/>
    <x v="292"/>
  </r>
  <r>
    <x v="178"/>
    <s v="Копеечка"/>
    <x v="1"/>
    <x v="1"/>
    <x v="1"/>
    <n v="1380"/>
    <n v="16"/>
    <x v="253"/>
  </r>
  <r>
    <x v="178"/>
    <s v="Соседи"/>
    <x v="1"/>
    <x v="4"/>
    <x v="11"/>
    <n v="2970"/>
    <n v="26"/>
    <x v="892"/>
  </r>
  <r>
    <x v="178"/>
    <s v="Соседи"/>
    <x v="5"/>
    <x v="1"/>
    <x v="23"/>
    <n v="705"/>
    <n v="15"/>
    <x v="893"/>
  </r>
  <r>
    <x v="178"/>
    <s v="Виталюр"/>
    <x v="5"/>
    <x v="2"/>
    <x v="9"/>
    <n v="690"/>
    <n v="32"/>
    <x v="253"/>
  </r>
  <r>
    <x v="178"/>
    <s v="Евроопт"/>
    <x v="5"/>
    <x v="0"/>
    <x v="24"/>
    <n v="2540"/>
    <n v="52"/>
    <x v="894"/>
  </r>
  <r>
    <x v="179"/>
    <m/>
    <x v="2"/>
    <x v="3"/>
    <x v="3"/>
    <m/>
    <m/>
    <x v="895"/>
  </r>
  <r>
    <x v="180"/>
    <s v="Евроопт"/>
    <x v="3"/>
    <x v="1"/>
    <x v="23"/>
    <n v="705"/>
    <n v="23"/>
    <x v="370"/>
  </r>
  <r>
    <x v="180"/>
    <s v="Виталюр"/>
    <x v="3"/>
    <x v="0"/>
    <x v="22"/>
    <n v="1420"/>
    <n v="63"/>
    <x v="347"/>
  </r>
  <r>
    <x v="180"/>
    <s v="Соседи"/>
    <x v="3"/>
    <x v="4"/>
    <x v="13"/>
    <n v="1505"/>
    <n v="97"/>
    <x v="896"/>
  </r>
  <r>
    <x v="180"/>
    <s v="Виталюр"/>
    <x v="0"/>
    <x v="1"/>
    <x v="18"/>
    <n v="650"/>
    <n v="12"/>
    <x v="625"/>
  </r>
  <r>
    <x v="180"/>
    <s v="Соседи"/>
    <x v="4"/>
    <x v="1"/>
    <x v="19"/>
    <n v="540"/>
    <n v="98"/>
    <x v="136"/>
  </r>
  <r>
    <x v="180"/>
    <s v="Копеечка"/>
    <x v="4"/>
    <x v="4"/>
    <x v="15"/>
    <n v="2460"/>
    <n v="73"/>
    <x v="897"/>
  </r>
  <r>
    <x v="180"/>
    <s v="Копеечка"/>
    <x v="1"/>
    <x v="1"/>
    <x v="6"/>
    <n v="640"/>
    <n v="25"/>
    <x v="401"/>
  </r>
  <r>
    <x v="180"/>
    <s v="Виталюр"/>
    <x v="5"/>
    <x v="1"/>
    <x v="18"/>
    <n v="650"/>
    <n v="61"/>
    <x v="795"/>
  </r>
  <r>
    <x v="180"/>
    <s v="Виталюр"/>
    <x v="5"/>
    <x v="0"/>
    <x v="22"/>
    <n v="1420"/>
    <n v="78"/>
    <x v="898"/>
  </r>
  <r>
    <x v="180"/>
    <s v="Копеечка"/>
    <x v="6"/>
    <x v="0"/>
    <x v="5"/>
    <n v="930"/>
    <n v="49"/>
    <x v="899"/>
  </r>
  <r>
    <x v="180"/>
    <s v="Соседи"/>
    <x v="6"/>
    <x v="0"/>
    <x v="22"/>
    <n v="1420"/>
    <n v="86"/>
    <x v="900"/>
  </r>
  <r>
    <x v="181"/>
    <m/>
    <x v="2"/>
    <x v="3"/>
    <x v="3"/>
    <m/>
    <m/>
    <x v="901"/>
  </r>
  <r>
    <x v="182"/>
    <s v="Соседи"/>
    <x v="3"/>
    <x v="1"/>
    <x v="1"/>
    <n v="1380"/>
    <n v="93"/>
    <x v="902"/>
  </r>
  <r>
    <x v="182"/>
    <s v="Соседи"/>
    <x v="4"/>
    <x v="2"/>
    <x v="8"/>
    <n v="460"/>
    <n v="55"/>
    <x v="750"/>
  </r>
  <r>
    <x v="182"/>
    <s v="Копеечка"/>
    <x v="4"/>
    <x v="2"/>
    <x v="4"/>
    <n v="450"/>
    <n v="87"/>
    <x v="903"/>
  </r>
  <r>
    <x v="182"/>
    <s v="Копеечка"/>
    <x v="4"/>
    <x v="4"/>
    <x v="7"/>
    <n v="1760"/>
    <n v="8"/>
    <x v="904"/>
  </r>
  <r>
    <x v="182"/>
    <s v="Виталюр"/>
    <x v="4"/>
    <x v="4"/>
    <x v="13"/>
    <n v="1505"/>
    <n v="61"/>
    <x v="905"/>
  </r>
  <r>
    <x v="182"/>
    <s v="Соседи"/>
    <x v="1"/>
    <x v="4"/>
    <x v="15"/>
    <n v="2460"/>
    <n v="39"/>
    <x v="906"/>
  </r>
  <r>
    <x v="182"/>
    <s v="Копеечка"/>
    <x v="5"/>
    <x v="4"/>
    <x v="11"/>
    <n v="2970"/>
    <n v="56"/>
    <x v="243"/>
  </r>
  <r>
    <x v="182"/>
    <s v="Соседи"/>
    <x v="6"/>
    <x v="0"/>
    <x v="0"/>
    <n v="1320"/>
    <n v="29"/>
    <x v="907"/>
  </r>
  <r>
    <x v="183"/>
    <m/>
    <x v="2"/>
    <x v="3"/>
    <x v="3"/>
    <m/>
    <m/>
    <x v="908"/>
  </r>
  <r>
    <x v="184"/>
    <s v="Копеечка"/>
    <x v="3"/>
    <x v="0"/>
    <x v="5"/>
    <n v="930"/>
    <n v="84"/>
    <x v="909"/>
  </r>
  <r>
    <x v="184"/>
    <s v="Копеечка"/>
    <x v="3"/>
    <x v="0"/>
    <x v="10"/>
    <n v="1230"/>
    <n v="96"/>
    <x v="491"/>
  </r>
  <r>
    <x v="184"/>
    <s v="Евроопт"/>
    <x v="3"/>
    <x v="4"/>
    <x v="13"/>
    <n v="1505"/>
    <n v="80"/>
    <x v="910"/>
  </r>
  <r>
    <x v="184"/>
    <s v="Соседи"/>
    <x v="0"/>
    <x v="1"/>
    <x v="20"/>
    <n v="650"/>
    <n v="34"/>
    <x v="199"/>
  </r>
  <r>
    <x v="184"/>
    <s v="Виталюр"/>
    <x v="0"/>
    <x v="4"/>
    <x v="14"/>
    <n v="1670"/>
    <n v="49"/>
    <x v="16"/>
  </r>
  <r>
    <x v="184"/>
    <s v="Соседи"/>
    <x v="5"/>
    <x v="0"/>
    <x v="0"/>
    <n v="1320"/>
    <n v="32"/>
    <x v="11"/>
  </r>
  <r>
    <x v="184"/>
    <s v="Виталюр"/>
    <x v="5"/>
    <x v="4"/>
    <x v="13"/>
    <n v="1505"/>
    <n v="65"/>
    <x v="911"/>
  </r>
  <r>
    <x v="184"/>
    <s v="Евроопт"/>
    <x v="6"/>
    <x v="0"/>
    <x v="5"/>
    <n v="930"/>
    <n v="71"/>
    <x v="912"/>
  </r>
  <r>
    <x v="185"/>
    <m/>
    <x v="2"/>
    <x v="3"/>
    <x v="3"/>
    <m/>
    <m/>
    <x v="913"/>
  </r>
  <r>
    <x v="186"/>
    <s v="Виталюр"/>
    <x v="3"/>
    <x v="4"/>
    <x v="15"/>
    <n v="2460"/>
    <n v="83"/>
    <x v="914"/>
  </r>
  <r>
    <x v="186"/>
    <s v="Копеечка"/>
    <x v="4"/>
    <x v="1"/>
    <x v="19"/>
    <n v="540"/>
    <n v="81"/>
    <x v="915"/>
  </r>
  <r>
    <x v="186"/>
    <s v="Копеечка"/>
    <x v="5"/>
    <x v="2"/>
    <x v="16"/>
    <n v="890"/>
    <n v="50"/>
    <x v="916"/>
  </r>
  <r>
    <x v="186"/>
    <s v="Евроопт"/>
    <x v="5"/>
    <x v="2"/>
    <x v="12"/>
    <n v="715"/>
    <n v="49"/>
    <x v="917"/>
  </r>
  <r>
    <x v="186"/>
    <s v="Копеечка"/>
    <x v="5"/>
    <x v="0"/>
    <x v="0"/>
    <n v="1320"/>
    <n v="70"/>
    <x v="918"/>
  </r>
  <r>
    <x v="186"/>
    <s v="Соседи"/>
    <x v="5"/>
    <x v="4"/>
    <x v="13"/>
    <n v="1505"/>
    <n v="27"/>
    <x v="919"/>
  </r>
  <r>
    <x v="186"/>
    <s v="Копеечка"/>
    <x v="5"/>
    <x v="4"/>
    <x v="13"/>
    <n v="1505"/>
    <n v="100"/>
    <x v="920"/>
  </r>
  <r>
    <x v="186"/>
    <s v="Соседи"/>
    <x v="6"/>
    <x v="0"/>
    <x v="0"/>
    <n v="1320"/>
    <n v="86"/>
    <x v="921"/>
  </r>
  <r>
    <x v="186"/>
    <s v="Виталюр"/>
    <x v="6"/>
    <x v="0"/>
    <x v="24"/>
    <n v="2540"/>
    <n v="19"/>
    <x v="922"/>
  </r>
  <r>
    <x v="187"/>
    <m/>
    <x v="2"/>
    <x v="3"/>
    <x v="3"/>
    <m/>
    <m/>
    <x v="923"/>
  </r>
  <r>
    <x v="188"/>
    <s v="Соседи"/>
    <x v="0"/>
    <x v="2"/>
    <x v="9"/>
    <n v="690"/>
    <n v="34"/>
    <x v="450"/>
  </r>
  <r>
    <x v="188"/>
    <s v="Евроопт"/>
    <x v="0"/>
    <x v="4"/>
    <x v="11"/>
    <n v="2970"/>
    <n v="6"/>
    <x v="924"/>
  </r>
  <r>
    <x v="188"/>
    <s v="Евроопт"/>
    <x v="4"/>
    <x v="1"/>
    <x v="20"/>
    <n v="650"/>
    <n v="72"/>
    <x v="925"/>
  </r>
  <r>
    <x v="188"/>
    <s v="Евроопт"/>
    <x v="4"/>
    <x v="0"/>
    <x v="10"/>
    <n v="1230"/>
    <n v="84"/>
    <x v="926"/>
  </r>
  <r>
    <x v="188"/>
    <s v="Виталюр"/>
    <x v="1"/>
    <x v="2"/>
    <x v="9"/>
    <n v="690"/>
    <n v="60"/>
    <x v="356"/>
  </r>
  <r>
    <x v="188"/>
    <s v="Соседи"/>
    <x v="6"/>
    <x v="1"/>
    <x v="18"/>
    <n v="650"/>
    <n v="42"/>
    <x v="189"/>
  </r>
  <r>
    <x v="188"/>
    <s v="Евроопт"/>
    <x v="6"/>
    <x v="0"/>
    <x v="5"/>
    <n v="930"/>
    <n v="39"/>
    <x v="302"/>
  </r>
  <r>
    <x v="188"/>
    <s v="Соседи"/>
    <x v="6"/>
    <x v="4"/>
    <x v="13"/>
    <n v="1505"/>
    <n v="9"/>
    <x v="856"/>
  </r>
  <r>
    <x v="189"/>
    <m/>
    <x v="2"/>
    <x v="3"/>
    <x v="3"/>
    <m/>
    <m/>
    <x v="927"/>
  </r>
  <r>
    <x v="190"/>
    <s v="Соседи"/>
    <x v="3"/>
    <x v="2"/>
    <x v="2"/>
    <n v="325"/>
    <n v="14"/>
    <x v="928"/>
  </r>
  <r>
    <x v="190"/>
    <s v="Соседи"/>
    <x v="0"/>
    <x v="1"/>
    <x v="20"/>
    <n v="650"/>
    <n v="73"/>
    <x v="644"/>
  </r>
  <r>
    <x v="190"/>
    <s v="Копеечка"/>
    <x v="0"/>
    <x v="2"/>
    <x v="4"/>
    <n v="450"/>
    <n v="98"/>
    <x v="929"/>
  </r>
  <r>
    <x v="190"/>
    <s v="Соседи"/>
    <x v="0"/>
    <x v="4"/>
    <x v="15"/>
    <n v="2460"/>
    <n v="21"/>
    <x v="930"/>
  </r>
  <r>
    <x v="190"/>
    <s v="Соседи"/>
    <x v="4"/>
    <x v="1"/>
    <x v="20"/>
    <n v="650"/>
    <n v="88"/>
    <x v="83"/>
  </r>
  <r>
    <x v="190"/>
    <s v="Виталюр"/>
    <x v="4"/>
    <x v="0"/>
    <x v="22"/>
    <n v="1420"/>
    <n v="89"/>
    <x v="655"/>
  </r>
  <r>
    <x v="190"/>
    <s v="Копеечка"/>
    <x v="4"/>
    <x v="4"/>
    <x v="14"/>
    <n v="1670"/>
    <n v="64"/>
    <x v="931"/>
  </r>
  <r>
    <x v="190"/>
    <s v="Евроопт"/>
    <x v="1"/>
    <x v="1"/>
    <x v="18"/>
    <n v="650"/>
    <n v="100"/>
    <x v="2"/>
  </r>
  <r>
    <x v="190"/>
    <s v="Копеечка"/>
    <x v="5"/>
    <x v="1"/>
    <x v="1"/>
    <n v="1380"/>
    <n v="86"/>
    <x v="932"/>
  </r>
  <r>
    <x v="190"/>
    <s v="Копеечка"/>
    <x v="5"/>
    <x v="2"/>
    <x v="8"/>
    <n v="460"/>
    <n v="51"/>
    <x v="450"/>
  </r>
  <r>
    <x v="190"/>
    <s v="Виталюр"/>
    <x v="5"/>
    <x v="4"/>
    <x v="7"/>
    <n v="1760"/>
    <n v="82"/>
    <x v="852"/>
  </r>
  <r>
    <x v="190"/>
    <s v="Копеечка"/>
    <x v="5"/>
    <x v="4"/>
    <x v="14"/>
    <n v="1670"/>
    <n v="76"/>
    <x v="933"/>
  </r>
  <r>
    <x v="191"/>
    <m/>
    <x v="2"/>
    <x v="3"/>
    <x v="3"/>
    <m/>
    <m/>
    <x v="934"/>
  </r>
  <r>
    <x v="192"/>
    <s v="Виталюр"/>
    <x v="0"/>
    <x v="0"/>
    <x v="5"/>
    <n v="930"/>
    <n v="38"/>
    <x v="280"/>
  </r>
  <r>
    <x v="192"/>
    <s v="Копеечка"/>
    <x v="0"/>
    <x v="4"/>
    <x v="15"/>
    <n v="2460"/>
    <n v="50"/>
    <x v="284"/>
  </r>
  <r>
    <x v="192"/>
    <s v="Копеечка"/>
    <x v="5"/>
    <x v="4"/>
    <x v="7"/>
    <n v="1760"/>
    <n v="69"/>
    <x v="935"/>
  </r>
  <r>
    <x v="192"/>
    <s v="Виталюр"/>
    <x v="6"/>
    <x v="1"/>
    <x v="20"/>
    <n v="650"/>
    <n v="12"/>
    <x v="625"/>
  </r>
  <r>
    <x v="192"/>
    <s v="Виталюр"/>
    <x v="6"/>
    <x v="4"/>
    <x v="13"/>
    <n v="1505"/>
    <n v="42"/>
    <x v="936"/>
  </r>
  <r>
    <x v="193"/>
    <m/>
    <x v="2"/>
    <x v="3"/>
    <x v="3"/>
    <m/>
    <m/>
    <x v="937"/>
  </r>
  <r>
    <x v="194"/>
    <s v="Копеечка"/>
    <x v="3"/>
    <x v="1"/>
    <x v="23"/>
    <n v="705"/>
    <n v="43"/>
    <x v="938"/>
  </r>
  <r>
    <x v="194"/>
    <s v="Виталюр"/>
    <x v="1"/>
    <x v="1"/>
    <x v="1"/>
    <n v="1380"/>
    <n v="83"/>
    <x v="939"/>
  </r>
  <r>
    <x v="194"/>
    <s v="Соседи"/>
    <x v="1"/>
    <x v="2"/>
    <x v="8"/>
    <n v="460"/>
    <n v="49"/>
    <x v="940"/>
  </r>
  <r>
    <x v="194"/>
    <s v="Копеечка"/>
    <x v="5"/>
    <x v="0"/>
    <x v="5"/>
    <n v="930"/>
    <n v="49"/>
    <x v="899"/>
  </r>
  <r>
    <x v="194"/>
    <s v="Виталюр"/>
    <x v="6"/>
    <x v="1"/>
    <x v="18"/>
    <n v="650"/>
    <n v="12"/>
    <x v="625"/>
  </r>
  <r>
    <x v="194"/>
    <s v="Евроопт"/>
    <x v="6"/>
    <x v="2"/>
    <x v="9"/>
    <n v="690"/>
    <n v="61"/>
    <x v="941"/>
  </r>
  <r>
    <x v="194"/>
    <s v="Виталюр"/>
    <x v="6"/>
    <x v="0"/>
    <x v="22"/>
    <n v="1420"/>
    <n v="57"/>
    <x v="942"/>
  </r>
  <r>
    <x v="195"/>
    <m/>
    <x v="2"/>
    <x v="3"/>
    <x v="3"/>
    <m/>
    <m/>
    <x v="943"/>
  </r>
  <r>
    <x v="196"/>
    <s v="Соседи"/>
    <x v="3"/>
    <x v="4"/>
    <x v="21"/>
    <n v="3205"/>
    <n v="63"/>
    <x v="793"/>
  </r>
  <r>
    <x v="196"/>
    <s v="Копеечка"/>
    <x v="0"/>
    <x v="0"/>
    <x v="24"/>
    <n v="2540"/>
    <n v="78"/>
    <x v="944"/>
  </r>
  <r>
    <x v="196"/>
    <s v="Евроопт"/>
    <x v="1"/>
    <x v="1"/>
    <x v="6"/>
    <n v="640"/>
    <n v="93"/>
    <x v="457"/>
  </r>
  <r>
    <x v="196"/>
    <s v="Соседи"/>
    <x v="1"/>
    <x v="1"/>
    <x v="20"/>
    <n v="650"/>
    <n v="84"/>
    <x v="747"/>
  </r>
  <r>
    <x v="196"/>
    <s v="Виталюр"/>
    <x v="1"/>
    <x v="4"/>
    <x v="13"/>
    <n v="1505"/>
    <n v="19"/>
    <x v="945"/>
  </r>
  <r>
    <x v="196"/>
    <s v="Евроопт"/>
    <x v="1"/>
    <x v="4"/>
    <x v="21"/>
    <n v="3205"/>
    <n v="27"/>
    <x v="340"/>
  </r>
  <r>
    <x v="196"/>
    <s v="Соседи"/>
    <x v="5"/>
    <x v="4"/>
    <x v="21"/>
    <n v="3205"/>
    <n v="81"/>
    <x v="540"/>
  </r>
  <r>
    <x v="196"/>
    <s v="Копеечка"/>
    <x v="6"/>
    <x v="1"/>
    <x v="6"/>
    <n v="640"/>
    <n v="85"/>
    <x v="946"/>
  </r>
  <r>
    <x v="196"/>
    <s v="Евроопт"/>
    <x v="6"/>
    <x v="0"/>
    <x v="22"/>
    <n v="1420"/>
    <n v="14"/>
    <x v="947"/>
  </r>
  <r>
    <x v="197"/>
    <m/>
    <x v="2"/>
    <x v="3"/>
    <x v="3"/>
    <m/>
    <m/>
    <x v="948"/>
  </r>
  <r>
    <x v="198"/>
    <s v="Копеечка"/>
    <x v="3"/>
    <x v="4"/>
    <x v="21"/>
    <n v="3205"/>
    <n v="43"/>
    <x v="949"/>
  </r>
  <r>
    <x v="198"/>
    <s v="Соседи"/>
    <x v="5"/>
    <x v="1"/>
    <x v="18"/>
    <n v="650"/>
    <n v="31"/>
    <x v="306"/>
  </r>
  <r>
    <x v="198"/>
    <s v="Соседи"/>
    <x v="5"/>
    <x v="2"/>
    <x v="9"/>
    <n v="690"/>
    <n v="82"/>
    <x v="556"/>
  </r>
  <r>
    <x v="198"/>
    <s v="Виталюр"/>
    <x v="5"/>
    <x v="0"/>
    <x v="10"/>
    <n v="1230"/>
    <n v="84"/>
    <x v="926"/>
  </r>
  <r>
    <x v="198"/>
    <s v="Соседи"/>
    <x v="6"/>
    <x v="1"/>
    <x v="20"/>
    <n v="650"/>
    <n v="89"/>
    <x v="218"/>
  </r>
  <r>
    <x v="199"/>
    <m/>
    <x v="2"/>
    <x v="3"/>
    <x v="3"/>
    <m/>
    <m/>
    <x v="950"/>
  </r>
  <r>
    <x v="200"/>
    <s v="Соседи"/>
    <x v="3"/>
    <x v="2"/>
    <x v="9"/>
    <n v="690"/>
    <n v="15"/>
    <x v="9"/>
  </r>
  <r>
    <x v="200"/>
    <s v="Соседи"/>
    <x v="3"/>
    <x v="0"/>
    <x v="0"/>
    <n v="1320"/>
    <n v="17"/>
    <x v="659"/>
  </r>
  <r>
    <x v="200"/>
    <s v="Соседи"/>
    <x v="0"/>
    <x v="0"/>
    <x v="22"/>
    <n v="1420"/>
    <n v="19"/>
    <x v="951"/>
  </r>
  <r>
    <x v="200"/>
    <s v="Виталюр"/>
    <x v="6"/>
    <x v="2"/>
    <x v="4"/>
    <n v="450"/>
    <n v="56"/>
    <x v="715"/>
  </r>
  <r>
    <x v="200"/>
    <s v="Копеечка"/>
    <x v="6"/>
    <x v="0"/>
    <x v="17"/>
    <n v="2400"/>
    <n v="95"/>
    <x v="952"/>
  </r>
  <r>
    <x v="200"/>
    <s v="Евроопт"/>
    <x v="6"/>
    <x v="4"/>
    <x v="21"/>
    <n v="3205"/>
    <n v="45"/>
    <x v="953"/>
  </r>
  <r>
    <x v="201"/>
    <m/>
    <x v="2"/>
    <x v="3"/>
    <x v="3"/>
    <m/>
    <m/>
    <x v="954"/>
  </r>
  <r>
    <x v="202"/>
    <s v="Соседи"/>
    <x v="3"/>
    <x v="4"/>
    <x v="21"/>
    <n v="3205"/>
    <n v="43"/>
    <x v="949"/>
  </r>
  <r>
    <x v="202"/>
    <s v="Копеечка"/>
    <x v="0"/>
    <x v="1"/>
    <x v="19"/>
    <n v="540"/>
    <n v="93"/>
    <x v="955"/>
  </r>
  <r>
    <x v="202"/>
    <s v="Виталюр"/>
    <x v="4"/>
    <x v="2"/>
    <x v="8"/>
    <n v="460"/>
    <n v="20"/>
    <x v="956"/>
  </r>
  <r>
    <x v="202"/>
    <s v="Соседи"/>
    <x v="1"/>
    <x v="2"/>
    <x v="4"/>
    <n v="450"/>
    <n v="29"/>
    <x v="957"/>
  </r>
  <r>
    <x v="202"/>
    <s v="Соседи"/>
    <x v="5"/>
    <x v="1"/>
    <x v="1"/>
    <n v="1380"/>
    <n v="32"/>
    <x v="797"/>
  </r>
  <r>
    <x v="202"/>
    <s v="Копеечка"/>
    <x v="6"/>
    <x v="4"/>
    <x v="7"/>
    <n v="1760"/>
    <n v="52"/>
    <x v="958"/>
  </r>
  <r>
    <x v="203"/>
    <m/>
    <x v="2"/>
    <x v="3"/>
    <x v="3"/>
    <m/>
    <m/>
    <x v="959"/>
  </r>
  <r>
    <x v="204"/>
    <s v="Копеечка"/>
    <x v="3"/>
    <x v="0"/>
    <x v="17"/>
    <n v="2400"/>
    <n v="90"/>
    <x v="435"/>
  </r>
  <r>
    <x v="204"/>
    <s v="Соседи"/>
    <x v="0"/>
    <x v="1"/>
    <x v="23"/>
    <n v="705"/>
    <n v="54"/>
    <x v="248"/>
  </r>
  <r>
    <x v="204"/>
    <s v="Копеечка"/>
    <x v="0"/>
    <x v="2"/>
    <x v="16"/>
    <n v="890"/>
    <n v="51"/>
    <x v="773"/>
  </r>
  <r>
    <x v="204"/>
    <s v="Виталюр"/>
    <x v="4"/>
    <x v="2"/>
    <x v="12"/>
    <n v="715"/>
    <n v="39"/>
    <x v="33"/>
  </r>
  <r>
    <x v="204"/>
    <s v="Виталюр"/>
    <x v="1"/>
    <x v="1"/>
    <x v="6"/>
    <n v="640"/>
    <n v="82"/>
    <x v="960"/>
  </r>
  <r>
    <x v="204"/>
    <s v="Евроопт"/>
    <x v="1"/>
    <x v="1"/>
    <x v="1"/>
    <n v="1380"/>
    <n v="41"/>
    <x v="556"/>
  </r>
  <r>
    <x v="204"/>
    <s v="Евроопт"/>
    <x v="1"/>
    <x v="1"/>
    <x v="6"/>
    <n v="640"/>
    <n v="42"/>
    <x v="961"/>
  </r>
  <r>
    <x v="204"/>
    <s v="Евроопт"/>
    <x v="1"/>
    <x v="0"/>
    <x v="24"/>
    <n v="2540"/>
    <n v="87"/>
    <x v="962"/>
  </r>
  <r>
    <x v="204"/>
    <s v="Копеечка"/>
    <x v="1"/>
    <x v="4"/>
    <x v="13"/>
    <n v="1505"/>
    <n v="46"/>
    <x v="707"/>
  </r>
  <r>
    <x v="204"/>
    <s v="Копеечка"/>
    <x v="5"/>
    <x v="0"/>
    <x v="22"/>
    <n v="1420"/>
    <n v="40"/>
    <x v="963"/>
  </r>
  <r>
    <x v="204"/>
    <s v="Евроопт"/>
    <x v="6"/>
    <x v="1"/>
    <x v="20"/>
    <n v="650"/>
    <n v="23"/>
    <x v="522"/>
  </r>
  <r>
    <x v="204"/>
    <s v="Виталюр"/>
    <x v="6"/>
    <x v="2"/>
    <x v="9"/>
    <n v="690"/>
    <n v="66"/>
    <x v="744"/>
  </r>
  <r>
    <x v="205"/>
    <m/>
    <x v="2"/>
    <x v="3"/>
    <x v="3"/>
    <m/>
    <m/>
    <x v="964"/>
  </r>
  <r>
    <x v="206"/>
    <s v="Копеечка"/>
    <x v="3"/>
    <x v="1"/>
    <x v="20"/>
    <n v="650"/>
    <n v="96"/>
    <x v="423"/>
  </r>
  <r>
    <x v="206"/>
    <s v="Виталюр"/>
    <x v="0"/>
    <x v="1"/>
    <x v="20"/>
    <n v="650"/>
    <n v="32"/>
    <x v="237"/>
  </r>
  <r>
    <x v="206"/>
    <s v="Виталюр"/>
    <x v="4"/>
    <x v="2"/>
    <x v="16"/>
    <n v="890"/>
    <n v="38"/>
    <x v="636"/>
  </r>
  <r>
    <x v="206"/>
    <s v="Копеечка"/>
    <x v="1"/>
    <x v="1"/>
    <x v="19"/>
    <n v="540"/>
    <n v="73"/>
    <x v="44"/>
  </r>
  <r>
    <x v="206"/>
    <s v="Виталюр"/>
    <x v="5"/>
    <x v="1"/>
    <x v="19"/>
    <n v="540"/>
    <n v="81"/>
    <x v="915"/>
  </r>
  <r>
    <x v="206"/>
    <s v="Соседи"/>
    <x v="5"/>
    <x v="1"/>
    <x v="19"/>
    <n v="540"/>
    <n v="36"/>
    <x v="965"/>
  </r>
  <r>
    <x v="206"/>
    <s v="Соседи"/>
    <x v="5"/>
    <x v="0"/>
    <x v="17"/>
    <n v="2400"/>
    <n v="22"/>
    <x v="94"/>
  </r>
  <r>
    <x v="207"/>
    <m/>
    <x v="2"/>
    <x v="3"/>
    <x v="3"/>
    <m/>
    <m/>
    <x v="966"/>
  </r>
  <r>
    <x v="208"/>
    <s v="Виталюр"/>
    <x v="3"/>
    <x v="2"/>
    <x v="16"/>
    <n v="890"/>
    <n v="50"/>
    <x v="916"/>
  </r>
  <r>
    <x v="208"/>
    <s v="Евроопт"/>
    <x v="3"/>
    <x v="0"/>
    <x v="0"/>
    <n v="1320"/>
    <n v="91"/>
    <x v="521"/>
  </r>
  <r>
    <x v="208"/>
    <s v="Копеечка"/>
    <x v="0"/>
    <x v="0"/>
    <x v="10"/>
    <n v="1230"/>
    <n v="20"/>
    <x v="864"/>
  </r>
  <r>
    <x v="208"/>
    <s v="Виталюр"/>
    <x v="0"/>
    <x v="4"/>
    <x v="7"/>
    <n v="1760"/>
    <n v="44"/>
    <x v="499"/>
  </r>
  <r>
    <x v="208"/>
    <s v="Виталюр"/>
    <x v="4"/>
    <x v="2"/>
    <x v="12"/>
    <n v="715"/>
    <n v="31"/>
    <x v="615"/>
  </r>
  <r>
    <x v="208"/>
    <s v="Евроопт"/>
    <x v="4"/>
    <x v="4"/>
    <x v="14"/>
    <n v="1670"/>
    <n v="69"/>
    <x v="967"/>
  </r>
  <r>
    <x v="208"/>
    <s v="Копеечка"/>
    <x v="1"/>
    <x v="2"/>
    <x v="16"/>
    <n v="890"/>
    <n v="46"/>
    <x v="402"/>
  </r>
  <r>
    <x v="208"/>
    <s v="Копеечка"/>
    <x v="5"/>
    <x v="4"/>
    <x v="14"/>
    <n v="1670"/>
    <n v="18"/>
    <x v="968"/>
  </r>
  <r>
    <x v="209"/>
    <m/>
    <x v="2"/>
    <x v="3"/>
    <x v="3"/>
    <m/>
    <m/>
    <x v="969"/>
  </r>
  <r>
    <x v="210"/>
    <s v="Копеечка"/>
    <x v="3"/>
    <x v="1"/>
    <x v="1"/>
    <n v="1380"/>
    <n v="43"/>
    <x v="147"/>
  </r>
  <r>
    <x v="210"/>
    <s v="Евроопт"/>
    <x v="3"/>
    <x v="0"/>
    <x v="24"/>
    <n v="2540"/>
    <n v="21"/>
    <x v="658"/>
  </r>
  <r>
    <x v="210"/>
    <s v="Евроопт"/>
    <x v="3"/>
    <x v="4"/>
    <x v="15"/>
    <n v="2460"/>
    <n v="72"/>
    <x v="970"/>
  </r>
  <r>
    <x v="210"/>
    <s v="Соседи"/>
    <x v="0"/>
    <x v="1"/>
    <x v="1"/>
    <n v="1380"/>
    <n v="79"/>
    <x v="971"/>
  </r>
  <r>
    <x v="210"/>
    <s v="Копеечка"/>
    <x v="0"/>
    <x v="1"/>
    <x v="23"/>
    <n v="705"/>
    <n v="74"/>
    <x v="972"/>
  </r>
  <r>
    <x v="210"/>
    <s v="Виталюр"/>
    <x v="4"/>
    <x v="1"/>
    <x v="6"/>
    <n v="640"/>
    <n v="98"/>
    <x v="649"/>
  </r>
  <r>
    <x v="210"/>
    <s v="Виталюр"/>
    <x v="1"/>
    <x v="4"/>
    <x v="21"/>
    <n v="3205"/>
    <n v="38"/>
    <x v="201"/>
  </r>
  <r>
    <x v="210"/>
    <s v="Копеечка"/>
    <x v="5"/>
    <x v="2"/>
    <x v="9"/>
    <n v="690"/>
    <n v="19"/>
    <x v="973"/>
  </r>
  <r>
    <x v="210"/>
    <s v="Копеечка"/>
    <x v="6"/>
    <x v="1"/>
    <x v="18"/>
    <n v="650"/>
    <n v="34"/>
    <x v="199"/>
  </r>
  <r>
    <x v="210"/>
    <s v="Евроопт"/>
    <x v="6"/>
    <x v="1"/>
    <x v="6"/>
    <n v="640"/>
    <n v="21"/>
    <x v="974"/>
  </r>
  <r>
    <x v="211"/>
    <m/>
    <x v="2"/>
    <x v="3"/>
    <x v="3"/>
    <m/>
    <m/>
    <x v="975"/>
  </r>
  <r>
    <x v="212"/>
    <s v="Копеечка"/>
    <x v="3"/>
    <x v="1"/>
    <x v="18"/>
    <n v="650"/>
    <n v="27"/>
    <x v="689"/>
  </r>
  <r>
    <x v="212"/>
    <s v="Евроопт"/>
    <x v="3"/>
    <x v="1"/>
    <x v="23"/>
    <n v="705"/>
    <n v="57"/>
    <x v="205"/>
  </r>
  <r>
    <x v="212"/>
    <s v="Соседи"/>
    <x v="3"/>
    <x v="0"/>
    <x v="22"/>
    <n v="1420"/>
    <n v="100"/>
    <x v="976"/>
  </r>
  <r>
    <x v="212"/>
    <s v="Евроопт"/>
    <x v="3"/>
    <x v="0"/>
    <x v="17"/>
    <n v="2400"/>
    <n v="41"/>
    <x v="549"/>
  </r>
  <r>
    <x v="212"/>
    <s v="Виталюр"/>
    <x v="3"/>
    <x v="4"/>
    <x v="21"/>
    <n v="3205"/>
    <n v="78"/>
    <x v="977"/>
  </r>
  <r>
    <x v="212"/>
    <s v="Евроопт"/>
    <x v="0"/>
    <x v="2"/>
    <x v="16"/>
    <n v="890"/>
    <n v="75"/>
    <x v="54"/>
  </r>
  <r>
    <x v="212"/>
    <s v="Соседи"/>
    <x v="4"/>
    <x v="0"/>
    <x v="17"/>
    <n v="2400"/>
    <n v="43"/>
    <x v="978"/>
  </r>
  <r>
    <x v="212"/>
    <s v="Копеечка"/>
    <x v="4"/>
    <x v="4"/>
    <x v="11"/>
    <n v="2970"/>
    <n v="27"/>
    <x v="576"/>
  </r>
  <r>
    <x v="212"/>
    <s v="Соседи"/>
    <x v="1"/>
    <x v="2"/>
    <x v="8"/>
    <n v="460"/>
    <n v="59"/>
    <x v="840"/>
  </r>
  <r>
    <x v="212"/>
    <s v="Соседи"/>
    <x v="1"/>
    <x v="4"/>
    <x v="13"/>
    <n v="1505"/>
    <n v="98"/>
    <x v="979"/>
  </r>
  <r>
    <x v="213"/>
    <m/>
    <x v="2"/>
    <x v="3"/>
    <x v="3"/>
    <m/>
    <m/>
    <x v="980"/>
  </r>
  <r>
    <x v="214"/>
    <s v="Копеечка"/>
    <x v="3"/>
    <x v="2"/>
    <x v="16"/>
    <n v="890"/>
    <n v="21"/>
    <x v="981"/>
  </r>
  <r>
    <x v="214"/>
    <s v="Евроопт"/>
    <x v="0"/>
    <x v="1"/>
    <x v="1"/>
    <n v="1380"/>
    <n v="18"/>
    <x v="200"/>
  </r>
  <r>
    <x v="214"/>
    <s v="Соседи"/>
    <x v="0"/>
    <x v="2"/>
    <x v="4"/>
    <n v="450"/>
    <n v="97"/>
    <x v="321"/>
  </r>
  <r>
    <x v="214"/>
    <s v="Виталюр"/>
    <x v="0"/>
    <x v="2"/>
    <x v="12"/>
    <n v="715"/>
    <n v="89"/>
    <x v="982"/>
  </r>
  <r>
    <x v="214"/>
    <s v="Копеечка"/>
    <x v="1"/>
    <x v="1"/>
    <x v="6"/>
    <n v="640"/>
    <n v="40"/>
    <x v="676"/>
  </r>
  <r>
    <x v="214"/>
    <s v="Евроопт"/>
    <x v="1"/>
    <x v="1"/>
    <x v="6"/>
    <n v="640"/>
    <n v="75"/>
    <x v="77"/>
  </r>
  <r>
    <x v="214"/>
    <s v="Копеечка"/>
    <x v="1"/>
    <x v="4"/>
    <x v="11"/>
    <n v="2970"/>
    <n v="59"/>
    <x v="598"/>
  </r>
  <r>
    <x v="214"/>
    <s v="Евроопт"/>
    <x v="5"/>
    <x v="4"/>
    <x v="7"/>
    <n v="1760"/>
    <n v="24"/>
    <x v="11"/>
  </r>
  <r>
    <x v="214"/>
    <s v="Евроопт"/>
    <x v="6"/>
    <x v="4"/>
    <x v="15"/>
    <n v="2460"/>
    <n v="5"/>
    <x v="481"/>
  </r>
  <r>
    <x v="215"/>
    <m/>
    <x v="2"/>
    <x v="3"/>
    <x v="3"/>
    <m/>
    <m/>
    <x v="983"/>
  </r>
  <r>
    <x v="216"/>
    <s v="Виталюр"/>
    <x v="3"/>
    <x v="1"/>
    <x v="6"/>
    <n v="640"/>
    <n v="60"/>
    <x v="193"/>
  </r>
  <r>
    <x v="216"/>
    <s v="Копеечка"/>
    <x v="3"/>
    <x v="2"/>
    <x v="4"/>
    <n v="450"/>
    <n v="86"/>
    <x v="984"/>
  </r>
  <r>
    <x v="216"/>
    <s v="Виталюр"/>
    <x v="3"/>
    <x v="0"/>
    <x v="17"/>
    <n v="2400"/>
    <n v="23"/>
    <x v="985"/>
  </r>
  <r>
    <x v="216"/>
    <s v="Копеечка"/>
    <x v="0"/>
    <x v="2"/>
    <x v="2"/>
    <n v="325"/>
    <n v="48"/>
    <x v="337"/>
  </r>
  <r>
    <x v="216"/>
    <s v="Соседи"/>
    <x v="4"/>
    <x v="4"/>
    <x v="11"/>
    <n v="2970"/>
    <n v="59"/>
    <x v="598"/>
  </r>
  <r>
    <x v="216"/>
    <s v="Виталюр"/>
    <x v="4"/>
    <x v="4"/>
    <x v="7"/>
    <n v="1760"/>
    <n v="30"/>
    <x v="94"/>
  </r>
  <r>
    <x v="216"/>
    <s v="Соседи"/>
    <x v="1"/>
    <x v="2"/>
    <x v="8"/>
    <n v="460"/>
    <n v="23"/>
    <x v="986"/>
  </r>
  <r>
    <x v="216"/>
    <s v="Евроопт"/>
    <x v="5"/>
    <x v="2"/>
    <x v="16"/>
    <n v="890"/>
    <n v="27"/>
    <x v="287"/>
  </r>
  <r>
    <x v="216"/>
    <s v="Виталюр"/>
    <x v="5"/>
    <x v="4"/>
    <x v="14"/>
    <n v="1670"/>
    <n v="32"/>
    <x v="987"/>
  </r>
  <r>
    <x v="216"/>
    <s v="Соседи"/>
    <x v="6"/>
    <x v="0"/>
    <x v="0"/>
    <n v="1320"/>
    <n v="15"/>
    <x v="4"/>
  </r>
  <r>
    <x v="216"/>
    <s v="Виталюр"/>
    <x v="6"/>
    <x v="4"/>
    <x v="21"/>
    <n v="3205"/>
    <n v="46"/>
    <x v="371"/>
  </r>
  <r>
    <x v="217"/>
    <m/>
    <x v="2"/>
    <x v="3"/>
    <x v="3"/>
    <m/>
    <m/>
    <x v="988"/>
  </r>
  <r>
    <x v="218"/>
    <s v="Соседи"/>
    <x v="3"/>
    <x v="0"/>
    <x v="22"/>
    <n v="1420"/>
    <n v="74"/>
    <x v="384"/>
  </r>
  <r>
    <x v="218"/>
    <s v="Виталюр"/>
    <x v="0"/>
    <x v="4"/>
    <x v="13"/>
    <n v="1505"/>
    <n v="49"/>
    <x v="886"/>
  </r>
  <r>
    <x v="218"/>
    <s v="Виталюр"/>
    <x v="4"/>
    <x v="0"/>
    <x v="0"/>
    <n v="1320"/>
    <n v="45"/>
    <x v="12"/>
  </r>
  <r>
    <x v="218"/>
    <s v="Виталюр"/>
    <x v="1"/>
    <x v="2"/>
    <x v="2"/>
    <n v="325"/>
    <n v="46"/>
    <x v="522"/>
  </r>
  <r>
    <x v="218"/>
    <s v="Соседи"/>
    <x v="5"/>
    <x v="2"/>
    <x v="9"/>
    <n v="690"/>
    <n v="37"/>
    <x v="490"/>
  </r>
  <r>
    <x v="218"/>
    <s v="Копеечка"/>
    <x v="5"/>
    <x v="0"/>
    <x v="5"/>
    <n v="930"/>
    <n v="18"/>
    <x v="378"/>
  </r>
  <r>
    <x v="218"/>
    <s v="Виталюр"/>
    <x v="6"/>
    <x v="1"/>
    <x v="20"/>
    <n v="650"/>
    <n v="98"/>
    <x v="833"/>
  </r>
  <r>
    <x v="218"/>
    <s v="Евроопт"/>
    <x v="6"/>
    <x v="2"/>
    <x v="9"/>
    <n v="690"/>
    <n v="16"/>
    <x v="51"/>
  </r>
  <r>
    <x v="218"/>
    <s v="Евроопт"/>
    <x v="6"/>
    <x v="4"/>
    <x v="7"/>
    <n v="1760"/>
    <n v="24"/>
    <x v="11"/>
  </r>
  <r>
    <x v="219"/>
    <m/>
    <x v="2"/>
    <x v="3"/>
    <x v="3"/>
    <m/>
    <m/>
    <x v="989"/>
  </r>
  <r>
    <x v="220"/>
    <s v="Копеечка"/>
    <x v="3"/>
    <x v="0"/>
    <x v="24"/>
    <n v="2540"/>
    <n v="61"/>
    <x v="990"/>
  </r>
  <r>
    <x v="220"/>
    <s v="Виталюр"/>
    <x v="0"/>
    <x v="1"/>
    <x v="1"/>
    <n v="1380"/>
    <n v="54"/>
    <x v="991"/>
  </r>
  <r>
    <x v="220"/>
    <s v="Копеечка"/>
    <x v="0"/>
    <x v="2"/>
    <x v="12"/>
    <n v="715"/>
    <n v="17"/>
    <x v="992"/>
  </r>
  <r>
    <x v="220"/>
    <s v="Соседи"/>
    <x v="0"/>
    <x v="0"/>
    <x v="5"/>
    <n v="930"/>
    <n v="35"/>
    <x v="993"/>
  </r>
  <r>
    <x v="220"/>
    <s v="Виталюр"/>
    <x v="0"/>
    <x v="0"/>
    <x v="24"/>
    <n v="2540"/>
    <n v="7"/>
    <x v="208"/>
  </r>
  <r>
    <x v="220"/>
    <s v="Копеечка"/>
    <x v="4"/>
    <x v="2"/>
    <x v="12"/>
    <n v="715"/>
    <n v="20"/>
    <x v="994"/>
  </r>
  <r>
    <x v="220"/>
    <s v="Виталюр"/>
    <x v="4"/>
    <x v="4"/>
    <x v="11"/>
    <n v="2970"/>
    <n v="72"/>
    <x v="492"/>
  </r>
  <r>
    <x v="220"/>
    <s v="Евроопт"/>
    <x v="1"/>
    <x v="1"/>
    <x v="19"/>
    <n v="540"/>
    <n v="100"/>
    <x v="995"/>
  </r>
  <r>
    <x v="220"/>
    <s v="Копеечка"/>
    <x v="1"/>
    <x v="1"/>
    <x v="18"/>
    <n v="650"/>
    <n v="27"/>
    <x v="689"/>
  </r>
  <r>
    <x v="220"/>
    <s v="Копеечка"/>
    <x v="6"/>
    <x v="1"/>
    <x v="18"/>
    <n v="650"/>
    <n v="62"/>
    <x v="699"/>
  </r>
  <r>
    <x v="220"/>
    <s v="Виталюр"/>
    <x v="6"/>
    <x v="0"/>
    <x v="24"/>
    <n v="2540"/>
    <n v="94"/>
    <x v="996"/>
  </r>
  <r>
    <x v="220"/>
    <s v="Копеечка"/>
    <x v="6"/>
    <x v="4"/>
    <x v="15"/>
    <n v="2460"/>
    <n v="31"/>
    <x v="997"/>
  </r>
  <r>
    <x v="221"/>
    <m/>
    <x v="2"/>
    <x v="3"/>
    <x v="3"/>
    <m/>
    <m/>
    <x v="998"/>
  </r>
  <r>
    <x v="222"/>
    <s v="Соседи"/>
    <x v="3"/>
    <x v="1"/>
    <x v="19"/>
    <n v="540"/>
    <n v="59"/>
    <x v="449"/>
  </r>
  <r>
    <x v="222"/>
    <s v="Виталюр"/>
    <x v="4"/>
    <x v="2"/>
    <x v="8"/>
    <n v="460"/>
    <n v="52"/>
    <x v="999"/>
  </r>
  <r>
    <x v="222"/>
    <s v="Соседи"/>
    <x v="1"/>
    <x v="1"/>
    <x v="23"/>
    <n v="705"/>
    <n v="25"/>
    <x v="1000"/>
  </r>
  <r>
    <x v="222"/>
    <s v="Евроопт"/>
    <x v="5"/>
    <x v="0"/>
    <x v="24"/>
    <n v="2540"/>
    <n v="87"/>
    <x v="962"/>
  </r>
  <r>
    <x v="222"/>
    <s v="Виталюр"/>
    <x v="6"/>
    <x v="4"/>
    <x v="21"/>
    <n v="3205"/>
    <n v="90"/>
    <x v="169"/>
  </r>
  <r>
    <x v="223"/>
    <m/>
    <x v="2"/>
    <x v="3"/>
    <x v="3"/>
    <m/>
    <m/>
    <x v="1001"/>
  </r>
  <r>
    <x v="224"/>
    <s v="Евроопт"/>
    <x v="3"/>
    <x v="0"/>
    <x v="24"/>
    <n v="2540"/>
    <n v="57"/>
    <x v="1002"/>
  </r>
  <r>
    <x v="224"/>
    <s v="Соседи"/>
    <x v="0"/>
    <x v="1"/>
    <x v="20"/>
    <n v="650"/>
    <n v="8"/>
    <x v="672"/>
  </r>
  <r>
    <x v="224"/>
    <s v="Виталюр"/>
    <x v="0"/>
    <x v="2"/>
    <x v="8"/>
    <n v="460"/>
    <n v="39"/>
    <x v="275"/>
  </r>
  <r>
    <x v="224"/>
    <s v="Копеечка"/>
    <x v="4"/>
    <x v="1"/>
    <x v="20"/>
    <n v="650"/>
    <n v="55"/>
    <x v="677"/>
  </r>
  <r>
    <x v="224"/>
    <s v="Копеечка"/>
    <x v="1"/>
    <x v="2"/>
    <x v="4"/>
    <n v="450"/>
    <n v="86"/>
    <x v="984"/>
  </r>
  <r>
    <x v="224"/>
    <s v="Виталюр"/>
    <x v="5"/>
    <x v="0"/>
    <x v="5"/>
    <n v="930"/>
    <n v="45"/>
    <x v="820"/>
  </r>
  <r>
    <x v="224"/>
    <s v="Копеечка"/>
    <x v="5"/>
    <x v="0"/>
    <x v="0"/>
    <n v="1320"/>
    <n v="82"/>
    <x v="456"/>
  </r>
  <r>
    <x v="224"/>
    <s v="Виталюр"/>
    <x v="6"/>
    <x v="0"/>
    <x v="24"/>
    <n v="2540"/>
    <n v="97"/>
    <x v="1003"/>
  </r>
  <r>
    <x v="224"/>
    <s v="Виталюр"/>
    <x v="6"/>
    <x v="4"/>
    <x v="13"/>
    <n v="1505"/>
    <n v="32"/>
    <x v="1004"/>
  </r>
  <r>
    <x v="225"/>
    <m/>
    <x v="2"/>
    <x v="3"/>
    <x v="3"/>
    <m/>
    <m/>
    <x v="1005"/>
  </r>
  <r>
    <x v="226"/>
    <s v="Евроопт"/>
    <x v="3"/>
    <x v="2"/>
    <x v="8"/>
    <n v="460"/>
    <n v="8"/>
    <x v="1006"/>
  </r>
  <r>
    <x v="226"/>
    <s v="Виталюр"/>
    <x v="3"/>
    <x v="4"/>
    <x v="15"/>
    <n v="2460"/>
    <n v="8"/>
    <x v="254"/>
  </r>
  <r>
    <x v="226"/>
    <s v="Виталюр"/>
    <x v="4"/>
    <x v="4"/>
    <x v="11"/>
    <n v="2970"/>
    <n v="27"/>
    <x v="576"/>
  </r>
  <r>
    <x v="226"/>
    <s v="Евроопт"/>
    <x v="1"/>
    <x v="1"/>
    <x v="19"/>
    <n v="540"/>
    <n v="60"/>
    <x v="1007"/>
  </r>
  <r>
    <x v="226"/>
    <s v="Евроопт"/>
    <x v="1"/>
    <x v="2"/>
    <x v="2"/>
    <n v="325"/>
    <n v="12"/>
    <x v="342"/>
  </r>
  <r>
    <x v="226"/>
    <s v="Соседи"/>
    <x v="1"/>
    <x v="2"/>
    <x v="2"/>
    <n v="325"/>
    <n v="17"/>
    <x v="38"/>
  </r>
  <r>
    <x v="226"/>
    <s v="Копеечка"/>
    <x v="1"/>
    <x v="0"/>
    <x v="17"/>
    <n v="2400"/>
    <n v="36"/>
    <x v="1008"/>
  </r>
  <r>
    <x v="226"/>
    <s v="Евроопт"/>
    <x v="5"/>
    <x v="1"/>
    <x v="19"/>
    <n v="540"/>
    <n v="19"/>
    <x v="1009"/>
  </r>
  <r>
    <x v="226"/>
    <s v="Соседи"/>
    <x v="5"/>
    <x v="2"/>
    <x v="9"/>
    <n v="690"/>
    <n v="20"/>
    <x v="505"/>
  </r>
  <r>
    <x v="226"/>
    <s v="Копеечка"/>
    <x v="5"/>
    <x v="4"/>
    <x v="7"/>
    <n v="1760"/>
    <n v="48"/>
    <x v="432"/>
  </r>
  <r>
    <x v="227"/>
    <m/>
    <x v="2"/>
    <x v="3"/>
    <x v="3"/>
    <m/>
    <m/>
    <x v="1010"/>
  </r>
  <r>
    <x v="228"/>
    <s v="Евроопт"/>
    <x v="3"/>
    <x v="1"/>
    <x v="1"/>
    <n v="1380"/>
    <n v="83"/>
    <x v="939"/>
  </r>
  <r>
    <x v="228"/>
    <s v="Соседи"/>
    <x v="3"/>
    <x v="4"/>
    <x v="13"/>
    <n v="1505"/>
    <n v="63"/>
    <x v="855"/>
  </r>
  <r>
    <x v="228"/>
    <s v="Соседи"/>
    <x v="0"/>
    <x v="2"/>
    <x v="9"/>
    <n v="690"/>
    <n v="13"/>
    <x v="1011"/>
  </r>
  <r>
    <x v="228"/>
    <s v="Копеечка"/>
    <x v="0"/>
    <x v="2"/>
    <x v="16"/>
    <n v="890"/>
    <n v="69"/>
    <x v="1012"/>
  </r>
  <r>
    <x v="228"/>
    <s v="Евроопт"/>
    <x v="0"/>
    <x v="2"/>
    <x v="16"/>
    <n v="890"/>
    <n v="86"/>
    <x v="771"/>
  </r>
  <r>
    <x v="228"/>
    <s v="Соседи"/>
    <x v="0"/>
    <x v="2"/>
    <x v="12"/>
    <n v="715"/>
    <n v="88"/>
    <x v="1013"/>
  </r>
  <r>
    <x v="228"/>
    <s v="Копеечка"/>
    <x v="0"/>
    <x v="4"/>
    <x v="14"/>
    <n v="1670"/>
    <n v="44"/>
    <x v="1014"/>
  </r>
  <r>
    <x v="228"/>
    <s v="Соседи"/>
    <x v="4"/>
    <x v="1"/>
    <x v="20"/>
    <n v="650"/>
    <n v="72"/>
    <x v="925"/>
  </r>
  <r>
    <x v="228"/>
    <s v="Копеечка"/>
    <x v="4"/>
    <x v="1"/>
    <x v="19"/>
    <n v="540"/>
    <n v="91"/>
    <x v="1015"/>
  </r>
  <r>
    <x v="228"/>
    <s v="Виталюр"/>
    <x v="5"/>
    <x v="2"/>
    <x v="2"/>
    <n v="325"/>
    <n v="61"/>
    <x v="1016"/>
  </r>
  <r>
    <x v="228"/>
    <s v="Виталюр"/>
    <x v="5"/>
    <x v="0"/>
    <x v="22"/>
    <n v="1420"/>
    <n v="82"/>
    <x v="632"/>
  </r>
  <r>
    <x v="228"/>
    <s v="Виталюр"/>
    <x v="5"/>
    <x v="4"/>
    <x v="13"/>
    <n v="1505"/>
    <n v="59"/>
    <x v="754"/>
  </r>
  <r>
    <x v="228"/>
    <s v="Евроопт"/>
    <x v="6"/>
    <x v="1"/>
    <x v="23"/>
    <n v="705"/>
    <n v="50"/>
    <x v="1017"/>
  </r>
  <r>
    <x v="229"/>
    <m/>
    <x v="2"/>
    <x v="3"/>
    <x v="3"/>
    <m/>
    <m/>
    <x v="1018"/>
  </r>
  <r>
    <x v="230"/>
    <s v="Копеечка"/>
    <x v="3"/>
    <x v="2"/>
    <x v="4"/>
    <n v="450"/>
    <n v="89"/>
    <x v="1019"/>
  </r>
  <r>
    <x v="230"/>
    <s v="Виталюр"/>
    <x v="3"/>
    <x v="2"/>
    <x v="16"/>
    <n v="890"/>
    <n v="97"/>
    <x v="1020"/>
  </r>
  <r>
    <x v="230"/>
    <s v="Виталюр"/>
    <x v="3"/>
    <x v="2"/>
    <x v="9"/>
    <n v="690"/>
    <n v="95"/>
    <x v="1021"/>
  </r>
  <r>
    <x v="230"/>
    <s v="Соседи"/>
    <x v="3"/>
    <x v="2"/>
    <x v="8"/>
    <n v="460"/>
    <n v="21"/>
    <x v="75"/>
  </r>
  <r>
    <x v="230"/>
    <s v="Копеечка"/>
    <x v="3"/>
    <x v="2"/>
    <x v="16"/>
    <n v="890"/>
    <n v="9"/>
    <x v="1022"/>
  </r>
  <r>
    <x v="230"/>
    <s v="Копеечка"/>
    <x v="3"/>
    <x v="0"/>
    <x v="0"/>
    <n v="1320"/>
    <n v="22"/>
    <x v="1023"/>
  </r>
  <r>
    <x v="230"/>
    <s v="Виталюр"/>
    <x v="3"/>
    <x v="4"/>
    <x v="14"/>
    <n v="1670"/>
    <n v="90"/>
    <x v="1024"/>
  </r>
  <r>
    <x v="230"/>
    <s v="Соседи"/>
    <x v="4"/>
    <x v="0"/>
    <x v="24"/>
    <n v="2540"/>
    <n v="97"/>
    <x v="1003"/>
  </r>
  <r>
    <x v="230"/>
    <s v="Копеечка"/>
    <x v="4"/>
    <x v="4"/>
    <x v="14"/>
    <n v="1670"/>
    <n v="14"/>
    <x v="1025"/>
  </r>
  <r>
    <x v="230"/>
    <s v="Евроопт"/>
    <x v="1"/>
    <x v="1"/>
    <x v="20"/>
    <n v="650"/>
    <n v="30"/>
    <x v="469"/>
  </r>
  <r>
    <x v="230"/>
    <s v="Соседи"/>
    <x v="1"/>
    <x v="2"/>
    <x v="4"/>
    <n v="450"/>
    <n v="52"/>
    <x v="756"/>
  </r>
  <r>
    <x v="230"/>
    <s v="Соседи"/>
    <x v="6"/>
    <x v="2"/>
    <x v="4"/>
    <n v="450"/>
    <n v="61"/>
    <x v="631"/>
  </r>
  <r>
    <x v="231"/>
    <m/>
    <x v="2"/>
    <x v="3"/>
    <x v="3"/>
    <m/>
    <m/>
    <x v="1026"/>
  </r>
  <r>
    <x v="232"/>
    <s v="Виталюр"/>
    <x v="3"/>
    <x v="1"/>
    <x v="1"/>
    <n v="1380"/>
    <n v="10"/>
    <x v="505"/>
  </r>
  <r>
    <x v="232"/>
    <s v="Виталюр"/>
    <x v="3"/>
    <x v="4"/>
    <x v="14"/>
    <n v="1670"/>
    <n v="85"/>
    <x v="1027"/>
  </r>
  <r>
    <x v="232"/>
    <s v="Соседи"/>
    <x v="4"/>
    <x v="1"/>
    <x v="20"/>
    <n v="650"/>
    <n v="58"/>
    <x v="173"/>
  </r>
  <r>
    <x v="232"/>
    <s v="Соседи"/>
    <x v="4"/>
    <x v="0"/>
    <x v="0"/>
    <n v="1320"/>
    <n v="61"/>
    <x v="819"/>
  </r>
  <r>
    <x v="232"/>
    <s v="Копеечка"/>
    <x v="5"/>
    <x v="4"/>
    <x v="7"/>
    <n v="1760"/>
    <n v="45"/>
    <x v="30"/>
  </r>
  <r>
    <x v="232"/>
    <s v="Соседи"/>
    <x v="5"/>
    <x v="4"/>
    <x v="15"/>
    <n v="2460"/>
    <n v="5"/>
    <x v="481"/>
  </r>
  <r>
    <x v="233"/>
    <m/>
    <x v="2"/>
    <x v="3"/>
    <x v="3"/>
    <m/>
    <m/>
    <x v="1028"/>
  </r>
  <r>
    <x v="234"/>
    <s v="Копеечка"/>
    <x v="0"/>
    <x v="2"/>
    <x v="12"/>
    <n v="715"/>
    <n v="75"/>
    <x v="37"/>
  </r>
  <r>
    <x v="234"/>
    <s v="Копеечка"/>
    <x v="4"/>
    <x v="4"/>
    <x v="14"/>
    <n v="1670"/>
    <n v="37"/>
    <x v="265"/>
  </r>
  <r>
    <x v="234"/>
    <s v="Виталюр"/>
    <x v="5"/>
    <x v="0"/>
    <x v="5"/>
    <n v="930"/>
    <n v="56"/>
    <x v="1029"/>
  </r>
  <r>
    <x v="234"/>
    <s v="Виталюр"/>
    <x v="6"/>
    <x v="2"/>
    <x v="16"/>
    <n v="890"/>
    <n v="25"/>
    <x v="48"/>
  </r>
  <r>
    <x v="234"/>
    <s v="Евроопт"/>
    <x v="6"/>
    <x v="0"/>
    <x v="17"/>
    <n v="2400"/>
    <n v="67"/>
    <x v="59"/>
  </r>
  <r>
    <x v="235"/>
    <m/>
    <x v="2"/>
    <x v="3"/>
    <x v="3"/>
    <m/>
    <m/>
    <x v="1030"/>
  </r>
  <r>
    <x v="236"/>
    <s v="Виталюр"/>
    <x v="3"/>
    <x v="1"/>
    <x v="6"/>
    <n v="640"/>
    <n v="7"/>
    <x v="1031"/>
  </r>
  <r>
    <x v="236"/>
    <s v="Копеечка"/>
    <x v="0"/>
    <x v="1"/>
    <x v="6"/>
    <n v="640"/>
    <n v="52"/>
    <x v="67"/>
  </r>
  <r>
    <x v="236"/>
    <s v="Соседи"/>
    <x v="0"/>
    <x v="0"/>
    <x v="22"/>
    <n v="1420"/>
    <n v="93"/>
    <x v="1032"/>
  </r>
  <r>
    <x v="236"/>
    <s v="Евроопт"/>
    <x v="0"/>
    <x v="4"/>
    <x v="14"/>
    <n v="1670"/>
    <n v="6"/>
    <x v="1033"/>
  </r>
  <r>
    <x v="236"/>
    <s v="Соседи"/>
    <x v="4"/>
    <x v="2"/>
    <x v="4"/>
    <n v="450"/>
    <n v="18"/>
    <x v="93"/>
  </r>
  <r>
    <x v="236"/>
    <s v="Соседи"/>
    <x v="4"/>
    <x v="2"/>
    <x v="8"/>
    <n v="460"/>
    <n v="17"/>
    <x v="1034"/>
  </r>
  <r>
    <x v="236"/>
    <s v="Виталюр"/>
    <x v="4"/>
    <x v="0"/>
    <x v="17"/>
    <n v="2400"/>
    <n v="88"/>
    <x v="1035"/>
  </r>
  <r>
    <x v="236"/>
    <s v="Соседи"/>
    <x v="4"/>
    <x v="4"/>
    <x v="11"/>
    <n v="2970"/>
    <n v="68"/>
    <x v="1036"/>
  </r>
  <r>
    <x v="236"/>
    <s v="Копеечка"/>
    <x v="1"/>
    <x v="2"/>
    <x v="16"/>
    <n v="890"/>
    <n v="95"/>
    <x v="1037"/>
  </r>
  <r>
    <x v="236"/>
    <s v="Виталюр"/>
    <x v="1"/>
    <x v="4"/>
    <x v="21"/>
    <n v="3205"/>
    <n v="94"/>
    <x v="139"/>
  </r>
  <r>
    <x v="236"/>
    <s v="Виталюр"/>
    <x v="5"/>
    <x v="2"/>
    <x v="9"/>
    <n v="690"/>
    <n v="30"/>
    <x v="812"/>
  </r>
  <r>
    <x v="236"/>
    <s v="Виталюр"/>
    <x v="5"/>
    <x v="0"/>
    <x v="10"/>
    <n v="1230"/>
    <n v="68"/>
    <x v="281"/>
  </r>
  <r>
    <x v="236"/>
    <s v="Копеечка"/>
    <x v="5"/>
    <x v="0"/>
    <x v="10"/>
    <n v="1230"/>
    <n v="32"/>
    <x v="581"/>
  </r>
  <r>
    <x v="236"/>
    <s v="Евроопт"/>
    <x v="6"/>
    <x v="1"/>
    <x v="18"/>
    <n v="650"/>
    <n v="17"/>
    <x v="1038"/>
  </r>
  <r>
    <x v="237"/>
    <m/>
    <x v="2"/>
    <x v="3"/>
    <x v="3"/>
    <m/>
    <m/>
    <x v="1039"/>
  </r>
  <r>
    <x v="238"/>
    <s v="Виталюр"/>
    <x v="0"/>
    <x v="2"/>
    <x v="12"/>
    <n v="715"/>
    <n v="91"/>
    <x v="298"/>
  </r>
  <r>
    <x v="238"/>
    <s v="Виталюр"/>
    <x v="0"/>
    <x v="4"/>
    <x v="13"/>
    <n v="1505"/>
    <n v="35"/>
    <x v="1040"/>
  </r>
  <r>
    <x v="238"/>
    <s v="Копеечка"/>
    <x v="1"/>
    <x v="2"/>
    <x v="12"/>
    <n v="715"/>
    <n v="8"/>
    <x v="398"/>
  </r>
  <r>
    <x v="238"/>
    <s v="Евроопт"/>
    <x v="1"/>
    <x v="2"/>
    <x v="9"/>
    <n v="690"/>
    <n v="42"/>
    <x v="554"/>
  </r>
  <r>
    <x v="238"/>
    <s v="Виталюр"/>
    <x v="1"/>
    <x v="4"/>
    <x v="15"/>
    <n v="2460"/>
    <n v="11"/>
    <x v="131"/>
  </r>
  <r>
    <x v="238"/>
    <s v="Виталюр"/>
    <x v="5"/>
    <x v="4"/>
    <x v="7"/>
    <n v="1760"/>
    <n v="63"/>
    <x v="95"/>
  </r>
  <r>
    <x v="238"/>
    <s v="Евроопт"/>
    <x v="6"/>
    <x v="2"/>
    <x v="12"/>
    <n v="715"/>
    <n v="12"/>
    <x v="1041"/>
  </r>
  <r>
    <x v="238"/>
    <s v="Виталюр"/>
    <x v="6"/>
    <x v="0"/>
    <x v="0"/>
    <n v="1320"/>
    <n v="24"/>
    <x v="1042"/>
  </r>
  <r>
    <x v="239"/>
    <m/>
    <x v="2"/>
    <x v="3"/>
    <x v="3"/>
    <m/>
    <m/>
    <x v="1043"/>
  </r>
  <r>
    <x v="240"/>
    <s v="Соседи"/>
    <x v="3"/>
    <x v="0"/>
    <x v="0"/>
    <n v="1320"/>
    <n v="36"/>
    <x v="413"/>
  </r>
  <r>
    <x v="240"/>
    <s v="Копеечка"/>
    <x v="3"/>
    <x v="0"/>
    <x v="10"/>
    <n v="1230"/>
    <n v="36"/>
    <x v="1044"/>
  </r>
  <r>
    <x v="240"/>
    <s v="Соседи"/>
    <x v="0"/>
    <x v="1"/>
    <x v="23"/>
    <n v="705"/>
    <n v="70"/>
    <x v="1045"/>
  </r>
  <r>
    <x v="240"/>
    <s v="Виталюр"/>
    <x v="0"/>
    <x v="2"/>
    <x v="9"/>
    <n v="690"/>
    <n v="94"/>
    <x v="752"/>
  </r>
  <r>
    <x v="240"/>
    <s v="Виталюр"/>
    <x v="0"/>
    <x v="4"/>
    <x v="11"/>
    <n v="2970"/>
    <n v="38"/>
    <x v="440"/>
  </r>
  <r>
    <x v="240"/>
    <s v="Копеечка"/>
    <x v="4"/>
    <x v="2"/>
    <x v="4"/>
    <n v="450"/>
    <n v="62"/>
    <x v="1046"/>
  </r>
  <r>
    <x v="240"/>
    <s v="Виталюр"/>
    <x v="1"/>
    <x v="1"/>
    <x v="6"/>
    <n v="640"/>
    <n v="73"/>
    <x v="1047"/>
  </r>
  <r>
    <x v="240"/>
    <s v="Евроопт"/>
    <x v="5"/>
    <x v="1"/>
    <x v="23"/>
    <n v="705"/>
    <n v="26"/>
    <x v="1048"/>
  </r>
  <r>
    <x v="240"/>
    <s v="Евроопт"/>
    <x v="5"/>
    <x v="2"/>
    <x v="8"/>
    <n v="460"/>
    <n v="48"/>
    <x v="253"/>
  </r>
  <r>
    <x v="240"/>
    <s v="Копеечка"/>
    <x v="6"/>
    <x v="2"/>
    <x v="8"/>
    <n v="460"/>
    <n v="63"/>
    <x v="554"/>
  </r>
  <r>
    <x v="240"/>
    <s v="Соседи"/>
    <x v="6"/>
    <x v="4"/>
    <x v="21"/>
    <n v="3205"/>
    <n v="99"/>
    <x v="1049"/>
  </r>
  <r>
    <x v="241"/>
    <m/>
    <x v="2"/>
    <x v="3"/>
    <x v="3"/>
    <m/>
    <m/>
    <x v="1050"/>
  </r>
  <r>
    <x v="242"/>
    <s v="Евроопт"/>
    <x v="3"/>
    <x v="1"/>
    <x v="19"/>
    <n v="540"/>
    <n v="28"/>
    <x v="1051"/>
  </r>
  <r>
    <x v="242"/>
    <s v="Копеечка"/>
    <x v="3"/>
    <x v="4"/>
    <x v="15"/>
    <n v="2460"/>
    <n v="73"/>
    <x v="897"/>
  </r>
  <r>
    <x v="242"/>
    <s v="Виталюр"/>
    <x v="3"/>
    <x v="4"/>
    <x v="14"/>
    <n v="1670"/>
    <n v="30"/>
    <x v="1052"/>
  </r>
  <r>
    <x v="242"/>
    <s v="Виталюр"/>
    <x v="0"/>
    <x v="2"/>
    <x v="4"/>
    <n v="450"/>
    <n v="9"/>
    <x v="181"/>
  </r>
  <r>
    <x v="242"/>
    <s v="Копеечка"/>
    <x v="1"/>
    <x v="1"/>
    <x v="18"/>
    <n v="650"/>
    <n v="28"/>
    <x v="568"/>
  </r>
  <r>
    <x v="242"/>
    <s v="Евроопт"/>
    <x v="1"/>
    <x v="0"/>
    <x v="24"/>
    <n v="2540"/>
    <n v="44"/>
    <x v="1053"/>
  </r>
  <r>
    <x v="242"/>
    <s v="Виталюр"/>
    <x v="1"/>
    <x v="4"/>
    <x v="7"/>
    <n v="1760"/>
    <n v="72"/>
    <x v="107"/>
  </r>
  <r>
    <x v="242"/>
    <s v="Виталюр"/>
    <x v="1"/>
    <x v="4"/>
    <x v="11"/>
    <n v="2970"/>
    <n v="72"/>
    <x v="492"/>
  </r>
  <r>
    <x v="242"/>
    <s v="Евроопт"/>
    <x v="5"/>
    <x v="1"/>
    <x v="1"/>
    <n v="1380"/>
    <n v="51"/>
    <x v="1054"/>
  </r>
  <r>
    <x v="242"/>
    <s v="Евроопт"/>
    <x v="5"/>
    <x v="0"/>
    <x v="0"/>
    <n v="1320"/>
    <n v="73"/>
    <x v="1055"/>
  </r>
  <r>
    <x v="242"/>
    <s v="Виталюр"/>
    <x v="6"/>
    <x v="0"/>
    <x v="22"/>
    <n v="1420"/>
    <n v="53"/>
    <x v="411"/>
  </r>
  <r>
    <x v="242"/>
    <s v="Виталюр"/>
    <x v="6"/>
    <x v="0"/>
    <x v="0"/>
    <n v="1320"/>
    <n v="61"/>
    <x v="819"/>
  </r>
  <r>
    <x v="243"/>
    <m/>
    <x v="2"/>
    <x v="3"/>
    <x v="3"/>
    <m/>
    <m/>
    <x v="1056"/>
  </r>
  <r>
    <x v="244"/>
    <s v="Евроопт"/>
    <x v="0"/>
    <x v="2"/>
    <x v="9"/>
    <n v="690"/>
    <n v="50"/>
    <x v="1057"/>
  </r>
  <r>
    <x v="244"/>
    <s v="Соседи"/>
    <x v="0"/>
    <x v="2"/>
    <x v="9"/>
    <n v="690"/>
    <n v="82"/>
    <x v="556"/>
  </r>
  <r>
    <x v="244"/>
    <s v="Виталюр"/>
    <x v="5"/>
    <x v="0"/>
    <x v="5"/>
    <n v="930"/>
    <n v="43"/>
    <x v="1058"/>
  </r>
  <r>
    <x v="244"/>
    <s v="Копеечка"/>
    <x v="5"/>
    <x v="4"/>
    <x v="11"/>
    <n v="2970"/>
    <n v="61"/>
    <x v="1059"/>
  </r>
  <r>
    <x v="244"/>
    <s v="Евроопт"/>
    <x v="6"/>
    <x v="1"/>
    <x v="23"/>
    <n v="705"/>
    <n v="70"/>
    <x v="1045"/>
  </r>
  <r>
    <x v="244"/>
    <s v="Евроопт"/>
    <x v="6"/>
    <x v="1"/>
    <x v="19"/>
    <n v="540"/>
    <n v="76"/>
    <x v="709"/>
  </r>
  <r>
    <x v="245"/>
    <m/>
    <x v="2"/>
    <x v="3"/>
    <x v="3"/>
    <m/>
    <m/>
    <x v="1060"/>
  </r>
  <r>
    <x v="246"/>
    <s v="Соседи"/>
    <x v="1"/>
    <x v="1"/>
    <x v="19"/>
    <n v="540"/>
    <n v="62"/>
    <x v="206"/>
  </r>
  <r>
    <x v="246"/>
    <s v="Виталюр"/>
    <x v="5"/>
    <x v="1"/>
    <x v="20"/>
    <n v="650"/>
    <n v="12"/>
    <x v="625"/>
  </r>
  <r>
    <x v="246"/>
    <s v="Евроопт"/>
    <x v="5"/>
    <x v="2"/>
    <x v="9"/>
    <n v="690"/>
    <n v="69"/>
    <x v="422"/>
  </r>
  <r>
    <x v="246"/>
    <s v="Евроопт"/>
    <x v="6"/>
    <x v="1"/>
    <x v="18"/>
    <n v="650"/>
    <n v="69"/>
    <x v="317"/>
  </r>
  <r>
    <x v="247"/>
    <m/>
    <x v="2"/>
    <x v="3"/>
    <x v="3"/>
    <m/>
    <m/>
    <x v="1061"/>
  </r>
  <r>
    <x v="248"/>
    <s v="Евроопт"/>
    <x v="3"/>
    <x v="2"/>
    <x v="2"/>
    <n v="325"/>
    <n v="69"/>
    <x v="1062"/>
  </r>
  <r>
    <x v="248"/>
    <s v="Копеечка"/>
    <x v="0"/>
    <x v="1"/>
    <x v="6"/>
    <n v="640"/>
    <n v="6"/>
    <x v="1063"/>
  </r>
  <r>
    <x v="248"/>
    <s v="Соседи"/>
    <x v="0"/>
    <x v="2"/>
    <x v="12"/>
    <n v="715"/>
    <n v="82"/>
    <x v="842"/>
  </r>
  <r>
    <x v="248"/>
    <s v="Виталюр"/>
    <x v="4"/>
    <x v="1"/>
    <x v="18"/>
    <n v="650"/>
    <n v="31"/>
    <x v="306"/>
  </r>
  <r>
    <x v="248"/>
    <s v="Виталюр"/>
    <x v="4"/>
    <x v="0"/>
    <x v="22"/>
    <n v="1420"/>
    <n v="61"/>
    <x v="1064"/>
  </r>
  <r>
    <x v="248"/>
    <s v="Евроопт"/>
    <x v="1"/>
    <x v="4"/>
    <x v="13"/>
    <n v="1505"/>
    <n v="67"/>
    <x v="1065"/>
  </r>
  <r>
    <x v="248"/>
    <s v="Соседи"/>
    <x v="5"/>
    <x v="1"/>
    <x v="18"/>
    <n v="650"/>
    <n v="50"/>
    <x v="392"/>
  </r>
  <r>
    <x v="248"/>
    <s v="Евроопт"/>
    <x v="5"/>
    <x v="1"/>
    <x v="18"/>
    <n v="650"/>
    <n v="27"/>
    <x v="689"/>
  </r>
  <r>
    <x v="248"/>
    <s v="Евроопт"/>
    <x v="5"/>
    <x v="1"/>
    <x v="6"/>
    <n v="640"/>
    <n v="99"/>
    <x v="203"/>
  </r>
  <r>
    <x v="248"/>
    <s v="Евроопт"/>
    <x v="5"/>
    <x v="4"/>
    <x v="21"/>
    <n v="3205"/>
    <n v="89"/>
    <x v="751"/>
  </r>
  <r>
    <x v="248"/>
    <s v="Виталюр"/>
    <x v="6"/>
    <x v="1"/>
    <x v="19"/>
    <n v="540"/>
    <n v="38"/>
    <x v="1066"/>
  </r>
  <r>
    <x v="249"/>
    <m/>
    <x v="2"/>
    <x v="3"/>
    <x v="3"/>
    <m/>
    <m/>
    <x v="1067"/>
  </r>
  <r>
    <x v="250"/>
    <s v="Виталюр"/>
    <x v="3"/>
    <x v="1"/>
    <x v="19"/>
    <n v="540"/>
    <n v="81"/>
    <x v="915"/>
  </r>
  <r>
    <x v="250"/>
    <s v="Виталюр"/>
    <x v="3"/>
    <x v="1"/>
    <x v="18"/>
    <n v="650"/>
    <n v="7"/>
    <x v="928"/>
  </r>
  <r>
    <x v="250"/>
    <s v="Евроопт"/>
    <x v="3"/>
    <x v="0"/>
    <x v="22"/>
    <n v="1420"/>
    <n v="49"/>
    <x v="1068"/>
  </r>
  <r>
    <x v="250"/>
    <s v="Соседи"/>
    <x v="0"/>
    <x v="2"/>
    <x v="8"/>
    <n v="460"/>
    <n v="79"/>
    <x v="1069"/>
  </r>
  <r>
    <x v="250"/>
    <s v="Копеечка"/>
    <x v="0"/>
    <x v="2"/>
    <x v="12"/>
    <n v="715"/>
    <n v="13"/>
    <x v="1070"/>
  </r>
  <r>
    <x v="250"/>
    <s v="Виталюр"/>
    <x v="4"/>
    <x v="1"/>
    <x v="18"/>
    <n v="650"/>
    <n v="44"/>
    <x v="853"/>
  </r>
  <r>
    <x v="250"/>
    <s v="Соседи"/>
    <x v="4"/>
    <x v="2"/>
    <x v="9"/>
    <n v="690"/>
    <n v="6"/>
    <x v="1071"/>
  </r>
  <r>
    <x v="250"/>
    <s v="Соседи"/>
    <x v="5"/>
    <x v="1"/>
    <x v="18"/>
    <n v="650"/>
    <n v="98"/>
    <x v="833"/>
  </r>
  <r>
    <x v="250"/>
    <s v="Копеечка"/>
    <x v="6"/>
    <x v="1"/>
    <x v="20"/>
    <n v="650"/>
    <n v="86"/>
    <x v="1072"/>
  </r>
  <r>
    <x v="251"/>
    <m/>
    <x v="2"/>
    <x v="3"/>
    <x v="3"/>
    <m/>
    <m/>
    <x v="1073"/>
  </r>
  <r>
    <x v="252"/>
    <s v="Евроопт"/>
    <x v="3"/>
    <x v="1"/>
    <x v="23"/>
    <n v="705"/>
    <n v="48"/>
    <x v="1074"/>
  </r>
  <r>
    <x v="252"/>
    <s v="Евроопт"/>
    <x v="3"/>
    <x v="4"/>
    <x v="13"/>
    <n v="1505"/>
    <n v="57"/>
    <x v="1075"/>
  </r>
  <r>
    <x v="252"/>
    <s v="Копеечка"/>
    <x v="0"/>
    <x v="0"/>
    <x v="10"/>
    <n v="1230"/>
    <n v="14"/>
    <x v="1076"/>
  </r>
  <r>
    <x v="252"/>
    <s v="Виталюр"/>
    <x v="1"/>
    <x v="1"/>
    <x v="20"/>
    <n v="650"/>
    <n v="25"/>
    <x v="45"/>
  </r>
  <r>
    <x v="252"/>
    <s v="Евроопт"/>
    <x v="5"/>
    <x v="2"/>
    <x v="8"/>
    <n v="460"/>
    <n v="37"/>
    <x v="1077"/>
  </r>
  <r>
    <x v="252"/>
    <s v="Соседи"/>
    <x v="5"/>
    <x v="2"/>
    <x v="4"/>
    <n v="450"/>
    <n v="7"/>
    <x v="1078"/>
  </r>
  <r>
    <x v="252"/>
    <s v="Виталюр"/>
    <x v="5"/>
    <x v="4"/>
    <x v="7"/>
    <n v="1760"/>
    <n v="58"/>
    <x v="1079"/>
  </r>
  <r>
    <x v="252"/>
    <s v="Виталюр"/>
    <x v="6"/>
    <x v="4"/>
    <x v="21"/>
    <n v="3205"/>
    <n v="57"/>
    <x v="1080"/>
  </r>
  <r>
    <x v="253"/>
    <m/>
    <x v="2"/>
    <x v="3"/>
    <x v="3"/>
    <m/>
    <m/>
    <x v="1081"/>
  </r>
  <r>
    <x v="254"/>
    <s v="Виталюр"/>
    <x v="3"/>
    <x v="1"/>
    <x v="6"/>
    <n v="640"/>
    <n v="23"/>
    <x v="172"/>
  </r>
  <r>
    <x v="254"/>
    <s v="Виталюр"/>
    <x v="3"/>
    <x v="4"/>
    <x v="7"/>
    <n v="1760"/>
    <n v="62"/>
    <x v="1082"/>
  </r>
  <r>
    <x v="254"/>
    <s v="Копеечка"/>
    <x v="0"/>
    <x v="4"/>
    <x v="13"/>
    <n v="1505"/>
    <n v="77"/>
    <x v="1083"/>
  </r>
  <r>
    <x v="254"/>
    <s v="Соседи"/>
    <x v="4"/>
    <x v="4"/>
    <x v="11"/>
    <n v="2970"/>
    <n v="23"/>
    <x v="834"/>
  </r>
  <r>
    <x v="254"/>
    <s v="Евроопт"/>
    <x v="1"/>
    <x v="1"/>
    <x v="1"/>
    <n v="1380"/>
    <n v="90"/>
    <x v="583"/>
  </r>
  <r>
    <x v="254"/>
    <s v="Копеечка"/>
    <x v="1"/>
    <x v="1"/>
    <x v="23"/>
    <n v="705"/>
    <n v="27"/>
    <x v="1084"/>
  </r>
  <r>
    <x v="254"/>
    <s v="Копеечка"/>
    <x v="1"/>
    <x v="0"/>
    <x v="17"/>
    <n v="2400"/>
    <n v="44"/>
    <x v="769"/>
  </r>
  <r>
    <x v="254"/>
    <s v="Соседи"/>
    <x v="1"/>
    <x v="4"/>
    <x v="21"/>
    <n v="3205"/>
    <n v="70"/>
    <x v="1085"/>
  </r>
  <r>
    <x v="254"/>
    <s v="Евроопт"/>
    <x v="5"/>
    <x v="1"/>
    <x v="23"/>
    <n v="705"/>
    <n v="58"/>
    <x v="1086"/>
  </r>
  <r>
    <x v="254"/>
    <s v="Виталюр"/>
    <x v="5"/>
    <x v="1"/>
    <x v="20"/>
    <n v="650"/>
    <n v="46"/>
    <x v="667"/>
  </r>
  <r>
    <x v="254"/>
    <s v="Копеечка"/>
    <x v="5"/>
    <x v="0"/>
    <x v="17"/>
    <n v="2400"/>
    <n v="90"/>
    <x v="435"/>
  </r>
  <r>
    <x v="254"/>
    <s v="Евроопт"/>
    <x v="6"/>
    <x v="0"/>
    <x v="17"/>
    <n v="2400"/>
    <n v="46"/>
    <x v="1087"/>
  </r>
  <r>
    <x v="255"/>
    <m/>
    <x v="2"/>
    <x v="3"/>
    <x v="3"/>
    <m/>
    <m/>
    <x v="1088"/>
  </r>
  <r>
    <x v="256"/>
    <s v="Копеечка"/>
    <x v="3"/>
    <x v="2"/>
    <x v="2"/>
    <n v="325"/>
    <n v="61"/>
    <x v="1016"/>
  </r>
  <r>
    <x v="256"/>
    <s v="Виталюр"/>
    <x v="3"/>
    <x v="4"/>
    <x v="14"/>
    <n v="1670"/>
    <n v="71"/>
    <x v="811"/>
  </r>
  <r>
    <x v="256"/>
    <s v="Копеечка"/>
    <x v="3"/>
    <x v="4"/>
    <x v="13"/>
    <n v="1505"/>
    <n v="41"/>
    <x v="1089"/>
  </r>
  <r>
    <x v="256"/>
    <s v="Соседи"/>
    <x v="0"/>
    <x v="1"/>
    <x v="23"/>
    <n v="705"/>
    <n v="17"/>
    <x v="684"/>
  </r>
  <r>
    <x v="256"/>
    <s v="Соседи"/>
    <x v="0"/>
    <x v="0"/>
    <x v="0"/>
    <n v="1320"/>
    <n v="83"/>
    <x v="463"/>
  </r>
  <r>
    <x v="256"/>
    <s v="Копеечка"/>
    <x v="4"/>
    <x v="0"/>
    <x v="10"/>
    <n v="1230"/>
    <n v="23"/>
    <x v="738"/>
  </r>
  <r>
    <x v="256"/>
    <s v="Копеечка"/>
    <x v="4"/>
    <x v="4"/>
    <x v="21"/>
    <n v="3205"/>
    <n v="18"/>
    <x v="688"/>
  </r>
  <r>
    <x v="256"/>
    <s v="Соседи"/>
    <x v="5"/>
    <x v="1"/>
    <x v="6"/>
    <n v="640"/>
    <n v="97"/>
    <x v="1090"/>
  </r>
  <r>
    <x v="256"/>
    <s v="Евроопт"/>
    <x v="5"/>
    <x v="1"/>
    <x v="20"/>
    <n v="650"/>
    <n v="47"/>
    <x v="1091"/>
  </r>
  <r>
    <x v="256"/>
    <s v="Копеечка"/>
    <x v="5"/>
    <x v="2"/>
    <x v="2"/>
    <n v="325"/>
    <n v="35"/>
    <x v="1092"/>
  </r>
  <r>
    <x v="256"/>
    <s v="Виталюр"/>
    <x v="6"/>
    <x v="1"/>
    <x v="18"/>
    <n v="650"/>
    <n v="45"/>
    <x v="1093"/>
  </r>
  <r>
    <x v="256"/>
    <s v="Виталюр"/>
    <x v="6"/>
    <x v="0"/>
    <x v="10"/>
    <n v="1230"/>
    <n v="92"/>
    <x v="1094"/>
  </r>
  <r>
    <x v="257"/>
    <m/>
    <x v="2"/>
    <x v="3"/>
    <x v="3"/>
    <m/>
    <m/>
    <x v="1095"/>
  </r>
  <r>
    <x v="258"/>
    <s v="Евроопт"/>
    <x v="3"/>
    <x v="2"/>
    <x v="9"/>
    <n v="690"/>
    <n v="58"/>
    <x v="215"/>
  </r>
  <r>
    <x v="258"/>
    <s v="Копеечка"/>
    <x v="3"/>
    <x v="0"/>
    <x v="17"/>
    <n v="2400"/>
    <n v="75"/>
    <x v="848"/>
  </r>
  <r>
    <x v="258"/>
    <s v="Виталюр"/>
    <x v="3"/>
    <x v="0"/>
    <x v="22"/>
    <n v="1420"/>
    <n v="58"/>
    <x v="888"/>
  </r>
  <r>
    <x v="258"/>
    <s v="Копеечка"/>
    <x v="3"/>
    <x v="4"/>
    <x v="11"/>
    <n v="2970"/>
    <n v="72"/>
    <x v="492"/>
  </r>
  <r>
    <x v="258"/>
    <s v="Евроопт"/>
    <x v="4"/>
    <x v="1"/>
    <x v="20"/>
    <n v="650"/>
    <n v="91"/>
    <x v="1096"/>
  </r>
  <r>
    <x v="258"/>
    <s v="Виталюр"/>
    <x v="4"/>
    <x v="1"/>
    <x v="19"/>
    <n v="540"/>
    <n v="77"/>
    <x v="52"/>
  </r>
  <r>
    <x v="258"/>
    <s v="Копеечка"/>
    <x v="4"/>
    <x v="4"/>
    <x v="21"/>
    <n v="3205"/>
    <n v="43"/>
    <x v="949"/>
  </r>
  <r>
    <x v="258"/>
    <s v="Копеечка"/>
    <x v="1"/>
    <x v="1"/>
    <x v="19"/>
    <n v="540"/>
    <n v="98"/>
    <x v="136"/>
  </r>
  <r>
    <x v="258"/>
    <s v="Соседи"/>
    <x v="1"/>
    <x v="4"/>
    <x v="11"/>
    <n v="2970"/>
    <n v="34"/>
    <x v="1097"/>
  </r>
  <r>
    <x v="259"/>
    <m/>
    <x v="2"/>
    <x v="3"/>
    <x v="3"/>
    <m/>
    <m/>
    <x v="1098"/>
  </r>
  <r>
    <x v="260"/>
    <s v="Копеечка"/>
    <x v="3"/>
    <x v="2"/>
    <x v="9"/>
    <n v="690"/>
    <n v="66"/>
    <x v="744"/>
  </r>
  <r>
    <x v="260"/>
    <s v="Соседи"/>
    <x v="3"/>
    <x v="2"/>
    <x v="4"/>
    <n v="450"/>
    <n v="39"/>
    <x v="689"/>
  </r>
  <r>
    <x v="260"/>
    <s v="Виталюр"/>
    <x v="3"/>
    <x v="2"/>
    <x v="4"/>
    <n v="450"/>
    <n v="27"/>
    <x v="664"/>
  </r>
  <r>
    <x v="260"/>
    <s v="Виталюр"/>
    <x v="3"/>
    <x v="2"/>
    <x v="8"/>
    <n v="460"/>
    <n v="56"/>
    <x v="1099"/>
  </r>
  <r>
    <x v="260"/>
    <s v="Евроопт"/>
    <x v="3"/>
    <x v="4"/>
    <x v="13"/>
    <n v="1505"/>
    <n v="33"/>
    <x v="1100"/>
  </r>
  <r>
    <x v="260"/>
    <s v="Копеечка"/>
    <x v="0"/>
    <x v="2"/>
    <x v="9"/>
    <n v="690"/>
    <n v="71"/>
    <x v="1101"/>
  </r>
  <r>
    <x v="260"/>
    <s v="Копеечка"/>
    <x v="0"/>
    <x v="4"/>
    <x v="13"/>
    <n v="1505"/>
    <n v="7"/>
    <x v="1102"/>
  </r>
  <r>
    <x v="260"/>
    <s v="Евроопт"/>
    <x v="4"/>
    <x v="2"/>
    <x v="9"/>
    <n v="690"/>
    <n v="20"/>
    <x v="505"/>
  </r>
  <r>
    <x v="260"/>
    <s v="Евроопт"/>
    <x v="5"/>
    <x v="1"/>
    <x v="1"/>
    <n v="1380"/>
    <n v="44"/>
    <x v="1103"/>
  </r>
  <r>
    <x v="260"/>
    <s v="Копеечка"/>
    <x v="5"/>
    <x v="4"/>
    <x v="13"/>
    <n v="1505"/>
    <n v="44"/>
    <x v="1104"/>
  </r>
  <r>
    <x v="260"/>
    <s v="Соседи"/>
    <x v="6"/>
    <x v="4"/>
    <x v="13"/>
    <n v="1505"/>
    <n v="42"/>
    <x v="936"/>
  </r>
  <r>
    <x v="260"/>
    <s v="Евроопт"/>
    <x v="6"/>
    <x v="4"/>
    <x v="11"/>
    <n v="2970"/>
    <n v="51"/>
    <x v="846"/>
  </r>
  <r>
    <x v="261"/>
    <m/>
    <x v="2"/>
    <x v="3"/>
    <x v="3"/>
    <m/>
    <m/>
    <x v="1105"/>
  </r>
  <r>
    <x v="262"/>
    <s v="Соседи"/>
    <x v="3"/>
    <x v="0"/>
    <x v="17"/>
    <n v="2400"/>
    <n v="99"/>
    <x v="41"/>
  </r>
  <r>
    <x v="262"/>
    <s v="Виталюр"/>
    <x v="3"/>
    <x v="0"/>
    <x v="22"/>
    <n v="1420"/>
    <n v="32"/>
    <x v="487"/>
  </r>
  <r>
    <x v="262"/>
    <s v="Копеечка"/>
    <x v="4"/>
    <x v="2"/>
    <x v="4"/>
    <n v="450"/>
    <n v="46"/>
    <x v="812"/>
  </r>
  <r>
    <x v="262"/>
    <s v="Соседи"/>
    <x v="1"/>
    <x v="1"/>
    <x v="6"/>
    <n v="640"/>
    <n v="24"/>
    <x v="1106"/>
  </r>
  <r>
    <x v="262"/>
    <s v="Виталюр"/>
    <x v="1"/>
    <x v="4"/>
    <x v="15"/>
    <n v="2460"/>
    <n v="94"/>
    <x v="1107"/>
  </r>
  <r>
    <x v="262"/>
    <s v="Соседи"/>
    <x v="5"/>
    <x v="2"/>
    <x v="12"/>
    <n v="715"/>
    <n v="77"/>
    <x v="1108"/>
  </r>
  <r>
    <x v="262"/>
    <s v="Соседи"/>
    <x v="5"/>
    <x v="2"/>
    <x v="8"/>
    <n v="460"/>
    <n v="86"/>
    <x v="1109"/>
  </r>
  <r>
    <x v="262"/>
    <s v="Виталюр"/>
    <x v="5"/>
    <x v="0"/>
    <x v="17"/>
    <n v="2400"/>
    <n v="64"/>
    <x v="1110"/>
  </r>
  <r>
    <x v="262"/>
    <s v="Евроопт"/>
    <x v="6"/>
    <x v="1"/>
    <x v="1"/>
    <n v="1380"/>
    <n v="60"/>
    <x v="1111"/>
  </r>
  <r>
    <x v="263"/>
    <m/>
    <x v="2"/>
    <x v="3"/>
    <x v="3"/>
    <m/>
    <m/>
    <x v="1112"/>
  </r>
  <r>
    <x v="264"/>
    <s v="Виталюр"/>
    <x v="3"/>
    <x v="4"/>
    <x v="7"/>
    <n v="1760"/>
    <n v="84"/>
    <x v="7"/>
  </r>
  <r>
    <x v="264"/>
    <s v="Копеечка"/>
    <x v="0"/>
    <x v="2"/>
    <x v="9"/>
    <n v="690"/>
    <n v="39"/>
    <x v="1113"/>
  </r>
  <r>
    <x v="264"/>
    <s v="Виталюр"/>
    <x v="4"/>
    <x v="2"/>
    <x v="2"/>
    <n v="325"/>
    <n v="79"/>
    <x v="1114"/>
  </r>
  <r>
    <x v="264"/>
    <s v="Виталюр"/>
    <x v="4"/>
    <x v="4"/>
    <x v="15"/>
    <n v="2460"/>
    <n v="43"/>
    <x v="465"/>
  </r>
  <r>
    <x v="264"/>
    <s v="Евроопт"/>
    <x v="1"/>
    <x v="1"/>
    <x v="20"/>
    <n v="650"/>
    <n v="71"/>
    <x v="161"/>
  </r>
  <r>
    <x v="264"/>
    <s v="Соседи"/>
    <x v="6"/>
    <x v="1"/>
    <x v="23"/>
    <n v="705"/>
    <n v="15"/>
    <x v="893"/>
  </r>
  <r>
    <x v="265"/>
    <m/>
    <x v="2"/>
    <x v="3"/>
    <x v="3"/>
    <m/>
    <m/>
    <x v="1115"/>
  </r>
  <r>
    <x v="266"/>
    <s v="Соседи"/>
    <x v="3"/>
    <x v="0"/>
    <x v="17"/>
    <n v="2400"/>
    <n v="50"/>
    <x v="1116"/>
  </r>
  <r>
    <x v="266"/>
    <s v="Евроопт"/>
    <x v="0"/>
    <x v="1"/>
    <x v="1"/>
    <n v="1380"/>
    <n v="76"/>
    <x v="307"/>
  </r>
  <r>
    <x v="266"/>
    <s v="Виталюр"/>
    <x v="0"/>
    <x v="0"/>
    <x v="0"/>
    <n v="1320"/>
    <n v="18"/>
    <x v="1117"/>
  </r>
  <r>
    <x v="266"/>
    <s v="Виталюр"/>
    <x v="4"/>
    <x v="2"/>
    <x v="2"/>
    <n v="325"/>
    <n v="32"/>
    <x v="673"/>
  </r>
  <r>
    <x v="266"/>
    <s v="Копеечка"/>
    <x v="4"/>
    <x v="0"/>
    <x v="5"/>
    <n v="930"/>
    <n v="45"/>
    <x v="820"/>
  </r>
  <r>
    <x v="266"/>
    <s v="Копеечка"/>
    <x v="1"/>
    <x v="1"/>
    <x v="23"/>
    <n v="705"/>
    <n v="6"/>
    <x v="1118"/>
  </r>
  <r>
    <x v="266"/>
    <s v="Виталюр"/>
    <x v="1"/>
    <x v="2"/>
    <x v="16"/>
    <n v="890"/>
    <n v="40"/>
    <x v="877"/>
  </r>
  <r>
    <x v="266"/>
    <s v="Копеечка"/>
    <x v="1"/>
    <x v="0"/>
    <x v="22"/>
    <n v="1420"/>
    <n v="66"/>
    <x v="115"/>
  </r>
  <r>
    <x v="266"/>
    <s v="Соседи"/>
    <x v="6"/>
    <x v="1"/>
    <x v="1"/>
    <n v="1380"/>
    <n v="43"/>
    <x v="147"/>
  </r>
  <r>
    <x v="266"/>
    <s v="Евроопт"/>
    <x v="6"/>
    <x v="0"/>
    <x v="24"/>
    <n v="2540"/>
    <n v="72"/>
    <x v="1119"/>
  </r>
  <r>
    <x v="267"/>
    <m/>
    <x v="2"/>
    <x v="3"/>
    <x v="3"/>
    <m/>
    <m/>
    <x v="1120"/>
  </r>
  <r>
    <x v="268"/>
    <s v="Евроопт"/>
    <x v="3"/>
    <x v="2"/>
    <x v="2"/>
    <n v="325"/>
    <n v="33"/>
    <x v="28"/>
  </r>
  <r>
    <x v="268"/>
    <s v="Соседи"/>
    <x v="3"/>
    <x v="0"/>
    <x v="5"/>
    <n v="930"/>
    <n v="43"/>
    <x v="1058"/>
  </r>
  <r>
    <x v="268"/>
    <s v="Виталюр"/>
    <x v="0"/>
    <x v="1"/>
    <x v="23"/>
    <n v="705"/>
    <n v="40"/>
    <x v="1121"/>
  </r>
  <r>
    <x v="268"/>
    <s v="Виталюр"/>
    <x v="0"/>
    <x v="0"/>
    <x v="17"/>
    <n v="2400"/>
    <n v="8"/>
    <x v="191"/>
  </r>
  <r>
    <x v="268"/>
    <s v="Копеечка"/>
    <x v="0"/>
    <x v="0"/>
    <x v="22"/>
    <n v="1420"/>
    <n v="87"/>
    <x v="1122"/>
  </r>
  <r>
    <x v="268"/>
    <s v="Копеечка"/>
    <x v="4"/>
    <x v="2"/>
    <x v="16"/>
    <n v="890"/>
    <n v="67"/>
    <x v="1123"/>
  </r>
  <r>
    <x v="268"/>
    <s v="Соседи"/>
    <x v="1"/>
    <x v="2"/>
    <x v="2"/>
    <n v="325"/>
    <n v="100"/>
    <x v="392"/>
  </r>
  <r>
    <x v="268"/>
    <s v="Евроопт"/>
    <x v="1"/>
    <x v="0"/>
    <x v="22"/>
    <n v="1420"/>
    <n v="33"/>
    <x v="767"/>
  </r>
  <r>
    <x v="268"/>
    <s v="Копеечка"/>
    <x v="5"/>
    <x v="0"/>
    <x v="5"/>
    <n v="930"/>
    <n v="67"/>
    <x v="668"/>
  </r>
  <r>
    <x v="268"/>
    <s v="Копеечка"/>
    <x v="5"/>
    <x v="4"/>
    <x v="7"/>
    <n v="1760"/>
    <n v="62"/>
    <x v="1082"/>
  </r>
  <r>
    <x v="268"/>
    <s v="Соседи"/>
    <x v="5"/>
    <x v="4"/>
    <x v="7"/>
    <n v="1760"/>
    <n v="91"/>
    <x v="703"/>
  </r>
  <r>
    <x v="268"/>
    <s v="Копеечка"/>
    <x v="6"/>
    <x v="4"/>
    <x v="11"/>
    <n v="2970"/>
    <n v="66"/>
    <x v="781"/>
  </r>
  <r>
    <x v="268"/>
    <s v="Копеечка"/>
    <x v="6"/>
    <x v="4"/>
    <x v="21"/>
    <n v="3205"/>
    <n v="22"/>
    <x v="311"/>
  </r>
  <r>
    <x v="269"/>
    <m/>
    <x v="2"/>
    <x v="3"/>
    <x v="3"/>
    <m/>
    <m/>
    <x v="1124"/>
  </r>
  <r>
    <x v="270"/>
    <s v="Евроопт"/>
    <x v="3"/>
    <x v="1"/>
    <x v="23"/>
    <n v="705"/>
    <n v="42"/>
    <x v="1125"/>
  </r>
  <r>
    <x v="270"/>
    <s v="Соседи"/>
    <x v="0"/>
    <x v="4"/>
    <x v="21"/>
    <n v="3205"/>
    <n v="46"/>
    <x v="371"/>
  </r>
  <r>
    <x v="270"/>
    <s v="Соседи"/>
    <x v="4"/>
    <x v="4"/>
    <x v="14"/>
    <n v="1670"/>
    <n v="96"/>
    <x v="394"/>
  </r>
  <r>
    <x v="270"/>
    <s v="Соседи"/>
    <x v="1"/>
    <x v="4"/>
    <x v="11"/>
    <n v="2970"/>
    <n v="6"/>
    <x v="924"/>
  </r>
  <r>
    <x v="270"/>
    <s v="Виталюр"/>
    <x v="1"/>
    <x v="4"/>
    <x v="15"/>
    <n v="2460"/>
    <n v="23"/>
    <x v="556"/>
  </r>
  <r>
    <x v="271"/>
    <m/>
    <x v="2"/>
    <x v="3"/>
    <x v="3"/>
    <m/>
    <m/>
    <x v="1126"/>
  </r>
  <r>
    <x v="272"/>
    <s v="Соседи"/>
    <x v="3"/>
    <x v="2"/>
    <x v="9"/>
    <n v="690"/>
    <n v="45"/>
    <x v="17"/>
  </r>
  <r>
    <x v="272"/>
    <s v="Виталюр"/>
    <x v="3"/>
    <x v="4"/>
    <x v="7"/>
    <n v="1760"/>
    <n v="43"/>
    <x v="1127"/>
  </r>
  <r>
    <x v="272"/>
    <s v="Копеечка"/>
    <x v="0"/>
    <x v="4"/>
    <x v="11"/>
    <n v="2970"/>
    <n v="57"/>
    <x v="1128"/>
  </r>
  <r>
    <x v="272"/>
    <s v="Виталюр"/>
    <x v="4"/>
    <x v="0"/>
    <x v="17"/>
    <n v="2400"/>
    <n v="90"/>
    <x v="435"/>
  </r>
  <r>
    <x v="272"/>
    <s v="Виталюр"/>
    <x v="4"/>
    <x v="4"/>
    <x v="11"/>
    <n v="2970"/>
    <n v="47"/>
    <x v="1129"/>
  </r>
  <r>
    <x v="272"/>
    <s v="Виталюр"/>
    <x v="1"/>
    <x v="4"/>
    <x v="14"/>
    <n v="1670"/>
    <n v="7"/>
    <x v="1130"/>
  </r>
  <r>
    <x v="272"/>
    <s v="Виталюр"/>
    <x v="5"/>
    <x v="1"/>
    <x v="1"/>
    <n v="1380"/>
    <n v="33"/>
    <x v="744"/>
  </r>
  <r>
    <x v="272"/>
    <s v="Евроопт"/>
    <x v="6"/>
    <x v="1"/>
    <x v="18"/>
    <n v="650"/>
    <n v="43"/>
    <x v="1131"/>
  </r>
  <r>
    <x v="272"/>
    <s v="Виталюр"/>
    <x v="6"/>
    <x v="1"/>
    <x v="6"/>
    <n v="640"/>
    <n v="73"/>
    <x v="1047"/>
  </r>
  <r>
    <x v="272"/>
    <s v="Евроопт"/>
    <x v="6"/>
    <x v="0"/>
    <x v="17"/>
    <n v="2400"/>
    <n v="18"/>
    <x v="20"/>
  </r>
  <r>
    <x v="272"/>
    <s v="Виталюр"/>
    <x v="6"/>
    <x v="0"/>
    <x v="22"/>
    <n v="1420"/>
    <n v="53"/>
    <x v="411"/>
  </r>
  <r>
    <x v="272"/>
    <s v="Евроопт"/>
    <x v="6"/>
    <x v="4"/>
    <x v="21"/>
    <n v="3205"/>
    <n v="40"/>
    <x v="1132"/>
  </r>
  <r>
    <x v="273"/>
    <m/>
    <x v="2"/>
    <x v="3"/>
    <x v="3"/>
    <m/>
    <m/>
    <x v="1133"/>
  </r>
  <r>
    <x v="274"/>
    <s v="Соседи"/>
    <x v="3"/>
    <x v="2"/>
    <x v="8"/>
    <n v="460"/>
    <n v="41"/>
    <x v="361"/>
  </r>
  <r>
    <x v="274"/>
    <s v="Копеечка"/>
    <x v="3"/>
    <x v="4"/>
    <x v="21"/>
    <n v="3205"/>
    <n v="13"/>
    <x v="1134"/>
  </r>
  <r>
    <x v="274"/>
    <s v="Копеечка"/>
    <x v="0"/>
    <x v="1"/>
    <x v="18"/>
    <n v="650"/>
    <n v="50"/>
    <x v="392"/>
  </r>
  <r>
    <x v="274"/>
    <s v="Соседи"/>
    <x v="0"/>
    <x v="1"/>
    <x v="1"/>
    <n v="1380"/>
    <n v="70"/>
    <x v="405"/>
  </r>
  <r>
    <x v="274"/>
    <s v="Виталюр"/>
    <x v="0"/>
    <x v="0"/>
    <x v="24"/>
    <n v="2540"/>
    <n v="76"/>
    <x v="1135"/>
  </r>
  <r>
    <x v="274"/>
    <s v="Соседи"/>
    <x v="4"/>
    <x v="0"/>
    <x v="24"/>
    <n v="2540"/>
    <n v="21"/>
    <x v="658"/>
  </r>
  <r>
    <x v="274"/>
    <s v="Копеечка"/>
    <x v="4"/>
    <x v="0"/>
    <x v="10"/>
    <n v="1230"/>
    <n v="16"/>
    <x v="254"/>
  </r>
  <r>
    <x v="274"/>
    <s v="Копеечка"/>
    <x v="1"/>
    <x v="1"/>
    <x v="1"/>
    <n v="1380"/>
    <n v="39"/>
    <x v="197"/>
  </r>
  <r>
    <x v="274"/>
    <s v="Соседи"/>
    <x v="1"/>
    <x v="2"/>
    <x v="16"/>
    <n v="890"/>
    <n v="97"/>
    <x v="1020"/>
  </r>
  <r>
    <x v="274"/>
    <s v="Евроопт"/>
    <x v="1"/>
    <x v="0"/>
    <x v="5"/>
    <n v="930"/>
    <n v="76"/>
    <x v="1136"/>
  </r>
  <r>
    <x v="274"/>
    <s v="Евроопт"/>
    <x v="5"/>
    <x v="0"/>
    <x v="0"/>
    <n v="1320"/>
    <n v="91"/>
    <x v="521"/>
  </r>
  <r>
    <x v="274"/>
    <s v="Евроопт"/>
    <x v="5"/>
    <x v="0"/>
    <x v="5"/>
    <n v="930"/>
    <n v="69"/>
    <x v="1137"/>
  </r>
  <r>
    <x v="274"/>
    <s v="Евроопт"/>
    <x v="5"/>
    <x v="4"/>
    <x v="21"/>
    <n v="3205"/>
    <n v="91"/>
    <x v="1138"/>
  </r>
  <r>
    <x v="275"/>
    <m/>
    <x v="2"/>
    <x v="3"/>
    <x v="3"/>
    <m/>
    <m/>
    <x v="1139"/>
  </r>
  <r>
    <x v="276"/>
    <s v="Соседи"/>
    <x v="3"/>
    <x v="1"/>
    <x v="1"/>
    <n v="1380"/>
    <n v="15"/>
    <x v="812"/>
  </r>
  <r>
    <x v="276"/>
    <s v="Соседи"/>
    <x v="0"/>
    <x v="2"/>
    <x v="4"/>
    <n v="450"/>
    <n v="9"/>
    <x v="181"/>
  </r>
  <r>
    <x v="276"/>
    <s v="Евроопт"/>
    <x v="4"/>
    <x v="0"/>
    <x v="0"/>
    <n v="1320"/>
    <n v="42"/>
    <x v="1140"/>
  </r>
  <r>
    <x v="276"/>
    <s v="Виталюр"/>
    <x v="1"/>
    <x v="1"/>
    <x v="20"/>
    <n v="650"/>
    <n v="89"/>
    <x v="218"/>
  </r>
  <r>
    <x v="276"/>
    <s v="Евроопт"/>
    <x v="1"/>
    <x v="2"/>
    <x v="16"/>
    <n v="890"/>
    <n v="71"/>
    <x v="1141"/>
  </r>
  <r>
    <x v="276"/>
    <s v="Виталюр"/>
    <x v="1"/>
    <x v="0"/>
    <x v="0"/>
    <n v="1320"/>
    <n v="22"/>
    <x v="1023"/>
  </r>
  <r>
    <x v="276"/>
    <s v="Евроопт"/>
    <x v="6"/>
    <x v="2"/>
    <x v="8"/>
    <n v="460"/>
    <n v="82"/>
    <x v="1142"/>
  </r>
  <r>
    <x v="276"/>
    <s v="Копеечка"/>
    <x v="6"/>
    <x v="0"/>
    <x v="24"/>
    <n v="2540"/>
    <n v="30"/>
    <x v="1143"/>
  </r>
  <r>
    <x v="277"/>
    <m/>
    <x v="2"/>
    <x v="3"/>
    <x v="3"/>
    <m/>
    <m/>
    <x v="1144"/>
  </r>
  <r>
    <x v="278"/>
    <s v="Копеечка"/>
    <x v="3"/>
    <x v="2"/>
    <x v="9"/>
    <n v="690"/>
    <n v="67"/>
    <x v="1145"/>
  </r>
  <r>
    <x v="278"/>
    <s v="Копеечка"/>
    <x v="0"/>
    <x v="0"/>
    <x v="0"/>
    <n v="1320"/>
    <n v="9"/>
    <x v="1146"/>
  </r>
  <r>
    <x v="278"/>
    <s v="Евроопт"/>
    <x v="0"/>
    <x v="4"/>
    <x v="21"/>
    <n v="3205"/>
    <n v="63"/>
    <x v="793"/>
  </r>
  <r>
    <x v="278"/>
    <s v="Евроопт"/>
    <x v="4"/>
    <x v="2"/>
    <x v="9"/>
    <n v="690"/>
    <n v="35"/>
    <x v="22"/>
  </r>
  <r>
    <x v="278"/>
    <s v="Копеечка"/>
    <x v="1"/>
    <x v="0"/>
    <x v="5"/>
    <n v="930"/>
    <n v="50"/>
    <x v="143"/>
  </r>
  <r>
    <x v="278"/>
    <s v="Копеечка"/>
    <x v="1"/>
    <x v="4"/>
    <x v="7"/>
    <n v="1760"/>
    <n v="65"/>
    <x v="1147"/>
  </r>
  <r>
    <x v="278"/>
    <s v="Виталюр"/>
    <x v="5"/>
    <x v="2"/>
    <x v="4"/>
    <n v="450"/>
    <n v="26"/>
    <x v="480"/>
  </r>
  <r>
    <x v="278"/>
    <s v="Виталюр"/>
    <x v="5"/>
    <x v="0"/>
    <x v="0"/>
    <n v="1320"/>
    <n v="66"/>
    <x v="1148"/>
  </r>
  <r>
    <x v="278"/>
    <s v="Соседи"/>
    <x v="5"/>
    <x v="4"/>
    <x v="11"/>
    <n v="2970"/>
    <n v="75"/>
    <x v="1149"/>
  </r>
  <r>
    <x v="278"/>
    <s v="Виталюр"/>
    <x v="5"/>
    <x v="4"/>
    <x v="7"/>
    <n v="1760"/>
    <n v="49"/>
    <x v="399"/>
  </r>
  <r>
    <x v="278"/>
    <s v="Копеечка"/>
    <x v="6"/>
    <x v="1"/>
    <x v="19"/>
    <n v="540"/>
    <n v="71"/>
    <x v="434"/>
  </r>
  <r>
    <x v="279"/>
    <m/>
    <x v="2"/>
    <x v="3"/>
    <x v="3"/>
    <m/>
    <m/>
    <x v="1150"/>
  </r>
  <r>
    <x v="280"/>
    <s v="Виталюр"/>
    <x v="3"/>
    <x v="2"/>
    <x v="8"/>
    <n v="460"/>
    <n v="14"/>
    <x v="1151"/>
  </r>
  <r>
    <x v="280"/>
    <s v="Соседи"/>
    <x v="0"/>
    <x v="0"/>
    <x v="24"/>
    <n v="2540"/>
    <n v="29"/>
    <x v="358"/>
  </r>
  <r>
    <x v="280"/>
    <s v="Евроопт"/>
    <x v="0"/>
    <x v="0"/>
    <x v="0"/>
    <n v="1320"/>
    <n v="5"/>
    <x v="182"/>
  </r>
  <r>
    <x v="280"/>
    <s v="Копеечка"/>
    <x v="1"/>
    <x v="1"/>
    <x v="6"/>
    <n v="640"/>
    <n v="91"/>
    <x v="1152"/>
  </r>
  <r>
    <x v="280"/>
    <s v="Евроопт"/>
    <x v="1"/>
    <x v="1"/>
    <x v="6"/>
    <n v="640"/>
    <n v="79"/>
    <x v="222"/>
  </r>
  <r>
    <x v="280"/>
    <s v="Копеечка"/>
    <x v="1"/>
    <x v="1"/>
    <x v="6"/>
    <n v="640"/>
    <n v="69"/>
    <x v="797"/>
  </r>
  <r>
    <x v="280"/>
    <s v="Виталюр"/>
    <x v="5"/>
    <x v="2"/>
    <x v="4"/>
    <n v="450"/>
    <n v="42"/>
    <x v="1153"/>
  </r>
  <r>
    <x v="280"/>
    <s v="Виталюр"/>
    <x v="5"/>
    <x v="4"/>
    <x v="11"/>
    <n v="2970"/>
    <n v="53"/>
    <x v="246"/>
  </r>
  <r>
    <x v="280"/>
    <s v="Евроопт"/>
    <x v="5"/>
    <x v="4"/>
    <x v="15"/>
    <n v="2460"/>
    <n v="14"/>
    <x v="555"/>
  </r>
  <r>
    <x v="280"/>
    <s v="Соседи"/>
    <x v="6"/>
    <x v="0"/>
    <x v="22"/>
    <n v="1420"/>
    <n v="80"/>
    <x v="826"/>
  </r>
  <r>
    <x v="280"/>
    <s v="Евроопт"/>
    <x v="6"/>
    <x v="0"/>
    <x v="17"/>
    <n v="2400"/>
    <n v="59"/>
    <x v="1154"/>
  </r>
  <r>
    <x v="281"/>
    <m/>
    <x v="2"/>
    <x v="3"/>
    <x v="3"/>
    <m/>
    <m/>
    <x v="1155"/>
  </r>
  <r>
    <x v="282"/>
    <s v="Виталюр"/>
    <x v="0"/>
    <x v="1"/>
    <x v="20"/>
    <n v="650"/>
    <n v="7"/>
    <x v="928"/>
  </r>
  <r>
    <x v="282"/>
    <s v="Соседи"/>
    <x v="4"/>
    <x v="0"/>
    <x v="10"/>
    <n v="1230"/>
    <n v="8"/>
    <x v="1156"/>
  </r>
  <r>
    <x v="282"/>
    <s v="Евроопт"/>
    <x v="4"/>
    <x v="4"/>
    <x v="14"/>
    <n v="1670"/>
    <n v="25"/>
    <x v="1157"/>
  </r>
  <r>
    <x v="282"/>
    <s v="Виталюр"/>
    <x v="4"/>
    <x v="4"/>
    <x v="14"/>
    <n v="1670"/>
    <n v="75"/>
    <x v="1158"/>
  </r>
  <r>
    <x v="282"/>
    <s v="Виталюр"/>
    <x v="6"/>
    <x v="4"/>
    <x v="13"/>
    <n v="1505"/>
    <n v="49"/>
    <x v="886"/>
  </r>
  <r>
    <x v="283"/>
    <m/>
    <x v="2"/>
    <x v="3"/>
    <x v="3"/>
    <m/>
    <m/>
    <x v="1159"/>
  </r>
  <r>
    <x v="284"/>
    <s v="Евроопт"/>
    <x v="3"/>
    <x v="1"/>
    <x v="23"/>
    <n v="705"/>
    <n v="48"/>
    <x v="1074"/>
  </r>
  <r>
    <x v="284"/>
    <s v="Копеечка"/>
    <x v="3"/>
    <x v="2"/>
    <x v="16"/>
    <n v="890"/>
    <n v="21"/>
    <x v="981"/>
  </r>
  <r>
    <x v="284"/>
    <s v="Копеечка"/>
    <x v="3"/>
    <x v="4"/>
    <x v="21"/>
    <n v="3205"/>
    <n v="82"/>
    <x v="231"/>
  </r>
  <r>
    <x v="284"/>
    <s v="Евроопт"/>
    <x v="0"/>
    <x v="4"/>
    <x v="21"/>
    <n v="3205"/>
    <n v="66"/>
    <x v="1160"/>
  </r>
  <r>
    <x v="284"/>
    <s v="Виталюр"/>
    <x v="4"/>
    <x v="2"/>
    <x v="2"/>
    <n v="325"/>
    <n v="62"/>
    <x v="306"/>
  </r>
  <r>
    <x v="284"/>
    <s v="Копеечка"/>
    <x v="4"/>
    <x v="0"/>
    <x v="24"/>
    <n v="2540"/>
    <n v="36"/>
    <x v="1161"/>
  </r>
  <r>
    <x v="284"/>
    <s v="Копеечка"/>
    <x v="1"/>
    <x v="2"/>
    <x v="2"/>
    <n v="325"/>
    <n v="39"/>
    <x v="1162"/>
  </r>
  <r>
    <x v="284"/>
    <s v="Виталюр"/>
    <x v="5"/>
    <x v="1"/>
    <x v="6"/>
    <n v="640"/>
    <n v="30"/>
    <x v="191"/>
  </r>
  <r>
    <x v="284"/>
    <s v="Копеечка"/>
    <x v="5"/>
    <x v="2"/>
    <x v="4"/>
    <n v="450"/>
    <n v="28"/>
    <x v="1163"/>
  </r>
  <r>
    <x v="284"/>
    <s v="Виталюр"/>
    <x v="6"/>
    <x v="1"/>
    <x v="1"/>
    <n v="1380"/>
    <n v="78"/>
    <x v="1164"/>
  </r>
  <r>
    <x v="285"/>
    <m/>
    <x v="2"/>
    <x v="3"/>
    <x v="3"/>
    <m/>
    <m/>
    <x v="1165"/>
  </r>
  <r>
    <x v="286"/>
    <s v="Евроопт"/>
    <x v="3"/>
    <x v="4"/>
    <x v="11"/>
    <n v="2970"/>
    <n v="70"/>
    <x v="258"/>
  </r>
  <r>
    <x v="286"/>
    <s v="Соседи"/>
    <x v="3"/>
    <x v="4"/>
    <x v="15"/>
    <n v="2460"/>
    <n v="11"/>
    <x v="131"/>
  </r>
  <r>
    <x v="286"/>
    <s v="Виталюр"/>
    <x v="0"/>
    <x v="0"/>
    <x v="0"/>
    <n v="1320"/>
    <n v="95"/>
    <x v="1166"/>
  </r>
  <r>
    <x v="286"/>
    <s v="Виталюр"/>
    <x v="4"/>
    <x v="2"/>
    <x v="12"/>
    <n v="715"/>
    <n v="67"/>
    <x v="23"/>
  </r>
  <r>
    <x v="286"/>
    <s v="Копеечка"/>
    <x v="4"/>
    <x v="4"/>
    <x v="7"/>
    <n v="1760"/>
    <n v="31"/>
    <x v="1167"/>
  </r>
  <r>
    <x v="286"/>
    <s v="Виталюр"/>
    <x v="1"/>
    <x v="1"/>
    <x v="19"/>
    <n v="540"/>
    <n v="24"/>
    <x v="1168"/>
  </r>
  <r>
    <x v="286"/>
    <s v="Виталюр"/>
    <x v="5"/>
    <x v="1"/>
    <x v="1"/>
    <n v="1380"/>
    <n v="42"/>
    <x v="69"/>
  </r>
  <r>
    <x v="286"/>
    <s v="Копеечка"/>
    <x v="6"/>
    <x v="4"/>
    <x v="15"/>
    <n v="2460"/>
    <n v="70"/>
    <x v="74"/>
  </r>
  <r>
    <x v="287"/>
    <m/>
    <x v="2"/>
    <x v="3"/>
    <x v="3"/>
    <m/>
    <m/>
    <x v="1169"/>
  </r>
  <r>
    <x v="288"/>
    <s v="Виталюр"/>
    <x v="3"/>
    <x v="1"/>
    <x v="23"/>
    <n v="705"/>
    <n v="47"/>
    <x v="1170"/>
  </r>
  <r>
    <x v="288"/>
    <s v="Евроопт"/>
    <x v="0"/>
    <x v="0"/>
    <x v="0"/>
    <n v="1320"/>
    <n v="8"/>
    <x v="1171"/>
  </r>
  <r>
    <x v="288"/>
    <s v="Копеечка"/>
    <x v="4"/>
    <x v="0"/>
    <x v="22"/>
    <n v="1420"/>
    <n v="46"/>
    <x v="1172"/>
  </r>
  <r>
    <x v="288"/>
    <s v="Виталюр"/>
    <x v="4"/>
    <x v="0"/>
    <x v="10"/>
    <n v="1230"/>
    <n v="98"/>
    <x v="1173"/>
  </r>
  <r>
    <x v="288"/>
    <s v="Соседи"/>
    <x v="1"/>
    <x v="1"/>
    <x v="19"/>
    <n v="540"/>
    <n v="100"/>
    <x v="995"/>
  </r>
  <r>
    <x v="288"/>
    <s v="Евроопт"/>
    <x v="1"/>
    <x v="2"/>
    <x v="9"/>
    <n v="690"/>
    <n v="91"/>
    <x v="1174"/>
  </r>
  <r>
    <x v="288"/>
    <s v="Соседи"/>
    <x v="5"/>
    <x v="1"/>
    <x v="20"/>
    <n v="650"/>
    <n v="48"/>
    <x v="447"/>
  </r>
  <r>
    <x v="288"/>
    <s v="Евроопт"/>
    <x v="5"/>
    <x v="0"/>
    <x v="17"/>
    <n v="2400"/>
    <n v="6"/>
    <x v="1175"/>
  </r>
  <r>
    <x v="289"/>
    <m/>
    <x v="2"/>
    <x v="3"/>
    <x v="3"/>
    <m/>
    <m/>
    <x v="1176"/>
  </r>
  <r>
    <x v="290"/>
    <s v="Копеечка"/>
    <x v="3"/>
    <x v="1"/>
    <x v="1"/>
    <n v="1380"/>
    <n v="39"/>
    <x v="197"/>
  </r>
  <r>
    <x v="290"/>
    <s v="Виталюр"/>
    <x v="3"/>
    <x v="2"/>
    <x v="8"/>
    <n v="460"/>
    <n v="25"/>
    <x v="1177"/>
  </r>
  <r>
    <x v="290"/>
    <s v="Евроопт"/>
    <x v="3"/>
    <x v="0"/>
    <x v="24"/>
    <n v="2540"/>
    <n v="61"/>
    <x v="990"/>
  </r>
  <r>
    <x v="290"/>
    <s v="Виталюр"/>
    <x v="3"/>
    <x v="4"/>
    <x v="11"/>
    <n v="2970"/>
    <n v="57"/>
    <x v="1128"/>
  </r>
  <r>
    <x v="290"/>
    <s v="Соседи"/>
    <x v="3"/>
    <x v="4"/>
    <x v="21"/>
    <n v="3205"/>
    <n v="88"/>
    <x v="1178"/>
  </r>
  <r>
    <x v="290"/>
    <s v="Копеечка"/>
    <x v="1"/>
    <x v="1"/>
    <x v="1"/>
    <n v="1380"/>
    <n v="50"/>
    <x v="1179"/>
  </r>
  <r>
    <x v="290"/>
    <s v="Соседи"/>
    <x v="6"/>
    <x v="4"/>
    <x v="7"/>
    <n v="1760"/>
    <n v="47"/>
    <x v="1180"/>
  </r>
  <r>
    <x v="291"/>
    <m/>
    <x v="2"/>
    <x v="3"/>
    <x v="3"/>
    <m/>
    <m/>
    <x v="1181"/>
  </r>
  <r>
    <x v="292"/>
    <s v="Копеечка"/>
    <x v="3"/>
    <x v="1"/>
    <x v="23"/>
    <n v="705"/>
    <n v="43"/>
    <x v="938"/>
  </r>
  <r>
    <x v="292"/>
    <s v="Виталюр"/>
    <x v="3"/>
    <x v="2"/>
    <x v="12"/>
    <n v="715"/>
    <n v="90"/>
    <x v="221"/>
  </r>
  <r>
    <x v="292"/>
    <s v="Евроопт"/>
    <x v="3"/>
    <x v="2"/>
    <x v="8"/>
    <n v="460"/>
    <n v="65"/>
    <x v="667"/>
  </r>
  <r>
    <x v="292"/>
    <s v="Соседи"/>
    <x v="3"/>
    <x v="0"/>
    <x v="5"/>
    <n v="930"/>
    <n v="52"/>
    <x v="1182"/>
  </r>
  <r>
    <x v="292"/>
    <s v="Копеечка"/>
    <x v="3"/>
    <x v="0"/>
    <x v="10"/>
    <n v="1230"/>
    <n v="36"/>
    <x v="1044"/>
  </r>
  <r>
    <x v="292"/>
    <s v="Копеечка"/>
    <x v="3"/>
    <x v="4"/>
    <x v="7"/>
    <n v="1760"/>
    <n v="47"/>
    <x v="1180"/>
  </r>
  <r>
    <x v="292"/>
    <s v="Виталюр"/>
    <x v="3"/>
    <x v="4"/>
    <x v="13"/>
    <n v="1505"/>
    <n v="63"/>
    <x v="855"/>
  </r>
  <r>
    <x v="292"/>
    <s v="Виталюр"/>
    <x v="4"/>
    <x v="4"/>
    <x v="13"/>
    <n v="1505"/>
    <n v="69"/>
    <x v="1183"/>
  </r>
  <r>
    <x v="292"/>
    <s v="Евроопт"/>
    <x v="5"/>
    <x v="4"/>
    <x v="21"/>
    <n v="3205"/>
    <n v="74"/>
    <x v="557"/>
  </r>
  <r>
    <x v="292"/>
    <s v="Виталюр"/>
    <x v="5"/>
    <x v="4"/>
    <x v="14"/>
    <n v="1670"/>
    <n v="12"/>
    <x v="1184"/>
  </r>
  <r>
    <x v="293"/>
    <m/>
    <x v="2"/>
    <x v="3"/>
    <x v="3"/>
    <m/>
    <m/>
    <x v="1185"/>
  </r>
  <r>
    <x v="294"/>
    <s v="Евроопт"/>
    <x v="3"/>
    <x v="2"/>
    <x v="9"/>
    <n v="690"/>
    <n v="39"/>
    <x v="1113"/>
  </r>
  <r>
    <x v="294"/>
    <s v="Евроопт"/>
    <x v="0"/>
    <x v="2"/>
    <x v="8"/>
    <n v="460"/>
    <n v="43"/>
    <x v="86"/>
  </r>
  <r>
    <x v="294"/>
    <s v="Евроопт"/>
    <x v="0"/>
    <x v="0"/>
    <x v="17"/>
    <n v="2400"/>
    <n v="95"/>
    <x v="952"/>
  </r>
  <r>
    <x v="294"/>
    <s v="Виталюр"/>
    <x v="4"/>
    <x v="1"/>
    <x v="1"/>
    <n v="1380"/>
    <n v="23"/>
    <x v="610"/>
  </r>
  <r>
    <x v="294"/>
    <s v="Евроопт"/>
    <x v="4"/>
    <x v="1"/>
    <x v="6"/>
    <n v="640"/>
    <n v="95"/>
    <x v="493"/>
  </r>
  <r>
    <x v="294"/>
    <s v="Евроопт"/>
    <x v="1"/>
    <x v="1"/>
    <x v="20"/>
    <n v="650"/>
    <n v="28"/>
    <x v="568"/>
  </r>
  <r>
    <x v="294"/>
    <s v="Копеечка"/>
    <x v="5"/>
    <x v="2"/>
    <x v="8"/>
    <n v="460"/>
    <n v="69"/>
    <x v="610"/>
  </r>
  <r>
    <x v="294"/>
    <s v="Виталюр"/>
    <x v="5"/>
    <x v="4"/>
    <x v="21"/>
    <n v="3205"/>
    <n v="27"/>
    <x v="340"/>
  </r>
  <r>
    <x v="294"/>
    <s v="Виталюр"/>
    <x v="6"/>
    <x v="0"/>
    <x v="10"/>
    <n v="1230"/>
    <n v="76"/>
    <x v="485"/>
  </r>
  <r>
    <x v="294"/>
    <s v="Евроопт"/>
    <x v="6"/>
    <x v="4"/>
    <x v="21"/>
    <n v="3205"/>
    <n v="86"/>
    <x v="164"/>
  </r>
  <r>
    <x v="295"/>
    <m/>
    <x v="2"/>
    <x v="3"/>
    <x v="3"/>
    <m/>
    <m/>
    <x v="1186"/>
  </r>
  <r>
    <x v="296"/>
    <s v="Копеечка"/>
    <x v="3"/>
    <x v="2"/>
    <x v="8"/>
    <n v="460"/>
    <n v="40"/>
    <x v="1187"/>
  </r>
  <r>
    <x v="296"/>
    <s v="Виталюр"/>
    <x v="3"/>
    <x v="4"/>
    <x v="7"/>
    <n v="1760"/>
    <n v="49"/>
    <x v="399"/>
  </r>
  <r>
    <x v="296"/>
    <s v="Виталюр"/>
    <x v="0"/>
    <x v="0"/>
    <x v="10"/>
    <n v="1230"/>
    <n v="13"/>
    <x v="590"/>
  </r>
  <r>
    <x v="296"/>
    <s v="Виталюр"/>
    <x v="4"/>
    <x v="1"/>
    <x v="18"/>
    <n v="650"/>
    <n v="13"/>
    <x v="375"/>
  </r>
  <r>
    <x v="296"/>
    <s v="Виталюр"/>
    <x v="4"/>
    <x v="0"/>
    <x v="17"/>
    <n v="2400"/>
    <n v="73"/>
    <x v="1188"/>
  </r>
  <r>
    <x v="296"/>
    <s v="Виталюр"/>
    <x v="4"/>
    <x v="4"/>
    <x v="11"/>
    <n v="2970"/>
    <n v="95"/>
    <x v="1189"/>
  </r>
  <r>
    <x v="296"/>
    <s v="Копеечка"/>
    <x v="1"/>
    <x v="1"/>
    <x v="18"/>
    <n v="650"/>
    <n v="58"/>
    <x v="173"/>
  </r>
  <r>
    <x v="296"/>
    <s v="Копеечка"/>
    <x v="1"/>
    <x v="2"/>
    <x v="4"/>
    <n v="450"/>
    <n v="71"/>
    <x v="1190"/>
  </r>
  <r>
    <x v="296"/>
    <s v="Соседи"/>
    <x v="5"/>
    <x v="1"/>
    <x v="6"/>
    <n v="640"/>
    <n v="50"/>
    <x v="1191"/>
  </r>
  <r>
    <x v="296"/>
    <s v="Евроопт"/>
    <x v="5"/>
    <x v="2"/>
    <x v="2"/>
    <n v="325"/>
    <n v="26"/>
    <x v="375"/>
  </r>
  <r>
    <x v="296"/>
    <s v="Соседи"/>
    <x v="6"/>
    <x v="2"/>
    <x v="2"/>
    <n v="325"/>
    <n v="96"/>
    <x v="447"/>
  </r>
  <r>
    <x v="297"/>
    <m/>
    <x v="2"/>
    <x v="3"/>
    <x v="3"/>
    <m/>
    <m/>
    <x v="1192"/>
  </r>
  <r>
    <x v="298"/>
    <s v="Виталюр"/>
    <x v="3"/>
    <x v="1"/>
    <x v="23"/>
    <n v="705"/>
    <n v="30"/>
    <x v="230"/>
  </r>
  <r>
    <x v="298"/>
    <s v="Виталюр"/>
    <x v="1"/>
    <x v="0"/>
    <x v="10"/>
    <n v="1230"/>
    <n v="90"/>
    <x v="415"/>
  </r>
  <r>
    <x v="298"/>
    <s v="Копеечка"/>
    <x v="6"/>
    <x v="2"/>
    <x v="9"/>
    <n v="690"/>
    <n v="90"/>
    <x v="1193"/>
  </r>
  <r>
    <x v="298"/>
    <s v="Евроопт"/>
    <x v="6"/>
    <x v="4"/>
    <x v="21"/>
    <n v="3205"/>
    <n v="85"/>
    <x v="299"/>
  </r>
  <r>
    <x v="299"/>
    <m/>
    <x v="2"/>
    <x v="3"/>
    <x v="3"/>
    <m/>
    <m/>
    <x v="1194"/>
  </r>
  <r>
    <x v="300"/>
    <s v="Копеечка"/>
    <x v="3"/>
    <x v="1"/>
    <x v="18"/>
    <n v="650"/>
    <n v="84"/>
    <x v="747"/>
  </r>
  <r>
    <x v="300"/>
    <s v="Виталюр"/>
    <x v="0"/>
    <x v="2"/>
    <x v="16"/>
    <n v="890"/>
    <n v="44"/>
    <x v="1195"/>
  </r>
  <r>
    <x v="300"/>
    <s v="Соседи"/>
    <x v="4"/>
    <x v="2"/>
    <x v="9"/>
    <n v="690"/>
    <n v="42"/>
    <x v="554"/>
  </r>
  <r>
    <x v="300"/>
    <s v="Виталюр"/>
    <x v="5"/>
    <x v="1"/>
    <x v="19"/>
    <n v="540"/>
    <n v="10"/>
    <x v="148"/>
  </r>
  <r>
    <x v="300"/>
    <s v="Копеечка"/>
    <x v="6"/>
    <x v="0"/>
    <x v="17"/>
    <n v="2400"/>
    <n v="17"/>
    <x v="1196"/>
  </r>
  <r>
    <x v="301"/>
    <m/>
    <x v="2"/>
    <x v="3"/>
    <x v="3"/>
    <m/>
    <m/>
    <x v="1197"/>
  </r>
  <r>
    <x v="302"/>
    <s v="Копеечка"/>
    <x v="3"/>
    <x v="1"/>
    <x v="20"/>
    <n v="650"/>
    <n v="88"/>
    <x v="83"/>
  </r>
  <r>
    <x v="302"/>
    <s v="Соседи"/>
    <x v="3"/>
    <x v="0"/>
    <x v="17"/>
    <n v="2400"/>
    <n v="38"/>
    <x v="1198"/>
  </r>
  <r>
    <x v="302"/>
    <s v="Евроопт"/>
    <x v="0"/>
    <x v="1"/>
    <x v="18"/>
    <n v="650"/>
    <n v="68"/>
    <x v="267"/>
  </r>
  <r>
    <x v="302"/>
    <s v="Копеечка"/>
    <x v="0"/>
    <x v="1"/>
    <x v="1"/>
    <n v="1380"/>
    <n v="92"/>
    <x v="403"/>
  </r>
  <r>
    <x v="302"/>
    <s v="Соседи"/>
    <x v="0"/>
    <x v="2"/>
    <x v="16"/>
    <n v="890"/>
    <n v="61"/>
    <x v="1199"/>
  </r>
  <r>
    <x v="302"/>
    <s v="Евроопт"/>
    <x v="0"/>
    <x v="4"/>
    <x v="11"/>
    <n v="2970"/>
    <n v="30"/>
    <x v="1200"/>
  </r>
  <r>
    <x v="302"/>
    <s v="Виталюр"/>
    <x v="0"/>
    <x v="4"/>
    <x v="13"/>
    <n v="1505"/>
    <n v="55"/>
    <x v="238"/>
  </r>
  <r>
    <x v="302"/>
    <s v="Евроопт"/>
    <x v="4"/>
    <x v="2"/>
    <x v="16"/>
    <n v="890"/>
    <n v="46"/>
    <x v="402"/>
  </r>
  <r>
    <x v="302"/>
    <s v="Евроопт"/>
    <x v="4"/>
    <x v="0"/>
    <x v="5"/>
    <n v="930"/>
    <n v="68"/>
    <x v="1201"/>
  </r>
  <r>
    <x v="302"/>
    <s v="Копеечка"/>
    <x v="5"/>
    <x v="2"/>
    <x v="2"/>
    <n v="325"/>
    <n v="86"/>
    <x v="1131"/>
  </r>
  <r>
    <x v="302"/>
    <s v="Виталюр"/>
    <x v="6"/>
    <x v="1"/>
    <x v="20"/>
    <n v="650"/>
    <n v="84"/>
    <x v="747"/>
  </r>
  <r>
    <x v="302"/>
    <s v="Виталюр"/>
    <x v="6"/>
    <x v="4"/>
    <x v="15"/>
    <n v="2460"/>
    <n v="12"/>
    <x v="600"/>
  </r>
  <r>
    <x v="303"/>
    <m/>
    <x v="2"/>
    <x v="3"/>
    <x v="3"/>
    <m/>
    <m/>
    <x v="1202"/>
  </r>
  <r>
    <x v="304"/>
    <s v="Евроопт"/>
    <x v="3"/>
    <x v="1"/>
    <x v="19"/>
    <n v="540"/>
    <n v="48"/>
    <x v="364"/>
  </r>
  <r>
    <x v="304"/>
    <s v="Виталюр"/>
    <x v="3"/>
    <x v="2"/>
    <x v="8"/>
    <n v="460"/>
    <n v="57"/>
    <x v="217"/>
  </r>
  <r>
    <x v="304"/>
    <s v="Копеечка"/>
    <x v="3"/>
    <x v="2"/>
    <x v="8"/>
    <n v="460"/>
    <n v="72"/>
    <x v="441"/>
  </r>
  <r>
    <x v="304"/>
    <s v="Копеечка"/>
    <x v="3"/>
    <x v="0"/>
    <x v="10"/>
    <n v="1230"/>
    <n v="76"/>
    <x v="485"/>
  </r>
  <r>
    <x v="304"/>
    <s v="Виталюр"/>
    <x v="3"/>
    <x v="0"/>
    <x v="0"/>
    <n v="1320"/>
    <n v="42"/>
    <x v="1140"/>
  </r>
  <r>
    <x v="304"/>
    <s v="Евроопт"/>
    <x v="0"/>
    <x v="0"/>
    <x v="10"/>
    <n v="1230"/>
    <n v="90"/>
    <x v="415"/>
  </r>
  <r>
    <x v="304"/>
    <s v="Евроопт"/>
    <x v="4"/>
    <x v="1"/>
    <x v="1"/>
    <n v="1380"/>
    <n v="25"/>
    <x v="1057"/>
  </r>
  <r>
    <x v="304"/>
    <s v="Копеечка"/>
    <x v="1"/>
    <x v="1"/>
    <x v="1"/>
    <n v="1380"/>
    <n v="54"/>
    <x v="991"/>
  </r>
  <r>
    <x v="304"/>
    <s v="Копеечка"/>
    <x v="1"/>
    <x v="2"/>
    <x v="12"/>
    <n v="715"/>
    <n v="27"/>
    <x v="1203"/>
  </r>
  <r>
    <x v="304"/>
    <s v="Евроопт"/>
    <x v="1"/>
    <x v="2"/>
    <x v="9"/>
    <n v="690"/>
    <n v="28"/>
    <x v="1204"/>
  </r>
  <r>
    <x v="304"/>
    <s v="Копеечка"/>
    <x v="6"/>
    <x v="0"/>
    <x v="17"/>
    <n v="2400"/>
    <n v="72"/>
    <x v="727"/>
  </r>
  <r>
    <x v="305"/>
    <m/>
    <x v="2"/>
    <x v="3"/>
    <x v="3"/>
    <m/>
    <m/>
    <x v="1205"/>
  </r>
  <r>
    <x v="306"/>
    <s v="Соседи"/>
    <x v="3"/>
    <x v="1"/>
    <x v="20"/>
    <n v="650"/>
    <n v="67"/>
    <x v="498"/>
  </r>
  <r>
    <x v="306"/>
    <s v="Копеечка"/>
    <x v="3"/>
    <x v="2"/>
    <x v="12"/>
    <n v="715"/>
    <n v="34"/>
    <x v="104"/>
  </r>
  <r>
    <x v="306"/>
    <s v="Соседи"/>
    <x v="3"/>
    <x v="2"/>
    <x v="2"/>
    <n v="325"/>
    <n v="57"/>
    <x v="1206"/>
  </r>
  <r>
    <x v="306"/>
    <s v="Копеечка"/>
    <x v="0"/>
    <x v="1"/>
    <x v="23"/>
    <n v="705"/>
    <n v="14"/>
    <x v="1207"/>
  </r>
  <r>
    <x v="306"/>
    <s v="Соседи"/>
    <x v="0"/>
    <x v="2"/>
    <x v="9"/>
    <n v="690"/>
    <n v="64"/>
    <x v="797"/>
  </r>
  <r>
    <x v="306"/>
    <s v="Копеечка"/>
    <x v="1"/>
    <x v="2"/>
    <x v="4"/>
    <n v="450"/>
    <n v="87"/>
    <x v="903"/>
  </r>
  <r>
    <x v="306"/>
    <s v="Виталюр"/>
    <x v="1"/>
    <x v="0"/>
    <x v="0"/>
    <n v="1320"/>
    <n v="61"/>
    <x v="819"/>
  </r>
  <r>
    <x v="306"/>
    <s v="Виталюр"/>
    <x v="5"/>
    <x v="1"/>
    <x v="18"/>
    <n v="650"/>
    <n v="70"/>
    <x v="1208"/>
  </r>
  <r>
    <x v="306"/>
    <s v="Виталюр"/>
    <x v="6"/>
    <x v="2"/>
    <x v="8"/>
    <n v="460"/>
    <n v="23"/>
    <x v="986"/>
  </r>
  <r>
    <x v="306"/>
    <s v="Соседи"/>
    <x v="6"/>
    <x v="4"/>
    <x v="13"/>
    <n v="1505"/>
    <n v="44"/>
    <x v="1104"/>
  </r>
  <r>
    <x v="307"/>
    <m/>
    <x v="2"/>
    <x v="3"/>
    <x v="3"/>
    <m/>
    <m/>
    <x v="1209"/>
  </r>
  <r>
    <x v="308"/>
    <s v="Копеечка"/>
    <x v="3"/>
    <x v="2"/>
    <x v="12"/>
    <n v="715"/>
    <n v="9"/>
    <x v="1210"/>
  </r>
  <r>
    <x v="308"/>
    <s v="Соседи"/>
    <x v="3"/>
    <x v="0"/>
    <x v="0"/>
    <n v="1320"/>
    <n v="27"/>
    <x v="577"/>
  </r>
  <r>
    <x v="308"/>
    <s v="Соседи"/>
    <x v="3"/>
    <x v="0"/>
    <x v="17"/>
    <n v="2400"/>
    <n v="81"/>
    <x v="589"/>
  </r>
  <r>
    <x v="308"/>
    <s v="Виталюр"/>
    <x v="3"/>
    <x v="4"/>
    <x v="7"/>
    <n v="1760"/>
    <n v="95"/>
    <x v="1211"/>
  </r>
  <r>
    <x v="308"/>
    <s v="Виталюр"/>
    <x v="0"/>
    <x v="1"/>
    <x v="1"/>
    <n v="1380"/>
    <n v="99"/>
    <x v="1212"/>
  </r>
  <r>
    <x v="308"/>
    <s v="Евроопт"/>
    <x v="4"/>
    <x v="1"/>
    <x v="18"/>
    <n v="650"/>
    <n v="77"/>
    <x v="1213"/>
  </r>
  <r>
    <x v="308"/>
    <s v="Соседи"/>
    <x v="4"/>
    <x v="1"/>
    <x v="19"/>
    <n v="540"/>
    <n v="33"/>
    <x v="924"/>
  </r>
  <r>
    <x v="308"/>
    <s v="Соседи"/>
    <x v="4"/>
    <x v="2"/>
    <x v="9"/>
    <n v="690"/>
    <n v="71"/>
    <x v="1101"/>
  </r>
  <r>
    <x v="308"/>
    <s v="Соседи"/>
    <x v="1"/>
    <x v="1"/>
    <x v="20"/>
    <n v="650"/>
    <n v="33"/>
    <x v="360"/>
  </r>
  <r>
    <x v="308"/>
    <s v="Виталюр"/>
    <x v="1"/>
    <x v="0"/>
    <x v="10"/>
    <n v="1230"/>
    <n v="30"/>
    <x v="1214"/>
  </r>
  <r>
    <x v="308"/>
    <s v="Виталюр"/>
    <x v="6"/>
    <x v="2"/>
    <x v="8"/>
    <n v="460"/>
    <n v="7"/>
    <x v="278"/>
  </r>
  <r>
    <x v="308"/>
    <s v="Копеечка"/>
    <x v="6"/>
    <x v="4"/>
    <x v="15"/>
    <n v="2460"/>
    <n v="70"/>
    <x v="74"/>
  </r>
  <r>
    <x v="309"/>
    <m/>
    <x v="2"/>
    <x v="3"/>
    <x v="3"/>
    <m/>
    <m/>
    <x v="1215"/>
  </r>
  <r>
    <x v="310"/>
    <s v="Виталюр"/>
    <x v="3"/>
    <x v="1"/>
    <x v="18"/>
    <n v="650"/>
    <n v="53"/>
    <x v="782"/>
  </r>
  <r>
    <x v="310"/>
    <s v="Копеечка"/>
    <x v="3"/>
    <x v="0"/>
    <x v="5"/>
    <n v="930"/>
    <n v="43"/>
    <x v="1058"/>
  </r>
  <r>
    <x v="310"/>
    <s v="Соседи"/>
    <x v="0"/>
    <x v="1"/>
    <x v="19"/>
    <n v="540"/>
    <n v="23"/>
    <x v="1216"/>
  </r>
  <r>
    <x v="310"/>
    <s v="Виталюр"/>
    <x v="0"/>
    <x v="2"/>
    <x v="8"/>
    <n v="460"/>
    <n v="26"/>
    <x v="114"/>
  </r>
  <r>
    <x v="310"/>
    <s v="Виталюр"/>
    <x v="0"/>
    <x v="4"/>
    <x v="13"/>
    <n v="1505"/>
    <n v="63"/>
    <x v="855"/>
  </r>
  <r>
    <x v="310"/>
    <s v="Копеечка"/>
    <x v="4"/>
    <x v="2"/>
    <x v="9"/>
    <n v="690"/>
    <n v="88"/>
    <x v="1103"/>
  </r>
  <r>
    <x v="310"/>
    <s v="Соседи"/>
    <x v="4"/>
    <x v="0"/>
    <x v="0"/>
    <n v="1320"/>
    <n v="18"/>
    <x v="1117"/>
  </r>
  <r>
    <x v="310"/>
    <s v="Евроопт"/>
    <x v="1"/>
    <x v="4"/>
    <x v="11"/>
    <n v="2970"/>
    <n v="46"/>
    <x v="1212"/>
  </r>
  <r>
    <x v="310"/>
    <s v="Виталюр"/>
    <x v="5"/>
    <x v="4"/>
    <x v="15"/>
    <n v="2460"/>
    <n v="25"/>
    <x v="1217"/>
  </r>
  <r>
    <x v="310"/>
    <s v="Соседи"/>
    <x v="6"/>
    <x v="0"/>
    <x v="0"/>
    <n v="1320"/>
    <n v="68"/>
    <x v="336"/>
  </r>
  <r>
    <x v="311"/>
    <m/>
    <x v="2"/>
    <x v="3"/>
    <x v="3"/>
    <m/>
    <m/>
    <x v="1218"/>
  </r>
  <r>
    <x v="312"/>
    <s v="Соседи"/>
    <x v="3"/>
    <x v="1"/>
    <x v="6"/>
    <n v="640"/>
    <n v="17"/>
    <x v="460"/>
  </r>
  <r>
    <x v="312"/>
    <s v="Соседи"/>
    <x v="3"/>
    <x v="1"/>
    <x v="18"/>
    <n v="650"/>
    <n v="23"/>
    <x v="522"/>
  </r>
  <r>
    <x v="312"/>
    <s v="Евроопт"/>
    <x v="3"/>
    <x v="4"/>
    <x v="7"/>
    <n v="1760"/>
    <n v="15"/>
    <x v="257"/>
  </r>
  <r>
    <x v="312"/>
    <s v="Виталюр"/>
    <x v="0"/>
    <x v="1"/>
    <x v="23"/>
    <n v="705"/>
    <n v="27"/>
    <x v="1084"/>
  </r>
  <r>
    <x v="312"/>
    <s v="Соседи"/>
    <x v="4"/>
    <x v="1"/>
    <x v="1"/>
    <n v="1380"/>
    <n v="43"/>
    <x v="147"/>
  </r>
  <r>
    <x v="312"/>
    <s v="Евроопт"/>
    <x v="5"/>
    <x v="2"/>
    <x v="4"/>
    <n v="450"/>
    <n v="8"/>
    <x v="1219"/>
  </r>
  <r>
    <x v="312"/>
    <s v="Евроопт"/>
    <x v="5"/>
    <x v="2"/>
    <x v="8"/>
    <n v="460"/>
    <n v="15"/>
    <x v="726"/>
  </r>
  <r>
    <x v="312"/>
    <s v="Виталюр"/>
    <x v="5"/>
    <x v="0"/>
    <x v="22"/>
    <n v="1420"/>
    <n v="71"/>
    <x v="1220"/>
  </r>
  <r>
    <x v="312"/>
    <s v="Евроопт"/>
    <x v="6"/>
    <x v="1"/>
    <x v="23"/>
    <n v="705"/>
    <n v="83"/>
    <x v="1221"/>
  </r>
  <r>
    <x v="313"/>
    <m/>
    <x v="2"/>
    <x v="3"/>
    <x v="3"/>
    <m/>
    <m/>
    <x v="1222"/>
  </r>
  <r>
    <x v="314"/>
    <s v="Копеечка"/>
    <x v="0"/>
    <x v="1"/>
    <x v="19"/>
    <n v="540"/>
    <n v="19"/>
    <x v="1009"/>
  </r>
  <r>
    <x v="314"/>
    <s v="Соседи"/>
    <x v="0"/>
    <x v="4"/>
    <x v="21"/>
    <n v="3205"/>
    <n v="96"/>
    <x v="50"/>
  </r>
  <r>
    <x v="314"/>
    <s v="Евроопт"/>
    <x v="4"/>
    <x v="1"/>
    <x v="23"/>
    <n v="705"/>
    <n v="83"/>
    <x v="1221"/>
  </r>
  <r>
    <x v="314"/>
    <s v="Соседи"/>
    <x v="1"/>
    <x v="2"/>
    <x v="2"/>
    <n v="325"/>
    <n v="32"/>
    <x v="673"/>
  </r>
  <r>
    <x v="314"/>
    <s v="Виталюр"/>
    <x v="1"/>
    <x v="4"/>
    <x v="21"/>
    <n v="3205"/>
    <n v="88"/>
    <x v="1178"/>
  </r>
  <r>
    <x v="314"/>
    <s v="Копеечка"/>
    <x v="5"/>
    <x v="1"/>
    <x v="1"/>
    <n v="1380"/>
    <n v="29"/>
    <x v="215"/>
  </r>
  <r>
    <x v="314"/>
    <s v="Копеечка"/>
    <x v="5"/>
    <x v="0"/>
    <x v="5"/>
    <n v="930"/>
    <n v="18"/>
    <x v="378"/>
  </r>
  <r>
    <x v="314"/>
    <s v="Виталюр"/>
    <x v="6"/>
    <x v="1"/>
    <x v="1"/>
    <n v="1380"/>
    <n v="63"/>
    <x v="329"/>
  </r>
  <r>
    <x v="314"/>
    <s v="Виталюр"/>
    <x v="6"/>
    <x v="1"/>
    <x v="19"/>
    <n v="540"/>
    <n v="21"/>
    <x v="286"/>
  </r>
  <r>
    <x v="314"/>
    <s v="Виталюр"/>
    <x v="6"/>
    <x v="0"/>
    <x v="5"/>
    <n v="930"/>
    <n v="70"/>
    <x v="1223"/>
  </r>
  <r>
    <x v="315"/>
    <m/>
    <x v="2"/>
    <x v="3"/>
    <x v="3"/>
    <m/>
    <m/>
    <x v="1224"/>
  </r>
  <r>
    <x v="316"/>
    <s v="Виталюр"/>
    <x v="3"/>
    <x v="1"/>
    <x v="19"/>
    <n v="540"/>
    <n v="12"/>
    <x v="1225"/>
  </r>
  <r>
    <x v="316"/>
    <s v="Евроопт"/>
    <x v="3"/>
    <x v="4"/>
    <x v="13"/>
    <n v="1505"/>
    <n v="40"/>
    <x v="1226"/>
  </r>
  <r>
    <x v="316"/>
    <s v="Виталюр"/>
    <x v="0"/>
    <x v="4"/>
    <x v="11"/>
    <n v="2970"/>
    <n v="85"/>
    <x v="646"/>
  </r>
  <r>
    <x v="316"/>
    <s v="Виталюр"/>
    <x v="4"/>
    <x v="0"/>
    <x v="17"/>
    <n v="2400"/>
    <n v="47"/>
    <x v="1227"/>
  </r>
  <r>
    <x v="316"/>
    <s v="Евроопт"/>
    <x v="1"/>
    <x v="0"/>
    <x v="0"/>
    <n v="1320"/>
    <n v="47"/>
    <x v="541"/>
  </r>
  <r>
    <x v="316"/>
    <s v="Копеечка"/>
    <x v="5"/>
    <x v="2"/>
    <x v="9"/>
    <n v="690"/>
    <n v="12"/>
    <x v="244"/>
  </r>
  <r>
    <x v="316"/>
    <s v="Виталюр"/>
    <x v="5"/>
    <x v="4"/>
    <x v="21"/>
    <n v="3205"/>
    <n v="50"/>
    <x v="1228"/>
  </r>
  <r>
    <x v="316"/>
    <s v="Копеечка"/>
    <x v="6"/>
    <x v="2"/>
    <x v="8"/>
    <n v="460"/>
    <n v="82"/>
    <x v="1142"/>
  </r>
  <r>
    <x v="316"/>
    <s v="Евроопт"/>
    <x v="6"/>
    <x v="4"/>
    <x v="11"/>
    <n v="2970"/>
    <n v="42"/>
    <x v="580"/>
  </r>
  <r>
    <x v="317"/>
    <m/>
    <x v="2"/>
    <x v="3"/>
    <x v="3"/>
    <m/>
    <m/>
    <x v="1229"/>
  </r>
  <r>
    <x v="318"/>
    <s v="Соседи"/>
    <x v="3"/>
    <x v="0"/>
    <x v="0"/>
    <n v="1320"/>
    <n v="93"/>
    <x v="121"/>
  </r>
  <r>
    <x v="318"/>
    <s v="Соседи"/>
    <x v="3"/>
    <x v="0"/>
    <x v="17"/>
    <n v="2400"/>
    <n v="100"/>
    <x v="1230"/>
  </r>
  <r>
    <x v="318"/>
    <s v="Евроопт"/>
    <x v="0"/>
    <x v="2"/>
    <x v="16"/>
    <n v="890"/>
    <n v="26"/>
    <x v="29"/>
  </r>
  <r>
    <x v="318"/>
    <s v="Виталюр"/>
    <x v="4"/>
    <x v="0"/>
    <x v="24"/>
    <n v="2540"/>
    <n v="50"/>
    <x v="1231"/>
  </r>
  <r>
    <x v="318"/>
    <s v="Евроопт"/>
    <x v="4"/>
    <x v="4"/>
    <x v="13"/>
    <n v="1505"/>
    <n v="13"/>
    <x v="1232"/>
  </r>
  <r>
    <x v="318"/>
    <s v="Евроопт"/>
    <x v="1"/>
    <x v="1"/>
    <x v="20"/>
    <n v="650"/>
    <n v="79"/>
    <x v="1233"/>
  </r>
  <r>
    <x v="318"/>
    <s v="Копеечка"/>
    <x v="1"/>
    <x v="0"/>
    <x v="0"/>
    <n v="1320"/>
    <n v="58"/>
    <x v="1234"/>
  </r>
  <r>
    <x v="318"/>
    <s v="Копеечка"/>
    <x v="1"/>
    <x v="0"/>
    <x v="5"/>
    <n v="930"/>
    <n v="42"/>
    <x v="488"/>
  </r>
  <r>
    <x v="318"/>
    <s v="Виталюр"/>
    <x v="6"/>
    <x v="1"/>
    <x v="18"/>
    <n v="650"/>
    <n v="54"/>
    <x v="158"/>
  </r>
  <r>
    <x v="318"/>
    <s v="Соседи"/>
    <x v="6"/>
    <x v="0"/>
    <x v="17"/>
    <n v="2400"/>
    <n v="81"/>
    <x v="589"/>
  </r>
  <r>
    <x v="319"/>
    <m/>
    <x v="2"/>
    <x v="3"/>
    <x v="3"/>
    <m/>
    <m/>
    <x v="1235"/>
  </r>
  <r>
    <x v="320"/>
    <s v="Копеечка"/>
    <x v="3"/>
    <x v="4"/>
    <x v="21"/>
    <n v="3205"/>
    <n v="35"/>
    <x v="1236"/>
  </r>
  <r>
    <x v="320"/>
    <s v="Евроопт"/>
    <x v="4"/>
    <x v="2"/>
    <x v="8"/>
    <n v="460"/>
    <n v="14"/>
    <x v="1151"/>
  </r>
  <r>
    <x v="320"/>
    <s v="Соседи"/>
    <x v="1"/>
    <x v="2"/>
    <x v="4"/>
    <n v="450"/>
    <n v="87"/>
    <x v="903"/>
  </r>
  <r>
    <x v="320"/>
    <s v="Соседи"/>
    <x v="1"/>
    <x v="0"/>
    <x v="10"/>
    <n v="1230"/>
    <n v="66"/>
    <x v="194"/>
  </r>
  <r>
    <x v="320"/>
    <s v="Копеечка"/>
    <x v="5"/>
    <x v="2"/>
    <x v="9"/>
    <n v="690"/>
    <n v="23"/>
    <x v="1237"/>
  </r>
  <r>
    <x v="320"/>
    <s v="Соседи"/>
    <x v="5"/>
    <x v="2"/>
    <x v="9"/>
    <n v="690"/>
    <n v="38"/>
    <x v="217"/>
  </r>
  <r>
    <x v="320"/>
    <s v="Евроопт"/>
    <x v="5"/>
    <x v="0"/>
    <x v="0"/>
    <n v="1320"/>
    <n v="15"/>
    <x v="4"/>
  </r>
  <r>
    <x v="320"/>
    <s v="Копеечка"/>
    <x v="6"/>
    <x v="1"/>
    <x v="23"/>
    <n v="705"/>
    <n v="46"/>
    <x v="816"/>
  </r>
  <r>
    <x v="320"/>
    <s v="Соседи"/>
    <x v="6"/>
    <x v="1"/>
    <x v="20"/>
    <n v="650"/>
    <n v="36"/>
    <x v="756"/>
  </r>
  <r>
    <x v="320"/>
    <s v="Копеечка"/>
    <x v="6"/>
    <x v="2"/>
    <x v="2"/>
    <n v="325"/>
    <n v="38"/>
    <x v="1238"/>
  </r>
  <r>
    <x v="320"/>
    <s v="Виталюр"/>
    <x v="6"/>
    <x v="2"/>
    <x v="16"/>
    <n v="890"/>
    <n v="66"/>
    <x v="1239"/>
  </r>
  <r>
    <x v="321"/>
    <m/>
    <x v="2"/>
    <x v="3"/>
    <x v="3"/>
    <m/>
    <m/>
    <x v="1240"/>
  </r>
  <r>
    <x v="322"/>
    <s v="Копеечка"/>
    <x v="3"/>
    <x v="4"/>
    <x v="11"/>
    <n v="2970"/>
    <n v="27"/>
    <x v="576"/>
  </r>
  <r>
    <x v="322"/>
    <s v="Копеечка"/>
    <x v="0"/>
    <x v="1"/>
    <x v="18"/>
    <n v="650"/>
    <n v="68"/>
    <x v="267"/>
  </r>
  <r>
    <x v="322"/>
    <s v="Виталюр"/>
    <x v="0"/>
    <x v="2"/>
    <x v="16"/>
    <n v="890"/>
    <n v="32"/>
    <x v="426"/>
  </r>
  <r>
    <x v="322"/>
    <s v="Евроопт"/>
    <x v="1"/>
    <x v="1"/>
    <x v="18"/>
    <n v="650"/>
    <n v="13"/>
    <x v="375"/>
  </r>
  <r>
    <x v="322"/>
    <s v="Соседи"/>
    <x v="1"/>
    <x v="1"/>
    <x v="19"/>
    <n v="540"/>
    <n v="91"/>
    <x v="1015"/>
  </r>
  <r>
    <x v="322"/>
    <s v="Копеечка"/>
    <x v="1"/>
    <x v="4"/>
    <x v="7"/>
    <n v="1760"/>
    <n v="67"/>
    <x v="1241"/>
  </r>
  <r>
    <x v="322"/>
    <s v="Копеечка"/>
    <x v="5"/>
    <x v="1"/>
    <x v="20"/>
    <n v="650"/>
    <n v="42"/>
    <x v="189"/>
  </r>
  <r>
    <x v="323"/>
    <m/>
    <x v="2"/>
    <x v="3"/>
    <x v="3"/>
    <m/>
    <m/>
    <x v="1242"/>
  </r>
  <r>
    <x v="324"/>
    <s v="Евроопт"/>
    <x v="3"/>
    <x v="1"/>
    <x v="18"/>
    <n v="650"/>
    <n v="90"/>
    <x v="226"/>
  </r>
  <r>
    <x v="324"/>
    <s v="Евроопт"/>
    <x v="0"/>
    <x v="1"/>
    <x v="18"/>
    <n v="650"/>
    <n v="41"/>
    <x v="645"/>
  </r>
  <r>
    <x v="324"/>
    <s v="Соседи"/>
    <x v="0"/>
    <x v="2"/>
    <x v="9"/>
    <n v="690"/>
    <n v="51"/>
    <x v="228"/>
  </r>
  <r>
    <x v="324"/>
    <s v="Виталюр"/>
    <x v="4"/>
    <x v="4"/>
    <x v="14"/>
    <n v="1670"/>
    <n v="46"/>
    <x v="478"/>
  </r>
  <r>
    <x v="324"/>
    <s v="Копеечка"/>
    <x v="1"/>
    <x v="0"/>
    <x v="24"/>
    <n v="2540"/>
    <n v="15"/>
    <x v="1243"/>
  </r>
  <r>
    <x v="324"/>
    <s v="Копеечка"/>
    <x v="1"/>
    <x v="4"/>
    <x v="14"/>
    <n v="1670"/>
    <n v="53"/>
    <x v="1244"/>
  </r>
  <r>
    <x v="324"/>
    <s v="Соседи"/>
    <x v="6"/>
    <x v="2"/>
    <x v="4"/>
    <n v="450"/>
    <n v="40"/>
    <x v="1245"/>
  </r>
  <r>
    <x v="324"/>
    <s v="Копеечка"/>
    <x v="6"/>
    <x v="4"/>
    <x v="11"/>
    <n v="2970"/>
    <n v="83"/>
    <x v="1246"/>
  </r>
  <r>
    <x v="325"/>
    <m/>
    <x v="2"/>
    <x v="3"/>
    <x v="3"/>
    <m/>
    <m/>
    <x v="1247"/>
  </r>
  <r>
    <x v="326"/>
    <s v="Соседи"/>
    <x v="3"/>
    <x v="2"/>
    <x v="16"/>
    <n v="890"/>
    <n v="74"/>
    <x v="137"/>
  </r>
  <r>
    <x v="326"/>
    <s v="Копеечка"/>
    <x v="3"/>
    <x v="2"/>
    <x v="16"/>
    <n v="890"/>
    <n v="38"/>
    <x v="636"/>
  </r>
  <r>
    <x v="326"/>
    <s v="Евроопт"/>
    <x v="3"/>
    <x v="4"/>
    <x v="21"/>
    <n v="3205"/>
    <n v="83"/>
    <x v="1248"/>
  </r>
  <r>
    <x v="326"/>
    <s v="Виталюр"/>
    <x v="5"/>
    <x v="1"/>
    <x v="6"/>
    <n v="640"/>
    <n v="42"/>
    <x v="961"/>
  </r>
  <r>
    <x v="326"/>
    <s v="Виталюр"/>
    <x v="5"/>
    <x v="2"/>
    <x v="8"/>
    <n v="460"/>
    <n v="5"/>
    <x v="1249"/>
  </r>
  <r>
    <x v="326"/>
    <s v="Виталюр"/>
    <x v="5"/>
    <x v="4"/>
    <x v="13"/>
    <n v="1505"/>
    <n v="22"/>
    <x v="1250"/>
  </r>
  <r>
    <x v="326"/>
    <s v="Виталюр"/>
    <x v="6"/>
    <x v="2"/>
    <x v="2"/>
    <n v="325"/>
    <n v="72"/>
    <x v="756"/>
  </r>
  <r>
    <x v="327"/>
    <m/>
    <x v="2"/>
    <x v="3"/>
    <x v="3"/>
    <m/>
    <m/>
    <x v="1251"/>
  </r>
  <r>
    <x v="328"/>
    <s v="Евроопт"/>
    <x v="3"/>
    <x v="1"/>
    <x v="23"/>
    <n v="705"/>
    <n v="86"/>
    <x v="586"/>
  </r>
  <r>
    <x v="328"/>
    <s v="Копеечка"/>
    <x v="3"/>
    <x v="2"/>
    <x v="2"/>
    <n v="325"/>
    <n v="35"/>
    <x v="1092"/>
  </r>
  <r>
    <x v="328"/>
    <s v="Копеечка"/>
    <x v="3"/>
    <x v="4"/>
    <x v="15"/>
    <n v="2460"/>
    <n v="67"/>
    <x v="34"/>
  </r>
  <r>
    <x v="328"/>
    <s v="Виталюр"/>
    <x v="0"/>
    <x v="4"/>
    <x v="15"/>
    <n v="2460"/>
    <n v="59"/>
    <x v="1252"/>
  </r>
  <r>
    <x v="328"/>
    <s v="Копеечка"/>
    <x v="4"/>
    <x v="1"/>
    <x v="23"/>
    <n v="705"/>
    <n v="83"/>
    <x v="1221"/>
  </r>
  <r>
    <x v="328"/>
    <s v="Виталюр"/>
    <x v="4"/>
    <x v="1"/>
    <x v="18"/>
    <n v="650"/>
    <n v="74"/>
    <x v="1253"/>
  </r>
  <r>
    <x v="328"/>
    <s v="Соседи"/>
    <x v="1"/>
    <x v="1"/>
    <x v="6"/>
    <n v="640"/>
    <n v="65"/>
    <x v="15"/>
  </r>
  <r>
    <x v="328"/>
    <s v="Копеечка"/>
    <x v="1"/>
    <x v="2"/>
    <x v="16"/>
    <n v="890"/>
    <n v="64"/>
    <x v="880"/>
  </r>
  <r>
    <x v="328"/>
    <s v="Соседи"/>
    <x v="5"/>
    <x v="1"/>
    <x v="18"/>
    <n v="650"/>
    <n v="29"/>
    <x v="46"/>
  </r>
  <r>
    <x v="328"/>
    <s v="Виталюр"/>
    <x v="6"/>
    <x v="2"/>
    <x v="16"/>
    <n v="890"/>
    <n v="93"/>
    <x v="729"/>
  </r>
  <r>
    <x v="328"/>
    <s v="Соседи"/>
    <x v="6"/>
    <x v="2"/>
    <x v="4"/>
    <n v="450"/>
    <n v="53"/>
    <x v="1254"/>
  </r>
  <r>
    <x v="328"/>
    <s v="Виталюр"/>
    <x v="6"/>
    <x v="4"/>
    <x v="11"/>
    <n v="2970"/>
    <n v="72"/>
    <x v="492"/>
  </r>
  <r>
    <x v="329"/>
    <m/>
    <x v="2"/>
    <x v="3"/>
    <x v="3"/>
    <m/>
    <m/>
    <x v="1255"/>
  </r>
  <r>
    <x v="330"/>
    <s v="Копеечка"/>
    <x v="3"/>
    <x v="4"/>
    <x v="7"/>
    <n v="1760"/>
    <n v="33"/>
    <x v="660"/>
  </r>
  <r>
    <x v="330"/>
    <s v="Виталюр"/>
    <x v="4"/>
    <x v="1"/>
    <x v="20"/>
    <n v="650"/>
    <n v="44"/>
    <x v="853"/>
  </r>
  <r>
    <x v="330"/>
    <s v="Соседи"/>
    <x v="1"/>
    <x v="2"/>
    <x v="9"/>
    <n v="690"/>
    <n v="33"/>
    <x v="1256"/>
  </r>
  <r>
    <x v="330"/>
    <s v="Копеечка"/>
    <x v="1"/>
    <x v="0"/>
    <x v="10"/>
    <n v="1230"/>
    <n v="51"/>
    <x v="1257"/>
  </r>
  <r>
    <x v="330"/>
    <s v="Евроопт"/>
    <x v="5"/>
    <x v="1"/>
    <x v="20"/>
    <n v="650"/>
    <n v="34"/>
    <x v="199"/>
  </r>
  <r>
    <x v="330"/>
    <s v="Соседи"/>
    <x v="5"/>
    <x v="4"/>
    <x v="7"/>
    <n v="1760"/>
    <n v="57"/>
    <x v="759"/>
  </r>
  <r>
    <x v="330"/>
    <s v="Копеечка"/>
    <x v="6"/>
    <x v="1"/>
    <x v="23"/>
    <n v="705"/>
    <n v="38"/>
    <x v="1258"/>
  </r>
  <r>
    <x v="330"/>
    <s v="Евроопт"/>
    <x v="6"/>
    <x v="0"/>
    <x v="17"/>
    <n v="2400"/>
    <n v="10"/>
    <x v="1259"/>
  </r>
  <r>
    <x v="331"/>
    <m/>
    <x v="2"/>
    <x v="3"/>
    <x v="3"/>
    <m/>
    <m/>
    <x v="1260"/>
  </r>
  <r>
    <x v="332"/>
    <s v="Евроопт"/>
    <x v="3"/>
    <x v="1"/>
    <x v="20"/>
    <n v="650"/>
    <n v="7"/>
    <x v="928"/>
  </r>
  <r>
    <x v="332"/>
    <s v="Копеечка"/>
    <x v="3"/>
    <x v="2"/>
    <x v="16"/>
    <n v="890"/>
    <n v="19"/>
    <x v="1261"/>
  </r>
  <r>
    <x v="332"/>
    <s v="Виталюр"/>
    <x v="3"/>
    <x v="4"/>
    <x v="7"/>
    <n v="1760"/>
    <n v="6"/>
    <x v="1171"/>
  </r>
  <r>
    <x v="332"/>
    <s v="Виталюр"/>
    <x v="0"/>
    <x v="1"/>
    <x v="23"/>
    <n v="705"/>
    <n v="6"/>
    <x v="1118"/>
  </r>
  <r>
    <x v="332"/>
    <s v="Виталюр"/>
    <x v="0"/>
    <x v="2"/>
    <x v="12"/>
    <n v="715"/>
    <n v="13"/>
    <x v="1070"/>
  </r>
  <r>
    <x v="332"/>
    <s v="Копеечка"/>
    <x v="4"/>
    <x v="1"/>
    <x v="23"/>
    <n v="705"/>
    <n v="14"/>
    <x v="1207"/>
  </r>
  <r>
    <x v="332"/>
    <s v="Копеечка"/>
    <x v="4"/>
    <x v="2"/>
    <x v="16"/>
    <n v="890"/>
    <n v="44"/>
    <x v="1195"/>
  </r>
  <r>
    <x v="332"/>
    <s v="Соседи"/>
    <x v="1"/>
    <x v="0"/>
    <x v="22"/>
    <n v="1420"/>
    <n v="34"/>
    <x v="1262"/>
  </r>
  <r>
    <x v="332"/>
    <s v="Копеечка"/>
    <x v="5"/>
    <x v="1"/>
    <x v="6"/>
    <n v="640"/>
    <n v="85"/>
    <x v="946"/>
  </r>
  <r>
    <x v="332"/>
    <s v="Копеечка"/>
    <x v="5"/>
    <x v="2"/>
    <x v="2"/>
    <n v="325"/>
    <n v="89"/>
    <x v="266"/>
  </r>
  <r>
    <x v="332"/>
    <s v="Евроопт"/>
    <x v="5"/>
    <x v="4"/>
    <x v="13"/>
    <n v="1505"/>
    <n v="53"/>
    <x v="235"/>
  </r>
  <r>
    <x v="332"/>
    <s v="Виталюр"/>
    <x v="6"/>
    <x v="1"/>
    <x v="6"/>
    <n v="640"/>
    <n v="66"/>
    <x v="11"/>
  </r>
  <r>
    <x v="332"/>
    <s v="Евроопт"/>
    <x v="6"/>
    <x v="4"/>
    <x v="13"/>
    <n v="1505"/>
    <n v="41"/>
    <x v="1089"/>
  </r>
  <r>
    <x v="333"/>
    <m/>
    <x v="2"/>
    <x v="3"/>
    <x v="3"/>
    <m/>
    <m/>
    <x v="1263"/>
  </r>
  <r>
    <x v="334"/>
    <s v="Виталюр"/>
    <x v="3"/>
    <x v="1"/>
    <x v="1"/>
    <n v="1380"/>
    <n v="72"/>
    <x v="1264"/>
  </r>
  <r>
    <x v="334"/>
    <s v="Виталюр"/>
    <x v="0"/>
    <x v="4"/>
    <x v="7"/>
    <n v="1760"/>
    <n v="39"/>
    <x v="1265"/>
  </r>
  <r>
    <x v="334"/>
    <s v="Копеечка"/>
    <x v="4"/>
    <x v="1"/>
    <x v="1"/>
    <n v="1380"/>
    <n v="61"/>
    <x v="390"/>
  </r>
  <r>
    <x v="334"/>
    <s v="Евроопт"/>
    <x v="4"/>
    <x v="1"/>
    <x v="1"/>
    <n v="1380"/>
    <n v="55"/>
    <x v="1266"/>
  </r>
  <r>
    <x v="334"/>
    <s v="Копеечка"/>
    <x v="4"/>
    <x v="2"/>
    <x v="8"/>
    <n v="460"/>
    <n v="78"/>
    <x v="690"/>
  </r>
  <r>
    <x v="334"/>
    <s v="Копеечка"/>
    <x v="4"/>
    <x v="0"/>
    <x v="5"/>
    <n v="930"/>
    <n v="87"/>
    <x v="1267"/>
  </r>
  <r>
    <x v="334"/>
    <s v="Соседи"/>
    <x v="4"/>
    <x v="0"/>
    <x v="24"/>
    <n v="2540"/>
    <n v="69"/>
    <x v="1268"/>
  </r>
  <r>
    <x v="334"/>
    <s v="Копеечка"/>
    <x v="1"/>
    <x v="2"/>
    <x v="12"/>
    <n v="715"/>
    <n v="97"/>
    <x v="1269"/>
  </r>
  <r>
    <x v="334"/>
    <s v="Евроопт"/>
    <x v="1"/>
    <x v="0"/>
    <x v="22"/>
    <n v="1420"/>
    <n v="44"/>
    <x v="1270"/>
  </r>
  <r>
    <x v="334"/>
    <s v="Виталюр"/>
    <x v="1"/>
    <x v="0"/>
    <x v="10"/>
    <n v="1230"/>
    <n v="48"/>
    <x v="1271"/>
  </r>
  <r>
    <x v="334"/>
    <s v="Виталюр"/>
    <x v="1"/>
    <x v="4"/>
    <x v="7"/>
    <n v="1760"/>
    <n v="14"/>
    <x v="1272"/>
  </r>
  <r>
    <x v="334"/>
    <s v="Соседи"/>
    <x v="5"/>
    <x v="2"/>
    <x v="12"/>
    <n v="715"/>
    <n v="76"/>
    <x v="1273"/>
  </r>
  <r>
    <x v="334"/>
    <s v="Виталюр"/>
    <x v="6"/>
    <x v="2"/>
    <x v="4"/>
    <n v="450"/>
    <n v="27"/>
    <x v="664"/>
  </r>
  <r>
    <x v="335"/>
    <m/>
    <x v="2"/>
    <x v="3"/>
    <x v="3"/>
    <m/>
    <m/>
    <x v="1274"/>
  </r>
  <r>
    <x v="336"/>
    <s v="Соседи"/>
    <x v="3"/>
    <x v="1"/>
    <x v="1"/>
    <n v="1380"/>
    <n v="46"/>
    <x v="1275"/>
  </r>
  <r>
    <x v="336"/>
    <s v="Копеечка"/>
    <x v="3"/>
    <x v="0"/>
    <x v="22"/>
    <n v="1420"/>
    <n v="44"/>
    <x v="1270"/>
  </r>
  <r>
    <x v="336"/>
    <s v="Соседи"/>
    <x v="0"/>
    <x v="4"/>
    <x v="15"/>
    <n v="2460"/>
    <n v="78"/>
    <x v="380"/>
  </r>
  <r>
    <x v="336"/>
    <s v="Евроопт"/>
    <x v="0"/>
    <x v="4"/>
    <x v="11"/>
    <n v="2970"/>
    <n v="26"/>
    <x v="892"/>
  </r>
  <r>
    <x v="336"/>
    <s v="Копеечка"/>
    <x v="4"/>
    <x v="0"/>
    <x v="0"/>
    <n v="1320"/>
    <n v="88"/>
    <x v="1276"/>
  </r>
  <r>
    <x v="336"/>
    <s v="Соседи"/>
    <x v="4"/>
    <x v="4"/>
    <x v="15"/>
    <n v="2460"/>
    <n v="41"/>
    <x v="831"/>
  </r>
  <r>
    <x v="336"/>
    <s v="Виталюр"/>
    <x v="1"/>
    <x v="1"/>
    <x v="18"/>
    <n v="650"/>
    <n v="74"/>
    <x v="1253"/>
  </r>
  <r>
    <x v="336"/>
    <s v="Виталюр"/>
    <x v="1"/>
    <x v="1"/>
    <x v="18"/>
    <n v="650"/>
    <n v="75"/>
    <x v="359"/>
  </r>
  <r>
    <x v="336"/>
    <s v="Соседи"/>
    <x v="6"/>
    <x v="4"/>
    <x v="13"/>
    <n v="1505"/>
    <n v="100"/>
    <x v="920"/>
  </r>
  <r>
    <x v="336"/>
    <s v="Соседи"/>
    <x v="6"/>
    <x v="4"/>
    <x v="11"/>
    <n v="2970"/>
    <n v="47"/>
    <x v="1129"/>
  </r>
  <r>
    <x v="336"/>
    <s v="Копеечка"/>
    <x v="6"/>
    <x v="4"/>
    <x v="21"/>
    <n v="3205"/>
    <n v="76"/>
    <x v="489"/>
  </r>
  <r>
    <x v="337"/>
    <m/>
    <x v="2"/>
    <x v="3"/>
    <x v="3"/>
    <m/>
    <m/>
    <x v="1277"/>
  </r>
  <r>
    <x v="338"/>
    <s v="Виталюр"/>
    <x v="3"/>
    <x v="2"/>
    <x v="9"/>
    <n v="690"/>
    <n v="57"/>
    <x v="1278"/>
  </r>
  <r>
    <x v="338"/>
    <s v="Копеечка"/>
    <x v="3"/>
    <x v="2"/>
    <x v="16"/>
    <n v="890"/>
    <n v="82"/>
    <x v="1279"/>
  </r>
  <r>
    <x v="338"/>
    <s v="Соседи"/>
    <x v="3"/>
    <x v="0"/>
    <x v="10"/>
    <n v="1230"/>
    <n v="92"/>
    <x v="1094"/>
  </r>
  <r>
    <x v="338"/>
    <s v="Копеечка"/>
    <x v="3"/>
    <x v="0"/>
    <x v="5"/>
    <n v="930"/>
    <n v="80"/>
    <x v="575"/>
  </r>
  <r>
    <x v="338"/>
    <s v="Копеечка"/>
    <x v="0"/>
    <x v="0"/>
    <x v="0"/>
    <n v="1320"/>
    <n v="70"/>
    <x v="918"/>
  </r>
  <r>
    <x v="338"/>
    <s v="Виталюр"/>
    <x v="4"/>
    <x v="1"/>
    <x v="18"/>
    <n v="650"/>
    <n v="48"/>
    <x v="447"/>
  </r>
  <r>
    <x v="338"/>
    <s v="Евроопт"/>
    <x v="4"/>
    <x v="4"/>
    <x v="21"/>
    <n v="3205"/>
    <n v="70"/>
    <x v="1085"/>
  </r>
  <r>
    <x v="338"/>
    <s v="Евроопт"/>
    <x v="4"/>
    <x v="4"/>
    <x v="7"/>
    <n v="1760"/>
    <n v="29"/>
    <x v="1280"/>
  </r>
  <r>
    <x v="338"/>
    <s v="Евроопт"/>
    <x v="1"/>
    <x v="2"/>
    <x v="8"/>
    <n v="460"/>
    <n v="96"/>
    <x v="797"/>
  </r>
  <r>
    <x v="338"/>
    <s v="Соседи"/>
    <x v="1"/>
    <x v="0"/>
    <x v="17"/>
    <n v="2400"/>
    <n v="96"/>
    <x v="1281"/>
  </r>
  <r>
    <x v="338"/>
    <s v="Виталюр"/>
    <x v="5"/>
    <x v="2"/>
    <x v="4"/>
    <n v="450"/>
    <n v="7"/>
    <x v="1078"/>
  </r>
  <r>
    <x v="338"/>
    <s v="Копеечка"/>
    <x v="6"/>
    <x v="0"/>
    <x v="17"/>
    <n v="2400"/>
    <n v="32"/>
    <x v="1282"/>
  </r>
  <r>
    <x v="339"/>
    <m/>
    <x v="2"/>
    <x v="3"/>
    <x v="3"/>
    <m/>
    <m/>
    <x v="1283"/>
  </r>
  <r>
    <x v="340"/>
    <s v="Виталюр"/>
    <x v="3"/>
    <x v="1"/>
    <x v="23"/>
    <n v="705"/>
    <n v="26"/>
    <x v="1048"/>
  </r>
  <r>
    <x v="340"/>
    <s v="Виталюр"/>
    <x v="3"/>
    <x v="2"/>
    <x v="9"/>
    <n v="690"/>
    <n v="21"/>
    <x v="1284"/>
  </r>
  <r>
    <x v="340"/>
    <s v="Виталюр"/>
    <x v="3"/>
    <x v="0"/>
    <x v="17"/>
    <n v="2400"/>
    <n v="83"/>
    <x v="1285"/>
  </r>
  <r>
    <x v="340"/>
    <s v="Соседи"/>
    <x v="3"/>
    <x v="4"/>
    <x v="21"/>
    <n v="3205"/>
    <n v="55"/>
    <x v="1286"/>
  </r>
  <r>
    <x v="340"/>
    <s v="Соседи"/>
    <x v="0"/>
    <x v="2"/>
    <x v="2"/>
    <n v="325"/>
    <n v="85"/>
    <x v="762"/>
  </r>
  <r>
    <x v="340"/>
    <s v="Соседи"/>
    <x v="1"/>
    <x v="0"/>
    <x v="5"/>
    <n v="930"/>
    <n v="40"/>
    <x v="372"/>
  </r>
  <r>
    <x v="340"/>
    <s v="Копеечка"/>
    <x v="1"/>
    <x v="0"/>
    <x v="17"/>
    <n v="2400"/>
    <n v="94"/>
    <x v="1287"/>
  </r>
  <r>
    <x v="340"/>
    <s v="Копеечка"/>
    <x v="5"/>
    <x v="2"/>
    <x v="16"/>
    <n v="890"/>
    <n v="100"/>
    <x v="604"/>
  </r>
  <r>
    <x v="340"/>
    <s v="Соседи"/>
    <x v="6"/>
    <x v="1"/>
    <x v="19"/>
    <n v="540"/>
    <n v="53"/>
    <x v="1288"/>
  </r>
  <r>
    <x v="340"/>
    <s v="Копеечка"/>
    <x v="6"/>
    <x v="1"/>
    <x v="23"/>
    <n v="705"/>
    <n v="29"/>
    <x v="799"/>
  </r>
  <r>
    <x v="340"/>
    <s v="Виталюр"/>
    <x v="6"/>
    <x v="0"/>
    <x v="0"/>
    <n v="1320"/>
    <n v="42"/>
    <x v="1140"/>
  </r>
  <r>
    <x v="340"/>
    <s v="Евроопт"/>
    <x v="6"/>
    <x v="4"/>
    <x v="14"/>
    <n v="1670"/>
    <n v="76"/>
    <x v="933"/>
  </r>
  <r>
    <x v="341"/>
    <m/>
    <x v="2"/>
    <x v="3"/>
    <x v="3"/>
    <m/>
    <m/>
    <x v="1289"/>
  </r>
  <r>
    <x v="342"/>
    <s v="Копеечка"/>
    <x v="3"/>
    <x v="2"/>
    <x v="16"/>
    <n v="890"/>
    <n v="28"/>
    <x v="546"/>
  </r>
  <r>
    <x v="342"/>
    <s v="Копеечка"/>
    <x v="3"/>
    <x v="4"/>
    <x v="13"/>
    <n v="1505"/>
    <n v="75"/>
    <x v="592"/>
  </r>
  <r>
    <x v="342"/>
    <s v="Копеечка"/>
    <x v="0"/>
    <x v="2"/>
    <x v="2"/>
    <n v="325"/>
    <n v="71"/>
    <x v="1290"/>
  </r>
  <r>
    <x v="342"/>
    <s v="Соседи"/>
    <x v="4"/>
    <x v="2"/>
    <x v="16"/>
    <n v="890"/>
    <n v="26"/>
    <x v="29"/>
  </r>
  <r>
    <x v="342"/>
    <s v="Евроопт"/>
    <x v="4"/>
    <x v="4"/>
    <x v="14"/>
    <n v="1670"/>
    <n v="82"/>
    <x v="1291"/>
  </r>
  <r>
    <x v="342"/>
    <s v="Виталюр"/>
    <x v="4"/>
    <x v="4"/>
    <x v="15"/>
    <n v="2460"/>
    <n v="74"/>
    <x v="1292"/>
  </r>
  <r>
    <x v="342"/>
    <s v="Копеечка"/>
    <x v="1"/>
    <x v="2"/>
    <x v="9"/>
    <n v="690"/>
    <n v="66"/>
    <x v="744"/>
  </r>
  <r>
    <x v="342"/>
    <s v="Соседи"/>
    <x v="1"/>
    <x v="4"/>
    <x v="11"/>
    <n v="2970"/>
    <n v="68"/>
    <x v="1036"/>
  </r>
  <r>
    <x v="342"/>
    <s v="Копеечка"/>
    <x v="5"/>
    <x v="1"/>
    <x v="19"/>
    <n v="540"/>
    <n v="23"/>
    <x v="1216"/>
  </r>
  <r>
    <x v="342"/>
    <s v="Евроопт"/>
    <x v="5"/>
    <x v="2"/>
    <x v="4"/>
    <n v="450"/>
    <n v="62"/>
    <x v="1046"/>
  </r>
  <r>
    <x v="342"/>
    <s v="Копеечка"/>
    <x v="5"/>
    <x v="0"/>
    <x v="0"/>
    <n v="1320"/>
    <n v="27"/>
    <x v="577"/>
  </r>
  <r>
    <x v="342"/>
    <s v="Соседи"/>
    <x v="5"/>
    <x v="4"/>
    <x v="13"/>
    <n v="1505"/>
    <n v="67"/>
    <x v="1065"/>
  </r>
  <r>
    <x v="342"/>
    <s v="Евроопт"/>
    <x v="6"/>
    <x v="1"/>
    <x v="18"/>
    <n v="650"/>
    <n v="51"/>
    <x v="516"/>
  </r>
  <r>
    <x v="343"/>
    <m/>
    <x v="2"/>
    <x v="3"/>
    <x v="3"/>
    <m/>
    <m/>
    <x v="1293"/>
  </r>
  <r>
    <x v="344"/>
    <s v="Соседи"/>
    <x v="3"/>
    <x v="1"/>
    <x v="1"/>
    <n v="1380"/>
    <n v="32"/>
    <x v="797"/>
  </r>
  <r>
    <x v="344"/>
    <s v="Соседи"/>
    <x v="3"/>
    <x v="4"/>
    <x v="11"/>
    <n v="2970"/>
    <n v="95"/>
    <x v="1189"/>
  </r>
  <r>
    <x v="344"/>
    <s v="Копеечка"/>
    <x v="0"/>
    <x v="1"/>
    <x v="6"/>
    <n v="640"/>
    <n v="56"/>
    <x v="1294"/>
  </r>
  <r>
    <x v="344"/>
    <s v="Соседи"/>
    <x v="0"/>
    <x v="1"/>
    <x v="19"/>
    <n v="540"/>
    <n v="58"/>
    <x v="1295"/>
  </r>
  <r>
    <x v="344"/>
    <s v="Виталюр"/>
    <x v="0"/>
    <x v="0"/>
    <x v="17"/>
    <n v="2400"/>
    <n v="17"/>
    <x v="1196"/>
  </r>
  <r>
    <x v="344"/>
    <s v="Евроопт"/>
    <x v="1"/>
    <x v="0"/>
    <x v="24"/>
    <n v="2540"/>
    <n v="66"/>
    <x v="1296"/>
  </r>
  <r>
    <x v="344"/>
    <s v="Копеечка"/>
    <x v="5"/>
    <x v="2"/>
    <x v="8"/>
    <n v="460"/>
    <n v="21"/>
    <x v="75"/>
  </r>
  <r>
    <x v="344"/>
    <s v="Евроопт"/>
    <x v="5"/>
    <x v="2"/>
    <x v="9"/>
    <n v="690"/>
    <n v="39"/>
    <x v="1113"/>
  </r>
  <r>
    <x v="344"/>
    <s v="Евроопт"/>
    <x v="6"/>
    <x v="0"/>
    <x v="24"/>
    <n v="2540"/>
    <n v="57"/>
    <x v="1002"/>
  </r>
  <r>
    <x v="345"/>
    <m/>
    <x v="2"/>
    <x v="3"/>
    <x v="3"/>
    <m/>
    <m/>
    <x v="1297"/>
  </r>
  <r>
    <x v="346"/>
    <s v="Виталюр"/>
    <x v="3"/>
    <x v="0"/>
    <x v="17"/>
    <n v="2400"/>
    <n v="89"/>
    <x v="507"/>
  </r>
  <r>
    <x v="346"/>
    <s v="Копеечка"/>
    <x v="3"/>
    <x v="4"/>
    <x v="13"/>
    <n v="1505"/>
    <n v="33"/>
    <x v="1100"/>
  </r>
  <r>
    <x v="346"/>
    <s v="Евроопт"/>
    <x v="4"/>
    <x v="2"/>
    <x v="8"/>
    <n v="460"/>
    <n v="88"/>
    <x v="539"/>
  </r>
  <r>
    <x v="346"/>
    <s v="Соседи"/>
    <x v="4"/>
    <x v="2"/>
    <x v="12"/>
    <n v="715"/>
    <n v="69"/>
    <x v="1298"/>
  </r>
  <r>
    <x v="346"/>
    <s v="Виталюр"/>
    <x v="4"/>
    <x v="0"/>
    <x v="10"/>
    <n v="1230"/>
    <n v="90"/>
    <x v="415"/>
  </r>
  <r>
    <x v="346"/>
    <s v="Копеечка"/>
    <x v="1"/>
    <x v="1"/>
    <x v="1"/>
    <n v="1380"/>
    <n v="58"/>
    <x v="618"/>
  </r>
  <r>
    <x v="346"/>
    <s v="Копеечка"/>
    <x v="1"/>
    <x v="1"/>
    <x v="1"/>
    <n v="1380"/>
    <n v="66"/>
    <x v="1299"/>
  </r>
  <r>
    <x v="346"/>
    <s v="Соседи"/>
    <x v="1"/>
    <x v="1"/>
    <x v="18"/>
    <n v="650"/>
    <n v="8"/>
    <x v="672"/>
  </r>
  <r>
    <x v="346"/>
    <s v="Виталюр"/>
    <x v="1"/>
    <x v="4"/>
    <x v="21"/>
    <n v="3205"/>
    <n v="85"/>
    <x v="299"/>
  </r>
  <r>
    <x v="346"/>
    <s v="Виталюр"/>
    <x v="5"/>
    <x v="1"/>
    <x v="18"/>
    <n v="650"/>
    <n v="31"/>
    <x v="306"/>
  </r>
  <r>
    <x v="346"/>
    <s v="Соседи"/>
    <x v="6"/>
    <x v="4"/>
    <x v="11"/>
    <n v="2970"/>
    <n v="47"/>
    <x v="1129"/>
  </r>
  <r>
    <x v="347"/>
    <m/>
    <x v="2"/>
    <x v="3"/>
    <x v="3"/>
    <m/>
    <m/>
    <x v="1300"/>
  </r>
  <r>
    <x v="348"/>
    <s v="Виталюр"/>
    <x v="3"/>
    <x v="2"/>
    <x v="9"/>
    <n v="690"/>
    <n v="21"/>
    <x v="1284"/>
  </r>
  <r>
    <x v="348"/>
    <s v="Виталюр"/>
    <x v="3"/>
    <x v="0"/>
    <x v="22"/>
    <n v="1420"/>
    <n v="51"/>
    <x v="571"/>
  </r>
  <r>
    <x v="348"/>
    <s v="Соседи"/>
    <x v="3"/>
    <x v="0"/>
    <x v="17"/>
    <n v="2400"/>
    <n v="40"/>
    <x v="1301"/>
  </r>
  <r>
    <x v="348"/>
    <s v="Евроопт"/>
    <x v="3"/>
    <x v="0"/>
    <x v="22"/>
    <n v="1420"/>
    <n v="76"/>
    <x v="56"/>
  </r>
  <r>
    <x v="348"/>
    <s v="Евроопт"/>
    <x v="4"/>
    <x v="2"/>
    <x v="12"/>
    <n v="715"/>
    <n v="7"/>
    <x v="839"/>
  </r>
  <r>
    <x v="348"/>
    <s v="Копеечка"/>
    <x v="1"/>
    <x v="1"/>
    <x v="20"/>
    <n v="650"/>
    <n v="75"/>
    <x v="359"/>
  </r>
  <r>
    <x v="348"/>
    <s v="Евроопт"/>
    <x v="1"/>
    <x v="1"/>
    <x v="19"/>
    <n v="540"/>
    <n v="5"/>
    <x v="412"/>
  </r>
  <r>
    <x v="348"/>
    <s v="Соседи"/>
    <x v="1"/>
    <x v="2"/>
    <x v="4"/>
    <n v="450"/>
    <n v="56"/>
    <x v="715"/>
  </r>
  <r>
    <x v="348"/>
    <s v="Виталюр"/>
    <x v="5"/>
    <x v="1"/>
    <x v="18"/>
    <n v="650"/>
    <n v="23"/>
    <x v="522"/>
  </r>
  <r>
    <x v="348"/>
    <s v="Виталюр"/>
    <x v="5"/>
    <x v="0"/>
    <x v="22"/>
    <n v="1420"/>
    <n v="7"/>
    <x v="1302"/>
  </r>
  <r>
    <x v="348"/>
    <s v="Соседи"/>
    <x v="6"/>
    <x v="2"/>
    <x v="2"/>
    <n v="325"/>
    <n v="61"/>
    <x v="1016"/>
  </r>
  <r>
    <x v="349"/>
    <m/>
    <x v="2"/>
    <x v="3"/>
    <x v="3"/>
    <m/>
    <m/>
    <x v="1303"/>
  </r>
  <r>
    <x v="350"/>
    <s v="Виталюр"/>
    <x v="3"/>
    <x v="1"/>
    <x v="6"/>
    <n v="640"/>
    <n v="17"/>
    <x v="460"/>
  </r>
  <r>
    <x v="350"/>
    <s v="Соседи"/>
    <x v="3"/>
    <x v="1"/>
    <x v="23"/>
    <n v="705"/>
    <n v="40"/>
    <x v="1121"/>
  </r>
  <r>
    <x v="350"/>
    <s v="Копеечка"/>
    <x v="3"/>
    <x v="2"/>
    <x v="12"/>
    <n v="715"/>
    <n v="58"/>
    <x v="1304"/>
  </r>
  <r>
    <x v="350"/>
    <s v="Соседи"/>
    <x v="0"/>
    <x v="1"/>
    <x v="19"/>
    <n v="540"/>
    <n v="11"/>
    <x v="53"/>
  </r>
  <r>
    <x v="350"/>
    <s v="Соседи"/>
    <x v="0"/>
    <x v="0"/>
    <x v="24"/>
    <n v="2540"/>
    <n v="21"/>
    <x v="658"/>
  </r>
  <r>
    <x v="350"/>
    <s v="Соседи"/>
    <x v="1"/>
    <x v="2"/>
    <x v="4"/>
    <n v="450"/>
    <n v="66"/>
    <x v="227"/>
  </r>
  <r>
    <x v="350"/>
    <s v="Евроопт"/>
    <x v="1"/>
    <x v="0"/>
    <x v="5"/>
    <n v="930"/>
    <n v="96"/>
    <x v="1305"/>
  </r>
  <r>
    <x v="350"/>
    <s v="Евроопт"/>
    <x v="6"/>
    <x v="2"/>
    <x v="4"/>
    <n v="450"/>
    <n v="48"/>
    <x v="387"/>
  </r>
  <r>
    <x v="351"/>
    <m/>
    <x v="2"/>
    <x v="3"/>
    <x v="3"/>
    <m/>
    <m/>
    <x v="1306"/>
  </r>
  <r>
    <x v="352"/>
    <s v="Виталюр"/>
    <x v="3"/>
    <x v="1"/>
    <x v="6"/>
    <n v="640"/>
    <n v="72"/>
    <x v="6"/>
  </r>
  <r>
    <x v="352"/>
    <s v="Виталюр"/>
    <x v="3"/>
    <x v="1"/>
    <x v="19"/>
    <n v="540"/>
    <n v="51"/>
    <x v="1307"/>
  </r>
  <r>
    <x v="352"/>
    <s v="Евроопт"/>
    <x v="0"/>
    <x v="2"/>
    <x v="16"/>
    <n v="890"/>
    <n v="38"/>
    <x v="636"/>
  </r>
  <r>
    <x v="352"/>
    <s v="Соседи"/>
    <x v="4"/>
    <x v="0"/>
    <x v="22"/>
    <n v="1420"/>
    <n v="91"/>
    <x v="1308"/>
  </r>
  <r>
    <x v="352"/>
    <s v="Соседи"/>
    <x v="6"/>
    <x v="1"/>
    <x v="19"/>
    <n v="540"/>
    <n v="56"/>
    <x v="1309"/>
  </r>
  <r>
    <x v="352"/>
    <s v="Виталюр"/>
    <x v="6"/>
    <x v="1"/>
    <x v="1"/>
    <n v="1380"/>
    <n v="53"/>
    <x v="734"/>
  </r>
  <r>
    <x v="352"/>
    <s v="Виталюр"/>
    <x v="6"/>
    <x v="2"/>
    <x v="16"/>
    <n v="890"/>
    <n v="67"/>
    <x v="1123"/>
  </r>
  <r>
    <x v="352"/>
    <s v="Соседи"/>
    <x v="6"/>
    <x v="4"/>
    <x v="11"/>
    <n v="2970"/>
    <n v="29"/>
    <x v="315"/>
  </r>
  <r>
    <x v="353"/>
    <m/>
    <x v="2"/>
    <x v="3"/>
    <x v="3"/>
    <m/>
    <m/>
    <x v="1310"/>
  </r>
  <r>
    <x v="354"/>
    <s v="Копеечка"/>
    <x v="0"/>
    <x v="0"/>
    <x v="10"/>
    <n v="1230"/>
    <n v="93"/>
    <x v="1311"/>
  </r>
  <r>
    <x v="354"/>
    <s v="Виталюр"/>
    <x v="1"/>
    <x v="2"/>
    <x v="16"/>
    <n v="890"/>
    <n v="26"/>
    <x v="29"/>
  </r>
  <r>
    <x v="354"/>
    <s v="Копеечка"/>
    <x v="1"/>
    <x v="0"/>
    <x v="24"/>
    <n v="2540"/>
    <n v="97"/>
    <x v="1003"/>
  </r>
  <r>
    <x v="354"/>
    <s v="Евроопт"/>
    <x v="1"/>
    <x v="0"/>
    <x v="22"/>
    <n v="1420"/>
    <n v="45"/>
    <x v="1312"/>
  </r>
  <r>
    <x v="354"/>
    <s v="Евроопт"/>
    <x v="5"/>
    <x v="1"/>
    <x v="18"/>
    <n v="650"/>
    <n v="30"/>
    <x v="469"/>
  </r>
  <r>
    <x v="354"/>
    <s v="Копеечка"/>
    <x v="6"/>
    <x v="4"/>
    <x v="15"/>
    <n v="2460"/>
    <n v="84"/>
    <x v="1313"/>
  </r>
  <r>
    <x v="355"/>
    <m/>
    <x v="2"/>
    <x v="3"/>
    <x v="3"/>
    <m/>
    <m/>
    <x v="1314"/>
  </r>
  <r>
    <x v="356"/>
    <s v="Соседи"/>
    <x v="3"/>
    <x v="4"/>
    <x v="21"/>
    <n v="3205"/>
    <n v="82"/>
    <x v="231"/>
  </r>
  <r>
    <x v="356"/>
    <s v="Соседи"/>
    <x v="4"/>
    <x v="1"/>
    <x v="18"/>
    <n v="650"/>
    <n v="9"/>
    <x v="683"/>
  </r>
  <r>
    <x v="356"/>
    <s v="Виталюр"/>
    <x v="1"/>
    <x v="0"/>
    <x v="10"/>
    <n v="1230"/>
    <n v="36"/>
    <x v="1044"/>
  </r>
  <r>
    <x v="356"/>
    <s v="Евроопт"/>
    <x v="5"/>
    <x v="1"/>
    <x v="20"/>
    <n v="650"/>
    <n v="15"/>
    <x v="857"/>
  </r>
  <r>
    <x v="356"/>
    <s v="Виталюр"/>
    <x v="5"/>
    <x v="0"/>
    <x v="22"/>
    <n v="1420"/>
    <n v="54"/>
    <x v="88"/>
  </r>
  <r>
    <x v="356"/>
    <s v="Копеечка"/>
    <x v="6"/>
    <x v="2"/>
    <x v="8"/>
    <n v="460"/>
    <n v="8"/>
    <x v="1006"/>
  </r>
  <r>
    <x v="357"/>
    <m/>
    <x v="2"/>
    <x v="3"/>
    <x v="3"/>
    <m/>
    <m/>
    <x v="1315"/>
  </r>
  <r>
    <x v="358"/>
    <s v="Копеечка"/>
    <x v="3"/>
    <x v="2"/>
    <x v="9"/>
    <n v="690"/>
    <n v="68"/>
    <x v="180"/>
  </r>
  <r>
    <x v="358"/>
    <s v="Евроопт"/>
    <x v="3"/>
    <x v="0"/>
    <x v="24"/>
    <n v="2540"/>
    <n v="81"/>
    <x v="1316"/>
  </r>
  <r>
    <x v="358"/>
    <s v="Копеечка"/>
    <x v="4"/>
    <x v="1"/>
    <x v="20"/>
    <n v="650"/>
    <n v="84"/>
    <x v="747"/>
  </r>
  <r>
    <x v="358"/>
    <s v="Копеечка"/>
    <x v="4"/>
    <x v="0"/>
    <x v="17"/>
    <n v="2400"/>
    <n v="54"/>
    <x v="1317"/>
  </r>
  <r>
    <x v="358"/>
    <s v="Евроопт"/>
    <x v="4"/>
    <x v="0"/>
    <x v="10"/>
    <n v="1230"/>
    <n v="27"/>
    <x v="1318"/>
  </r>
  <r>
    <x v="358"/>
    <s v="Соседи"/>
    <x v="1"/>
    <x v="1"/>
    <x v="23"/>
    <n v="705"/>
    <n v="85"/>
    <x v="1319"/>
  </r>
  <r>
    <x v="358"/>
    <s v="Соседи"/>
    <x v="1"/>
    <x v="4"/>
    <x v="21"/>
    <n v="3205"/>
    <n v="41"/>
    <x v="662"/>
  </r>
  <r>
    <x v="358"/>
    <s v="Копеечка"/>
    <x v="1"/>
    <x v="4"/>
    <x v="11"/>
    <n v="2970"/>
    <n v="8"/>
    <x v="1117"/>
  </r>
  <r>
    <x v="358"/>
    <s v="Копеечка"/>
    <x v="5"/>
    <x v="2"/>
    <x v="4"/>
    <n v="450"/>
    <n v="86"/>
    <x v="984"/>
  </r>
  <r>
    <x v="359"/>
    <m/>
    <x v="2"/>
    <x v="3"/>
    <x v="3"/>
    <m/>
    <m/>
    <x v="1320"/>
  </r>
  <r>
    <x v="360"/>
    <s v="Соседи"/>
    <x v="3"/>
    <x v="2"/>
    <x v="2"/>
    <n v="325"/>
    <n v="99"/>
    <x v="807"/>
  </r>
  <r>
    <x v="360"/>
    <s v="Соседи"/>
    <x v="0"/>
    <x v="0"/>
    <x v="17"/>
    <n v="2400"/>
    <n v="91"/>
    <x v="113"/>
  </r>
  <r>
    <x v="360"/>
    <s v="Евроопт"/>
    <x v="0"/>
    <x v="4"/>
    <x v="13"/>
    <n v="1505"/>
    <n v="86"/>
    <x v="1321"/>
  </r>
  <r>
    <x v="360"/>
    <s v="Евроопт"/>
    <x v="4"/>
    <x v="1"/>
    <x v="23"/>
    <n v="705"/>
    <n v="25"/>
    <x v="1000"/>
  </r>
  <r>
    <x v="360"/>
    <s v="Соседи"/>
    <x v="4"/>
    <x v="2"/>
    <x v="16"/>
    <n v="890"/>
    <n v="63"/>
    <x v="1322"/>
  </r>
  <r>
    <x v="360"/>
    <s v="Копеечка"/>
    <x v="1"/>
    <x v="2"/>
    <x v="2"/>
    <n v="325"/>
    <n v="18"/>
    <x v="683"/>
  </r>
  <r>
    <x v="360"/>
    <s v="Соседи"/>
    <x v="1"/>
    <x v="2"/>
    <x v="4"/>
    <n v="450"/>
    <n v="56"/>
    <x v="715"/>
  </r>
  <r>
    <x v="360"/>
    <s v="Соседи"/>
    <x v="1"/>
    <x v="0"/>
    <x v="5"/>
    <n v="930"/>
    <n v="30"/>
    <x v="1046"/>
  </r>
  <r>
    <x v="360"/>
    <s v="Соседи"/>
    <x v="1"/>
    <x v="4"/>
    <x v="7"/>
    <n v="1760"/>
    <n v="25"/>
    <x v="1323"/>
  </r>
  <r>
    <x v="360"/>
    <s v="Виталюр"/>
    <x v="5"/>
    <x v="2"/>
    <x v="2"/>
    <n v="325"/>
    <n v="26"/>
    <x v="375"/>
  </r>
  <r>
    <x v="360"/>
    <s v="Виталюр"/>
    <x v="6"/>
    <x v="4"/>
    <x v="15"/>
    <n v="2460"/>
    <n v="22"/>
    <x v="142"/>
  </r>
  <r>
    <x v="361"/>
    <m/>
    <x v="2"/>
    <x v="3"/>
    <x v="3"/>
    <m/>
    <m/>
    <x v="1324"/>
  </r>
  <r>
    <x v="362"/>
    <s v="Соседи"/>
    <x v="3"/>
    <x v="1"/>
    <x v="20"/>
    <n v="650"/>
    <n v="33"/>
    <x v="360"/>
  </r>
  <r>
    <x v="362"/>
    <s v="Копеечка"/>
    <x v="3"/>
    <x v="2"/>
    <x v="2"/>
    <n v="325"/>
    <n v="31"/>
    <x v="558"/>
  </r>
  <r>
    <x v="362"/>
    <s v="Копеечка"/>
    <x v="3"/>
    <x v="0"/>
    <x v="22"/>
    <n v="1420"/>
    <n v="19"/>
    <x v="951"/>
  </r>
  <r>
    <x v="362"/>
    <s v="Соседи"/>
    <x v="4"/>
    <x v="0"/>
    <x v="22"/>
    <n v="1420"/>
    <n v="40"/>
    <x v="963"/>
  </r>
  <r>
    <x v="362"/>
    <s v="Виталюр"/>
    <x v="5"/>
    <x v="2"/>
    <x v="8"/>
    <n v="460"/>
    <n v="36"/>
    <x v="160"/>
  </r>
  <r>
    <x v="363"/>
    <m/>
    <x v="2"/>
    <x v="3"/>
    <x v="3"/>
    <m/>
    <m/>
    <x v="1325"/>
  </r>
  <r>
    <x v="364"/>
    <s v="Соседи"/>
    <x v="3"/>
    <x v="2"/>
    <x v="8"/>
    <n v="460"/>
    <n v="70"/>
    <x v="1326"/>
  </r>
  <r>
    <x v="364"/>
    <s v="Евроопт"/>
    <x v="3"/>
    <x v="0"/>
    <x v="10"/>
    <n v="1230"/>
    <n v="94"/>
    <x v="732"/>
  </r>
  <r>
    <x v="364"/>
    <s v="Евроопт"/>
    <x v="4"/>
    <x v="4"/>
    <x v="14"/>
    <n v="1670"/>
    <n v="73"/>
    <x v="1327"/>
  </r>
  <r>
    <x v="364"/>
    <s v="Соседи"/>
    <x v="1"/>
    <x v="0"/>
    <x v="24"/>
    <n v="2540"/>
    <n v="92"/>
    <x v="1328"/>
  </r>
  <r>
    <x v="364"/>
    <s v="Евроопт"/>
    <x v="1"/>
    <x v="4"/>
    <x v="21"/>
    <n v="3205"/>
    <n v="57"/>
    <x v="1080"/>
  </r>
  <r>
    <x v="364"/>
    <s v="Евроопт"/>
    <x v="5"/>
    <x v="1"/>
    <x v="20"/>
    <n v="650"/>
    <n v="31"/>
    <x v="306"/>
  </r>
  <r>
    <x v="364"/>
    <s v="Евроопт"/>
    <x v="5"/>
    <x v="0"/>
    <x v="5"/>
    <n v="930"/>
    <n v="47"/>
    <x v="713"/>
  </r>
  <r>
    <x v="364"/>
    <s v="Виталюр"/>
    <x v="5"/>
    <x v="0"/>
    <x v="10"/>
    <n v="1230"/>
    <n v="17"/>
    <x v="1329"/>
  </r>
  <r>
    <x v="364"/>
    <s v="Виталюр"/>
    <x v="6"/>
    <x v="2"/>
    <x v="2"/>
    <n v="325"/>
    <n v="15"/>
    <x v="1330"/>
  </r>
  <r>
    <x v="365"/>
    <m/>
    <x v="2"/>
    <x v="3"/>
    <x v="3"/>
    <m/>
    <m/>
    <x v="1331"/>
  </r>
  <r>
    <x v="366"/>
    <s v="Соседи"/>
    <x v="3"/>
    <x v="1"/>
    <x v="1"/>
    <n v="1380"/>
    <n v="68"/>
    <x v="721"/>
  </r>
  <r>
    <x v="366"/>
    <s v="Соседи"/>
    <x v="3"/>
    <x v="2"/>
    <x v="16"/>
    <n v="890"/>
    <n v="26"/>
    <x v="29"/>
  </r>
  <r>
    <x v="366"/>
    <s v="Евроопт"/>
    <x v="3"/>
    <x v="0"/>
    <x v="10"/>
    <n v="1230"/>
    <n v="37"/>
    <x v="1332"/>
  </r>
  <r>
    <x v="366"/>
    <s v="Копеечка"/>
    <x v="3"/>
    <x v="4"/>
    <x v="11"/>
    <n v="2970"/>
    <n v="16"/>
    <x v="413"/>
  </r>
  <r>
    <x v="366"/>
    <s v="Евроопт"/>
    <x v="3"/>
    <x v="4"/>
    <x v="13"/>
    <n v="1505"/>
    <n v="78"/>
    <x v="702"/>
  </r>
  <r>
    <x v="366"/>
    <s v="Евроопт"/>
    <x v="0"/>
    <x v="2"/>
    <x v="16"/>
    <n v="890"/>
    <n v="86"/>
    <x v="771"/>
  </r>
  <r>
    <x v="366"/>
    <s v="Копеечка"/>
    <x v="0"/>
    <x v="4"/>
    <x v="11"/>
    <n v="2970"/>
    <n v="97"/>
    <x v="1333"/>
  </r>
  <r>
    <x v="366"/>
    <s v="Соседи"/>
    <x v="0"/>
    <x v="4"/>
    <x v="11"/>
    <n v="2970"/>
    <n v="87"/>
    <x v="1334"/>
  </r>
  <r>
    <x v="366"/>
    <s v="Соседи"/>
    <x v="4"/>
    <x v="4"/>
    <x v="11"/>
    <n v="2970"/>
    <n v="86"/>
    <x v="1335"/>
  </r>
  <r>
    <x v="366"/>
    <s v="Евроопт"/>
    <x v="5"/>
    <x v="1"/>
    <x v="6"/>
    <n v="640"/>
    <n v="48"/>
    <x v="1336"/>
  </r>
  <r>
    <x v="367"/>
    <m/>
    <x v="2"/>
    <x v="3"/>
    <x v="3"/>
    <m/>
    <m/>
    <x v="1337"/>
  </r>
  <r>
    <x v="368"/>
    <s v="Соседи"/>
    <x v="3"/>
    <x v="2"/>
    <x v="9"/>
    <n v="690"/>
    <n v="61"/>
    <x v="941"/>
  </r>
  <r>
    <x v="368"/>
    <s v="Копеечка"/>
    <x v="3"/>
    <x v="0"/>
    <x v="24"/>
    <n v="2540"/>
    <n v="56"/>
    <x v="127"/>
  </r>
  <r>
    <x v="368"/>
    <s v="Виталюр"/>
    <x v="3"/>
    <x v="0"/>
    <x v="10"/>
    <n v="1230"/>
    <n v="20"/>
    <x v="864"/>
  </r>
  <r>
    <x v="368"/>
    <s v="Евроопт"/>
    <x v="0"/>
    <x v="2"/>
    <x v="12"/>
    <n v="715"/>
    <n v="70"/>
    <x v="1213"/>
  </r>
  <r>
    <x v="368"/>
    <s v="Виталюр"/>
    <x v="0"/>
    <x v="2"/>
    <x v="8"/>
    <n v="460"/>
    <n v="90"/>
    <x v="356"/>
  </r>
  <r>
    <x v="368"/>
    <s v="Виталюр"/>
    <x v="0"/>
    <x v="0"/>
    <x v="5"/>
    <n v="930"/>
    <n v="11"/>
    <x v="1338"/>
  </r>
  <r>
    <x v="368"/>
    <s v="Соседи"/>
    <x v="0"/>
    <x v="4"/>
    <x v="13"/>
    <n v="1505"/>
    <n v="52"/>
    <x v="1339"/>
  </r>
  <r>
    <x v="368"/>
    <s v="Копеечка"/>
    <x v="1"/>
    <x v="2"/>
    <x v="2"/>
    <n v="325"/>
    <n v="87"/>
    <x v="1340"/>
  </r>
  <r>
    <x v="368"/>
    <s v="Копеечка"/>
    <x v="5"/>
    <x v="2"/>
    <x v="12"/>
    <n v="715"/>
    <n v="82"/>
    <x v="842"/>
  </r>
  <r>
    <x v="368"/>
    <s v="Копеечка"/>
    <x v="6"/>
    <x v="0"/>
    <x v="10"/>
    <n v="1230"/>
    <n v="81"/>
    <x v="373"/>
  </r>
  <r>
    <x v="369"/>
    <m/>
    <x v="2"/>
    <x v="3"/>
    <x v="3"/>
    <m/>
    <m/>
    <x v="1341"/>
  </r>
  <r>
    <x v="370"/>
    <s v="Евроопт"/>
    <x v="3"/>
    <x v="1"/>
    <x v="19"/>
    <n v="540"/>
    <n v="56"/>
    <x v="1309"/>
  </r>
  <r>
    <x v="370"/>
    <s v="Виталюр"/>
    <x v="3"/>
    <x v="0"/>
    <x v="22"/>
    <n v="1420"/>
    <n v="52"/>
    <x v="1342"/>
  </r>
  <r>
    <x v="370"/>
    <s v="Виталюр"/>
    <x v="3"/>
    <x v="4"/>
    <x v="13"/>
    <n v="1505"/>
    <n v="7"/>
    <x v="1102"/>
  </r>
  <r>
    <x v="370"/>
    <s v="Евроопт"/>
    <x v="3"/>
    <x v="4"/>
    <x v="7"/>
    <n v="1760"/>
    <n v="94"/>
    <x v="1343"/>
  </r>
  <r>
    <x v="370"/>
    <s v="Копеечка"/>
    <x v="0"/>
    <x v="1"/>
    <x v="23"/>
    <n v="705"/>
    <n v="97"/>
    <x v="1344"/>
  </r>
  <r>
    <x v="370"/>
    <s v="Соседи"/>
    <x v="0"/>
    <x v="4"/>
    <x v="13"/>
    <n v="1505"/>
    <n v="45"/>
    <x v="1345"/>
  </r>
  <r>
    <x v="370"/>
    <s v="Виталюр"/>
    <x v="0"/>
    <x v="4"/>
    <x v="15"/>
    <n v="2460"/>
    <n v="73"/>
    <x v="897"/>
  </r>
  <r>
    <x v="370"/>
    <s v="Копеечка"/>
    <x v="1"/>
    <x v="2"/>
    <x v="12"/>
    <n v="715"/>
    <n v="47"/>
    <x v="1346"/>
  </r>
  <r>
    <x v="370"/>
    <s v="Соседи"/>
    <x v="1"/>
    <x v="0"/>
    <x v="24"/>
    <n v="2540"/>
    <n v="32"/>
    <x v="1347"/>
  </r>
  <r>
    <x v="370"/>
    <s v="Соседи"/>
    <x v="5"/>
    <x v="1"/>
    <x v="1"/>
    <n v="1380"/>
    <n v="54"/>
    <x v="991"/>
  </r>
  <r>
    <x v="370"/>
    <s v="Виталюр"/>
    <x v="6"/>
    <x v="2"/>
    <x v="12"/>
    <n v="715"/>
    <n v="69"/>
    <x v="1298"/>
  </r>
  <r>
    <x v="371"/>
    <m/>
    <x v="2"/>
    <x v="3"/>
    <x v="3"/>
    <m/>
    <m/>
    <x v="1348"/>
  </r>
  <r>
    <x v="372"/>
    <s v="Копеечка"/>
    <x v="1"/>
    <x v="1"/>
    <x v="6"/>
    <n v="640"/>
    <n v="34"/>
    <x v="800"/>
  </r>
  <r>
    <x v="372"/>
    <s v="Евроопт"/>
    <x v="6"/>
    <x v="0"/>
    <x v="5"/>
    <n v="930"/>
    <n v="63"/>
    <x v="1349"/>
  </r>
  <r>
    <x v="373"/>
    <m/>
    <x v="2"/>
    <x v="3"/>
    <x v="3"/>
    <m/>
    <m/>
    <x v="1350"/>
  </r>
  <r>
    <x v="374"/>
    <s v="Копеечка"/>
    <x v="0"/>
    <x v="1"/>
    <x v="23"/>
    <n v="705"/>
    <n v="65"/>
    <x v="1351"/>
  </r>
  <r>
    <x v="374"/>
    <s v="Копеечка"/>
    <x v="0"/>
    <x v="2"/>
    <x v="2"/>
    <n v="325"/>
    <n v="46"/>
    <x v="522"/>
  </r>
  <r>
    <x v="374"/>
    <s v="Копеечка"/>
    <x v="4"/>
    <x v="2"/>
    <x v="16"/>
    <n v="890"/>
    <n v="68"/>
    <x v="866"/>
  </r>
  <r>
    <x v="374"/>
    <s v="Соседи"/>
    <x v="1"/>
    <x v="1"/>
    <x v="23"/>
    <n v="705"/>
    <n v="36"/>
    <x v="641"/>
  </r>
  <r>
    <x v="374"/>
    <s v="Соседи"/>
    <x v="1"/>
    <x v="4"/>
    <x v="7"/>
    <n v="1760"/>
    <n v="36"/>
    <x v="203"/>
  </r>
  <r>
    <x v="374"/>
    <s v="Соседи"/>
    <x v="1"/>
    <x v="4"/>
    <x v="11"/>
    <n v="2970"/>
    <n v="76"/>
    <x v="344"/>
  </r>
  <r>
    <x v="374"/>
    <s v="Евроопт"/>
    <x v="5"/>
    <x v="1"/>
    <x v="19"/>
    <n v="540"/>
    <n v="100"/>
    <x v="995"/>
  </r>
  <r>
    <x v="374"/>
    <s v="Соседи"/>
    <x v="5"/>
    <x v="0"/>
    <x v="5"/>
    <n v="930"/>
    <n v="58"/>
    <x v="1352"/>
  </r>
  <r>
    <x v="375"/>
    <m/>
    <x v="2"/>
    <x v="3"/>
    <x v="3"/>
    <m/>
    <m/>
    <x v="1353"/>
  </r>
  <r>
    <x v="376"/>
    <s v="Копеечка"/>
    <x v="3"/>
    <x v="2"/>
    <x v="9"/>
    <n v="690"/>
    <n v="30"/>
    <x v="812"/>
  </r>
  <r>
    <x v="376"/>
    <s v="Евроопт"/>
    <x v="3"/>
    <x v="2"/>
    <x v="4"/>
    <n v="450"/>
    <n v="43"/>
    <x v="1354"/>
  </r>
  <r>
    <x v="376"/>
    <s v="Соседи"/>
    <x v="3"/>
    <x v="0"/>
    <x v="17"/>
    <n v="2400"/>
    <n v="69"/>
    <x v="1355"/>
  </r>
  <r>
    <x v="376"/>
    <s v="Копеечка"/>
    <x v="0"/>
    <x v="1"/>
    <x v="1"/>
    <n v="1380"/>
    <n v="57"/>
    <x v="890"/>
  </r>
  <r>
    <x v="376"/>
    <s v="Копеечка"/>
    <x v="0"/>
    <x v="2"/>
    <x v="4"/>
    <n v="450"/>
    <n v="80"/>
    <x v="770"/>
  </r>
  <r>
    <x v="376"/>
    <s v="Соседи"/>
    <x v="4"/>
    <x v="0"/>
    <x v="17"/>
    <n v="2400"/>
    <n v="45"/>
    <x v="1356"/>
  </r>
  <r>
    <x v="376"/>
    <s v="Евроопт"/>
    <x v="1"/>
    <x v="2"/>
    <x v="12"/>
    <n v="715"/>
    <n v="73"/>
    <x v="211"/>
  </r>
  <r>
    <x v="376"/>
    <s v="Копеечка"/>
    <x v="1"/>
    <x v="0"/>
    <x v="17"/>
    <n v="2400"/>
    <n v="43"/>
    <x v="978"/>
  </r>
  <r>
    <x v="376"/>
    <s v="Соседи"/>
    <x v="5"/>
    <x v="2"/>
    <x v="16"/>
    <n v="890"/>
    <n v="50"/>
    <x v="916"/>
  </r>
  <r>
    <x v="376"/>
    <s v="Копеечка"/>
    <x v="5"/>
    <x v="4"/>
    <x v="11"/>
    <n v="2970"/>
    <n v="95"/>
    <x v="1189"/>
  </r>
  <r>
    <x v="377"/>
    <m/>
    <x v="2"/>
    <x v="3"/>
    <x v="3"/>
    <m/>
    <m/>
    <x v="1357"/>
  </r>
  <r>
    <x v="378"/>
    <s v="Виталюр"/>
    <x v="3"/>
    <x v="1"/>
    <x v="19"/>
    <n v="540"/>
    <n v="68"/>
    <x v="60"/>
  </r>
  <r>
    <x v="378"/>
    <s v="Виталюр"/>
    <x v="3"/>
    <x v="4"/>
    <x v="15"/>
    <n v="2460"/>
    <n v="21"/>
    <x v="930"/>
  </r>
  <r>
    <x v="378"/>
    <s v="Соседи"/>
    <x v="4"/>
    <x v="1"/>
    <x v="19"/>
    <n v="540"/>
    <n v="21"/>
    <x v="286"/>
  </r>
  <r>
    <x v="378"/>
    <s v="Евроопт"/>
    <x v="4"/>
    <x v="1"/>
    <x v="1"/>
    <n v="1380"/>
    <n v="96"/>
    <x v="563"/>
  </r>
  <r>
    <x v="378"/>
    <s v="Виталюр"/>
    <x v="4"/>
    <x v="0"/>
    <x v="22"/>
    <n v="1420"/>
    <n v="66"/>
    <x v="115"/>
  </r>
  <r>
    <x v="378"/>
    <s v="Виталюр"/>
    <x v="4"/>
    <x v="4"/>
    <x v="15"/>
    <n v="2460"/>
    <n v="38"/>
    <x v="485"/>
  </r>
  <r>
    <x v="378"/>
    <s v="Копеечка"/>
    <x v="1"/>
    <x v="0"/>
    <x v="10"/>
    <n v="1230"/>
    <n v="35"/>
    <x v="1358"/>
  </r>
  <r>
    <x v="378"/>
    <s v="Копеечка"/>
    <x v="1"/>
    <x v="4"/>
    <x v="21"/>
    <n v="3205"/>
    <n v="38"/>
    <x v="201"/>
  </r>
  <r>
    <x v="378"/>
    <s v="Евроопт"/>
    <x v="5"/>
    <x v="0"/>
    <x v="17"/>
    <n v="2400"/>
    <n v="88"/>
    <x v="1035"/>
  </r>
  <r>
    <x v="378"/>
    <s v="Соседи"/>
    <x v="5"/>
    <x v="4"/>
    <x v="7"/>
    <n v="1760"/>
    <n v="39"/>
    <x v="1265"/>
  </r>
  <r>
    <x v="378"/>
    <s v="Евроопт"/>
    <x v="6"/>
    <x v="0"/>
    <x v="5"/>
    <n v="930"/>
    <n v="76"/>
    <x v="1136"/>
  </r>
  <r>
    <x v="378"/>
    <s v="Виталюр"/>
    <x v="6"/>
    <x v="0"/>
    <x v="17"/>
    <n v="2400"/>
    <n v="65"/>
    <x v="1359"/>
  </r>
  <r>
    <x v="379"/>
    <m/>
    <x v="2"/>
    <x v="3"/>
    <x v="3"/>
    <m/>
    <m/>
    <x v="1360"/>
  </r>
  <r>
    <x v="380"/>
    <s v="Соседи"/>
    <x v="3"/>
    <x v="2"/>
    <x v="4"/>
    <n v="450"/>
    <n v="43"/>
    <x v="1354"/>
  </r>
  <r>
    <x v="380"/>
    <s v="Евроопт"/>
    <x v="0"/>
    <x v="1"/>
    <x v="23"/>
    <n v="705"/>
    <n v="80"/>
    <x v="1361"/>
  </r>
  <r>
    <x v="380"/>
    <s v="Копеечка"/>
    <x v="0"/>
    <x v="1"/>
    <x v="18"/>
    <n v="650"/>
    <n v="69"/>
    <x v="317"/>
  </r>
  <r>
    <x v="380"/>
    <s v="Виталюр"/>
    <x v="0"/>
    <x v="1"/>
    <x v="6"/>
    <n v="640"/>
    <n v="81"/>
    <x v="1362"/>
  </r>
  <r>
    <x v="380"/>
    <s v="Виталюр"/>
    <x v="0"/>
    <x v="2"/>
    <x v="2"/>
    <n v="325"/>
    <n v="64"/>
    <x v="237"/>
  </r>
  <r>
    <x v="380"/>
    <s v="Евроопт"/>
    <x v="0"/>
    <x v="4"/>
    <x v="14"/>
    <n v="1670"/>
    <n v="100"/>
    <x v="1363"/>
  </r>
  <r>
    <x v="380"/>
    <s v="Евроопт"/>
    <x v="0"/>
    <x v="4"/>
    <x v="11"/>
    <n v="2970"/>
    <n v="12"/>
    <x v="577"/>
  </r>
  <r>
    <x v="380"/>
    <s v="Соседи"/>
    <x v="0"/>
    <x v="4"/>
    <x v="15"/>
    <n v="2460"/>
    <n v="23"/>
    <x v="556"/>
  </r>
  <r>
    <x v="380"/>
    <s v="Соседи"/>
    <x v="4"/>
    <x v="2"/>
    <x v="12"/>
    <n v="715"/>
    <n v="80"/>
    <x v="83"/>
  </r>
  <r>
    <x v="380"/>
    <s v="Евроопт"/>
    <x v="4"/>
    <x v="4"/>
    <x v="11"/>
    <n v="2970"/>
    <n v="47"/>
    <x v="1129"/>
  </r>
  <r>
    <x v="380"/>
    <s v="Соседи"/>
    <x v="1"/>
    <x v="4"/>
    <x v="15"/>
    <n v="2460"/>
    <n v="54"/>
    <x v="1364"/>
  </r>
  <r>
    <x v="380"/>
    <s v="Евроопт"/>
    <x v="5"/>
    <x v="4"/>
    <x v="13"/>
    <n v="1505"/>
    <n v="31"/>
    <x v="374"/>
  </r>
  <r>
    <x v="380"/>
    <s v="Евроопт"/>
    <x v="5"/>
    <x v="4"/>
    <x v="13"/>
    <n v="1505"/>
    <n v="22"/>
    <x v="1250"/>
  </r>
  <r>
    <x v="380"/>
    <s v="Виталюр"/>
    <x v="6"/>
    <x v="2"/>
    <x v="2"/>
    <n v="325"/>
    <n v="77"/>
    <x v="768"/>
  </r>
  <r>
    <x v="381"/>
    <m/>
    <x v="2"/>
    <x v="3"/>
    <x v="3"/>
    <m/>
    <m/>
    <x v="1365"/>
  </r>
  <r>
    <x v="382"/>
    <s v="Виталюр"/>
    <x v="3"/>
    <x v="0"/>
    <x v="0"/>
    <n v="1320"/>
    <n v="31"/>
    <x v="36"/>
  </r>
  <r>
    <x v="382"/>
    <s v="Копеечка"/>
    <x v="3"/>
    <x v="0"/>
    <x v="0"/>
    <n v="1320"/>
    <n v="46"/>
    <x v="1103"/>
  </r>
  <r>
    <x v="382"/>
    <s v="Евроопт"/>
    <x v="0"/>
    <x v="1"/>
    <x v="6"/>
    <n v="640"/>
    <n v="23"/>
    <x v="172"/>
  </r>
  <r>
    <x v="382"/>
    <s v="Соседи"/>
    <x v="4"/>
    <x v="1"/>
    <x v="18"/>
    <n v="650"/>
    <n v="15"/>
    <x v="857"/>
  </r>
  <r>
    <x v="382"/>
    <s v="Евроопт"/>
    <x v="4"/>
    <x v="0"/>
    <x v="0"/>
    <n v="1320"/>
    <n v="82"/>
    <x v="456"/>
  </r>
  <r>
    <x v="382"/>
    <s v="Копеечка"/>
    <x v="1"/>
    <x v="0"/>
    <x v="17"/>
    <n v="2400"/>
    <n v="45"/>
    <x v="1356"/>
  </r>
  <r>
    <x v="382"/>
    <s v="Евроопт"/>
    <x v="1"/>
    <x v="0"/>
    <x v="17"/>
    <n v="2400"/>
    <n v="35"/>
    <x v="49"/>
  </r>
  <r>
    <x v="382"/>
    <s v="Евроопт"/>
    <x v="1"/>
    <x v="4"/>
    <x v="21"/>
    <n v="3205"/>
    <n v="28"/>
    <x v="1366"/>
  </r>
  <r>
    <x v="382"/>
    <s v="Виталюр"/>
    <x v="5"/>
    <x v="1"/>
    <x v="6"/>
    <n v="640"/>
    <n v="68"/>
    <x v="530"/>
  </r>
  <r>
    <x v="382"/>
    <s v="Виталюр"/>
    <x v="5"/>
    <x v="1"/>
    <x v="1"/>
    <n v="1380"/>
    <n v="89"/>
    <x v="1367"/>
  </r>
  <r>
    <x v="382"/>
    <s v="Копеечка"/>
    <x v="6"/>
    <x v="2"/>
    <x v="12"/>
    <n v="715"/>
    <n v="42"/>
    <x v="1368"/>
  </r>
  <r>
    <x v="383"/>
    <m/>
    <x v="2"/>
    <x v="3"/>
    <x v="3"/>
    <m/>
    <m/>
    <x v="1369"/>
  </r>
  <r>
    <x v="384"/>
    <s v="Евроопт"/>
    <x v="3"/>
    <x v="0"/>
    <x v="5"/>
    <n v="930"/>
    <n v="67"/>
    <x v="668"/>
  </r>
  <r>
    <x v="384"/>
    <s v="Евроопт"/>
    <x v="3"/>
    <x v="4"/>
    <x v="13"/>
    <n v="1505"/>
    <n v="80"/>
    <x v="910"/>
  </r>
  <r>
    <x v="384"/>
    <s v="Соседи"/>
    <x v="0"/>
    <x v="1"/>
    <x v="23"/>
    <n v="705"/>
    <n v="88"/>
    <x v="541"/>
  </r>
  <r>
    <x v="384"/>
    <s v="Евроопт"/>
    <x v="0"/>
    <x v="1"/>
    <x v="23"/>
    <n v="705"/>
    <n v="46"/>
    <x v="816"/>
  </r>
  <r>
    <x v="384"/>
    <s v="Копеечка"/>
    <x v="4"/>
    <x v="2"/>
    <x v="9"/>
    <n v="690"/>
    <n v="93"/>
    <x v="1137"/>
  </r>
  <r>
    <x v="384"/>
    <s v="Копеечка"/>
    <x v="1"/>
    <x v="0"/>
    <x v="24"/>
    <n v="2540"/>
    <n v="29"/>
    <x v="358"/>
  </r>
  <r>
    <x v="384"/>
    <s v="Копеечка"/>
    <x v="1"/>
    <x v="0"/>
    <x v="17"/>
    <n v="2400"/>
    <n v="99"/>
    <x v="41"/>
  </r>
  <r>
    <x v="384"/>
    <s v="Виталюр"/>
    <x v="1"/>
    <x v="0"/>
    <x v="17"/>
    <n v="2400"/>
    <n v="68"/>
    <x v="1370"/>
  </r>
  <r>
    <x v="384"/>
    <s v="Виталюр"/>
    <x v="5"/>
    <x v="1"/>
    <x v="18"/>
    <n v="650"/>
    <n v="79"/>
    <x v="1233"/>
  </r>
  <r>
    <x v="384"/>
    <s v="Евроопт"/>
    <x v="5"/>
    <x v="2"/>
    <x v="9"/>
    <n v="690"/>
    <n v="78"/>
    <x v="197"/>
  </r>
  <r>
    <x v="384"/>
    <s v="Соседи"/>
    <x v="5"/>
    <x v="0"/>
    <x v="10"/>
    <n v="1230"/>
    <n v="34"/>
    <x v="187"/>
  </r>
  <r>
    <x v="384"/>
    <s v="Копеечка"/>
    <x v="5"/>
    <x v="0"/>
    <x v="5"/>
    <n v="930"/>
    <n v="32"/>
    <x v="1371"/>
  </r>
  <r>
    <x v="384"/>
    <s v="Евроопт"/>
    <x v="6"/>
    <x v="0"/>
    <x v="22"/>
    <n v="1420"/>
    <n v="12"/>
    <x v="134"/>
  </r>
  <r>
    <x v="385"/>
    <m/>
    <x v="2"/>
    <x v="3"/>
    <x v="3"/>
    <m/>
    <m/>
    <x v="1372"/>
  </r>
  <r>
    <x v="386"/>
    <s v="Соседи"/>
    <x v="3"/>
    <x v="2"/>
    <x v="2"/>
    <n v="325"/>
    <n v="60"/>
    <x v="469"/>
  </r>
  <r>
    <x v="386"/>
    <s v="Соседи"/>
    <x v="3"/>
    <x v="0"/>
    <x v="5"/>
    <n v="930"/>
    <n v="12"/>
    <x v="1373"/>
  </r>
  <r>
    <x v="386"/>
    <s v="Виталюр"/>
    <x v="3"/>
    <x v="4"/>
    <x v="13"/>
    <n v="1505"/>
    <n v="52"/>
    <x v="1339"/>
  </r>
  <r>
    <x v="386"/>
    <s v="Копеечка"/>
    <x v="0"/>
    <x v="0"/>
    <x v="5"/>
    <n v="930"/>
    <n v="12"/>
    <x v="1373"/>
  </r>
  <r>
    <x v="386"/>
    <s v="Евроопт"/>
    <x v="0"/>
    <x v="0"/>
    <x v="5"/>
    <n v="930"/>
    <n v="81"/>
    <x v="1374"/>
  </r>
  <r>
    <x v="386"/>
    <s v="Копеечка"/>
    <x v="4"/>
    <x v="0"/>
    <x v="0"/>
    <n v="1320"/>
    <n v="80"/>
    <x v="769"/>
  </r>
  <r>
    <x v="386"/>
    <s v="Евроопт"/>
    <x v="4"/>
    <x v="0"/>
    <x v="10"/>
    <n v="1230"/>
    <n v="40"/>
    <x v="369"/>
  </r>
  <r>
    <x v="386"/>
    <s v="Соседи"/>
    <x v="1"/>
    <x v="1"/>
    <x v="18"/>
    <n v="650"/>
    <n v="37"/>
    <x v="1375"/>
  </r>
  <r>
    <x v="386"/>
    <s v="Копеечка"/>
    <x v="1"/>
    <x v="2"/>
    <x v="12"/>
    <n v="715"/>
    <n v="68"/>
    <x v="1376"/>
  </r>
  <r>
    <x v="386"/>
    <s v="Евроопт"/>
    <x v="1"/>
    <x v="2"/>
    <x v="16"/>
    <n v="890"/>
    <n v="62"/>
    <x v="1377"/>
  </r>
  <r>
    <x v="386"/>
    <s v="Виталюр"/>
    <x v="5"/>
    <x v="1"/>
    <x v="1"/>
    <n v="1380"/>
    <n v="88"/>
    <x v="935"/>
  </r>
  <r>
    <x v="386"/>
    <s v="Евроопт"/>
    <x v="5"/>
    <x v="4"/>
    <x v="14"/>
    <n v="1670"/>
    <n v="88"/>
    <x v="1378"/>
  </r>
  <r>
    <x v="386"/>
    <s v="Соседи"/>
    <x v="5"/>
    <x v="4"/>
    <x v="21"/>
    <n v="3205"/>
    <n v="12"/>
    <x v="1379"/>
  </r>
  <r>
    <x v="386"/>
    <s v="Евроопт"/>
    <x v="6"/>
    <x v="1"/>
    <x v="23"/>
    <n v="705"/>
    <n v="61"/>
    <x v="504"/>
  </r>
  <r>
    <x v="386"/>
    <s v="Соседи"/>
    <x v="6"/>
    <x v="2"/>
    <x v="9"/>
    <n v="690"/>
    <n v="42"/>
    <x v="554"/>
  </r>
  <r>
    <x v="386"/>
    <s v="Копеечка"/>
    <x v="6"/>
    <x v="2"/>
    <x v="9"/>
    <n v="690"/>
    <n v="68"/>
    <x v="180"/>
  </r>
  <r>
    <x v="387"/>
    <m/>
    <x v="2"/>
    <x v="3"/>
    <x v="3"/>
    <m/>
    <m/>
    <x v="1380"/>
  </r>
  <r>
    <x v="388"/>
    <s v="Копеечка"/>
    <x v="3"/>
    <x v="0"/>
    <x v="22"/>
    <n v="1420"/>
    <n v="67"/>
    <x v="1381"/>
  </r>
  <r>
    <x v="388"/>
    <s v="Соседи"/>
    <x v="4"/>
    <x v="2"/>
    <x v="12"/>
    <n v="715"/>
    <n v="39"/>
    <x v="33"/>
  </r>
  <r>
    <x v="388"/>
    <s v="Копеечка"/>
    <x v="1"/>
    <x v="2"/>
    <x v="12"/>
    <n v="715"/>
    <n v="25"/>
    <x v="149"/>
  </r>
  <r>
    <x v="388"/>
    <s v="Евроопт"/>
    <x v="1"/>
    <x v="4"/>
    <x v="13"/>
    <n v="1505"/>
    <n v="12"/>
    <x v="1382"/>
  </r>
  <r>
    <x v="388"/>
    <s v="Копеечка"/>
    <x v="1"/>
    <x v="4"/>
    <x v="7"/>
    <n v="1760"/>
    <n v="92"/>
    <x v="176"/>
  </r>
  <r>
    <x v="388"/>
    <s v="Соседи"/>
    <x v="5"/>
    <x v="0"/>
    <x v="5"/>
    <n v="930"/>
    <n v="7"/>
    <x v="1383"/>
  </r>
  <r>
    <x v="388"/>
    <s v="Евроопт"/>
    <x v="5"/>
    <x v="0"/>
    <x v="17"/>
    <n v="2400"/>
    <n v="12"/>
    <x v="242"/>
  </r>
  <r>
    <x v="388"/>
    <s v="Евроопт"/>
    <x v="6"/>
    <x v="4"/>
    <x v="15"/>
    <n v="2460"/>
    <n v="61"/>
    <x v="502"/>
  </r>
  <r>
    <x v="389"/>
    <m/>
    <x v="2"/>
    <x v="3"/>
    <x v="3"/>
    <m/>
    <m/>
    <x v="1384"/>
  </r>
  <r>
    <x v="390"/>
    <s v="Виталюр"/>
    <x v="3"/>
    <x v="1"/>
    <x v="23"/>
    <n v="705"/>
    <n v="62"/>
    <x v="713"/>
  </r>
  <r>
    <x v="390"/>
    <s v="Копеечка"/>
    <x v="4"/>
    <x v="4"/>
    <x v="11"/>
    <n v="2970"/>
    <n v="39"/>
    <x v="1385"/>
  </r>
  <r>
    <x v="390"/>
    <s v="Копеечка"/>
    <x v="1"/>
    <x v="1"/>
    <x v="19"/>
    <n v="540"/>
    <n v="49"/>
    <x v="885"/>
  </r>
  <r>
    <x v="390"/>
    <s v="Копеечка"/>
    <x v="1"/>
    <x v="2"/>
    <x v="9"/>
    <n v="690"/>
    <n v="25"/>
    <x v="1386"/>
  </r>
  <r>
    <x v="390"/>
    <s v="Копеечка"/>
    <x v="5"/>
    <x v="4"/>
    <x v="15"/>
    <n v="2460"/>
    <n v="75"/>
    <x v="323"/>
  </r>
  <r>
    <x v="390"/>
    <s v="Копеечка"/>
    <x v="5"/>
    <x v="4"/>
    <x v="13"/>
    <n v="1505"/>
    <n v="90"/>
    <x v="209"/>
  </r>
  <r>
    <x v="390"/>
    <s v="Соседи"/>
    <x v="6"/>
    <x v="0"/>
    <x v="5"/>
    <n v="930"/>
    <n v="7"/>
    <x v="1383"/>
  </r>
  <r>
    <x v="390"/>
    <s v="Виталюр"/>
    <x v="6"/>
    <x v="4"/>
    <x v="13"/>
    <n v="1505"/>
    <n v="56"/>
    <x v="617"/>
  </r>
  <r>
    <x v="391"/>
    <m/>
    <x v="2"/>
    <x v="3"/>
    <x v="3"/>
    <m/>
    <m/>
    <x v="1387"/>
  </r>
  <r>
    <x v="392"/>
    <s v="Виталюр"/>
    <x v="3"/>
    <x v="2"/>
    <x v="4"/>
    <n v="450"/>
    <n v="6"/>
    <x v="412"/>
  </r>
  <r>
    <x v="392"/>
    <s v="Копеечка"/>
    <x v="3"/>
    <x v="2"/>
    <x v="4"/>
    <n v="450"/>
    <n v="7"/>
    <x v="1078"/>
  </r>
  <r>
    <x v="392"/>
    <s v="Соседи"/>
    <x v="3"/>
    <x v="2"/>
    <x v="2"/>
    <n v="325"/>
    <n v="66"/>
    <x v="360"/>
  </r>
  <r>
    <x v="392"/>
    <s v="Копеечка"/>
    <x v="3"/>
    <x v="0"/>
    <x v="10"/>
    <n v="1230"/>
    <n v="70"/>
    <x v="1388"/>
  </r>
  <r>
    <x v="392"/>
    <s v="Виталюр"/>
    <x v="0"/>
    <x v="0"/>
    <x v="5"/>
    <n v="930"/>
    <n v="64"/>
    <x v="457"/>
  </r>
  <r>
    <x v="392"/>
    <s v="Соседи"/>
    <x v="4"/>
    <x v="2"/>
    <x v="4"/>
    <n v="450"/>
    <n v="52"/>
    <x v="756"/>
  </r>
  <r>
    <x v="392"/>
    <s v="Виталюр"/>
    <x v="4"/>
    <x v="4"/>
    <x v="21"/>
    <n v="3205"/>
    <n v="42"/>
    <x v="642"/>
  </r>
  <r>
    <x v="392"/>
    <s v="Виталюр"/>
    <x v="4"/>
    <x v="4"/>
    <x v="14"/>
    <n v="1670"/>
    <n v="88"/>
    <x v="1378"/>
  </r>
  <r>
    <x v="392"/>
    <s v="Евроопт"/>
    <x v="1"/>
    <x v="1"/>
    <x v="23"/>
    <n v="705"/>
    <n v="63"/>
    <x v="1389"/>
  </r>
  <r>
    <x v="392"/>
    <s v="Виталюр"/>
    <x v="1"/>
    <x v="1"/>
    <x v="6"/>
    <n v="640"/>
    <n v="23"/>
    <x v="172"/>
  </r>
  <r>
    <x v="392"/>
    <s v="Копеечка"/>
    <x v="1"/>
    <x v="4"/>
    <x v="15"/>
    <n v="2460"/>
    <n v="64"/>
    <x v="479"/>
  </r>
  <r>
    <x v="392"/>
    <s v="Копеечка"/>
    <x v="5"/>
    <x v="4"/>
    <x v="7"/>
    <n v="1760"/>
    <n v="81"/>
    <x v="296"/>
  </r>
  <r>
    <x v="393"/>
    <m/>
    <x v="2"/>
    <x v="3"/>
    <x v="3"/>
    <m/>
    <m/>
    <x v="1390"/>
  </r>
  <r>
    <x v="394"/>
    <s v="Копеечка"/>
    <x v="3"/>
    <x v="1"/>
    <x v="6"/>
    <n v="640"/>
    <n v="36"/>
    <x v="512"/>
  </r>
  <r>
    <x v="394"/>
    <s v="Копеечка"/>
    <x v="3"/>
    <x v="0"/>
    <x v="10"/>
    <n v="1230"/>
    <n v="11"/>
    <x v="1391"/>
  </r>
  <r>
    <x v="394"/>
    <s v="Соседи"/>
    <x v="4"/>
    <x v="0"/>
    <x v="17"/>
    <n v="2400"/>
    <n v="6"/>
    <x v="1175"/>
  </r>
  <r>
    <x v="394"/>
    <s v="Виталюр"/>
    <x v="1"/>
    <x v="4"/>
    <x v="11"/>
    <n v="2970"/>
    <n v="43"/>
    <x v="1392"/>
  </r>
  <r>
    <x v="394"/>
    <s v="Виталюр"/>
    <x v="5"/>
    <x v="1"/>
    <x v="6"/>
    <n v="640"/>
    <n v="36"/>
    <x v="512"/>
  </r>
  <r>
    <x v="394"/>
    <s v="Соседи"/>
    <x v="5"/>
    <x v="2"/>
    <x v="8"/>
    <n v="460"/>
    <n v="43"/>
    <x v="86"/>
  </r>
  <r>
    <x v="394"/>
    <s v="Копеечка"/>
    <x v="6"/>
    <x v="4"/>
    <x v="13"/>
    <n v="1505"/>
    <n v="90"/>
    <x v="209"/>
  </r>
  <r>
    <x v="395"/>
    <m/>
    <x v="2"/>
    <x v="3"/>
    <x v="3"/>
    <m/>
    <m/>
    <x v="1393"/>
  </r>
  <r>
    <x v="396"/>
    <s v="Копеечка"/>
    <x v="3"/>
    <x v="1"/>
    <x v="23"/>
    <n v="705"/>
    <n v="40"/>
    <x v="1121"/>
  </r>
  <r>
    <x v="396"/>
    <s v="Копеечка"/>
    <x v="3"/>
    <x v="2"/>
    <x v="4"/>
    <n v="450"/>
    <n v="91"/>
    <x v="175"/>
  </r>
  <r>
    <x v="396"/>
    <s v="Евроопт"/>
    <x v="3"/>
    <x v="0"/>
    <x v="5"/>
    <n v="930"/>
    <n v="34"/>
    <x v="653"/>
  </r>
  <r>
    <x v="396"/>
    <s v="Виталюр"/>
    <x v="0"/>
    <x v="2"/>
    <x v="2"/>
    <n v="325"/>
    <n v="83"/>
    <x v="1394"/>
  </r>
  <r>
    <x v="396"/>
    <s v="Евроопт"/>
    <x v="0"/>
    <x v="4"/>
    <x v="13"/>
    <n v="1505"/>
    <n v="32"/>
    <x v="1004"/>
  </r>
  <r>
    <x v="396"/>
    <s v="Евроопт"/>
    <x v="1"/>
    <x v="1"/>
    <x v="23"/>
    <n v="705"/>
    <n v="8"/>
    <x v="1395"/>
  </r>
  <r>
    <x v="396"/>
    <s v="Евроопт"/>
    <x v="6"/>
    <x v="2"/>
    <x v="2"/>
    <n v="325"/>
    <n v="67"/>
    <x v="64"/>
  </r>
  <r>
    <x v="396"/>
    <s v="Виталюр"/>
    <x v="6"/>
    <x v="0"/>
    <x v="5"/>
    <n v="930"/>
    <n v="85"/>
    <x v="1396"/>
  </r>
  <r>
    <x v="396"/>
    <s v="Виталюр"/>
    <x v="6"/>
    <x v="0"/>
    <x v="10"/>
    <n v="1230"/>
    <n v="100"/>
    <x v="284"/>
  </r>
  <r>
    <x v="396"/>
    <s v="Соседи"/>
    <x v="6"/>
    <x v="4"/>
    <x v="14"/>
    <n v="1670"/>
    <n v="66"/>
    <x v="1397"/>
  </r>
  <r>
    <x v="396"/>
    <s v="Виталюр"/>
    <x v="6"/>
    <x v="4"/>
    <x v="21"/>
    <n v="3205"/>
    <n v="69"/>
    <x v="343"/>
  </r>
  <r>
    <x v="397"/>
    <m/>
    <x v="2"/>
    <x v="3"/>
    <x v="3"/>
    <m/>
    <m/>
    <x v="1398"/>
  </r>
  <r>
    <x v="398"/>
    <s v="Виталюр"/>
    <x v="3"/>
    <x v="2"/>
    <x v="2"/>
    <n v="325"/>
    <n v="97"/>
    <x v="785"/>
  </r>
  <r>
    <x v="398"/>
    <s v="Виталюр"/>
    <x v="3"/>
    <x v="4"/>
    <x v="7"/>
    <n v="1760"/>
    <n v="16"/>
    <x v="1399"/>
  </r>
  <r>
    <x v="398"/>
    <s v="Копеечка"/>
    <x v="3"/>
    <x v="4"/>
    <x v="13"/>
    <n v="1505"/>
    <n v="92"/>
    <x v="1400"/>
  </r>
  <r>
    <x v="398"/>
    <s v="Соседи"/>
    <x v="3"/>
    <x v="4"/>
    <x v="21"/>
    <n v="3205"/>
    <n v="44"/>
    <x v="871"/>
  </r>
  <r>
    <x v="398"/>
    <s v="Виталюр"/>
    <x v="0"/>
    <x v="0"/>
    <x v="24"/>
    <n v="2540"/>
    <n v="53"/>
    <x v="1401"/>
  </r>
  <r>
    <x v="398"/>
    <s v="Евроопт"/>
    <x v="6"/>
    <x v="0"/>
    <x v="24"/>
    <n v="2540"/>
    <n v="43"/>
    <x v="1402"/>
  </r>
  <r>
    <x v="399"/>
    <m/>
    <x v="2"/>
    <x v="3"/>
    <x v="3"/>
    <m/>
    <m/>
    <x v="1403"/>
  </r>
  <r>
    <x v="400"/>
    <s v="Соседи"/>
    <x v="0"/>
    <x v="1"/>
    <x v="1"/>
    <n v="1380"/>
    <n v="29"/>
    <x v="215"/>
  </r>
  <r>
    <x v="400"/>
    <s v="Евроопт"/>
    <x v="0"/>
    <x v="0"/>
    <x v="10"/>
    <n v="1230"/>
    <n v="56"/>
    <x v="168"/>
  </r>
  <r>
    <x v="400"/>
    <s v="Копеечка"/>
    <x v="0"/>
    <x v="0"/>
    <x v="10"/>
    <n v="1230"/>
    <n v="100"/>
    <x v="284"/>
  </r>
  <r>
    <x v="400"/>
    <s v="Виталюр"/>
    <x v="4"/>
    <x v="4"/>
    <x v="11"/>
    <n v="2970"/>
    <n v="77"/>
    <x v="1404"/>
  </r>
  <r>
    <x v="400"/>
    <s v="Копеечка"/>
    <x v="1"/>
    <x v="1"/>
    <x v="20"/>
    <n v="650"/>
    <n v="34"/>
    <x v="199"/>
  </r>
  <r>
    <x v="400"/>
    <s v="Виталюр"/>
    <x v="5"/>
    <x v="1"/>
    <x v="19"/>
    <n v="540"/>
    <n v="56"/>
    <x v="1309"/>
  </r>
  <r>
    <x v="400"/>
    <s v="Соседи"/>
    <x v="5"/>
    <x v="0"/>
    <x v="17"/>
    <n v="2400"/>
    <n v="66"/>
    <x v="1405"/>
  </r>
  <r>
    <x v="400"/>
    <s v="Евроопт"/>
    <x v="5"/>
    <x v="4"/>
    <x v="7"/>
    <n v="1760"/>
    <n v="51"/>
    <x v="336"/>
  </r>
  <r>
    <x v="401"/>
    <m/>
    <x v="2"/>
    <x v="3"/>
    <x v="3"/>
    <m/>
    <m/>
    <x v="1406"/>
  </r>
  <r>
    <x v="402"/>
    <s v="Копеечка"/>
    <x v="0"/>
    <x v="1"/>
    <x v="6"/>
    <n v="640"/>
    <n v="65"/>
    <x v="15"/>
  </r>
  <r>
    <x v="402"/>
    <s v="Копеечка"/>
    <x v="4"/>
    <x v="2"/>
    <x v="12"/>
    <n v="715"/>
    <n v="59"/>
    <x v="409"/>
  </r>
  <r>
    <x v="402"/>
    <s v="Соседи"/>
    <x v="5"/>
    <x v="1"/>
    <x v="20"/>
    <n v="650"/>
    <n v="48"/>
    <x v="447"/>
  </r>
  <r>
    <x v="402"/>
    <s v="Евроопт"/>
    <x v="5"/>
    <x v="4"/>
    <x v="21"/>
    <n v="3205"/>
    <n v="65"/>
    <x v="1407"/>
  </r>
  <r>
    <x v="402"/>
    <s v="Соседи"/>
    <x v="6"/>
    <x v="2"/>
    <x v="9"/>
    <n v="690"/>
    <n v="45"/>
    <x v="17"/>
  </r>
  <r>
    <x v="402"/>
    <s v="Копеечка"/>
    <x v="6"/>
    <x v="0"/>
    <x v="0"/>
    <n v="1320"/>
    <n v="12"/>
    <x v="1408"/>
  </r>
  <r>
    <x v="402"/>
    <s v="Евроопт"/>
    <x v="6"/>
    <x v="4"/>
    <x v="13"/>
    <n v="1505"/>
    <n v="32"/>
    <x v="1004"/>
  </r>
  <r>
    <x v="403"/>
    <m/>
    <x v="2"/>
    <x v="3"/>
    <x v="3"/>
    <m/>
    <m/>
    <x v="1409"/>
  </r>
  <r>
    <x v="404"/>
    <s v="Евроопт"/>
    <x v="3"/>
    <x v="1"/>
    <x v="18"/>
    <n v="650"/>
    <n v="21"/>
    <x v="327"/>
  </r>
  <r>
    <x v="404"/>
    <s v="Виталюр"/>
    <x v="0"/>
    <x v="2"/>
    <x v="12"/>
    <n v="715"/>
    <n v="22"/>
    <x v="141"/>
  </r>
  <r>
    <x v="404"/>
    <s v="Евроопт"/>
    <x v="0"/>
    <x v="0"/>
    <x v="24"/>
    <n v="2540"/>
    <n v="40"/>
    <x v="755"/>
  </r>
  <r>
    <x v="404"/>
    <s v="Соседи"/>
    <x v="4"/>
    <x v="4"/>
    <x v="14"/>
    <n v="1670"/>
    <n v="68"/>
    <x v="1410"/>
  </r>
  <r>
    <x v="404"/>
    <s v="Соседи"/>
    <x v="1"/>
    <x v="4"/>
    <x v="21"/>
    <n v="3205"/>
    <n v="10"/>
    <x v="1411"/>
  </r>
  <r>
    <x v="404"/>
    <s v="Евроопт"/>
    <x v="5"/>
    <x v="1"/>
    <x v="23"/>
    <n v="705"/>
    <n v="18"/>
    <x v="1412"/>
  </r>
  <r>
    <x v="404"/>
    <s v="Соседи"/>
    <x v="5"/>
    <x v="4"/>
    <x v="15"/>
    <n v="2460"/>
    <n v="84"/>
    <x v="1313"/>
  </r>
  <r>
    <x v="404"/>
    <s v="Евроопт"/>
    <x v="6"/>
    <x v="1"/>
    <x v="6"/>
    <n v="640"/>
    <n v="9"/>
    <x v="1413"/>
  </r>
  <r>
    <x v="405"/>
    <m/>
    <x v="2"/>
    <x v="3"/>
    <x v="3"/>
    <m/>
    <m/>
    <x v="1414"/>
  </r>
  <r>
    <x v="406"/>
    <s v="Евроопт"/>
    <x v="3"/>
    <x v="1"/>
    <x v="19"/>
    <n v="540"/>
    <n v="60"/>
    <x v="1007"/>
  </r>
  <r>
    <x v="406"/>
    <s v="Соседи"/>
    <x v="4"/>
    <x v="1"/>
    <x v="6"/>
    <n v="640"/>
    <n v="62"/>
    <x v="1415"/>
  </r>
  <r>
    <x v="406"/>
    <s v="Евроопт"/>
    <x v="4"/>
    <x v="1"/>
    <x v="6"/>
    <n v="640"/>
    <n v="76"/>
    <x v="1416"/>
  </r>
  <r>
    <x v="406"/>
    <s v="Евроопт"/>
    <x v="1"/>
    <x v="0"/>
    <x v="24"/>
    <n v="2540"/>
    <n v="75"/>
    <x v="98"/>
  </r>
  <r>
    <x v="406"/>
    <s v="Виталюр"/>
    <x v="6"/>
    <x v="2"/>
    <x v="8"/>
    <n v="460"/>
    <n v="74"/>
    <x v="1417"/>
  </r>
  <r>
    <x v="407"/>
    <m/>
    <x v="2"/>
    <x v="3"/>
    <x v="3"/>
    <m/>
    <m/>
    <x v="1418"/>
  </r>
  <r>
    <x v="408"/>
    <s v="Виталюр"/>
    <x v="0"/>
    <x v="2"/>
    <x v="12"/>
    <n v="715"/>
    <n v="6"/>
    <x v="1419"/>
  </r>
  <r>
    <x v="408"/>
    <s v="Евроопт"/>
    <x v="4"/>
    <x v="1"/>
    <x v="18"/>
    <n v="650"/>
    <n v="11"/>
    <x v="73"/>
  </r>
  <r>
    <x v="408"/>
    <s v="Евроопт"/>
    <x v="4"/>
    <x v="0"/>
    <x v="22"/>
    <n v="1420"/>
    <n v="8"/>
    <x v="1420"/>
  </r>
  <r>
    <x v="408"/>
    <s v="Виталюр"/>
    <x v="5"/>
    <x v="4"/>
    <x v="14"/>
    <n v="1670"/>
    <n v="52"/>
    <x v="501"/>
  </r>
  <r>
    <x v="409"/>
    <m/>
    <x v="2"/>
    <x v="3"/>
    <x v="3"/>
    <m/>
    <m/>
    <x v="1421"/>
  </r>
  <r>
    <x v="410"/>
    <s v="Виталюр"/>
    <x v="3"/>
    <x v="2"/>
    <x v="9"/>
    <n v="690"/>
    <n v="46"/>
    <x v="610"/>
  </r>
  <r>
    <x v="410"/>
    <s v="Копеечка"/>
    <x v="3"/>
    <x v="4"/>
    <x v="15"/>
    <n v="2460"/>
    <n v="26"/>
    <x v="1422"/>
  </r>
  <r>
    <x v="410"/>
    <s v="Копеечка"/>
    <x v="0"/>
    <x v="2"/>
    <x v="16"/>
    <n v="890"/>
    <n v="19"/>
    <x v="1261"/>
  </r>
  <r>
    <x v="410"/>
    <s v="Соседи"/>
    <x v="0"/>
    <x v="0"/>
    <x v="0"/>
    <n v="1320"/>
    <n v="89"/>
    <x v="779"/>
  </r>
  <r>
    <x v="410"/>
    <s v="Евроопт"/>
    <x v="4"/>
    <x v="4"/>
    <x v="7"/>
    <n v="1760"/>
    <n v="30"/>
    <x v="94"/>
  </r>
  <r>
    <x v="410"/>
    <s v="Виталюр"/>
    <x v="5"/>
    <x v="4"/>
    <x v="14"/>
    <n v="1670"/>
    <n v="92"/>
    <x v="1423"/>
  </r>
  <r>
    <x v="410"/>
    <s v="Копеечка"/>
    <x v="6"/>
    <x v="0"/>
    <x v="22"/>
    <n v="1420"/>
    <n v="41"/>
    <x v="1424"/>
  </r>
  <r>
    <x v="410"/>
    <s v="Соседи"/>
    <x v="6"/>
    <x v="0"/>
    <x v="5"/>
    <n v="930"/>
    <n v="45"/>
    <x v="820"/>
  </r>
  <r>
    <x v="411"/>
    <m/>
    <x v="2"/>
    <x v="3"/>
    <x v="3"/>
    <m/>
    <m/>
    <x v="1425"/>
  </r>
  <r>
    <x v="412"/>
    <s v="Евроопт"/>
    <x v="3"/>
    <x v="4"/>
    <x v="21"/>
    <n v="3205"/>
    <n v="17"/>
    <x v="608"/>
  </r>
  <r>
    <x v="412"/>
    <s v="Копеечка"/>
    <x v="4"/>
    <x v="0"/>
    <x v="10"/>
    <n v="1230"/>
    <n v="39"/>
    <x v="10"/>
  </r>
  <r>
    <x v="412"/>
    <s v="Копеечка"/>
    <x v="4"/>
    <x v="4"/>
    <x v="14"/>
    <n v="1670"/>
    <n v="76"/>
    <x v="933"/>
  </r>
  <r>
    <x v="412"/>
    <s v="Соседи"/>
    <x v="4"/>
    <x v="4"/>
    <x v="13"/>
    <n v="1505"/>
    <n v="58"/>
    <x v="91"/>
  </r>
  <r>
    <x v="412"/>
    <s v="Соседи"/>
    <x v="5"/>
    <x v="0"/>
    <x v="5"/>
    <n v="930"/>
    <n v="60"/>
    <x v="99"/>
  </r>
  <r>
    <x v="412"/>
    <s v="Евроопт"/>
    <x v="6"/>
    <x v="1"/>
    <x v="1"/>
    <n v="1380"/>
    <n v="40"/>
    <x v="985"/>
  </r>
  <r>
    <x v="412"/>
    <s v="Евроопт"/>
    <x v="6"/>
    <x v="2"/>
    <x v="4"/>
    <n v="450"/>
    <n v="67"/>
    <x v="1426"/>
  </r>
  <r>
    <x v="412"/>
    <s v="Соседи"/>
    <x v="6"/>
    <x v="2"/>
    <x v="16"/>
    <n v="890"/>
    <n v="30"/>
    <x v="1427"/>
  </r>
  <r>
    <x v="412"/>
    <s v="Евроопт"/>
    <x v="6"/>
    <x v="0"/>
    <x v="10"/>
    <n v="1230"/>
    <n v="34"/>
    <x v="187"/>
  </r>
  <r>
    <x v="412"/>
    <s v="Виталюр"/>
    <x v="6"/>
    <x v="4"/>
    <x v="15"/>
    <n v="2460"/>
    <n v="75"/>
    <x v="323"/>
  </r>
  <r>
    <x v="413"/>
    <m/>
    <x v="2"/>
    <x v="3"/>
    <x v="3"/>
    <m/>
    <m/>
    <x v="1428"/>
  </r>
  <r>
    <x v="414"/>
    <s v="Виталюр"/>
    <x v="3"/>
    <x v="1"/>
    <x v="20"/>
    <n v="650"/>
    <n v="36"/>
    <x v="756"/>
  </r>
  <r>
    <x v="414"/>
    <s v="Евроопт"/>
    <x v="3"/>
    <x v="4"/>
    <x v="15"/>
    <n v="2460"/>
    <n v="31"/>
    <x v="997"/>
  </r>
  <r>
    <x v="414"/>
    <s v="Соседи"/>
    <x v="0"/>
    <x v="4"/>
    <x v="7"/>
    <n v="1760"/>
    <n v="62"/>
    <x v="1082"/>
  </r>
  <r>
    <x v="414"/>
    <s v="Евроопт"/>
    <x v="4"/>
    <x v="1"/>
    <x v="1"/>
    <n v="1380"/>
    <n v="45"/>
    <x v="1193"/>
  </r>
  <r>
    <x v="414"/>
    <s v="Копеечка"/>
    <x v="4"/>
    <x v="0"/>
    <x v="5"/>
    <n v="930"/>
    <n v="31"/>
    <x v="1429"/>
  </r>
  <r>
    <x v="414"/>
    <s v="Соседи"/>
    <x v="4"/>
    <x v="0"/>
    <x v="17"/>
    <n v="2400"/>
    <n v="82"/>
    <x v="1430"/>
  </r>
  <r>
    <x v="414"/>
    <s v="Евроопт"/>
    <x v="4"/>
    <x v="4"/>
    <x v="7"/>
    <n v="1760"/>
    <n v="39"/>
    <x v="1265"/>
  </r>
  <r>
    <x v="414"/>
    <s v="Копеечка"/>
    <x v="1"/>
    <x v="4"/>
    <x v="15"/>
    <n v="2460"/>
    <n v="57"/>
    <x v="1431"/>
  </r>
  <r>
    <x v="414"/>
    <s v="Виталюр"/>
    <x v="5"/>
    <x v="2"/>
    <x v="4"/>
    <n v="450"/>
    <n v="20"/>
    <x v="61"/>
  </r>
  <r>
    <x v="414"/>
    <s v="Копеечка"/>
    <x v="5"/>
    <x v="4"/>
    <x v="21"/>
    <n v="3205"/>
    <n v="87"/>
    <x v="1432"/>
  </r>
  <r>
    <x v="414"/>
    <s v="Виталюр"/>
    <x v="6"/>
    <x v="2"/>
    <x v="12"/>
    <n v="715"/>
    <n v="92"/>
    <x v="824"/>
  </r>
  <r>
    <x v="414"/>
    <s v="Соседи"/>
    <x v="6"/>
    <x v="0"/>
    <x v="5"/>
    <n v="930"/>
    <n v="56"/>
    <x v="1029"/>
  </r>
  <r>
    <x v="414"/>
    <s v="Виталюр"/>
    <x v="6"/>
    <x v="4"/>
    <x v="21"/>
    <n v="3205"/>
    <n v="51"/>
    <x v="1433"/>
  </r>
  <r>
    <x v="415"/>
    <m/>
    <x v="2"/>
    <x v="3"/>
    <x v="3"/>
    <m/>
    <m/>
    <x v="1434"/>
  </r>
  <r>
    <x v="416"/>
    <s v="Копеечка"/>
    <x v="3"/>
    <x v="4"/>
    <x v="13"/>
    <n v="1505"/>
    <n v="80"/>
    <x v="910"/>
  </r>
  <r>
    <x v="416"/>
    <s v="Евроопт"/>
    <x v="0"/>
    <x v="1"/>
    <x v="19"/>
    <n v="540"/>
    <n v="62"/>
    <x v="206"/>
  </r>
  <r>
    <x v="416"/>
    <s v="Копеечка"/>
    <x v="1"/>
    <x v="2"/>
    <x v="9"/>
    <n v="690"/>
    <n v="7"/>
    <x v="495"/>
  </r>
  <r>
    <x v="416"/>
    <s v="Виталюр"/>
    <x v="1"/>
    <x v="0"/>
    <x v="17"/>
    <n v="2400"/>
    <n v="11"/>
    <x v="257"/>
  </r>
  <r>
    <x v="416"/>
    <s v="Евроопт"/>
    <x v="5"/>
    <x v="4"/>
    <x v="21"/>
    <n v="3205"/>
    <n v="23"/>
    <x v="1435"/>
  </r>
  <r>
    <x v="416"/>
    <s v="Соседи"/>
    <x v="6"/>
    <x v="2"/>
    <x v="2"/>
    <n v="325"/>
    <n v="63"/>
    <x v="1436"/>
  </r>
  <r>
    <x v="416"/>
    <s v="Виталюр"/>
    <x v="6"/>
    <x v="2"/>
    <x v="8"/>
    <n v="460"/>
    <n v="80"/>
    <x v="467"/>
  </r>
  <r>
    <x v="416"/>
    <s v="Евроопт"/>
    <x v="6"/>
    <x v="0"/>
    <x v="22"/>
    <n v="1420"/>
    <n v="22"/>
    <x v="1437"/>
  </r>
  <r>
    <x v="416"/>
    <s v="Виталюр"/>
    <x v="6"/>
    <x v="0"/>
    <x v="10"/>
    <n v="1230"/>
    <n v="69"/>
    <x v="1438"/>
  </r>
  <r>
    <x v="416"/>
    <s v="Копеечка"/>
    <x v="6"/>
    <x v="4"/>
    <x v="21"/>
    <n v="3205"/>
    <n v="84"/>
    <x v="1439"/>
  </r>
  <r>
    <x v="417"/>
    <m/>
    <x v="2"/>
    <x v="3"/>
    <x v="3"/>
    <m/>
    <m/>
    <x v="1440"/>
  </r>
  <r>
    <x v="418"/>
    <s v="Соседи"/>
    <x v="3"/>
    <x v="2"/>
    <x v="4"/>
    <n v="450"/>
    <n v="26"/>
    <x v="480"/>
  </r>
  <r>
    <x v="418"/>
    <s v="Евроопт"/>
    <x v="0"/>
    <x v="2"/>
    <x v="9"/>
    <n v="690"/>
    <n v="92"/>
    <x v="1275"/>
  </r>
  <r>
    <x v="418"/>
    <s v="Виталюр"/>
    <x v="0"/>
    <x v="4"/>
    <x v="21"/>
    <n v="3205"/>
    <n v="63"/>
    <x v="793"/>
  </r>
  <r>
    <x v="418"/>
    <s v="Евроопт"/>
    <x v="0"/>
    <x v="4"/>
    <x v="14"/>
    <n v="1670"/>
    <n v="19"/>
    <x v="1441"/>
  </r>
  <r>
    <x v="418"/>
    <s v="Копеечка"/>
    <x v="4"/>
    <x v="1"/>
    <x v="23"/>
    <n v="705"/>
    <n v="71"/>
    <x v="101"/>
  </r>
  <r>
    <x v="418"/>
    <s v="Соседи"/>
    <x v="4"/>
    <x v="2"/>
    <x v="2"/>
    <n v="325"/>
    <n v="50"/>
    <x v="45"/>
  </r>
  <r>
    <x v="418"/>
    <s v="Виталюр"/>
    <x v="4"/>
    <x v="0"/>
    <x v="5"/>
    <n v="930"/>
    <n v="96"/>
    <x v="1305"/>
  </r>
  <r>
    <x v="418"/>
    <s v="Евроопт"/>
    <x v="4"/>
    <x v="4"/>
    <x v="13"/>
    <n v="1505"/>
    <n v="92"/>
    <x v="1400"/>
  </r>
  <r>
    <x v="418"/>
    <s v="Соседи"/>
    <x v="1"/>
    <x v="1"/>
    <x v="20"/>
    <n v="650"/>
    <n v="47"/>
    <x v="1091"/>
  </r>
  <r>
    <x v="418"/>
    <s v="Соседи"/>
    <x v="5"/>
    <x v="2"/>
    <x v="2"/>
    <n v="325"/>
    <n v="59"/>
    <x v="229"/>
  </r>
  <r>
    <x v="419"/>
    <m/>
    <x v="2"/>
    <x v="3"/>
    <x v="3"/>
    <m/>
    <m/>
    <x v="1442"/>
  </r>
  <r>
    <x v="420"/>
    <s v="Соседи"/>
    <x v="3"/>
    <x v="4"/>
    <x v="13"/>
    <n v="1505"/>
    <n v="13"/>
    <x v="1232"/>
  </r>
  <r>
    <x v="420"/>
    <s v="Евроопт"/>
    <x v="0"/>
    <x v="1"/>
    <x v="1"/>
    <n v="1380"/>
    <n v="28"/>
    <x v="471"/>
  </r>
  <r>
    <x v="420"/>
    <s v="Евроопт"/>
    <x v="0"/>
    <x v="0"/>
    <x v="22"/>
    <n v="1420"/>
    <n v="58"/>
    <x v="888"/>
  </r>
  <r>
    <x v="420"/>
    <s v="Соседи"/>
    <x v="0"/>
    <x v="4"/>
    <x v="14"/>
    <n v="1670"/>
    <n v="75"/>
    <x v="1158"/>
  </r>
  <r>
    <x v="420"/>
    <s v="Виталюр"/>
    <x v="0"/>
    <x v="4"/>
    <x v="7"/>
    <n v="1760"/>
    <n v="51"/>
    <x v="336"/>
  </r>
  <r>
    <x v="420"/>
    <s v="Евроопт"/>
    <x v="4"/>
    <x v="2"/>
    <x v="8"/>
    <n v="460"/>
    <n v="54"/>
    <x v="200"/>
  </r>
  <r>
    <x v="420"/>
    <s v="Копеечка"/>
    <x v="4"/>
    <x v="0"/>
    <x v="17"/>
    <n v="2400"/>
    <n v="86"/>
    <x v="564"/>
  </r>
  <r>
    <x v="420"/>
    <s v="Виталюр"/>
    <x v="1"/>
    <x v="4"/>
    <x v="7"/>
    <n v="1760"/>
    <n v="21"/>
    <x v="597"/>
  </r>
  <r>
    <x v="420"/>
    <s v="Виталюр"/>
    <x v="6"/>
    <x v="1"/>
    <x v="20"/>
    <n v="650"/>
    <n v="70"/>
    <x v="1208"/>
  </r>
  <r>
    <x v="420"/>
    <s v="Копеечка"/>
    <x v="6"/>
    <x v="2"/>
    <x v="2"/>
    <n v="325"/>
    <n v="24"/>
    <x v="625"/>
  </r>
  <r>
    <x v="420"/>
    <s v="Соседи"/>
    <x v="6"/>
    <x v="4"/>
    <x v="7"/>
    <n v="1760"/>
    <n v="15"/>
    <x v="257"/>
  </r>
  <r>
    <x v="421"/>
    <m/>
    <x v="2"/>
    <x v="3"/>
    <x v="3"/>
    <m/>
    <m/>
    <x v="1443"/>
  </r>
  <r>
    <x v="422"/>
    <s v="Копеечка"/>
    <x v="3"/>
    <x v="4"/>
    <x v="15"/>
    <n v="2460"/>
    <n v="78"/>
    <x v="380"/>
  </r>
  <r>
    <x v="422"/>
    <s v="Виталюр"/>
    <x v="3"/>
    <x v="4"/>
    <x v="21"/>
    <n v="3205"/>
    <n v="21"/>
    <x v="320"/>
  </r>
  <r>
    <x v="422"/>
    <s v="Евроопт"/>
    <x v="4"/>
    <x v="2"/>
    <x v="8"/>
    <n v="460"/>
    <n v="49"/>
    <x v="940"/>
  </r>
  <r>
    <x v="422"/>
    <s v="Виталюр"/>
    <x v="4"/>
    <x v="0"/>
    <x v="5"/>
    <n v="930"/>
    <n v="74"/>
    <x v="1444"/>
  </r>
  <r>
    <x v="422"/>
    <s v="Евроопт"/>
    <x v="1"/>
    <x v="2"/>
    <x v="12"/>
    <n v="715"/>
    <n v="45"/>
    <x v="807"/>
  </r>
  <r>
    <x v="422"/>
    <s v="Евроопт"/>
    <x v="5"/>
    <x v="2"/>
    <x v="9"/>
    <n v="690"/>
    <n v="70"/>
    <x v="455"/>
  </r>
  <r>
    <x v="422"/>
    <s v="Евроопт"/>
    <x v="5"/>
    <x v="4"/>
    <x v="14"/>
    <n v="1670"/>
    <n v="70"/>
    <x v="102"/>
  </r>
  <r>
    <x v="422"/>
    <s v="Евроопт"/>
    <x v="5"/>
    <x v="4"/>
    <x v="14"/>
    <n v="1670"/>
    <n v="14"/>
    <x v="1025"/>
  </r>
  <r>
    <x v="422"/>
    <s v="Евроопт"/>
    <x v="6"/>
    <x v="1"/>
    <x v="20"/>
    <n v="650"/>
    <n v="23"/>
    <x v="522"/>
  </r>
  <r>
    <x v="422"/>
    <s v="Копеечка"/>
    <x v="6"/>
    <x v="0"/>
    <x v="0"/>
    <n v="1320"/>
    <n v="60"/>
    <x v="30"/>
  </r>
  <r>
    <x v="423"/>
    <m/>
    <x v="2"/>
    <x v="3"/>
    <x v="3"/>
    <m/>
    <m/>
    <x v="1445"/>
  </r>
  <r>
    <x v="424"/>
    <s v="Копеечка"/>
    <x v="3"/>
    <x v="1"/>
    <x v="19"/>
    <n v="540"/>
    <n v="69"/>
    <x v="1"/>
  </r>
  <r>
    <x v="424"/>
    <s v="Евроопт"/>
    <x v="3"/>
    <x v="4"/>
    <x v="14"/>
    <n v="1670"/>
    <n v="87"/>
    <x v="1446"/>
  </r>
  <r>
    <x v="424"/>
    <s v="Евроопт"/>
    <x v="0"/>
    <x v="0"/>
    <x v="0"/>
    <n v="1320"/>
    <n v="10"/>
    <x v="1447"/>
  </r>
  <r>
    <x v="424"/>
    <s v="Копеечка"/>
    <x v="0"/>
    <x v="4"/>
    <x v="11"/>
    <n v="2970"/>
    <n v="74"/>
    <x v="188"/>
  </r>
  <r>
    <x v="424"/>
    <s v="Соседи"/>
    <x v="4"/>
    <x v="0"/>
    <x v="10"/>
    <n v="1230"/>
    <n v="70"/>
    <x v="1388"/>
  </r>
  <r>
    <x v="425"/>
    <m/>
    <x v="2"/>
    <x v="3"/>
    <x v="3"/>
    <m/>
    <m/>
    <x v="1448"/>
  </r>
  <r>
    <x v="426"/>
    <s v="Копеечка"/>
    <x v="3"/>
    <x v="1"/>
    <x v="18"/>
    <n v="650"/>
    <n v="30"/>
    <x v="469"/>
  </r>
  <r>
    <x v="426"/>
    <s v="Виталюр"/>
    <x v="0"/>
    <x v="0"/>
    <x v="22"/>
    <n v="1420"/>
    <n v="7"/>
    <x v="1302"/>
  </r>
  <r>
    <x v="426"/>
    <s v="Виталюр"/>
    <x v="0"/>
    <x v="4"/>
    <x v="11"/>
    <n v="2970"/>
    <n v="8"/>
    <x v="1117"/>
  </r>
  <r>
    <x v="426"/>
    <s v="Евроопт"/>
    <x v="0"/>
    <x v="4"/>
    <x v="13"/>
    <n v="1505"/>
    <n v="93"/>
    <x v="1449"/>
  </r>
  <r>
    <x v="426"/>
    <s v="Копеечка"/>
    <x v="4"/>
    <x v="1"/>
    <x v="18"/>
    <n v="650"/>
    <n v="74"/>
    <x v="1253"/>
  </r>
  <r>
    <x v="426"/>
    <s v="Виталюр"/>
    <x v="5"/>
    <x v="1"/>
    <x v="18"/>
    <n v="650"/>
    <n v="24"/>
    <x v="337"/>
  </r>
  <r>
    <x v="426"/>
    <s v="Копеечка"/>
    <x v="6"/>
    <x v="1"/>
    <x v="19"/>
    <n v="540"/>
    <n v="28"/>
    <x v="1051"/>
  </r>
  <r>
    <x v="426"/>
    <s v="Соседи"/>
    <x v="6"/>
    <x v="0"/>
    <x v="22"/>
    <n v="1420"/>
    <n v="20"/>
    <x v="657"/>
  </r>
  <r>
    <x v="427"/>
    <m/>
    <x v="2"/>
    <x v="3"/>
    <x v="3"/>
    <m/>
    <m/>
    <x v="1450"/>
  </r>
  <r>
    <x v="428"/>
    <s v="Копеечка"/>
    <x v="3"/>
    <x v="1"/>
    <x v="6"/>
    <n v="640"/>
    <n v="52"/>
    <x v="67"/>
  </r>
  <r>
    <x v="428"/>
    <s v="Евроопт"/>
    <x v="3"/>
    <x v="4"/>
    <x v="13"/>
    <n v="1505"/>
    <n v="76"/>
    <x v="1451"/>
  </r>
  <r>
    <x v="428"/>
    <s v="Виталюр"/>
    <x v="0"/>
    <x v="2"/>
    <x v="4"/>
    <n v="450"/>
    <n v="71"/>
    <x v="1190"/>
  </r>
  <r>
    <x v="428"/>
    <s v="Копеечка"/>
    <x v="0"/>
    <x v="4"/>
    <x v="13"/>
    <n v="1505"/>
    <n v="8"/>
    <x v="509"/>
  </r>
  <r>
    <x v="428"/>
    <s v="Виталюр"/>
    <x v="1"/>
    <x v="2"/>
    <x v="4"/>
    <n v="450"/>
    <n v="51"/>
    <x v="458"/>
  </r>
  <r>
    <x v="428"/>
    <s v="Евроопт"/>
    <x v="5"/>
    <x v="2"/>
    <x v="2"/>
    <n v="325"/>
    <n v="19"/>
    <x v="1452"/>
  </r>
  <r>
    <x v="428"/>
    <s v="Виталюр"/>
    <x v="6"/>
    <x v="2"/>
    <x v="8"/>
    <n v="460"/>
    <n v="75"/>
    <x v="1057"/>
  </r>
  <r>
    <x v="428"/>
    <s v="Соседи"/>
    <x v="6"/>
    <x v="0"/>
    <x v="17"/>
    <n v="2400"/>
    <n v="68"/>
    <x v="1370"/>
  </r>
  <r>
    <x v="429"/>
    <m/>
    <x v="2"/>
    <x v="3"/>
    <x v="3"/>
    <m/>
    <m/>
    <x v="1453"/>
  </r>
  <r>
    <x v="430"/>
    <s v="Виталюр"/>
    <x v="0"/>
    <x v="4"/>
    <x v="7"/>
    <n v="1760"/>
    <n v="57"/>
    <x v="759"/>
  </r>
  <r>
    <x v="430"/>
    <s v="Соседи"/>
    <x v="1"/>
    <x v="2"/>
    <x v="4"/>
    <n v="450"/>
    <n v="37"/>
    <x v="325"/>
  </r>
  <r>
    <x v="430"/>
    <s v="Копеечка"/>
    <x v="1"/>
    <x v="2"/>
    <x v="8"/>
    <n v="460"/>
    <n v="39"/>
    <x v="275"/>
  </r>
  <r>
    <x v="430"/>
    <s v="Соседи"/>
    <x v="1"/>
    <x v="0"/>
    <x v="5"/>
    <n v="930"/>
    <n v="35"/>
    <x v="993"/>
  </r>
  <r>
    <x v="430"/>
    <s v="Евроопт"/>
    <x v="1"/>
    <x v="0"/>
    <x v="24"/>
    <n v="2540"/>
    <n v="49"/>
    <x v="510"/>
  </r>
  <r>
    <x v="430"/>
    <s v="Евроопт"/>
    <x v="5"/>
    <x v="2"/>
    <x v="16"/>
    <n v="890"/>
    <n v="10"/>
    <x v="445"/>
  </r>
  <r>
    <x v="430"/>
    <s v="Соседи"/>
    <x v="6"/>
    <x v="4"/>
    <x v="21"/>
    <n v="3205"/>
    <n v="32"/>
    <x v="854"/>
  </r>
  <r>
    <x v="431"/>
    <m/>
    <x v="2"/>
    <x v="3"/>
    <x v="3"/>
    <m/>
    <m/>
    <x v="1454"/>
  </r>
  <r>
    <x v="432"/>
    <s v="Виталюр"/>
    <x v="3"/>
    <x v="1"/>
    <x v="19"/>
    <n v="540"/>
    <n v="69"/>
    <x v="1"/>
  </r>
  <r>
    <x v="432"/>
    <s v="Евроопт"/>
    <x v="3"/>
    <x v="2"/>
    <x v="2"/>
    <n v="325"/>
    <n v="40"/>
    <x v="1455"/>
  </r>
  <r>
    <x v="432"/>
    <s v="Копеечка"/>
    <x v="3"/>
    <x v="4"/>
    <x v="11"/>
    <n v="2970"/>
    <n v="46"/>
    <x v="1212"/>
  </r>
  <r>
    <x v="432"/>
    <s v="Евроопт"/>
    <x v="3"/>
    <x v="4"/>
    <x v="7"/>
    <n v="1760"/>
    <n v="98"/>
    <x v="536"/>
  </r>
  <r>
    <x v="432"/>
    <s v="Копеечка"/>
    <x v="0"/>
    <x v="2"/>
    <x v="16"/>
    <n v="890"/>
    <n v="53"/>
    <x v="1456"/>
  </r>
  <r>
    <x v="432"/>
    <s v="Евроопт"/>
    <x v="4"/>
    <x v="1"/>
    <x v="6"/>
    <n v="640"/>
    <n v="24"/>
    <x v="1106"/>
  </r>
  <r>
    <x v="432"/>
    <s v="Евроопт"/>
    <x v="1"/>
    <x v="1"/>
    <x v="19"/>
    <n v="540"/>
    <n v="88"/>
    <x v="413"/>
  </r>
  <r>
    <x v="432"/>
    <s v="Евроопт"/>
    <x v="1"/>
    <x v="4"/>
    <x v="21"/>
    <n v="3205"/>
    <n v="11"/>
    <x v="661"/>
  </r>
  <r>
    <x v="432"/>
    <s v="Копеечка"/>
    <x v="5"/>
    <x v="1"/>
    <x v="6"/>
    <n v="640"/>
    <n v="81"/>
    <x v="1362"/>
  </r>
  <r>
    <x v="432"/>
    <s v="Виталюр"/>
    <x v="5"/>
    <x v="4"/>
    <x v="13"/>
    <n v="1505"/>
    <n v="41"/>
    <x v="1089"/>
  </r>
  <r>
    <x v="432"/>
    <s v="Копеечка"/>
    <x v="6"/>
    <x v="0"/>
    <x v="22"/>
    <n v="1420"/>
    <n v="74"/>
    <x v="384"/>
  </r>
  <r>
    <x v="433"/>
    <m/>
    <x v="2"/>
    <x v="3"/>
    <x v="3"/>
    <m/>
    <m/>
    <x v="1457"/>
  </r>
  <r>
    <x v="434"/>
    <s v="Виталюр"/>
    <x v="3"/>
    <x v="1"/>
    <x v="1"/>
    <n v="1380"/>
    <n v="93"/>
    <x v="902"/>
  </r>
  <r>
    <x v="434"/>
    <s v="Копеечка"/>
    <x v="3"/>
    <x v="2"/>
    <x v="2"/>
    <n v="325"/>
    <n v="58"/>
    <x v="46"/>
  </r>
  <r>
    <x v="434"/>
    <s v="Копеечка"/>
    <x v="3"/>
    <x v="0"/>
    <x v="24"/>
    <n v="2540"/>
    <n v="21"/>
    <x v="658"/>
  </r>
  <r>
    <x v="434"/>
    <s v="Копеечка"/>
    <x v="4"/>
    <x v="4"/>
    <x v="11"/>
    <n v="2970"/>
    <n v="36"/>
    <x v="1458"/>
  </r>
  <r>
    <x v="434"/>
    <s v="Копеечка"/>
    <x v="4"/>
    <x v="4"/>
    <x v="14"/>
    <n v="1670"/>
    <n v="53"/>
    <x v="1244"/>
  </r>
  <r>
    <x v="434"/>
    <s v="Виталюр"/>
    <x v="1"/>
    <x v="2"/>
    <x v="16"/>
    <n v="890"/>
    <n v="79"/>
    <x v="1459"/>
  </r>
  <r>
    <x v="434"/>
    <s v="Евроопт"/>
    <x v="5"/>
    <x v="1"/>
    <x v="19"/>
    <n v="540"/>
    <n v="43"/>
    <x v="1460"/>
  </r>
  <r>
    <x v="434"/>
    <s v="Копеечка"/>
    <x v="5"/>
    <x v="1"/>
    <x v="19"/>
    <n v="540"/>
    <n v="39"/>
    <x v="1461"/>
  </r>
  <r>
    <x v="434"/>
    <s v="Виталюр"/>
    <x v="6"/>
    <x v="4"/>
    <x v="7"/>
    <n v="1760"/>
    <n v="18"/>
    <x v="1042"/>
  </r>
  <r>
    <x v="435"/>
    <m/>
    <x v="2"/>
    <x v="3"/>
    <x v="3"/>
    <m/>
    <m/>
    <x v="1462"/>
  </r>
  <r>
    <x v="436"/>
    <s v="Копеечка"/>
    <x v="0"/>
    <x v="4"/>
    <x v="7"/>
    <n v="1760"/>
    <n v="99"/>
    <x v="386"/>
  </r>
  <r>
    <x v="436"/>
    <s v="Соседи"/>
    <x v="4"/>
    <x v="2"/>
    <x v="9"/>
    <n v="690"/>
    <n v="6"/>
    <x v="1071"/>
  </r>
  <r>
    <x v="436"/>
    <s v="Виталюр"/>
    <x v="4"/>
    <x v="2"/>
    <x v="16"/>
    <n v="890"/>
    <n v="80"/>
    <x v="821"/>
  </r>
  <r>
    <x v="436"/>
    <s v="Копеечка"/>
    <x v="4"/>
    <x v="0"/>
    <x v="22"/>
    <n v="1420"/>
    <n v="12"/>
    <x v="134"/>
  </r>
  <r>
    <x v="436"/>
    <s v="Евроопт"/>
    <x v="4"/>
    <x v="4"/>
    <x v="14"/>
    <n v="1670"/>
    <n v="94"/>
    <x v="1463"/>
  </r>
  <r>
    <x v="437"/>
    <m/>
    <x v="2"/>
    <x v="3"/>
    <x v="3"/>
    <m/>
    <m/>
    <x v="1464"/>
  </r>
  <r>
    <x v="438"/>
    <s v="Соседи"/>
    <x v="3"/>
    <x v="4"/>
    <x v="15"/>
    <n v="2460"/>
    <n v="52"/>
    <x v="1465"/>
  </r>
  <r>
    <x v="438"/>
    <s v="Копеечка"/>
    <x v="0"/>
    <x v="1"/>
    <x v="1"/>
    <n v="1380"/>
    <n v="14"/>
    <x v="1204"/>
  </r>
  <r>
    <x v="438"/>
    <s v="Соседи"/>
    <x v="0"/>
    <x v="1"/>
    <x v="6"/>
    <n v="640"/>
    <n v="54"/>
    <x v="1466"/>
  </r>
  <r>
    <x v="438"/>
    <s v="Виталюр"/>
    <x v="0"/>
    <x v="4"/>
    <x v="15"/>
    <n v="2460"/>
    <n v="73"/>
    <x v="897"/>
  </r>
  <r>
    <x v="438"/>
    <s v="Копеечка"/>
    <x v="4"/>
    <x v="2"/>
    <x v="8"/>
    <n v="460"/>
    <n v="59"/>
    <x v="840"/>
  </r>
  <r>
    <x v="438"/>
    <s v="Виталюр"/>
    <x v="5"/>
    <x v="2"/>
    <x v="9"/>
    <n v="690"/>
    <n v="28"/>
    <x v="1204"/>
  </r>
  <r>
    <x v="438"/>
    <s v="Копеечка"/>
    <x v="5"/>
    <x v="4"/>
    <x v="13"/>
    <n v="1505"/>
    <n v="76"/>
    <x v="1451"/>
  </r>
  <r>
    <x v="438"/>
    <s v="Виталюр"/>
    <x v="6"/>
    <x v="4"/>
    <x v="15"/>
    <n v="2460"/>
    <n v="78"/>
    <x v="380"/>
  </r>
  <r>
    <x v="439"/>
    <m/>
    <x v="2"/>
    <x v="3"/>
    <x v="3"/>
    <m/>
    <m/>
    <x v="1467"/>
  </r>
  <r>
    <x v="440"/>
    <s v="Копеечка"/>
    <x v="3"/>
    <x v="0"/>
    <x v="24"/>
    <n v="2540"/>
    <n v="82"/>
    <x v="263"/>
  </r>
  <r>
    <x v="440"/>
    <s v="Копеечка"/>
    <x v="0"/>
    <x v="0"/>
    <x v="5"/>
    <n v="930"/>
    <n v="34"/>
    <x v="653"/>
  </r>
  <r>
    <x v="440"/>
    <s v="Виталюр"/>
    <x v="4"/>
    <x v="1"/>
    <x v="20"/>
    <n v="650"/>
    <n v="32"/>
    <x v="237"/>
  </r>
  <r>
    <x v="441"/>
    <m/>
    <x v="2"/>
    <x v="3"/>
    <x v="3"/>
    <m/>
    <m/>
    <x v="1468"/>
  </r>
  <r>
    <x v="442"/>
    <s v="Евроопт"/>
    <x v="3"/>
    <x v="1"/>
    <x v="23"/>
    <n v="705"/>
    <n v="41"/>
    <x v="1469"/>
  </r>
  <r>
    <x v="442"/>
    <s v="Соседи"/>
    <x v="3"/>
    <x v="2"/>
    <x v="8"/>
    <n v="460"/>
    <n v="69"/>
    <x v="610"/>
  </r>
  <r>
    <x v="442"/>
    <s v="Евроопт"/>
    <x v="0"/>
    <x v="2"/>
    <x v="8"/>
    <n v="460"/>
    <n v="50"/>
    <x v="1470"/>
  </r>
  <r>
    <x v="442"/>
    <s v="Соседи"/>
    <x v="0"/>
    <x v="2"/>
    <x v="4"/>
    <n v="450"/>
    <n v="10"/>
    <x v="862"/>
  </r>
  <r>
    <x v="442"/>
    <s v="Виталюр"/>
    <x v="0"/>
    <x v="0"/>
    <x v="22"/>
    <n v="1420"/>
    <n v="43"/>
    <x v="777"/>
  </r>
  <r>
    <x v="442"/>
    <s v="Виталюр"/>
    <x v="4"/>
    <x v="1"/>
    <x v="18"/>
    <n v="650"/>
    <n v="10"/>
    <x v="562"/>
  </r>
  <r>
    <x v="442"/>
    <s v="Копеечка"/>
    <x v="4"/>
    <x v="2"/>
    <x v="9"/>
    <n v="690"/>
    <n v="94"/>
    <x v="752"/>
  </r>
  <r>
    <x v="442"/>
    <s v="Соседи"/>
    <x v="1"/>
    <x v="4"/>
    <x v="7"/>
    <n v="1760"/>
    <n v="86"/>
    <x v="1471"/>
  </r>
  <r>
    <x v="442"/>
    <s v="Виталюр"/>
    <x v="6"/>
    <x v="1"/>
    <x v="6"/>
    <n v="640"/>
    <n v="46"/>
    <x v="582"/>
  </r>
  <r>
    <x v="442"/>
    <s v="Соседи"/>
    <x v="6"/>
    <x v="1"/>
    <x v="23"/>
    <n v="705"/>
    <n v="84"/>
    <x v="1472"/>
  </r>
  <r>
    <x v="442"/>
    <s v="Евроопт"/>
    <x v="6"/>
    <x v="2"/>
    <x v="12"/>
    <n v="715"/>
    <n v="14"/>
    <x v="13"/>
  </r>
  <r>
    <x v="443"/>
    <m/>
    <x v="2"/>
    <x v="3"/>
    <x v="3"/>
    <m/>
    <m/>
    <x v="1473"/>
  </r>
  <r>
    <x v="444"/>
    <s v="Виталюр"/>
    <x v="3"/>
    <x v="0"/>
    <x v="17"/>
    <n v="2400"/>
    <n v="12"/>
    <x v="242"/>
  </r>
  <r>
    <x v="444"/>
    <s v="Виталюр"/>
    <x v="0"/>
    <x v="0"/>
    <x v="17"/>
    <n v="2400"/>
    <n v="51"/>
    <x v="152"/>
  </r>
  <r>
    <x v="444"/>
    <s v="Евроопт"/>
    <x v="1"/>
    <x v="0"/>
    <x v="0"/>
    <n v="1320"/>
    <n v="21"/>
    <x v="1474"/>
  </r>
  <r>
    <x v="444"/>
    <s v="Евроопт"/>
    <x v="1"/>
    <x v="4"/>
    <x v="11"/>
    <n v="2970"/>
    <n v="45"/>
    <x v="784"/>
  </r>
  <r>
    <x v="444"/>
    <s v="Евроопт"/>
    <x v="5"/>
    <x v="2"/>
    <x v="12"/>
    <n v="715"/>
    <n v="82"/>
    <x v="842"/>
  </r>
  <r>
    <x v="445"/>
    <m/>
    <x v="2"/>
    <x v="3"/>
    <x v="3"/>
    <m/>
    <m/>
    <x v="1475"/>
  </r>
  <r>
    <x v="446"/>
    <s v="Евроопт"/>
    <x v="4"/>
    <x v="2"/>
    <x v="4"/>
    <n v="450"/>
    <n v="92"/>
    <x v="356"/>
  </r>
  <r>
    <x v="446"/>
    <s v="Копеечка"/>
    <x v="1"/>
    <x v="1"/>
    <x v="18"/>
    <n v="650"/>
    <n v="7"/>
    <x v="928"/>
  </r>
  <r>
    <x v="446"/>
    <s v="Виталюр"/>
    <x v="1"/>
    <x v="2"/>
    <x v="8"/>
    <n v="460"/>
    <n v="78"/>
    <x v="690"/>
  </r>
  <r>
    <x v="446"/>
    <s v="Соседи"/>
    <x v="1"/>
    <x v="0"/>
    <x v="10"/>
    <n v="1230"/>
    <n v="72"/>
    <x v="272"/>
  </r>
  <r>
    <x v="446"/>
    <s v="Виталюр"/>
    <x v="6"/>
    <x v="4"/>
    <x v="21"/>
    <n v="3205"/>
    <n v="89"/>
    <x v="751"/>
  </r>
  <r>
    <x v="447"/>
    <m/>
    <x v="2"/>
    <x v="3"/>
    <x v="3"/>
    <m/>
    <m/>
    <x v="1476"/>
  </r>
  <r>
    <x v="448"/>
    <s v="Соседи"/>
    <x v="3"/>
    <x v="0"/>
    <x v="24"/>
    <n v="2540"/>
    <n v="37"/>
    <x v="300"/>
  </r>
  <r>
    <x v="448"/>
    <s v="Соседи"/>
    <x v="3"/>
    <x v="4"/>
    <x v="15"/>
    <n v="2460"/>
    <n v="48"/>
    <x v="491"/>
  </r>
  <r>
    <x v="448"/>
    <s v="Виталюр"/>
    <x v="1"/>
    <x v="2"/>
    <x v="4"/>
    <n v="450"/>
    <n v="55"/>
    <x v="418"/>
  </r>
  <r>
    <x v="448"/>
    <s v="Виталюр"/>
    <x v="1"/>
    <x v="4"/>
    <x v="15"/>
    <n v="2460"/>
    <n v="50"/>
    <x v="284"/>
  </r>
  <r>
    <x v="448"/>
    <s v="Евроопт"/>
    <x v="5"/>
    <x v="2"/>
    <x v="16"/>
    <n v="890"/>
    <n v="9"/>
    <x v="1022"/>
  </r>
  <r>
    <x v="448"/>
    <s v="Виталюр"/>
    <x v="6"/>
    <x v="1"/>
    <x v="23"/>
    <n v="705"/>
    <n v="21"/>
    <x v="130"/>
  </r>
  <r>
    <x v="448"/>
    <s v="Копеечка"/>
    <x v="6"/>
    <x v="2"/>
    <x v="8"/>
    <n v="460"/>
    <n v="7"/>
    <x v="278"/>
  </r>
  <r>
    <x v="448"/>
    <s v="Евроопт"/>
    <x v="6"/>
    <x v="2"/>
    <x v="2"/>
    <n v="325"/>
    <n v="76"/>
    <x v="573"/>
  </r>
  <r>
    <x v="448"/>
    <s v="Виталюр"/>
    <x v="6"/>
    <x v="0"/>
    <x v="0"/>
    <n v="1320"/>
    <n v="60"/>
    <x v="30"/>
  </r>
  <r>
    <x v="449"/>
    <m/>
    <x v="2"/>
    <x v="3"/>
    <x v="3"/>
    <m/>
    <m/>
    <x v="1477"/>
  </r>
  <r>
    <x v="450"/>
    <s v="Копеечка"/>
    <x v="3"/>
    <x v="1"/>
    <x v="23"/>
    <n v="705"/>
    <n v="35"/>
    <x v="1478"/>
  </r>
  <r>
    <x v="450"/>
    <s v="Виталюр"/>
    <x v="3"/>
    <x v="0"/>
    <x v="5"/>
    <n v="930"/>
    <n v="93"/>
    <x v="1479"/>
  </r>
  <r>
    <x v="450"/>
    <s v="Виталюр"/>
    <x v="0"/>
    <x v="4"/>
    <x v="13"/>
    <n v="1505"/>
    <n v="74"/>
    <x v="731"/>
  </r>
  <r>
    <x v="450"/>
    <s v="Евроопт"/>
    <x v="4"/>
    <x v="2"/>
    <x v="16"/>
    <n v="890"/>
    <n v="46"/>
    <x v="402"/>
  </r>
  <r>
    <x v="450"/>
    <s v="Евроопт"/>
    <x v="4"/>
    <x v="4"/>
    <x v="13"/>
    <n v="1505"/>
    <n v="76"/>
    <x v="1451"/>
  </r>
  <r>
    <x v="450"/>
    <s v="Соседи"/>
    <x v="4"/>
    <x v="4"/>
    <x v="14"/>
    <n v="1670"/>
    <n v="83"/>
    <x v="1480"/>
  </r>
  <r>
    <x v="450"/>
    <s v="Копеечка"/>
    <x v="1"/>
    <x v="0"/>
    <x v="22"/>
    <n v="1420"/>
    <n v="11"/>
    <x v="309"/>
  </r>
  <r>
    <x v="450"/>
    <s v="Виталюр"/>
    <x v="1"/>
    <x v="0"/>
    <x v="5"/>
    <n v="930"/>
    <n v="47"/>
    <x v="713"/>
  </r>
  <r>
    <x v="450"/>
    <s v="Виталюр"/>
    <x v="1"/>
    <x v="0"/>
    <x v="10"/>
    <n v="1230"/>
    <n v="32"/>
    <x v="581"/>
  </r>
  <r>
    <x v="450"/>
    <s v="Соседи"/>
    <x v="1"/>
    <x v="4"/>
    <x v="7"/>
    <n v="1760"/>
    <n v="33"/>
    <x v="660"/>
  </r>
  <r>
    <x v="451"/>
    <m/>
    <x v="2"/>
    <x v="3"/>
    <x v="3"/>
    <m/>
    <m/>
    <x v="1481"/>
  </r>
  <r>
    <x v="452"/>
    <s v="Соседи"/>
    <x v="0"/>
    <x v="2"/>
    <x v="4"/>
    <n v="450"/>
    <n v="97"/>
    <x v="321"/>
  </r>
  <r>
    <x v="452"/>
    <s v="Копеечка"/>
    <x v="0"/>
    <x v="2"/>
    <x v="8"/>
    <n v="460"/>
    <n v="88"/>
    <x v="539"/>
  </r>
  <r>
    <x v="452"/>
    <s v="Евроопт"/>
    <x v="0"/>
    <x v="0"/>
    <x v="10"/>
    <n v="1230"/>
    <n v="97"/>
    <x v="1482"/>
  </r>
  <r>
    <x v="452"/>
    <s v="Копеечка"/>
    <x v="0"/>
    <x v="0"/>
    <x v="0"/>
    <n v="1320"/>
    <n v="74"/>
    <x v="1483"/>
  </r>
  <r>
    <x v="452"/>
    <s v="Соседи"/>
    <x v="4"/>
    <x v="1"/>
    <x v="18"/>
    <n v="650"/>
    <n v="54"/>
    <x v="158"/>
  </r>
  <r>
    <x v="452"/>
    <s v="Виталюр"/>
    <x v="4"/>
    <x v="0"/>
    <x v="24"/>
    <n v="2540"/>
    <n v="9"/>
    <x v="1484"/>
  </r>
  <r>
    <x v="452"/>
    <s v="Копеечка"/>
    <x v="1"/>
    <x v="0"/>
    <x v="17"/>
    <n v="2400"/>
    <n v="45"/>
    <x v="1356"/>
  </r>
  <r>
    <x v="452"/>
    <s v="Соседи"/>
    <x v="5"/>
    <x v="1"/>
    <x v="18"/>
    <n v="650"/>
    <n v="86"/>
    <x v="1072"/>
  </r>
  <r>
    <x v="452"/>
    <s v="Евроопт"/>
    <x v="5"/>
    <x v="1"/>
    <x v="23"/>
    <n v="705"/>
    <n v="21"/>
    <x v="130"/>
  </r>
  <r>
    <x v="452"/>
    <s v="Виталюр"/>
    <x v="5"/>
    <x v="1"/>
    <x v="19"/>
    <n v="540"/>
    <n v="98"/>
    <x v="136"/>
  </r>
  <r>
    <x v="452"/>
    <s v="Соседи"/>
    <x v="5"/>
    <x v="4"/>
    <x v="21"/>
    <n v="3205"/>
    <n v="21"/>
    <x v="320"/>
  </r>
  <r>
    <x v="452"/>
    <s v="Виталюр"/>
    <x v="6"/>
    <x v="4"/>
    <x v="13"/>
    <n v="1505"/>
    <n v="65"/>
    <x v="911"/>
  </r>
  <r>
    <x v="452"/>
    <s v="Виталюр"/>
    <x v="6"/>
    <x v="4"/>
    <x v="11"/>
    <n v="2970"/>
    <n v="17"/>
    <x v="249"/>
  </r>
  <r>
    <x v="453"/>
    <m/>
    <x v="2"/>
    <x v="3"/>
    <x v="3"/>
    <m/>
    <m/>
    <x v="1485"/>
  </r>
  <r>
    <x v="454"/>
    <s v="Копеечка"/>
    <x v="3"/>
    <x v="4"/>
    <x v="11"/>
    <n v="2970"/>
    <n v="69"/>
    <x v="1486"/>
  </r>
  <r>
    <x v="454"/>
    <s v="Копеечка"/>
    <x v="4"/>
    <x v="1"/>
    <x v="23"/>
    <n v="705"/>
    <n v="32"/>
    <x v="1487"/>
  </r>
  <r>
    <x v="454"/>
    <s v="Копеечка"/>
    <x v="4"/>
    <x v="0"/>
    <x v="0"/>
    <n v="1320"/>
    <n v="87"/>
    <x v="525"/>
  </r>
  <r>
    <x v="454"/>
    <s v="Копеечка"/>
    <x v="4"/>
    <x v="0"/>
    <x v="5"/>
    <n v="930"/>
    <n v="27"/>
    <x v="1488"/>
  </r>
  <r>
    <x v="454"/>
    <s v="Копеечка"/>
    <x v="4"/>
    <x v="0"/>
    <x v="0"/>
    <n v="1320"/>
    <n v="98"/>
    <x v="1489"/>
  </r>
  <r>
    <x v="454"/>
    <s v="Соседи"/>
    <x v="1"/>
    <x v="4"/>
    <x v="15"/>
    <n v="2460"/>
    <n v="57"/>
    <x v="1431"/>
  </r>
  <r>
    <x v="454"/>
    <s v="Евроопт"/>
    <x v="6"/>
    <x v="1"/>
    <x v="1"/>
    <n v="1380"/>
    <n v="57"/>
    <x v="890"/>
  </r>
  <r>
    <x v="454"/>
    <s v="Виталюр"/>
    <x v="6"/>
    <x v="4"/>
    <x v="21"/>
    <n v="3205"/>
    <n v="24"/>
    <x v="867"/>
  </r>
  <r>
    <x v="455"/>
    <m/>
    <x v="2"/>
    <x v="3"/>
    <x v="3"/>
    <m/>
    <m/>
    <x v="1490"/>
  </r>
  <r>
    <x v="456"/>
    <s v="Виталюр"/>
    <x v="3"/>
    <x v="1"/>
    <x v="1"/>
    <n v="1380"/>
    <n v="40"/>
    <x v="985"/>
  </r>
  <r>
    <x v="456"/>
    <s v="Соседи"/>
    <x v="3"/>
    <x v="2"/>
    <x v="2"/>
    <n v="325"/>
    <n v="72"/>
    <x v="756"/>
  </r>
  <r>
    <x v="456"/>
    <s v="Копеечка"/>
    <x v="4"/>
    <x v="1"/>
    <x v="23"/>
    <n v="705"/>
    <n v="42"/>
    <x v="1125"/>
  </r>
  <r>
    <x v="456"/>
    <s v="Виталюр"/>
    <x v="4"/>
    <x v="1"/>
    <x v="20"/>
    <n v="650"/>
    <n v="16"/>
    <x v="673"/>
  </r>
  <r>
    <x v="456"/>
    <s v="Соседи"/>
    <x v="1"/>
    <x v="0"/>
    <x v="10"/>
    <n v="1230"/>
    <n v="38"/>
    <x v="1491"/>
  </r>
  <r>
    <x v="456"/>
    <s v="Евроопт"/>
    <x v="5"/>
    <x v="4"/>
    <x v="13"/>
    <n v="1505"/>
    <n v="88"/>
    <x v="1492"/>
  </r>
  <r>
    <x v="456"/>
    <s v="Соседи"/>
    <x v="6"/>
    <x v="1"/>
    <x v="18"/>
    <n v="650"/>
    <n v="31"/>
    <x v="306"/>
  </r>
  <r>
    <x v="456"/>
    <s v="Копеечка"/>
    <x v="6"/>
    <x v="4"/>
    <x v="7"/>
    <n v="1760"/>
    <n v="71"/>
    <x v="444"/>
  </r>
  <r>
    <x v="457"/>
    <m/>
    <x v="2"/>
    <x v="3"/>
    <x v="3"/>
    <m/>
    <m/>
    <x v="1493"/>
  </r>
  <r>
    <x v="458"/>
    <s v="Виталюр"/>
    <x v="3"/>
    <x v="1"/>
    <x v="19"/>
    <n v="540"/>
    <n v="54"/>
    <x v="789"/>
  </r>
  <r>
    <x v="458"/>
    <s v="Копеечка"/>
    <x v="3"/>
    <x v="2"/>
    <x v="16"/>
    <n v="890"/>
    <n v="92"/>
    <x v="595"/>
  </r>
  <r>
    <x v="458"/>
    <s v="Соседи"/>
    <x v="3"/>
    <x v="4"/>
    <x v="21"/>
    <n v="3205"/>
    <n v="59"/>
    <x v="109"/>
  </r>
  <r>
    <x v="458"/>
    <s v="Евроопт"/>
    <x v="4"/>
    <x v="2"/>
    <x v="9"/>
    <n v="690"/>
    <n v="50"/>
    <x v="1057"/>
  </r>
  <r>
    <x v="458"/>
    <s v="Копеечка"/>
    <x v="4"/>
    <x v="0"/>
    <x v="17"/>
    <n v="2400"/>
    <n v="96"/>
    <x v="1281"/>
  </r>
  <r>
    <x v="458"/>
    <s v="Евроопт"/>
    <x v="1"/>
    <x v="1"/>
    <x v="19"/>
    <n v="540"/>
    <n v="99"/>
    <x v="804"/>
  </r>
  <r>
    <x v="458"/>
    <s v="Виталюр"/>
    <x v="5"/>
    <x v="0"/>
    <x v="5"/>
    <n v="930"/>
    <n v="21"/>
    <x v="1494"/>
  </r>
  <r>
    <x v="459"/>
    <m/>
    <x v="2"/>
    <x v="3"/>
    <x v="3"/>
    <m/>
    <m/>
    <x v="1495"/>
  </r>
  <r>
    <x v="460"/>
    <s v="Евроопт"/>
    <x v="3"/>
    <x v="2"/>
    <x v="16"/>
    <n v="890"/>
    <n v="76"/>
    <x v="1496"/>
  </r>
  <r>
    <x v="460"/>
    <s v="Соседи"/>
    <x v="3"/>
    <x v="4"/>
    <x v="11"/>
    <n v="2970"/>
    <n v="19"/>
    <x v="844"/>
  </r>
  <r>
    <x v="460"/>
    <s v="Евроопт"/>
    <x v="0"/>
    <x v="1"/>
    <x v="20"/>
    <n v="650"/>
    <n v="20"/>
    <x v="1455"/>
  </r>
  <r>
    <x v="460"/>
    <s v="Евроопт"/>
    <x v="0"/>
    <x v="0"/>
    <x v="10"/>
    <n v="1230"/>
    <n v="79"/>
    <x v="808"/>
  </r>
  <r>
    <x v="460"/>
    <s v="Соседи"/>
    <x v="0"/>
    <x v="4"/>
    <x v="11"/>
    <n v="2970"/>
    <n v="25"/>
    <x v="1497"/>
  </r>
  <r>
    <x v="460"/>
    <s v="Соседи"/>
    <x v="4"/>
    <x v="2"/>
    <x v="16"/>
    <n v="890"/>
    <n v="91"/>
    <x v="1498"/>
  </r>
  <r>
    <x v="460"/>
    <s v="Соседи"/>
    <x v="4"/>
    <x v="2"/>
    <x v="9"/>
    <n v="690"/>
    <n v="91"/>
    <x v="1174"/>
  </r>
  <r>
    <x v="460"/>
    <s v="Евроопт"/>
    <x v="4"/>
    <x v="4"/>
    <x v="13"/>
    <n v="1505"/>
    <n v="19"/>
    <x v="945"/>
  </r>
  <r>
    <x v="460"/>
    <s v="Копеечка"/>
    <x v="5"/>
    <x v="1"/>
    <x v="1"/>
    <n v="1380"/>
    <n v="10"/>
    <x v="505"/>
  </r>
  <r>
    <x v="460"/>
    <s v="Соседи"/>
    <x v="5"/>
    <x v="1"/>
    <x v="19"/>
    <n v="540"/>
    <n v="48"/>
    <x v="364"/>
  </r>
  <r>
    <x v="460"/>
    <s v="Виталюр"/>
    <x v="5"/>
    <x v="4"/>
    <x v="11"/>
    <n v="2970"/>
    <n v="72"/>
    <x v="492"/>
  </r>
  <r>
    <x v="460"/>
    <s v="Соседи"/>
    <x v="5"/>
    <x v="4"/>
    <x v="13"/>
    <n v="1505"/>
    <n v="7"/>
    <x v="1102"/>
  </r>
  <r>
    <x v="460"/>
    <s v="Копеечка"/>
    <x v="6"/>
    <x v="1"/>
    <x v="20"/>
    <n v="650"/>
    <n v="24"/>
    <x v="337"/>
  </r>
  <r>
    <x v="460"/>
    <s v="Евроопт"/>
    <x v="6"/>
    <x v="4"/>
    <x v="11"/>
    <n v="2970"/>
    <n v="74"/>
    <x v="188"/>
  </r>
  <r>
    <x v="460"/>
    <s v="Копеечка"/>
    <x v="6"/>
    <x v="4"/>
    <x v="14"/>
    <n v="1670"/>
    <n v="36"/>
    <x v="500"/>
  </r>
  <r>
    <x v="461"/>
    <m/>
    <x v="2"/>
    <x v="3"/>
    <x v="3"/>
    <m/>
    <m/>
    <x v="1499"/>
  </r>
  <r>
    <x v="462"/>
    <s v="Соседи"/>
    <x v="0"/>
    <x v="4"/>
    <x v="7"/>
    <n v="1760"/>
    <n v="45"/>
    <x v="30"/>
  </r>
  <r>
    <x v="462"/>
    <s v="Соседи"/>
    <x v="0"/>
    <x v="4"/>
    <x v="14"/>
    <n v="1670"/>
    <n v="100"/>
    <x v="1363"/>
  </r>
  <r>
    <x v="462"/>
    <s v="Виталюр"/>
    <x v="1"/>
    <x v="2"/>
    <x v="12"/>
    <n v="715"/>
    <n v="95"/>
    <x v="1500"/>
  </r>
  <r>
    <x v="462"/>
    <s v="Соседи"/>
    <x v="1"/>
    <x v="4"/>
    <x v="14"/>
    <n v="1670"/>
    <n v="68"/>
    <x v="1410"/>
  </r>
  <r>
    <x v="462"/>
    <s v="Соседи"/>
    <x v="5"/>
    <x v="1"/>
    <x v="23"/>
    <n v="705"/>
    <n v="18"/>
    <x v="1412"/>
  </r>
  <r>
    <x v="462"/>
    <s v="Евроопт"/>
    <x v="6"/>
    <x v="0"/>
    <x v="17"/>
    <n v="2400"/>
    <n v="81"/>
    <x v="589"/>
  </r>
  <r>
    <x v="462"/>
    <s v="Виталюр"/>
    <x v="6"/>
    <x v="4"/>
    <x v="15"/>
    <n v="2460"/>
    <n v="6"/>
    <x v="154"/>
  </r>
  <r>
    <x v="463"/>
    <m/>
    <x v="2"/>
    <x v="3"/>
    <x v="3"/>
    <m/>
    <m/>
    <x v="1501"/>
  </r>
  <r>
    <x v="464"/>
    <s v="Копеечка"/>
    <x v="3"/>
    <x v="1"/>
    <x v="6"/>
    <n v="640"/>
    <n v="34"/>
    <x v="800"/>
  </r>
  <r>
    <x v="464"/>
    <s v="Виталюр"/>
    <x v="3"/>
    <x v="4"/>
    <x v="11"/>
    <n v="2970"/>
    <n v="5"/>
    <x v="612"/>
  </r>
  <r>
    <x v="464"/>
    <s v="Евроопт"/>
    <x v="0"/>
    <x v="1"/>
    <x v="1"/>
    <n v="1380"/>
    <n v="85"/>
    <x v="806"/>
  </r>
  <r>
    <x v="464"/>
    <s v="Соседи"/>
    <x v="0"/>
    <x v="1"/>
    <x v="1"/>
    <n v="1380"/>
    <n v="96"/>
    <x v="563"/>
  </r>
  <r>
    <x v="464"/>
    <s v="Виталюр"/>
    <x v="0"/>
    <x v="0"/>
    <x v="5"/>
    <n v="930"/>
    <n v="41"/>
    <x v="796"/>
  </r>
  <r>
    <x v="464"/>
    <s v="Евроопт"/>
    <x v="4"/>
    <x v="4"/>
    <x v="21"/>
    <n v="3205"/>
    <n v="23"/>
    <x v="1435"/>
  </r>
  <r>
    <x v="464"/>
    <s v="Соседи"/>
    <x v="1"/>
    <x v="1"/>
    <x v="20"/>
    <n v="650"/>
    <n v="51"/>
    <x v="516"/>
  </r>
  <r>
    <x v="464"/>
    <s v="Евроопт"/>
    <x v="1"/>
    <x v="1"/>
    <x v="20"/>
    <n v="650"/>
    <n v="88"/>
    <x v="83"/>
  </r>
  <r>
    <x v="464"/>
    <s v="Виталюр"/>
    <x v="1"/>
    <x v="0"/>
    <x v="17"/>
    <n v="2400"/>
    <n v="11"/>
    <x v="257"/>
  </r>
  <r>
    <x v="464"/>
    <s v="Копеечка"/>
    <x v="5"/>
    <x v="2"/>
    <x v="12"/>
    <n v="715"/>
    <n v="79"/>
    <x v="240"/>
  </r>
  <r>
    <x v="464"/>
    <s v="Соседи"/>
    <x v="5"/>
    <x v="0"/>
    <x v="10"/>
    <n v="1230"/>
    <n v="50"/>
    <x v="1217"/>
  </r>
  <r>
    <x v="464"/>
    <s v="Евроопт"/>
    <x v="6"/>
    <x v="0"/>
    <x v="24"/>
    <n v="2540"/>
    <n v="55"/>
    <x v="207"/>
  </r>
  <r>
    <x v="465"/>
    <m/>
    <x v="2"/>
    <x v="3"/>
    <x v="3"/>
    <m/>
    <m/>
    <x v="1502"/>
  </r>
  <r>
    <x v="466"/>
    <s v="Соседи"/>
    <x v="3"/>
    <x v="1"/>
    <x v="1"/>
    <n v="1380"/>
    <n v="43"/>
    <x v="147"/>
  </r>
  <r>
    <x v="466"/>
    <s v="Евроопт"/>
    <x v="3"/>
    <x v="2"/>
    <x v="2"/>
    <n v="325"/>
    <n v="45"/>
    <x v="1503"/>
  </r>
  <r>
    <x v="466"/>
    <s v="Соседи"/>
    <x v="3"/>
    <x v="0"/>
    <x v="0"/>
    <n v="1320"/>
    <n v="17"/>
    <x v="659"/>
  </r>
  <r>
    <x v="466"/>
    <s v="Соседи"/>
    <x v="3"/>
    <x v="0"/>
    <x v="24"/>
    <n v="2540"/>
    <n v="52"/>
    <x v="894"/>
  </r>
  <r>
    <x v="466"/>
    <s v="Евроопт"/>
    <x v="0"/>
    <x v="1"/>
    <x v="23"/>
    <n v="705"/>
    <n v="40"/>
    <x v="1121"/>
  </r>
  <r>
    <x v="466"/>
    <s v="Копеечка"/>
    <x v="0"/>
    <x v="0"/>
    <x v="24"/>
    <n v="2540"/>
    <n v="56"/>
    <x v="127"/>
  </r>
  <r>
    <x v="466"/>
    <s v="Евроопт"/>
    <x v="0"/>
    <x v="0"/>
    <x v="22"/>
    <n v="1420"/>
    <n v="92"/>
    <x v="508"/>
  </r>
  <r>
    <x v="466"/>
    <s v="Евроопт"/>
    <x v="0"/>
    <x v="0"/>
    <x v="17"/>
    <n v="2400"/>
    <n v="99"/>
    <x v="41"/>
  </r>
  <r>
    <x v="466"/>
    <s v="Евроопт"/>
    <x v="1"/>
    <x v="1"/>
    <x v="6"/>
    <n v="640"/>
    <n v="84"/>
    <x v="1504"/>
  </r>
  <r>
    <x v="466"/>
    <s v="Виталюр"/>
    <x v="1"/>
    <x v="0"/>
    <x v="5"/>
    <n v="930"/>
    <n v="83"/>
    <x v="1505"/>
  </r>
  <r>
    <x v="466"/>
    <s v="Виталюр"/>
    <x v="1"/>
    <x v="4"/>
    <x v="7"/>
    <n v="1760"/>
    <n v="30"/>
    <x v="94"/>
  </r>
  <r>
    <x v="466"/>
    <s v="Евроопт"/>
    <x v="5"/>
    <x v="2"/>
    <x v="9"/>
    <n v="690"/>
    <n v="9"/>
    <x v="24"/>
  </r>
  <r>
    <x v="466"/>
    <s v="Соседи"/>
    <x v="5"/>
    <x v="4"/>
    <x v="13"/>
    <n v="1505"/>
    <n v="47"/>
    <x v="1506"/>
  </r>
  <r>
    <x v="466"/>
    <s v="Евроопт"/>
    <x v="6"/>
    <x v="1"/>
    <x v="19"/>
    <n v="540"/>
    <n v="16"/>
    <x v="431"/>
  </r>
  <r>
    <x v="466"/>
    <s v="Копеечка"/>
    <x v="6"/>
    <x v="4"/>
    <x v="14"/>
    <n v="1670"/>
    <n v="29"/>
    <x v="1507"/>
  </r>
  <r>
    <x v="467"/>
    <m/>
    <x v="2"/>
    <x v="3"/>
    <x v="3"/>
    <m/>
    <m/>
    <x v="1508"/>
  </r>
  <r>
    <x v="468"/>
    <s v="Соседи"/>
    <x v="3"/>
    <x v="4"/>
    <x v="13"/>
    <n v="1505"/>
    <n v="77"/>
    <x v="1083"/>
  </r>
  <r>
    <x v="468"/>
    <s v="Евроопт"/>
    <x v="0"/>
    <x v="1"/>
    <x v="19"/>
    <n v="540"/>
    <n v="76"/>
    <x v="709"/>
  </r>
  <r>
    <x v="468"/>
    <s v="Евроопт"/>
    <x v="0"/>
    <x v="1"/>
    <x v="23"/>
    <n v="705"/>
    <n v="60"/>
    <x v="1509"/>
  </r>
  <r>
    <x v="468"/>
    <s v="Копеечка"/>
    <x v="0"/>
    <x v="0"/>
    <x v="17"/>
    <n v="2400"/>
    <n v="93"/>
    <x v="1510"/>
  </r>
  <r>
    <x v="468"/>
    <s v="Евроопт"/>
    <x v="4"/>
    <x v="0"/>
    <x v="5"/>
    <n v="930"/>
    <n v="17"/>
    <x v="1511"/>
  </r>
  <r>
    <x v="468"/>
    <s v="Соседи"/>
    <x v="4"/>
    <x v="0"/>
    <x v="24"/>
    <n v="2540"/>
    <n v="14"/>
    <x v="1512"/>
  </r>
  <r>
    <x v="468"/>
    <s v="Соседи"/>
    <x v="5"/>
    <x v="0"/>
    <x v="22"/>
    <n v="1420"/>
    <n v="25"/>
    <x v="1513"/>
  </r>
  <r>
    <x v="468"/>
    <s v="Евроопт"/>
    <x v="5"/>
    <x v="0"/>
    <x v="22"/>
    <n v="1420"/>
    <n v="15"/>
    <x v="1514"/>
  </r>
  <r>
    <x v="468"/>
    <s v="Евроопт"/>
    <x v="5"/>
    <x v="4"/>
    <x v="11"/>
    <n v="2970"/>
    <n v="72"/>
    <x v="492"/>
  </r>
  <r>
    <x v="468"/>
    <s v="Виталюр"/>
    <x v="6"/>
    <x v="1"/>
    <x v="20"/>
    <n v="650"/>
    <n v="35"/>
    <x v="1515"/>
  </r>
  <r>
    <x v="468"/>
    <s v="Копеечка"/>
    <x v="6"/>
    <x v="2"/>
    <x v="9"/>
    <n v="690"/>
    <n v="57"/>
    <x v="1278"/>
  </r>
  <r>
    <x v="468"/>
    <s v="Копеечка"/>
    <x v="6"/>
    <x v="2"/>
    <x v="2"/>
    <n v="325"/>
    <n v="42"/>
    <x v="327"/>
  </r>
  <r>
    <x v="468"/>
    <s v="Копеечка"/>
    <x v="6"/>
    <x v="0"/>
    <x v="0"/>
    <n v="1320"/>
    <n v="72"/>
    <x v="1516"/>
  </r>
  <r>
    <x v="469"/>
    <m/>
    <x v="2"/>
    <x v="3"/>
    <x v="3"/>
    <m/>
    <m/>
    <x v="1517"/>
  </r>
  <r>
    <x v="470"/>
    <s v="Виталюр"/>
    <x v="3"/>
    <x v="1"/>
    <x v="1"/>
    <n v="1380"/>
    <n v="83"/>
    <x v="939"/>
  </r>
  <r>
    <x v="470"/>
    <s v="Виталюр"/>
    <x v="3"/>
    <x v="2"/>
    <x v="16"/>
    <n v="890"/>
    <n v="30"/>
    <x v="1427"/>
  </r>
  <r>
    <x v="470"/>
    <s v="Евроопт"/>
    <x v="3"/>
    <x v="4"/>
    <x v="21"/>
    <n v="3205"/>
    <n v="43"/>
    <x v="949"/>
  </r>
  <r>
    <x v="470"/>
    <s v="Виталюр"/>
    <x v="3"/>
    <x v="4"/>
    <x v="21"/>
    <n v="3205"/>
    <n v="17"/>
    <x v="608"/>
  </r>
  <r>
    <x v="470"/>
    <s v="Копеечка"/>
    <x v="0"/>
    <x v="4"/>
    <x v="15"/>
    <n v="2460"/>
    <n v="8"/>
    <x v="254"/>
  </r>
  <r>
    <x v="470"/>
    <s v="Соседи"/>
    <x v="4"/>
    <x v="1"/>
    <x v="18"/>
    <n v="650"/>
    <n v="71"/>
    <x v="161"/>
  </r>
  <r>
    <x v="470"/>
    <s v="Соседи"/>
    <x v="4"/>
    <x v="2"/>
    <x v="12"/>
    <n v="715"/>
    <n v="88"/>
    <x v="1013"/>
  </r>
  <r>
    <x v="470"/>
    <s v="Копеечка"/>
    <x v="1"/>
    <x v="1"/>
    <x v="19"/>
    <n v="540"/>
    <n v="65"/>
    <x v="158"/>
  </r>
  <r>
    <x v="470"/>
    <s v="Евроопт"/>
    <x v="1"/>
    <x v="2"/>
    <x v="8"/>
    <n v="460"/>
    <n v="13"/>
    <x v="1518"/>
  </r>
  <r>
    <x v="470"/>
    <s v="Копеечка"/>
    <x v="1"/>
    <x v="0"/>
    <x v="24"/>
    <n v="2540"/>
    <n v="97"/>
    <x v="1003"/>
  </r>
  <r>
    <x v="470"/>
    <s v="Копеечка"/>
    <x v="5"/>
    <x v="4"/>
    <x v="7"/>
    <n v="1760"/>
    <n v="41"/>
    <x v="363"/>
  </r>
  <r>
    <x v="471"/>
    <m/>
    <x v="2"/>
    <x v="3"/>
    <x v="3"/>
    <m/>
    <m/>
    <x v="1519"/>
  </r>
  <r>
    <x v="472"/>
    <s v="Соседи"/>
    <x v="3"/>
    <x v="1"/>
    <x v="6"/>
    <n v="640"/>
    <n v="57"/>
    <x v="349"/>
  </r>
  <r>
    <x v="472"/>
    <s v="Соседи"/>
    <x v="0"/>
    <x v="1"/>
    <x v="23"/>
    <n v="705"/>
    <n v="28"/>
    <x v="1520"/>
  </r>
  <r>
    <x v="472"/>
    <s v="Копеечка"/>
    <x v="0"/>
    <x v="2"/>
    <x v="2"/>
    <n v="325"/>
    <n v="17"/>
    <x v="38"/>
  </r>
  <r>
    <x v="472"/>
    <s v="Виталюр"/>
    <x v="1"/>
    <x v="1"/>
    <x v="20"/>
    <n v="650"/>
    <n v="26"/>
    <x v="619"/>
  </r>
  <r>
    <x v="472"/>
    <s v="Евроопт"/>
    <x v="1"/>
    <x v="4"/>
    <x v="7"/>
    <n v="1760"/>
    <n v="45"/>
    <x v="30"/>
  </r>
  <r>
    <x v="472"/>
    <s v="Виталюр"/>
    <x v="5"/>
    <x v="1"/>
    <x v="23"/>
    <n v="705"/>
    <n v="35"/>
    <x v="1478"/>
  </r>
  <r>
    <x v="472"/>
    <s v="Соседи"/>
    <x v="5"/>
    <x v="2"/>
    <x v="9"/>
    <n v="690"/>
    <n v="25"/>
    <x v="1386"/>
  </r>
  <r>
    <x v="472"/>
    <s v="Соседи"/>
    <x v="6"/>
    <x v="1"/>
    <x v="20"/>
    <n v="650"/>
    <n v="28"/>
    <x v="568"/>
  </r>
  <r>
    <x v="472"/>
    <s v="Соседи"/>
    <x v="6"/>
    <x v="2"/>
    <x v="2"/>
    <n v="325"/>
    <n v="48"/>
    <x v="337"/>
  </r>
  <r>
    <x v="472"/>
    <s v="Копеечка"/>
    <x v="6"/>
    <x v="2"/>
    <x v="2"/>
    <n v="325"/>
    <n v="32"/>
    <x v="673"/>
  </r>
  <r>
    <x v="472"/>
    <s v="Виталюр"/>
    <x v="6"/>
    <x v="4"/>
    <x v="13"/>
    <n v="1505"/>
    <n v="93"/>
    <x v="1449"/>
  </r>
  <r>
    <x v="473"/>
    <m/>
    <x v="2"/>
    <x v="3"/>
    <x v="3"/>
    <m/>
    <m/>
    <x v="1521"/>
  </r>
  <r>
    <x v="474"/>
    <s v="Виталюр"/>
    <x v="1"/>
    <x v="1"/>
    <x v="20"/>
    <n v="650"/>
    <n v="26"/>
    <x v="619"/>
  </r>
  <r>
    <x v="474"/>
    <s v="Соседи"/>
    <x v="1"/>
    <x v="0"/>
    <x v="10"/>
    <n v="1230"/>
    <n v="40"/>
    <x v="369"/>
  </r>
  <r>
    <x v="474"/>
    <s v="Соседи"/>
    <x v="1"/>
    <x v="4"/>
    <x v="15"/>
    <n v="2460"/>
    <n v="92"/>
    <x v="869"/>
  </r>
  <r>
    <x v="475"/>
    <m/>
    <x v="2"/>
    <x v="3"/>
    <x v="3"/>
    <m/>
    <m/>
    <x v="1522"/>
  </r>
  <r>
    <x v="476"/>
    <s v="Евроопт"/>
    <x v="3"/>
    <x v="4"/>
    <x v="14"/>
    <n v="1670"/>
    <n v="9"/>
    <x v="1523"/>
  </r>
  <r>
    <x v="476"/>
    <s v="Виталюр"/>
    <x v="1"/>
    <x v="4"/>
    <x v="15"/>
    <n v="2460"/>
    <n v="53"/>
    <x v="1524"/>
  </r>
  <r>
    <x v="476"/>
    <s v="Копеечка"/>
    <x v="5"/>
    <x v="1"/>
    <x v="20"/>
    <n v="650"/>
    <n v="82"/>
    <x v="1525"/>
  </r>
  <r>
    <x v="476"/>
    <s v="Копеечка"/>
    <x v="5"/>
    <x v="0"/>
    <x v="17"/>
    <n v="2400"/>
    <n v="43"/>
    <x v="978"/>
  </r>
  <r>
    <x v="476"/>
    <s v="Соседи"/>
    <x v="5"/>
    <x v="4"/>
    <x v="15"/>
    <n v="2460"/>
    <n v="94"/>
    <x v="1107"/>
  </r>
  <r>
    <x v="476"/>
    <s v="Соседи"/>
    <x v="6"/>
    <x v="0"/>
    <x v="24"/>
    <n v="2540"/>
    <n v="8"/>
    <x v="1526"/>
  </r>
  <r>
    <x v="476"/>
    <s v="Соседи"/>
    <x v="6"/>
    <x v="4"/>
    <x v="11"/>
    <n v="2970"/>
    <n v="74"/>
    <x v="188"/>
  </r>
  <r>
    <x v="477"/>
    <m/>
    <x v="2"/>
    <x v="3"/>
    <x v="3"/>
    <m/>
    <m/>
    <x v="1527"/>
  </r>
  <r>
    <x v="478"/>
    <s v="Соседи"/>
    <x v="3"/>
    <x v="1"/>
    <x v="18"/>
    <n v="650"/>
    <n v="60"/>
    <x v="1528"/>
  </r>
  <r>
    <x v="478"/>
    <s v="Соседи"/>
    <x v="4"/>
    <x v="2"/>
    <x v="8"/>
    <n v="460"/>
    <n v="39"/>
    <x v="275"/>
  </r>
  <r>
    <x v="478"/>
    <s v="Соседи"/>
    <x v="4"/>
    <x v="0"/>
    <x v="0"/>
    <n v="1320"/>
    <n v="82"/>
    <x v="456"/>
  </r>
  <r>
    <x v="478"/>
    <s v="Виталюр"/>
    <x v="1"/>
    <x v="1"/>
    <x v="23"/>
    <n v="705"/>
    <n v="48"/>
    <x v="1074"/>
  </r>
  <r>
    <x v="478"/>
    <s v="Евроопт"/>
    <x v="1"/>
    <x v="2"/>
    <x v="12"/>
    <n v="715"/>
    <n v="46"/>
    <x v="1529"/>
  </r>
  <r>
    <x v="478"/>
    <s v="Соседи"/>
    <x v="5"/>
    <x v="4"/>
    <x v="21"/>
    <n v="3205"/>
    <n v="97"/>
    <x v="259"/>
  </r>
  <r>
    <x v="478"/>
    <s v="Копеечка"/>
    <x v="6"/>
    <x v="0"/>
    <x v="17"/>
    <n v="2400"/>
    <n v="96"/>
    <x v="1281"/>
  </r>
  <r>
    <x v="479"/>
    <m/>
    <x v="2"/>
    <x v="3"/>
    <x v="3"/>
    <m/>
    <m/>
    <x v="1530"/>
  </r>
  <r>
    <x v="480"/>
    <s v="Евроопт"/>
    <x v="3"/>
    <x v="1"/>
    <x v="19"/>
    <n v="540"/>
    <n v="17"/>
    <x v="1531"/>
  </r>
  <r>
    <x v="480"/>
    <s v="Евроопт"/>
    <x v="3"/>
    <x v="1"/>
    <x v="19"/>
    <n v="540"/>
    <n v="83"/>
    <x v="629"/>
  </r>
  <r>
    <x v="480"/>
    <s v="Евроопт"/>
    <x v="3"/>
    <x v="2"/>
    <x v="4"/>
    <n v="450"/>
    <n v="74"/>
    <x v="124"/>
  </r>
  <r>
    <x v="480"/>
    <s v="Копеечка"/>
    <x v="0"/>
    <x v="2"/>
    <x v="2"/>
    <n v="325"/>
    <n v="97"/>
    <x v="785"/>
  </r>
  <r>
    <x v="480"/>
    <s v="Соседи"/>
    <x v="4"/>
    <x v="1"/>
    <x v="23"/>
    <n v="705"/>
    <n v="29"/>
    <x v="799"/>
  </r>
  <r>
    <x v="480"/>
    <s v="Соседи"/>
    <x v="4"/>
    <x v="0"/>
    <x v="22"/>
    <n v="1420"/>
    <n v="30"/>
    <x v="1532"/>
  </r>
  <r>
    <x v="480"/>
    <s v="Виталюр"/>
    <x v="1"/>
    <x v="0"/>
    <x v="5"/>
    <n v="930"/>
    <n v="40"/>
    <x v="372"/>
  </r>
  <r>
    <x v="480"/>
    <s v="Соседи"/>
    <x v="5"/>
    <x v="2"/>
    <x v="16"/>
    <n v="890"/>
    <n v="36"/>
    <x v="365"/>
  </r>
  <r>
    <x v="480"/>
    <s v="Соседи"/>
    <x v="5"/>
    <x v="4"/>
    <x v="14"/>
    <n v="1670"/>
    <n v="22"/>
    <x v="1533"/>
  </r>
  <r>
    <x v="480"/>
    <s v="Евроопт"/>
    <x v="6"/>
    <x v="1"/>
    <x v="18"/>
    <n v="650"/>
    <n v="67"/>
    <x v="498"/>
  </r>
  <r>
    <x v="481"/>
    <m/>
    <x v="2"/>
    <x v="3"/>
    <x v="3"/>
    <m/>
    <m/>
    <x v="1534"/>
  </r>
  <r>
    <x v="482"/>
    <s v="Виталюр"/>
    <x v="3"/>
    <x v="1"/>
    <x v="1"/>
    <n v="1380"/>
    <n v="58"/>
    <x v="618"/>
  </r>
  <r>
    <x v="482"/>
    <s v="Соседи"/>
    <x v="3"/>
    <x v="0"/>
    <x v="10"/>
    <n v="1230"/>
    <n v="20"/>
    <x v="864"/>
  </r>
  <r>
    <x v="482"/>
    <s v="Виталюр"/>
    <x v="4"/>
    <x v="4"/>
    <x v="14"/>
    <n v="1670"/>
    <n v="67"/>
    <x v="339"/>
  </r>
  <r>
    <x v="482"/>
    <s v="Копеечка"/>
    <x v="1"/>
    <x v="1"/>
    <x v="23"/>
    <n v="705"/>
    <n v="59"/>
    <x v="417"/>
  </r>
  <r>
    <x v="482"/>
    <s v="Соседи"/>
    <x v="5"/>
    <x v="2"/>
    <x v="2"/>
    <n v="325"/>
    <n v="52"/>
    <x v="619"/>
  </r>
  <r>
    <x v="482"/>
    <s v="Копеечка"/>
    <x v="5"/>
    <x v="0"/>
    <x v="10"/>
    <n v="1230"/>
    <n v="22"/>
    <x v="131"/>
  </r>
  <r>
    <x v="482"/>
    <s v="Евроопт"/>
    <x v="5"/>
    <x v="0"/>
    <x v="0"/>
    <n v="1320"/>
    <n v="5"/>
    <x v="182"/>
  </r>
  <r>
    <x v="482"/>
    <s v="Копеечка"/>
    <x v="6"/>
    <x v="1"/>
    <x v="20"/>
    <n v="650"/>
    <n v="25"/>
    <x v="45"/>
  </r>
  <r>
    <x v="483"/>
    <m/>
    <x v="2"/>
    <x v="3"/>
    <x v="3"/>
    <m/>
    <m/>
    <x v="1535"/>
  </r>
  <r>
    <x v="484"/>
    <s v="Евроопт"/>
    <x v="3"/>
    <x v="0"/>
    <x v="0"/>
    <n v="1320"/>
    <n v="11"/>
    <x v="84"/>
  </r>
  <r>
    <x v="484"/>
    <s v="Соседи"/>
    <x v="3"/>
    <x v="0"/>
    <x v="24"/>
    <n v="2540"/>
    <n v="86"/>
    <x v="1536"/>
  </r>
  <r>
    <x v="484"/>
    <s v="Евроопт"/>
    <x v="3"/>
    <x v="0"/>
    <x v="10"/>
    <n v="1230"/>
    <n v="42"/>
    <x v="930"/>
  </r>
  <r>
    <x v="484"/>
    <s v="Евроопт"/>
    <x v="3"/>
    <x v="4"/>
    <x v="14"/>
    <n v="1670"/>
    <n v="73"/>
    <x v="1327"/>
  </r>
  <r>
    <x v="484"/>
    <s v="Евроопт"/>
    <x v="0"/>
    <x v="1"/>
    <x v="20"/>
    <n v="650"/>
    <n v="12"/>
    <x v="625"/>
  </r>
  <r>
    <x v="484"/>
    <s v="Виталюр"/>
    <x v="0"/>
    <x v="2"/>
    <x v="12"/>
    <n v="715"/>
    <n v="36"/>
    <x v="1537"/>
  </r>
  <r>
    <x v="484"/>
    <s v="Виталюр"/>
    <x v="0"/>
    <x v="2"/>
    <x v="16"/>
    <n v="890"/>
    <n v="75"/>
    <x v="54"/>
  </r>
  <r>
    <x v="484"/>
    <s v="Евроопт"/>
    <x v="0"/>
    <x v="4"/>
    <x v="13"/>
    <n v="1505"/>
    <n v="8"/>
    <x v="509"/>
  </r>
  <r>
    <x v="484"/>
    <s v="Копеечка"/>
    <x v="4"/>
    <x v="1"/>
    <x v="20"/>
    <n v="650"/>
    <n v="45"/>
    <x v="1093"/>
  </r>
  <r>
    <x v="484"/>
    <s v="Соседи"/>
    <x v="4"/>
    <x v="0"/>
    <x v="10"/>
    <n v="1230"/>
    <n v="28"/>
    <x v="555"/>
  </r>
  <r>
    <x v="484"/>
    <s v="Евроопт"/>
    <x v="4"/>
    <x v="4"/>
    <x v="15"/>
    <n v="2460"/>
    <n v="32"/>
    <x v="424"/>
  </r>
  <r>
    <x v="484"/>
    <s v="Копеечка"/>
    <x v="1"/>
    <x v="1"/>
    <x v="23"/>
    <n v="705"/>
    <n v="44"/>
    <x v="1538"/>
  </r>
  <r>
    <x v="484"/>
    <s v="Виталюр"/>
    <x v="5"/>
    <x v="2"/>
    <x v="2"/>
    <n v="325"/>
    <n v="43"/>
    <x v="291"/>
  </r>
  <r>
    <x v="484"/>
    <s v="Соседи"/>
    <x v="5"/>
    <x v="2"/>
    <x v="4"/>
    <n v="450"/>
    <n v="17"/>
    <x v="1539"/>
  </r>
  <r>
    <x v="485"/>
    <m/>
    <x v="2"/>
    <x v="3"/>
    <x v="3"/>
    <m/>
    <m/>
    <x v="1540"/>
  </r>
  <r>
    <x v="486"/>
    <s v="Евроопт"/>
    <x v="3"/>
    <x v="2"/>
    <x v="9"/>
    <n v="690"/>
    <n v="13"/>
    <x v="1011"/>
  </r>
  <r>
    <x v="486"/>
    <s v="Евроопт"/>
    <x v="3"/>
    <x v="0"/>
    <x v="10"/>
    <n v="1230"/>
    <n v="76"/>
    <x v="485"/>
  </r>
  <r>
    <x v="486"/>
    <s v="Соседи"/>
    <x v="3"/>
    <x v="0"/>
    <x v="0"/>
    <n v="1320"/>
    <n v="39"/>
    <x v="623"/>
  </r>
  <r>
    <x v="486"/>
    <s v="Копеечка"/>
    <x v="0"/>
    <x v="2"/>
    <x v="12"/>
    <n v="715"/>
    <n v="36"/>
    <x v="1537"/>
  </r>
  <r>
    <x v="486"/>
    <s v="Соседи"/>
    <x v="0"/>
    <x v="0"/>
    <x v="5"/>
    <n v="930"/>
    <n v="25"/>
    <x v="212"/>
  </r>
  <r>
    <x v="486"/>
    <s v="Соседи"/>
    <x v="0"/>
    <x v="4"/>
    <x v="13"/>
    <n v="1505"/>
    <n v="87"/>
    <x v="484"/>
  </r>
  <r>
    <x v="486"/>
    <s v="Виталюр"/>
    <x v="0"/>
    <x v="4"/>
    <x v="13"/>
    <n v="1505"/>
    <n v="11"/>
    <x v="1541"/>
  </r>
  <r>
    <x v="486"/>
    <s v="Виталюр"/>
    <x v="4"/>
    <x v="0"/>
    <x v="10"/>
    <n v="1230"/>
    <n v="7"/>
    <x v="1542"/>
  </r>
  <r>
    <x v="486"/>
    <s v="Виталюр"/>
    <x v="4"/>
    <x v="0"/>
    <x v="5"/>
    <n v="930"/>
    <n v="49"/>
    <x v="899"/>
  </r>
  <r>
    <x v="486"/>
    <s v="Соседи"/>
    <x v="1"/>
    <x v="1"/>
    <x v="20"/>
    <n v="650"/>
    <n v="89"/>
    <x v="218"/>
  </r>
  <r>
    <x v="486"/>
    <s v="Копеечка"/>
    <x v="6"/>
    <x v="2"/>
    <x v="4"/>
    <n v="450"/>
    <n v="28"/>
    <x v="1163"/>
  </r>
  <r>
    <x v="486"/>
    <s v="Копеечка"/>
    <x v="6"/>
    <x v="4"/>
    <x v="14"/>
    <n v="1670"/>
    <n v="99"/>
    <x v="293"/>
  </r>
  <r>
    <x v="487"/>
    <m/>
    <x v="2"/>
    <x v="3"/>
    <x v="3"/>
    <m/>
    <m/>
    <x v="1543"/>
  </r>
  <r>
    <x v="488"/>
    <s v="Евроопт"/>
    <x v="3"/>
    <x v="2"/>
    <x v="2"/>
    <n v="325"/>
    <n v="99"/>
    <x v="807"/>
  </r>
  <r>
    <x v="488"/>
    <s v="Виталюр"/>
    <x v="3"/>
    <x v="0"/>
    <x v="0"/>
    <n v="1320"/>
    <n v="60"/>
    <x v="30"/>
  </r>
  <r>
    <x v="488"/>
    <s v="Копеечка"/>
    <x v="0"/>
    <x v="2"/>
    <x v="2"/>
    <n v="325"/>
    <n v="91"/>
    <x v="1544"/>
  </r>
  <r>
    <x v="488"/>
    <s v="Соседи"/>
    <x v="0"/>
    <x v="4"/>
    <x v="11"/>
    <n v="2970"/>
    <n v="52"/>
    <x v="1545"/>
  </r>
  <r>
    <x v="488"/>
    <s v="Виталюр"/>
    <x v="4"/>
    <x v="0"/>
    <x v="22"/>
    <n v="1420"/>
    <n v="53"/>
    <x v="411"/>
  </r>
  <r>
    <x v="488"/>
    <s v="Виталюр"/>
    <x v="1"/>
    <x v="4"/>
    <x v="21"/>
    <n v="3205"/>
    <n v="82"/>
    <x v="231"/>
  </r>
  <r>
    <x v="488"/>
    <s v="Соседи"/>
    <x v="5"/>
    <x v="0"/>
    <x v="24"/>
    <n v="2540"/>
    <n v="29"/>
    <x v="358"/>
  </r>
  <r>
    <x v="488"/>
    <s v="Виталюр"/>
    <x v="6"/>
    <x v="0"/>
    <x v="17"/>
    <n v="2400"/>
    <n v="38"/>
    <x v="1198"/>
  </r>
  <r>
    <x v="489"/>
    <m/>
    <x v="2"/>
    <x v="3"/>
    <x v="3"/>
    <m/>
    <m/>
    <x v="1546"/>
  </r>
  <r>
    <x v="490"/>
    <s v="Евроопт"/>
    <x v="3"/>
    <x v="1"/>
    <x v="6"/>
    <n v="640"/>
    <n v="22"/>
    <x v="904"/>
  </r>
  <r>
    <x v="490"/>
    <s v="Соседи"/>
    <x v="3"/>
    <x v="0"/>
    <x v="17"/>
    <n v="2400"/>
    <n v="77"/>
    <x v="1547"/>
  </r>
  <r>
    <x v="490"/>
    <s v="Виталюр"/>
    <x v="3"/>
    <x v="0"/>
    <x v="5"/>
    <n v="930"/>
    <n v="41"/>
    <x v="796"/>
  </r>
  <r>
    <x v="490"/>
    <s v="Виталюр"/>
    <x v="3"/>
    <x v="4"/>
    <x v="21"/>
    <n v="3205"/>
    <n v="57"/>
    <x v="1080"/>
  </r>
  <r>
    <x v="490"/>
    <s v="Виталюр"/>
    <x v="4"/>
    <x v="0"/>
    <x v="0"/>
    <n v="1320"/>
    <n v="29"/>
    <x v="907"/>
  </r>
  <r>
    <x v="490"/>
    <s v="Соседи"/>
    <x v="4"/>
    <x v="0"/>
    <x v="22"/>
    <n v="1420"/>
    <n v="88"/>
    <x v="444"/>
  </r>
  <r>
    <x v="490"/>
    <s v="Соседи"/>
    <x v="1"/>
    <x v="0"/>
    <x v="0"/>
    <n v="1320"/>
    <n v="70"/>
    <x v="918"/>
  </r>
  <r>
    <x v="490"/>
    <s v="Соседи"/>
    <x v="1"/>
    <x v="0"/>
    <x v="24"/>
    <n v="2540"/>
    <n v="15"/>
    <x v="1243"/>
  </r>
  <r>
    <x v="490"/>
    <s v="Виталюр"/>
    <x v="5"/>
    <x v="0"/>
    <x v="5"/>
    <n v="930"/>
    <n v="70"/>
    <x v="1223"/>
  </r>
  <r>
    <x v="490"/>
    <s v="Евроопт"/>
    <x v="5"/>
    <x v="0"/>
    <x v="22"/>
    <n v="1420"/>
    <n v="68"/>
    <x v="443"/>
  </r>
  <r>
    <x v="490"/>
    <s v="Евроопт"/>
    <x v="6"/>
    <x v="2"/>
    <x v="2"/>
    <n v="325"/>
    <n v="57"/>
    <x v="1206"/>
  </r>
  <r>
    <x v="491"/>
    <m/>
    <x v="2"/>
    <x v="3"/>
    <x v="3"/>
    <m/>
    <m/>
    <x v="1548"/>
  </r>
  <r>
    <x v="492"/>
    <s v="Евроопт"/>
    <x v="0"/>
    <x v="2"/>
    <x v="4"/>
    <n v="450"/>
    <n v="99"/>
    <x v="414"/>
  </r>
  <r>
    <x v="492"/>
    <s v="Соседи"/>
    <x v="4"/>
    <x v="2"/>
    <x v="8"/>
    <n v="460"/>
    <n v="97"/>
    <x v="1549"/>
  </r>
  <r>
    <x v="492"/>
    <s v="Копеечка"/>
    <x v="4"/>
    <x v="2"/>
    <x v="8"/>
    <n v="460"/>
    <n v="48"/>
    <x v="253"/>
  </r>
  <r>
    <x v="492"/>
    <s v="Соседи"/>
    <x v="1"/>
    <x v="2"/>
    <x v="4"/>
    <n v="450"/>
    <n v="53"/>
    <x v="1254"/>
  </r>
  <r>
    <x v="492"/>
    <s v="Евроопт"/>
    <x v="1"/>
    <x v="0"/>
    <x v="5"/>
    <n v="930"/>
    <n v="100"/>
    <x v="381"/>
  </r>
  <r>
    <x v="492"/>
    <s v="Копеечка"/>
    <x v="1"/>
    <x v="4"/>
    <x v="11"/>
    <n v="2970"/>
    <n v="11"/>
    <x v="878"/>
  </r>
  <r>
    <x v="492"/>
    <s v="Виталюр"/>
    <x v="1"/>
    <x v="4"/>
    <x v="21"/>
    <n v="3205"/>
    <n v="50"/>
    <x v="1228"/>
  </r>
  <r>
    <x v="492"/>
    <s v="Копеечка"/>
    <x v="5"/>
    <x v="2"/>
    <x v="16"/>
    <n v="890"/>
    <n v="90"/>
    <x v="1550"/>
  </r>
  <r>
    <x v="492"/>
    <s v="Соседи"/>
    <x v="5"/>
    <x v="0"/>
    <x v="0"/>
    <n v="1320"/>
    <n v="32"/>
    <x v="11"/>
  </r>
  <r>
    <x v="492"/>
    <s v="Евроопт"/>
    <x v="6"/>
    <x v="1"/>
    <x v="1"/>
    <n v="1380"/>
    <n v="17"/>
    <x v="450"/>
  </r>
  <r>
    <x v="492"/>
    <s v="Виталюр"/>
    <x v="6"/>
    <x v="0"/>
    <x v="10"/>
    <n v="1230"/>
    <n v="44"/>
    <x v="142"/>
  </r>
  <r>
    <x v="492"/>
    <s v="Евроопт"/>
    <x v="6"/>
    <x v="4"/>
    <x v="15"/>
    <n v="2460"/>
    <n v="90"/>
    <x v="153"/>
  </r>
  <r>
    <x v="493"/>
    <m/>
    <x v="2"/>
    <x v="3"/>
    <x v="3"/>
    <m/>
    <m/>
    <x v="1551"/>
  </r>
  <r>
    <x v="494"/>
    <s v="Виталюр"/>
    <x v="3"/>
    <x v="0"/>
    <x v="24"/>
    <n v="2540"/>
    <n v="87"/>
    <x v="962"/>
  </r>
  <r>
    <x v="494"/>
    <s v="Копеечка"/>
    <x v="1"/>
    <x v="1"/>
    <x v="19"/>
    <n v="540"/>
    <n v="17"/>
    <x v="1531"/>
  </r>
  <r>
    <x v="494"/>
    <s v="Копеечка"/>
    <x v="1"/>
    <x v="4"/>
    <x v="7"/>
    <n v="1760"/>
    <n v="61"/>
    <x v="889"/>
  </r>
  <r>
    <x v="494"/>
    <s v="Евроопт"/>
    <x v="1"/>
    <x v="4"/>
    <x v="13"/>
    <n v="1505"/>
    <n v="47"/>
    <x v="1506"/>
  </r>
  <r>
    <x v="494"/>
    <s v="Виталюр"/>
    <x v="5"/>
    <x v="1"/>
    <x v="18"/>
    <n v="650"/>
    <n v="49"/>
    <x v="163"/>
  </r>
  <r>
    <x v="494"/>
    <s v="Виталюр"/>
    <x v="5"/>
    <x v="2"/>
    <x v="2"/>
    <n v="325"/>
    <n v="43"/>
    <x v="291"/>
  </r>
  <r>
    <x v="494"/>
    <s v="Копеечка"/>
    <x v="6"/>
    <x v="1"/>
    <x v="19"/>
    <n v="540"/>
    <n v="15"/>
    <x v="93"/>
  </r>
  <r>
    <x v="494"/>
    <s v="Соседи"/>
    <x v="6"/>
    <x v="1"/>
    <x v="23"/>
    <n v="705"/>
    <n v="99"/>
    <x v="1552"/>
  </r>
  <r>
    <x v="494"/>
    <s v="Соседи"/>
    <x v="6"/>
    <x v="4"/>
    <x v="14"/>
    <n v="1670"/>
    <n v="77"/>
    <x v="396"/>
  </r>
  <r>
    <x v="495"/>
    <m/>
    <x v="2"/>
    <x v="3"/>
    <x v="3"/>
    <m/>
    <m/>
    <x v="1553"/>
  </r>
  <r>
    <x v="496"/>
    <s v="Копеечка"/>
    <x v="0"/>
    <x v="1"/>
    <x v="1"/>
    <n v="1380"/>
    <n v="80"/>
    <x v="1087"/>
  </r>
  <r>
    <x v="496"/>
    <s v="Копеечка"/>
    <x v="0"/>
    <x v="2"/>
    <x v="4"/>
    <n v="450"/>
    <n v="21"/>
    <x v="470"/>
  </r>
  <r>
    <x v="496"/>
    <s v="Соседи"/>
    <x v="4"/>
    <x v="4"/>
    <x v="14"/>
    <n v="1670"/>
    <n v="32"/>
    <x v="987"/>
  </r>
  <r>
    <x v="496"/>
    <s v="Евроопт"/>
    <x v="1"/>
    <x v="2"/>
    <x v="12"/>
    <n v="715"/>
    <n v="81"/>
    <x v="1554"/>
  </r>
  <r>
    <x v="496"/>
    <s v="Евроопт"/>
    <x v="5"/>
    <x v="1"/>
    <x v="6"/>
    <n v="640"/>
    <n v="60"/>
    <x v="193"/>
  </r>
  <r>
    <x v="496"/>
    <s v="Виталюр"/>
    <x v="5"/>
    <x v="0"/>
    <x v="24"/>
    <n v="2540"/>
    <n v="58"/>
    <x v="1555"/>
  </r>
  <r>
    <x v="497"/>
    <m/>
    <x v="2"/>
    <x v="3"/>
    <x v="3"/>
    <m/>
    <m/>
    <x v="1556"/>
  </r>
  <r>
    <x v="498"/>
    <s v="Виталюр"/>
    <x v="3"/>
    <x v="1"/>
    <x v="20"/>
    <n v="650"/>
    <n v="86"/>
    <x v="1072"/>
  </r>
  <r>
    <x v="498"/>
    <s v="Виталюр"/>
    <x v="3"/>
    <x v="2"/>
    <x v="12"/>
    <n v="715"/>
    <n v="49"/>
    <x v="917"/>
  </r>
  <r>
    <x v="498"/>
    <s v="Евроопт"/>
    <x v="3"/>
    <x v="0"/>
    <x v="22"/>
    <n v="1420"/>
    <n v="96"/>
    <x v="1557"/>
  </r>
  <r>
    <x v="498"/>
    <s v="Евроопт"/>
    <x v="3"/>
    <x v="0"/>
    <x v="24"/>
    <n v="2540"/>
    <n v="68"/>
    <x v="832"/>
  </r>
  <r>
    <x v="498"/>
    <s v="Евроопт"/>
    <x v="0"/>
    <x v="1"/>
    <x v="23"/>
    <n v="705"/>
    <n v="65"/>
    <x v="1351"/>
  </r>
  <r>
    <x v="498"/>
    <s v="Соседи"/>
    <x v="4"/>
    <x v="2"/>
    <x v="2"/>
    <n v="325"/>
    <n v="52"/>
    <x v="619"/>
  </r>
  <r>
    <x v="498"/>
    <s v="Виталюр"/>
    <x v="1"/>
    <x v="1"/>
    <x v="20"/>
    <n v="650"/>
    <n v="79"/>
    <x v="1233"/>
  </r>
  <r>
    <x v="498"/>
    <s v="Копеечка"/>
    <x v="5"/>
    <x v="4"/>
    <x v="14"/>
    <n v="1670"/>
    <n v="14"/>
    <x v="1025"/>
  </r>
  <r>
    <x v="499"/>
    <m/>
    <x v="2"/>
    <x v="3"/>
    <x v="3"/>
    <m/>
    <m/>
    <x v="1558"/>
  </r>
  <r>
    <x v="500"/>
    <s v="Евроопт"/>
    <x v="0"/>
    <x v="1"/>
    <x v="19"/>
    <n v="540"/>
    <n v="26"/>
    <x v="155"/>
  </r>
  <r>
    <x v="500"/>
    <s v="Виталюр"/>
    <x v="0"/>
    <x v="2"/>
    <x v="16"/>
    <n v="890"/>
    <n v="15"/>
    <x v="1559"/>
  </r>
  <r>
    <x v="500"/>
    <s v="Соседи"/>
    <x v="4"/>
    <x v="2"/>
    <x v="2"/>
    <n v="325"/>
    <n v="64"/>
    <x v="237"/>
  </r>
  <r>
    <x v="500"/>
    <s v="Соседи"/>
    <x v="5"/>
    <x v="0"/>
    <x v="22"/>
    <n v="1420"/>
    <n v="70"/>
    <x v="861"/>
  </r>
  <r>
    <x v="500"/>
    <s v="Виталюр"/>
    <x v="5"/>
    <x v="4"/>
    <x v="13"/>
    <n v="1505"/>
    <n v="21"/>
    <x v="27"/>
  </r>
  <r>
    <x v="500"/>
    <s v="Виталюр"/>
    <x v="6"/>
    <x v="2"/>
    <x v="16"/>
    <n v="890"/>
    <n v="67"/>
    <x v="1123"/>
  </r>
  <r>
    <x v="500"/>
    <s v="Соседи"/>
    <x v="6"/>
    <x v="4"/>
    <x v="21"/>
    <n v="3205"/>
    <n v="9"/>
    <x v="1560"/>
  </r>
  <r>
    <x v="501"/>
    <m/>
    <x v="2"/>
    <x v="3"/>
    <x v="3"/>
    <m/>
    <m/>
    <x v="1561"/>
  </r>
  <r>
    <x v="502"/>
    <s v="Копеечка"/>
    <x v="3"/>
    <x v="1"/>
    <x v="19"/>
    <n v="540"/>
    <n v="36"/>
    <x v="965"/>
  </r>
  <r>
    <x v="502"/>
    <s v="Копеечка"/>
    <x v="3"/>
    <x v="0"/>
    <x v="5"/>
    <n v="930"/>
    <n v="99"/>
    <x v="579"/>
  </r>
  <r>
    <x v="502"/>
    <s v="Соседи"/>
    <x v="4"/>
    <x v="1"/>
    <x v="19"/>
    <n v="540"/>
    <n v="19"/>
    <x v="1009"/>
  </r>
  <r>
    <x v="502"/>
    <s v="Виталюр"/>
    <x v="1"/>
    <x v="2"/>
    <x v="4"/>
    <n v="450"/>
    <n v="66"/>
    <x v="227"/>
  </r>
  <r>
    <x v="502"/>
    <s v="Виталюр"/>
    <x v="1"/>
    <x v="0"/>
    <x v="0"/>
    <n v="1320"/>
    <n v="79"/>
    <x v="1562"/>
  </r>
  <r>
    <x v="502"/>
    <s v="Копеечка"/>
    <x v="1"/>
    <x v="0"/>
    <x v="10"/>
    <n v="1230"/>
    <n v="8"/>
    <x v="1156"/>
  </r>
  <r>
    <x v="502"/>
    <s v="Виталюр"/>
    <x v="1"/>
    <x v="4"/>
    <x v="13"/>
    <n v="1505"/>
    <n v="85"/>
    <x v="144"/>
  </r>
  <r>
    <x v="502"/>
    <s v="Соседи"/>
    <x v="6"/>
    <x v="0"/>
    <x v="17"/>
    <n v="2400"/>
    <n v="10"/>
    <x v="1259"/>
  </r>
  <r>
    <x v="502"/>
    <s v="Евроопт"/>
    <x v="6"/>
    <x v="0"/>
    <x v="24"/>
    <n v="2540"/>
    <n v="67"/>
    <x v="1563"/>
  </r>
  <r>
    <x v="503"/>
    <m/>
    <x v="2"/>
    <x v="3"/>
    <x v="3"/>
    <m/>
    <m/>
    <x v="1564"/>
  </r>
  <r>
    <x v="504"/>
    <s v="Евроопт"/>
    <x v="0"/>
    <x v="0"/>
    <x v="0"/>
    <n v="1320"/>
    <n v="11"/>
    <x v="84"/>
  </r>
  <r>
    <x v="504"/>
    <s v="Копеечка"/>
    <x v="4"/>
    <x v="2"/>
    <x v="16"/>
    <n v="890"/>
    <n v="50"/>
    <x v="916"/>
  </r>
  <r>
    <x v="504"/>
    <s v="Копеечка"/>
    <x v="4"/>
    <x v="0"/>
    <x v="5"/>
    <n v="930"/>
    <n v="48"/>
    <x v="1565"/>
  </r>
  <r>
    <x v="504"/>
    <s v="Соседи"/>
    <x v="1"/>
    <x v="2"/>
    <x v="4"/>
    <n v="450"/>
    <n v="89"/>
    <x v="1019"/>
  </r>
  <r>
    <x v="504"/>
    <s v="Евроопт"/>
    <x v="1"/>
    <x v="0"/>
    <x v="17"/>
    <n v="2400"/>
    <n v="14"/>
    <x v="1566"/>
  </r>
  <r>
    <x v="504"/>
    <s v="Евроопт"/>
    <x v="1"/>
    <x v="4"/>
    <x v="13"/>
    <n v="1505"/>
    <n v="83"/>
    <x v="1567"/>
  </r>
  <r>
    <x v="504"/>
    <s v="Евроопт"/>
    <x v="5"/>
    <x v="1"/>
    <x v="1"/>
    <n v="1380"/>
    <n v="85"/>
    <x v="806"/>
  </r>
  <r>
    <x v="504"/>
    <s v="Соседи"/>
    <x v="6"/>
    <x v="1"/>
    <x v="18"/>
    <n v="650"/>
    <n v="59"/>
    <x v="1568"/>
  </r>
  <r>
    <x v="505"/>
    <m/>
    <x v="2"/>
    <x v="3"/>
    <x v="3"/>
    <m/>
    <m/>
    <x v="1569"/>
  </r>
  <r>
    <x v="506"/>
    <s v="Евроопт"/>
    <x v="3"/>
    <x v="1"/>
    <x v="18"/>
    <n v="650"/>
    <n v="76"/>
    <x v="1570"/>
  </r>
  <r>
    <x v="506"/>
    <s v="Соседи"/>
    <x v="3"/>
    <x v="2"/>
    <x v="16"/>
    <n v="890"/>
    <n v="52"/>
    <x v="1571"/>
  </r>
  <r>
    <x v="506"/>
    <s v="Виталюр"/>
    <x v="0"/>
    <x v="1"/>
    <x v="1"/>
    <n v="1380"/>
    <n v="38"/>
    <x v="1572"/>
  </r>
  <r>
    <x v="506"/>
    <s v="Евроопт"/>
    <x v="0"/>
    <x v="0"/>
    <x v="24"/>
    <n v="2540"/>
    <n v="95"/>
    <x v="518"/>
  </r>
  <r>
    <x v="506"/>
    <s v="Виталюр"/>
    <x v="4"/>
    <x v="1"/>
    <x v="1"/>
    <n v="1380"/>
    <n v="10"/>
    <x v="505"/>
  </r>
  <r>
    <x v="506"/>
    <s v="Евроопт"/>
    <x v="1"/>
    <x v="1"/>
    <x v="1"/>
    <n v="1380"/>
    <n v="23"/>
    <x v="610"/>
  </r>
  <r>
    <x v="506"/>
    <s v="Копеечка"/>
    <x v="1"/>
    <x v="2"/>
    <x v="9"/>
    <n v="690"/>
    <n v="74"/>
    <x v="270"/>
  </r>
  <r>
    <x v="506"/>
    <s v="Евроопт"/>
    <x v="1"/>
    <x v="4"/>
    <x v="11"/>
    <n v="2970"/>
    <n v="48"/>
    <x v="296"/>
  </r>
  <r>
    <x v="506"/>
    <s v="Евроопт"/>
    <x v="5"/>
    <x v="1"/>
    <x v="19"/>
    <n v="540"/>
    <n v="64"/>
    <x v="1466"/>
  </r>
  <r>
    <x v="506"/>
    <s v="Виталюр"/>
    <x v="5"/>
    <x v="1"/>
    <x v="18"/>
    <n v="650"/>
    <n v="26"/>
    <x v="619"/>
  </r>
  <r>
    <x v="506"/>
    <s v="Евроопт"/>
    <x v="5"/>
    <x v="2"/>
    <x v="2"/>
    <n v="325"/>
    <n v="94"/>
    <x v="1091"/>
  </r>
  <r>
    <x v="506"/>
    <s v="Евроопт"/>
    <x v="5"/>
    <x v="0"/>
    <x v="22"/>
    <n v="1420"/>
    <n v="61"/>
    <x v="1064"/>
  </r>
  <r>
    <x v="506"/>
    <s v="Копеечка"/>
    <x v="6"/>
    <x v="4"/>
    <x v="14"/>
    <n v="1670"/>
    <n v="48"/>
    <x v="1573"/>
  </r>
  <r>
    <x v="507"/>
    <m/>
    <x v="2"/>
    <x v="3"/>
    <x v="3"/>
    <m/>
    <m/>
    <x v="1574"/>
  </r>
  <r>
    <x v="508"/>
    <s v="Евроопт"/>
    <x v="3"/>
    <x v="0"/>
    <x v="24"/>
    <n v="2540"/>
    <n v="89"/>
    <x v="331"/>
  </r>
  <r>
    <x v="508"/>
    <s v="Евроопт"/>
    <x v="3"/>
    <x v="4"/>
    <x v="21"/>
    <n v="3205"/>
    <n v="41"/>
    <x v="662"/>
  </r>
  <r>
    <x v="508"/>
    <s v="Виталюр"/>
    <x v="5"/>
    <x v="2"/>
    <x v="4"/>
    <n v="450"/>
    <n v="50"/>
    <x v="106"/>
  </r>
  <r>
    <x v="509"/>
    <m/>
    <x v="2"/>
    <x v="3"/>
    <x v="3"/>
    <m/>
    <m/>
    <x v="1575"/>
  </r>
  <r>
    <x v="510"/>
    <s v="Копеечка"/>
    <x v="3"/>
    <x v="1"/>
    <x v="1"/>
    <n v="1380"/>
    <n v="44"/>
    <x v="1103"/>
  </r>
  <r>
    <x v="510"/>
    <s v="Копеечка"/>
    <x v="0"/>
    <x v="2"/>
    <x v="16"/>
    <n v="890"/>
    <n v="83"/>
    <x v="1576"/>
  </r>
  <r>
    <x v="510"/>
    <s v="Евроопт"/>
    <x v="0"/>
    <x v="4"/>
    <x v="11"/>
    <n v="2970"/>
    <n v="16"/>
    <x v="413"/>
  </r>
  <r>
    <x v="510"/>
    <s v="Соседи"/>
    <x v="4"/>
    <x v="0"/>
    <x v="17"/>
    <n v="2400"/>
    <n v="83"/>
    <x v="1285"/>
  </r>
  <r>
    <x v="510"/>
    <s v="Евроопт"/>
    <x v="4"/>
    <x v="4"/>
    <x v="7"/>
    <n v="1760"/>
    <n v="27"/>
    <x v="413"/>
  </r>
  <r>
    <x v="510"/>
    <s v="Копеечка"/>
    <x v="1"/>
    <x v="4"/>
    <x v="21"/>
    <n v="3205"/>
    <n v="36"/>
    <x v="1577"/>
  </r>
  <r>
    <x v="510"/>
    <s v="Виталюр"/>
    <x v="1"/>
    <x v="4"/>
    <x v="7"/>
    <n v="1760"/>
    <n v="69"/>
    <x v="935"/>
  </r>
  <r>
    <x v="510"/>
    <s v="Виталюр"/>
    <x v="5"/>
    <x v="1"/>
    <x v="23"/>
    <n v="705"/>
    <n v="33"/>
    <x v="58"/>
  </r>
  <r>
    <x v="510"/>
    <s v="Соседи"/>
    <x v="5"/>
    <x v="1"/>
    <x v="6"/>
    <n v="640"/>
    <n v="21"/>
    <x v="974"/>
  </r>
  <r>
    <x v="510"/>
    <s v="Евроопт"/>
    <x v="6"/>
    <x v="1"/>
    <x v="6"/>
    <n v="640"/>
    <n v="46"/>
    <x v="582"/>
  </r>
  <r>
    <x v="510"/>
    <s v="Соседи"/>
    <x v="6"/>
    <x v="2"/>
    <x v="4"/>
    <n v="450"/>
    <n v="34"/>
    <x v="1578"/>
  </r>
  <r>
    <x v="510"/>
    <s v="Соседи"/>
    <x v="6"/>
    <x v="0"/>
    <x v="24"/>
    <n v="2540"/>
    <n v="6"/>
    <x v="1579"/>
  </r>
  <r>
    <x v="511"/>
    <m/>
    <x v="2"/>
    <x v="3"/>
    <x v="3"/>
    <m/>
    <m/>
    <x v="1580"/>
  </r>
  <r>
    <x v="512"/>
    <s v="Евроопт"/>
    <x v="3"/>
    <x v="4"/>
    <x v="13"/>
    <n v="1505"/>
    <n v="80"/>
    <x v="910"/>
  </r>
  <r>
    <x v="512"/>
    <s v="Копеечка"/>
    <x v="0"/>
    <x v="1"/>
    <x v="19"/>
    <n v="540"/>
    <n v="39"/>
    <x v="1461"/>
  </r>
  <r>
    <x v="512"/>
    <s v="Евроопт"/>
    <x v="0"/>
    <x v="2"/>
    <x v="12"/>
    <n v="715"/>
    <n v="88"/>
    <x v="1013"/>
  </r>
  <r>
    <x v="512"/>
    <s v="Соседи"/>
    <x v="4"/>
    <x v="1"/>
    <x v="19"/>
    <n v="540"/>
    <n v="38"/>
    <x v="1066"/>
  </r>
  <r>
    <x v="512"/>
    <s v="Соседи"/>
    <x v="4"/>
    <x v="0"/>
    <x v="0"/>
    <n v="1320"/>
    <n v="30"/>
    <x v="425"/>
  </r>
  <r>
    <x v="512"/>
    <s v="Соседи"/>
    <x v="1"/>
    <x v="1"/>
    <x v="23"/>
    <n v="705"/>
    <n v="81"/>
    <x v="179"/>
  </r>
  <r>
    <x v="512"/>
    <s v="Виталюр"/>
    <x v="1"/>
    <x v="1"/>
    <x v="20"/>
    <n v="650"/>
    <n v="35"/>
    <x v="1515"/>
  </r>
  <r>
    <x v="512"/>
    <s v="Евроопт"/>
    <x v="1"/>
    <x v="1"/>
    <x v="6"/>
    <n v="640"/>
    <n v="63"/>
    <x v="1581"/>
  </r>
  <r>
    <x v="512"/>
    <s v="Евроопт"/>
    <x v="5"/>
    <x v="0"/>
    <x v="17"/>
    <n v="2400"/>
    <n v="70"/>
    <x v="330"/>
  </r>
  <r>
    <x v="513"/>
    <m/>
    <x v="2"/>
    <x v="3"/>
    <x v="3"/>
    <m/>
    <m/>
    <x v="1582"/>
  </r>
  <r>
    <x v="514"/>
    <s v="Виталюр"/>
    <x v="3"/>
    <x v="1"/>
    <x v="1"/>
    <n v="1380"/>
    <n v="59"/>
    <x v="1583"/>
  </r>
  <r>
    <x v="514"/>
    <s v="Копеечка"/>
    <x v="3"/>
    <x v="0"/>
    <x v="17"/>
    <n v="2400"/>
    <n v="86"/>
    <x v="564"/>
  </r>
  <r>
    <x v="514"/>
    <s v="Евроопт"/>
    <x v="3"/>
    <x v="0"/>
    <x v="0"/>
    <n v="1320"/>
    <n v="40"/>
    <x v="94"/>
  </r>
  <r>
    <x v="514"/>
    <s v="Евроопт"/>
    <x v="0"/>
    <x v="1"/>
    <x v="19"/>
    <n v="540"/>
    <n v="23"/>
    <x v="1216"/>
  </r>
  <r>
    <x v="514"/>
    <s v="Копеечка"/>
    <x v="0"/>
    <x v="0"/>
    <x v="0"/>
    <n v="1320"/>
    <n v="68"/>
    <x v="336"/>
  </r>
  <r>
    <x v="514"/>
    <s v="Копеечка"/>
    <x v="0"/>
    <x v="4"/>
    <x v="11"/>
    <n v="2970"/>
    <n v="20"/>
    <x v="12"/>
  </r>
  <r>
    <x v="514"/>
    <s v="Копеечка"/>
    <x v="1"/>
    <x v="1"/>
    <x v="6"/>
    <n v="640"/>
    <n v="83"/>
    <x v="526"/>
  </r>
  <r>
    <x v="514"/>
    <s v="Евроопт"/>
    <x v="1"/>
    <x v="2"/>
    <x v="12"/>
    <n v="715"/>
    <n v="14"/>
    <x v="13"/>
  </r>
  <r>
    <x v="514"/>
    <s v="Копеечка"/>
    <x v="1"/>
    <x v="0"/>
    <x v="22"/>
    <n v="1420"/>
    <n v="8"/>
    <x v="1420"/>
  </r>
  <r>
    <x v="514"/>
    <s v="Виталюр"/>
    <x v="5"/>
    <x v="1"/>
    <x v="23"/>
    <n v="705"/>
    <n v="21"/>
    <x v="130"/>
  </r>
  <r>
    <x v="514"/>
    <s v="Виталюр"/>
    <x v="5"/>
    <x v="0"/>
    <x v="24"/>
    <n v="2540"/>
    <n v="72"/>
    <x v="1119"/>
  </r>
  <r>
    <x v="514"/>
    <s v="Евроопт"/>
    <x v="5"/>
    <x v="4"/>
    <x v="11"/>
    <n v="2970"/>
    <n v="32"/>
    <x v="1516"/>
  </r>
  <r>
    <x v="514"/>
    <s v="Виталюр"/>
    <x v="6"/>
    <x v="1"/>
    <x v="18"/>
    <n v="650"/>
    <n v="57"/>
    <x v="1584"/>
  </r>
  <r>
    <x v="514"/>
    <s v="Евроопт"/>
    <x v="6"/>
    <x v="0"/>
    <x v="17"/>
    <n v="2400"/>
    <n v="60"/>
    <x v="1585"/>
  </r>
  <r>
    <x v="515"/>
    <m/>
    <x v="2"/>
    <x v="3"/>
    <x v="3"/>
    <m/>
    <m/>
    <x v="1586"/>
  </r>
  <r>
    <x v="516"/>
    <s v="Соседи"/>
    <x v="3"/>
    <x v="0"/>
    <x v="10"/>
    <n v="1230"/>
    <n v="51"/>
    <x v="1257"/>
  </r>
  <r>
    <x v="516"/>
    <s v="Копеечка"/>
    <x v="0"/>
    <x v="1"/>
    <x v="20"/>
    <n v="650"/>
    <n v="95"/>
    <x v="1587"/>
  </r>
  <r>
    <x v="516"/>
    <s v="Евроопт"/>
    <x v="0"/>
    <x v="2"/>
    <x v="12"/>
    <n v="715"/>
    <n v="80"/>
    <x v="83"/>
  </r>
  <r>
    <x v="516"/>
    <s v="Копеечка"/>
    <x v="0"/>
    <x v="2"/>
    <x v="16"/>
    <n v="890"/>
    <n v="58"/>
    <x v="1588"/>
  </r>
  <r>
    <x v="516"/>
    <s v="Виталюр"/>
    <x v="0"/>
    <x v="4"/>
    <x v="15"/>
    <n v="2460"/>
    <n v="69"/>
    <x v="1589"/>
  </r>
  <r>
    <x v="516"/>
    <s v="Евроопт"/>
    <x v="4"/>
    <x v="1"/>
    <x v="6"/>
    <n v="640"/>
    <n v="97"/>
    <x v="1090"/>
  </r>
  <r>
    <x v="516"/>
    <s v="Виталюр"/>
    <x v="6"/>
    <x v="1"/>
    <x v="1"/>
    <n v="1380"/>
    <n v="45"/>
    <x v="1193"/>
  </r>
  <r>
    <x v="516"/>
    <s v="Соседи"/>
    <x v="6"/>
    <x v="0"/>
    <x v="5"/>
    <n v="930"/>
    <n v="9"/>
    <x v="1590"/>
  </r>
  <r>
    <x v="517"/>
    <m/>
    <x v="2"/>
    <x v="3"/>
    <x v="3"/>
    <m/>
    <m/>
    <x v="1591"/>
  </r>
  <r>
    <x v="518"/>
    <s v="Виталюр"/>
    <x v="3"/>
    <x v="4"/>
    <x v="21"/>
    <n v="3205"/>
    <n v="28"/>
    <x v="1366"/>
  </r>
  <r>
    <x v="518"/>
    <s v="Соседи"/>
    <x v="3"/>
    <x v="4"/>
    <x v="11"/>
    <n v="2970"/>
    <n v="84"/>
    <x v="0"/>
  </r>
  <r>
    <x v="518"/>
    <s v="Евроопт"/>
    <x v="0"/>
    <x v="2"/>
    <x v="16"/>
    <n v="890"/>
    <n v="16"/>
    <x v="274"/>
  </r>
  <r>
    <x v="518"/>
    <s v="Соседи"/>
    <x v="0"/>
    <x v="0"/>
    <x v="10"/>
    <n v="1230"/>
    <n v="91"/>
    <x v="1592"/>
  </r>
  <r>
    <x v="518"/>
    <s v="Евроопт"/>
    <x v="4"/>
    <x v="4"/>
    <x v="7"/>
    <n v="1760"/>
    <n v="13"/>
    <x v="350"/>
  </r>
  <r>
    <x v="518"/>
    <s v="Соседи"/>
    <x v="4"/>
    <x v="4"/>
    <x v="11"/>
    <n v="2970"/>
    <n v="65"/>
    <x v="1593"/>
  </r>
  <r>
    <x v="518"/>
    <s v="Виталюр"/>
    <x v="1"/>
    <x v="2"/>
    <x v="12"/>
    <n v="715"/>
    <n v="70"/>
    <x v="1213"/>
  </r>
  <r>
    <x v="518"/>
    <s v="Соседи"/>
    <x v="1"/>
    <x v="4"/>
    <x v="13"/>
    <n v="1505"/>
    <n v="28"/>
    <x v="1594"/>
  </r>
  <r>
    <x v="518"/>
    <s v="Соседи"/>
    <x v="5"/>
    <x v="1"/>
    <x v="1"/>
    <n v="1380"/>
    <n v="61"/>
    <x v="390"/>
  </r>
  <r>
    <x v="518"/>
    <s v="Копеечка"/>
    <x v="5"/>
    <x v="2"/>
    <x v="16"/>
    <n v="890"/>
    <n v="25"/>
    <x v="48"/>
  </r>
  <r>
    <x v="518"/>
    <s v="Копеечка"/>
    <x v="5"/>
    <x v="0"/>
    <x v="17"/>
    <n v="2400"/>
    <n v="6"/>
    <x v="1175"/>
  </r>
  <r>
    <x v="518"/>
    <s v="Виталюр"/>
    <x v="6"/>
    <x v="1"/>
    <x v="20"/>
    <n v="650"/>
    <n v="37"/>
    <x v="1375"/>
  </r>
  <r>
    <x v="518"/>
    <s v="Копеечка"/>
    <x v="6"/>
    <x v="1"/>
    <x v="18"/>
    <n v="650"/>
    <n v="98"/>
    <x v="833"/>
  </r>
  <r>
    <x v="518"/>
    <s v="Соседи"/>
    <x v="6"/>
    <x v="2"/>
    <x v="8"/>
    <n v="460"/>
    <n v="31"/>
    <x v="1595"/>
  </r>
  <r>
    <x v="518"/>
    <s v="Виталюр"/>
    <x v="6"/>
    <x v="4"/>
    <x v="14"/>
    <n v="1670"/>
    <n v="7"/>
    <x v="1130"/>
  </r>
  <r>
    <x v="519"/>
    <m/>
    <x v="2"/>
    <x v="3"/>
    <x v="3"/>
    <m/>
    <m/>
    <x v="1596"/>
  </r>
  <r>
    <x v="520"/>
    <s v="Виталюр"/>
    <x v="3"/>
    <x v="4"/>
    <x v="15"/>
    <n v="2460"/>
    <n v="8"/>
    <x v="254"/>
  </r>
  <r>
    <x v="520"/>
    <s v="Копеечка"/>
    <x v="3"/>
    <x v="4"/>
    <x v="21"/>
    <n v="3205"/>
    <n v="94"/>
    <x v="139"/>
  </r>
  <r>
    <x v="520"/>
    <s v="Евроопт"/>
    <x v="0"/>
    <x v="1"/>
    <x v="6"/>
    <n v="640"/>
    <n v="8"/>
    <x v="1597"/>
  </r>
  <r>
    <x v="520"/>
    <s v="Копеечка"/>
    <x v="4"/>
    <x v="4"/>
    <x v="11"/>
    <n v="2970"/>
    <n v="62"/>
    <x v="436"/>
  </r>
  <r>
    <x v="520"/>
    <s v="Соседи"/>
    <x v="1"/>
    <x v="0"/>
    <x v="0"/>
    <n v="1320"/>
    <n v="22"/>
    <x v="1023"/>
  </r>
  <r>
    <x v="521"/>
    <m/>
    <x v="2"/>
    <x v="3"/>
    <x v="3"/>
    <m/>
    <m/>
    <x v="1598"/>
  </r>
  <r>
    <x v="522"/>
    <s v="Евроопт"/>
    <x v="3"/>
    <x v="1"/>
    <x v="18"/>
    <n v="650"/>
    <n v="54"/>
    <x v="158"/>
  </r>
  <r>
    <x v="522"/>
    <s v="Копеечка"/>
    <x v="0"/>
    <x v="1"/>
    <x v="1"/>
    <n v="1380"/>
    <n v="13"/>
    <x v="275"/>
  </r>
  <r>
    <x v="522"/>
    <s v="Копеечка"/>
    <x v="0"/>
    <x v="4"/>
    <x v="13"/>
    <n v="1505"/>
    <n v="41"/>
    <x v="1089"/>
  </r>
  <r>
    <x v="522"/>
    <s v="Виталюр"/>
    <x v="1"/>
    <x v="1"/>
    <x v="23"/>
    <n v="705"/>
    <n v="62"/>
    <x v="713"/>
  </r>
  <r>
    <x v="522"/>
    <s v="Соседи"/>
    <x v="1"/>
    <x v="0"/>
    <x v="0"/>
    <n v="1320"/>
    <n v="85"/>
    <x v="1599"/>
  </r>
  <r>
    <x v="522"/>
    <s v="Копеечка"/>
    <x v="1"/>
    <x v="4"/>
    <x v="11"/>
    <n v="2970"/>
    <n v="23"/>
    <x v="834"/>
  </r>
  <r>
    <x v="522"/>
    <s v="Виталюр"/>
    <x v="1"/>
    <x v="4"/>
    <x v="13"/>
    <n v="1505"/>
    <n v="58"/>
    <x v="91"/>
  </r>
  <r>
    <x v="522"/>
    <s v="Евроопт"/>
    <x v="5"/>
    <x v="1"/>
    <x v="18"/>
    <n v="650"/>
    <n v="83"/>
    <x v="442"/>
  </r>
  <r>
    <x v="522"/>
    <s v="Евроопт"/>
    <x v="5"/>
    <x v="2"/>
    <x v="9"/>
    <n v="690"/>
    <n v="12"/>
    <x v="244"/>
  </r>
  <r>
    <x v="522"/>
    <s v="Виталюр"/>
    <x v="5"/>
    <x v="4"/>
    <x v="14"/>
    <n v="1670"/>
    <n v="74"/>
    <x v="1600"/>
  </r>
  <r>
    <x v="522"/>
    <s v="Евроопт"/>
    <x v="6"/>
    <x v="0"/>
    <x v="17"/>
    <n v="2400"/>
    <n v="64"/>
    <x v="1110"/>
  </r>
  <r>
    <x v="522"/>
    <s v="Виталюр"/>
    <x v="6"/>
    <x v="0"/>
    <x v="10"/>
    <n v="1230"/>
    <n v="85"/>
    <x v="792"/>
  </r>
  <r>
    <x v="522"/>
    <s v="Соседи"/>
    <x v="6"/>
    <x v="4"/>
    <x v="11"/>
    <n v="2970"/>
    <n v="96"/>
    <x v="883"/>
  </r>
  <r>
    <x v="523"/>
    <m/>
    <x v="2"/>
    <x v="3"/>
    <x v="3"/>
    <m/>
    <m/>
    <x v="1601"/>
  </r>
  <r>
    <x v="524"/>
    <s v="Соседи"/>
    <x v="3"/>
    <x v="1"/>
    <x v="1"/>
    <n v="1380"/>
    <n v="18"/>
    <x v="200"/>
  </r>
  <r>
    <x v="524"/>
    <s v="Копеечка"/>
    <x v="3"/>
    <x v="2"/>
    <x v="12"/>
    <n v="715"/>
    <n v="25"/>
    <x v="149"/>
  </r>
  <r>
    <x v="524"/>
    <s v="Соседи"/>
    <x v="3"/>
    <x v="2"/>
    <x v="8"/>
    <n v="460"/>
    <n v="87"/>
    <x v="215"/>
  </r>
  <r>
    <x v="524"/>
    <s v="Евроопт"/>
    <x v="3"/>
    <x v="0"/>
    <x v="0"/>
    <n v="1320"/>
    <n v="74"/>
    <x v="1483"/>
  </r>
  <r>
    <x v="524"/>
    <s v="Соседи"/>
    <x v="4"/>
    <x v="2"/>
    <x v="16"/>
    <n v="890"/>
    <n v="30"/>
    <x v="1427"/>
  </r>
  <r>
    <x v="524"/>
    <s v="Копеечка"/>
    <x v="4"/>
    <x v="2"/>
    <x v="9"/>
    <n v="690"/>
    <n v="96"/>
    <x v="210"/>
  </r>
  <r>
    <x v="524"/>
    <s v="Соседи"/>
    <x v="1"/>
    <x v="2"/>
    <x v="8"/>
    <n v="460"/>
    <n v="75"/>
    <x v="1057"/>
  </r>
  <r>
    <x v="524"/>
    <s v="Копеечка"/>
    <x v="1"/>
    <x v="2"/>
    <x v="4"/>
    <n v="450"/>
    <n v="76"/>
    <x v="570"/>
  </r>
  <r>
    <x v="524"/>
    <s v="Евроопт"/>
    <x v="1"/>
    <x v="2"/>
    <x v="4"/>
    <n v="450"/>
    <n v="12"/>
    <x v="148"/>
  </r>
  <r>
    <x v="524"/>
    <s v="Виталюр"/>
    <x v="1"/>
    <x v="0"/>
    <x v="24"/>
    <n v="2540"/>
    <n v="22"/>
    <x v="1602"/>
  </r>
  <r>
    <x v="524"/>
    <s v="Виталюр"/>
    <x v="5"/>
    <x v="1"/>
    <x v="20"/>
    <n v="650"/>
    <n v="98"/>
    <x v="833"/>
  </r>
  <r>
    <x v="524"/>
    <s v="Виталюр"/>
    <x v="5"/>
    <x v="1"/>
    <x v="6"/>
    <n v="640"/>
    <n v="63"/>
    <x v="1581"/>
  </r>
  <r>
    <x v="525"/>
    <m/>
    <x v="2"/>
    <x v="3"/>
    <x v="3"/>
    <m/>
    <m/>
    <x v="1603"/>
  </r>
  <r>
    <x v="526"/>
    <s v="Виталюр"/>
    <x v="3"/>
    <x v="4"/>
    <x v="7"/>
    <n v="1760"/>
    <n v="17"/>
    <x v="1604"/>
  </r>
  <r>
    <x v="526"/>
    <s v="Копеечка"/>
    <x v="0"/>
    <x v="4"/>
    <x v="15"/>
    <n v="2460"/>
    <n v="80"/>
    <x v="1430"/>
  </r>
  <r>
    <x v="526"/>
    <s v="Копеечка"/>
    <x v="4"/>
    <x v="1"/>
    <x v="6"/>
    <n v="640"/>
    <n v="98"/>
    <x v="649"/>
  </r>
  <r>
    <x v="526"/>
    <s v="Соседи"/>
    <x v="4"/>
    <x v="0"/>
    <x v="5"/>
    <n v="930"/>
    <n v="81"/>
    <x v="1374"/>
  </r>
  <r>
    <x v="526"/>
    <s v="Соседи"/>
    <x v="1"/>
    <x v="0"/>
    <x v="5"/>
    <n v="930"/>
    <n v="29"/>
    <x v="638"/>
  </r>
  <r>
    <x v="526"/>
    <s v="Виталюр"/>
    <x v="1"/>
    <x v="4"/>
    <x v="11"/>
    <n v="2970"/>
    <n v="98"/>
    <x v="790"/>
  </r>
  <r>
    <x v="526"/>
    <s v="Евроопт"/>
    <x v="5"/>
    <x v="1"/>
    <x v="1"/>
    <n v="1380"/>
    <n v="62"/>
    <x v="345"/>
  </r>
  <r>
    <x v="526"/>
    <s v="Соседи"/>
    <x v="5"/>
    <x v="0"/>
    <x v="22"/>
    <n v="1420"/>
    <n v="44"/>
    <x v="1270"/>
  </r>
  <r>
    <x v="527"/>
    <m/>
    <x v="2"/>
    <x v="3"/>
    <x v="3"/>
    <m/>
    <m/>
    <x v="1605"/>
  </r>
  <r>
    <x v="528"/>
    <s v="Виталюр"/>
    <x v="3"/>
    <x v="1"/>
    <x v="23"/>
    <n v="705"/>
    <n v="67"/>
    <x v="318"/>
  </r>
  <r>
    <x v="528"/>
    <s v="Виталюр"/>
    <x v="4"/>
    <x v="2"/>
    <x v="12"/>
    <n v="715"/>
    <n v="65"/>
    <x v="1606"/>
  </r>
  <r>
    <x v="528"/>
    <s v="Соседи"/>
    <x v="4"/>
    <x v="4"/>
    <x v="14"/>
    <n v="1670"/>
    <n v="68"/>
    <x v="1410"/>
  </r>
  <r>
    <x v="528"/>
    <s v="Соседи"/>
    <x v="4"/>
    <x v="4"/>
    <x v="21"/>
    <n v="3205"/>
    <n v="48"/>
    <x v="859"/>
  </r>
  <r>
    <x v="528"/>
    <s v="Копеечка"/>
    <x v="6"/>
    <x v="1"/>
    <x v="6"/>
    <n v="640"/>
    <n v="70"/>
    <x v="103"/>
  </r>
  <r>
    <x v="528"/>
    <s v="Виталюр"/>
    <x v="6"/>
    <x v="0"/>
    <x v="0"/>
    <n v="1320"/>
    <n v="79"/>
    <x v="1562"/>
  </r>
  <r>
    <x v="529"/>
    <m/>
    <x v="2"/>
    <x v="3"/>
    <x v="3"/>
    <m/>
    <m/>
    <x v="1607"/>
  </r>
  <r>
    <x v="530"/>
    <s v="Виталюр"/>
    <x v="3"/>
    <x v="0"/>
    <x v="0"/>
    <n v="1320"/>
    <n v="69"/>
    <x v="1299"/>
  </r>
  <r>
    <x v="530"/>
    <s v="Виталюр"/>
    <x v="0"/>
    <x v="2"/>
    <x v="12"/>
    <n v="715"/>
    <n v="30"/>
    <x v="360"/>
  </r>
  <r>
    <x v="530"/>
    <s v="Евроопт"/>
    <x v="0"/>
    <x v="0"/>
    <x v="22"/>
    <n v="1420"/>
    <n v="82"/>
    <x v="632"/>
  </r>
  <r>
    <x v="530"/>
    <s v="Евроопт"/>
    <x v="4"/>
    <x v="2"/>
    <x v="4"/>
    <n v="450"/>
    <n v="81"/>
    <x v="519"/>
  </r>
  <r>
    <x v="530"/>
    <s v="Виталюр"/>
    <x v="4"/>
    <x v="4"/>
    <x v="11"/>
    <n v="2970"/>
    <n v="52"/>
    <x v="1545"/>
  </r>
  <r>
    <x v="530"/>
    <s v="Копеечка"/>
    <x v="1"/>
    <x v="1"/>
    <x v="1"/>
    <n v="1380"/>
    <n v="97"/>
    <x v="1608"/>
  </r>
  <r>
    <x v="530"/>
    <s v="Соседи"/>
    <x v="5"/>
    <x v="2"/>
    <x v="8"/>
    <n v="460"/>
    <n v="70"/>
    <x v="1326"/>
  </r>
  <r>
    <x v="530"/>
    <s v="Евроопт"/>
    <x v="5"/>
    <x v="0"/>
    <x v="0"/>
    <n v="1320"/>
    <n v="50"/>
    <x v="1609"/>
  </r>
  <r>
    <x v="530"/>
    <s v="Соседи"/>
    <x v="6"/>
    <x v="0"/>
    <x v="24"/>
    <n v="2540"/>
    <n v="93"/>
    <x v="419"/>
  </r>
  <r>
    <x v="530"/>
    <s v="Соседи"/>
    <x v="6"/>
    <x v="0"/>
    <x v="17"/>
    <n v="2400"/>
    <n v="33"/>
    <x v="30"/>
  </r>
  <r>
    <x v="531"/>
    <m/>
    <x v="2"/>
    <x v="3"/>
    <x v="3"/>
    <m/>
    <m/>
    <x v="1610"/>
  </r>
  <r>
    <x v="532"/>
    <s v="Копеечка"/>
    <x v="3"/>
    <x v="0"/>
    <x v="22"/>
    <n v="1420"/>
    <n v="25"/>
    <x v="1513"/>
  </r>
  <r>
    <x v="532"/>
    <s v="Виталюр"/>
    <x v="0"/>
    <x v="1"/>
    <x v="6"/>
    <n v="640"/>
    <n v="76"/>
    <x v="1416"/>
  </r>
  <r>
    <x v="532"/>
    <s v="Евроопт"/>
    <x v="0"/>
    <x v="0"/>
    <x v="0"/>
    <n v="1320"/>
    <n v="53"/>
    <x v="1611"/>
  </r>
  <r>
    <x v="532"/>
    <s v="Копеечка"/>
    <x v="0"/>
    <x v="4"/>
    <x v="21"/>
    <n v="3205"/>
    <n v="12"/>
    <x v="1379"/>
  </r>
  <r>
    <x v="532"/>
    <s v="Виталюр"/>
    <x v="4"/>
    <x v="1"/>
    <x v="6"/>
    <n v="640"/>
    <n v="43"/>
    <x v="1612"/>
  </r>
  <r>
    <x v="532"/>
    <s v="Виталюр"/>
    <x v="4"/>
    <x v="4"/>
    <x v="11"/>
    <n v="2970"/>
    <n v="36"/>
    <x v="1458"/>
  </r>
  <r>
    <x v="532"/>
    <s v="Соседи"/>
    <x v="1"/>
    <x v="4"/>
    <x v="7"/>
    <n v="1760"/>
    <n v="13"/>
    <x v="350"/>
  </r>
  <r>
    <x v="532"/>
    <s v="Копеечка"/>
    <x v="5"/>
    <x v="4"/>
    <x v="7"/>
    <n v="1760"/>
    <n v="100"/>
    <x v="1613"/>
  </r>
  <r>
    <x v="532"/>
    <s v="Копеечка"/>
    <x v="6"/>
    <x v="1"/>
    <x v="18"/>
    <n v="650"/>
    <n v="33"/>
    <x v="360"/>
  </r>
  <r>
    <x v="532"/>
    <s v="Соседи"/>
    <x v="6"/>
    <x v="0"/>
    <x v="22"/>
    <n v="1420"/>
    <n v="23"/>
    <x v="408"/>
  </r>
  <r>
    <x v="532"/>
    <s v="Виталюр"/>
    <x v="6"/>
    <x v="0"/>
    <x v="22"/>
    <n v="1420"/>
    <n v="19"/>
    <x v="951"/>
  </r>
  <r>
    <x v="533"/>
    <m/>
    <x v="2"/>
    <x v="3"/>
    <x v="3"/>
    <m/>
    <m/>
    <x v="1614"/>
  </r>
  <r>
    <x v="534"/>
    <s v="Соседи"/>
    <x v="0"/>
    <x v="2"/>
    <x v="9"/>
    <n v="690"/>
    <n v="39"/>
    <x v="1113"/>
  </r>
  <r>
    <x v="534"/>
    <s v="Евроопт"/>
    <x v="0"/>
    <x v="2"/>
    <x v="2"/>
    <n v="325"/>
    <n v="51"/>
    <x v="1615"/>
  </r>
  <r>
    <x v="534"/>
    <s v="Евроопт"/>
    <x v="5"/>
    <x v="2"/>
    <x v="12"/>
    <n v="715"/>
    <n v="86"/>
    <x v="1616"/>
  </r>
  <r>
    <x v="534"/>
    <s v="Евроопт"/>
    <x v="5"/>
    <x v="2"/>
    <x v="16"/>
    <n v="890"/>
    <n v="61"/>
    <x v="1199"/>
  </r>
  <r>
    <x v="534"/>
    <s v="Соседи"/>
    <x v="5"/>
    <x v="0"/>
    <x v="0"/>
    <n v="1320"/>
    <n v="89"/>
    <x v="779"/>
  </r>
  <r>
    <x v="534"/>
    <s v="Виталюр"/>
    <x v="6"/>
    <x v="1"/>
    <x v="18"/>
    <n v="650"/>
    <n v="64"/>
    <x v="15"/>
  </r>
  <r>
    <x v="534"/>
    <s v="Копеечка"/>
    <x v="6"/>
    <x v="0"/>
    <x v="5"/>
    <n v="930"/>
    <n v="89"/>
    <x v="729"/>
  </r>
  <r>
    <x v="535"/>
    <m/>
    <x v="2"/>
    <x v="3"/>
    <x v="3"/>
    <m/>
    <m/>
    <x v="1617"/>
  </r>
  <r>
    <x v="536"/>
    <s v="Виталюр"/>
    <x v="3"/>
    <x v="0"/>
    <x v="24"/>
    <n v="2540"/>
    <n v="75"/>
    <x v="98"/>
  </r>
  <r>
    <x v="536"/>
    <s v="Соседи"/>
    <x v="0"/>
    <x v="0"/>
    <x v="5"/>
    <n v="930"/>
    <n v="48"/>
    <x v="1565"/>
  </r>
  <r>
    <x v="536"/>
    <s v="Виталюр"/>
    <x v="0"/>
    <x v="0"/>
    <x v="5"/>
    <n v="930"/>
    <n v="70"/>
    <x v="1223"/>
  </r>
  <r>
    <x v="536"/>
    <s v="Виталюр"/>
    <x v="4"/>
    <x v="2"/>
    <x v="4"/>
    <n v="450"/>
    <n v="58"/>
    <x v="620"/>
  </r>
  <r>
    <x v="536"/>
    <s v="Соседи"/>
    <x v="4"/>
    <x v="0"/>
    <x v="24"/>
    <n v="2540"/>
    <n v="30"/>
    <x v="1143"/>
  </r>
  <r>
    <x v="536"/>
    <s v="Копеечка"/>
    <x v="4"/>
    <x v="0"/>
    <x v="24"/>
    <n v="2540"/>
    <n v="53"/>
    <x v="1401"/>
  </r>
  <r>
    <x v="536"/>
    <s v="Копеечка"/>
    <x v="4"/>
    <x v="4"/>
    <x v="7"/>
    <n v="1760"/>
    <n v="89"/>
    <x v="1618"/>
  </r>
  <r>
    <x v="536"/>
    <s v="Евроопт"/>
    <x v="4"/>
    <x v="4"/>
    <x v="14"/>
    <n v="1670"/>
    <n v="23"/>
    <x v="1619"/>
  </r>
  <r>
    <x v="536"/>
    <s v="Соседи"/>
    <x v="1"/>
    <x v="1"/>
    <x v="6"/>
    <n v="640"/>
    <n v="8"/>
    <x v="1597"/>
  </r>
  <r>
    <x v="536"/>
    <s v="Виталюр"/>
    <x v="1"/>
    <x v="2"/>
    <x v="4"/>
    <n v="450"/>
    <n v="91"/>
    <x v="175"/>
  </r>
  <r>
    <x v="536"/>
    <s v="Соседи"/>
    <x v="5"/>
    <x v="1"/>
    <x v="18"/>
    <n v="650"/>
    <n v="11"/>
    <x v="73"/>
  </r>
  <r>
    <x v="536"/>
    <s v="Евроопт"/>
    <x v="5"/>
    <x v="2"/>
    <x v="16"/>
    <n v="890"/>
    <n v="95"/>
    <x v="1037"/>
  </r>
  <r>
    <x v="536"/>
    <s v="Соседи"/>
    <x v="5"/>
    <x v="4"/>
    <x v="7"/>
    <n v="1760"/>
    <n v="23"/>
    <x v="539"/>
  </r>
  <r>
    <x v="537"/>
    <m/>
    <x v="2"/>
    <x v="3"/>
    <x v="3"/>
    <m/>
    <m/>
    <x v="1620"/>
  </r>
  <r>
    <x v="538"/>
    <s v="Виталюр"/>
    <x v="3"/>
    <x v="0"/>
    <x v="10"/>
    <n v="1230"/>
    <n v="86"/>
    <x v="465"/>
  </r>
  <r>
    <x v="538"/>
    <s v="Виталюр"/>
    <x v="3"/>
    <x v="0"/>
    <x v="5"/>
    <n v="930"/>
    <n v="19"/>
    <x v="1621"/>
  </r>
  <r>
    <x v="538"/>
    <s v="Виталюр"/>
    <x v="0"/>
    <x v="1"/>
    <x v="19"/>
    <n v="540"/>
    <n v="97"/>
    <x v="282"/>
  </r>
  <r>
    <x v="538"/>
    <s v="Копеечка"/>
    <x v="0"/>
    <x v="1"/>
    <x v="6"/>
    <n v="640"/>
    <n v="5"/>
    <x v="1622"/>
  </r>
  <r>
    <x v="538"/>
    <s v="Соседи"/>
    <x v="0"/>
    <x v="4"/>
    <x v="14"/>
    <n v="1670"/>
    <n v="54"/>
    <x v="1623"/>
  </r>
  <r>
    <x v="538"/>
    <s v="Виталюр"/>
    <x v="0"/>
    <x v="4"/>
    <x v="14"/>
    <n v="1670"/>
    <n v="26"/>
    <x v="140"/>
  </r>
  <r>
    <x v="538"/>
    <s v="Евроопт"/>
    <x v="4"/>
    <x v="1"/>
    <x v="23"/>
    <n v="705"/>
    <n v="49"/>
    <x v="332"/>
  </r>
  <r>
    <x v="538"/>
    <s v="Виталюр"/>
    <x v="4"/>
    <x v="0"/>
    <x v="17"/>
    <n v="2400"/>
    <n v="73"/>
    <x v="1188"/>
  </r>
  <r>
    <x v="538"/>
    <s v="Копеечка"/>
    <x v="1"/>
    <x v="1"/>
    <x v="1"/>
    <n v="1380"/>
    <n v="98"/>
    <x v="1624"/>
  </r>
  <r>
    <x v="538"/>
    <s v="Соседи"/>
    <x v="1"/>
    <x v="2"/>
    <x v="12"/>
    <n v="715"/>
    <n v="55"/>
    <x v="1625"/>
  </r>
  <r>
    <x v="538"/>
    <s v="Копеечка"/>
    <x v="5"/>
    <x v="0"/>
    <x v="10"/>
    <n v="1230"/>
    <n v="51"/>
    <x v="1257"/>
  </r>
  <r>
    <x v="538"/>
    <s v="Виталюр"/>
    <x v="5"/>
    <x v="0"/>
    <x v="0"/>
    <n v="1320"/>
    <n v="33"/>
    <x v="451"/>
  </r>
  <r>
    <x v="538"/>
    <s v="Копеечка"/>
    <x v="6"/>
    <x v="2"/>
    <x v="8"/>
    <n v="460"/>
    <n v="74"/>
    <x v="1417"/>
  </r>
  <r>
    <x v="539"/>
    <m/>
    <x v="2"/>
    <x v="3"/>
    <x v="3"/>
    <m/>
    <m/>
    <x v="1626"/>
  </r>
  <r>
    <x v="540"/>
    <s v="Соседи"/>
    <x v="3"/>
    <x v="1"/>
    <x v="1"/>
    <n v="1380"/>
    <n v="16"/>
    <x v="253"/>
  </r>
  <r>
    <x v="540"/>
    <s v="Соседи"/>
    <x v="3"/>
    <x v="2"/>
    <x v="8"/>
    <n v="460"/>
    <n v="92"/>
    <x v="1627"/>
  </r>
  <r>
    <x v="540"/>
    <s v="Евроопт"/>
    <x v="3"/>
    <x v="2"/>
    <x v="2"/>
    <n v="325"/>
    <n v="88"/>
    <x v="853"/>
  </r>
  <r>
    <x v="540"/>
    <s v="Евроопт"/>
    <x v="3"/>
    <x v="0"/>
    <x v="22"/>
    <n v="1420"/>
    <n v="89"/>
    <x v="655"/>
  </r>
  <r>
    <x v="540"/>
    <s v="Евроопт"/>
    <x v="0"/>
    <x v="1"/>
    <x v="23"/>
    <n v="705"/>
    <n v="38"/>
    <x v="1258"/>
  </r>
  <r>
    <x v="540"/>
    <s v="Копеечка"/>
    <x v="0"/>
    <x v="2"/>
    <x v="12"/>
    <n v="715"/>
    <n v="25"/>
    <x v="149"/>
  </r>
  <r>
    <x v="540"/>
    <s v="Соседи"/>
    <x v="0"/>
    <x v="0"/>
    <x v="17"/>
    <n v="2400"/>
    <n v="92"/>
    <x v="1628"/>
  </r>
  <r>
    <x v="540"/>
    <s v="Евроопт"/>
    <x v="4"/>
    <x v="1"/>
    <x v="1"/>
    <n v="1380"/>
    <n v="36"/>
    <x v="1629"/>
  </r>
  <r>
    <x v="540"/>
    <s v="Евроопт"/>
    <x v="4"/>
    <x v="0"/>
    <x v="0"/>
    <n v="1320"/>
    <n v="46"/>
    <x v="1103"/>
  </r>
  <r>
    <x v="540"/>
    <s v="Евроопт"/>
    <x v="4"/>
    <x v="4"/>
    <x v="21"/>
    <n v="3205"/>
    <n v="77"/>
    <x v="1630"/>
  </r>
  <r>
    <x v="541"/>
    <m/>
    <x v="2"/>
    <x v="3"/>
    <x v="3"/>
    <m/>
    <m/>
    <x v="1631"/>
  </r>
  <r>
    <x v="542"/>
    <s v="Виталюр"/>
    <x v="3"/>
    <x v="0"/>
    <x v="0"/>
    <n v="1320"/>
    <n v="46"/>
    <x v="1103"/>
  </r>
  <r>
    <x v="542"/>
    <s v="Копеечка"/>
    <x v="3"/>
    <x v="4"/>
    <x v="21"/>
    <n v="3205"/>
    <n v="51"/>
    <x v="1433"/>
  </r>
  <r>
    <x v="542"/>
    <s v="Виталюр"/>
    <x v="1"/>
    <x v="1"/>
    <x v="1"/>
    <n v="1380"/>
    <n v="86"/>
    <x v="932"/>
  </r>
  <r>
    <x v="542"/>
    <s v="Евроопт"/>
    <x v="1"/>
    <x v="1"/>
    <x v="1"/>
    <n v="1380"/>
    <n v="50"/>
    <x v="1179"/>
  </r>
  <r>
    <x v="542"/>
    <s v="Копеечка"/>
    <x v="1"/>
    <x v="0"/>
    <x v="10"/>
    <n v="1230"/>
    <n v="90"/>
    <x v="415"/>
  </r>
  <r>
    <x v="542"/>
    <s v="Виталюр"/>
    <x v="5"/>
    <x v="1"/>
    <x v="18"/>
    <n v="650"/>
    <n v="59"/>
    <x v="1568"/>
  </r>
  <r>
    <x v="543"/>
    <m/>
    <x v="2"/>
    <x v="3"/>
    <x v="3"/>
    <m/>
    <m/>
    <x v="1632"/>
  </r>
  <r>
    <x v="544"/>
    <s v="Евроопт"/>
    <x v="3"/>
    <x v="1"/>
    <x v="20"/>
    <n v="650"/>
    <n v="15"/>
    <x v="857"/>
  </r>
  <r>
    <x v="544"/>
    <s v="Евроопт"/>
    <x v="3"/>
    <x v="2"/>
    <x v="8"/>
    <n v="460"/>
    <n v="33"/>
    <x v="628"/>
  </r>
  <r>
    <x v="544"/>
    <s v="Соседи"/>
    <x v="3"/>
    <x v="4"/>
    <x v="11"/>
    <n v="2970"/>
    <n v="100"/>
    <x v="1633"/>
  </r>
  <r>
    <x v="544"/>
    <s v="Евроопт"/>
    <x v="3"/>
    <x v="4"/>
    <x v="11"/>
    <n v="2970"/>
    <n v="13"/>
    <x v="603"/>
  </r>
  <r>
    <x v="544"/>
    <s v="Соседи"/>
    <x v="0"/>
    <x v="1"/>
    <x v="23"/>
    <n v="705"/>
    <n v="53"/>
    <x v="1634"/>
  </r>
  <r>
    <x v="544"/>
    <s v="Евроопт"/>
    <x v="0"/>
    <x v="2"/>
    <x v="8"/>
    <n v="460"/>
    <n v="47"/>
    <x v="1635"/>
  </r>
  <r>
    <x v="544"/>
    <s v="Евроопт"/>
    <x v="0"/>
    <x v="0"/>
    <x v="22"/>
    <n v="1420"/>
    <n v="75"/>
    <x v="232"/>
  </r>
  <r>
    <x v="544"/>
    <s v="Копеечка"/>
    <x v="4"/>
    <x v="0"/>
    <x v="17"/>
    <n v="2400"/>
    <n v="60"/>
    <x v="1585"/>
  </r>
  <r>
    <x v="544"/>
    <s v="Виталюр"/>
    <x v="1"/>
    <x v="2"/>
    <x v="12"/>
    <n v="715"/>
    <n v="64"/>
    <x v="185"/>
  </r>
  <r>
    <x v="544"/>
    <s v="Копеечка"/>
    <x v="1"/>
    <x v="2"/>
    <x v="16"/>
    <n v="890"/>
    <n v="70"/>
    <x v="578"/>
  </r>
  <r>
    <x v="544"/>
    <s v="Соседи"/>
    <x v="5"/>
    <x v="2"/>
    <x v="8"/>
    <n v="460"/>
    <n v="43"/>
    <x v="86"/>
  </r>
  <r>
    <x v="544"/>
    <s v="Соседи"/>
    <x v="6"/>
    <x v="1"/>
    <x v="1"/>
    <n v="1380"/>
    <n v="46"/>
    <x v="1275"/>
  </r>
  <r>
    <x v="544"/>
    <s v="Евроопт"/>
    <x v="6"/>
    <x v="0"/>
    <x v="17"/>
    <n v="2400"/>
    <n v="20"/>
    <x v="77"/>
  </r>
  <r>
    <x v="544"/>
    <s v="Соседи"/>
    <x v="6"/>
    <x v="4"/>
    <x v="21"/>
    <n v="3205"/>
    <n v="66"/>
    <x v="1160"/>
  </r>
  <r>
    <x v="545"/>
    <m/>
    <x v="2"/>
    <x v="3"/>
    <x v="3"/>
    <m/>
    <m/>
    <x v="1636"/>
  </r>
  <r>
    <x v="546"/>
    <s v="Соседи"/>
    <x v="4"/>
    <x v="1"/>
    <x v="1"/>
    <n v="1380"/>
    <n v="53"/>
    <x v="734"/>
  </r>
  <r>
    <x v="546"/>
    <s v="Соседи"/>
    <x v="4"/>
    <x v="2"/>
    <x v="12"/>
    <n v="715"/>
    <n v="15"/>
    <x v="28"/>
  </r>
  <r>
    <x v="546"/>
    <s v="Копеечка"/>
    <x v="4"/>
    <x v="0"/>
    <x v="22"/>
    <n v="1420"/>
    <n v="50"/>
    <x v="1637"/>
  </r>
  <r>
    <x v="546"/>
    <s v="Копеечка"/>
    <x v="4"/>
    <x v="0"/>
    <x v="22"/>
    <n v="1420"/>
    <n v="100"/>
    <x v="976"/>
  </r>
  <r>
    <x v="546"/>
    <s v="Копеечка"/>
    <x v="4"/>
    <x v="4"/>
    <x v="21"/>
    <n v="3205"/>
    <n v="22"/>
    <x v="311"/>
  </r>
  <r>
    <x v="546"/>
    <s v="Евроопт"/>
    <x v="5"/>
    <x v="2"/>
    <x v="9"/>
    <n v="690"/>
    <n v="41"/>
    <x v="738"/>
  </r>
  <r>
    <x v="546"/>
    <s v="Евроопт"/>
    <x v="6"/>
    <x v="1"/>
    <x v="18"/>
    <n v="650"/>
    <n v="83"/>
    <x v="442"/>
  </r>
  <r>
    <x v="547"/>
    <m/>
    <x v="2"/>
    <x v="3"/>
    <x v="3"/>
    <m/>
    <m/>
    <x v="1638"/>
  </r>
  <r>
    <x v="548"/>
    <s v="Евроопт"/>
    <x v="3"/>
    <x v="2"/>
    <x v="2"/>
    <n v="325"/>
    <n v="51"/>
    <x v="1615"/>
  </r>
  <r>
    <x v="548"/>
    <s v="Соседи"/>
    <x v="3"/>
    <x v="0"/>
    <x v="5"/>
    <n v="930"/>
    <n v="40"/>
    <x v="372"/>
  </r>
  <r>
    <x v="548"/>
    <s v="Соседи"/>
    <x v="0"/>
    <x v="1"/>
    <x v="1"/>
    <n v="1380"/>
    <n v="26"/>
    <x v="690"/>
  </r>
  <r>
    <x v="548"/>
    <s v="Евроопт"/>
    <x v="0"/>
    <x v="2"/>
    <x v="2"/>
    <n v="325"/>
    <n v="7"/>
    <x v="574"/>
  </r>
  <r>
    <x v="548"/>
    <s v="Евроопт"/>
    <x v="0"/>
    <x v="0"/>
    <x v="0"/>
    <n v="1320"/>
    <n v="42"/>
    <x v="1140"/>
  </r>
  <r>
    <x v="548"/>
    <s v="Виталюр"/>
    <x v="0"/>
    <x v="4"/>
    <x v="13"/>
    <n v="1505"/>
    <n v="95"/>
    <x v="1639"/>
  </r>
  <r>
    <x v="548"/>
    <s v="Соседи"/>
    <x v="4"/>
    <x v="0"/>
    <x v="0"/>
    <n v="1320"/>
    <n v="83"/>
    <x v="463"/>
  </r>
  <r>
    <x v="548"/>
    <s v="Евроопт"/>
    <x v="4"/>
    <x v="4"/>
    <x v="14"/>
    <n v="1670"/>
    <n v="75"/>
    <x v="1158"/>
  </r>
  <r>
    <x v="548"/>
    <s v="Соседи"/>
    <x v="1"/>
    <x v="1"/>
    <x v="19"/>
    <n v="540"/>
    <n v="36"/>
    <x v="965"/>
  </r>
  <r>
    <x v="548"/>
    <s v="Копеечка"/>
    <x v="1"/>
    <x v="2"/>
    <x v="12"/>
    <n v="715"/>
    <n v="100"/>
    <x v="1640"/>
  </r>
  <r>
    <x v="548"/>
    <s v="Соседи"/>
    <x v="1"/>
    <x v="2"/>
    <x v="12"/>
    <n v="715"/>
    <n v="64"/>
    <x v="185"/>
  </r>
  <r>
    <x v="548"/>
    <s v="Евроопт"/>
    <x v="1"/>
    <x v="0"/>
    <x v="10"/>
    <n v="1230"/>
    <n v="97"/>
    <x v="1482"/>
  </r>
  <r>
    <x v="548"/>
    <s v="Евроопт"/>
    <x v="1"/>
    <x v="0"/>
    <x v="10"/>
    <n v="1230"/>
    <n v="27"/>
    <x v="1318"/>
  </r>
  <r>
    <x v="548"/>
    <s v="Соседи"/>
    <x v="6"/>
    <x v="0"/>
    <x v="10"/>
    <n v="1230"/>
    <n v="90"/>
    <x v="415"/>
  </r>
  <r>
    <x v="549"/>
    <m/>
    <x v="2"/>
    <x v="3"/>
    <x v="3"/>
    <m/>
    <m/>
    <x v="1641"/>
  </r>
  <r>
    <x v="550"/>
    <s v="Виталюр"/>
    <x v="3"/>
    <x v="1"/>
    <x v="6"/>
    <n v="640"/>
    <n v="66"/>
    <x v="11"/>
  </r>
  <r>
    <x v="550"/>
    <s v="Копеечка"/>
    <x v="0"/>
    <x v="1"/>
    <x v="23"/>
    <n v="705"/>
    <n v="17"/>
    <x v="684"/>
  </r>
  <r>
    <x v="550"/>
    <s v="Евроопт"/>
    <x v="0"/>
    <x v="2"/>
    <x v="12"/>
    <n v="715"/>
    <n v="8"/>
    <x v="398"/>
  </r>
  <r>
    <x v="550"/>
    <s v="Копеечка"/>
    <x v="5"/>
    <x v="2"/>
    <x v="12"/>
    <n v="715"/>
    <n v="63"/>
    <x v="1642"/>
  </r>
  <r>
    <x v="550"/>
    <s v="Виталюр"/>
    <x v="6"/>
    <x v="1"/>
    <x v="1"/>
    <n v="1380"/>
    <n v="22"/>
    <x v="1643"/>
  </r>
  <r>
    <x v="550"/>
    <s v="Виталюр"/>
    <x v="6"/>
    <x v="4"/>
    <x v="15"/>
    <n v="2460"/>
    <n v="13"/>
    <x v="108"/>
  </r>
  <r>
    <x v="550"/>
    <s v="Евроопт"/>
    <x v="6"/>
    <x v="4"/>
    <x v="15"/>
    <n v="2460"/>
    <n v="22"/>
    <x v="142"/>
  </r>
  <r>
    <x v="550"/>
    <s v="Евроопт"/>
    <x v="6"/>
    <x v="4"/>
    <x v="7"/>
    <n v="1760"/>
    <n v="9"/>
    <x v="1408"/>
  </r>
  <r>
    <x v="551"/>
    <m/>
    <x v="2"/>
    <x v="3"/>
    <x v="3"/>
    <m/>
    <m/>
    <x v="1644"/>
  </r>
  <r>
    <x v="552"/>
    <s v="Виталюр"/>
    <x v="3"/>
    <x v="4"/>
    <x v="15"/>
    <n v="2460"/>
    <n v="12"/>
    <x v="600"/>
  </r>
  <r>
    <x v="552"/>
    <s v="Соседи"/>
    <x v="0"/>
    <x v="1"/>
    <x v="23"/>
    <n v="705"/>
    <n v="73"/>
    <x v="1645"/>
  </r>
  <r>
    <x v="552"/>
    <s v="Копеечка"/>
    <x v="0"/>
    <x v="2"/>
    <x v="8"/>
    <n v="460"/>
    <n v="87"/>
    <x v="215"/>
  </r>
  <r>
    <x v="552"/>
    <s v="Копеечка"/>
    <x v="0"/>
    <x v="4"/>
    <x v="11"/>
    <n v="2970"/>
    <n v="53"/>
    <x v="246"/>
  </r>
  <r>
    <x v="552"/>
    <s v="Копеечка"/>
    <x v="4"/>
    <x v="2"/>
    <x v="8"/>
    <n v="460"/>
    <n v="80"/>
    <x v="467"/>
  </r>
  <r>
    <x v="552"/>
    <s v="Копеечка"/>
    <x v="4"/>
    <x v="0"/>
    <x v="24"/>
    <n v="2540"/>
    <n v="44"/>
    <x v="1053"/>
  </r>
  <r>
    <x v="552"/>
    <s v="Евроопт"/>
    <x v="4"/>
    <x v="4"/>
    <x v="7"/>
    <n v="1760"/>
    <n v="82"/>
    <x v="852"/>
  </r>
  <r>
    <x v="552"/>
    <s v="Евроопт"/>
    <x v="5"/>
    <x v="4"/>
    <x v="7"/>
    <n v="1760"/>
    <n v="55"/>
    <x v="1646"/>
  </r>
  <r>
    <x v="552"/>
    <s v="Евроопт"/>
    <x v="6"/>
    <x v="1"/>
    <x v="19"/>
    <n v="540"/>
    <n v="83"/>
    <x v="629"/>
  </r>
  <r>
    <x v="552"/>
    <s v="Копеечка"/>
    <x v="6"/>
    <x v="0"/>
    <x v="10"/>
    <n v="1230"/>
    <n v="46"/>
    <x v="556"/>
  </r>
  <r>
    <x v="552"/>
    <s v="Виталюр"/>
    <x v="6"/>
    <x v="0"/>
    <x v="22"/>
    <n v="1420"/>
    <n v="58"/>
    <x v="888"/>
  </r>
  <r>
    <x v="552"/>
    <s v="Евроопт"/>
    <x v="6"/>
    <x v="4"/>
    <x v="7"/>
    <n v="1760"/>
    <n v="75"/>
    <x v="524"/>
  </r>
  <r>
    <x v="553"/>
    <m/>
    <x v="2"/>
    <x v="3"/>
    <x v="3"/>
    <m/>
    <m/>
    <x v="1647"/>
  </r>
  <r>
    <x v="554"/>
    <s v="Копеечка"/>
    <x v="3"/>
    <x v="1"/>
    <x v="19"/>
    <n v="540"/>
    <n v="85"/>
    <x v="1648"/>
  </r>
  <r>
    <x v="554"/>
    <s v="Виталюр"/>
    <x v="3"/>
    <x v="2"/>
    <x v="8"/>
    <n v="460"/>
    <n v="75"/>
    <x v="1057"/>
  </r>
  <r>
    <x v="554"/>
    <s v="Соседи"/>
    <x v="3"/>
    <x v="0"/>
    <x v="5"/>
    <n v="930"/>
    <n v="36"/>
    <x v="206"/>
  </r>
  <r>
    <x v="554"/>
    <s v="Виталюр"/>
    <x v="3"/>
    <x v="0"/>
    <x v="10"/>
    <n v="1230"/>
    <n v="78"/>
    <x v="906"/>
  </r>
  <r>
    <x v="554"/>
    <s v="Евроопт"/>
    <x v="0"/>
    <x v="1"/>
    <x v="20"/>
    <n v="650"/>
    <n v="80"/>
    <x v="1649"/>
  </r>
  <r>
    <x v="554"/>
    <s v="Виталюр"/>
    <x v="4"/>
    <x v="1"/>
    <x v="1"/>
    <n v="1380"/>
    <n v="15"/>
    <x v="812"/>
  </r>
  <r>
    <x v="554"/>
    <s v="Виталюр"/>
    <x v="4"/>
    <x v="2"/>
    <x v="16"/>
    <n v="890"/>
    <n v="66"/>
    <x v="1239"/>
  </r>
  <r>
    <x v="554"/>
    <s v="Копеечка"/>
    <x v="4"/>
    <x v="0"/>
    <x v="5"/>
    <n v="930"/>
    <n v="89"/>
    <x v="729"/>
  </r>
  <r>
    <x v="554"/>
    <s v="Евроопт"/>
    <x v="4"/>
    <x v="4"/>
    <x v="11"/>
    <n v="2970"/>
    <n v="39"/>
    <x v="1385"/>
  </r>
  <r>
    <x v="554"/>
    <s v="Копеечка"/>
    <x v="1"/>
    <x v="1"/>
    <x v="19"/>
    <n v="540"/>
    <n v="8"/>
    <x v="814"/>
  </r>
  <r>
    <x v="554"/>
    <s v="Копеечка"/>
    <x v="6"/>
    <x v="4"/>
    <x v="15"/>
    <n v="2460"/>
    <n v="32"/>
    <x v="424"/>
  </r>
  <r>
    <x v="555"/>
    <m/>
    <x v="2"/>
    <x v="3"/>
    <x v="3"/>
    <m/>
    <m/>
    <x v="1650"/>
  </r>
  <r>
    <x v="556"/>
    <s v="Евроопт"/>
    <x v="3"/>
    <x v="1"/>
    <x v="1"/>
    <n v="1380"/>
    <n v="6"/>
    <x v="244"/>
  </r>
  <r>
    <x v="556"/>
    <s v="Виталюр"/>
    <x v="3"/>
    <x v="0"/>
    <x v="22"/>
    <n v="1420"/>
    <n v="75"/>
    <x v="232"/>
  </r>
  <r>
    <x v="556"/>
    <s v="Евроопт"/>
    <x v="3"/>
    <x v="4"/>
    <x v="13"/>
    <n v="1505"/>
    <n v="88"/>
    <x v="1492"/>
  </r>
  <r>
    <x v="556"/>
    <s v="Евроопт"/>
    <x v="0"/>
    <x v="1"/>
    <x v="23"/>
    <n v="705"/>
    <n v="5"/>
    <x v="708"/>
  </r>
  <r>
    <x v="556"/>
    <s v="Копеечка"/>
    <x v="0"/>
    <x v="2"/>
    <x v="2"/>
    <n v="325"/>
    <n v="40"/>
    <x v="1455"/>
  </r>
  <r>
    <x v="556"/>
    <s v="Евроопт"/>
    <x v="4"/>
    <x v="0"/>
    <x v="17"/>
    <n v="2400"/>
    <n v="22"/>
    <x v="94"/>
  </r>
  <r>
    <x v="556"/>
    <s v="Виталюр"/>
    <x v="1"/>
    <x v="1"/>
    <x v="18"/>
    <n v="650"/>
    <n v="10"/>
    <x v="562"/>
  </r>
  <r>
    <x v="556"/>
    <s v="Виталюр"/>
    <x v="1"/>
    <x v="0"/>
    <x v="10"/>
    <n v="1230"/>
    <n v="34"/>
    <x v="187"/>
  </r>
  <r>
    <x v="557"/>
    <m/>
    <x v="2"/>
    <x v="3"/>
    <x v="3"/>
    <m/>
    <m/>
    <x v="1651"/>
  </r>
  <r>
    <x v="558"/>
    <s v="Копеечка"/>
    <x v="3"/>
    <x v="0"/>
    <x v="17"/>
    <n v="2400"/>
    <n v="6"/>
    <x v="1175"/>
  </r>
  <r>
    <x v="558"/>
    <s v="Евроопт"/>
    <x v="3"/>
    <x v="0"/>
    <x v="5"/>
    <n v="930"/>
    <n v="54"/>
    <x v="955"/>
  </r>
  <r>
    <x v="558"/>
    <s v="Соседи"/>
    <x v="0"/>
    <x v="2"/>
    <x v="12"/>
    <n v="715"/>
    <n v="91"/>
    <x v="298"/>
  </r>
  <r>
    <x v="558"/>
    <s v="Евроопт"/>
    <x v="0"/>
    <x v="2"/>
    <x v="12"/>
    <n v="715"/>
    <n v="90"/>
    <x v="221"/>
  </r>
  <r>
    <x v="558"/>
    <s v="Виталюр"/>
    <x v="0"/>
    <x v="0"/>
    <x v="5"/>
    <n v="930"/>
    <n v="81"/>
    <x v="1374"/>
  </r>
  <r>
    <x v="558"/>
    <s v="Евроопт"/>
    <x v="1"/>
    <x v="1"/>
    <x v="20"/>
    <n v="650"/>
    <n v="93"/>
    <x v="875"/>
  </r>
  <r>
    <x v="558"/>
    <s v="Копеечка"/>
    <x v="1"/>
    <x v="2"/>
    <x v="16"/>
    <n v="890"/>
    <n v="51"/>
    <x v="773"/>
  </r>
  <r>
    <x v="558"/>
    <s v="Копеечка"/>
    <x v="1"/>
    <x v="0"/>
    <x v="5"/>
    <n v="930"/>
    <n v="57"/>
    <x v="1652"/>
  </r>
  <r>
    <x v="558"/>
    <s v="Евроопт"/>
    <x v="1"/>
    <x v="4"/>
    <x v="7"/>
    <n v="1760"/>
    <n v="26"/>
    <x v="185"/>
  </r>
  <r>
    <x v="558"/>
    <s v="Евроопт"/>
    <x v="1"/>
    <x v="4"/>
    <x v="13"/>
    <n v="1505"/>
    <n v="28"/>
    <x v="1594"/>
  </r>
  <r>
    <x v="558"/>
    <s v="Евроопт"/>
    <x v="5"/>
    <x v="1"/>
    <x v="19"/>
    <n v="540"/>
    <n v="42"/>
    <x v="1653"/>
  </r>
  <r>
    <x v="558"/>
    <s v="Виталюр"/>
    <x v="6"/>
    <x v="1"/>
    <x v="18"/>
    <n v="650"/>
    <n v="59"/>
    <x v="1568"/>
  </r>
  <r>
    <x v="558"/>
    <s v="Копеечка"/>
    <x v="6"/>
    <x v="2"/>
    <x v="8"/>
    <n v="460"/>
    <n v="62"/>
    <x v="1654"/>
  </r>
  <r>
    <x v="558"/>
    <s v="Виталюр"/>
    <x v="6"/>
    <x v="2"/>
    <x v="2"/>
    <n v="325"/>
    <n v="37"/>
    <x v="260"/>
  </r>
  <r>
    <x v="558"/>
    <s v="Копеечка"/>
    <x v="6"/>
    <x v="0"/>
    <x v="22"/>
    <n v="1420"/>
    <n v="20"/>
    <x v="657"/>
  </r>
  <r>
    <x v="559"/>
    <m/>
    <x v="2"/>
    <x v="3"/>
    <x v="3"/>
    <m/>
    <m/>
    <x v="1655"/>
  </r>
  <r>
    <x v="560"/>
    <s v="Копеечка"/>
    <x v="3"/>
    <x v="1"/>
    <x v="19"/>
    <n v="540"/>
    <n v="62"/>
    <x v="206"/>
  </r>
  <r>
    <x v="560"/>
    <s v="Виталюр"/>
    <x v="0"/>
    <x v="1"/>
    <x v="19"/>
    <n v="540"/>
    <n v="11"/>
    <x v="53"/>
  </r>
  <r>
    <x v="560"/>
    <s v="Копеечка"/>
    <x v="0"/>
    <x v="0"/>
    <x v="0"/>
    <n v="1320"/>
    <n v="30"/>
    <x v="425"/>
  </r>
  <r>
    <x v="560"/>
    <s v="Копеечка"/>
    <x v="1"/>
    <x v="2"/>
    <x v="2"/>
    <n v="325"/>
    <n v="93"/>
    <x v="1656"/>
  </r>
  <r>
    <x v="560"/>
    <s v="Копеечка"/>
    <x v="1"/>
    <x v="2"/>
    <x v="16"/>
    <n v="890"/>
    <n v="24"/>
    <x v="1657"/>
  </r>
  <r>
    <x v="560"/>
    <s v="Виталюр"/>
    <x v="1"/>
    <x v="4"/>
    <x v="15"/>
    <n v="2460"/>
    <n v="90"/>
    <x v="153"/>
  </r>
  <r>
    <x v="560"/>
    <s v="Евроопт"/>
    <x v="1"/>
    <x v="4"/>
    <x v="14"/>
    <n v="1670"/>
    <n v="88"/>
    <x v="1378"/>
  </r>
  <r>
    <x v="560"/>
    <s v="Копеечка"/>
    <x v="1"/>
    <x v="4"/>
    <x v="15"/>
    <n v="2460"/>
    <n v="88"/>
    <x v="1658"/>
  </r>
  <r>
    <x v="560"/>
    <s v="Соседи"/>
    <x v="5"/>
    <x v="2"/>
    <x v="12"/>
    <n v="715"/>
    <n v="46"/>
    <x v="1529"/>
  </r>
  <r>
    <x v="560"/>
    <s v="Копеечка"/>
    <x v="6"/>
    <x v="0"/>
    <x v="17"/>
    <n v="2400"/>
    <n v="11"/>
    <x v="257"/>
  </r>
  <r>
    <x v="560"/>
    <s v="Копеечка"/>
    <x v="6"/>
    <x v="0"/>
    <x v="5"/>
    <n v="930"/>
    <n v="86"/>
    <x v="5"/>
  </r>
  <r>
    <x v="560"/>
    <s v="Соседи"/>
    <x v="6"/>
    <x v="4"/>
    <x v="21"/>
    <n v="3205"/>
    <n v="28"/>
    <x v="1366"/>
  </r>
  <r>
    <x v="560"/>
    <s v="Евроопт"/>
    <x v="6"/>
    <x v="4"/>
    <x v="14"/>
    <n v="1670"/>
    <n v="9"/>
    <x v="1523"/>
  </r>
  <r>
    <x v="561"/>
    <m/>
    <x v="2"/>
    <x v="3"/>
    <x v="3"/>
    <m/>
    <m/>
    <x v="1659"/>
  </r>
  <r>
    <x v="562"/>
    <s v="Соседи"/>
    <x v="3"/>
    <x v="2"/>
    <x v="12"/>
    <n v="715"/>
    <n v="58"/>
    <x v="1304"/>
  </r>
  <r>
    <x v="562"/>
    <s v="Виталюр"/>
    <x v="3"/>
    <x v="0"/>
    <x v="22"/>
    <n v="1420"/>
    <n v="58"/>
    <x v="888"/>
  </r>
  <r>
    <x v="562"/>
    <s v="Виталюр"/>
    <x v="0"/>
    <x v="0"/>
    <x v="5"/>
    <n v="930"/>
    <n v="50"/>
    <x v="143"/>
  </r>
  <r>
    <x v="562"/>
    <s v="Копеечка"/>
    <x v="1"/>
    <x v="1"/>
    <x v="19"/>
    <n v="540"/>
    <n v="51"/>
    <x v="1307"/>
  </r>
  <r>
    <x v="562"/>
    <s v="Виталюр"/>
    <x v="5"/>
    <x v="1"/>
    <x v="18"/>
    <n v="650"/>
    <n v="32"/>
    <x v="237"/>
  </r>
  <r>
    <x v="562"/>
    <s v="Виталюр"/>
    <x v="5"/>
    <x v="0"/>
    <x v="22"/>
    <n v="1420"/>
    <n v="73"/>
    <x v="448"/>
  </r>
  <r>
    <x v="562"/>
    <s v="Евроопт"/>
    <x v="6"/>
    <x v="1"/>
    <x v="20"/>
    <n v="650"/>
    <n v="21"/>
    <x v="327"/>
  </r>
  <r>
    <x v="562"/>
    <s v="Копеечка"/>
    <x v="6"/>
    <x v="1"/>
    <x v="18"/>
    <n v="650"/>
    <n v="99"/>
    <x v="221"/>
  </r>
  <r>
    <x v="563"/>
    <m/>
    <x v="2"/>
    <x v="3"/>
    <x v="3"/>
    <m/>
    <m/>
    <x v="1660"/>
  </r>
  <r>
    <x v="564"/>
    <s v="Соседи"/>
    <x v="3"/>
    <x v="4"/>
    <x v="13"/>
    <n v="1505"/>
    <n v="99"/>
    <x v="1661"/>
  </r>
  <r>
    <x v="564"/>
    <s v="Копеечка"/>
    <x v="0"/>
    <x v="2"/>
    <x v="9"/>
    <n v="690"/>
    <n v="47"/>
    <x v="816"/>
  </r>
  <r>
    <x v="564"/>
    <s v="Евроопт"/>
    <x v="1"/>
    <x v="1"/>
    <x v="18"/>
    <n v="650"/>
    <n v="13"/>
    <x v="375"/>
  </r>
  <r>
    <x v="564"/>
    <s v="Виталюр"/>
    <x v="1"/>
    <x v="4"/>
    <x v="15"/>
    <n v="2460"/>
    <n v="45"/>
    <x v="415"/>
  </r>
  <r>
    <x v="564"/>
    <s v="Евроопт"/>
    <x v="5"/>
    <x v="2"/>
    <x v="2"/>
    <n v="325"/>
    <n v="56"/>
    <x v="568"/>
  </r>
  <r>
    <x v="564"/>
    <s v="Виталюр"/>
    <x v="5"/>
    <x v="2"/>
    <x v="4"/>
    <n v="450"/>
    <n v="33"/>
    <x v="612"/>
  </r>
  <r>
    <x v="564"/>
    <s v="Соседи"/>
    <x v="5"/>
    <x v="0"/>
    <x v="24"/>
    <n v="2540"/>
    <n v="77"/>
    <x v="1662"/>
  </r>
  <r>
    <x v="564"/>
    <s v="Копеечка"/>
    <x v="5"/>
    <x v="0"/>
    <x v="10"/>
    <n v="1230"/>
    <n v="60"/>
    <x v="621"/>
  </r>
  <r>
    <x v="564"/>
    <s v="Соседи"/>
    <x v="5"/>
    <x v="4"/>
    <x v="15"/>
    <n v="2460"/>
    <n v="62"/>
    <x v="1663"/>
  </r>
  <r>
    <x v="564"/>
    <s v="Евроопт"/>
    <x v="6"/>
    <x v="1"/>
    <x v="19"/>
    <n v="540"/>
    <n v="19"/>
    <x v="1009"/>
  </r>
  <r>
    <x v="565"/>
    <m/>
    <x v="2"/>
    <x v="3"/>
    <x v="3"/>
    <m/>
    <m/>
    <x v="1664"/>
  </r>
  <r>
    <x v="566"/>
    <s v="Виталюр"/>
    <x v="3"/>
    <x v="2"/>
    <x v="8"/>
    <n v="460"/>
    <n v="79"/>
    <x v="1069"/>
  </r>
  <r>
    <x v="566"/>
    <s v="Копеечка"/>
    <x v="3"/>
    <x v="0"/>
    <x v="0"/>
    <n v="1320"/>
    <n v="7"/>
    <x v="125"/>
  </r>
  <r>
    <x v="566"/>
    <s v="Соседи"/>
    <x v="3"/>
    <x v="4"/>
    <x v="7"/>
    <n v="1760"/>
    <n v="13"/>
    <x v="350"/>
  </r>
  <r>
    <x v="566"/>
    <s v="Копеечка"/>
    <x v="0"/>
    <x v="2"/>
    <x v="9"/>
    <n v="690"/>
    <n v="57"/>
    <x v="1278"/>
  </r>
  <r>
    <x v="566"/>
    <s v="Копеечка"/>
    <x v="0"/>
    <x v="0"/>
    <x v="22"/>
    <n v="1420"/>
    <n v="11"/>
    <x v="309"/>
  </r>
  <r>
    <x v="566"/>
    <s v="Копеечка"/>
    <x v="0"/>
    <x v="4"/>
    <x v="11"/>
    <n v="2970"/>
    <n v="54"/>
    <x v="1665"/>
  </r>
  <r>
    <x v="566"/>
    <s v="Евроопт"/>
    <x v="1"/>
    <x v="1"/>
    <x v="1"/>
    <n v="1380"/>
    <n v="74"/>
    <x v="602"/>
  </r>
  <r>
    <x v="566"/>
    <s v="Соседи"/>
    <x v="5"/>
    <x v="2"/>
    <x v="12"/>
    <n v="715"/>
    <n v="33"/>
    <x v="548"/>
  </r>
  <r>
    <x v="566"/>
    <s v="Соседи"/>
    <x v="5"/>
    <x v="4"/>
    <x v="7"/>
    <n v="1760"/>
    <n v="90"/>
    <x v="1405"/>
  </r>
  <r>
    <x v="566"/>
    <s v="Евроопт"/>
    <x v="6"/>
    <x v="0"/>
    <x v="0"/>
    <n v="1320"/>
    <n v="40"/>
    <x v="94"/>
  </r>
  <r>
    <x v="567"/>
    <m/>
    <x v="2"/>
    <x v="3"/>
    <x v="3"/>
    <m/>
    <m/>
    <x v="1666"/>
  </r>
  <r>
    <x v="568"/>
    <s v="Виталюр"/>
    <x v="3"/>
    <x v="4"/>
    <x v="21"/>
    <n v="3205"/>
    <n v="83"/>
    <x v="1248"/>
  </r>
  <r>
    <x v="568"/>
    <s v="Виталюр"/>
    <x v="0"/>
    <x v="0"/>
    <x v="5"/>
    <n v="930"/>
    <n v="33"/>
    <x v="1667"/>
  </r>
  <r>
    <x v="568"/>
    <s v="Евроопт"/>
    <x v="0"/>
    <x v="4"/>
    <x v="11"/>
    <n v="2970"/>
    <n v="65"/>
    <x v="1593"/>
  </r>
  <r>
    <x v="568"/>
    <s v="Виталюр"/>
    <x v="5"/>
    <x v="2"/>
    <x v="9"/>
    <n v="690"/>
    <n v="43"/>
    <x v="851"/>
  </r>
  <r>
    <x v="568"/>
    <s v="Соседи"/>
    <x v="5"/>
    <x v="0"/>
    <x v="0"/>
    <n v="1320"/>
    <n v="58"/>
    <x v="1234"/>
  </r>
  <r>
    <x v="568"/>
    <s v="Виталюр"/>
    <x v="5"/>
    <x v="4"/>
    <x v="14"/>
    <n v="1670"/>
    <n v="25"/>
    <x v="1157"/>
  </r>
  <r>
    <x v="568"/>
    <s v="Евроопт"/>
    <x v="6"/>
    <x v="0"/>
    <x v="0"/>
    <n v="1320"/>
    <n v="13"/>
    <x v="1668"/>
  </r>
  <r>
    <x v="568"/>
    <s v="Евроопт"/>
    <x v="6"/>
    <x v="4"/>
    <x v="15"/>
    <n v="2460"/>
    <n v="81"/>
    <x v="1669"/>
  </r>
  <r>
    <x v="569"/>
    <m/>
    <x v="2"/>
    <x v="3"/>
    <x v="3"/>
    <m/>
    <m/>
    <x v="1670"/>
  </r>
  <r>
    <x v="570"/>
    <s v="Виталюр"/>
    <x v="3"/>
    <x v="4"/>
    <x v="7"/>
    <n v="1760"/>
    <n v="28"/>
    <x v="297"/>
  </r>
  <r>
    <x v="570"/>
    <s v="Копеечка"/>
    <x v="0"/>
    <x v="0"/>
    <x v="0"/>
    <n v="1320"/>
    <n v="63"/>
    <x v="166"/>
  </r>
  <r>
    <x v="570"/>
    <s v="Виталюр"/>
    <x v="4"/>
    <x v="1"/>
    <x v="6"/>
    <n v="640"/>
    <n v="52"/>
    <x v="67"/>
  </r>
  <r>
    <x v="570"/>
    <s v="Соседи"/>
    <x v="5"/>
    <x v="1"/>
    <x v="19"/>
    <n v="540"/>
    <n v="56"/>
    <x v="1309"/>
  </r>
  <r>
    <x v="570"/>
    <s v="Соседи"/>
    <x v="5"/>
    <x v="0"/>
    <x v="5"/>
    <n v="930"/>
    <n v="92"/>
    <x v="345"/>
  </r>
  <r>
    <x v="570"/>
    <s v="Копеечка"/>
    <x v="6"/>
    <x v="1"/>
    <x v="18"/>
    <n v="650"/>
    <n v="54"/>
    <x v="158"/>
  </r>
  <r>
    <x v="570"/>
    <s v="Копеечка"/>
    <x v="6"/>
    <x v="1"/>
    <x v="6"/>
    <n v="640"/>
    <n v="58"/>
    <x v="1671"/>
  </r>
  <r>
    <x v="570"/>
    <s v="Копеечка"/>
    <x v="6"/>
    <x v="2"/>
    <x v="4"/>
    <n v="450"/>
    <n v="17"/>
    <x v="1539"/>
  </r>
  <r>
    <x v="570"/>
    <s v="Виталюр"/>
    <x v="6"/>
    <x v="4"/>
    <x v="15"/>
    <n v="2460"/>
    <n v="57"/>
    <x v="1431"/>
  </r>
  <r>
    <x v="571"/>
    <m/>
    <x v="2"/>
    <x v="3"/>
    <x v="3"/>
    <m/>
    <m/>
    <x v="1672"/>
  </r>
  <r>
    <x v="572"/>
    <s v="Виталюр"/>
    <x v="3"/>
    <x v="0"/>
    <x v="22"/>
    <n v="1420"/>
    <n v="67"/>
    <x v="1381"/>
  </r>
  <r>
    <x v="572"/>
    <s v="Соседи"/>
    <x v="0"/>
    <x v="1"/>
    <x v="20"/>
    <n v="650"/>
    <n v="12"/>
    <x v="625"/>
  </r>
  <r>
    <x v="572"/>
    <s v="Виталюр"/>
    <x v="0"/>
    <x v="4"/>
    <x v="13"/>
    <n v="1505"/>
    <n v="79"/>
    <x v="1673"/>
  </r>
  <r>
    <x v="572"/>
    <s v="Копеечка"/>
    <x v="0"/>
    <x v="4"/>
    <x v="11"/>
    <n v="2970"/>
    <n v="28"/>
    <x v="166"/>
  </r>
  <r>
    <x v="572"/>
    <s v="Соседи"/>
    <x v="4"/>
    <x v="2"/>
    <x v="2"/>
    <n v="325"/>
    <n v="44"/>
    <x v="994"/>
  </r>
  <r>
    <x v="572"/>
    <s v="Копеечка"/>
    <x v="4"/>
    <x v="2"/>
    <x v="2"/>
    <n v="325"/>
    <n v="60"/>
    <x v="469"/>
  </r>
  <r>
    <x v="572"/>
    <s v="Виталюр"/>
    <x v="4"/>
    <x v="0"/>
    <x v="22"/>
    <n v="1420"/>
    <n v="72"/>
    <x v="1674"/>
  </r>
  <r>
    <x v="572"/>
    <s v="Копеечка"/>
    <x v="1"/>
    <x v="4"/>
    <x v="15"/>
    <n v="2460"/>
    <n v="83"/>
    <x v="914"/>
  </r>
  <r>
    <x v="572"/>
    <s v="Соседи"/>
    <x v="5"/>
    <x v="1"/>
    <x v="20"/>
    <n v="650"/>
    <n v="47"/>
    <x v="1091"/>
  </r>
  <r>
    <x v="573"/>
    <m/>
    <x v="2"/>
    <x v="3"/>
    <x v="3"/>
    <m/>
    <m/>
    <x v="1675"/>
  </r>
  <r>
    <x v="574"/>
    <s v="Евроопт"/>
    <x v="3"/>
    <x v="1"/>
    <x v="20"/>
    <n v="650"/>
    <n v="41"/>
    <x v="645"/>
  </r>
  <r>
    <x v="574"/>
    <s v="Копеечка"/>
    <x v="0"/>
    <x v="2"/>
    <x v="9"/>
    <n v="690"/>
    <n v="23"/>
    <x v="1237"/>
  </r>
  <r>
    <x v="574"/>
    <s v="Виталюр"/>
    <x v="0"/>
    <x v="0"/>
    <x v="10"/>
    <n v="1230"/>
    <n v="56"/>
    <x v="168"/>
  </r>
  <r>
    <x v="574"/>
    <s v="Евроопт"/>
    <x v="0"/>
    <x v="4"/>
    <x v="11"/>
    <n v="2970"/>
    <n v="8"/>
    <x v="1117"/>
  </r>
  <r>
    <x v="574"/>
    <s v="Евроопт"/>
    <x v="1"/>
    <x v="2"/>
    <x v="8"/>
    <n v="460"/>
    <n v="90"/>
    <x v="356"/>
  </r>
  <r>
    <x v="574"/>
    <s v="Евроопт"/>
    <x v="1"/>
    <x v="4"/>
    <x v="11"/>
    <n v="2970"/>
    <n v="98"/>
    <x v="790"/>
  </r>
  <r>
    <x v="574"/>
    <s v="Копеечка"/>
    <x v="6"/>
    <x v="2"/>
    <x v="2"/>
    <n v="325"/>
    <n v="50"/>
    <x v="45"/>
  </r>
  <r>
    <x v="574"/>
    <s v="Копеечка"/>
    <x v="6"/>
    <x v="4"/>
    <x v="7"/>
    <n v="1760"/>
    <n v="57"/>
    <x v="759"/>
  </r>
  <r>
    <x v="575"/>
    <m/>
    <x v="2"/>
    <x v="3"/>
    <x v="3"/>
    <m/>
    <m/>
    <x v="1676"/>
  </r>
  <r>
    <x v="576"/>
    <s v="Виталюр"/>
    <x v="3"/>
    <x v="1"/>
    <x v="18"/>
    <n v="650"/>
    <n v="70"/>
    <x v="1208"/>
  </r>
  <r>
    <x v="576"/>
    <s v="Евроопт"/>
    <x v="3"/>
    <x v="0"/>
    <x v="5"/>
    <n v="930"/>
    <n v="11"/>
    <x v="1338"/>
  </r>
  <r>
    <x v="576"/>
    <s v="Соседи"/>
    <x v="4"/>
    <x v="2"/>
    <x v="12"/>
    <n v="715"/>
    <n v="93"/>
    <x v="1677"/>
  </r>
  <r>
    <x v="576"/>
    <s v="Виталюр"/>
    <x v="1"/>
    <x v="4"/>
    <x v="21"/>
    <n v="3205"/>
    <n v="27"/>
    <x v="340"/>
  </r>
  <r>
    <x v="576"/>
    <s v="Виталюр"/>
    <x v="6"/>
    <x v="4"/>
    <x v="7"/>
    <n v="1760"/>
    <n v="62"/>
    <x v="1082"/>
  </r>
  <r>
    <x v="577"/>
    <m/>
    <x v="2"/>
    <x v="3"/>
    <x v="3"/>
    <m/>
    <m/>
    <x v="1678"/>
  </r>
  <r>
    <x v="578"/>
    <s v="Копеечка"/>
    <x v="0"/>
    <x v="4"/>
    <x v="11"/>
    <n v="2970"/>
    <n v="77"/>
    <x v="1404"/>
  </r>
  <r>
    <x v="578"/>
    <s v="Копеечка"/>
    <x v="4"/>
    <x v="1"/>
    <x v="6"/>
    <n v="640"/>
    <n v="43"/>
    <x v="1612"/>
  </r>
  <r>
    <x v="578"/>
    <s v="Копеечка"/>
    <x v="5"/>
    <x v="4"/>
    <x v="11"/>
    <n v="2970"/>
    <n v="37"/>
    <x v="354"/>
  </r>
  <r>
    <x v="579"/>
    <m/>
    <x v="2"/>
    <x v="3"/>
    <x v="3"/>
    <m/>
    <m/>
    <x v="1679"/>
  </r>
  <r>
    <x v="580"/>
    <s v="Евроопт"/>
    <x v="3"/>
    <x v="2"/>
    <x v="9"/>
    <n v="690"/>
    <n v="52"/>
    <x v="690"/>
  </r>
  <r>
    <x v="580"/>
    <s v="Евроопт"/>
    <x v="0"/>
    <x v="1"/>
    <x v="19"/>
    <n v="540"/>
    <n v="77"/>
    <x v="52"/>
  </r>
  <r>
    <x v="580"/>
    <s v="Копеечка"/>
    <x v="0"/>
    <x v="2"/>
    <x v="8"/>
    <n v="460"/>
    <n v="80"/>
    <x v="467"/>
  </r>
  <r>
    <x v="580"/>
    <s v="Евроопт"/>
    <x v="0"/>
    <x v="2"/>
    <x v="9"/>
    <n v="690"/>
    <n v="86"/>
    <x v="147"/>
  </r>
  <r>
    <x v="580"/>
    <s v="Виталюр"/>
    <x v="4"/>
    <x v="4"/>
    <x v="7"/>
    <n v="1760"/>
    <n v="59"/>
    <x v="32"/>
  </r>
  <r>
    <x v="580"/>
    <s v="Копеечка"/>
    <x v="1"/>
    <x v="0"/>
    <x v="5"/>
    <n v="930"/>
    <n v="97"/>
    <x v="40"/>
  </r>
  <r>
    <x v="580"/>
    <s v="Виталюр"/>
    <x v="1"/>
    <x v="4"/>
    <x v="11"/>
    <n v="2970"/>
    <n v="91"/>
    <x v="1680"/>
  </r>
  <r>
    <x v="580"/>
    <s v="Евроопт"/>
    <x v="6"/>
    <x v="0"/>
    <x v="0"/>
    <n v="1320"/>
    <n v="33"/>
    <x v="451"/>
  </r>
  <r>
    <x v="581"/>
    <m/>
    <x v="2"/>
    <x v="3"/>
    <x v="3"/>
    <m/>
    <m/>
    <x v="1681"/>
  </r>
  <r>
    <x v="582"/>
    <s v="Соседи"/>
    <x v="3"/>
    <x v="1"/>
    <x v="1"/>
    <n v="1380"/>
    <n v="67"/>
    <x v="1682"/>
  </r>
  <r>
    <x v="582"/>
    <s v="Виталюр"/>
    <x v="3"/>
    <x v="4"/>
    <x v="13"/>
    <n v="1505"/>
    <n v="55"/>
    <x v="238"/>
  </r>
  <r>
    <x v="582"/>
    <s v="Копеечка"/>
    <x v="1"/>
    <x v="0"/>
    <x v="17"/>
    <n v="2400"/>
    <n v="11"/>
    <x v="257"/>
  </r>
  <r>
    <x v="582"/>
    <s v="Виталюр"/>
    <x v="1"/>
    <x v="4"/>
    <x v="13"/>
    <n v="1505"/>
    <n v="53"/>
    <x v="235"/>
  </r>
  <r>
    <x v="582"/>
    <s v="Виталюр"/>
    <x v="1"/>
    <x v="4"/>
    <x v="15"/>
    <n v="2460"/>
    <n v="82"/>
    <x v="1683"/>
  </r>
  <r>
    <x v="582"/>
    <s v="Соседи"/>
    <x v="5"/>
    <x v="1"/>
    <x v="23"/>
    <n v="705"/>
    <n v="62"/>
    <x v="713"/>
  </r>
  <r>
    <x v="583"/>
    <m/>
    <x v="2"/>
    <x v="3"/>
    <x v="3"/>
    <m/>
    <m/>
    <x v="1684"/>
  </r>
  <r>
    <x v="584"/>
    <s v="Соседи"/>
    <x v="3"/>
    <x v="2"/>
    <x v="9"/>
    <n v="690"/>
    <n v="82"/>
    <x v="556"/>
  </r>
  <r>
    <x v="584"/>
    <s v="Евроопт"/>
    <x v="3"/>
    <x v="0"/>
    <x v="22"/>
    <n v="1420"/>
    <n v="25"/>
    <x v="1513"/>
  </r>
  <r>
    <x v="584"/>
    <s v="Виталюр"/>
    <x v="3"/>
    <x v="4"/>
    <x v="21"/>
    <n v="3205"/>
    <n v="97"/>
    <x v="259"/>
  </r>
  <r>
    <x v="584"/>
    <s v="Копеечка"/>
    <x v="0"/>
    <x v="1"/>
    <x v="20"/>
    <n v="650"/>
    <n v="88"/>
    <x v="83"/>
  </r>
  <r>
    <x v="584"/>
    <s v="Соседи"/>
    <x v="4"/>
    <x v="1"/>
    <x v="1"/>
    <n v="1380"/>
    <n v="78"/>
    <x v="1164"/>
  </r>
  <r>
    <x v="584"/>
    <s v="Копеечка"/>
    <x v="4"/>
    <x v="0"/>
    <x v="22"/>
    <n v="1420"/>
    <n v="72"/>
    <x v="1674"/>
  </r>
  <r>
    <x v="584"/>
    <s v="Копеечка"/>
    <x v="1"/>
    <x v="1"/>
    <x v="23"/>
    <n v="705"/>
    <n v="85"/>
    <x v="1319"/>
  </r>
  <r>
    <x v="584"/>
    <s v="Виталюр"/>
    <x v="1"/>
    <x v="1"/>
    <x v="23"/>
    <n v="705"/>
    <n v="8"/>
    <x v="1395"/>
  </r>
  <r>
    <x v="584"/>
    <s v="Копеечка"/>
    <x v="5"/>
    <x v="1"/>
    <x v="1"/>
    <n v="1380"/>
    <n v="30"/>
    <x v="356"/>
  </r>
  <r>
    <x v="584"/>
    <s v="Виталюр"/>
    <x v="5"/>
    <x v="0"/>
    <x v="5"/>
    <n v="930"/>
    <n v="12"/>
    <x v="1373"/>
  </r>
  <r>
    <x v="584"/>
    <s v="Копеечка"/>
    <x v="5"/>
    <x v="4"/>
    <x v="14"/>
    <n v="1670"/>
    <n v="31"/>
    <x v="1685"/>
  </r>
  <r>
    <x v="584"/>
    <s v="Копеечка"/>
    <x v="5"/>
    <x v="4"/>
    <x v="21"/>
    <n v="3205"/>
    <n v="54"/>
    <x v="133"/>
  </r>
  <r>
    <x v="584"/>
    <s v="Евроопт"/>
    <x v="6"/>
    <x v="1"/>
    <x v="1"/>
    <n v="1380"/>
    <n v="9"/>
    <x v="1216"/>
  </r>
  <r>
    <x v="585"/>
    <m/>
    <x v="2"/>
    <x v="3"/>
    <x v="3"/>
    <m/>
    <m/>
    <x v="1686"/>
  </r>
  <r>
    <x v="586"/>
    <s v="Соседи"/>
    <x v="0"/>
    <x v="2"/>
    <x v="9"/>
    <n v="690"/>
    <n v="31"/>
    <x v="506"/>
  </r>
  <r>
    <x v="586"/>
    <s v="Виталюр"/>
    <x v="4"/>
    <x v="0"/>
    <x v="24"/>
    <n v="2540"/>
    <n v="9"/>
    <x v="1484"/>
  </r>
  <r>
    <x v="586"/>
    <s v="Соседи"/>
    <x v="1"/>
    <x v="1"/>
    <x v="1"/>
    <n v="1380"/>
    <n v="25"/>
    <x v="1057"/>
  </r>
  <r>
    <x v="586"/>
    <s v="Виталюр"/>
    <x v="1"/>
    <x v="1"/>
    <x v="1"/>
    <n v="1380"/>
    <n v="66"/>
    <x v="1299"/>
  </r>
  <r>
    <x v="586"/>
    <s v="Виталюр"/>
    <x v="1"/>
    <x v="2"/>
    <x v="16"/>
    <n v="890"/>
    <n v="47"/>
    <x v="1687"/>
  </r>
  <r>
    <x v="586"/>
    <s v="Евроопт"/>
    <x v="5"/>
    <x v="4"/>
    <x v="15"/>
    <n v="2460"/>
    <n v="79"/>
    <x v="1688"/>
  </r>
  <r>
    <x v="587"/>
    <m/>
    <x v="2"/>
    <x v="3"/>
    <x v="3"/>
    <m/>
    <m/>
    <x v="1689"/>
  </r>
  <r>
    <x v="588"/>
    <s v="Евроопт"/>
    <x v="3"/>
    <x v="2"/>
    <x v="9"/>
    <n v="690"/>
    <n v="90"/>
    <x v="1193"/>
  </r>
  <r>
    <x v="588"/>
    <s v="Копеечка"/>
    <x v="3"/>
    <x v="2"/>
    <x v="12"/>
    <n v="715"/>
    <n v="20"/>
    <x v="994"/>
  </r>
  <r>
    <x v="588"/>
    <s v="Соседи"/>
    <x v="3"/>
    <x v="0"/>
    <x v="17"/>
    <n v="2400"/>
    <n v="81"/>
    <x v="589"/>
  </r>
  <r>
    <x v="588"/>
    <s v="Евроопт"/>
    <x v="0"/>
    <x v="1"/>
    <x v="18"/>
    <n v="650"/>
    <n v="81"/>
    <x v="1690"/>
  </r>
  <r>
    <x v="588"/>
    <s v="Копеечка"/>
    <x v="0"/>
    <x v="2"/>
    <x v="4"/>
    <n v="450"/>
    <n v="79"/>
    <x v="393"/>
  </r>
  <r>
    <x v="588"/>
    <s v="Копеечка"/>
    <x v="0"/>
    <x v="0"/>
    <x v="17"/>
    <n v="2400"/>
    <n v="84"/>
    <x v="1691"/>
  </r>
  <r>
    <x v="588"/>
    <s v="Соседи"/>
    <x v="0"/>
    <x v="4"/>
    <x v="11"/>
    <n v="2970"/>
    <n v="36"/>
    <x v="1458"/>
  </r>
  <r>
    <x v="588"/>
    <s v="Копеечка"/>
    <x v="4"/>
    <x v="1"/>
    <x v="1"/>
    <n v="1380"/>
    <n v="70"/>
    <x v="405"/>
  </r>
  <r>
    <x v="588"/>
    <s v="Копеечка"/>
    <x v="4"/>
    <x v="4"/>
    <x v="15"/>
    <n v="2460"/>
    <n v="62"/>
    <x v="1663"/>
  </r>
  <r>
    <x v="588"/>
    <s v="Копеечка"/>
    <x v="1"/>
    <x v="0"/>
    <x v="22"/>
    <n v="1420"/>
    <n v="62"/>
    <x v="1692"/>
  </r>
  <r>
    <x v="588"/>
    <s v="Копеечка"/>
    <x v="1"/>
    <x v="0"/>
    <x v="24"/>
    <n v="2540"/>
    <n v="63"/>
    <x v="1693"/>
  </r>
  <r>
    <x v="588"/>
    <s v="Копеечка"/>
    <x v="1"/>
    <x v="4"/>
    <x v="15"/>
    <n v="2460"/>
    <n v="70"/>
    <x v="74"/>
  </r>
  <r>
    <x v="588"/>
    <s v="Копеечка"/>
    <x v="5"/>
    <x v="2"/>
    <x v="12"/>
    <n v="715"/>
    <n v="55"/>
    <x v="1625"/>
  </r>
  <r>
    <x v="588"/>
    <s v="Евроопт"/>
    <x v="6"/>
    <x v="0"/>
    <x v="0"/>
    <n v="1320"/>
    <n v="39"/>
    <x v="623"/>
  </r>
  <r>
    <x v="589"/>
    <m/>
    <x v="2"/>
    <x v="3"/>
    <x v="3"/>
    <m/>
    <m/>
    <x v="1694"/>
  </r>
  <r>
    <x v="590"/>
    <s v="Виталюр"/>
    <x v="3"/>
    <x v="1"/>
    <x v="23"/>
    <n v="705"/>
    <n v="34"/>
    <x v="1695"/>
  </r>
  <r>
    <x v="590"/>
    <s v="Евроопт"/>
    <x v="0"/>
    <x v="0"/>
    <x v="17"/>
    <n v="2400"/>
    <n v="43"/>
    <x v="978"/>
  </r>
  <r>
    <x v="590"/>
    <s v="Соседи"/>
    <x v="0"/>
    <x v="4"/>
    <x v="13"/>
    <n v="1505"/>
    <n v="6"/>
    <x v="14"/>
  </r>
  <r>
    <x v="590"/>
    <s v="Евроопт"/>
    <x v="4"/>
    <x v="1"/>
    <x v="23"/>
    <n v="705"/>
    <n v="23"/>
    <x v="370"/>
  </r>
  <r>
    <x v="590"/>
    <s v="Соседи"/>
    <x v="4"/>
    <x v="2"/>
    <x v="2"/>
    <n v="325"/>
    <n v="88"/>
    <x v="853"/>
  </r>
  <r>
    <x v="590"/>
    <s v="Евроопт"/>
    <x v="4"/>
    <x v="4"/>
    <x v="13"/>
    <n v="1505"/>
    <n v="92"/>
    <x v="1400"/>
  </r>
  <r>
    <x v="590"/>
    <s v="Копеечка"/>
    <x v="1"/>
    <x v="1"/>
    <x v="18"/>
    <n v="650"/>
    <n v="93"/>
    <x v="875"/>
  </r>
  <r>
    <x v="590"/>
    <s v="Виталюр"/>
    <x v="1"/>
    <x v="2"/>
    <x v="2"/>
    <n v="325"/>
    <n v="48"/>
    <x v="337"/>
  </r>
  <r>
    <x v="590"/>
    <s v="Виталюр"/>
    <x v="5"/>
    <x v="1"/>
    <x v="23"/>
    <n v="705"/>
    <n v="53"/>
    <x v="1634"/>
  </r>
  <r>
    <x v="590"/>
    <s v="Виталюр"/>
    <x v="5"/>
    <x v="0"/>
    <x v="22"/>
    <n v="1420"/>
    <n v="64"/>
    <x v="845"/>
  </r>
  <r>
    <x v="590"/>
    <s v="Копеечка"/>
    <x v="6"/>
    <x v="0"/>
    <x v="10"/>
    <n v="1230"/>
    <n v="22"/>
    <x v="131"/>
  </r>
  <r>
    <x v="591"/>
    <m/>
    <x v="2"/>
    <x v="3"/>
    <x v="3"/>
    <m/>
    <m/>
    <x v="1696"/>
  </r>
  <r>
    <x v="592"/>
    <s v="Копеечка"/>
    <x v="3"/>
    <x v="2"/>
    <x v="9"/>
    <n v="690"/>
    <n v="89"/>
    <x v="1012"/>
  </r>
  <r>
    <x v="592"/>
    <s v="Евроопт"/>
    <x v="4"/>
    <x v="1"/>
    <x v="6"/>
    <n v="640"/>
    <n v="38"/>
    <x v="1697"/>
  </r>
  <r>
    <x v="592"/>
    <s v="Виталюр"/>
    <x v="1"/>
    <x v="1"/>
    <x v="23"/>
    <n v="705"/>
    <n v="37"/>
    <x v="1698"/>
  </r>
  <r>
    <x v="592"/>
    <s v="Евроопт"/>
    <x v="1"/>
    <x v="2"/>
    <x v="2"/>
    <n v="325"/>
    <n v="75"/>
    <x v="1699"/>
  </r>
  <r>
    <x v="592"/>
    <s v="Евроопт"/>
    <x v="1"/>
    <x v="0"/>
    <x v="22"/>
    <n v="1420"/>
    <n v="95"/>
    <x v="366"/>
  </r>
  <r>
    <x v="592"/>
    <s v="Виталюр"/>
    <x v="5"/>
    <x v="1"/>
    <x v="1"/>
    <n v="1380"/>
    <n v="14"/>
    <x v="1204"/>
  </r>
  <r>
    <x v="592"/>
    <s v="Виталюр"/>
    <x v="5"/>
    <x v="4"/>
    <x v="13"/>
    <n v="1505"/>
    <n v="90"/>
    <x v="209"/>
  </r>
  <r>
    <x v="593"/>
    <m/>
    <x v="2"/>
    <x v="3"/>
    <x v="3"/>
    <m/>
    <m/>
    <x v="1700"/>
  </r>
  <r>
    <x v="594"/>
    <s v="Копеечка"/>
    <x v="3"/>
    <x v="0"/>
    <x v="10"/>
    <n v="1230"/>
    <n v="42"/>
    <x v="930"/>
  </r>
  <r>
    <x v="594"/>
    <s v="Евроопт"/>
    <x v="0"/>
    <x v="0"/>
    <x v="10"/>
    <n v="1230"/>
    <n v="46"/>
    <x v="556"/>
  </r>
  <r>
    <x v="594"/>
    <s v="Копеечка"/>
    <x v="4"/>
    <x v="0"/>
    <x v="22"/>
    <n v="1420"/>
    <n v="45"/>
    <x v="1312"/>
  </r>
  <r>
    <x v="594"/>
    <s v="Виталюр"/>
    <x v="4"/>
    <x v="0"/>
    <x v="5"/>
    <n v="930"/>
    <n v="93"/>
    <x v="1479"/>
  </r>
  <r>
    <x v="594"/>
    <s v="Виталюр"/>
    <x v="4"/>
    <x v="4"/>
    <x v="21"/>
    <n v="3205"/>
    <n v="82"/>
    <x v="231"/>
  </r>
  <r>
    <x v="594"/>
    <s v="Соседи"/>
    <x v="1"/>
    <x v="0"/>
    <x v="24"/>
    <n v="2540"/>
    <n v="48"/>
    <x v="706"/>
  </r>
  <r>
    <x v="594"/>
    <s v="Соседи"/>
    <x v="1"/>
    <x v="0"/>
    <x v="17"/>
    <n v="2400"/>
    <n v="36"/>
    <x v="1008"/>
  </r>
  <r>
    <x v="594"/>
    <s v="Копеечка"/>
    <x v="1"/>
    <x v="0"/>
    <x v="5"/>
    <n v="930"/>
    <n v="58"/>
    <x v="1352"/>
  </r>
  <r>
    <x v="594"/>
    <s v="Копеечка"/>
    <x v="1"/>
    <x v="4"/>
    <x v="11"/>
    <n v="2970"/>
    <n v="68"/>
    <x v="1036"/>
  </r>
  <r>
    <x v="594"/>
    <s v="Евроопт"/>
    <x v="1"/>
    <x v="4"/>
    <x v="15"/>
    <n v="2460"/>
    <n v="28"/>
    <x v="168"/>
  </r>
  <r>
    <x v="594"/>
    <s v="Соседи"/>
    <x v="5"/>
    <x v="4"/>
    <x v="13"/>
    <n v="1505"/>
    <n v="29"/>
    <x v="1701"/>
  </r>
  <r>
    <x v="594"/>
    <s v="Виталюр"/>
    <x v="6"/>
    <x v="2"/>
    <x v="8"/>
    <n v="460"/>
    <n v="28"/>
    <x v="735"/>
  </r>
  <r>
    <x v="595"/>
    <m/>
    <x v="2"/>
    <x v="3"/>
    <x v="3"/>
    <m/>
    <m/>
    <x v="1702"/>
  </r>
  <r>
    <x v="596"/>
    <s v="Виталюр"/>
    <x v="3"/>
    <x v="1"/>
    <x v="18"/>
    <n v="650"/>
    <n v="40"/>
    <x v="376"/>
  </r>
  <r>
    <x v="596"/>
    <s v="Копеечка"/>
    <x v="0"/>
    <x v="4"/>
    <x v="11"/>
    <n v="2970"/>
    <n v="65"/>
    <x v="1593"/>
  </r>
  <r>
    <x v="596"/>
    <s v="Копеечка"/>
    <x v="4"/>
    <x v="0"/>
    <x v="0"/>
    <n v="1320"/>
    <n v="79"/>
    <x v="1562"/>
  </r>
  <r>
    <x v="596"/>
    <s v="Виталюр"/>
    <x v="1"/>
    <x v="0"/>
    <x v="22"/>
    <n v="1420"/>
    <n v="62"/>
    <x v="1692"/>
  </r>
  <r>
    <x v="596"/>
    <s v="Евроопт"/>
    <x v="1"/>
    <x v="4"/>
    <x v="15"/>
    <n v="2460"/>
    <n v="51"/>
    <x v="295"/>
  </r>
  <r>
    <x v="596"/>
    <s v="Копеечка"/>
    <x v="1"/>
    <x v="4"/>
    <x v="13"/>
    <n v="1505"/>
    <n v="53"/>
    <x v="235"/>
  </r>
  <r>
    <x v="596"/>
    <s v="Копеечка"/>
    <x v="5"/>
    <x v="1"/>
    <x v="23"/>
    <n v="705"/>
    <n v="90"/>
    <x v="85"/>
  </r>
  <r>
    <x v="596"/>
    <s v="Копеечка"/>
    <x v="5"/>
    <x v="0"/>
    <x v="24"/>
    <n v="2540"/>
    <n v="33"/>
    <x v="1703"/>
  </r>
  <r>
    <x v="596"/>
    <s v="Копеечка"/>
    <x v="5"/>
    <x v="0"/>
    <x v="24"/>
    <n v="2540"/>
    <n v="9"/>
    <x v="1484"/>
  </r>
  <r>
    <x v="596"/>
    <s v="Евроопт"/>
    <x v="5"/>
    <x v="4"/>
    <x v="13"/>
    <n v="1505"/>
    <n v="53"/>
    <x v="235"/>
  </r>
  <r>
    <x v="596"/>
    <s v="Виталюр"/>
    <x v="6"/>
    <x v="2"/>
    <x v="12"/>
    <n v="715"/>
    <n v="95"/>
    <x v="1500"/>
  </r>
  <r>
    <x v="597"/>
    <m/>
    <x v="2"/>
    <x v="3"/>
    <x v="3"/>
    <m/>
    <m/>
    <x v="1704"/>
  </r>
  <r>
    <x v="598"/>
    <s v="Евроопт"/>
    <x v="3"/>
    <x v="1"/>
    <x v="1"/>
    <n v="1380"/>
    <n v="65"/>
    <x v="1705"/>
  </r>
  <r>
    <x v="598"/>
    <s v="Виталюр"/>
    <x v="3"/>
    <x v="2"/>
    <x v="12"/>
    <n v="715"/>
    <n v="11"/>
    <x v="1706"/>
  </r>
  <r>
    <x v="598"/>
    <s v="Копеечка"/>
    <x v="3"/>
    <x v="0"/>
    <x v="10"/>
    <n v="1230"/>
    <n v="18"/>
    <x v="533"/>
  </r>
  <r>
    <x v="598"/>
    <s v="Евроопт"/>
    <x v="3"/>
    <x v="0"/>
    <x v="22"/>
    <n v="1420"/>
    <n v="42"/>
    <x v="1707"/>
  </r>
  <r>
    <x v="598"/>
    <s v="Виталюр"/>
    <x v="0"/>
    <x v="0"/>
    <x v="0"/>
    <n v="1320"/>
    <n v="66"/>
    <x v="1148"/>
  </r>
  <r>
    <x v="598"/>
    <s v="Виталюр"/>
    <x v="4"/>
    <x v="4"/>
    <x v="15"/>
    <n v="2460"/>
    <n v="21"/>
    <x v="930"/>
  </r>
  <r>
    <x v="598"/>
    <s v="Виталюр"/>
    <x v="4"/>
    <x v="4"/>
    <x v="14"/>
    <n v="1670"/>
    <n v="88"/>
    <x v="1378"/>
  </r>
  <r>
    <x v="599"/>
    <m/>
    <x v="2"/>
    <x v="3"/>
    <x v="3"/>
    <m/>
    <m/>
    <x v="1708"/>
  </r>
  <r>
    <x v="600"/>
    <s v="Евроопт"/>
    <x v="3"/>
    <x v="1"/>
    <x v="1"/>
    <n v="1380"/>
    <n v="44"/>
    <x v="1103"/>
  </r>
  <r>
    <x v="600"/>
    <s v="Соседи"/>
    <x v="3"/>
    <x v="2"/>
    <x v="9"/>
    <n v="690"/>
    <n v="21"/>
    <x v="1284"/>
  </r>
  <r>
    <x v="600"/>
    <s v="Соседи"/>
    <x v="3"/>
    <x v="4"/>
    <x v="21"/>
    <n v="3205"/>
    <n v="17"/>
    <x v="608"/>
  </r>
  <r>
    <x v="600"/>
    <s v="Копеечка"/>
    <x v="3"/>
    <x v="4"/>
    <x v="15"/>
    <n v="2460"/>
    <n v="33"/>
    <x v="194"/>
  </r>
  <r>
    <x v="600"/>
    <s v="Виталюр"/>
    <x v="3"/>
    <x v="4"/>
    <x v="7"/>
    <n v="1760"/>
    <n v="100"/>
    <x v="1613"/>
  </r>
  <r>
    <x v="600"/>
    <s v="Соседи"/>
    <x v="4"/>
    <x v="2"/>
    <x v="16"/>
    <n v="890"/>
    <n v="54"/>
    <x v="607"/>
  </r>
  <r>
    <x v="600"/>
    <s v="Соседи"/>
    <x v="4"/>
    <x v="0"/>
    <x v="24"/>
    <n v="2540"/>
    <n v="42"/>
    <x v="884"/>
  </r>
  <r>
    <x v="600"/>
    <s v="Соседи"/>
    <x v="4"/>
    <x v="4"/>
    <x v="13"/>
    <n v="1505"/>
    <n v="40"/>
    <x v="1226"/>
  </r>
  <r>
    <x v="600"/>
    <s v="Виталюр"/>
    <x v="1"/>
    <x v="2"/>
    <x v="16"/>
    <n v="890"/>
    <n v="95"/>
    <x v="1037"/>
  </r>
  <r>
    <x v="600"/>
    <s v="Виталюр"/>
    <x v="1"/>
    <x v="2"/>
    <x v="16"/>
    <n v="890"/>
    <n v="52"/>
    <x v="1571"/>
  </r>
  <r>
    <x v="600"/>
    <s v="Соседи"/>
    <x v="1"/>
    <x v="0"/>
    <x v="0"/>
    <n v="1320"/>
    <n v="77"/>
    <x v="473"/>
  </r>
  <r>
    <x v="600"/>
    <s v="Копеечка"/>
    <x v="5"/>
    <x v="2"/>
    <x v="8"/>
    <n v="460"/>
    <n v="78"/>
    <x v="690"/>
  </r>
  <r>
    <x v="600"/>
    <s v="Соседи"/>
    <x v="5"/>
    <x v="2"/>
    <x v="8"/>
    <n v="460"/>
    <n v="98"/>
    <x v="1709"/>
  </r>
  <r>
    <x v="600"/>
    <s v="Евроопт"/>
    <x v="5"/>
    <x v="0"/>
    <x v="5"/>
    <n v="930"/>
    <n v="12"/>
    <x v="1373"/>
  </r>
  <r>
    <x v="600"/>
    <s v="Соседи"/>
    <x v="5"/>
    <x v="0"/>
    <x v="10"/>
    <n v="1230"/>
    <n v="59"/>
    <x v="1710"/>
  </r>
  <r>
    <x v="600"/>
    <s v="Евроопт"/>
    <x v="5"/>
    <x v="4"/>
    <x v="13"/>
    <n v="1505"/>
    <n v="63"/>
    <x v="855"/>
  </r>
  <r>
    <x v="600"/>
    <s v="Виталюр"/>
    <x v="6"/>
    <x v="1"/>
    <x v="1"/>
    <n v="1380"/>
    <n v="30"/>
    <x v="356"/>
  </r>
  <r>
    <x v="601"/>
    <m/>
    <x v="2"/>
    <x v="3"/>
    <x v="3"/>
    <m/>
    <m/>
    <x v="1711"/>
  </r>
  <r>
    <x v="602"/>
    <s v="Виталюр"/>
    <x v="3"/>
    <x v="2"/>
    <x v="4"/>
    <n v="450"/>
    <n v="88"/>
    <x v="425"/>
  </r>
  <r>
    <x v="602"/>
    <s v="Копеечка"/>
    <x v="3"/>
    <x v="2"/>
    <x v="16"/>
    <n v="890"/>
    <n v="22"/>
    <x v="397"/>
  </r>
  <r>
    <x v="602"/>
    <s v="Евроопт"/>
    <x v="0"/>
    <x v="2"/>
    <x v="9"/>
    <n v="690"/>
    <n v="35"/>
    <x v="22"/>
  </r>
  <r>
    <x v="602"/>
    <s v="Евроопт"/>
    <x v="4"/>
    <x v="2"/>
    <x v="2"/>
    <n v="325"/>
    <n v="70"/>
    <x v="1515"/>
  </r>
  <r>
    <x v="602"/>
    <s v="Евроопт"/>
    <x v="4"/>
    <x v="2"/>
    <x v="12"/>
    <n v="715"/>
    <n v="31"/>
    <x v="615"/>
  </r>
  <r>
    <x v="602"/>
    <s v="Копеечка"/>
    <x v="4"/>
    <x v="4"/>
    <x v="21"/>
    <n v="3205"/>
    <n v="8"/>
    <x v="427"/>
  </r>
  <r>
    <x v="602"/>
    <s v="Евроопт"/>
    <x v="1"/>
    <x v="1"/>
    <x v="18"/>
    <n v="650"/>
    <n v="24"/>
    <x v="337"/>
  </r>
  <r>
    <x v="602"/>
    <s v="Копеечка"/>
    <x v="1"/>
    <x v="1"/>
    <x v="6"/>
    <n v="640"/>
    <n v="12"/>
    <x v="1712"/>
  </r>
  <r>
    <x v="602"/>
    <s v="Виталюр"/>
    <x v="1"/>
    <x v="0"/>
    <x v="22"/>
    <n v="1420"/>
    <n v="7"/>
    <x v="1302"/>
  </r>
  <r>
    <x v="602"/>
    <s v="Копеечка"/>
    <x v="5"/>
    <x v="4"/>
    <x v="15"/>
    <n v="2460"/>
    <n v="10"/>
    <x v="864"/>
  </r>
  <r>
    <x v="602"/>
    <s v="Соседи"/>
    <x v="6"/>
    <x v="2"/>
    <x v="4"/>
    <n v="450"/>
    <n v="99"/>
    <x v="414"/>
  </r>
  <r>
    <x v="603"/>
    <m/>
    <x v="2"/>
    <x v="3"/>
    <x v="3"/>
    <m/>
    <m/>
    <x v="1713"/>
  </r>
  <r>
    <x v="604"/>
    <s v="Копеечка"/>
    <x v="4"/>
    <x v="4"/>
    <x v="13"/>
    <n v="1505"/>
    <n v="54"/>
    <x v="1714"/>
  </r>
  <r>
    <x v="604"/>
    <s v="Копеечка"/>
    <x v="1"/>
    <x v="2"/>
    <x v="9"/>
    <n v="690"/>
    <n v="7"/>
    <x v="495"/>
  </r>
  <r>
    <x v="604"/>
    <s v="Евроопт"/>
    <x v="1"/>
    <x v="0"/>
    <x v="24"/>
    <n v="2540"/>
    <n v="28"/>
    <x v="1715"/>
  </r>
  <r>
    <x v="604"/>
    <s v="Евроопт"/>
    <x v="5"/>
    <x v="1"/>
    <x v="6"/>
    <n v="640"/>
    <n v="87"/>
    <x v="1716"/>
  </r>
  <r>
    <x v="604"/>
    <s v="Евроопт"/>
    <x v="5"/>
    <x v="1"/>
    <x v="23"/>
    <n v="705"/>
    <n v="65"/>
    <x v="1351"/>
  </r>
  <r>
    <x v="604"/>
    <s v="Евроопт"/>
    <x v="5"/>
    <x v="4"/>
    <x v="14"/>
    <n v="1670"/>
    <n v="81"/>
    <x v="1717"/>
  </r>
  <r>
    <x v="604"/>
    <s v="Соседи"/>
    <x v="5"/>
    <x v="4"/>
    <x v="14"/>
    <n v="1670"/>
    <n v="60"/>
    <x v="1718"/>
  </r>
  <r>
    <x v="604"/>
    <s v="Соседи"/>
    <x v="6"/>
    <x v="0"/>
    <x v="5"/>
    <n v="930"/>
    <n v="52"/>
    <x v="1182"/>
  </r>
  <r>
    <x v="605"/>
    <m/>
    <x v="2"/>
    <x v="3"/>
    <x v="3"/>
    <m/>
    <m/>
    <x v="1719"/>
  </r>
  <r>
    <x v="606"/>
    <s v="Виталюр"/>
    <x v="3"/>
    <x v="4"/>
    <x v="15"/>
    <n v="2460"/>
    <n v="96"/>
    <x v="1720"/>
  </r>
  <r>
    <x v="606"/>
    <s v="Виталюр"/>
    <x v="3"/>
    <x v="4"/>
    <x v="7"/>
    <n v="1760"/>
    <n v="18"/>
    <x v="1042"/>
  </r>
  <r>
    <x v="606"/>
    <s v="Соседи"/>
    <x v="0"/>
    <x v="4"/>
    <x v="15"/>
    <n v="2460"/>
    <n v="69"/>
    <x v="1589"/>
  </r>
  <r>
    <x v="606"/>
    <s v="Соседи"/>
    <x v="4"/>
    <x v="2"/>
    <x v="9"/>
    <n v="690"/>
    <n v="63"/>
    <x v="1721"/>
  </r>
  <r>
    <x v="606"/>
    <s v="Копеечка"/>
    <x v="4"/>
    <x v="4"/>
    <x v="14"/>
    <n v="1670"/>
    <n v="72"/>
    <x v="195"/>
  </r>
  <r>
    <x v="606"/>
    <s v="Евроопт"/>
    <x v="5"/>
    <x v="0"/>
    <x v="22"/>
    <n v="1420"/>
    <n v="36"/>
    <x v="1722"/>
  </r>
  <r>
    <x v="606"/>
    <s v="Копеечка"/>
    <x v="5"/>
    <x v="4"/>
    <x v="13"/>
    <n v="1505"/>
    <n v="56"/>
    <x v="617"/>
  </r>
  <r>
    <x v="606"/>
    <s v="Виталюр"/>
    <x v="5"/>
    <x v="4"/>
    <x v="11"/>
    <n v="2970"/>
    <n v="31"/>
    <x v="579"/>
  </r>
  <r>
    <x v="607"/>
    <m/>
    <x v="2"/>
    <x v="3"/>
    <x v="3"/>
    <m/>
    <m/>
    <x v="1723"/>
  </r>
  <r>
    <x v="608"/>
    <s v="Копеечка"/>
    <x v="3"/>
    <x v="4"/>
    <x v="21"/>
    <n v="3205"/>
    <n v="67"/>
    <x v="1724"/>
  </r>
  <r>
    <x v="608"/>
    <s v="Евроопт"/>
    <x v="3"/>
    <x v="4"/>
    <x v="21"/>
    <n v="3205"/>
    <n v="84"/>
    <x v="1439"/>
  </r>
  <r>
    <x v="608"/>
    <s v="Соседи"/>
    <x v="4"/>
    <x v="1"/>
    <x v="20"/>
    <n v="650"/>
    <n v="79"/>
    <x v="1233"/>
  </r>
  <r>
    <x v="608"/>
    <s v="Виталюр"/>
    <x v="4"/>
    <x v="2"/>
    <x v="16"/>
    <n v="890"/>
    <n v="67"/>
    <x v="1123"/>
  </r>
  <r>
    <x v="608"/>
    <s v="Копеечка"/>
    <x v="4"/>
    <x v="0"/>
    <x v="22"/>
    <n v="1420"/>
    <n v="98"/>
    <x v="710"/>
  </r>
  <r>
    <x v="608"/>
    <s v="Соседи"/>
    <x v="4"/>
    <x v="4"/>
    <x v="13"/>
    <n v="1505"/>
    <n v="33"/>
    <x v="1100"/>
  </r>
  <r>
    <x v="608"/>
    <s v="Виталюр"/>
    <x v="1"/>
    <x v="0"/>
    <x v="22"/>
    <n v="1420"/>
    <n v="13"/>
    <x v="1725"/>
  </r>
  <r>
    <x v="608"/>
    <s v="Виталюр"/>
    <x v="6"/>
    <x v="1"/>
    <x v="23"/>
    <n v="705"/>
    <n v="22"/>
    <x v="671"/>
  </r>
  <r>
    <x v="608"/>
    <s v="Копеечка"/>
    <x v="6"/>
    <x v="4"/>
    <x v="15"/>
    <n v="2460"/>
    <n v="11"/>
    <x v="131"/>
  </r>
  <r>
    <x v="609"/>
    <m/>
    <x v="2"/>
    <x v="3"/>
    <x v="3"/>
    <m/>
    <m/>
    <x v="1726"/>
  </r>
  <r>
    <x v="610"/>
    <s v="Евроопт"/>
    <x v="3"/>
    <x v="2"/>
    <x v="12"/>
    <n v="715"/>
    <n v="45"/>
    <x v="807"/>
  </r>
  <r>
    <x v="610"/>
    <s v="Евроопт"/>
    <x v="3"/>
    <x v="2"/>
    <x v="9"/>
    <n v="690"/>
    <n v="50"/>
    <x v="1057"/>
  </r>
  <r>
    <x v="610"/>
    <s v="Виталюр"/>
    <x v="0"/>
    <x v="1"/>
    <x v="23"/>
    <n v="705"/>
    <n v="70"/>
    <x v="1045"/>
  </r>
  <r>
    <x v="610"/>
    <s v="Копеечка"/>
    <x v="0"/>
    <x v="2"/>
    <x v="4"/>
    <n v="450"/>
    <n v="40"/>
    <x v="1245"/>
  </r>
  <r>
    <x v="610"/>
    <s v="Соседи"/>
    <x v="0"/>
    <x v="0"/>
    <x v="17"/>
    <n v="2400"/>
    <n v="57"/>
    <x v="410"/>
  </r>
  <r>
    <x v="610"/>
    <s v="Копеечка"/>
    <x v="0"/>
    <x v="4"/>
    <x v="14"/>
    <n v="1670"/>
    <n v="76"/>
    <x v="933"/>
  </r>
  <r>
    <x v="610"/>
    <s v="Соседи"/>
    <x v="0"/>
    <x v="4"/>
    <x v="11"/>
    <n v="2970"/>
    <n v="12"/>
    <x v="577"/>
  </r>
  <r>
    <x v="610"/>
    <s v="Евроопт"/>
    <x v="4"/>
    <x v="0"/>
    <x v="17"/>
    <n v="2400"/>
    <n v="90"/>
    <x v="435"/>
  </r>
  <r>
    <x v="610"/>
    <s v="Виталюр"/>
    <x v="1"/>
    <x v="2"/>
    <x v="2"/>
    <n v="325"/>
    <n v="29"/>
    <x v="753"/>
  </r>
  <r>
    <x v="610"/>
    <s v="Виталюр"/>
    <x v="1"/>
    <x v="4"/>
    <x v="14"/>
    <n v="1670"/>
    <n v="72"/>
    <x v="195"/>
  </r>
  <r>
    <x v="610"/>
    <s v="Евроопт"/>
    <x v="5"/>
    <x v="2"/>
    <x v="4"/>
    <n v="450"/>
    <n v="53"/>
    <x v="1254"/>
  </r>
  <r>
    <x v="610"/>
    <s v="Копеечка"/>
    <x v="5"/>
    <x v="0"/>
    <x v="22"/>
    <n v="1420"/>
    <n v="27"/>
    <x v="434"/>
  </r>
  <r>
    <x v="610"/>
    <s v="Соседи"/>
    <x v="6"/>
    <x v="2"/>
    <x v="2"/>
    <n v="325"/>
    <n v="86"/>
    <x v="1131"/>
  </r>
  <r>
    <x v="611"/>
    <m/>
    <x v="2"/>
    <x v="3"/>
    <x v="3"/>
    <m/>
    <m/>
    <x v="1727"/>
  </r>
  <r>
    <x v="612"/>
    <s v="Копеечка"/>
    <x v="3"/>
    <x v="1"/>
    <x v="19"/>
    <n v="540"/>
    <n v="52"/>
    <x v="654"/>
  </r>
  <r>
    <x v="612"/>
    <s v="Копеечка"/>
    <x v="5"/>
    <x v="4"/>
    <x v="21"/>
    <n v="3205"/>
    <n v="64"/>
    <x v="1728"/>
  </r>
  <r>
    <x v="613"/>
    <m/>
    <x v="2"/>
    <x v="3"/>
    <x v="3"/>
    <m/>
    <m/>
    <x v="1729"/>
  </r>
  <r>
    <x v="614"/>
    <s v="Виталюр"/>
    <x v="3"/>
    <x v="1"/>
    <x v="1"/>
    <n v="1380"/>
    <n v="22"/>
    <x v="1643"/>
  </r>
  <r>
    <x v="614"/>
    <s v="Евроопт"/>
    <x v="0"/>
    <x v="1"/>
    <x v="6"/>
    <n v="640"/>
    <n v="37"/>
    <x v="1730"/>
  </r>
  <r>
    <x v="614"/>
    <s v="Евроопт"/>
    <x v="4"/>
    <x v="1"/>
    <x v="18"/>
    <n v="650"/>
    <n v="26"/>
    <x v="619"/>
  </r>
  <r>
    <x v="614"/>
    <s v="Соседи"/>
    <x v="1"/>
    <x v="2"/>
    <x v="4"/>
    <n v="450"/>
    <n v="47"/>
    <x v="230"/>
  </r>
  <r>
    <x v="614"/>
    <s v="Соседи"/>
    <x v="1"/>
    <x v="4"/>
    <x v="11"/>
    <n v="2970"/>
    <n v="46"/>
    <x v="1212"/>
  </r>
  <r>
    <x v="614"/>
    <s v="Копеечка"/>
    <x v="1"/>
    <x v="4"/>
    <x v="11"/>
    <n v="2970"/>
    <n v="24"/>
    <x v="26"/>
  </r>
  <r>
    <x v="614"/>
    <s v="Виталюр"/>
    <x v="5"/>
    <x v="2"/>
    <x v="4"/>
    <n v="450"/>
    <n v="95"/>
    <x v="1731"/>
  </r>
  <r>
    <x v="614"/>
    <s v="Соседи"/>
    <x v="5"/>
    <x v="2"/>
    <x v="2"/>
    <n v="325"/>
    <n v="42"/>
    <x v="327"/>
  </r>
  <r>
    <x v="614"/>
    <s v="Виталюр"/>
    <x v="5"/>
    <x v="4"/>
    <x v="21"/>
    <n v="3205"/>
    <n v="83"/>
    <x v="1248"/>
  </r>
  <r>
    <x v="614"/>
    <s v="Копеечка"/>
    <x v="6"/>
    <x v="1"/>
    <x v="6"/>
    <n v="640"/>
    <n v="68"/>
    <x v="530"/>
  </r>
  <r>
    <x v="614"/>
    <s v="Копеечка"/>
    <x v="6"/>
    <x v="1"/>
    <x v="20"/>
    <n v="650"/>
    <n v="39"/>
    <x v="830"/>
  </r>
  <r>
    <x v="614"/>
    <s v="Евроопт"/>
    <x v="6"/>
    <x v="2"/>
    <x v="16"/>
    <n v="890"/>
    <n v="20"/>
    <x v="1732"/>
  </r>
  <r>
    <x v="615"/>
    <m/>
    <x v="2"/>
    <x v="3"/>
    <x v="3"/>
    <m/>
    <m/>
    <x v="1733"/>
  </r>
  <r>
    <x v="616"/>
    <s v="Виталюр"/>
    <x v="3"/>
    <x v="4"/>
    <x v="7"/>
    <n v="1760"/>
    <n v="13"/>
    <x v="350"/>
  </r>
  <r>
    <x v="616"/>
    <s v="Соседи"/>
    <x v="3"/>
    <x v="4"/>
    <x v="15"/>
    <n v="2460"/>
    <n v="16"/>
    <x v="581"/>
  </r>
  <r>
    <x v="616"/>
    <s v="Соседи"/>
    <x v="0"/>
    <x v="1"/>
    <x v="20"/>
    <n v="650"/>
    <n v="93"/>
    <x v="875"/>
  </r>
  <r>
    <x v="616"/>
    <s v="Соседи"/>
    <x v="0"/>
    <x v="1"/>
    <x v="18"/>
    <n v="650"/>
    <n v="25"/>
    <x v="45"/>
  </r>
  <r>
    <x v="616"/>
    <s v="Копеечка"/>
    <x v="0"/>
    <x v="0"/>
    <x v="0"/>
    <n v="1320"/>
    <n v="50"/>
    <x v="1609"/>
  </r>
  <r>
    <x v="616"/>
    <s v="Евроопт"/>
    <x v="4"/>
    <x v="1"/>
    <x v="20"/>
    <n v="650"/>
    <n v="55"/>
    <x v="677"/>
  </r>
  <r>
    <x v="616"/>
    <s v="Евроопт"/>
    <x v="4"/>
    <x v="0"/>
    <x v="17"/>
    <n v="2400"/>
    <n v="29"/>
    <x v="748"/>
  </r>
  <r>
    <x v="616"/>
    <s v="Копеечка"/>
    <x v="4"/>
    <x v="0"/>
    <x v="17"/>
    <n v="2400"/>
    <n v="99"/>
    <x v="41"/>
  </r>
  <r>
    <x v="616"/>
    <s v="Евроопт"/>
    <x v="1"/>
    <x v="1"/>
    <x v="19"/>
    <n v="540"/>
    <n v="39"/>
    <x v="1461"/>
  </r>
  <r>
    <x v="616"/>
    <s v="Соседи"/>
    <x v="1"/>
    <x v="4"/>
    <x v="21"/>
    <n v="3205"/>
    <n v="95"/>
    <x v="1734"/>
  </r>
  <r>
    <x v="616"/>
    <s v="Соседи"/>
    <x v="5"/>
    <x v="2"/>
    <x v="4"/>
    <n v="450"/>
    <n v="52"/>
    <x v="756"/>
  </r>
  <r>
    <x v="616"/>
    <s v="Евроопт"/>
    <x v="6"/>
    <x v="4"/>
    <x v="11"/>
    <n v="2970"/>
    <n v="62"/>
    <x v="436"/>
  </r>
  <r>
    <x v="616"/>
    <s v="Соседи"/>
    <x v="6"/>
    <x v="4"/>
    <x v="7"/>
    <n v="1760"/>
    <n v="66"/>
    <x v="1276"/>
  </r>
  <r>
    <x v="617"/>
    <m/>
    <x v="2"/>
    <x v="3"/>
    <x v="3"/>
    <m/>
    <m/>
    <x v="1735"/>
  </r>
  <r>
    <x v="618"/>
    <s v="Виталюр"/>
    <x v="3"/>
    <x v="2"/>
    <x v="2"/>
    <n v="325"/>
    <n v="58"/>
    <x v="46"/>
  </r>
  <r>
    <x v="618"/>
    <s v="Копеечка"/>
    <x v="3"/>
    <x v="2"/>
    <x v="8"/>
    <n v="460"/>
    <n v="33"/>
    <x v="628"/>
  </r>
  <r>
    <x v="618"/>
    <s v="Соседи"/>
    <x v="3"/>
    <x v="4"/>
    <x v="15"/>
    <n v="2460"/>
    <n v="58"/>
    <x v="18"/>
  </r>
  <r>
    <x v="618"/>
    <s v="Виталюр"/>
    <x v="0"/>
    <x v="0"/>
    <x v="22"/>
    <n v="1420"/>
    <n v="87"/>
    <x v="1122"/>
  </r>
  <r>
    <x v="618"/>
    <s v="Копеечка"/>
    <x v="1"/>
    <x v="4"/>
    <x v="15"/>
    <n v="2460"/>
    <n v="77"/>
    <x v="428"/>
  </r>
  <r>
    <x v="618"/>
    <s v="Евроопт"/>
    <x v="1"/>
    <x v="4"/>
    <x v="7"/>
    <n v="1760"/>
    <n v="18"/>
    <x v="1042"/>
  </r>
  <r>
    <x v="618"/>
    <s v="Виталюр"/>
    <x v="1"/>
    <x v="4"/>
    <x v="15"/>
    <n v="2460"/>
    <n v="19"/>
    <x v="1491"/>
  </r>
  <r>
    <x v="618"/>
    <s v="Евроопт"/>
    <x v="5"/>
    <x v="2"/>
    <x v="9"/>
    <n v="690"/>
    <n v="11"/>
    <x v="791"/>
  </r>
  <r>
    <x v="618"/>
    <s v="Евроопт"/>
    <x v="5"/>
    <x v="2"/>
    <x v="2"/>
    <n v="325"/>
    <n v="26"/>
    <x v="375"/>
  </r>
  <r>
    <x v="618"/>
    <s v="Виталюр"/>
    <x v="5"/>
    <x v="2"/>
    <x v="2"/>
    <n v="325"/>
    <n v="12"/>
    <x v="342"/>
  </r>
  <r>
    <x v="618"/>
    <s v="Соседи"/>
    <x v="5"/>
    <x v="0"/>
    <x v="0"/>
    <n v="1320"/>
    <n v="83"/>
    <x v="463"/>
  </r>
  <r>
    <x v="618"/>
    <s v="Евроопт"/>
    <x v="5"/>
    <x v="4"/>
    <x v="14"/>
    <n v="1670"/>
    <n v="85"/>
    <x v="1027"/>
  </r>
  <r>
    <x v="619"/>
    <m/>
    <x v="2"/>
    <x v="3"/>
    <x v="3"/>
    <m/>
    <m/>
    <x v="1736"/>
  </r>
  <r>
    <x v="620"/>
    <s v="Соседи"/>
    <x v="3"/>
    <x v="2"/>
    <x v="4"/>
    <n v="450"/>
    <n v="8"/>
    <x v="1219"/>
  </r>
  <r>
    <x v="620"/>
    <s v="Евроопт"/>
    <x v="0"/>
    <x v="2"/>
    <x v="4"/>
    <n v="450"/>
    <n v="97"/>
    <x v="321"/>
  </r>
  <r>
    <x v="620"/>
    <s v="Копеечка"/>
    <x v="0"/>
    <x v="2"/>
    <x v="16"/>
    <n v="890"/>
    <n v="5"/>
    <x v="407"/>
  </r>
  <r>
    <x v="620"/>
    <s v="Евроопт"/>
    <x v="0"/>
    <x v="2"/>
    <x v="4"/>
    <n v="450"/>
    <n v="60"/>
    <x v="1737"/>
  </r>
  <r>
    <x v="620"/>
    <s v="Соседи"/>
    <x v="4"/>
    <x v="4"/>
    <x v="11"/>
    <n v="2970"/>
    <n v="15"/>
    <x v="414"/>
  </r>
  <r>
    <x v="620"/>
    <s v="Евроопт"/>
    <x v="1"/>
    <x v="2"/>
    <x v="9"/>
    <n v="690"/>
    <n v="47"/>
    <x v="816"/>
  </r>
  <r>
    <x v="620"/>
    <s v="Копеечка"/>
    <x v="5"/>
    <x v="0"/>
    <x v="22"/>
    <n v="1420"/>
    <n v="6"/>
    <x v="1738"/>
  </r>
  <r>
    <x v="620"/>
    <s v="Евроопт"/>
    <x v="6"/>
    <x v="1"/>
    <x v="6"/>
    <n v="640"/>
    <n v="40"/>
    <x v="676"/>
  </r>
  <r>
    <x v="620"/>
    <s v="Соседи"/>
    <x v="6"/>
    <x v="0"/>
    <x v="17"/>
    <n v="2400"/>
    <n v="70"/>
    <x v="330"/>
  </r>
  <r>
    <x v="620"/>
    <s v="Соседи"/>
    <x v="6"/>
    <x v="0"/>
    <x v="24"/>
    <n v="2540"/>
    <n v="62"/>
    <x v="1739"/>
  </r>
  <r>
    <x v="621"/>
    <m/>
    <x v="2"/>
    <x v="3"/>
    <x v="3"/>
    <m/>
    <m/>
    <x v="1740"/>
  </r>
  <r>
    <x v="622"/>
    <s v="Евроопт"/>
    <x v="3"/>
    <x v="2"/>
    <x v="16"/>
    <n v="890"/>
    <n v="87"/>
    <x v="527"/>
  </r>
  <r>
    <x v="622"/>
    <s v="Евроопт"/>
    <x v="3"/>
    <x v="0"/>
    <x v="17"/>
    <n v="2400"/>
    <n v="22"/>
    <x v="94"/>
  </r>
  <r>
    <x v="622"/>
    <s v="Виталюр"/>
    <x v="3"/>
    <x v="0"/>
    <x v="24"/>
    <n v="2540"/>
    <n v="52"/>
    <x v="894"/>
  </r>
  <r>
    <x v="622"/>
    <s v="Виталюр"/>
    <x v="0"/>
    <x v="0"/>
    <x v="5"/>
    <n v="930"/>
    <n v="19"/>
    <x v="1621"/>
  </r>
  <r>
    <x v="622"/>
    <s v="Соседи"/>
    <x v="0"/>
    <x v="4"/>
    <x v="11"/>
    <n v="2970"/>
    <n v="34"/>
    <x v="1097"/>
  </r>
  <r>
    <x v="622"/>
    <s v="Копеечка"/>
    <x v="4"/>
    <x v="1"/>
    <x v="20"/>
    <n v="650"/>
    <n v="91"/>
    <x v="1096"/>
  </r>
  <r>
    <x v="622"/>
    <s v="Соседи"/>
    <x v="4"/>
    <x v="1"/>
    <x v="20"/>
    <n v="650"/>
    <n v="30"/>
    <x v="469"/>
  </r>
  <r>
    <x v="622"/>
    <s v="Виталюр"/>
    <x v="4"/>
    <x v="2"/>
    <x v="2"/>
    <n v="325"/>
    <n v="78"/>
    <x v="830"/>
  </r>
  <r>
    <x v="622"/>
    <s v="Копеечка"/>
    <x v="4"/>
    <x v="2"/>
    <x v="9"/>
    <n v="690"/>
    <n v="72"/>
    <x v="1629"/>
  </r>
  <r>
    <x v="622"/>
    <s v="Евроопт"/>
    <x v="4"/>
    <x v="4"/>
    <x v="13"/>
    <n v="1505"/>
    <n v="77"/>
    <x v="1083"/>
  </r>
  <r>
    <x v="622"/>
    <s v="Копеечка"/>
    <x v="1"/>
    <x v="1"/>
    <x v="20"/>
    <n v="650"/>
    <n v="36"/>
    <x v="756"/>
  </r>
  <r>
    <x v="622"/>
    <s v="Соседи"/>
    <x v="1"/>
    <x v="1"/>
    <x v="19"/>
    <n v="540"/>
    <n v="40"/>
    <x v="387"/>
  </r>
  <r>
    <x v="622"/>
    <s v="Соседи"/>
    <x v="1"/>
    <x v="0"/>
    <x v="10"/>
    <n v="1230"/>
    <n v="14"/>
    <x v="1076"/>
  </r>
  <r>
    <x v="622"/>
    <s v="Виталюр"/>
    <x v="5"/>
    <x v="2"/>
    <x v="12"/>
    <n v="715"/>
    <n v="33"/>
    <x v="548"/>
  </r>
  <r>
    <x v="622"/>
    <s v="Копеечка"/>
    <x v="5"/>
    <x v="4"/>
    <x v="14"/>
    <n v="1670"/>
    <n v="14"/>
    <x v="1025"/>
  </r>
  <r>
    <x v="622"/>
    <s v="Копеечка"/>
    <x v="6"/>
    <x v="0"/>
    <x v="0"/>
    <n v="1320"/>
    <n v="9"/>
    <x v="1146"/>
  </r>
  <r>
    <x v="622"/>
    <s v="Копеечка"/>
    <x v="6"/>
    <x v="4"/>
    <x v="7"/>
    <n v="1760"/>
    <n v="24"/>
    <x v="11"/>
  </r>
  <r>
    <x v="623"/>
    <m/>
    <x v="2"/>
    <x v="3"/>
    <x v="3"/>
    <m/>
    <m/>
    <x v="1741"/>
  </r>
  <r>
    <x v="624"/>
    <s v="Виталюр"/>
    <x v="3"/>
    <x v="4"/>
    <x v="14"/>
    <n v="1670"/>
    <n v="6"/>
    <x v="1033"/>
  </r>
  <r>
    <x v="624"/>
    <s v="Копеечка"/>
    <x v="4"/>
    <x v="1"/>
    <x v="18"/>
    <n v="650"/>
    <n v="46"/>
    <x v="667"/>
  </r>
  <r>
    <x v="624"/>
    <s v="Соседи"/>
    <x v="4"/>
    <x v="0"/>
    <x v="0"/>
    <n v="1320"/>
    <n v="17"/>
    <x v="659"/>
  </r>
  <r>
    <x v="624"/>
    <s v="Виталюр"/>
    <x v="4"/>
    <x v="4"/>
    <x v="15"/>
    <n v="2460"/>
    <n v="5"/>
    <x v="481"/>
  </r>
  <r>
    <x v="624"/>
    <s v="Евроопт"/>
    <x v="1"/>
    <x v="0"/>
    <x v="10"/>
    <n v="1230"/>
    <n v="90"/>
    <x v="415"/>
  </r>
  <r>
    <x v="624"/>
    <s v="Евроопт"/>
    <x v="6"/>
    <x v="2"/>
    <x v="12"/>
    <n v="715"/>
    <n v="28"/>
    <x v="1742"/>
  </r>
  <r>
    <x v="625"/>
    <m/>
    <x v="2"/>
    <x v="3"/>
    <x v="3"/>
    <m/>
    <m/>
    <x v="1743"/>
  </r>
  <r>
    <x v="626"/>
    <s v="Копеечка"/>
    <x v="3"/>
    <x v="2"/>
    <x v="16"/>
    <n v="890"/>
    <n v="29"/>
    <x v="1744"/>
  </r>
  <r>
    <x v="626"/>
    <s v="Копеечка"/>
    <x v="3"/>
    <x v="2"/>
    <x v="12"/>
    <n v="715"/>
    <n v="51"/>
    <x v="395"/>
  </r>
  <r>
    <x v="626"/>
    <s v="Копеечка"/>
    <x v="3"/>
    <x v="4"/>
    <x v="7"/>
    <n v="1760"/>
    <n v="86"/>
    <x v="1471"/>
  </r>
  <r>
    <x v="626"/>
    <s v="Виталюр"/>
    <x v="0"/>
    <x v="2"/>
    <x v="9"/>
    <n v="690"/>
    <n v="97"/>
    <x v="538"/>
  </r>
  <r>
    <x v="626"/>
    <s v="Виталюр"/>
    <x v="4"/>
    <x v="2"/>
    <x v="9"/>
    <n v="690"/>
    <n v="27"/>
    <x v="383"/>
  </r>
  <r>
    <x v="626"/>
    <s v="Евроопт"/>
    <x v="4"/>
    <x v="2"/>
    <x v="16"/>
    <n v="890"/>
    <n v="68"/>
    <x v="866"/>
  </r>
  <r>
    <x v="626"/>
    <s v="Копеечка"/>
    <x v="1"/>
    <x v="1"/>
    <x v="18"/>
    <n v="650"/>
    <n v="34"/>
    <x v="199"/>
  </r>
  <r>
    <x v="626"/>
    <s v="Копеечка"/>
    <x v="1"/>
    <x v="0"/>
    <x v="5"/>
    <n v="930"/>
    <n v="33"/>
    <x v="1667"/>
  </r>
  <r>
    <x v="626"/>
    <s v="Евроопт"/>
    <x v="1"/>
    <x v="4"/>
    <x v="7"/>
    <n v="1760"/>
    <n v="9"/>
    <x v="1408"/>
  </r>
  <r>
    <x v="626"/>
    <s v="Копеечка"/>
    <x v="5"/>
    <x v="4"/>
    <x v="13"/>
    <n v="1505"/>
    <n v="15"/>
    <x v="1745"/>
  </r>
  <r>
    <x v="626"/>
    <s v="Виталюр"/>
    <x v="6"/>
    <x v="1"/>
    <x v="1"/>
    <n v="1380"/>
    <n v="65"/>
    <x v="1705"/>
  </r>
  <r>
    <x v="626"/>
    <s v="Копеечка"/>
    <x v="6"/>
    <x v="2"/>
    <x v="12"/>
    <n v="715"/>
    <n v="35"/>
    <x v="768"/>
  </r>
  <r>
    <x v="626"/>
    <s v="Соседи"/>
    <x v="6"/>
    <x v="0"/>
    <x v="22"/>
    <n v="1420"/>
    <n v="69"/>
    <x v="92"/>
  </r>
  <r>
    <x v="627"/>
    <m/>
    <x v="2"/>
    <x v="3"/>
    <x v="3"/>
    <m/>
    <m/>
    <x v="1746"/>
  </r>
  <r>
    <x v="628"/>
    <s v="Евроопт"/>
    <x v="3"/>
    <x v="2"/>
    <x v="2"/>
    <n v="325"/>
    <n v="75"/>
    <x v="1699"/>
  </r>
  <r>
    <x v="628"/>
    <s v="Соседи"/>
    <x v="3"/>
    <x v="2"/>
    <x v="2"/>
    <n v="325"/>
    <n v="87"/>
    <x v="1340"/>
  </r>
  <r>
    <x v="628"/>
    <s v="Копеечка"/>
    <x v="6"/>
    <x v="1"/>
    <x v="6"/>
    <n v="640"/>
    <n v="80"/>
    <x v="805"/>
  </r>
  <r>
    <x v="628"/>
    <s v="Виталюр"/>
    <x v="6"/>
    <x v="1"/>
    <x v="6"/>
    <n v="640"/>
    <n v="78"/>
    <x v="652"/>
  </r>
  <r>
    <x v="628"/>
    <s v="Виталюр"/>
    <x v="6"/>
    <x v="0"/>
    <x v="24"/>
    <n v="2540"/>
    <n v="24"/>
    <x v="829"/>
  </r>
  <r>
    <x v="629"/>
    <m/>
    <x v="2"/>
    <x v="3"/>
    <x v="3"/>
    <m/>
    <m/>
    <x v="1747"/>
  </r>
  <r>
    <x v="630"/>
    <s v="Виталюр"/>
    <x v="3"/>
    <x v="4"/>
    <x v="21"/>
    <n v="3205"/>
    <n v="10"/>
    <x v="1411"/>
  </r>
  <r>
    <x v="630"/>
    <s v="Виталюр"/>
    <x v="0"/>
    <x v="1"/>
    <x v="23"/>
    <n v="705"/>
    <n v="78"/>
    <x v="717"/>
  </r>
  <r>
    <x v="630"/>
    <s v="Копеечка"/>
    <x v="4"/>
    <x v="1"/>
    <x v="20"/>
    <n v="650"/>
    <n v="69"/>
    <x v="317"/>
  </r>
  <r>
    <x v="630"/>
    <s v="Копеечка"/>
    <x v="1"/>
    <x v="0"/>
    <x v="17"/>
    <n v="2400"/>
    <n v="28"/>
    <x v="1748"/>
  </r>
  <r>
    <x v="630"/>
    <s v="Копеечка"/>
    <x v="1"/>
    <x v="4"/>
    <x v="7"/>
    <n v="1760"/>
    <n v="82"/>
    <x v="852"/>
  </r>
  <r>
    <x v="630"/>
    <s v="Соседи"/>
    <x v="1"/>
    <x v="4"/>
    <x v="11"/>
    <n v="2970"/>
    <n v="5"/>
    <x v="612"/>
  </r>
  <r>
    <x v="630"/>
    <s v="Соседи"/>
    <x v="5"/>
    <x v="0"/>
    <x v="22"/>
    <n v="1420"/>
    <n v="34"/>
    <x v="1262"/>
  </r>
  <r>
    <x v="630"/>
    <s v="Виталюр"/>
    <x v="5"/>
    <x v="4"/>
    <x v="21"/>
    <n v="3205"/>
    <n v="34"/>
    <x v="1749"/>
  </r>
  <r>
    <x v="631"/>
    <m/>
    <x v="2"/>
    <x v="3"/>
    <x v="3"/>
    <m/>
    <m/>
    <x v="1750"/>
  </r>
  <r>
    <x v="632"/>
    <s v="Соседи"/>
    <x v="3"/>
    <x v="2"/>
    <x v="9"/>
    <n v="690"/>
    <n v="24"/>
    <x v="160"/>
  </r>
  <r>
    <x v="632"/>
    <s v="Копеечка"/>
    <x v="3"/>
    <x v="4"/>
    <x v="13"/>
    <n v="1505"/>
    <n v="9"/>
    <x v="856"/>
  </r>
  <r>
    <x v="632"/>
    <s v="Виталюр"/>
    <x v="0"/>
    <x v="0"/>
    <x v="22"/>
    <n v="1420"/>
    <n v="29"/>
    <x v="849"/>
  </r>
  <r>
    <x v="632"/>
    <s v="Копеечка"/>
    <x v="4"/>
    <x v="1"/>
    <x v="1"/>
    <n v="1380"/>
    <n v="45"/>
    <x v="1193"/>
  </r>
  <r>
    <x v="632"/>
    <s v="Евроопт"/>
    <x v="5"/>
    <x v="4"/>
    <x v="14"/>
    <n v="1670"/>
    <n v="84"/>
    <x v="71"/>
  </r>
  <r>
    <x v="633"/>
    <m/>
    <x v="2"/>
    <x v="3"/>
    <x v="3"/>
    <m/>
    <m/>
    <x v="1751"/>
  </r>
  <r>
    <x v="634"/>
    <s v="Евроопт"/>
    <x v="3"/>
    <x v="1"/>
    <x v="18"/>
    <n v="650"/>
    <n v="33"/>
    <x v="360"/>
  </r>
  <r>
    <x v="634"/>
    <s v="Евроопт"/>
    <x v="3"/>
    <x v="2"/>
    <x v="8"/>
    <n v="460"/>
    <n v="32"/>
    <x v="172"/>
  </r>
  <r>
    <x v="634"/>
    <s v="Копеечка"/>
    <x v="3"/>
    <x v="2"/>
    <x v="12"/>
    <n v="715"/>
    <n v="22"/>
    <x v="141"/>
  </r>
  <r>
    <x v="634"/>
    <s v="Виталюр"/>
    <x v="3"/>
    <x v="0"/>
    <x v="10"/>
    <n v="1230"/>
    <n v="17"/>
    <x v="1329"/>
  </r>
  <r>
    <x v="634"/>
    <s v="Копеечка"/>
    <x v="3"/>
    <x v="0"/>
    <x v="10"/>
    <n v="1230"/>
    <n v="36"/>
    <x v="1044"/>
  </r>
  <r>
    <x v="634"/>
    <s v="Копеечка"/>
    <x v="3"/>
    <x v="0"/>
    <x v="24"/>
    <n v="2540"/>
    <n v="7"/>
    <x v="208"/>
  </r>
  <r>
    <x v="634"/>
    <s v="Виталюр"/>
    <x v="0"/>
    <x v="1"/>
    <x v="23"/>
    <n v="705"/>
    <n v="76"/>
    <x v="760"/>
  </r>
  <r>
    <x v="634"/>
    <s v="Евроопт"/>
    <x v="0"/>
    <x v="4"/>
    <x v="21"/>
    <n v="3205"/>
    <n v="89"/>
    <x v="751"/>
  </r>
  <r>
    <x v="634"/>
    <s v="Евроопт"/>
    <x v="4"/>
    <x v="4"/>
    <x v="13"/>
    <n v="1505"/>
    <n v="97"/>
    <x v="896"/>
  </r>
  <r>
    <x v="634"/>
    <s v="Соседи"/>
    <x v="6"/>
    <x v="0"/>
    <x v="10"/>
    <n v="1230"/>
    <n v="64"/>
    <x v="424"/>
  </r>
  <r>
    <x v="635"/>
    <m/>
    <x v="2"/>
    <x v="3"/>
    <x v="3"/>
    <m/>
    <m/>
    <x v="1752"/>
  </r>
  <r>
    <x v="636"/>
    <s v="Виталюр"/>
    <x v="3"/>
    <x v="4"/>
    <x v="13"/>
    <n v="1505"/>
    <n v="69"/>
    <x v="1183"/>
  </r>
  <r>
    <x v="636"/>
    <s v="Копеечка"/>
    <x v="0"/>
    <x v="1"/>
    <x v="20"/>
    <n v="650"/>
    <n v="48"/>
    <x v="447"/>
  </r>
  <r>
    <x v="636"/>
    <s v="Виталюр"/>
    <x v="0"/>
    <x v="2"/>
    <x v="4"/>
    <n v="450"/>
    <n v="98"/>
    <x v="929"/>
  </r>
  <r>
    <x v="636"/>
    <s v="Копеечка"/>
    <x v="0"/>
    <x v="0"/>
    <x v="0"/>
    <n v="1320"/>
    <n v="49"/>
    <x v="825"/>
  </r>
  <r>
    <x v="636"/>
    <s v="Соседи"/>
    <x v="0"/>
    <x v="4"/>
    <x v="15"/>
    <n v="2460"/>
    <n v="85"/>
    <x v="1753"/>
  </r>
  <r>
    <x v="636"/>
    <s v="Копеечка"/>
    <x v="4"/>
    <x v="4"/>
    <x v="15"/>
    <n v="2460"/>
    <n v="74"/>
    <x v="1292"/>
  </r>
  <r>
    <x v="636"/>
    <s v="Копеечка"/>
    <x v="4"/>
    <x v="4"/>
    <x v="13"/>
    <n v="1505"/>
    <n v="82"/>
    <x v="1754"/>
  </r>
  <r>
    <x v="636"/>
    <s v="Копеечка"/>
    <x v="1"/>
    <x v="0"/>
    <x v="10"/>
    <n v="1230"/>
    <n v="49"/>
    <x v="1755"/>
  </r>
  <r>
    <x v="636"/>
    <s v="Евроопт"/>
    <x v="5"/>
    <x v="2"/>
    <x v="8"/>
    <n v="460"/>
    <n v="23"/>
    <x v="986"/>
  </r>
  <r>
    <x v="636"/>
    <s v="Виталюр"/>
    <x v="6"/>
    <x v="2"/>
    <x v="2"/>
    <n v="325"/>
    <n v="68"/>
    <x v="199"/>
  </r>
  <r>
    <x v="636"/>
    <s v="Соседи"/>
    <x v="6"/>
    <x v="0"/>
    <x v="17"/>
    <n v="2400"/>
    <n v="24"/>
    <x v="605"/>
  </r>
  <r>
    <x v="637"/>
    <m/>
    <x v="2"/>
    <x v="3"/>
    <x v="3"/>
    <m/>
    <m/>
    <x v="1756"/>
  </r>
  <r>
    <x v="638"/>
    <s v="Соседи"/>
    <x v="3"/>
    <x v="2"/>
    <x v="8"/>
    <n v="460"/>
    <n v="12"/>
    <x v="241"/>
  </r>
  <r>
    <x v="638"/>
    <s v="Евроопт"/>
    <x v="3"/>
    <x v="4"/>
    <x v="7"/>
    <n v="1760"/>
    <n v="58"/>
    <x v="1079"/>
  </r>
  <r>
    <x v="638"/>
    <s v="Евроопт"/>
    <x v="0"/>
    <x v="1"/>
    <x v="6"/>
    <n v="640"/>
    <n v="40"/>
    <x v="676"/>
  </r>
  <r>
    <x v="638"/>
    <s v="Виталюр"/>
    <x v="1"/>
    <x v="1"/>
    <x v="19"/>
    <n v="540"/>
    <n v="65"/>
    <x v="158"/>
  </r>
  <r>
    <x v="638"/>
    <s v="Виталюр"/>
    <x v="6"/>
    <x v="1"/>
    <x v="1"/>
    <n v="1380"/>
    <n v="44"/>
    <x v="1103"/>
  </r>
  <r>
    <x v="638"/>
    <s v="Евроопт"/>
    <x v="6"/>
    <x v="2"/>
    <x v="16"/>
    <n v="890"/>
    <n v="63"/>
    <x v="1322"/>
  </r>
  <r>
    <x v="638"/>
    <s v="Соседи"/>
    <x v="6"/>
    <x v="0"/>
    <x v="0"/>
    <n v="1320"/>
    <n v="54"/>
    <x v="26"/>
  </r>
  <r>
    <x v="639"/>
    <m/>
    <x v="2"/>
    <x v="3"/>
    <x v="3"/>
    <m/>
    <m/>
    <x v="1757"/>
  </r>
  <r>
    <x v="640"/>
    <s v="Соседи"/>
    <x v="3"/>
    <x v="1"/>
    <x v="20"/>
    <n v="650"/>
    <n v="44"/>
    <x v="853"/>
  </r>
  <r>
    <x v="640"/>
    <s v="Соседи"/>
    <x v="3"/>
    <x v="1"/>
    <x v="18"/>
    <n v="650"/>
    <n v="26"/>
    <x v="619"/>
  </r>
  <r>
    <x v="640"/>
    <s v="Евроопт"/>
    <x v="0"/>
    <x v="0"/>
    <x v="5"/>
    <n v="930"/>
    <n v="87"/>
    <x v="1267"/>
  </r>
  <r>
    <x v="640"/>
    <s v="Соседи"/>
    <x v="0"/>
    <x v="0"/>
    <x v="10"/>
    <n v="1230"/>
    <n v="61"/>
    <x v="1758"/>
  </r>
  <r>
    <x v="640"/>
    <s v="Соседи"/>
    <x v="0"/>
    <x v="0"/>
    <x v="10"/>
    <n v="1230"/>
    <n v="17"/>
    <x v="1329"/>
  </r>
  <r>
    <x v="640"/>
    <s v="Виталюр"/>
    <x v="4"/>
    <x v="0"/>
    <x v="24"/>
    <n v="2540"/>
    <n v="88"/>
    <x v="314"/>
  </r>
  <r>
    <x v="640"/>
    <s v="Соседи"/>
    <x v="4"/>
    <x v="0"/>
    <x v="5"/>
    <n v="930"/>
    <n v="66"/>
    <x v="1759"/>
  </r>
  <r>
    <x v="640"/>
    <s v="Соседи"/>
    <x v="4"/>
    <x v="0"/>
    <x v="0"/>
    <n v="1320"/>
    <n v="94"/>
    <x v="739"/>
  </r>
  <r>
    <x v="640"/>
    <s v="Виталюр"/>
    <x v="1"/>
    <x v="4"/>
    <x v="7"/>
    <n v="1760"/>
    <n v="20"/>
    <x v="1760"/>
  </r>
  <r>
    <x v="640"/>
    <s v="Виталюр"/>
    <x v="6"/>
    <x v="1"/>
    <x v="1"/>
    <n v="1380"/>
    <n v="22"/>
    <x v="1643"/>
  </r>
  <r>
    <x v="640"/>
    <s v="Копеечка"/>
    <x v="6"/>
    <x v="2"/>
    <x v="16"/>
    <n v="890"/>
    <n v="95"/>
    <x v="1037"/>
  </r>
  <r>
    <x v="641"/>
    <m/>
    <x v="2"/>
    <x v="3"/>
    <x v="3"/>
    <m/>
    <m/>
    <x v="1761"/>
  </r>
  <r>
    <x v="642"/>
    <s v="Соседи"/>
    <x v="3"/>
    <x v="1"/>
    <x v="6"/>
    <n v="640"/>
    <n v="62"/>
    <x v="1415"/>
  </r>
  <r>
    <x v="642"/>
    <s v="Евроопт"/>
    <x v="3"/>
    <x v="0"/>
    <x v="5"/>
    <n v="930"/>
    <n v="35"/>
    <x v="993"/>
  </r>
  <r>
    <x v="642"/>
    <s v="Соседи"/>
    <x v="0"/>
    <x v="2"/>
    <x v="12"/>
    <n v="715"/>
    <n v="46"/>
    <x v="1529"/>
  </r>
  <r>
    <x v="642"/>
    <s v="Виталюр"/>
    <x v="4"/>
    <x v="2"/>
    <x v="12"/>
    <n v="715"/>
    <n v="60"/>
    <x v="353"/>
  </r>
  <r>
    <x v="642"/>
    <s v="Соседи"/>
    <x v="4"/>
    <x v="4"/>
    <x v="11"/>
    <n v="2970"/>
    <n v="76"/>
    <x v="344"/>
  </r>
  <r>
    <x v="642"/>
    <s v="Копеечка"/>
    <x v="1"/>
    <x v="1"/>
    <x v="19"/>
    <n v="540"/>
    <n v="19"/>
    <x v="1009"/>
  </r>
  <r>
    <x v="642"/>
    <s v="Соседи"/>
    <x v="5"/>
    <x v="2"/>
    <x v="8"/>
    <n v="460"/>
    <n v="26"/>
    <x v="114"/>
  </r>
  <r>
    <x v="642"/>
    <s v="Евроопт"/>
    <x v="5"/>
    <x v="0"/>
    <x v="5"/>
    <n v="930"/>
    <n v="66"/>
    <x v="1759"/>
  </r>
  <r>
    <x v="642"/>
    <s v="Евроопт"/>
    <x v="5"/>
    <x v="4"/>
    <x v="13"/>
    <n v="1505"/>
    <n v="36"/>
    <x v="483"/>
  </r>
  <r>
    <x v="643"/>
    <m/>
    <x v="2"/>
    <x v="3"/>
    <x v="3"/>
    <m/>
    <m/>
    <x v="1762"/>
  </r>
  <r>
    <x v="644"/>
    <s v="Соседи"/>
    <x v="3"/>
    <x v="1"/>
    <x v="19"/>
    <n v="540"/>
    <n v="65"/>
    <x v="158"/>
  </r>
  <r>
    <x v="644"/>
    <s v="Соседи"/>
    <x v="3"/>
    <x v="0"/>
    <x v="10"/>
    <n v="1230"/>
    <n v="16"/>
    <x v="254"/>
  </r>
  <r>
    <x v="644"/>
    <s v="Евроопт"/>
    <x v="3"/>
    <x v="4"/>
    <x v="11"/>
    <n v="2970"/>
    <n v="52"/>
    <x v="1545"/>
  </r>
  <r>
    <x v="644"/>
    <s v="Копеечка"/>
    <x v="3"/>
    <x v="4"/>
    <x v="15"/>
    <n v="2460"/>
    <n v="79"/>
    <x v="1688"/>
  </r>
  <r>
    <x v="644"/>
    <s v="Копеечка"/>
    <x v="0"/>
    <x v="4"/>
    <x v="7"/>
    <n v="1760"/>
    <n v="68"/>
    <x v="1763"/>
  </r>
  <r>
    <x v="644"/>
    <s v="Копеечка"/>
    <x v="1"/>
    <x v="2"/>
    <x v="8"/>
    <n v="460"/>
    <n v="57"/>
    <x v="217"/>
  </r>
  <r>
    <x v="644"/>
    <s v="Виталюр"/>
    <x v="1"/>
    <x v="2"/>
    <x v="2"/>
    <n v="325"/>
    <n v="5"/>
    <x v="611"/>
  </r>
  <r>
    <x v="644"/>
    <s v="Соседи"/>
    <x v="1"/>
    <x v="0"/>
    <x v="0"/>
    <n v="1320"/>
    <n v="82"/>
    <x v="456"/>
  </r>
  <r>
    <x v="644"/>
    <s v="Виталюр"/>
    <x v="5"/>
    <x v="1"/>
    <x v="6"/>
    <n v="640"/>
    <n v="45"/>
    <x v="242"/>
  </r>
  <r>
    <x v="644"/>
    <s v="Евроопт"/>
    <x v="6"/>
    <x v="1"/>
    <x v="1"/>
    <n v="1380"/>
    <n v="82"/>
    <x v="1094"/>
  </r>
  <r>
    <x v="644"/>
    <s v="Соседи"/>
    <x v="6"/>
    <x v="1"/>
    <x v="19"/>
    <n v="540"/>
    <n v="70"/>
    <x v="1764"/>
  </r>
  <r>
    <x v="644"/>
    <s v="Соседи"/>
    <x v="6"/>
    <x v="0"/>
    <x v="24"/>
    <n v="2540"/>
    <n v="54"/>
    <x v="1765"/>
  </r>
  <r>
    <x v="645"/>
    <m/>
    <x v="2"/>
    <x v="3"/>
    <x v="3"/>
    <m/>
    <m/>
    <x v="1766"/>
  </r>
  <r>
    <x v="646"/>
    <s v="Евроопт"/>
    <x v="0"/>
    <x v="2"/>
    <x v="9"/>
    <n v="690"/>
    <n v="51"/>
    <x v="228"/>
  </r>
  <r>
    <x v="646"/>
    <s v="Соседи"/>
    <x v="0"/>
    <x v="0"/>
    <x v="0"/>
    <n v="1320"/>
    <n v="84"/>
    <x v="95"/>
  </r>
  <r>
    <x v="646"/>
    <s v="Копеечка"/>
    <x v="4"/>
    <x v="4"/>
    <x v="13"/>
    <n v="1505"/>
    <n v="45"/>
    <x v="1345"/>
  </r>
  <r>
    <x v="646"/>
    <s v="Евроопт"/>
    <x v="1"/>
    <x v="2"/>
    <x v="2"/>
    <n v="325"/>
    <n v="15"/>
    <x v="1330"/>
  </r>
  <r>
    <x v="646"/>
    <s v="Соседи"/>
    <x v="1"/>
    <x v="0"/>
    <x v="22"/>
    <n v="1420"/>
    <n v="38"/>
    <x v="1767"/>
  </r>
  <r>
    <x v="646"/>
    <s v="Виталюр"/>
    <x v="5"/>
    <x v="1"/>
    <x v="6"/>
    <n v="640"/>
    <n v="45"/>
    <x v="242"/>
  </r>
  <r>
    <x v="646"/>
    <s v="Виталюр"/>
    <x v="5"/>
    <x v="2"/>
    <x v="9"/>
    <n v="690"/>
    <n v="27"/>
    <x v="383"/>
  </r>
  <r>
    <x v="646"/>
    <s v="Евроопт"/>
    <x v="5"/>
    <x v="2"/>
    <x v="2"/>
    <n v="325"/>
    <n v="52"/>
    <x v="619"/>
  </r>
  <r>
    <x v="646"/>
    <s v="Евроопт"/>
    <x v="5"/>
    <x v="0"/>
    <x v="0"/>
    <n v="1320"/>
    <n v="42"/>
    <x v="1140"/>
  </r>
  <r>
    <x v="646"/>
    <s v="Евроопт"/>
    <x v="5"/>
    <x v="4"/>
    <x v="13"/>
    <n v="1505"/>
    <n v="30"/>
    <x v="1768"/>
  </r>
  <r>
    <x v="646"/>
    <s v="Евроопт"/>
    <x v="6"/>
    <x v="2"/>
    <x v="12"/>
    <n v="715"/>
    <n v="62"/>
    <x v="42"/>
  </r>
  <r>
    <x v="646"/>
    <s v="Копеечка"/>
    <x v="6"/>
    <x v="2"/>
    <x v="9"/>
    <n v="690"/>
    <n v="71"/>
    <x v="1101"/>
  </r>
  <r>
    <x v="646"/>
    <s v="Соседи"/>
    <x v="6"/>
    <x v="2"/>
    <x v="16"/>
    <n v="890"/>
    <n v="27"/>
    <x v="287"/>
  </r>
  <r>
    <x v="647"/>
    <m/>
    <x v="2"/>
    <x v="3"/>
    <x v="3"/>
    <m/>
    <m/>
    <x v="1769"/>
  </r>
  <r>
    <x v="648"/>
    <s v="Виталюр"/>
    <x v="4"/>
    <x v="1"/>
    <x v="23"/>
    <n v="705"/>
    <n v="93"/>
    <x v="1770"/>
  </r>
  <r>
    <x v="648"/>
    <s v="Виталюр"/>
    <x v="4"/>
    <x v="4"/>
    <x v="13"/>
    <n v="1505"/>
    <n v="67"/>
    <x v="1065"/>
  </r>
  <r>
    <x v="648"/>
    <s v="Копеечка"/>
    <x v="1"/>
    <x v="0"/>
    <x v="10"/>
    <n v="1230"/>
    <n v="40"/>
    <x v="369"/>
  </r>
  <r>
    <x v="648"/>
    <s v="Копеечка"/>
    <x v="6"/>
    <x v="1"/>
    <x v="1"/>
    <n v="1380"/>
    <n v="34"/>
    <x v="180"/>
  </r>
  <r>
    <x v="648"/>
    <s v="Соседи"/>
    <x v="6"/>
    <x v="2"/>
    <x v="2"/>
    <n v="325"/>
    <n v="35"/>
    <x v="1092"/>
  </r>
  <r>
    <x v="648"/>
    <s v="Евроопт"/>
    <x v="6"/>
    <x v="2"/>
    <x v="12"/>
    <n v="715"/>
    <n v="12"/>
    <x v="1041"/>
  </r>
  <r>
    <x v="649"/>
    <m/>
    <x v="2"/>
    <x v="3"/>
    <x v="3"/>
    <m/>
    <m/>
    <x v="1771"/>
  </r>
  <r>
    <x v="650"/>
    <s v="Копеечка"/>
    <x v="3"/>
    <x v="2"/>
    <x v="8"/>
    <n v="460"/>
    <n v="60"/>
    <x v="745"/>
  </r>
  <r>
    <x v="650"/>
    <s v="Копеечка"/>
    <x v="0"/>
    <x v="2"/>
    <x v="4"/>
    <n v="450"/>
    <n v="14"/>
    <x v="1772"/>
  </r>
  <r>
    <x v="650"/>
    <s v="Копеечка"/>
    <x v="4"/>
    <x v="2"/>
    <x v="8"/>
    <n v="460"/>
    <n v="23"/>
    <x v="986"/>
  </r>
  <r>
    <x v="650"/>
    <s v="Соседи"/>
    <x v="4"/>
    <x v="4"/>
    <x v="21"/>
    <n v="3205"/>
    <n v="85"/>
    <x v="299"/>
  </r>
  <r>
    <x v="650"/>
    <s v="Евроопт"/>
    <x v="5"/>
    <x v="1"/>
    <x v="6"/>
    <n v="640"/>
    <n v="22"/>
    <x v="904"/>
  </r>
  <r>
    <x v="650"/>
    <s v="Евроопт"/>
    <x v="5"/>
    <x v="1"/>
    <x v="18"/>
    <n v="650"/>
    <n v="54"/>
    <x v="158"/>
  </r>
  <r>
    <x v="650"/>
    <s v="Соседи"/>
    <x v="5"/>
    <x v="0"/>
    <x v="5"/>
    <n v="930"/>
    <n v="93"/>
    <x v="1479"/>
  </r>
  <r>
    <x v="650"/>
    <s v="Копеечка"/>
    <x v="6"/>
    <x v="1"/>
    <x v="20"/>
    <n v="650"/>
    <n v="66"/>
    <x v="353"/>
  </r>
  <r>
    <x v="650"/>
    <s v="Копеечка"/>
    <x v="6"/>
    <x v="1"/>
    <x v="18"/>
    <n v="650"/>
    <n v="50"/>
    <x v="392"/>
  </r>
  <r>
    <x v="650"/>
    <s v="Евроопт"/>
    <x v="6"/>
    <x v="2"/>
    <x v="12"/>
    <n v="715"/>
    <n v="66"/>
    <x v="1773"/>
  </r>
  <r>
    <x v="650"/>
    <s v="Евроопт"/>
    <x v="6"/>
    <x v="4"/>
    <x v="21"/>
    <n v="3205"/>
    <n v="71"/>
    <x v="1774"/>
  </r>
  <r>
    <x v="651"/>
    <m/>
    <x v="2"/>
    <x v="3"/>
    <x v="3"/>
    <m/>
    <m/>
    <x v="1775"/>
  </r>
  <r>
    <x v="652"/>
    <s v="Евроопт"/>
    <x v="3"/>
    <x v="0"/>
    <x v="10"/>
    <n v="1230"/>
    <n v="37"/>
    <x v="1332"/>
  </r>
  <r>
    <x v="652"/>
    <s v="Соседи"/>
    <x v="0"/>
    <x v="1"/>
    <x v="18"/>
    <n v="650"/>
    <n v="65"/>
    <x v="1776"/>
  </r>
  <r>
    <x v="652"/>
    <s v="Соседи"/>
    <x v="0"/>
    <x v="2"/>
    <x v="12"/>
    <n v="715"/>
    <n v="53"/>
    <x v="1777"/>
  </r>
  <r>
    <x v="652"/>
    <s v="Евроопт"/>
    <x v="0"/>
    <x v="4"/>
    <x v="15"/>
    <n v="2460"/>
    <n v="24"/>
    <x v="1271"/>
  </r>
  <r>
    <x v="652"/>
    <s v="Копеечка"/>
    <x v="4"/>
    <x v="2"/>
    <x v="12"/>
    <n v="715"/>
    <n v="84"/>
    <x v="1778"/>
  </r>
  <r>
    <x v="652"/>
    <s v="Виталюр"/>
    <x v="4"/>
    <x v="0"/>
    <x v="17"/>
    <n v="2400"/>
    <n v="87"/>
    <x v="1779"/>
  </r>
  <r>
    <x v="652"/>
    <s v="Соседи"/>
    <x v="5"/>
    <x v="1"/>
    <x v="23"/>
    <n v="705"/>
    <n v="15"/>
    <x v="893"/>
  </r>
  <r>
    <x v="652"/>
    <s v="Копеечка"/>
    <x v="5"/>
    <x v="2"/>
    <x v="8"/>
    <n v="460"/>
    <n v="85"/>
    <x v="1780"/>
  </r>
  <r>
    <x v="652"/>
    <s v="Евроопт"/>
    <x v="5"/>
    <x v="2"/>
    <x v="12"/>
    <n v="715"/>
    <n v="32"/>
    <x v="350"/>
  </r>
  <r>
    <x v="652"/>
    <s v="Копеечка"/>
    <x v="5"/>
    <x v="0"/>
    <x v="22"/>
    <n v="1420"/>
    <n v="97"/>
    <x v="70"/>
  </r>
  <r>
    <x v="653"/>
    <m/>
    <x v="2"/>
    <x v="3"/>
    <x v="3"/>
    <m/>
    <m/>
    <x v="1781"/>
  </r>
  <r>
    <x v="654"/>
    <s v="Соседи"/>
    <x v="3"/>
    <x v="2"/>
    <x v="8"/>
    <n v="460"/>
    <n v="69"/>
    <x v="610"/>
  </r>
  <r>
    <x v="654"/>
    <s v="Соседи"/>
    <x v="0"/>
    <x v="1"/>
    <x v="6"/>
    <n v="640"/>
    <n v="24"/>
    <x v="1106"/>
  </r>
  <r>
    <x v="654"/>
    <s v="Евроопт"/>
    <x v="0"/>
    <x v="1"/>
    <x v="1"/>
    <n v="1380"/>
    <n v="61"/>
    <x v="390"/>
  </r>
  <r>
    <x v="654"/>
    <s v="Соседи"/>
    <x v="0"/>
    <x v="4"/>
    <x v="11"/>
    <n v="2970"/>
    <n v="42"/>
    <x v="580"/>
  </r>
  <r>
    <x v="654"/>
    <s v="Соседи"/>
    <x v="4"/>
    <x v="0"/>
    <x v="5"/>
    <n v="930"/>
    <n v="38"/>
    <x v="280"/>
  </r>
  <r>
    <x v="654"/>
    <s v="Виталюр"/>
    <x v="1"/>
    <x v="2"/>
    <x v="2"/>
    <n v="325"/>
    <n v="81"/>
    <x v="190"/>
  </r>
  <r>
    <x v="654"/>
    <s v="Копеечка"/>
    <x v="5"/>
    <x v="0"/>
    <x v="24"/>
    <n v="2540"/>
    <n v="43"/>
    <x v="1402"/>
  </r>
  <r>
    <x v="654"/>
    <s v="Соседи"/>
    <x v="5"/>
    <x v="4"/>
    <x v="14"/>
    <n v="1670"/>
    <n v="6"/>
    <x v="1033"/>
  </r>
  <r>
    <x v="654"/>
    <s v="Соседи"/>
    <x v="6"/>
    <x v="2"/>
    <x v="16"/>
    <n v="890"/>
    <n v="97"/>
    <x v="1020"/>
  </r>
  <r>
    <x v="654"/>
    <s v="Копеечка"/>
    <x v="6"/>
    <x v="2"/>
    <x v="12"/>
    <n v="715"/>
    <n v="51"/>
    <x v="395"/>
  </r>
  <r>
    <x v="654"/>
    <s v="Копеечка"/>
    <x v="6"/>
    <x v="2"/>
    <x v="16"/>
    <n v="890"/>
    <n v="40"/>
    <x v="877"/>
  </r>
  <r>
    <x v="655"/>
    <m/>
    <x v="2"/>
    <x v="3"/>
    <x v="3"/>
    <m/>
    <m/>
    <x v="1782"/>
  </r>
  <r>
    <x v="656"/>
    <s v="Виталюр"/>
    <x v="3"/>
    <x v="1"/>
    <x v="18"/>
    <n v="650"/>
    <n v="20"/>
    <x v="1455"/>
  </r>
  <r>
    <x v="656"/>
    <s v="Евроопт"/>
    <x v="3"/>
    <x v="1"/>
    <x v="6"/>
    <n v="640"/>
    <n v="96"/>
    <x v="1783"/>
  </r>
  <r>
    <x v="656"/>
    <s v="Виталюр"/>
    <x v="3"/>
    <x v="2"/>
    <x v="16"/>
    <n v="890"/>
    <n v="98"/>
    <x v="1784"/>
  </r>
  <r>
    <x v="656"/>
    <s v="Виталюр"/>
    <x v="3"/>
    <x v="2"/>
    <x v="4"/>
    <n v="450"/>
    <n v="40"/>
    <x v="1245"/>
  </r>
  <r>
    <x v="656"/>
    <s v="Евроопт"/>
    <x v="0"/>
    <x v="2"/>
    <x v="8"/>
    <n v="460"/>
    <n v="81"/>
    <x v="1"/>
  </r>
  <r>
    <x v="656"/>
    <s v="Копеечка"/>
    <x v="4"/>
    <x v="0"/>
    <x v="10"/>
    <n v="1230"/>
    <n v="81"/>
    <x v="373"/>
  </r>
  <r>
    <x v="656"/>
    <s v="Соседи"/>
    <x v="6"/>
    <x v="2"/>
    <x v="9"/>
    <n v="690"/>
    <n v="13"/>
    <x v="1011"/>
  </r>
  <r>
    <x v="657"/>
    <m/>
    <x v="2"/>
    <x v="3"/>
    <x v="3"/>
    <m/>
    <m/>
    <x v="1785"/>
  </r>
  <r>
    <x v="658"/>
    <s v="Евроопт"/>
    <x v="3"/>
    <x v="2"/>
    <x v="2"/>
    <n v="325"/>
    <n v="85"/>
    <x v="762"/>
  </r>
  <r>
    <x v="658"/>
    <s v="Соседи"/>
    <x v="3"/>
    <x v="2"/>
    <x v="2"/>
    <n v="325"/>
    <n v="5"/>
    <x v="611"/>
  </r>
  <r>
    <x v="658"/>
    <s v="Евроопт"/>
    <x v="3"/>
    <x v="0"/>
    <x v="24"/>
    <n v="2540"/>
    <n v="93"/>
    <x v="419"/>
  </r>
  <r>
    <x v="658"/>
    <s v="Соседи"/>
    <x v="3"/>
    <x v="4"/>
    <x v="11"/>
    <n v="2970"/>
    <n v="94"/>
    <x v="1786"/>
  </r>
  <r>
    <x v="658"/>
    <s v="Евроопт"/>
    <x v="3"/>
    <x v="4"/>
    <x v="14"/>
    <n v="1670"/>
    <n v="93"/>
    <x v="290"/>
  </r>
  <r>
    <x v="658"/>
    <s v="Евроопт"/>
    <x v="0"/>
    <x v="2"/>
    <x v="12"/>
    <n v="715"/>
    <n v="57"/>
    <x v="1787"/>
  </r>
  <r>
    <x v="658"/>
    <s v="Виталюр"/>
    <x v="0"/>
    <x v="2"/>
    <x v="9"/>
    <n v="690"/>
    <n v="61"/>
    <x v="941"/>
  </r>
  <r>
    <x v="658"/>
    <s v="Копеечка"/>
    <x v="0"/>
    <x v="2"/>
    <x v="9"/>
    <n v="690"/>
    <n v="81"/>
    <x v="567"/>
  </r>
  <r>
    <x v="658"/>
    <s v="Соседи"/>
    <x v="4"/>
    <x v="0"/>
    <x v="24"/>
    <n v="2540"/>
    <n v="28"/>
    <x v="1715"/>
  </r>
  <r>
    <x v="658"/>
    <s v="Виталюр"/>
    <x v="5"/>
    <x v="1"/>
    <x v="6"/>
    <n v="640"/>
    <n v="47"/>
    <x v="1788"/>
  </r>
  <r>
    <x v="658"/>
    <s v="Виталюр"/>
    <x v="5"/>
    <x v="1"/>
    <x v="1"/>
    <n v="1380"/>
    <n v="19"/>
    <x v="217"/>
  </r>
  <r>
    <x v="658"/>
    <s v="Евроопт"/>
    <x v="5"/>
    <x v="0"/>
    <x v="17"/>
    <n v="2400"/>
    <n v="17"/>
    <x v="1196"/>
  </r>
  <r>
    <x v="658"/>
    <s v="Копеечка"/>
    <x v="6"/>
    <x v="2"/>
    <x v="4"/>
    <n v="450"/>
    <n v="90"/>
    <x v="1789"/>
  </r>
  <r>
    <x v="658"/>
    <s v="Соседи"/>
    <x v="6"/>
    <x v="4"/>
    <x v="14"/>
    <n v="1670"/>
    <n v="37"/>
    <x v="265"/>
  </r>
  <r>
    <x v="659"/>
    <m/>
    <x v="2"/>
    <x v="3"/>
    <x v="3"/>
    <m/>
    <m/>
    <x v="1790"/>
  </r>
  <r>
    <x v="660"/>
    <s v="Копеечка"/>
    <x v="3"/>
    <x v="2"/>
    <x v="2"/>
    <n v="325"/>
    <n v="17"/>
    <x v="38"/>
  </r>
  <r>
    <x v="660"/>
    <s v="Соседи"/>
    <x v="3"/>
    <x v="0"/>
    <x v="0"/>
    <n v="1320"/>
    <n v="88"/>
    <x v="1276"/>
  </r>
  <r>
    <x v="660"/>
    <s v="Соседи"/>
    <x v="0"/>
    <x v="4"/>
    <x v="14"/>
    <n v="1670"/>
    <n v="99"/>
    <x v="293"/>
  </r>
  <r>
    <x v="660"/>
    <s v="Евроопт"/>
    <x v="4"/>
    <x v="2"/>
    <x v="2"/>
    <n v="325"/>
    <n v="55"/>
    <x v="149"/>
  </r>
  <r>
    <x v="660"/>
    <s v="Евроопт"/>
    <x v="4"/>
    <x v="4"/>
    <x v="13"/>
    <n v="1505"/>
    <n v="92"/>
    <x v="1400"/>
  </r>
  <r>
    <x v="660"/>
    <s v="Виталюр"/>
    <x v="5"/>
    <x v="1"/>
    <x v="20"/>
    <n v="650"/>
    <n v="88"/>
    <x v="83"/>
  </r>
  <r>
    <x v="660"/>
    <s v="Евроопт"/>
    <x v="5"/>
    <x v="1"/>
    <x v="1"/>
    <n v="1380"/>
    <n v="66"/>
    <x v="1299"/>
  </r>
  <r>
    <x v="660"/>
    <s v="Соседи"/>
    <x v="5"/>
    <x v="0"/>
    <x v="22"/>
    <n v="1420"/>
    <n v="22"/>
    <x v="1437"/>
  </r>
  <r>
    <x v="660"/>
    <s v="Копеечка"/>
    <x v="6"/>
    <x v="0"/>
    <x v="22"/>
    <n v="1420"/>
    <n v="6"/>
    <x v="1738"/>
  </r>
  <r>
    <x v="660"/>
    <s v="Виталюр"/>
    <x v="6"/>
    <x v="4"/>
    <x v="11"/>
    <n v="2970"/>
    <n v="94"/>
    <x v="1786"/>
  </r>
  <r>
    <x v="661"/>
    <m/>
    <x v="2"/>
    <x v="3"/>
    <x v="3"/>
    <m/>
    <m/>
    <x v="1791"/>
  </r>
  <r>
    <x v="662"/>
    <s v="Копеечка"/>
    <x v="3"/>
    <x v="1"/>
    <x v="19"/>
    <n v="540"/>
    <n v="56"/>
    <x v="1309"/>
  </r>
  <r>
    <x v="662"/>
    <s v="Копеечка"/>
    <x v="0"/>
    <x v="1"/>
    <x v="1"/>
    <n v="1380"/>
    <n v="61"/>
    <x v="390"/>
  </r>
  <r>
    <x v="662"/>
    <s v="Копеечка"/>
    <x v="4"/>
    <x v="1"/>
    <x v="19"/>
    <n v="540"/>
    <n v="5"/>
    <x v="412"/>
  </r>
  <r>
    <x v="662"/>
    <s v="Виталюр"/>
    <x v="1"/>
    <x v="2"/>
    <x v="8"/>
    <n v="460"/>
    <n v="34"/>
    <x v="681"/>
  </r>
  <r>
    <x v="662"/>
    <s v="Виталюр"/>
    <x v="1"/>
    <x v="2"/>
    <x v="9"/>
    <n v="690"/>
    <n v="56"/>
    <x v="471"/>
  </r>
  <r>
    <x v="662"/>
    <s v="Евроопт"/>
    <x v="1"/>
    <x v="2"/>
    <x v="4"/>
    <n v="450"/>
    <n v="50"/>
    <x v="106"/>
  </r>
  <r>
    <x v="662"/>
    <s v="Соседи"/>
    <x v="1"/>
    <x v="0"/>
    <x v="10"/>
    <n v="1230"/>
    <n v="33"/>
    <x v="233"/>
  </r>
  <r>
    <x v="662"/>
    <s v="Виталюр"/>
    <x v="1"/>
    <x v="4"/>
    <x v="15"/>
    <n v="2460"/>
    <n v="12"/>
    <x v="600"/>
  </r>
  <r>
    <x v="662"/>
    <s v="Евроопт"/>
    <x v="5"/>
    <x v="1"/>
    <x v="18"/>
    <n v="650"/>
    <n v="72"/>
    <x v="925"/>
  </r>
  <r>
    <x v="662"/>
    <s v="Виталюр"/>
    <x v="5"/>
    <x v="2"/>
    <x v="4"/>
    <n v="450"/>
    <n v="41"/>
    <x v="772"/>
  </r>
  <r>
    <x v="662"/>
    <s v="Виталюр"/>
    <x v="5"/>
    <x v="0"/>
    <x v="10"/>
    <n v="1230"/>
    <n v="80"/>
    <x v="549"/>
  </r>
  <r>
    <x v="662"/>
    <s v="Соседи"/>
    <x v="5"/>
    <x v="0"/>
    <x v="17"/>
    <n v="2400"/>
    <n v="71"/>
    <x v="1792"/>
  </r>
  <r>
    <x v="662"/>
    <s v="Виталюр"/>
    <x v="5"/>
    <x v="4"/>
    <x v="7"/>
    <n v="1760"/>
    <n v="54"/>
    <x v="1516"/>
  </r>
  <r>
    <x v="662"/>
    <s v="Соседи"/>
    <x v="6"/>
    <x v="1"/>
    <x v="23"/>
    <n v="705"/>
    <n v="95"/>
    <x v="90"/>
  </r>
  <r>
    <x v="662"/>
    <s v="Виталюр"/>
    <x v="6"/>
    <x v="0"/>
    <x v="0"/>
    <n v="1320"/>
    <n v="74"/>
    <x v="1483"/>
  </r>
  <r>
    <x v="663"/>
    <m/>
    <x v="2"/>
    <x v="3"/>
    <x v="3"/>
    <m/>
    <m/>
    <x v="1793"/>
  </r>
  <r>
    <x v="664"/>
    <s v="Соседи"/>
    <x v="0"/>
    <x v="1"/>
    <x v="18"/>
    <n v="650"/>
    <n v="6"/>
    <x v="342"/>
  </r>
  <r>
    <x v="664"/>
    <s v="Копеечка"/>
    <x v="0"/>
    <x v="1"/>
    <x v="19"/>
    <n v="540"/>
    <n v="97"/>
    <x v="282"/>
  </r>
  <r>
    <x v="664"/>
    <s v="Копеечка"/>
    <x v="0"/>
    <x v="2"/>
    <x v="12"/>
    <n v="715"/>
    <n v="91"/>
    <x v="298"/>
  </r>
  <r>
    <x v="664"/>
    <s v="Евроопт"/>
    <x v="0"/>
    <x v="2"/>
    <x v="4"/>
    <n v="450"/>
    <n v="14"/>
    <x v="1772"/>
  </r>
  <r>
    <x v="664"/>
    <s v="Виталюр"/>
    <x v="4"/>
    <x v="1"/>
    <x v="6"/>
    <n v="640"/>
    <n v="46"/>
    <x v="582"/>
  </r>
  <r>
    <x v="664"/>
    <s v="Соседи"/>
    <x v="4"/>
    <x v="4"/>
    <x v="21"/>
    <n v="3205"/>
    <n v="7"/>
    <x v="1794"/>
  </r>
  <r>
    <x v="664"/>
    <s v="Виталюр"/>
    <x v="1"/>
    <x v="2"/>
    <x v="16"/>
    <n v="890"/>
    <n v="76"/>
    <x v="1496"/>
  </r>
  <r>
    <x v="664"/>
    <s v="Соседи"/>
    <x v="1"/>
    <x v="0"/>
    <x v="5"/>
    <n v="930"/>
    <n v="36"/>
    <x v="206"/>
  </r>
  <r>
    <x v="664"/>
    <s v="Евроопт"/>
    <x v="5"/>
    <x v="2"/>
    <x v="9"/>
    <n v="690"/>
    <n v="15"/>
    <x v="9"/>
  </r>
  <r>
    <x v="664"/>
    <s v="Евроопт"/>
    <x v="5"/>
    <x v="4"/>
    <x v="21"/>
    <n v="3205"/>
    <n v="37"/>
    <x v="1795"/>
  </r>
  <r>
    <x v="664"/>
    <s v="Евроопт"/>
    <x v="5"/>
    <x v="4"/>
    <x v="11"/>
    <n v="2970"/>
    <n v="21"/>
    <x v="1796"/>
  </r>
  <r>
    <x v="664"/>
    <s v="Соседи"/>
    <x v="6"/>
    <x v="0"/>
    <x v="17"/>
    <n v="2400"/>
    <n v="29"/>
    <x v="748"/>
  </r>
  <r>
    <x v="665"/>
    <m/>
    <x v="2"/>
    <x v="3"/>
    <x v="3"/>
    <m/>
    <m/>
    <x v="1797"/>
  </r>
  <r>
    <x v="666"/>
    <s v="Соседи"/>
    <x v="3"/>
    <x v="0"/>
    <x v="10"/>
    <n v="1230"/>
    <n v="8"/>
    <x v="1156"/>
  </r>
  <r>
    <x v="666"/>
    <s v="Виталюр"/>
    <x v="3"/>
    <x v="4"/>
    <x v="13"/>
    <n v="1505"/>
    <n v="67"/>
    <x v="1065"/>
  </r>
  <r>
    <x v="666"/>
    <s v="Евроопт"/>
    <x v="0"/>
    <x v="0"/>
    <x v="22"/>
    <n v="1420"/>
    <n v="46"/>
    <x v="1172"/>
  </r>
  <r>
    <x v="666"/>
    <s v="Соседи"/>
    <x v="0"/>
    <x v="0"/>
    <x v="0"/>
    <n v="1320"/>
    <n v="67"/>
    <x v="1798"/>
  </r>
  <r>
    <x v="666"/>
    <s v="Евроопт"/>
    <x v="4"/>
    <x v="1"/>
    <x v="1"/>
    <n v="1380"/>
    <n v="85"/>
    <x v="806"/>
  </r>
  <r>
    <x v="666"/>
    <s v="Виталюр"/>
    <x v="4"/>
    <x v="2"/>
    <x v="9"/>
    <n v="690"/>
    <n v="34"/>
    <x v="450"/>
  </r>
  <r>
    <x v="666"/>
    <s v="Соседи"/>
    <x v="4"/>
    <x v="0"/>
    <x v="10"/>
    <n v="1230"/>
    <n v="30"/>
    <x v="1214"/>
  </r>
  <r>
    <x v="666"/>
    <s v="Копеечка"/>
    <x v="1"/>
    <x v="1"/>
    <x v="23"/>
    <n v="705"/>
    <n v="93"/>
    <x v="1770"/>
  </r>
  <r>
    <x v="666"/>
    <s v="Копеечка"/>
    <x v="5"/>
    <x v="0"/>
    <x v="24"/>
    <n v="2540"/>
    <n v="94"/>
    <x v="996"/>
  </r>
  <r>
    <x v="666"/>
    <s v="Соседи"/>
    <x v="5"/>
    <x v="4"/>
    <x v="15"/>
    <n v="2460"/>
    <n v="16"/>
    <x v="581"/>
  </r>
  <r>
    <x v="667"/>
    <m/>
    <x v="2"/>
    <x v="3"/>
    <x v="3"/>
    <m/>
    <m/>
    <x v="1799"/>
  </r>
  <r>
    <x v="668"/>
    <s v="Копеечка"/>
    <x v="3"/>
    <x v="0"/>
    <x v="10"/>
    <n v="1230"/>
    <n v="29"/>
    <x v="719"/>
  </r>
  <r>
    <x v="668"/>
    <s v="Копеечка"/>
    <x v="0"/>
    <x v="1"/>
    <x v="20"/>
    <n v="650"/>
    <n v="56"/>
    <x v="1800"/>
  </r>
  <r>
    <x v="668"/>
    <s v="Копеечка"/>
    <x v="1"/>
    <x v="4"/>
    <x v="15"/>
    <n v="2460"/>
    <n v="19"/>
    <x v="1491"/>
  </r>
  <r>
    <x v="668"/>
    <s v="Копеечка"/>
    <x v="5"/>
    <x v="4"/>
    <x v="15"/>
    <n v="2460"/>
    <n v="8"/>
    <x v="254"/>
  </r>
  <r>
    <x v="668"/>
    <s v="Евроопт"/>
    <x v="6"/>
    <x v="1"/>
    <x v="6"/>
    <n v="640"/>
    <n v="30"/>
    <x v="191"/>
  </r>
  <r>
    <x v="669"/>
    <m/>
    <x v="2"/>
    <x v="3"/>
    <x v="3"/>
    <m/>
    <m/>
    <x v="1801"/>
  </r>
  <r>
    <x v="670"/>
    <s v="Санта"/>
    <x v="0"/>
    <x v="1"/>
    <x v="23"/>
    <n v="7050"/>
    <n v="588"/>
    <x v="1802"/>
  </r>
  <r>
    <x v="671"/>
    <m/>
    <x v="2"/>
    <x v="3"/>
    <x v="3"/>
    <m/>
    <m/>
    <x v="1802"/>
  </r>
  <r>
    <x v="672"/>
    <m/>
    <x v="2"/>
    <x v="3"/>
    <x v="3"/>
    <m/>
    <m/>
    <x v="18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6">
  <r>
    <x v="0"/>
    <s v="Соседи"/>
    <s v="Борисов"/>
    <s v="Фрукты"/>
    <s v="Абрикосы"/>
    <n v="1320"/>
    <n v="189"/>
    <n v="249.48"/>
    <x v="0"/>
  </r>
  <r>
    <x v="0"/>
    <s v="Копеечка"/>
    <s v="Минск"/>
    <s v="Зелень"/>
    <s v="Салат айсберг"/>
    <n v="1380"/>
    <n v="27"/>
    <n v="37.26"/>
    <x v="0"/>
  </r>
  <r>
    <x v="0"/>
    <s v="Евроопт"/>
    <s v="Минск"/>
    <s v="Овощи"/>
    <s v="Кабачки"/>
    <n v="3250"/>
    <n v="20"/>
    <n v="65"/>
    <x v="0"/>
  </r>
  <r>
    <x v="1"/>
    <m/>
    <m/>
    <m/>
    <m/>
    <m/>
    <m/>
    <n v="351.74"/>
    <x v="1"/>
  </r>
  <r>
    <x v="2"/>
    <s v="Соседи"/>
    <s v="Барановичи"/>
    <s v="Овощи"/>
    <s v="Свекла"/>
    <n v="450"/>
    <n v="44"/>
    <n v="19.8"/>
    <x v="2"/>
  </r>
  <r>
    <x v="2"/>
    <s v="Виталюр"/>
    <s v="Барановичи"/>
    <s v="Фрукты"/>
    <s v="Сливы"/>
    <n v="930"/>
    <n v="86"/>
    <n v="79.98"/>
    <x v="2"/>
  </r>
  <r>
    <x v="2"/>
    <s v="Виталюр"/>
    <s v="Борисов"/>
    <s v="Зелень"/>
    <s v="Петрушка"/>
    <n v="640"/>
    <n v="72"/>
    <n v="46.08"/>
    <x v="2"/>
  </r>
  <r>
    <x v="2"/>
    <s v="Копеечка"/>
    <s v="Борисов"/>
    <s v="Ягоды"/>
    <s v="Черешня"/>
    <n v="1760"/>
    <n v="84"/>
    <n v="147.84"/>
    <x v="2"/>
  </r>
  <r>
    <x v="2"/>
    <s v="Виталюр"/>
    <s v="Жодино"/>
    <s v="Овощи"/>
    <s v="Капуста"/>
    <n v="460"/>
    <n v="83"/>
    <n v="38.18"/>
    <x v="2"/>
  </r>
  <r>
    <x v="2"/>
    <s v="Виталюр"/>
    <s v="Жодино"/>
    <s v="Овощи"/>
    <s v="Картофель"/>
    <n v="690"/>
    <n v="15"/>
    <n v="10.35"/>
    <x v="2"/>
  </r>
  <r>
    <x v="2"/>
    <s v="Виталюр"/>
    <s v="Жодино"/>
    <s v="Фрукты"/>
    <s v="Яблоки"/>
    <n v="1230"/>
    <n v="39"/>
    <n v="47.97"/>
    <x v="2"/>
  </r>
  <r>
    <x v="2"/>
    <s v="Виталюр"/>
    <s v="Жодино"/>
    <s v="Фрукты"/>
    <s v="Абрикосы"/>
    <n v="1320"/>
    <n v="32"/>
    <n v="42.24"/>
    <x v="2"/>
  </r>
  <r>
    <x v="2"/>
    <s v="Евроопт"/>
    <s v="Жодино"/>
    <s v="Ягоды"/>
    <s v="Малина"/>
    <n v="2970"/>
    <n v="20"/>
    <n v="59.4"/>
    <x v="2"/>
  </r>
  <r>
    <x v="2"/>
    <s v="Евроопт"/>
    <s v="Минск"/>
    <s v="Овощи"/>
    <s v="Морковь"/>
    <n v="715"/>
    <n v="14"/>
    <n v="10.01"/>
    <x v="2"/>
  </r>
  <r>
    <x v="2"/>
    <s v="Соседи"/>
    <s v="Минск"/>
    <s v="Ягоды"/>
    <s v="Смородина черная"/>
    <n v="1505"/>
    <n v="6"/>
    <n v="9.0299999999999994"/>
    <x v="2"/>
  </r>
  <r>
    <x v="2"/>
    <s v="Соседи"/>
    <s v="Столбцы"/>
    <s v="Зелень"/>
    <s v="Петрушка"/>
    <n v="640"/>
    <n v="65"/>
    <n v="41.6"/>
    <x v="2"/>
  </r>
  <r>
    <x v="2"/>
    <s v="Копеечка"/>
    <s v="Столбцы"/>
    <s v="Ягоды"/>
    <s v="Брусника"/>
    <n v="1670"/>
    <n v="49"/>
    <n v="81.83"/>
    <x v="2"/>
  </r>
  <r>
    <x v="2"/>
    <s v="Копеечка"/>
    <s v="Фаниполь"/>
    <s v="Овощи"/>
    <s v="Картофель"/>
    <n v="690"/>
    <n v="45"/>
    <n v="31.05"/>
    <x v="2"/>
  </r>
  <r>
    <x v="2"/>
    <s v="Евроопт"/>
    <s v="Фаниполь"/>
    <s v="Ягоды"/>
    <s v="Клубника"/>
    <n v="2460"/>
    <n v="58"/>
    <n v="142.68"/>
    <x v="2"/>
  </r>
  <r>
    <x v="3"/>
    <m/>
    <m/>
    <m/>
    <m/>
    <m/>
    <m/>
    <n v="808.04"/>
    <x v="2"/>
  </r>
  <r>
    <x v="4"/>
    <s v="Виталюр"/>
    <s v="Барановичи"/>
    <s v="Овощи"/>
    <s v="Свекла"/>
    <n v="450"/>
    <n v="96"/>
    <n v="43.2"/>
    <x v="2"/>
  </r>
  <r>
    <x v="4"/>
    <s v="Соседи"/>
    <s v="Барановичи"/>
    <s v="Овощи"/>
    <s v="Морковь"/>
    <n v="715"/>
    <n v="94"/>
    <n v="67.209999999999994"/>
    <x v="2"/>
  </r>
  <r>
    <x v="4"/>
    <s v="Евроопт"/>
    <s v="Барановичи"/>
    <s v="Овощи"/>
    <s v="Картофель"/>
    <n v="690"/>
    <n v="35"/>
    <n v="24.15"/>
    <x v="2"/>
  </r>
  <r>
    <x v="4"/>
    <s v="Виталюр"/>
    <s v="Барановичи"/>
    <s v="Овощи"/>
    <s v="Морковь"/>
    <n v="715"/>
    <n v="67"/>
    <n v="47.905000000000001"/>
    <x v="2"/>
  </r>
  <r>
    <x v="4"/>
    <s v="Копеечка"/>
    <s v="Борисов"/>
    <s v="Овощи"/>
    <s v="Картофель"/>
    <n v="690"/>
    <n v="9"/>
    <n v="6.21"/>
    <x v="2"/>
  </r>
  <r>
    <x v="4"/>
    <s v="Евроопт"/>
    <s v="Жодино"/>
    <s v="Овощи"/>
    <s v="Кабачки"/>
    <n v="325"/>
    <n v="21"/>
    <n v="6.8250000000000002"/>
    <x v="2"/>
  </r>
  <r>
    <x v="4"/>
    <s v="Копеечка"/>
    <s v="Жодино"/>
    <s v="Фрукты"/>
    <s v="Абрикосы"/>
    <n v="1320"/>
    <n v="54"/>
    <n v="71.28"/>
    <x v="2"/>
  </r>
  <r>
    <x v="4"/>
    <s v="Виталюр"/>
    <s v="Жодино"/>
    <s v="Ягоды"/>
    <s v="Смородина черная"/>
    <n v="1505"/>
    <n v="21"/>
    <n v="31.605"/>
    <x v="2"/>
  </r>
  <r>
    <x v="4"/>
    <s v="Копеечка"/>
    <s v="Столбцы"/>
    <s v="Овощи"/>
    <s v="Морковь"/>
    <n v="715"/>
    <n v="15"/>
    <n v="10.725"/>
    <x v="2"/>
  </r>
  <r>
    <x v="4"/>
    <s v="Евроопт"/>
    <s v="Фаниполь"/>
    <s v="Овощи"/>
    <s v="Баклажаны"/>
    <n v="890"/>
    <n v="26"/>
    <n v="23.14"/>
    <x v="2"/>
  </r>
  <r>
    <x v="4"/>
    <s v="Соседи"/>
    <s v="Фаниполь"/>
    <s v="Фрукты"/>
    <s v="Бананы"/>
    <n v="2400"/>
    <n v="33"/>
    <n v="79.2"/>
    <x v="2"/>
  </r>
  <r>
    <x v="5"/>
    <m/>
    <m/>
    <m/>
    <m/>
    <m/>
    <m/>
    <n v="411.45"/>
    <x v="2"/>
  </r>
  <r>
    <x v="6"/>
    <s v="Виталюр"/>
    <s v="Барановичи"/>
    <s v="Ягоды"/>
    <s v="Черешня"/>
    <n v="1760"/>
    <n v="59"/>
    <n v="103.84"/>
    <x v="2"/>
  </r>
  <r>
    <x v="6"/>
    <s v="Копеечка"/>
    <s v="Борисов"/>
    <s v="Овощи"/>
    <s v="Морковь"/>
    <n v="715"/>
    <n v="39"/>
    <n v="27.885000000000002"/>
    <x v="2"/>
  </r>
  <r>
    <x v="6"/>
    <s v="Евроопт"/>
    <s v="Борисов"/>
    <s v="Ягоды"/>
    <s v="Клубника"/>
    <n v="2460"/>
    <n v="67"/>
    <n v="164.82"/>
    <x v="2"/>
  </r>
  <r>
    <x v="6"/>
    <s v="Евроопт"/>
    <s v="Жодино"/>
    <s v="Овощи"/>
    <s v="Картофель"/>
    <n v="690"/>
    <n v="79"/>
    <n v="54.51"/>
    <x v="2"/>
  </r>
  <r>
    <x v="6"/>
    <s v="Виталюр"/>
    <s v="Жодино"/>
    <s v="Фрукты"/>
    <s v="Сливы"/>
    <n v="930"/>
    <n v="44"/>
    <n v="40.92"/>
    <x v="2"/>
  </r>
  <r>
    <x v="6"/>
    <s v="Соседи"/>
    <s v="Минск"/>
    <s v="Овощи"/>
    <s v="Морковь"/>
    <n v="715"/>
    <n v="75"/>
    <n v="53.625"/>
    <x v="2"/>
  </r>
  <r>
    <x v="6"/>
    <s v="Евроопт"/>
    <s v="Минск"/>
    <s v="Овощи"/>
    <s v="Кабачки"/>
    <n v="325"/>
    <n v="17"/>
    <n v="5.5250000000000004"/>
    <x v="2"/>
  </r>
  <r>
    <x v="6"/>
    <s v="Евроопт"/>
    <s v="Столбцы"/>
    <s v="Зелень"/>
    <s v="Кинза"/>
    <n v="650"/>
    <n v="85"/>
    <n v="55.25"/>
    <x v="2"/>
  </r>
  <r>
    <x v="6"/>
    <s v="Евроопт"/>
    <s v="Столбцы"/>
    <s v="Фрукты"/>
    <s v="Сливы"/>
    <n v="930"/>
    <n v="97"/>
    <n v="90.21"/>
    <x v="2"/>
  </r>
  <r>
    <x v="6"/>
    <s v="Копеечка"/>
    <s v="Столбцы"/>
    <s v="Ягоды"/>
    <s v="Малина"/>
    <n v="2970"/>
    <n v="80"/>
    <n v="237.6"/>
    <x v="2"/>
  </r>
  <r>
    <x v="6"/>
    <s v="Виталюр"/>
    <s v="Фаниполь"/>
    <s v="Овощи"/>
    <s v="Морковь"/>
    <n v="715"/>
    <n v="62"/>
    <n v="44.33"/>
    <x v="2"/>
  </r>
  <r>
    <x v="7"/>
    <m/>
    <m/>
    <m/>
    <m/>
    <m/>
    <m/>
    <n v="878.51499999999999"/>
    <x v="2"/>
  </r>
  <r>
    <x v="8"/>
    <s v="Евроопт"/>
    <s v="Барановичи"/>
    <s v="Зелень"/>
    <s v="Салат римский"/>
    <n v="540"/>
    <n v="73"/>
    <n v="39.42"/>
    <x v="2"/>
  </r>
  <r>
    <x v="8"/>
    <s v="Евроопт"/>
    <s v="Барановичи"/>
    <s v="Овощи"/>
    <s v="Кабачки"/>
    <n v="325"/>
    <n v="50"/>
    <n v="16.25"/>
    <x v="2"/>
  </r>
  <r>
    <x v="8"/>
    <s v="Копеечка"/>
    <s v="Жодино"/>
    <s v="Зелень"/>
    <s v="Укроп"/>
    <n v="650"/>
    <n v="29"/>
    <n v="18.850000000000001"/>
    <x v="2"/>
  </r>
  <r>
    <x v="8"/>
    <s v="Евроопт"/>
    <s v="Жодино"/>
    <s v="Овощи"/>
    <s v="Морковь"/>
    <n v="715"/>
    <n v="39"/>
    <n v="27.885000000000002"/>
    <x v="2"/>
  </r>
  <r>
    <x v="9"/>
    <m/>
    <m/>
    <m/>
    <m/>
    <m/>
    <m/>
    <n v="102.40500000000002"/>
    <x v="2"/>
  </r>
  <r>
    <x v="10"/>
    <s v="Евроопт"/>
    <s v="Борисов"/>
    <s v="Овощи"/>
    <s v="Баклажаны"/>
    <n v="890"/>
    <n v="25"/>
    <n v="22.25"/>
    <x v="2"/>
  </r>
  <r>
    <x v="10"/>
    <s v="Соседи"/>
    <s v="Борисов"/>
    <s v="Фрукты"/>
    <s v="Бананы"/>
    <n v="2400"/>
    <n v="35"/>
    <n v="84"/>
    <x v="2"/>
  </r>
  <r>
    <x v="10"/>
    <s v="Копеечка"/>
    <s v="Борисов"/>
    <s v="Ягоды"/>
    <s v="Голубика"/>
    <n v="3205"/>
    <n v="96"/>
    <n v="307.68"/>
    <x v="2"/>
  </r>
  <r>
    <x v="10"/>
    <s v="Евроопт"/>
    <s v="Жодино"/>
    <s v="Овощи"/>
    <s v="Капуста"/>
    <n v="460"/>
    <n v="24"/>
    <n v="11.04"/>
    <x v="2"/>
  </r>
  <r>
    <x v="10"/>
    <s v="Евроопт"/>
    <s v="Минск"/>
    <s v="Зелень"/>
    <s v="Салат римский"/>
    <n v="540"/>
    <n v="77"/>
    <n v="41.58"/>
    <x v="2"/>
  </r>
  <r>
    <x v="10"/>
    <s v="Евроопт"/>
    <s v="Минск"/>
    <s v="Зелень"/>
    <s v="Салат римский"/>
    <n v="540"/>
    <n v="11"/>
    <n v="5.94"/>
    <x v="2"/>
  </r>
  <r>
    <x v="10"/>
    <s v="Виталюр"/>
    <s v="Минск"/>
    <s v="Овощи"/>
    <s v="Баклажаны"/>
    <n v="890"/>
    <n v="75"/>
    <n v="66.75"/>
    <x v="2"/>
  </r>
  <r>
    <x v="10"/>
    <s v="Виталюр"/>
    <s v="Минск"/>
    <s v="Ягоды"/>
    <s v="Клубника"/>
    <n v="2460"/>
    <n v="100"/>
    <n v="246"/>
    <x v="2"/>
  </r>
  <r>
    <x v="10"/>
    <s v="Копеечка"/>
    <s v="Столбцы"/>
    <s v="Фрукты"/>
    <s v="Груши"/>
    <n v="1420"/>
    <n v="76"/>
    <n v="107.92"/>
    <x v="2"/>
  </r>
  <r>
    <x v="11"/>
    <m/>
    <m/>
    <m/>
    <m/>
    <m/>
    <m/>
    <n v="893.16"/>
    <x v="2"/>
  </r>
  <r>
    <x v="12"/>
    <s v="Виталюр"/>
    <s v="Барановичи"/>
    <s v="Зелень"/>
    <s v="Лук зеленый"/>
    <n v="705"/>
    <n v="33"/>
    <n v="23.265000000000001"/>
    <x v="2"/>
  </r>
  <r>
    <x v="12"/>
    <s v="Виталюр"/>
    <s v="Барановичи"/>
    <s v="Фрукты"/>
    <s v="Бананы"/>
    <n v="2400"/>
    <n v="67"/>
    <n v="160.80000000000001"/>
    <x v="2"/>
  </r>
  <r>
    <x v="12"/>
    <s v="Виталюр"/>
    <s v="Борисов"/>
    <s v="Зелень"/>
    <s v="Салат римский"/>
    <n v="540"/>
    <n v="68"/>
    <n v="36.72"/>
    <x v="2"/>
  </r>
  <r>
    <x v="12"/>
    <s v="Соседи"/>
    <s v="Жодино"/>
    <s v="Овощи"/>
    <s v="Свекла"/>
    <n v="450"/>
    <n v="20"/>
    <n v="9"/>
    <x v="2"/>
  </r>
  <r>
    <x v="12"/>
    <s v="Евроопт"/>
    <s v="Столбцы"/>
    <s v="Зелень"/>
    <s v="Салат римский"/>
    <n v="540"/>
    <n v="79"/>
    <n v="42.66"/>
    <x v="2"/>
  </r>
  <r>
    <x v="12"/>
    <s v="Виталюр"/>
    <s v="Столбцы"/>
    <s v="Ягоды"/>
    <s v="Черешня"/>
    <n v="1760"/>
    <n v="5"/>
    <n v="8.8000000000000007"/>
    <x v="2"/>
  </r>
  <r>
    <x v="12"/>
    <s v="Виталюр"/>
    <s v="Фаниполь"/>
    <s v="Овощи"/>
    <s v="Кабачки"/>
    <n v="325"/>
    <n v="67"/>
    <n v="21.774999999999999"/>
    <x v="2"/>
  </r>
  <r>
    <x v="12"/>
    <s v="Евроопт"/>
    <s v="Фаниполь"/>
    <s v="Фрукты"/>
    <s v="Сливы"/>
    <n v="930"/>
    <n v="26"/>
    <n v="24.18"/>
    <x v="2"/>
  </r>
  <r>
    <x v="13"/>
    <m/>
    <m/>
    <m/>
    <m/>
    <m/>
    <m/>
    <n v="327.2"/>
    <x v="2"/>
  </r>
  <r>
    <x v="14"/>
    <s v="Копеечка"/>
    <s v="Барановичи"/>
    <s v="Зелень"/>
    <s v="Петрушка"/>
    <n v="640"/>
    <n v="52"/>
    <n v="33.28"/>
    <x v="2"/>
  </r>
  <r>
    <x v="14"/>
    <s v="Евроопт"/>
    <s v="Борисов"/>
    <s v="Ягоды"/>
    <s v="Черешня"/>
    <n v="1760"/>
    <n v="40"/>
    <n v="70.400000000000006"/>
    <x v="2"/>
  </r>
  <r>
    <x v="14"/>
    <s v="Евроопт"/>
    <s v="Жодино"/>
    <s v="Овощи"/>
    <s v="Картофель"/>
    <n v="690"/>
    <n v="84"/>
    <n v="57.96"/>
    <x v="2"/>
  </r>
  <r>
    <x v="14"/>
    <s v="Виталюр"/>
    <s v="Жодино"/>
    <s v="Фрукты"/>
    <s v="Груши"/>
    <n v="1420"/>
    <n v="97"/>
    <n v="137.74"/>
    <x v="2"/>
  </r>
  <r>
    <x v="14"/>
    <s v="Евроопт"/>
    <s v="Жодино"/>
    <s v="Ягоды"/>
    <s v="Брусника"/>
    <n v="1670"/>
    <n v="84"/>
    <n v="140.28"/>
    <x v="2"/>
  </r>
  <r>
    <x v="14"/>
    <s v="Соседи"/>
    <s v="Жодино"/>
    <s v="Ягоды"/>
    <s v="Смородина черная"/>
    <n v="1505"/>
    <n v="20"/>
    <n v="30.1"/>
    <x v="2"/>
  </r>
  <r>
    <x v="14"/>
    <s v="Копеечка"/>
    <s v="Минск"/>
    <s v="Зелень"/>
    <s v="Укроп"/>
    <n v="650"/>
    <n v="11"/>
    <n v="7.15"/>
    <x v="2"/>
  </r>
  <r>
    <x v="14"/>
    <s v="Виталюр"/>
    <s v="Минск"/>
    <s v="Ягоды"/>
    <s v="Клубника"/>
    <n v="2460"/>
    <n v="70"/>
    <n v="172.2"/>
    <x v="2"/>
  </r>
  <r>
    <x v="14"/>
    <s v="Евроопт"/>
    <s v="Столбцы"/>
    <s v="Овощи"/>
    <s v="Картофель"/>
    <n v="690"/>
    <n v="14"/>
    <n v="9.66"/>
    <x v="2"/>
  </r>
  <r>
    <x v="14"/>
    <s v="Соседи"/>
    <s v="Столбцы"/>
    <s v="Фрукты"/>
    <s v="Абрикосы"/>
    <n v="1320"/>
    <n v="90"/>
    <n v="118.8"/>
    <x v="2"/>
  </r>
  <r>
    <x v="14"/>
    <s v="Виталюр"/>
    <s v="Столбцы"/>
    <s v="Фрукты"/>
    <s v="Бананы"/>
    <n v="2400"/>
    <n v="20"/>
    <n v="48"/>
    <x v="2"/>
  </r>
  <r>
    <x v="14"/>
    <s v="Соседи"/>
    <s v="Столбцы"/>
    <s v="Ягоды"/>
    <s v="Малина"/>
    <n v="2970"/>
    <n v="7"/>
    <n v="20.79"/>
    <x v="2"/>
  </r>
  <r>
    <x v="14"/>
    <s v="Евроопт"/>
    <s v="Фаниполь"/>
    <s v="Овощи"/>
    <s v="Морковь"/>
    <n v="715"/>
    <n v="87"/>
    <n v="62.204999999999998"/>
    <x v="2"/>
  </r>
  <r>
    <x v="15"/>
    <m/>
    <m/>
    <m/>
    <m/>
    <m/>
    <m/>
    <n v="908.56499999999983"/>
    <x v="2"/>
  </r>
  <r>
    <x v="16"/>
    <s v="Евроопт"/>
    <s v="Барановичи"/>
    <s v="Фрукты"/>
    <s v="Абрикосы"/>
    <n v="1320"/>
    <n v="25"/>
    <n v="33"/>
    <x v="2"/>
  </r>
  <r>
    <x v="16"/>
    <s v="Копеечка"/>
    <s v="Барановичи"/>
    <s v="Ягоды"/>
    <s v="Смородина черная"/>
    <n v="1505"/>
    <n v="89"/>
    <n v="133.94499999999999"/>
    <x v="2"/>
  </r>
  <r>
    <x v="16"/>
    <s v="Евроопт"/>
    <s v="Борисов"/>
    <s v="Зелень"/>
    <s v="Укроп"/>
    <n v="650"/>
    <n v="88"/>
    <n v="57.2"/>
    <x v="2"/>
  </r>
  <r>
    <x v="16"/>
    <s v="Виталюр"/>
    <s v="Минск"/>
    <s v="Фрукты"/>
    <s v="Абрикосы"/>
    <n v="1320"/>
    <n v="11"/>
    <n v="14.52"/>
    <x v="2"/>
  </r>
  <r>
    <x v="16"/>
    <s v="Евроопт"/>
    <s v="Столбцы"/>
    <s v="Зелень"/>
    <s v="Лук зеленый"/>
    <n v="705"/>
    <n v="90"/>
    <n v="63.45"/>
    <x v="2"/>
  </r>
  <r>
    <x v="16"/>
    <s v="Копеечка"/>
    <s v="Столбцы"/>
    <s v="Овощи"/>
    <s v="Капуста"/>
    <n v="460"/>
    <n v="43"/>
    <n v="19.78"/>
    <x v="2"/>
  </r>
  <r>
    <x v="16"/>
    <s v="Копеечка"/>
    <s v="Столбцы"/>
    <s v="Фрукты"/>
    <s v="Апельсины"/>
    <n v="2540"/>
    <n v="70"/>
    <n v="177.8"/>
    <x v="2"/>
  </r>
  <r>
    <x v="16"/>
    <s v="Евроопт"/>
    <s v="Фаниполь"/>
    <s v="Фрукты"/>
    <s v="Груши"/>
    <n v="1420"/>
    <n v="54"/>
    <n v="76.680000000000007"/>
    <x v="2"/>
  </r>
  <r>
    <x v="17"/>
    <m/>
    <m/>
    <m/>
    <m/>
    <m/>
    <m/>
    <n v="576.375"/>
    <x v="2"/>
  </r>
  <r>
    <x v="18"/>
    <s v="Виталюр"/>
    <s v="Барановичи"/>
    <s v="Зелень"/>
    <s v="Лук зеленый"/>
    <n v="705"/>
    <n v="95"/>
    <n v="66.974999999999994"/>
    <x v="2"/>
  </r>
  <r>
    <x v="18"/>
    <s v="Соседи"/>
    <s v="Барановичи"/>
    <s v="Ягоды"/>
    <s v="Смородина черная"/>
    <n v="1505"/>
    <n v="58"/>
    <n v="87.29"/>
    <x v="2"/>
  </r>
  <r>
    <x v="18"/>
    <s v="Евроопт"/>
    <s v="Борисов"/>
    <s v="Зелень"/>
    <s v="Салат айсберг"/>
    <n v="1380"/>
    <n v="71"/>
    <n v="97.98"/>
    <x v="2"/>
  </r>
  <r>
    <x v="18"/>
    <s v="Копеечка"/>
    <s v="Жодино"/>
    <s v="Зелень"/>
    <s v="Салат римский"/>
    <n v="540"/>
    <n v="15"/>
    <n v="8.1"/>
    <x v="2"/>
  </r>
  <r>
    <x v="18"/>
    <s v="Соседи"/>
    <s v="Столбцы"/>
    <s v="Фрукты"/>
    <s v="Абрикосы"/>
    <n v="1320"/>
    <n v="40"/>
    <n v="52.8"/>
    <x v="2"/>
  </r>
  <r>
    <x v="18"/>
    <s v="Копеечка"/>
    <s v="Столбцы"/>
    <s v="Ягоды"/>
    <s v="Черешня"/>
    <n v="1760"/>
    <n v="63"/>
    <n v="110.88"/>
    <x v="2"/>
  </r>
  <r>
    <x v="18"/>
    <s v="Соседи"/>
    <s v="Столбцы"/>
    <s v="Ягоды"/>
    <s v="Черешня"/>
    <n v="1760"/>
    <n v="97"/>
    <n v="170.72"/>
    <x v="2"/>
  </r>
  <r>
    <x v="18"/>
    <s v="Евроопт"/>
    <s v="Столбцы"/>
    <s v="Ягоды"/>
    <s v="Брусника"/>
    <n v="1670"/>
    <n v="27"/>
    <n v="45.09"/>
    <x v="2"/>
  </r>
  <r>
    <x v="18"/>
    <s v="Евроопт"/>
    <s v="Фаниполь"/>
    <s v="Фрукты"/>
    <s v="Апельсины"/>
    <n v="2540"/>
    <n v="75"/>
    <n v="190.5"/>
    <x v="2"/>
  </r>
  <r>
    <x v="18"/>
    <s v="Копеечка"/>
    <s v="Фаниполь"/>
    <s v="Фрукты"/>
    <s v="Сливы"/>
    <n v="930"/>
    <n v="60"/>
    <n v="55.8"/>
    <x v="2"/>
  </r>
  <r>
    <x v="19"/>
    <m/>
    <m/>
    <m/>
    <m/>
    <m/>
    <m/>
    <n v="886.13499999999999"/>
    <x v="2"/>
  </r>
  <r>
    <x v="20"/>
    <s v="Евроопт"/>
    <s v="Барановичи"/>
    <s v="Зелень"/>
    <s v="Лук зеленый"/>
    <n v="705"/>
    <n v="71"/>
    <n v="50.055"/>
    <x v="2"/>
  </r>
  <r>
    <x v="20"/>
    <s v="Копеечка"/>
    <s v="Барановичи"/>
    <s v="Ягоды"/>
    <s v="Брусника"/>
    <n v="1670"/>
    <n v="70"/>
    <n v="116.9"/>
    <x v="2"/>
  </r>
  <r>
    <x v="20"/>
    <s v="Виталюр"/>
    <s v="Борисов"/>
    <s v="Зелень"/>
    <s v="Петрушка"/>
    <n v="640"/>
    <n v="70"/>
    <n v="44.8"/>
    <x v="2"/>
  </r>
  <r>
    <x v="20"/>
    <s v="Копеечка"/>
    <s v="Борисов"/>
    <s v="Овощи"/>
    <s v="Морковь"/>
    <n v="715"/>
    <n v="34"/>
    <n v="24.31"/>
    <x v="2"/>
  </r>
  <r>
    <x v="20"/>
    <s v="Копеечка"/>
    <s v="Жодино"/>
    <s v="Ягоды"/>
    <s v="Смородина черная"/>
    <n v="1505"/>
    <n v="60"/>
    <n v="90.3"/>
    <x v="2"/>
  </r>
  <r>
    <x v="20"/>
    <s v="Копеечка"/>
    <s v="Минск"/>
    <s v="Овощи"/>
    <s v="Свекла"/>
    <n v="450"/>
    <n v="50"/>
    <n v="22.5"/>
    <x v="2"/>
  </r>
  <r>
    <x v="20"/>
    <s v="Соседи"/>
    <s v="Столбцы"/>
    <s v="Фрукты"/>
    <s v="Абрикосы"/>
    <n v="1320"/>
    <n v="96"/>
    <n v="126.72"/>
    <x v="2"/>
  </r>
  <r>
    <x v="20"/>
    <s v="Копеечка"/>
    <s v="Фаниполь"/>
    <s v="Ягоды"/>
    <s v="Клубника"/>
    <n v="2460"/>
    <n v="13"/>
    <n v="31.98"/>
    <x v="2"/>
  </r>
  <r>
    <x v="20"/>
    <s v="Соседи"/>
    <s v="Фаниполь"/>
    <s v="Ягоды"/>
    <s v="Голубика"/>
    <n v="3205"/>
    <n v="59"/>
    <n v="189.095"/>
    <x v="2"/>
  </r>
  <r>
    <x v="21"/>
    <m/>
    <m/>
    <m/>
    <m/>
    <m/>
    <m/>
    <n v="696.66000000000008"/>
    <x v="2"/>
  </r>
  <r>
    <x v="22"/>
    <s v="Соседи"/>
    <s v="Барановичи"/>
    <s v="Фрукты"/>
    <s v="Сливы"/>
    <n v="930"/>
    <n v="26"/>
    <n v="24.18"/>
    <x v="2"/>
  </r>
  <r>
    <x v="22"/>
    <s v="Соседи"/>
    <s v="Борисов"/>
    <s v="Фрукты"/>
    <s v="Бананы"/>
    <n v="2400"/>
    <n v="34"/>
    <n v="81.599999999999994"/>
    <x v="2"/>
  </r>
  <r>
    <x v="22"/>
    <s v="Копеечка"/>
    <s v="Борисов"/>
    <s v="Ягоды"/>
    <s v="Черешня"/>
    <n v="1760"/>
    <n v="38"/>
    <n v="66.88"/>
    <x v="2"/>
  </r>
  <r>
    <x v="22"/>
    <s v="Соседи"/>
    <s v="Жодино"/>
    <s v="Фрукты"/>
    <s v="Бананы"/>
    <n v="2400"/>
    <n v="91"/>
    <n v="218.4"/>
    <x v="2"/>
  </r>
  <r>
    <x v="22"/>
    <s v="Виталюр"/>
    <s v="Минск"/>
    <s v="Овощи"/>
    <s v="Капуста"/>
    <n v="460"/>
    <n v="26"/>
    <n v="11.96"/>
    <x v="2"/>
  </r>
  <r>
    <x v="22"/>
    <s v="Виталюр"/>
    <s v="Минск"/>
    <s v="Фрукты"/>
    <s v="Абрикосы"/>
    <n v="1320"/>
    <n v="71"/>
    <n v="93.72"/>
    <x v="2"/>
  </r>
  <r>
    <x v="22"/>
    <s v="Копеечка"/>
    <s v="Минск"/>
    <s v="Ягоды"/>
    <s v="Брусника"/>
    <n v="1670"/>
    <n v="70"/>
    <n v="116.9"/>
    <x v="2"/>
  </r>
  <r>
    <x v="22"/>
    <s v="Соседи"/>
    <s v="Столбцы"/>
    <s v="Овощи"/>
    <s v="Кабачки"/>
    <n v="325"/>
    <n v="25"/>
    <n v="8.125"/>
    <x v="2"/>
  </r>
  <r>
    <x v="22"/>
    <s v="Копеечка"/>
    <s v="Столбцы"/>
    <s v="Овощи"/>
    <s v="Баклажаны"/>
    <n v="890"/>
    <n v="31"/>
    <n v="27.59"/>
    <x v="2"/>
  </r>
  <r>
    <x v="22"/>
    <s v="Виталюр"/>
    <s v="Столбцы"/>
    <s v="Овощи"/>
    <s v="Баклажаны"/>
    <n v="890"/>
    <n v="7"/>
    <n v="6.23"/>
    <x v="2"/>
  </r>
  <r>
    <x v="23"/>
    <m/>
    <m/>
    <m/>
    <m/>
    <m/>
    <m/>
    <n v="655.58500000000004"/>
    <x v="2"/>
  </r>
  <r>
    <x v="24"/>
    <s v="Соседи"/>
    <s v="Барановичи"/>
    <s v="Фрукты"/>
    <s v="Сливы"/>
    <n v="930"/>
    <n v="22"/>
    <n v="20.46"/>
    <x v="2"/>
  </r>
  <r>
    <x v="24"/>
    <s v="Соседи"/>
    <s v="Барановичи"/>
    <s v="Фрукты"/>
    <s v="Абрикосы"/>
    <n v="1320"/>
    <n v="93"/>
    <n v="122.76"/>
    <x v="2"/>
  </r>
  <r>
    <x v="24"/>
    <s v="Виталюр"/>
    <s v="Барановичи"/>
    <s v="Ягоды"/>
    <s v="Брусника"/>
    <n v="1670"/>
    <n v="97"/>
    <n v="161.99"/>
    <x v="2"/>
  </r>
  <r>
    <x v="24"/>
    <s v="Соседи"/>
    <s v="Барановичи"/>
    <s v="Ягоды"/>
    <s v="Брусника"/>
    <n v="1670"/>
    <n v="27"/>
    <n v="45.09"/>
    <x v="2"/>
  </r>
  <r>
    <x v="24"/>
    <s v="Копеечка"/>
    <s v="Борисов"/>
    <s v="Ягоды"/>
    <s v="Малина"/>
    <n v="2970"/>
    <n v="55"/>
    <n v="163.35"/>
    <x v="2"/>
  </r>
  <r>
    <x v="24"/>
    <s v="Копеечка"/>
    <s v="Столбцы"/>
    <s v="Овощи"/>
    <s v="Свекла"/>
    <n v="450"/>
    <n v="74"/>
    <n v="33.299999999999997"/>
    <x v="2"/>
  </r>
  <r>
    <x v="24"/>
    <s v="Соседи"/>
    <s v="Столбцы"/>
    <s v="Фрукты"/>
    <s v="Абрикосы"/>
    <n v="1320"/>
    <n v="7"/>
    <n v="9.24"/>
    <x v="2"/>
  </r>
  <r>
    <x v="24"/>
    <s v="Виталюр"/>
    <s v="Столбцы"/>
    <s v="Ягоды"/>
    <s v="Голубика"/>
    <n v="3205"/>
    <n v="56"/>
    <n v="179.48"/>
    <x v="2"/>
  </r>
  <r>
    <x v="24"/>
    <s v="Виталюр"/>
    <s v="Фаниполь"/>
    <s v="Фрукты"/>
    <s v="Апельсины"/>
    <n v="2540"/>
    <n v="56"/>
    <n v="142.24"/>
    <x v="2"/>
  </r>
  <r>
    <x v="24"/>
    <s v="Копеечка"/>
    <s v="Борисов"/>
    <s v="Овощи"/>
    <s v="Картофель"/>
    <n v="690"/>
    <n v="29"/>
    <n v="20.010000000000002"/>
    <x v="2"/>
  </r>
  <r>
    <x v="25"/>
    <m/>
    <m/>
    <m/>
    <m/>
    <m/>
    <m/>
    <n v="897.92000000000007"/>
    <x v="2"/>
  </r>
  <r>
    <x v="26"/>
    <s v="Евроопт"/>
    <s v="Минск"/>
    <s v="Зелень"/>
    <s v="Лук зеленый"/>
    <n v="705"/>
    <n v="21"/>
    <n v="14.805"/>
    <x v="2"/>
  </r>
  <r>
    <x v="26"/>
    <s v="Евроопт"/>
    <s v="Минск"/>
    <s v="Фрукты"/>
    <s v="Яблоки"/>
    <n v="1230"/>
    <n v="22"/>
    <n v="27.06"/>
    <x v="2"/>
  </r>
  <r>
    <x v="26"/>
    <s v="Евроопт"/>
    <s v="Минск"/>
    <s v="Фрукты"/>
    <s v="Апельсины"/>
    <n v="2540"/>
    <n v="60"/>
    <n v="152.4"/>
    <x v="2"/>
  </r>
  <r>
    <x v="26"/>
    <s v="Соседи"/>
    <s v="Столбцы"/>
    <s v="Ягоды"/>
    <s v="Голубика"/>
    <n v="3205"/>
    <n v="54"/>
    <n v="173.07"/>
    <x v="2"/>
  </r>
  <r>
    <x v="26"/>
    <s v="Соседи"/>
    <s v="Борисов"/>
    <s v="Фрукты"/>
    <s v="Груши"/>
    <n v="1420"/>
    <n v="12"/>
    <n v="17.04"/>
    <x v="2"/>
  </r>
  <r>
    <x v="27"/>
    <m/>
    <m/>
    <m/>
    <m/>
    <m/>
    <m/>
    <n v="384.375"/>
    <x v="2"/>
  </r>
  <r>
    <x v="28"/>
    <s v="Соседи"/>
    <s v="Барановичи"/>
    <s v="Зелень"/>
    <s v="Салат римский"/>
    <n v="540"/>
    <n v="98"/>
    <n v="52.92"/>
    <x v="2"/>
  </r>
  <r>
    <x v="28"/>
    <s v="Виталюр"/>
    <s v="Борисов"/>
    <s v="Овощи"/>
    <s v="Баклажаны"/>
    <n v="890"/>
    <n v="74"/>
    <n v="65.86"/>
    <x v="2"/>
  </r>
  <r>
    <x v="28"/>
    <s v="Евроопт"/>
    <s v="Борисов"/>
    <s v="Овощи"/>
    <s v="Баклажаны"/>
    <n v="890"/>
    <n v="88"/>
    <n v="78.319999999999993"/>
    <x v="2"/>
  </r>
  <r>
    <x v="28"/>
    <s v="Копеечка"/>
    <s v="Борисов"/>
    <s v="Ягоды"/>
    <s v="Голубика"/>
    <n v="3205"/>
    <n v="94"/>
    <n v="301.27"/>
    <x v="2"/>
  </r>
  <r>
    <x v="28"/>
    <s v="Виталюр"/>
    <s v="Борисов"/>
    <s v="Ягоды"/>
    <s v="Брусника"/>
    <n v="1670"/>
    <n v="26"/>
    <n v="43.42"/>
    <x v="2"/>
  </r>
  <r>
    <x v="28"/>
    <s v="Соседи"/>
    <s v="Жодино"/>
    <s v="Овощи"/>
    <s v="Морковь"/>
    <n v="715"/>
    <n v="22"/>
    <n v="15.73"/>
    <x v="2"/>
  </r>
  <r>
    <x v="28"/>
    <s v="Виталюр"/>
    <s v="Жодино"/>
    <s v="Фрукты"/>
    <s v="Абрикосы"/>
    <n v="1320"/>
    <n v="41"/>
    <n v="54.12"/>
    <x v="2"/>
  </r>
  <r>
    <x v="28"/>
    <s v="Виталюр"/>
    <s v="Жодино"/>
    <s v="Фрукты"/>
    <s v="Сливы"/>
    <n v="930"/>
    <n v="50"/>
    <n v="46.5"/>
    <x v="2"/>
  </r>
  <r>
    <x v="28"/>
    <s v="Копеечка"/>
    <s v="Жодино"/>
    <s v="Ягоды"/>
    <s v="Смородина черная"/>
    <n v="1505"/>
    <n v="85"/>
    <n v="127.925"/>
    <x v="2"/>
  </r>
  <r>
    <x v="28"/>
    <s v="Копеечка"/>
    <s v="Минск"/>
    <s v="Овощи"/>
    <s v="Морковь"/>
    <n v="715"/>
    <n v="14"/>
    <n v="10.01"/>
    <x v="2"/>
  </r>
  <r>
    <x v="28"/>
    <s v="Евроопт"/>
    <s v="Минск"/>
    <s v="Фрукты"/>
    <s v="Бананы"/>
    <n v="2400"/>
    <n v="33"/>
    <n v="79.2"/>
    <x v="2"/>
  </r>
  <r>
    <x v="28"/>
    <s v="Копеечка"/>
    <s v="Минск"/>
    <s v="Фрукты"/>
    <s v="Апельсины"/>
    <n v="2540"/>
    <n v="12"/>
    <n v="30.48"/>
    <x v="2"/>
  </r>
  <r>
    <x v="28"/>
    <s v="Соседи"/>
    <s v="Минск"/>
    <s v="Фрукты"/>
    <s v="Сливы"/>
    <n v="930"/>
    <n v="88"/>
    <n v="81.84"/>
    <x v="2"/>
  </r>
  <r>
    <x v="28"/>
    <s v="Евроопт"/>
    <s v="Столбцы"/>
    <s v="Зелень"/>
    <s v="Салат айсберг"/>
    <n v="1380"/>
    <n v="43"/>
    <n v="59.34"/>
    <x v="2"/>
  </r>
  <r>
    <x v="28"/>
    <s v="Копеечка"/>
    <s v="Столбцы"/>
    <s v="Ягоды"/>
    <s v="Голубика"/>
    <n v="3205"/>
    <n v="54"/>
    <n v="173.07"/>
    <x v="2"/>
  </r>
  <r>
    <x v="28"/>
    <s v="Соседи"/>
    <s v="Фаниполь"/>
    <s v="Зелень"/>
    <s v="Салат римский"/>
    <n v="540"/>
    <n v="10"/>
    <n v="5.4"/>
    <x v="2"/>
  </r>
  <r>
    <x v="28"/>
    <s v="Виталюр"/>
    <s v="Фаниполь"/>
    <s v="Овощи"/>
    <s v="Кабачки"/>
    <n v="325"/>
    <n v="55"/>
    <n v="17.875"/>
    <x v="2"/>
  </r>
  <r>
    <x v="28"/>
    <s v="Виталюр"/>
    <s v="Фаниполь"/>
    <s v="Фрукты"/>
    <s v="Апельсины"/>
    <n v="2540"/>
    <n v="41"/>
    <n v="104.14"/>
    <x v="2"/>
  </r>
  <r>
    <x v="28"/>
    <s v="Копеечка"/>
    <s v="Борисов"/>
    <s v="Фрукты"/>
    <s v="Абрикосы"/>
    <n v="1320"/>
    <n v="31"/>
    <n v="40.92"/>
    <x v="2"/>
  </r>
  <r>
    <x v="29"/>
    <m/>
    <m/>
    <m/>
    <m/>
    <m/>
    <m/>
    <n v="1388.3400000000001"/>
    <x v="2"/>
  </r>
  <r>
    <x v="30"/>
    <s v="Копеечка"/>
    <s v="Барановичи"/>
    <s v="Зелень"/>
    <s v="Кинза"/>
    <n v="650"/>
    <n v="88"/>
    <n v="57.2"/>
    <x v="2"/>
  </r>
  <r>
    <x v="30"/>
    <s v="Соседи"/>
    <s v="Барановичи"/>
    <s v="Фрукты"/>
    <s v="Бананы"/>
    <n v="2400"/>
    <n v="51"/>
    <n v="122.4"/>
    <x v="2"/>
  </r>
  <r>
    <x v="30"/>
    <s v="Евроопт"/>
    <s v="Барановичи"/>
    <s v="Ягоды"/>
    <s v="Клубника"/>
    <n v="2460"/>
    <n v="90"/>
    <n v="221.4"/>
    <x v="2"/>
  </r>
  <r>
    <x v="30"/>
    <s v="Виталюр"/>
    <s v="Барановичи"/>
    <s v="Ягоды"/>
    <s v="Клубника"/>
    <n v="2460"/>
    <n v="6"/>
    <n v="14.76"/>
    <x v="2"/>
  </r>
  <r>
    <x v="30"/>
    <s v="Евроопт"/>
    <s v="Борисов"/>
    <s v="Зелень"/>
    <s v="Салат римский"/>
    <n v="540"/>
    <n v="26"/>
    <n v="14.04"/>
    <x v="2"/>
  </r>
  <r>
    <x v="30"/>
    <s v="Евроопт"/>
    <s v="Борисов"/>
    <s v="Овощи"/>
    <s v="Картофель"/>
    <n v="690"/>
    <n v="87"/>
    <n v="60.03"/>
    <x v="2"/>
  </r>
  <r>
    <x v="30"/>
    <s v="Соседи"/>
    <s v="Жодино"/>
    <s v="Зелень"/>
    <s v="Петрушка"/>
    <n v="640"/>
    <n v="26"/>
    <n v="16.64"/>
    <x v="2"/>
  </r>
  <r>
    <x v="30"/>
    <s v="Евроопт"/>
    <s v="Жодино"/>
    <s v="Зелень"/>
    <s v="Кинза"/>
    <n v="650"/>
    <n v="54"/>
    <n v="35.1"/>
    <x v="2"/>
  </r>
  <r>
    <x v="30"/>
    <s v="Виталюр"/>
    <s v="Жодино"/>
    <s v="Ягоды"/>
    <s v="Клубника"/>
    <n v="2460"/>
    <n v="56"/>
    <n v="137.76"/>
    <x v="2"/>
  </r>
  <r>
    <x v="30"/>
    <s v="Виталюр"/>
    <s v="Минск"/>
    <s v="Овощи"/>
    <s v="Картофель"/>
    <n v="690"/>
    <n v="24"/>
    <n v="16.559999999999999"/>
    <x v="2"/>
  </r>
  <r>
    <x v="30"/>
    <s v="Виталюр"/>
    <s v="Столбцы"/>
    <s v="Зелень"/>
    <s v="Кинза"/>
    <n v="650"/>
    <n v="71"/>
    <n v="46.15"/>
    <x v="2"/>
  </r>
  <r>
    <x v="30"/>
    <s v="Копеечка"/>
    <s v="Столбцы"/>
    <s v="Овощи"/>
    <s v="Свекла"/>
    <n v="450"/>
    <n v="22"/>
    <n v="9.9"/>
    <x v="2"/>
  </r>
  <r>
    <x v="30"/>
    <s v="Евроопт"/>
    <s v="Столбцы"/>
    <s v="Овощи"/>
    <s v="Кабачки"/>
    <n v="325"/>
    <n v="98"/>
    <n v="31.85"/>
    <x v="2"/>
  </r>
  <r>
    <x v="30"/>
    <s v="Евроопт"/>
    <s v="Столбцы"/>
    <s v="Ягоды"/>
    <s v="Голубика"/>
    <n v="3205"/>
    <n v="86"/>
    <n v="275.63"/>
    <x v="2"/>
  </r>
  <r>
    <x v="30"/>
    <s v="Евроопт"/>
    <s v="Столбцы"/>
    <s v="Ягоды"/>
    <s v="Голубика"/>
    <n v="3205"/>
    <n v="47"/>
    <n v="150.63499999999999"/>
    <x v="2"/>
  </r>
  <r>
    <x v="30"/>
    <s v="Виталюр"/>
    <s v="Столбцы"/>
    <s v="Ягоды"/>
    <s v="Малина"/>
    <n v="2970"/>
    <n v="28"/>
    <n v="83.16"/>
    <x v="2"/>
  </r>
  <r>
    <x v="30"/>
    <s v="Виталюр"/>
    <s v="Фаниполь"/>
    <s v="Зелень"/>
    <s v="Салат римский"/>
    <n v="540"/>
    <n v="34"/>
    <n v="18.36"/>
    <x v="2"/>
  </r>
  <r>
    <x v="30"/>
    <s v="Евроопт"/>
    <s v="Фаниполь"/>
    <s v="Ягоды"/>
    <s v="Клубника"/>
    <n v="2460"/>
    <n v="28"/>
    <n v="68.88"/>
    <x v="2"/>
  </r>
  <r>
    <x v="30"/>
    <s v="Евроопт"/>
    <s v="Фаниполь"/>
    <s v="Ягоды"/>
    <s v="Голубика"/>
    <n v="3205"/>
    <n v="90"/>
    <n v="288.45"/>
    <x v="2"/>
  </r>
  <r>
    <x v="30"/>
    <s v="Евроопт"/>
    <s v="Жодино"/>
    <s v="Зелень"/>
    <s v="Лук зеленый"/>
    <n v="705"/>
    <n v="12"/>
    <n v="8.4600000000000009"/>
    <x v="2"/>
  </r>
  <r>
    <x v="31"/>
    <m/>
    <m/>
    <m/>
    <m/>
    <m/>
    <m/>
    <n v="1677.365"/>
    <x v="2"/>
  </r>
  <r>
    <x v="32"/>
    <s v="Копеечка"/>
    <s v="Барановичи"/>
    <s v="Зелень"/>
    <s v="Петрушка"/>
    <n v="640"/>
    <n v="23"/>
    <n v="14.72"/>
    <x v="2"/>
  </r>
  <r>
    <x v="32"/>
    <s v="Евроопт"/>
    <s v="Барановичи"/>
    <s v="Овощи"/>
    <s v="Свекла"/>
    <n v="450"/>
    <n v="78"/>
    <n v="35.1"/>
    <x v="2"/>
  </r>
  <r>
    <x v="32"/>
    <s v="Евроопт"/>
    <s v="Борисов"/>
    <s v="Зелень"/>
    <s v="Кинза"/>
    <n v="650"/>
    <n v="58"/>
    <n v="37.700000000000003"/>
    <x v="2"/>
  </r>
  <r>
    <x v="32"/>
    <s v="Виталюр"/>
    <s v="Борисов"/>
    <s v="Зелень"/>
    <s v="Кинза"/>
    <n v="650"/>
    <n v="92"/>
    <n v="59.8"/>
    <x v="2"/>
  </r>
  <r>
    <x v="32"/>
    <s v="Копеечка"/>
    <s v="Борисов"/>
    <s v="Овощи"/>
    <s v="Свекла"/>
    <n v="450"/>
    <n v="91"/>
    <n v="40.950000000000003"/>
    <x v="2"/>
  </r>
  <r>
    <x v="32"/>
    <s v="Виталюр"/>
    <s v="Борисов"/>
    <s v="Ягоды"/>
    <s v="Черешня"/>
    <n v="1760"/>
    <n v="92"/>
    <n v="161.91999999999999"/>
    <x v="2"/>
  </r>
  <r>
    <x v="32"/>
    <s v="Евроопт"/>
    <s v="Борисов"/>
    <s v="Ягоды"/>
    <s v="Смородина черная"/>
    <n v="1505"/>
    <n v="14"/>
    <n v="21.07"/>
    <x v="2"/>
  </r>
  <r>
    <x v="32"/>
    <s v="Евроопт"/>
    <s v="Борисов"/>
    <s v="Ягоды"/>
    <s v="Брусника"/>
    <n v="1670"/>
    <n v="5"/>
    <n v="8.35"/>
    <x v="2"/>
  </r>
  <r>
    <x v="32"/>
    <s v="Евроопт"/>
    <s v="Жодино"/>
    <s v="Зелень"/>
    <s v="Лук зеленый"/>
    <n v="705"/>
    <n v="81"/>
    <n v="57.104999999999997"/>
    <x v="2"/>
  </r>
  <r>
    <x v="32"/>
    <s v="Соседи"/>
    <s v="Жодино"/>
    <s v="Зелень"/>
    <s v="Салат айсберг"/>
    <n v="1380"/>
    <n v="34"/>
    <n v="46.92"/>
    <x v="2"/>
  </r>
  <r>
    <x v="32"/>
    <s v="Евроопт"/>
    <s v="Жодино"/>
    <s v="Овощи"/>
    <s v="Свекла"/>
    <n v="450"/>
    <n v="9"/>
    <n v="4.05"/>
    <x v="2"/>
  </r>
  <r>
    <x v="32"/>
    <s v="Копеечка"/>
    <s v="Жодино"/>
    <s v="Фрукты"/>
    <s v="Абрикосы"/>
    <n v="1320"/>
    <n v="5"/>
    <n v="6.6"/>
    <x v="2"/>
  </r>
  <r>
    <x v="32"/>
    <s v="Копеечка"/>
    <s v="Жодино"/>
    <s v="Ягоды"/>
    <s v="Брусника"/>
    <n v="1670"/>
    <n v="63"/>
    <n v="105.21"/>
    <x v="2"/>
  </r>
  <r>
    <x v="32"/>
    <s v="Копеечка"/>
    <s v="Жодино"/>
    <s v="Ягоды"/>
    <s v="Черешня"/>
    <n v="1760"/>
    <n v="12"/>
    <n v="21.12"/>
    <x v="2"/>
  </r>
  <r>
    <x v="32"/>
    <s v="Соседи"/>
    <s v="Минск"/>
    <s v="Овощи"/>
    <s v="Морковь"/>
    <n v="715"/>
    <n v="64"/>
    <n v="45.76"/>
    <x v="2"/>
  </r>
  <r>
    <x v="32"/>
    <s v="Виталюр"/>
    <s v="Минск"/>
    <s v="Овощи"/>
    <s v="Баклажаны"/>
    <n v="890"/>
    <n v="84"/>
    <n v="74.760000000000005"/>
    <x v="2"/>
  </r>
  <r>
    <x v="32"/>
    <s v="Копеечка"/>
    <s v="Минск"/>
    <s v="Фрукты"/>
    <s v="Яблоки"/>
    <n v="1230"/>
    <n v="34"/>
    <n v="41.82"/>
    <x v="2"/>
  </r>
  <r>
    <x v="32"/>
    <s v="Виталюр"/>
    <s v="Минск"/>
    <s v="Ягоды"/>
    <s v="Малина"/>
    <n v="2970"/>
    <n v="74"/>
    <n v="219.78"/>
    <x v="2"/>
  </r>
  <r>
    <x v="32"/>
    <s v="Евроопт"/>
    <s v="Столбцы"/>
    <s v="Зелень"/>
    <s v="Кинза"/>
    <n v="650"/>
    <n v="42"/>
    <n v="27.3"/>
    <x v="2"/>
  </r>
  <r>
    <x v="32"/>
    <s v="Евроопт"/>
    <s v="Столбцы"/>
    <s v="Овощи"/>
    <s v="Кабачки"/>
    <n v="325"/>
    <n v="81"/>
    <n v="26.324999999999999"/>
    <x v="2"/>
  </r>
  <r>
    <x v="32"/>
    <s v="Евроопт"/>
    <s v="Столбцы"/>
    <s v="Фрукты"/>
    <s v="Бананы"/>
    <n v="2400"/>
    <n v="8"/>
    <n v="19.2"/>
    <x v="2"/>
  </r>
  <r>
    <x v="32"/>
    <s v="Виталюр"/>
    <s v="Столбцы"/>
    <s v="Ягоды"/>
    <s v="Малина"/>
    <n v="2970"/>
    <n v="28"/>
    <n v="83.16"/>
    <x v="2"/>
  </r>
  <r>
    <x v="32"/>
    <s v="Соседи"/>
    <s v="Столбцы"/>
    <s v="Ягоды"/>
    <s v="Голубика"/>
    <n v="3205"/>
    <n v="53"/>
    <n v="169.86500000000001"/>
    <x v="2"/>
  </r>
  <r>
    <x v="32"/>
    <s v="Копеечка"/>
    <s v="Фаниполь"/>
    <s v="Фрукты"/>
    <s v="Бананы"/>
    <n v="2400"/>
    <n v="16"/>
    <n v="38.4"/>
    <x v="2"/>
  </r>
  <r>
    <x v="32"/>
    <s v="Виталюр"/>
    <s v="Фаниполь"/>
    <s v="Фрукты"/>
    <s v="Яблоки"/>
    <n v="1230"/>
    <n v="66"/>
    <n v="81.180000000000007"/>
    <x v="2"/>
  </r>
  <r>
    <x v="32"/>
    <s v="Соседи"/>
    <s v="Фаниполь"/>
    <s v="Ягоды"/>
    <s v="Брусника"/>
    <n v="1670"/>
    <n v="72"/>
    <n v="120.24"/>
    <x v="2"/>
  </r>
  <r>
    <x v="32"/>
    <s v="Копеечка"/>
    <s v="Фаниполь"/>
    <s v="Ягоды"/>
    <s v="Малина"/>
    <n v="2970"/>
    <n v="81"/>
    <n v="240.57"/>
    <x v="2"/>
  </r>
  <r>
    <x v="32"/>
    <s v="Копеечка"/>
    <s v="Жодино"/>
    <s v="Овощи"/>
    <s v="Картофель"/>
    <n v="690"/>
    <n v="78"/>
    <n v="53.82"/>
    <x v="2"/>
  </r>
  <r>
    <x v="33"/>
    <m/>
    <m/>
    <m/>
    <m/>
    <m/>
    <m/>
    <n v="1862.7950000000003"/>
    <x v="2"/>
  </r>
  <r>
    <x v="34"/>
    <s v="Евроопт"/>
    <s v="Борисов"/>
    <s v="Зелень"/>
    <s v="Укроп"/>
    <n v="650"/>
    <n v="34"/>
    <n v="22.1"/>
    <x v="2"/>
  </r>
  <r>
    <x v="34"/>
    <s v="Евроопт"/>
    <s v="Борисов"/>
    <s v="Зелень"/>
    <s v="Салат римский"/>
    <n v="540"/>
    <n v="46"/>
    <n v="24.84"/>
    <x v="2"/>
  </r>
  <r>
    <x v="34"/>
    <s v="Соседи"/>
    <s v="Борисов"/>
    <s v="Ягоды"/>
    <s v="Голубика"/>
    <n v="3205"/>
    <n v="38"/>
    <n v="121.79"/>
    <x v="2"/>
  </r>
  <r>
    <x v="34"/>
    <s v="Копеечка"/>
    <s v="Жодино"/>
    <s v="Зелень"/>
    <s v="Салат римский"/>
    <n v="540"/>
    <n v="32"/>
    <n v="17.28"/>
    <x v="2"/>
  </r>
  <r>
    <x v="34"/>
    <s v="Соседи"/>
    <s v="Жодино"/>
    <s v="Ягоды"/>
    <s v="Черешня"/>
    <n v="1760"/>
    <n v="36"/>
    <n v="63.36"/>
    <x v="2"/>
  </r>
  <r>
    <x v="34"/>
    <s v="Виталюр"/>
    <s v="Жодино"/>
    <s v="Ягоды"/>
    <s v="Клубника"/>
    <n v="2460"/>
    <n v="95"/>
    <n v="233.7"/>
    <x v="2"/>
  </r>
  <r>
    <x v="34"/>
    <s v="Виталюр"/>
    <s v="Минск"/>
    <s v="Зелень"/>
    <s v="Лук зеленый"/>
    <n v="705"/>
    <n v="57"/>
    <n v="40.185000000000002"/>
    <x v="2"/>
  </r>
  <r>
    <x v="34"/>
    <s v="Копеечка"/>
    <s v="Минск"/>
    <s v="Фрукты"/>
    <s v="Сливы"/>
    <n v="930"/>
    <n v="36"/>
    <n v="33.479999999999997"/>
    <x v="2"/>
  </r>
  <r>
    <x v="34"/>
    <s v="Виталюр"/>
    <s v="Столбцы"/>
    <s v="Фрукты"/>
    <s v="Апельсины"/>
    <n v="2540"/>
    <n v="55"/>
    <n v="139.69999999999999"/>
    <x v="2"/>
  </r>
  <r>
    <x v="34"/>
    <s v="Евроопт"/>
    <s v="Столбцы"/>
    <s v="Фрукты"/>
    <s v="Апельсины"/>
    <n v="2540"/>
    <n v="7"/>
    <n v="17.78"/>
    <x v="2"/>
  </r>
  <r>
    <x v="34"/>
    <s v="Виталюр"/>
    <s v="Столбцы"/>
    <s v="Ягоды"/>
    <s v="Смородина черная"/>
    <n v="1505"/>
    <n v="90"/>
    <n v="135.44999999999999"/>
    <x v="2"/>
  </r>
  <r>
    <x v="34"/>
    <s v="Виталюр"/>
    <s v="Фаниполь"/>
    <s v="Овощи"/>
    <s v="Картофель"/>
    <n v="690"/>
    <n v="96"/>
    <n v="66.239999999999995"/>
    <x v="2"/>
  </r>
  <r>
    <x v="34"/>
    <s v="Евроопт"/>
    <s v="Фаниполь"/>
    <s v="Овощи"/>
    <s v="Морковь"/>
    <n v="715"/>
    <n v="73"/>
    <n v="52.195"/>
    <x v="2"/>
  </r>
  <r>
    <x v="34"/>
    <s v="Соседи"/>
    <s v="Фаниполь"/>
    <s v="Фрукты"/>
    <s v="Сливы"/>
    <n v="930"/>
    <n v="25"/>
    <n v="23.25"/>
    <x v="2"/>
  </r>
  <r>
    <x v="34"/>
    <s v="Евроопт"/>
    <s v="Жодино"/>
    <s v="Ягоды"/>
    <s v="Смородина черная"/>
    <n v="1505"/>
    <n v="25"/>
    <n v="37.625"/>
    <x v="2"/>
  </r>
  <r>
    <x v="35"/>
    <m/>
    <m/>
    <m/>
    <m/>
    <m/>
    <m/>
    <n v="1028.9749999999999"/>
    <x v="2"/>
  </r>
  <r>
    <x v="36"/>
    <s v="Копеечка"/>
    <s v="Барановичи"/>
    <s v="Зелень"/>
    <s v="Салат айсберг"/>
    <n v="1380"/>
    <n v="29"/>
    <n v="40.020000000000003"/>
    <x v="2"/>
  </r>
  <r>
    <x v="36"/>
    <s v="Виталюр"/>
    <s v="Барановичи"/>
    <s v="Фрукты"/>
    <s v="Груши"/>
    <n v="1420"/>
    <n v="84"/>
    <n v="119.28"/>
    <x v="2"/>
  </r>
  <r>
    <x v="36"/>
    <s v="Соседи"/>
    <s v="Борисов"/>
    <s v="Зелень"/>
    <s v="Салат айсберг"/>
    <n v="1380"/>
    <n v="19"/>
    <n v="26.22"/>
    <x v="2"/>
  </r>
  <r>
    <x v="36"/>
    <s v="Виталюр"/>
    <s v="Борисов"/>
    <s v="Овощи"/>
    <s v="Баклажаны"/>
    <n v="890"/>
    <n v="65"/>
    <n v="57.85"/>
    <x v="2"/>
  </r>
  <r>
    <x v="36"/>
    <s v="Евроопт"/>
    <s v="Борисов"/>
    <s v="Фрукты"/>
    <s v="Груши"/>
    <n v="1420"/>
    <n v="55"/>
    <n v="78.099999999999994"/>
    <x v="2"/>
  </r>
  <r>
    <x v="36"/>
    <s v="Евроопт"/>
    <s v="Борисов"/>
    <s v="Ягоды"/>
    <s v="Голубика"/>
    <n v="3205"/>
    <n v="5"/>
    <n v="16.024999999999999"/>
    <x v="2"/>
  </r>
  <r>
    <x v="36"/>
    <s v="Копеечка"/>
    <s v="Жодино"/>
    <s v="Зелень"/>
    <s v="Кинза"/>
    <n v="650"/>
    <n v="29"/>
    <n v="18.850000000000001"/>
    <x v="2"/>
  </r>
  <r>
    <x v="36"/>
    <s v="Евроопт"/>
    <s v="Жодино"/>
    <s v="Зелень"/>
    <s v="Салат римский"/>
    <n v="540"/>
    <n v="79"/>
    <n v="42.66"/>
    <x v="2"/>
  </r>
  <r>
    <x v="36"/>
    <s v="Копеечка"/>
    <s v="Жодино"/>
    <s v="Зелень"/>
    <s v="Кинза"/>
    <n v="650"/>
    <n v="99"/>
    <n v="64.349999999999994"/>
    <x v="2"/>
  </r>
  <r>
    <x v="36"/>
    <s v="Копеечка"/>
    <s v="Жодино"/>
    <s v="Зелень"/>
    <s v="Петрушка"/>
    <n v="640"/>
    <n v="79"/>
    <n v="50.56"/>
    <x v="2"/>
  </r>
  <r>
    <x v="36"/>
    <s v="Евроопт"/>
    <s v="Жодино"/>
    <s v="Овощи"/>
    <s v="Морковь"/>
    <n v="715"/>
    <n v="16"/>
    <n v="11.44"/>
    <x v="2"/>
  </r>
  <r>
    <x v="36"/>
    <s v="Евроопт"/>
    <s v="Жодино"/>
    <s v="Фрукты"/>
    <s v="Сливы"/>
    <n v="930"/>
    <n v="46"/>
    <n v="42.78"/>
    <x v="2"/>
  </r>
  <r>
    <x v="36"/>
    <s v="Соседи"/>
    <s v="Жодино"/>
    <s v="Ягоды"/>
    <s v="Брусника"/>
    <n v="1670"/>
    <n v="13"/>
    <n v="21.71"/>
    <x v="2"/>
  </r>
  <r>
    <x v="36"/>
    <s v="Копеечка"/>
    <s v="Минск"/>
    <s v="Зелень"/>
    <s v="Кинза"/>
    <n v="650"/>
    <n v="90"/>
    <n v="58.5"/>
    <x v="2"/>
  </r>
  <r>
    <x v="36"/>
    <s v="Соседи"/>
    <s v="Минск"/>
    <s v="Зелень"/>
    <s v="Салат римский"/>
    <n v="540"/>
    <n v="55"/>
    <n v="29.7"/>
    <x v="2"/>
  </r>
  <r>
    <x v="36"/>
    <s v="Копеечка"/>
    <s v="Минск"/>
    <s v="Овощи"/>
    <s v="Картофель"/>
    <n v="690"/>
    <n v="51"/>
    <n v="35.19"/>
    <x v="2"/>
  </r>
  <r>
    <x v="36"/>
    <s v="Евроопт"/>
    <s v="Минск"/>
    <s v="Овощи"/>
    <s v="Кабачки"/>
    <n v="325"/>
    <n v="59"/>
    <n v="19.175000000000001"/>
    <x v="2"/>
  </r>
  <r>
    <x v="36"/>
    <s v="Евроопт"/>
    <s v="Столбцы"/>
    <s v="Овощи"/>
    <s v="Свекла"/>
    <n v="450"/>
    <n v="47"/>
    <n v="21.15"/>
    <x v="2"/>
  </r>
  <r>
    <x v="36"/>
    <s v="Евроопт"/>
    <s v="Столбцы"/>
    <s v="Ягоды"/>
    <s v="Голубика"/>
    <n v="3205"/>
    <n v="82"/>
    <n v="262.81"/>
    <x v="2"/>
  </r>
  <r>
    <x v="36"/>
    <s v="Соседи"/>
    <s v="Фаниполь"/>
    <s v="Зелень"/>
    <s v="Петрушка"/>
    <n v="640"/>
    <n v="33"/>
    <n v="21.12"/>
    <x v="2"/>
  </r>
  <r>
    <x v="36"/>
    <s v="Копеечка"/>
    <s v="Фаниполь"/>
    <s v="Зелень"/>
    <s v="Салат айсберг"/>
    <n v="1380"/>
    <n v="34"/>
    <n v="46.92"/>
    <x v="2"/>
  </r>
  <r>
    <x v="36"/>
    <s v="Виталюр"/>
    <s v="Фаниполь"/>
    <s v="Фрукты"/>
    <s v="Сливы"/>
    <n v="930"/>
    <n v="46"/>
    <n v="42.78"/>
    <x v="2"/>
  </r>
  <r>
    <x v="36"/>
    <s v="Евроопт"/>
    <s v="Фаниполь"/>
    <s v="Фрукты"/>
    <s v="Груши"/>
    <n v="1420"/>
    <n v="75"/>
    <n v="106.5"/>
    <x v="2"/>
  </r>
  <r>
    <x v="36"/>
    <s v="Евроопт"/>
    <s v="Фаниполь"/>
    <s v="Фрукты"/>
    <s v="Абрикосы"/>
    <n v="1320"/>
    <n v="90"/>
    <n v="118.8"/>
    <x v="2"/>
  </r>
  <r>
    <x v="36"/>
    <s v="Копеечка"/>
    <s v="Фаниполь"/>
    <s v="Фрукты"/>
    <s v="Яблоки"/>
    <n v="1230"/>
    <n v="33"/>
    <n v="40.590000000000003"/>
    <x v="2"/>
  </r>
  <r>
    <x v="36"/>
    <s v="Соседи"/>
    <s v="Фаниполь"/>
    <s v="Ягоды"/>
    <s v="Черешня"/>
    <n v="1760"/>
    <n v="80"/>
    <n v="140.80000000000001"/>
    <x v="2"/>
  </r>
  <r>
    <x v="36"/>
    <s v="Соседи"/>
    <s v="Жодино"/>
    <s v="Ягоды"/>
    <s v="Смородина черная"/>
    <n v="1505"/>
    <n v="53"/>
    <n v="79.765000000000001"/>
    <x v="2"/>
  </r>
  <r>
    <x v="37"/>
    <m/>
    <m/>
    <m/>
    <m/>
    <m/>
    <m/>
    <n v="1613.645"/>
    <x v="2"/>
  </r>
  <r>
    <x v="38"/>
    <s v="Евроопт"/>
    <s v="Барановичи"/>
    <s v="Зелень"/>
    <s v="Укроп"/>
    <n v="650"/>
    <n v="32"/>
    <n v="20.8"/>
    <x v="2"/>
  </r>
  <r>
    <x v="38"/>
    <s v="Виталюр"/>
    <s v="Борисов"/>
    <s v="Ягоды"/>
    <s v="Смородина черная"/>
    <n v="1505"/>
    <n v="55"/>
    <n v="82.775000000000006"/>
    <x v="2"/>
  </r>
  <r>
    <x v="38"/>
    <s v="Соседи"/>
    <s v="Жодино"/>
    <s v="Овощи"/>
    <s v="Капуста"/>
    <n v="460"/>
    <n v="58"/>
    <n v="26.68"/>
    <x v="2"/>
  </r>
  <r>
    <x v="38"/>
    <s v="Соседи"/>
    <s v="Минск"/>
    <s v="Овощи"/>
    <s v="Морковь"/>
    <n v="715"/>
    <n v="79"/>
    <n v="56.484999999999999"/>
    <x v="2"/>
  </r>
  <r>
    <x v="38"/>
    <s v="Виталюр"/>
    <s v="Минск"/>
    <s v="Овощи"/>
    <s v="Капуста"/>
    <n v="460"/>
    <n v="12"/>
    <n v="5.52"/>
    <x v="2"/>
  </r>
  <r>
    <x v="38"/>
    <s v="Копеечка"/>
    <s v="Минск"/>
    <s v="Фрукты"/>
    <s v="Бананы"/>
    <n v="2400"/>
    <n v="12"/>
    <n v="28.8"/>
    <x v="2"/>
  </r>
  <r>
    <x v="38"/>
    <s v="Копеечка"/>
    <s v="Минск"/>
    <s v="Ягоды"/>
    <s v="Малина"/>
    <n v="2970"/>
    <n v="56"/>
    <n v="166.32"/>
    <x v="2"/>
  </r>
  <r>
    <x v="38"/>
    <s v="Евроопт"/>
    <s v="Столбцы"/>
    <s v="Овощи"/>
    <s v="Картофель"/>
    <n v="690"/>
    <n v="12"/>
    <n v="8.2799999999999994"/>
    <x v="2"/>
  </r>
  <r>
    <x v="38"/>
    <s v="Виталюр"/>
    <s v="Столбцы"/>
    <s v="Овощи"/>
    <s v="Свекла"/>
    <n v="450"/>
    <n v="36"/>
    <n v="16.2"/>
    <x v="2"/>
  </r>
  <r>
    <x v="38"/>
    <s v="Копеечка"/>
    <s v="Столбцы"/>
    <s v="Ягоды"/>
    <s v="Малина"/>
    <n v="2970"/>
    <n v="53"/>
    <n v="157.41"/>
    <x v="2"/>
  </r>
  <r>
    <x v="38"/>
    <s v="Копеечка"/>
    <s v="Фаниполь"/>
    <s v="Зелень"/>
    <s v="Кинза"/>
    <n v="650"/>
    <n v="90"/>
    <n v="58.5"/>
    <x v="2"/>
  </r>
  <r>
    <x v="38"/>
    <s v="Виталюр"/>
    <s v="Фаниполь"/>
    <s v="Фрукты"/>
    <s v="Яблоки"/>
    <n v="1230"/>
    <n v="54"/>
    <n v="66.42"/>
    <x v="2"/>
  </r>
  <r>
    <x v="38"/>
    <s v="Виталюр"/>
    <s v="Борисов"/>
    <s v="Зелень"/>
    <s v="Лук зеленый"/>
    <n v="705"/>
    <n v="54"/>
    <n v="38.07"/>
    <x v="2"/>
  </r>
  <r>
    <x v="38"/>
    <s v="Соседи"/>
    <s v="Жодино"/>
    <s v="Ягоды"/>
    <s v="Малина"/>
    <n v="2970"/>
    <n v="17"/>
    <n v="50.49"/>
    <x v="2"/>
  </r>
  <r>
    <x v="39"/>
    <m/>
    <m/>
    <m/>
    <m/>
    <m/>
    <m/>
    <n v="782.75"/>
    <x v="2"/>
  </r>
  <r>
    <x v="40"/>
    <s v="Соседи"/>
    <s v="Барановичи"/>
    <s v="Зелень"/>
    <s v="Лук зеленый"/>
    <n v="705"/>
    <n v="89"/>
    <n v="62.744999999999997"/>
    <x v="2"/>
  </r>
  <r>
    <x v="40"/>
    <s v="Евроопт"/>
    <s v="Барановичи"/>
    <s v="Фрукты"/>
    <s v="Груши"/>
    <n v="1420"/>
    <n v="81"/>
    <n v="115.02"/>
    <x v="2"/>
  </r>
  <r>
    <x v="40"/>
    <s v="Виталюр"/>
    <s v="Барановичи"/>
    <s v="Фрукты"/>
    <s v="Абрикосы"/>
    <n v="1320"/>
    <n v="5"/>
    <n v="6.6"/>
    <x v="2"/>
  </r>
  <r>
    <x v="40"/>
    <s v="Соседи"/>
    <s v="Борисов"/>
    <s v="Зелень"/>
    <s v="Салат римский"/>
    <n v="540"/>
    <n v="46"/>
    <n v="24.84"/>
    <x v="2"/>
  </r>
  <r>
    <x v="40"/>
    <s v="Виталюр"/>
    <s v="Борисов"/>
    <s v="Овощи"/>
    <s v="Капуста"/>
    <n v="460"/>
    <n v="48"/>
    <n v="22.08"/>
    <x v="2"/>
  </r>
  <r>
    <x v="40"/>
    <s v="Соседи"/>
    <s v="Борисов"/>
    <s v="Фрукты"/>
    <s v="Яблоки"/>
    <n v="1230"/>
    <n v="16"/>
    <n v="19.68"/>
    <x v="2"/>
  </r>
  <r>
    <x v="40"/>
    <s v="Виталюр"/>
    <s v="Борисов"/>
    <s v="Ягоды"/>
    <s v="Голубика"/>
    <n v="3205"/>
    <n v="30"/>
    <n v="96.15"/>
    <x v="2"/>
  </r>
  <r>
    <x v="40"/>
    <s v="Соседи"/>
    <s v="Жодино"/>
    <s v="Овощи"/>
    <s v="Картофель"/>
    <n v="690"/>
    <n v="49"/>
    <n v="33.81"/>
    <x v="2"/>
  </r>
  <r>
    <x v="40"/>
    <s v="Евроопт"/>
    <s v="Жодино"/>
    <s v="Фрукты"/>
    <s v="Бананы"/>
    <n v="2400"/>
    <n v="11"/>
    <n v="26.4"/>
    <x v="2"/>
  </r>
  <r>
    <x v="40"/>
    <s v="Копеечка"/>
    <s v="Жодино"/>
    <s v="Ягоды"/>
    <s v="Малина"/>
    <n v="2970"/>
    <n v="70"/>
    <n v="207.9"/>
    <x v="2"/>
  </r>
  <r>
    <x v="40"/>
    <s v="Евроопт"/>
    <s v="Минск"/>
    <s v="Ягоды"/>
    <s v="Голубика"/>
    <n v="3205"/>
    <n v="97"/>
    <n v="310.88499999999999"/>
    <x v="2"/>
  </r>
  <r>
    <x v="40"/>
    <s v="Виталюр"/>
    <s v="Столбцы"/>
    <s v="Зелень"/>
    <s v="Лук зеленый"/>
    <n v="705"/>
    <n v="90"/>
    <n v="63.45"/>
    <x v="2"/>
  </r>
  <r>
    <x v="40"/>
    <s v="Копеечка"/>
    <s v="Столбцы"/>
    <s v="Овощи"/>
    <s v="Кабачки"/>
    <n v="325"/>
    <n v="37"/>
    <n v="12.025"/>
    <x v="2"/>
  </r>
  <r>
    <x v="40"/>
    <s v="Евроопт"/>
    <s v="Столбцы"/>
    <s v="Ягоды"/>
    <s v="Смородина черная"/>
    <n v="1505"/>
    <n v="43"/>
    <n v="64.715000000000003"/>
    <x v="2"/>
  </r>
  <r>
    <x v="40"/>
    <s v="Евроопт"/>
    <s v="Фаниполь"/>
    <s v="Фрукты"/>
    <s v="Сливы"/>
    <n v="930"/>
    <n v="55"/>
    <n v="51.15"/>
    <x v="2"/>
  </r>
  <r>
    <x v="40"/>
    <s v="Копеечка"/>
    <s v="Фаниполь"/>
    <s v="Фрукты"/>
    <s v="Апельсины"/>
    <n v="2540"/>
    <n v="82"/>
    <n v="208.28"/>
    <x v="2"/>
  </r>
  <r>
    <x v="40"/>
    <s v="Евроопт"/>
    <s v="Фаниполь"/>
    <s v="Ягоды"/>
    <s v="Брусника"/>
    <n v="1670"/>
    <n v="8"/>
    <n v="13.36"/>
    <x v="2"/>
  </r>
  <r>
    <x v="40"/>
    <s v="Виталюр"/>
    <s v="Барановичи"/>
    <s v="Ягоды"/>
    <s v="Брусника"/>
    <n v="1670"/>
    <n v="37"/>
    <n v="61.79"/>
    <x v="2"/>
  </r>
  <r>
    <x v="40"/>
    <s v="Копеечка"/>
    <s v="Борисов"/>
    <s v="Овощи"/>
    <s v="Кабачки"/>
    <n v="325"/>
    <n v="89"/>
    <n v="28.925000000000001"/>
    <x v="2"/>
  </r>
  <r>
    <x v="40"/>
    <s v="Евроопт"/>
    <s v="Минск"/>
    <s v="Зелень"/>
    <s v="Кинза"/>
    <n v="650"/>
    <n v="68"/>
    <n v="44.2"/>
    <x v="2"/>
  </r>
  <r>
    <x v="41"/>
    <m/>
    <m/>
    <m/>
    <m/>
    <m/>
    <m/>
    <n v="1474.0049999999999"/>
    <x v="2"/>
  </r>
  <r>
    <x v="42"/>
    <s v="Виталюр"/>
    <s v="Барановичи"/>
    <s v="Зелень"/>
    <s v="Салат римский"/>
    <n v="540"/>
    <n v="80"/>
    <n v="43.2"/>
    <x v="2"/>
  </r>
  <r>
    <x v="42"/>
    <s v="Евроопт"/>
    <s v="Барановичи"/>
    <s v="Овощи"/>
    <s v="Свекла"/>
    <n v="450"/>
    <n v="54"/>
    <n v="24.3"/>
    <x v="2"/>
  </r>
  <r>
    <x v="42"/>
    <s v="Евроопт"/>
    <s v="Борисов"/>
    <s v="Зелень"/>
    <s v="Салат айсберг"/>
    <n v="1380"/>
    <n v="37"/>
    <n v="51.06"/>
    <x v="2"/>
  </r>
  <r>
    <x v="42"/>
    <s v="Евроопт"/>
    <s v="Борисов"/>
    <s v="Овощи"/>
    <s v="Морковь"/>
    <n v="715"/>
    <n v="5"/>
    <n v="3.5750000000000002"/>
    <x v="2"/>
  </r>
  <r>
    <x v="42"/>
    <s v="Копеечка"/>
    <s v="Борисов"/>
    <s v="Ягоды"/>
    <s v="Клубника"/>
    <n v="2460"/>
    <n v="36"/>
    <n v="88.56"/>
    <x v="2"/>
  </r>
  <r>
    <x v="42"/>
    <s v="Соседи"/>
    <s v="Борисов"/>
    <s v="Ягоды"/>
    <s v="Голубика"/>
    <n v="3205"/>
    <n v="15"/>
    <n v="48.075000000000003"/>
    <x v="2"/>
  </r>
  <r>
    <x v="42"/>
    <s v="Соседи"/>
    <s v="Жодино"/>
    <s v="Овощи"/>
    <s v="Баклажаны"/>
    <n v="890"/>
    <n v="16"/>
    <n v="14.24"/>
    <x v="2"/>
  </r>
  <r>
    <x v="42"/>
    <s v="Виталюр"/>
    <s v="Жодино"/>
    <s v="Овощи"/>
    <s v="Капуста"/>
    <n v="460"/>
    <n v="39"/>
    <n v="17.940000000000001"/>
    <x v="2"/>
  </r>
  <r>
    <x v="42"/>
    <s v="Соседи"/>
    <s v="Столбцы"/>
    <s v="Овощи"/>
    <s v="Баклажаны"/>
    <n v="890"/>
    <n v="84"/>
    <n v="74.760000000000005"/>
    <x v="2"/>
  </r>
  <r>
    <x v="42"/>
    <s v="Копеечка"/>
    <s v="Столбцы"/>
    <s v="Фрукты"/>
    <s v="Груши"/>
    <n v="1420"/>
    <n v="37"/>
    <n v="52.54"/>
    <x v="2"/>
  </r>
  <r>
    <x v="42"/>
    <s v="Соседи"/>
    <s v="Фаниполь"/>
    <s v="Зелень"/>
    <s v="Петрушка"/>
    <n v="640"/>
    <n v="19"/>
    <n v="12.16"/>
    <x v="2"/>
  </r>
  <r>
    <x v="42"/>
    <s v="Евроопт"/>
    <s v="Фаниполь"/>
    <s v="Овощи"/>
    <s v="Капуста"/>
    <n v="460"/>
    <n v="7"/>
    <n v="3.22"/>
    <x v="2"/>
  </r>
  <r>
    <x v="42"/>
    <s v="Копеечка"/>
    <s v="Фаниполь"/>
    <s v="Фрукты"/>
    <s v="Сливы"/>
    <n v="930"/>
    <n v="6"/>
    <n v="5.58"/>
    <x v="2"/>
  </r>
  <r>
    <x v="42"/>
    <s v="Виталюр"/>
    <s v="Фаниполь"/>
    <s v="Фрукты"/>
    <s v="Абрикосы"/>
    <n v="1320"/>
    <n v="48"/>
    <n v="63.36"/>
    <x v="2"/>
  </r>
  <r>
    <x v="42"/>
    <s v="Виталюр"/>
    <s v="Фаниполь"/>
    <s v="Фрукты"/>
    <s v="Сливы"/>
    <n v="930"/>
    <n v="38"/>
    <n v="35.340000000000003"/>
    <x v="2"/>
  </r>
  <r>
    <x v="42"/>
    <s v="Виталюр"/>
    <s v="Фаниполь"/>
    <s v="Ягоды"/>
    <s v="Клубника"/>
    <n v="2460"/>
    <n v="34"/>
    <n v="83.64"/>
    <x v="2"/>
  </r>
  <r>
    <x v="42"/>
    <s v="Копеечка"/>
    <s v="Барановичи"/>
    <s v="Ягоды"/>
    <s v="Клубника"/>
    <n v="2460"/>
    <n v="11"/>
    <n v="27.06"/>
    <x v="2"/>
  </r>
  <r>
    <x v="42"/>
    <s v="Соседи"/>
    <s v="Минск"/>
    <s v="Зелень"/>
    <s v="Салат римский"/>
    <n v="540"/>
    <n v="97"/>
    <n v="52.38"/>
    <x v="2"/>
  </r>
  <r>
    <x v="43"/>
    <m/>
    <m/>
    <m/>
    <m/>
    <m/>
    <m/>
    <n v="700.99"/>
    <x v="2"/>
  </r>
  <r>
    <x v="44"/>
    <s v="Евроопт"/>
    <s v="Барановичи"/>
    <s v="Зелень"/>
    <s v="Салат айсберг"/>
    <n v="1380"/>
    <n v="12"/>
    <n v="16.559999999999999"/>
    <x v="2"/>
  </r>
  <r>
    <x v="44"/>
    <s v="Виталюр"/>
    <s v="Барановичи"/>
    <s v="Зелень"/>
    <s v="Салат айсберг"/>
    <n v="1380"/>
    <n v="39"/>
    <n v="53.82"/>
    <x v="2"/>
  </r>
  <r>
    <x v="44"/>
    <s v="Копеечка"/>
    <s v="Борисов"/>
    <s v="Овощи"/>
    <s v="Картофель"/>
    <n v="690"/>
    <n v="26"/>
    <n v="17.940000000000001"/>
    <x v="2"/>
  </r>
  <r>
    <x v="44"/>
    <s v="Виталюр"/>
    <s v="Борисов"/>
    <s v="Ягоды"/>
    <s v="Клубника"/>
    <n v="2460"/>
    <n v="50"/>
    <n v="123"/>
    <x v="2"/>
  </r>
  <r>
    <x v="44"/>
    <s v="Виталюр"/>
    <s v="Жодино"/>
    <s v="Зелень"/>
    <s v="Лук зеленый"/>
    <n v="705"/>
    <n v="79"/>
    <n v="55.695"/>
    <x v="2"/>
  </r>
  <r>
    <x v="44"/>
    <s v="Копеечка"/>
    <s v="Жодино"/>
    <s v="Зелень"/>
    <s v="Салат римский"/>
    <n v="540"/>
    <n v="21"/>
    <n v="11.34"/>
    <x v="2"/>
  </r>
  <r>
    <x v="44"/>
    <s v="Копеечка"/>
    <s v="Жодино"/>
    <s v="Овощи"/>
    <s v="Баклажаны"/>
    <n v="890"/>
    <n v="27"/>
    <n v="24.03"/>
    <x v="2"/>
  </r>
  <r>
    <x v="44"/>
    <s v="Соседи"/>
    <s v="Жодино"/>
    <s v="Фрукты"/>
    <s v="Сливы"/>
    <n v="930"/>
    <n v="79"/>
    <n v="73.47"/>
    <x v="2"/>
  </r>
  <r>
    <x v="44"/>
    <s v="Соседи"/>
    <s v="Жодино"/>
    <s v="Фрукты"/>
    <s v="Абрикосы"/>
    <n v="1320"/>
    <n v="97"/>
    <n v="128.04"/>
    <x v="2"/>
  </r>
  <r>
    <x v="44"/>
    <s v="Соседи"/>
    <s v="Жодино"/>
    <s v="Ягоды"/>
    <s v="Брусника"/>
    <n v="1670"/>
    <n v="93"/>
    <n v="155.31"/>
    <x v="2"/>
  </r>
  <r>
    <x v="44"/>
    <s v="Виталюр"/>
    <s v="Минск"/>
    <s v="Овощи"/>
    <s v="Кабачки"/>
    <n v="325"/>
    <n v="43"/>
    <n v="13.975"/>
    <x v="2"/>
  </r>
  <r>
    <x v="44"/>
    <s v="Виталюр"/>
    <s v="Минск"/>
    <s v="Фрукты"/>
    <s v="Апельсины"/>
    <n v="2540"/>
    <n v="65"/>
    <n v="165.1"/>
    <x v="2"/>
  </r>
  <r>
    <x v="44"/>
    <s v="Евроопт"/>
    <s v="Минск"/>
    <s v="Ягоды"/>
    <s v="Брусника"/>
    <n v="1670"/>
    <n v="99"/>
    <n v="165.33"/>
    <x v="2"/>
  </r>
  <r>
    <x v="44"/>
    <s v="Евроопт"/>
    <s v="Столбцы"/>
    <s v="Зелень"/>
    <s v="Петрушка"/>
    <n v="640"/>
    <n v="20"/>
    <n v="12.8"/>
    <x v="2"/>
  </r>
  <r>
    <x v="44"/>
    <s v="Копеечка"/>
    <s v="Столбцы"/>
    <s v="Ягоды"/>
    <s v="Клубника"/>
    <n v="2460"/>
    <n v="51"/>
    <n v="125.46"/>
    <x v="2"/>
  </r>
  <r>
    <x v="44"/>
    <s v="Виталюр"/>
    <s v="Столбцы"/>
    <s v="Ягоды"/>
    <s v="Малина"/>
    <n v="2970"/>
    <n v="48"/>
    <n v="142.56"/>
    <x v="2"/>
  </r>
  <r>
    <x v="44"/>
    <s v="Соседи"/>
    <s v="Фаниполь"/>
    <s v="Зелень"/>
    <s v="Петрушка"/>
    <n v="640"/>
    <n v="77"/>
    <n v="49.28"/>
    <x v="2"/>
  </r>
  <r>
    <x v="44"/>
    <s v="Виталюр"/>
    <s v="Фаниполь"/>
    <s v="Овощи"/>
    <s v="Морковь"/>
    <n v="715"/>
    <n v="91"/>
    <n v="65.064999999999998"/>
    <x v="2"/>
  </r>
  <r>
    <x v="44"/>
    <s v="Виталюр"/>
    <s v="Фаниполь"/>
    <s v="Ягоды"/>
    <s v="Голубика"/>
    <n v="3205"/>
    <n v="85"/>
    <n v="272.42500000000001"/>
    <x v="2"/>
  </r>
  <r>
    <x v="44"/>
    <s v="Копеечка"/>
    <s v="Минск"/>
    <s v="Фрукты"/>
    <s v="Апельсины"/>
    <n v="2540"/>
    <n v="37"/>
    <n v="93.98"/>
    <x v="2"/>
  </r>
  <r>
    <x v="45"/>
    <m/>
    <m/>
    <m/>
    <m/>
    <m/>
    <m/>
    <n v="1765.1799999999998"/>
    <x v="2"/>
  </r>
  <r>
    <x v="46"/>
    <s v="Виталюр"/>
    <s v="Барановичи"/>
    <s v="Зелень"/>
    <s v="Кинза"/>
    <n v="650"/>
    <n v="25"/>
    <n v="16.25"/>
    <x v="2"/>
  </r>
  <r>
    <x v="46"/>
    <s v="Копеечка"/>
    <s v="Барановичи"/>
    <s v="Фрукты"/>
    <s v="Сливы"/>
    <n v="930"/>
    <n v="39"/>
    <n v="36.270000000000003"/>
    <x v="2"/>
  </r>
  <r>
    <x v="46"/>
    <s v="Соседи"/>
    <s v="Борисов"/>
    <s v="Зелень"/>
    <s v="Петрушка"/>
    <n v="640"/>
    <n v="11"/>
    <n v="7.04"/>
    <x v="2"/>
  </r>
  <r>
    <x v="46"/>
    <s v="Виталюр"/>
    <s v="Борисов"/>
    <s v="Фрукты"/>
    <s v="Апельсины"/>
    <n v="2540"/>
    <n v="99"/>
    <n v="251.46"/>
    <x v="2"/>
  </r>
  <r>
    <x v="46"/>
    <s v="Копеечка"/>
    <s v="Борисов"/>
    <s v="Фрукты"/>
    <s v="Груши"/>
    <n v="1420"/>
    <n v="79"/>
    <n v="112.18"/>
    <x v="2"/>
  </r>
  <r>
    <x v="46"/>
    <s v="Виталюр"/>
    <s v="Жодино"/>
    <s v="Овощи"/>
    <s v="Кабачки"/>
    <n v="325"/>
    <n v="62"/>
    <n v="20.149999999999999"/>
    <x v="2"/>
  </r>
  <r>
    <x v="46"/>
    <s v="Евроопт"/>
    <s v="Жодино"/>
    <s v="Фрукты"/>
    <s v="Абрикосы"/>
    <n v="1320"/>
    <n v="96"/>
    <n v="126.72"/>
    <x v="2"/>
  </r>
  <r>
    <x v="46"/>
    <s v="Виталюр"/>
    <s v="Минск"/>
    <s v="Зелень"/>
    <s v="Салат айсберг"/>
    <n v="1380"/>
    <n v="76"/>
    <n v="104.88"/>
    <x v="2"/>
  </r>
  <r>
    <x v="46"/>
    <s v="Виталюр"/>
    <s v="Минск"/>
    <s v="Овощи"/>
    <s v="Капуста"/>
    <n v="460"/>
    <n v="22"/>
    <n v="10.119999999999999"/>
    <x v="2"/>
  </r>
  <r>
    <x v="46"/>
    <s v="Копеечка"/>
    <s v="Минск"/>
    <s v="Фрукты"/>
    <s v="Груши"/>
    <n v="1420"/>
    <n v="11"/>
    <n v="15.62"/>
    <x v="2"/>
  </r>
  <r>
    <x v="46"/>
    <s v="Копеечка"/>
    <s v="Минск"/>
    <s v="Фрукты"/>
    <s v="Груши"/>
    <n v="1420"/>
    <n v="10"/>
    <n v="14.2"/>
    <x v="2"/>
  </r>
  <r>
    <x v="46"/>
    <s v="Копеечка"/>
    <s v="Минск"/>
    <s v="Ягоды"/>
    <s v="Голубика"/>
    <n v="3205"/>
    <n v="22"/>
    <n v="70.510000000000005"/>
    <x v="2"/>
  </r>
  <r>
    <x v="46"/>
    <s v="Евроопт"/>
    <s v="Столбцы"/>
    <s v="Зелень"/>
    <s v="Укроп"/>
    <n v="650"/>
    <n v="100"/>
    <n v="65"/>
    <x v="2"/>
  </r>
  <r>
    <x v="46"/>
    <s v="Евроопт"/>
    <s v="Столбцы"/>
    <s v="Фрукты"/>
    <s v="Абрикосы"/>
    <n v="1320"/>
    <n v="97"/>
    <n v="128.04"/>
    <x v="2"/>
  </r>
  <r>
    <x v="46"/>
    <s v="Соседи"/>
    <s v="Столбцы"/>
    <s v="Фрукты"/>
    <s v="Бананы"/>
    <n v="2400"/>
    <n v="67"/>
    <n v="160.80000000000001"/>
    <x v="2"/>
  </r>
  <r>
    <x v="46"/>
    <s v="Виталюр"/>
    <s v="Столбцы"/>
    <s v="Ягоды"/>
    <s v="Малина"/>
    <n v="2970"/>
    <n v="60"/>
    <n v="178.2"/>
    <x v="2"/>
  </r>
  <r>
    <x v="46"/>
    <s v="Евроопт"/>
    <s v="Фаниполь"/>
    <s v="Зелень"/>
    <s v="Петрушка"/>
    <n v="640"/>
    <n v="31"/>
    <n v="19.84"/>
    <x v="2"/>
  </r>
  <r>
    <x v="46"/>
    <s v="Соседи"/>
    <s v="Барановичи"/>
    <s v="Фрукты"/>
    <s v="Апельсины"/>
    <n v="2540"/>
    <n v="88"/>
    <n v="223.52"/>
    <x v="2"/>
  </r>
  <r>
    <x v="46"/>
    <s v="Виталюр"/>
    <s v="Минск"/>
    <s v="Ягоды"/>
    <s v="Малина"/>
    <n v="2970"/>
    <n v="29"/>
    <n v="86.13"/>
    <x v="2"/>
  </r>
  <r>
    <x v="47"/>
    <m/>
    <m/>
    <m/>
    <m/>
    <m/>
    <m/>
    <n v="1646.9299999999998"/>
    <x v="2"/>
  </r>
  <r>
    <x v="48"/>
    <s v="Копеечка"/>
    <s v="Барановичи"/>
    <s v="Зелень"/>
    <s v="Кинза"/>
    <n v="650"/>
    <n v="69"/>
    <n v="44.85"/>
    <x v="2"/>
  </r>
  <r>
    <x v="48"/>
    <s v="Соседи"/>
    <s v="Барановичи"/>
    <s v="Зелень"/>
    <s v="Лук зеленый"/>
    <n v="705"/>
    <n v="67"/>
    <n v="47.234999999999999"/>
    <x v="2"/>
  </r>
  <r>
    <x v="48"/>
    <s v="Евроопт"/>
    <s v="Барановичи"/>
    <s v="Овощи"/>
    <s v="Морковь"/>
    <n v="715"/>
    <n v="56"/>
    <n v="40.04"/>
    <x v="2"/>
  </r>
  <r>
    <x v="48"/>
    <s v="Копеечка"/>
    <s v="Барановичи"/>
    <s v="Ягоды"/>
    <s v="Голубика"/>
    <n v="3205"/>
    <n v="21"/>
    <n v="67.305000000000007"/>
    <x v="2"/>
  </r>
  <r>
    <x v="48"/>
    <s v="Соседи"/>
    <s v="Борисов"/>
    <s v="Зелень"/>
    <s v="Салат айсберг"/>
    <n v="1380"/>
    <n v="42"/>
    <n v="57.96"/>
    <x v="2"/>
  </r>
  <r>
    <x v="48"/>
    <s v="Евроопт"/>
    <s v="Борисов"/>
    <s v="Овощи"/>
    <s v="Свекла"/>
    <n v="450"/>
    <n v="97"/>
    <n v="43.65"/>
    <x v="2"/>
  </r>
  <r>
    <x v="48"/>
    <s v="Виталюр"/>
    <s v="Борисов"/>
    <s v="Фрукты"/>
    <s v="Апельсины"/>
    <n v="2540"/>
    <n v="91"/>
    <n v="231.14"/>
    <x v="2"/>
  </r>
  <r>
    <x v="48"/>
    <s v="Соседи"/>
    <s v="Жодино"/>
    <s v="Овощи"/>
    <s v="Картофель"/>
    <n v="690"/>
    <n v="9"/>
    <n v="6.21"/>
    <x v="2"/>
  </r>
  <r>
    <x v="48"/>
    <s v="Соседи"/>
    <s v="Жодино"/>
    <s v="Ягоды"/>
    <s v="Клубника"/>
    <n v="2460"/>
    <n v="75"/>
    <n v="184.5"/>
    <x v="2"/>
  </r>
  <r>
    <x v="48"/>
    <s v="Виталюр"/>
    <s v="Минск"/>
    <s v="Овощи"/>
    <s v="Баклажаны"/>
    <n v="890"/>
    <n v="18"/>
    <n v="16.02"/>
    <x v="2"/>
  </r>
  <r>
    <x v="48"/>
    <s v="Евроопт"/>
    <s v="Фаниполь"/>
    <s v="Овощи"/>
    <s v="Свекла"/>
    <n v="450"/>
    <n v="37"/>
    <n v="16.649999999999999"/>
    <x v="2"/>
  </r>
  <r>
    <x v="48"/>
    <s v="Виталюр"/>
    <s v="Фаниполь"/>
    <s v="Фрукты"/>
    <s v="Яблоки"/>
    <n v="1230"/>
    <n v="99"/>
    <n v="121.77"/>
    <x v="2"/>
  </r>
  <r>
    <x v="48"/>
    <s v="Виталюр"/>
    <s v="Столбцы"/>
    <s v="Зелень"/>
    <s v="Кинза"/>
    <n v="650"/>
    <n v="21"/>
    <n v="13.65"/>
    <x v="2"/>
  </r>
  <r>
    <x v="49"/>
    <m/>
    <m/>
    <m/>
    <m/>
    <m/>
    <m/>
    <n v="890.9799999999999"/>
    <x v="2"/>
  </r>
  <r>
    <x v="50"/>
    <s v="Копеечка"/>
    <s v="Барановичи"/>
    <s v="Зелень"/>
    <s v="Салат айсберг"/>
    <n v="1380"/>
    <n v="63"/>
    <n v="86.94"/>
    <x v="2"/>
  </r>
  <r>
    <x v="50"/>
    <s v="Копеечка"/>
    <s v="Барановичи"/>
    <s v="Зелень"/>
    <s v="Кинза"/>
    <n v="650"/>
    <n v="21"/>
    <n v="13.65"/>
    <x v="2"/>
  </r>
  <r>
    <x v="50"/>
    <s v="Соседи"/>
    <s v="Барановичи"/>
    <s v="Фрукты"/>
    <s v="Бананы"/>
    <n v="2400"/>
    <n v="70"/>
    <n v="168"/>
    <x v="2"/>
  </r>
  <r>
    <x v="50"/>
    <s v="Соседи"/>
    <s v="Барановичи"/>
    <s v="Фрукты"/>
    <s v="Апельсины"/>
    <n v="2540"/>
    <n v="89"/>
    <n v="226.06"/>
    <x v="2"/>
  </r>
  <r>
    <x v="50"/>
    <s v="Копеечка"/>
    <s v="Барановичи"/>
    <s v="Ягоды"/>
    <s v="Смородина черная"/>
    <n v="1505"/>
    <n v="53"/>
    <n v="79.765000000000001"/>
    <x v="2"/>
  </r>
  <r>
    <x v="50"/>
    <s v="Соседи"/>
    <s v="Борисов"/>
    <s v="Зелень"/>
    <s v="Лук зеленый"/>
    <n v="705"/>
    <n v="49"/>
    <n v="34.545000000000002"/>
    <x v="2"/>
  </r>
  <r>
    <x v="50"/>
    <s v="Копеечка"/>
    <s v="Жодино"/>
    <s v="Зелень"/>
    <s v="Салат римский"/>
    <n v="540"/>
    <n v="27"/>
    <n v="14.58"/>
    <x v="2"/>
  </r>
  <r>
    <x v="50"/>
    <s v="Виталюр"/>
    <s v="Жодино"/>
    <s v="Фрукты"/>
    <s v="Сливы"/>
    <n v="930"/>
    <n v="46"/>
    <n v="42.78"/>
    <x v="2"/>
  </r>
  <r>
    <x v="50"/>
    <s v="Копеечка"/>
    <s v="Жодино"/>
    <s v="Ягоды"/>
    <s v="Смородина черная"/>
    <n v="1505"/>
    <n v="39"/>
    <n v="58.695"/>
    <x v="2"/>
  </r>
  <r>
    <x v="50"/>
    <s v="Копеечка"/>
    <s v="Минск"/>
    <s v="Овощи"/>
    <s v="Кабачки"/>
    <n v="325"/>
    <n v="98"/>
    <n v="31.85"/>
    <x v="2"/>
  </r>
  <r>
    <x v="50"/>
    <s v="Соседи"/>
    <s v="Минск"/>
    <s v="Ягоды"/>
    <s v="Малина"/>
    <n v="2970"/>
    <n v="82"/>
    <n v="243.54"/>
    <x v="2"/>
  </r>
  <r>
    <x v="50"/>
    <s v="Соседи"/>
    <s v="Минск"/>
    <s v="Ягоды"/>
    <s v="Черешня"/>
    <n v="1760"/>
    <n v="51"/>
    <n v="89.76"/>
    <x v="2"/>
  </r>
  <r>
    <x v="50"/>
    <s v="Виталюр"/>
    <s v="Столбцы"/>
    <s v="Овощи"/>
    <s v="Кабачки"/>
    <n v="325"/>
    <n v="48"/>
    <n v="15.6"/>
    <x v="2"/>
  </r>
  <r>
    <x v="50"/>
    <s v="Евроопт"/>
    <s v="Фаниполь"/>
    <s v="Зелень"/>
    <s v="Салат айсберг"/>
    <n v="1380"/>
    <n v="84"/>
    <n v="115.92"/>
    <x v="2"/>
  </r>
  <r>
    <x v="50"/>
    <s v="Копеечка"/>
    <s v="Фаниполь"/>
    <s v="Ягоды"/>
    <s v="Брусника"/>
    <n v="1670"/>
    <n v="67"/>
    <n v="111.89"/>
    <x v="2"/>
  </r>
  <r>
    <x v="50"/>
    <s v="Копеечка"/>
    <s v="Фаниполь"/>
    <s v="Ягоды"/>
    <s v="Голубика"/>
    <n v="3205"/>
    <n v="38"/>
    <n v="121.79"/>
    <x v="2"/>
  </r>
  <r>
    <x v="50"/>
    <s v="Копеечка"/>
    <s v="Столбцы"/>
    <s v="Ягоды"/>
    <s v="Голубика"/>
    <n v="3205"/>
    <n v="27"/>
    <n v="86.534999999999997"/>
    <x v="2"/>
  </r>
  <r>
    <x v="51"/>
    <m/>
    <m/>
    <m/>
    <m/>
    <m/>
    <m/>
    <n v="1541.9000000000003"/>
    <x v="2"/>
  </r>
  <r>
    <x v="52"/>
    <s v="Копеечка"/>
    <s v="Барановичи"/>
    <s v="Овощи"/>
    <s v="Кабачки"/>
    <n v="325"/>
    <n v="12"/>
    <n v="3.9"/>
    <x v="2"/>
  </r>
  <r>
    <x v="52"/>
    <s v="Копеечка"/>
    <s v="Барановичи"/>
    <s v="Ягоды"/>
    <s v="Голубика"/>
    <n v="3205"/>
    <n v="69"/>
    <n v="221.14500000000001"/>
    <x v="2"/>
  </r>
  <r>
    <x v="52"/>
    <s v="Соседи"/>
    <s v="Жодино"/>
    <s v="Фрукты"/>
    <s v="Абрикосы"/>
    <n v="1320"/>
    <n v="60"/>
    <n v="79.2"/>
    <x v="2"/>
  </r>
  <r>
    <x v="52"/>
    <s v="Виталюр"/>
    <s v="Жодино"/>
    <s v="Ягоды"/>
    <s v="Малина"/>
    <n v="2970"/>
    <n v="76"/>
    <n v="225.72"/>
    <x v="2"/>
  </r>
  <r>
    <x v="52"/>
    <s v="Соседи"/>
    <s v="Минск"/>
    <s v="Овощи"/>
    <s v="Капуста"/>
    <n v="460"/>
    <n v="24"/>
    <n v="11.04"/>
    <x v="2"/>
  </r>
  <r>
    <x v="52"/>
    <s v="Соседи"/>
    <s v="Минск"/>
    <s v="Фрукты"/>
    <s v="Сливы"/>
    <n v="930"/>
    <n v="92"/>
    <n v="85.56"/>
    <x v="2"/>
  </r>
  <r>
    <x v="52"/>
    <s v="Евроопт"/>
    <s v="Минск"/>
    <s v="Ягоды"/>
    <s v="Черешня"/>
    <n v="1760"/>
    <n v="88"/>
    <n v="154.88"/>
    <x v="2"/>
  </r>
  <r>
    <x v="52"/>
    <s v="Виталюр"/>
    <s v="Столбцы"/>
    <s v="Фрукты"/>
    <s v="Груши"/>
    <n v="1420"/>
    <n v="63"/>
    <n v="89.46"/>
    <x v="2"/>
  </r>
  <r>
    <x v="52"/>
    <s v="Евроопт"/>
    <s v="Столбцы"/>
    <s v="Ягоды"/>
    <s v="Малина"/>
    <n v="2970"/>
    <n v="79"/>
    <n v="234.63"/>
    <x v="2"/>
  </r>
  <r>
    <x v="52"/>
    <s v="Копеечка"/>
    <s v="Фаниполь"/>
    <s v="Зелень"/>
    <s v="Петрушка"/>
    <n v="640"/>
    <n v="57"/>
    <n v="36.479999999999997"/>
    <x v="2"/>
  </r>
  <r>
    <x v="52"/>
    <s v="Соседи"/>
    <s v="Фаниполь"/>
    <s v="Овощи"/>
    <s v="Морковь"/>
    <n v="715"/>
    <n v="32"/>
    <n v="22.88"/>
    <x v="2"/>
  </r>
  <r>
    <x v="52"/>
    <s v="Соседи"/>
    <s v="Фаниполь"/>
    <s v="Фрукты"/>
    <s v="Абрикосы"/>
    <n v="1320"/>
    <n v="43"/>
    <n v="56.76"/>
    <x v="2"/>
  </r>
  <r>
    <x v="52"/>
    <s v="Евроопт"/>
    <s v="Фаниполь"/>
    <s v="Фрукты"/>
    <s v="Груши"/>
    <n v="1420"/>
    <n v="54"/>
    <n v="76.680000000000007"/>
    <x v="2"/>
  </r>
  <r>
    <x v="52"/>
    <s v="Евроопт"/>
    <s v="Барановичи"/>
    <s v="Фрукты"/>
    <s v="Груши"/>
    <n v="1420"/>
    <n v="31"/>
    <n v="44.02"/>
    <x v="2"/>
  </r>
  <r>
    <x v="52"/>
    <s v="Копеечка"/>
    <s v="Борисов"/>
    <s v="Овощи"/>
    <s v="Морковь"/>
    <n v="715"/>
    <n v="60"/>
    <n v="42.9"/>
    <x v="2"/>
  </r>
  <r>
    <x v="52"/>
    <s v="Соседи"/>
    <s v="Столбцы"/>
    <s v="Ягоды"/>
    <s v="Малина"/>
    <n v="2970"/>
    <n v="37"/>
    <n v="109.89"/>
    <x v="2"/>
  </r>
  <r>
    <x v="53"/>
    <m/>
    <m/>
    <m/>
    <m/>
    <m/>
    <m/>
    <n v="1495.1450000000004"/>
    <x v="2"/>
  </r>
  <r>
    <x v="54"/>
    <s v="Виталюр"/>
    <s v="Барановичи"/>
    <s v="Овощи"/>
    <s v="Капуста"/>
    <n v="460"/>
    <n v="90"/>
    <n v="41.4"/>
    <x v="2"/>
  </r>
  <r>
    <x v="54"/>
    <s v="Соседи"/>
    <s v="Борисов"/>
    <s v="Овощи"/>
    <s v="Кабачки"/>
    <n v="325"/>
    <n v="49"/>
    <n v="15.925000000000001"/>
    <x v="2"/>
  </r>
  <r>
    <x v="54"/>
    <s v="Соседи"/>
    <s v="Борисов"/>
    <s v="Фрукты"/>
    <s v="Апельсины"/>
    <n v="2540"/>
    <n v="29"/>
    <n v="73.66"/>
    <x v="2"/>
  </r>
  <r>
    <x v="54"/>
    <s v="Виталюр"/>
    <s v="Жодино"/>
    <s v="Зелень"/>
    <s v="Укроп"/>
    <n v="650"/>
    <n v="75"/>
    <n v="48.75"/>
    <x v="2"/>
  </r>
  <r>
    <x v="54"/>
    <s v="Виталюр"/>
    <s v="Жодино"/>
    <s v="Зелень"/>
    <s v="Укроп"/>
    <n v="650"/>
    <n v="33"/>
    <n v="21.45"/>
    <x v="2"/>
  </r>
  <r>
    <x v="54"/>
    <s v="Соседи"/>
    <s v="Жодино"/>
    <s v="Зелень"/>
    <s v="Салат айсберг"/>
    <n v="1380"/>
    <n v="6"/>
    <n v="8.2799999999999994"/>
    <x v="2"/>
  </r>
  <r>
    <x v="54"/>
    <s v="Виталюр"/>
    <s v="Жодино"/>
    <s v="Овощи"/>
    <s v="Капуста"/>
    <n v="460"/>
    <n v="41"/>
    <n v="18.86"/>
    <x v="2"/>
  </r>
  <r>
    <x v="54"/>
    <s v="Виталюр"/>
    <s v="Жодино"/>
    <s v="Ягоды"/>
    <s v="Черешня"/>
    <n v="1760"/>
    <n v="50"/>
    <n v="88"/>
    <x v="2"/>
  </r>
  <r>
    <x v="54"/>
    <s v="Виталюр"/>
    <s v="Жодино"/>
    <s v="Ягоды"/>
    <s v="Черешня"/>
    <n v="1760"/>
    <n v="41"/>
    <n v="72.16"/>
    <x v="2"/>
  </r>
  <r>
    <x v="54"/>
    <s v="Виталюр"/>
    <s v="Минск"/>
    <s v="Зелень"/>
    <s v="Салат римский"/>
    <n v="540"/>
    <n v="48"/>
    <n v="25.92"/>
    <x v="2"/>
  </r>
  <r>
    <x v="54"/>
    <s v="Соседи"/>
    <s v="Минск"/>
    <s v="Овощи"/>
    <s v="Кабачки"/>
    <n v="325"/>
    <n v="12"/>
    <n v="3.9"/>
    <x v="2"/>
  </r>
  <r>
    <x v="54"/>
    <s v="Копеечка"/>
    <s v="Столбцы"/>
    <s v="Овощи"/>
    <s v="Свекла"/>
    <n v="450"/>
    <n v="69"/>
    <n v="31.05"/>
    <x v="2"/>
  </r>
  <r>
    <x v="54"/>
    <s v="Соседи"/>
    <s v="Столбцы"/>
    <s v="Овощи"/>
    <s v="Баклажаны"/>
    <n v="890"/>
    <n v="36"/>
    <n v="32.04"/>
    <x v="2"/>
  </r>
  <r>
    <x v="54"/>
    <s v="Соседи"/>
    <s v="Фаниполь"/>
    <s v="Фрукты"/>
    <s v="Груши"/>
    <n v="1420"/>
    <n v="95"/>
    <n v="134.9"/>
    <x v="2"/>
  </r>
  <r>
    <x v="54"/>
    <s v="Соседи"/>
    <s v="Столбцы"/>
    <s v="Ягоды"/>
    <s v="Малина"/>
    <n v="2970"/>
    <n v="55"/>
    <n v="163.35"/>
    <x v="2"/>
  </r>
  <r>
    <x v="55"/>
    <m/>
    <m/>
    <m/>
    <m/>
    <m/>
    <m/>
    <n v="779.6450000000001"/>
    <x v="2"/>
  </r>
  <r>
    <x v="56"/>
    <s v="Соседи"/>
    <s v="Барановичи"/>
    <s v="Овощи"/>
    <s v="Кабачки"/>
    <n v="325"/>
    <n v="41"/>
    <n v="13.324999999999999"/>
    <x v="2"/>
  </r>
  <r>
    <x v="56"/>
    <s v="Соседи"/>
    <s v="Барановичи"/>
    <s v="Фрукты"/>
    <s v="Яблоки"/>
    <n v="1230"/>
    <n v="40"/>
    <n v="49.2"/>
    <x v="2"/>
  </r>
  <r>
    <x v="56"/>
    <s v="Евроопт"/>
    <s v="Борисов"/>
    <s v="Зелень"/>
    <s v="Лук зеленый"/>
    <n v="705"/>
    <n v="23"/>
    <n v="16.215"/>
    <x v="2"/>
  </r>
  <r>
    <x v="56"/>
    <s v="Виталюр"/>
    <s v="Борисов"/>
    <s v="Зелень"/>
    <s v="Салат римский"/>
    <n v="540"/>
    <n v="46"/>
    <n v="24.84"/>
    <x v="2"/>
  </r>
  <r>
    <x v="56"/>
    <s v="Виталюр"/>
    <s v="Борисов"/>
    <s v="Овощи"/>
    <s v="Капуста"/>
    <n v="460"/>
    <n v="21"/>
    <n v="9.66"/>
    <x v="2"/>
  </r>
  <r>
    <x v="56"/>
    <s v="Евроопт"/>
    <s v="Борисов"/>
    <s v="Ягоды"/>
    <s v="Голубика"/>
    <n v="3205"/>
    <n v="46"/>
    <n v="147.43"/>
    <x v="2"/>
  </r>
  <r>
    <x v="56"/>
    <s v="Евроопт"/>
    <s v="Жодино"/>
    <s v="Фрукты"/>
    <s v="Сливы"/>
    <n v="930"/>
    <n v="40"/>
    <n v="37.200000000000003"/>
    <x v="2"/>
  </r>
  <r>
    <x v="56"/>
    <s v="Евроопт"/>
    <s v="Жодино"/>
    <s v="Фрукты"/>
    <s v="Яблоки"/>
    <n v="1230"/>
    <n v="81"/>
    <n v="99.63"/>
    <x v="2"/>
  </r>
  <r>
    <x v="56"/>
    <s v="Виталюр"/>
    <s v="Жодино"/>
    <s v="Ягоды"/>
    <s v="Смородина черная"/>
    <n v="1505"/>
    <n v="31"/>
    <n v="46.655000000000001"/>
    <x v="2"/>
  </r>
  <r>
    <x v="56"/>
    <s v="Виталюр"/>
    <s v="Минск"/>
    <s v="Зелень"/>
    <s v="Укроп"/>
    <n v="650"/>
    <n v="13"/>
    <n v="8.4499999999999993"/>
    <x v="2"/>
  </r>
  <r>
    <x v="56"/>
    <s v="Копеечка"/>
    <s v="Минск"/>
    <s v="Овощи"/>
    <s v="Кабачки"/>
    <n v="325"/>
    <n v="80"/>
    <n v="26"/>
    <x v="2"/>
  </r>
  <r>
    <x v="56"/>
    <s v="Виталюр"/>
    <s v="Минск"/>
    <s v="Ягоды"/>
    <s v="Черешня"/>
    <n v="1760"/>
    <n v="46"/>
    <n v="80.959999999999994"/>
    <x v="2"/>
  </r>
  <r>
    <x v="56"/>
    <s v="Соседи"/>
    <s v="Столбцы"/>
    <s v="Фрукты"/>
    <s v="Сливы"/>
    <n v="930"/>
    <n v="18"/>
    <n v="16.739999999999998"/>
    <x v="2"/>
  </r>
  <r>
    <x v="56"/>
    <s v="Соседи"/>
    <s v="Столбцы"/>
    <s v="Ягоды"/>
    <s v="Брусника"/>
    <n v="1670"/>
    <n v="97"/>
    <n v="161.99"/>
    <x v="2"/>
  </r>
  <r>
    <x v="56"/>
    <s v="Копеечка"/>
    <s v="Столбцы"/>
    <s v="Ягоды"/>
    <s v="Малина"/>
    <n v="2970"/>
    <n v="9"/>
    <n v="26.73"/>
    <x v="2"/>
  </r>
  <r>
    <x v="56"/>
    <s v="Виталюр"/>
    <s v="Столбцы"/>
    <s v="Ягоды"/>
    <s v="Клубника"/>
    <n v="2460"/>
    <n v="78"/>
    <n v="191.88"/>
    <x v="2"/>
  </r>
  <r>
    <x v="56"/>
    <s v="Евроопт"/>
    <s v="Фаниполь"/>
    <s v="Фрукты"/>
    <s v="Сливы"/>
    <n v="930"/>
    <n v="100"/>
    <n v="93"/>
    <x v="2"/>
  </r>
  <r>
    <x v="56"/>
    <s v="Соседи"/>
    <s v="Фаниполь"/>
    <s v="Зелень"/>
    <s v="Салат римский"/>
    <n v="540"/>
    <n v="98"/>
    <n v="52.92"/>
    <x v="2"/>
  </r>
  <r>
    <x v="56"/>
    <s v="Соседи"/>
    <s v="Фаниполь"/>
    <s v="Зелень"/>
    <s v="Лук зеленый"/>
    <n v="705"/>
    <n v="19"/>
    <n v="13.395"/>
    <x v="2"/>
  </r>
  <r>
    <x v="56"/>
    <s v="Соседи"/>
    <s v="Фаниполь"/>
    <s v="Овощи"/>
    <s v="Картофель"/>
    <n v="690"/>
    <n v="27"/>
    <n v="18.63"/>
    <x v="2"/>
  </r>
  <r>
    <x v="56"/>
    <s v="Евроопт"/>
    <s v="Фаниполь"/>
    <s v="Фрукты"/>
    <s v="Груши"/>
    <n v="1420"/>
    <n v="74"/>
    <n v="105.08"/>
    <x v="2"/>
  </r>
  <r>
    <x v="56"/>
    <s v="Евроопт"/>
    <s v="Фаниполь"/>
    <s v="Фрукты"/>
    <s v="Яблоки"/>
    <n v="1230"/>
    <n v="25"/>
    <n v="30.75"/>
    <x v="2"/>
  </r>
  <r>
    <x v="56"/>
    <s v="Копеечка"/>
    <s v="Фаниполь"/>
    <s v="Ягоды"/>
    <s v="Черешня"/>
    <n v="1760"/>
    <n v="99"/>
    <n v="174.24"/>
    <x v="2"/>
  </r>
  <r>
    <x v="56"/>
    <s v="Копеечка"/>
    <s v="Фаниполь"/>
    <s v="Ягоды"/>
    <s v="Голубика"/>
    <n v="3205"/>
    <n v="53"/>
    <n v="169.86500000000001"/>
    <x v="2"/>
  </r>
  <r>
    <x v="56"/>
    <s v="Евроопт"/>
    <s v="Барановичи"/>
    <s v="Овощи"/>
    <s v="Свекла"/>
    <n v="450"/>
    <n v="48"/>
    <n v="21.6"/>
    <x v="2"/>
  </r>
  <r>
    <x v="56"/>
    <s v="Виталюр"/>
    <s v="Барановичи"/>
    <s v="Фрукты"/>
    <s v="Апельсины"/>
    <n v="2540"/>
    <n v="96"/>
    <n v="243.84"/>
    <x v="2"/>
  </r>
  <r>
    <x v="57"/>
    <m/>
    <m/>
    <m/>
    <m/>
    <m/>
    <m/>
    <n v="1880.2249999999999"/>
    <x v="1"/>
  </r>
  <r>
    <x v="58"/>
    <s v="Копеечка"/>
    <s v="Барановичи"/>
    <s v="Зелень"/>
    <s v="Салат айсберг"/>
    <n v="1380"/>
    <n v="61"/>
    <n v="84.18"/>
    <x v="3"/>
  </r>
  <r>
    <x v="58"/>
    <s v="Соседи"/>
    <s v="Борисов"/>
    <s v="Зелень"/>
    <s v="Укроп"/>
    <n v="650"/>
    <n v="97"/>
    <n v="63.05"/>
    <x v="3"/>
  </r>
  <r>
    <x v="58"/>
    <s v="Соседи"/>
    <s v="Борисов"/>
    <s v="Овощи"/>
    <s v="Кабачки"/>
    <n v="325"/>
    <n v="100"/>
    <n v="32.5"/>
    <x v="3"/>
  </r>
  <r>
    <x v="58"/>
    <s v="Копеечка"/>
    <s v="Борисов"/>
    <s v="Овощи"/>
    <s v="Картофель"/>
    <n v="690"/>
    <n v="68"/>
    <n v="46.92"/>
    <x v="3"/>
  </r>
  <r>
    <x v="58"/>
    <s v="Копеечка"/>
    <s v="Борисов"/>
    <s v="Овощи"/>
    <s v="Свекла"/>
    <n v="450"/>
    <n v="79"/>
    <n v="35.549999999999997"/>
    <x v="3"/>
  </r>
  <r>
    <x v="58"/>
    <s v="Копеечка"/>
    <s v="Борисов"/>
    <s v="Ягоды"/>
    <s v="Брусника"/>
    <n v="1670"/>
    <n v="96"/>
    <n v="160.32"/>
    <x v="3"/>
  </r>
  <r>
    <x v="58"/>
    <s v="Соседи"/>
    <s v="Жодино"/>
    <s v="Зелень"/>
    <s v="Кинза"/>
    <n v="650"/>
    <n v="64"/>
    <n v="41.6"/>
    <x v="3"/>
  </r>
  <r>
    <x v="58"/>
    <s v="Копеечка"/>
    <s v="Жодино"/>
    <s v="Овощи"/>
    <s v="Морковь"/>
    <n v="715"/>
    <n v="51"/>
    <n v="36.465000000000003"/>
    <x v="3"/>
  </r>
  <r>
    <x v="58"/>
    <s v="Евроопт"/>
    <s v="Жодино"/>
    <s v="Ягоды"/>
    <s v="Брусника"/>
    <n v="1670"/>
    <n v="77"/>
    <n v="128.59"/>
    <x v="3"/>
  </r>
  <r>
    <x v="58"/>
    <s v="Евроопт"/>
    <s v="Минск"/>
    <s v="Овощи"/>
    <s v="Баклажаны"/>
    <n v="890"/>
    <n v="22"/>
    <n v="19.579999999999998"/>
    <x v="3"/>
  </r>
  <r>
    <x v="58"/>
    <s v="Соседи"/>
    <s v="Минск"/>
    <s v="Овощи"/>
    <s v="Морковь"/>
    <n v="715"/>
    <n v="8"/>
    <n v="5.72"/>
    <x v="3"/>
  </r>
  <r>
    <x v="58"/>
    <s v="Евроопт"/>
    <s v="Минск"/>
    <s v="Овощи"/>
    <s v="Свекла"/>
    <n v="450"/>
    <n v="12"/>
    <n v="5.4"/>
    <x v="3"/>
  </r>
  <r>
    <x v="58"/>
    <s v="Виталюр"/>
    <s v="Минск"/>
    <s v="Ягоды"/>
    <s v="Черешня"/>
    <n v="1760"/>
    <n v="49"/>
    <n v="86.24"/>
    <x v="3"/>
  </r>
  <r>
    <x v="58"/>
    <s v="Виталюр"/>
    <s v="Минск"/>
    <s v="Ягоды"/>
    <s v="Черешня"/>
    <n v="1760"/>
    <n v="99"/>
    <n v="174.24"/>
    <x v="3"/>
  </r>
  <r>
    <x v="58"/>
    <s v="Копеечка"/>
    <s v="Минск"/>
    <s v="Ягоды"/>
    <s v="Смородина черная"/>
    <n v="1505"/>
    <n v="96"/>
    <n v="144.47999999999999"/>
    <x v="3"/>
  </r>
  <r>
    <x v="58"/>
    <s v="Виталюр"/>
    <s v="Столбцы"/>
    <s v="Зелень"/>
    <s v="Петрушка"/>
    <n v="640"/>
    <n v="25"/>
    <n v="16"/>
    <x v="3"/>
  </r>
  <r>
    <x v="58"/>
    <s v="Соседи"/>
    <s v="Столбцы"/>
    <s v="Овощи"/>
    <s v="Свекла"/>
    <n v="450"/>
    <n v="12"/>
    <n v="5.4"/>
    <x v="3"/>
  </r>
  <r>
    <x v="58"/>
    <s v="Копеечка"/>
    <s v="Столбцы"/>
    <s v="Овощи"/>
    <s v="Капуста"/>
    <n v="460"/>
    <n v="89"/>
    <n v="40.94"/>
    <x v="3"/>
  </r>
  <r>
    <x v="58"/>
    <s v="Евроопт"/>
    <s v="Столбцы"/>
    <s v="Фрукты"/>
    <s v="Абрикосы"/>
    <n v="1320"/>
    <n v="11"/>
    <n v="14.52"/>
    <x v="3"/>
  </r>
  <r>
    <x v="58"/>
    <s v="Виталюр"/>
    <s v="Фаниполь"/>
    <s v="Зелень"/>
    <s v="Салат айсберг"/>
    <n v="1380"/>
    <n v="31"/>
    <n v="42.78"/>
    <x v="3"/>
  </r>
  <r>
    <x v="58"/>
    <s v="Евроопт"/>
    <s v="Фаниполь"/>
    <s v="Зелень"/>
    <s v="Салат айсберг"/>
    <n v="1380"/>
    <n v="92"/>
    <n v="126.96"/>
    <x v="3"/>
  </r>
  <r>
    <x v="59"/>
    <m/>
    <m/>
    <m/>
    <m/>
    <m/>
    <m/>
    <n v="1311.4350000000002"/>
    <x v="3"/>
  </r>
  <r>
    <x v="60"/>
    <s v="Соседи"/>
    <s v="Барановичи"/>
    <s v="Зелень"/>
    <s v="Салат римский"/>
    <n v="540"/>
    <n v="21"/>
    <n v="11.34"/>
    <x v="3"/>
  </r>
  <r>
    <x v="60"/>
    <s v="Соседи"/>
    <s v="Барановичи"/>
    <s v="Зелень"/>
    <s v="Салат айсберг"/>
    <n v="1380"/>
    <n v="70"/>
    <n v="96.6"/>
    <x v="3"/>
  </r>
  <r>
    <x v="60"/>
    <s v="Виталюр"/>
    <s v="Барановичи"/>
    <s v="Овощи"/>
    <s v="Морковь"/>
    <n v="715"/>
    <n v="48"/>
    <n v="34.32"/>
    <x v="3"/>
  </r>
  <r>
    <x v="60"/>
    <s v="Соседи"/>
    <s v="Борисов"/>
    <s v="Зелень"/>
    <s v="Кинза"/>
    <n v="650"/>
    <n v="49"/>
    <n v="31.85"/>
    <x v="3"/>
  </r>
  <r>
    <x v="60"/>
    <s v="Евроопт"/>
    <s v="Борисов"/>
    <s v="Овощи"/>
    <s v="Баклажаны"/>
    <n v="890"/>
    <n v="5"/>
    <n v="4.45"/>
    <x v="3"/>
  </r>
  <r>
    <x v="60"/>
    <s v="Евроопт"/>
    <s v="Борисов"/>
    <s v="Овощи"/>
    <s v="Капуста"/>
    <n v="460"/>
    <n v="71"/>
    <n v="32.659999999999997"/>
    <x v="3"/>
  </r>
  <r>
    <x v="60"/>
    <s v="Евроопт"/>
    <s v="Борисов"/>
    <s v="Овощи"/>
    <s v="Морковь"/>
    <n v="715"/>
    <n v="59"/>
    <n v="42.185000000000002"/>
    <x v="3"/>
  </r>
  <r>
    <x v="60"/>
    <s v="Евроопт"/>
    <s v="Борисов"/>
    <s v="Фрукты"/>
    <s v="Бананы"/>
    <n v="2400"/>
    <n v="57"/>
    <n v="136.80000000000001"/>
    <x v="3"/>
  </r>
  <r>
    <x v="60"/>
    <s v="Евроопт"/>
    <s v="Борисов"/>
    <s v="Фрукты"/>
    <s v="Груши"/>
    <n v="1420"/>
    <n v="53"/>
    <n v="75.260000000000005"/>
    <x v="3"/>
  </r>
  <r>
    <x v="60"/>
    <s v="Евроопт"/>
    <s v="Минск"/>
    <s v="Зелень"/>
    <s v="Салат римский"/>
    <n v="540"/>
    <n v="5"/>
    <n v="2.7"/>
    <x v="3"/>
  </r>
  <r>
    <x v="60"/>
    <s v="Евроопт"/>
    <s v="Минск"/>
    <s v="Фрукты"/>
    <s v="Абрикосы"/>
    <n v="1320"/>
    <n v="36"/>
    <n v="47.52"/>
    <x v="3"/>
  </r>
  <r>
    <x v="60"/>
    <s v="Виталюр"/>
    <s v="Минск"/>
    <s v="Ягоды"/>
    <s v="Малина"/>
    <n v="2970"/>
    <n v="15"/>
    <n v="44.55"/>
    <x v="3"/>
  </r>
  <r>
    <x v="60"/>
    <s v="Соседи"/>
    <s v="Столбцы"/>
    <s v="Зелень"/>
    <s v="Петрушка"/>
    <n v="640"/>
    <n v="57"/>
    <n v="36.479999999999997"/>
    <x v="3"/>
  </r>
  <r>
    <x v="60"/>
    <s v="Копеечка"/>
    <s v="Столбцы"/>
    <s v="Овощи"/>
    <s v="Кабачки"/>
    <n v="325"/>
    <n v="21"/>
    <n v="6.8250000000000002"/>
    <x v="3"/>
  </r>
  <r>
    <x v="60"/>
    <s v="Копеечка"/>
    <s v="Столбцы"/>
    <s v="Ягоды"/>
    <s v="Брусника"/>
    <n v="1670"/>
    <n v="70"/>
    <n v="116.9"/>
    <x v="3"/>
  </r>
  <r>
    <x v="60"/>
    <s v="Евроопт"/>
    <s v="Столбцы"/>
    <s v="Ягоды"/>
    <s v="Клубника"/>
    <n v="2460"/>
    <n v="45"/>
    <n v="110.7"/>
    <x v="3"/>
  </r>
  <r>
    <x v="60"/>
    <s v="Виталюр"/>
    <s v="Фаниполь"/>
    <s v="Зелень"/>
    <s v="Лук зеленый"/>
    <n v="705"/>
    <n v="51"/>
    <n v="35.954999999999998"/>
    <x v="3"/>
  </r>
  <r>
    <x v="60"/>
    <s v="Евроопт"/>
    <s v="Фаниполь"/>
    <s v="Зелень"/>
    <s v="Лук зеленый"/>
    <n v="705"/>
    <n v="59"/>
    <n v="41.594999999999999"/>
    <x v="3"/>
  </r>
  <r>
    <x v="60"/>
    <s v="Виталюр"/>
    <s v="Фаниполь"/>
    <s v="Овощи"/>
    <s v="Свекла"/>
    <n v="450"/>
    <n v="55"/>
    <n v="24.75"/>
    <x v="3"/>
  </r>
  <r>
    <x v="60"/>
    <s v="Соседи"/>
    <s v="Фаниполь"/>
    <s v="Фрукты"/>
    <s v="Апельсины"/>
    <n v="2540"/>
    <n v="93"/>
    <n v="236.22"/>
    <x v="3"/>
  </r>
  <r>
    <x v="61"/>
    <m/>
    <m/>
    <m/>
    <m/>
    <m/>
    <m/>
    <n v="1169.6600000000001"/>
    <x v="3"/>
  </r>
  <r>
    <x v="62"/>
    <s v="Копеечка"/>
    <s v="Барановичи"/>
    <s v="Зелень"/>
    <s v="Кинза"/>
    <n v="650"/>
    <n v="34"/>
    <n v="22.1"/>
    <x v="3"/>
  </r>
  <r>
    <x v="62"/>
    <s v="Копеечка"/>
    <s v="Барановичи"/>
    <s v="Овощи"/>
    <s v="Свекла"/>
    <n v="450"/>
    <n v="15"/>
    <n v="6.75"/>
    <x v="3"/>
  </r>
  <r>
    <x v="62"/>
    <s v="Соседи"/>
    <s v="Барановичи"/>
    <s v="Овощи"/>
    <s v="Картофель"/>
    <n v="690"/>
    <n v="69"/>
    <n v="47.61"/>
    <x v="3"/>
  </r>
  <r>
    <x v="62"/>
    <s v="Евроопт"/>
    <s v="Барановичи"/>
    <s v="Овощи"/>
    <s v="Свекла"/>
    <n v="450"/>
    <n v="44"/>
    <n v="19.8"/>
    <x v="3"/>
  </r>
  <r>
    <x v="62"/>
    <s v="Виталюр"/>
    <s v="Барановичи"/>
    <s v="Фрукты"/>
    <s v="Бананы"/>
    <n v="2400"/>
    <n v="26"/>
    <n v="62.4"/>
    <x v="3"/>
  </r>
  <r>
    <x v="62"/>
    <s v="Виталюр"/>
    <s v="Барановичи"/>
    <s v="Ягоды"/>
    <s v="Клубника"/>
    <n v="2460"/>
    <n v="32"/>
    <n v="78.72"/>
    <x v="3"/>
  </r>
  <r>
    <x v="62"/>
    <s v="Соседи"/>
    <s v="Борисов"/>
    <s v="Овощи"/>
    <s v="Свекла"/>
    <n v="450"/>
    <n v="88"/>
    <n v="39.6"/>
    <x v="3"/>
  </r>
  <r>
    <x v="62"/>
    <s v="Копеечка"/>
    <s v="Борисов"/>
    <s v="Овощи"/>
    <s v="Кабачки"/>
    <n v="325"/>
    <n v="21"/>
    <n v="6.8250000000000002"/>
    <x v="3"/>
  </r>
  <r>
    <x v="62"/>
    <s v="Виталюр"/>
    <s v="Борисов"/>
    <s v="Овощи"/>
    <s v="Баклажаны"/>
    <n v="890"/>
    <n v="32"/>
    <n v="28.48"/>
    <x v="3"/>
  </r>
  <r>
    <x v="62"/>
    <s v="Соседи"/>
    <s v="Борисов"/>
    <s v="Ягоды"/>
    <s v="Голубика"/>
    <n v="3205"/>
    <n v="8"/>
    <n v="25.64"/>
    <x v="3"/>
  </r>
  <r>
    <x v="62"/>
    <s v="Соседи"/>
    <s v="Борисов"/>
    <s v="Ягоды"/>
    <s v="Клубника"/>
    <n v="2460"/>
    <n v="77"/>
    <n v="189.42"/>
    <x v="3"/>
  </r>
  <r>
    <x v="62"/>
    <s v="Виталюр"/>
    <s v="Борисов"/>
    <s v="Ягоды"/>
    <s v="Черешня"/>
    <n v="1760"/>
    <n v="32"/>
    <n v="56.32"/>
    <x v="3"/>
  </r>
  <r>
    <x v="62"/>
    <s v="Виталюр"/>
    <s v="Жодино"/>
    <s v="Зелень"/>
    <s v="Салат айсберг"/>
    <n v="1380"/>
    <n v="70"/>
    <n v="96.6"/>
    <x v="3"/>
  </r>
  <r>
    <x v="62"/>
    <s v="Соседи"/>
    <s v="Жодино"/>
    <s v="Зелень"/>
    <s v="Петрушка"/>
    <n v="640"/>
    <n v="74"/>
    <n v="47.36"/>
    <x v="3"/>
  </r>
  <r>
    <x v="62"/>
    <s v="Копеечка"/>
    <s v="Минск"/>
    <s v="Зелень"/>
    <s v="Салат римский"/>
    <n v="540"/>
    <n v="16"/>
    <n v="8.64"/>
    <x v="3"/>
  </r>
  <r>
    <x v="62"/>
    <s v="Евроопт"/>
    <s v="Минск"/>
    <s v="Ягоды"/>
    <s v="Черешня"/>
    <n v="1760"/>
    <n v="48"/>
    <n v="84.48"/>
    <x v="3"/>
  </r>
  <r>
    <x v="62"/>
    <s v="Виталюр"/>
    <s v="Столбцы"/>
    <s v="Зелень"/>
    <s v="Салат римский"/>
    <n v="540"/>
    <n v="86"/>
    <n v="46.44"/>
    <x v="3"/>
  </r>
  <r>
    <x v="62"/>
    <s v="Виталюр"/>
    <s v="Столбцы"/>
    <s v="Фрукты"/>
    <s v="Груши"/>
    <n v="1420"/>
    <n v="27"/>
    <n v="38.340000000000003"/>
    <x v="3"/>
  </r>
  <r>
    <x v="62"/>
    <s v="Соседи"/>
    <s v="Столбцы"/>
    <s v="Фрукты"/>
    <s v="Яблоки"/>
    <n v="1230"/>
    <n v="64"/>
    <n v="78.72"/>
    <x v="3"/>
  </r>
  <r>
    <x v="62"/>
    <s v="Копеечка"/>
    <s v="Столбцы"/>
    <s v="Фрукты"/>
    <s v="Бананы"/>
    <n v="2400"/>
    <n v="90"/>
    <n v="216"/>
    <x v="3"/>
  </r>
  <r>
    <x v="62"/>
    <s v="Евроопт"/>
    <s v="Фаниполь"/>
    <s v="Овощи"/>
    <s v="Свекла"/>
    <n v="450"/>
    <n v="12"/>
    <n v="5.4"/>
    <x v="3"/>
  </r>
  <r>
    <x v="62"/>
    <s v="Виталюр"/>
    <s v="Фаниполь"/>
    <s v="Ягоды"/>
    <s v="Смородина черная"/>
    <n v="1505"/>
    <n v="25"/>
    <n v="37.625"/>
    <x v="3"/>
  </r>
  <r>
    <x v="62"/>
    <s v="Евроопт"/>
    <s v="Фаниполь"/>
    <s v="Ягоды"/>
    <s v="Малина"/>
    <n v="2970"/>
    <n v="62"/>
    <n v="184.14"/>
    <x v="3"/>
  </r>
  <r>
    <x v="63"/>
    <m/>
    <m/>
    <m/>
    <m/>
    <m/>
    <m/>
    <n v="1427.4100000000003"/>
    <x v="3"/>
  </r>
  <r>
    <x v="64"/>
    <s v="Копеечка"/>
    <s v="Барановичи"/>
    <s v="Зелень"/>
    <s v="Петрушка"/>
    <n v="640"/>
    <n v="57"/>
    <n v="36.479999999999997"/>
    <x v="3"/>
  </r>
  <r>
    <x v="64"/>
    <s v="Копеечка"/>
    <s v="Барановичи"/>
    <s v="Зелень"/>
    <s v="Салат римский"/>
    <n v="540"/>
    <n v="6"/>
    <n v="3.24"/>
    <x v="3"/>
  </r>
  <r>
    <x v="64"/>
    <s v="Виталюр"/>
    <s v="Барановичи"/>
    <s v="Ягоды"/>
    <s v="Брусника"/>
    <n v="1670"/>
    <n v="65"/>
    <n v="108.55"/>
    <x v="3"/>
  </r>
  <r>
    <x v="64"/>
    <s v="Евроопт"/>
    <s v="Барановичи"/>
    <s v="Ягоды"/>
    <s v="Малина"/>
    <n v="2970"/>
    <n v="38"/>
    <n v="112.86"/>
    <x v="3"/>
  </r>
  <r>
    <x v="64"/>
    <s v="Евроопт"/>
    <s v="Борисов"/>
    <s v="Зелень"/>
    <s v="Салат айсберг"/>
    <n v="1380"/>
    <n v="24"/>
    <n v="33.119999999999997"/>
    <x v="3"/>
  </r>
  <r>
    <x v="64"/>
    <s v="Евроопт"/>
    <s v="Борисов"/>
    <s v="Зелень"/>
    <s v="Укроп"/>
    <n v="650"/>
    <n v="83"/>
    <n v="53.95"/>
    <x v="3"/>
  </r>
  <r>
    <x v="64"/>
    <s v="Евроопт"/>
    <s v="Борисов"/>
    <s v="Фрукты"/>
    <s v="Груши"/>
    <n v="1420"/>
    <n v="68"/>
    <n v="96.56"/>
    <x v="3"/>
  </r>
  <r>
    <x v="64"/>
    <s v="Виталюр"/>
    <s v="Борисов"/>
    <s v="Фрукты"/>
    <s v="Груши"/>
    <n v="1420"/>
    <n v="88"/>
    <n v="124.96"/>
    <x v="3"/>
  </r>
  <r>
    <x v="64"/>
    <s v="Виталюр"/>
    <s v="Жодино"/>
    <s v="Овощи"/>
    <s v="Баклажаны"/>
    <n v="890"/>
    <n v="10"/>
    <n v="8.9"/>
    <x v="3"/>
  </r>
  <r>
    <x v="64"/>
    <s v="Копеечка"/>
    <s v="Жодино"/>
    <s v="Фрукты"/>
    <s v="Груши"/>
    <n v="1420"/>
    <n v="59"/>
    <n v="83.78"/>
    <x v="3"/>
  </r>
  <r>
    <x v="64"/>
    <s v="Виталюр"/>
    <s v="Столбцы"/>
    <s v="Зелень"/>
    <s v="Укроп"/>
    <n v="650"/>
    <n v="48"/>
    <n v="31.2"/>
    <x v="3"/>
  </r>
  <r>
    <x v="64"/>
    <s v="Виталюр"/>
    <s v="Столбцы"/>
    <s v="Фрукты"/>
    <s v="Груши"/>
    <n v="1420"/>
    <n v="73"/>
    <n v="103.66"/>
    <x v="3"/>
  </r>
  <r>
    <x v="64"/>
    <s v="Соседи"/>
    <s v="Столбцы"/>
    <s v="Фрукты"/>
    <s v="Груши"/>
    <n v="1420"/>
    <n v="75"/>
    <n v="106.5"/>
    <x v="3"/>
  </r>
  <r>
    <x v="64"/>
    <s v="Евроопт"/>
    <s v="Фаниполь"/>
    <s v="Зелень"/>
    <s v="Салат римский"/>
    <n v="540"/>
    <n v="59"/>
    <n v="31.86"/>
    <x v="3"/>
  </r>
  <r>
    <x v="64"/>
    <s v="Евроопт"/>
    <s v="Фаниполь"/>
    <s v="Овощи"/>
    <s v="Капуста"/>
    <n v="460"/>
    <n v="51"/>
    <n v="23.46"/>
    <x v="3"/>
  </r>
  <r>
    <x v="64"/>
    <s v="Евроопт"/>
    <s v="Фаниполь"/>
    <s v="Фрукты"/>
    <s v="Абрикосы"/>
    <n v="1320"/>
    <n v="33"/>
    <n v="43.56"/>
    <x v="3"/>
  </r>
  <r>
    <x v="64"/>
    <s v="Соседи"/>
    <s v="Фаниполь"/>
    <s v="Ягоды"/>
    <s v="Малина"/>
    <n v="2970"/>
    <n v="50"/>
    <n v="148.5"/>
    <x v="3"/>
  </r>
  <r>
    <x v="64"/>
    <s v="Евроопт"/>
    <s v="Фаниполь"/>
    <s v="Ягоды"/>
    <s v="Клубника"/>
    <n v="2460"/>
    <n v="63"/>
    <n v="154.97999999999999"/>
    <x v="3"/>
  </r>
  <r>
    <x v="65"/>
    <m/>
    <m/>
    <m/>
    <m/>
    <m/>
    <m/>
    <n v="1306.1200000000001"/>
    <x v="3"/>
  </r>
  <r>
    <x v="66"/>
    <s v="Евроопт"/>
    <s v="Барановичи"/>
    <s v="Зелень"/>
    <s v="Салат айсберг"/>
    <n v="1380"/>
    <n v="35"/>
    <n v="48.3"/>
    <x v="3"/>
  </r>
  <r>
    <x v="66"/>
    <s v="Виталюр"/>
    <s v="Барановичи"/>
    <s v="Фрукты"/>
    <s v="Яблоки"/>
    <n v="1230"/>
    <n v="88"/>
    <n v="108.24"/>
    <x v="3"/>
  </r>
  <r>
    <x v="66"/>
    <s v="Копеечка"/>
    <s v="Барановичи"/>
    <s v="Фрукты"/>
    <s v="Сливы"/>
    <n v="930"/>
    <n v="64"/>
    <n v="59.52"/>
    <x v="3"/>
  </r>
  <r>
    <x v="66"/>
    <s v="Копеечка"/>
    <s v="Борисов"/>
    <s v="Овощи"/>
    <s v="Свекла"/>
    <n v="450"/>
    <n v="51"/>
    <n v="22.95"/>
    <x v="3"/>
  </r>
  <r>
    <x v="66"/>
    <s v="Соседи"/>
    <s v="Борисов"/>
    <s v="Овощи"/>
    <s v="Баклажаны"/>
    <n v="890"/>
    <n v="8"/>
    <n v="7.12"/>
    <x v="3"/>
  </r>
  <r>
    <x v="66"/>
    <s v="Копеечка"/>
    <s v="Жодино"/>
    <s v="Зелень"/>
    <s v="Петрушка"/>
    <n v="640"/>
    <n v="17"/>
    <n v="10.88"/>
    <x v="3"/>
  </r>
  <r>
    <x v="66"/>
    <s v="Соседи"/>
    <s v="Жодино"/>
    <s v="Овощи"/>
    <s v="Баклажаны"/>
    <n v="890"/>
    <n v="16"/>
    <n v="14.24"/>
    <x v="3"/>
  </r>
  <r>
    <x v="66"/>
    <s v="Евроопт"/>
    <s v="Минск"/>
    <s v="Зелень"/>
    <s v="Салат римский"/>
    <n v="540"/>
    <n v="98"/>
    <n v="52.92"/>
    <x v="3"/>
  </r>
  <r>
    <x v="66"/>
    <s v="Евроопт"/>
    <s v="Минск"/>
    <s v="Зелень"/>
    <s v="Салат айсберг"/>
    <n v="1380"/>
    <n v="35"/>
    <n v="48.3"/>
    <x v="3"/>
  </r>
  <r>
    <x v="66"/>
    <s v="Евроопт"/>
    <s v="Столбцы"/>
    <s v="Зелень"/>
    <s v="Кинза"/>
    <n v="650"/>
    <n v="99"/>
    <n v="64.349999999999994"/>
    <x v="3"/>
  </r>
  <r>
    <x v="66"/>
    <s v="Соседи"/>
    <s v="Столбцы"/>
    <s v="Фрукты"/>
    <s v="Апельсины"/>
    <n v="2540"/>
    <n v="46"/>
    <n v="116.84"/>
    <x v="3"/>
  </r>
  <r>
    <x v="66"/>
    <s v="Соседи"/>
    <s v="Столбцы"/>
    <s v="Фрукты"/>
    <s v="Бананы"/>
    <n v="2400"/>
    <n v="58"/>
    <n v="139.19999999999999"/>
    <x v="3"/>
  </r>
  <r>
    <x v="66"/>
    <s v="Виталюр"/>
    <s v="Столбцы"/>
    <s v="Фрукты"/>
    <s v="Абрикосы"/>
    <n v="1320"/>
    <n v="83"/>
    <n v="109.56"/>
    <x v="3"/>
  </r>
  <r>
    <x v="66"/>
    <s v="Виталюр"/>
    <s v="Столбцы"/>
    <s v="Фрукты"/>
    <s v="Абрикосы"/>
    <n v="1320"/>
    <n v="57"/>
    <n v="75.239999999999995"/>
    <x v="3"/>
  </r>
  <r>
    <x v="66"/>
    <s v="Соседи"/>
    <s v="Столбцы"/>
    <s v="Ягоды"/>
    <s v="Клубника"/>
    <n v="2460"/>
    <n v="43"/>
    <n v="105.78"/>
    <x v="3"/>
  </r>
  <r>
    <x v="66"/>
    <s v="Евроопт"/>
    <s v="Фаниполь"/>
    <s v="Зелень"/>
    <s v="Кинза"/>
    <n v="650"/>
    <n v="71"/>
    <n v="46.15"/>
    <x v="3"/>
  </r>
  <r>
    <x v="66"/>
    <s v="Виталюр"/>
    <s v="Фаниполь"/>
    <s v="Овощи"/>
    <s v="Баклажаны"/>
    <n v="890"/>
    <n v="39"/>
    <n v="34.71"/>
    <x v="3"/>
  </r>
  <r>
    <x v="66"/>
    <s v="Евроопт"/>
    <s v="Фаниполь"/>
    <s v="Овощи"/>
    <s v="Капуста"/>
    <n v="460"/>
    <n v="80"/>
    <n v="36.799999999999997"/>
    <x v="3"/>
  </r>
  <r>
    <x v="66"/>
    <s v="Евроопт"/>
    <s v="Фаниполь"/>
    <s v="Ягоды"/>
    <s v="Голубика"/>
    <n v="3205"/>
    <n v="46"/>
    <n v="147.43"/>
    <x v="3"/>
  </r>
  <r>
    <x v="67"/>
    <m/>
    <m/>
    <m/>
    <m/>
    <m/>
    <m/>
    <n v="1248.5300000000002"/>
    <x v="3"/>
  </r>
  <r>
    <x v="68"/>
    <s v="Евроопт"/>
    <s v="Барановичи"/>
    <s v="Зелень"/>
    <s v="Укроп"/>
    <n v="650"/>
    <n v="30"/>
    <n v="19.5"/>
    <x v="3"/>
  </r>
  <r>
    <x v="68"/>
    <s v="Евроопт"/>
    <s v="Барановичи"/>
    <s v="Овощи"/>
    <s v="Свекла"/>
    <n v="450"/>
    <n v="21"/>
    <n v="9.4499999999999993"/>
    <x v="3"/>
  </r>
  <r>
    <x v="68"/>
    <s v="Евроопт"/>
    <s v="Борисов"/>
    <s v="Зелень"/>
    <s v="Кинза"/>
    <n v="650"/>
    <n v="48"/>
    <n v="31.2"/>
    <x v="3"/>
  </r>
  <r>
    <x v="68"/>
    <s v="Виталюр"/>
    <s v="Борисов"/>
    <s v="Зелень"/>
    <s v="Салат айсберг"/>
    <n v="1380"/>
    <n v="28"/>
    <n v="38.64"/>
    <x v="3"/>
  </r>
  <r>
    <x v="68"/>
    <s v="Соседи"/>
    <s v="Борисов"/>
    <s v="Овощи"/>
    <s v="Свекла"/>
    <n v="450"/>
    <n v="55"/>
    <n v="24.75"/>
    <x v="3"/>
  </r>
  <r>
    <x v="68"/>
    <s v="Евроопт"/>
    <s v="Борисов"/>
    <s v="Овощи"/>
    <s v="Баклажаны"/>
    <n v="890"/>
    <n v="34"/>
    <n v="30.26"/>
    <x v="3"/>
  </r>
  <r>
    <x v="68"/>
    <s v="Копеечка"/>
    <s v="Борисов"/>
    <s v="Фрукты"/>
    <s v="Абрикосы"/>
    <n v="1320"/>
    <n v="62"/>
    <n v="81.84"/>
    <x v="3"/>
  </r>
  <r>
    <x v="68"/>
    <s v="Копеечка"/>
    <s v="Борисов"/>
    <s v="Фрукты"/>
    <s v="Сливы"/>
    <n v="930"/>
    <n v="97"/>
    <n v="90.21"/>
    <x v="3"/>
  </r>
  <r>
    <x v="68"/>
    <s v="Копеечка"/>
    <s v="Борисов"/>
    <s v="Фрукты"/>
    <s v="Груши"/>
    <n v="1420"/>
    <n v="84"/>
    <n v="119.28"/>
    <x v="3"/>
  </r>
  <r>
    <x v="68"/>
    <s v="Соседи"/>
    <s v="Борисов"/>
    <s v="Фрукты"/>
    <s v="Абрикосы"/>
    <n v="1320"/>
    <n v="77"/>
    <n v="101.64"/>
    <x v="3"/>
  </r>
  <r>
    <x v="68"/>
    <s v="Виталюр"/>
    <s v="Борисов"/>
    <s v="Фрукты"/>
    <s v="Бананы"/>
    <n v="2400"/>
    <n v="30"/>
    <n v="72"/>
    <x v="3"/>
  </r>
  <r>
    <x v="68"/>
    <s v="Евроопт"/>
    <s v="Борисов"/>
    <s v="Ягоды"/>
    <s v="Брусника"/>
    <n v="1670"/>
    <n v="80"/>
    <n v="133.6"/>
    <x v="3"/>
  </r>
  <r>
    <x v="68"/>
    <s v="Евроопт"/>
    <s v="Борисов"/>
    <s v="Ягоды"/>
    <s v="Брусника"/>
    <n v="1670"/>
    <n v="57"/>
    <n v="95.19"/>
    <x v="3"/>
  </r>
  <r>
    <x v="68"/>
    <s v="Копеечка"/>
    <s v="Жодино"/>
    <s v="Фрукты"/>
    <s v="Груши"/>
    <n v="1420"/>
    <n v="28"/>
    <n v="39.76"/>
    <x v="3"/>
  </r>
  <r>
    <x v="68"/>
    <s v="Виталюр"/>
    <s v="Жодино"/>
    <s v="Ягоды"/>
    <s v="Брусника"/>
    <n v="1670"/>
    <n v="46"/>
    <n v="76.819999999999993"/>
    <x v="3"/>
  </r>
  <r>
    <x v="68"/>
    <s v="Евроопт"/>
    <s v="Жодино"/>
    <s v="Ягоды"/>
    <s v="Клубника"/>
    <n v="2460"/>
    <n v="64"/>
    <n v="157.44"/>
    <x v="3"/>
  </r>
  <r>
    <x v="68"/>
    <s v="Соседи"/>
    <s v="Столбцы"/>
    <s v="Зелень"/>
    <s v="Салат айсберг"/>
    <n v="1380"/>
    <n v="7"/>
    <n v="9.66"/>
    <x v="3"/>
  </r>
  <r>
    <x v="68"/>
    <s v="Копеечка"/>
    <s v="Столбцы"/>
    <s v="Овощи"/>
    <s v="Свекла"/>
    <n v="450"/>
    <n v="26"/>
    <n v="11.7"/>
    <x v="3"/>
  </r>
  <r>
    <x v="68"/>
    <s v="Виталюр"/>
    <s v="Столбцы"/>
    <s v="Ягоды"/>
    <s v="Клубника"/>
    <n v="2460"/>
    <n v="5"/>
    <n v="12.3"/>
    <x v="3"/>
  </r>
  <r>
    <x v="68"/>
    <s v="Копеечка"/>
    <s v="Фаниполь"/>
    <s v="Зелень"/>
    <s v="Укроп"/>
    <n v="650"/>
    <n v="13"/>
    <n v="8.4499999999999993"/>
    <x v="3"/>
  </r>
  <r>
    <x v="68"/>
    <s v="Соседи"/>
    <s v="Фаниполь"/>
    <s v="Овощи"/>
    <s v="Свекла"/>
    <n v="450"/>
    <n v="35"/>
    <n v="15.75"/>
    <x v="3"/>
  </r>
  <r>
    <x v="68"/>
    <s v="Соседи"/>
    <s v="Фаниполь"/>
    <s v="Фрукты"/>
    <s v="Бананы"/>
    <n v="2400"/>
    <n v="13"/>
    <n v="31.2"/>
    <x v="3"/>
  </r>
  <r>
    <x v="68"/>
    <s v="Виталюр"/>
    <s v="Фаниполь"/>
    <s v="Ягоды"/>
    <s v="Смородина черная"/>
    <n v="1505"/>
    <n v="36"/>
    <n v="54.18"/>
    <x v="3"/>
  </r>
  <r>
    <x v="68"/>
    <s v="Виталюр"/>
    <s v="Фаниполь"/>
    <s v="Ягоды"/>
    <s v="Смородина черная"/>
    <n v="1505"/>
    <n v="87"/>
    <n v="130.935"/>
    <x v="3"/>
  </r>
  <r>
    <x v="68"/>
    <s v="Копеечка"/>
    <s v="Фаниполь"/>
    <s v="Ягоды"/>
    <s v="Клубника"/>
    <n v="2460"/>
    <n v="38"/>
    <n v="93.48"/>
    <x v="3"/>
  </r>
  <r>
    <x v="69"/>
    <m/>
    <m/>
    <m/>
    <m/>
    <m/>
    <m/>
    <n v="1489.2350000000001"/>
    <x v="3"/>
  </r>
  <r>
    <x v="70"/>
    <s v="Евроопт"/>
    <s v="Барановичи"/>
    <s v="Зелень"/>
    <s v="Петрушка"/>
    <n v="640"/>
    <n v="71"/>
    <n v="45.44"/>
    <x v="3"/>
  </r>
  <r>
    <x v="70"/>
    <s v="Соседи"/>
    <s v="Барановичи"/>
    <s v="Фрукты"/>
    <s v="Сливы"/>
    <n v="930"/>
    <n v="42"/>
    <n v="39.06"/>
    <x v="3"/>
  </r>
  <r>
    <x v="70"/>
    <s v="Копеечка"/>
    <s v="Барановичи"/>
    <s v="Ягоды"/>
    <s v="Голубика"/>
    <n v="3205"/>
    <n v="76"/>
    <n v="243.58"/>
    <x v="3"/>
  </r>
  <r>
    <x v="70"/>
    <s v="Евроопт"/>
    <s v="Борисов"/>
    <s v="Зелень"/>
    <s v="Укроп"/>
    <n v="650"/>
    <n v="66"/>
    <n v="42.9"/>
    <x v="3"/>
  </r>
  <r>
    <x v="70"/>
    <s v="Виталюр"/>
    <s v="Борисов"/>
    <s v="Овощи"/>
    <s v="Картофель"/>
    <n v="690"/>
    <n v="37"/>
    <n v="25.53"/>
    <x v="3"/>
  </r>
  <r>
    <x v="70"/>
    <s v="Виталюр"/>
    <s v="Борисов"/>
    <s v="Ягоды"/>
    <s v="Клубника"/>
    <n v="2460"/>
    <n v="48"/>
    <n v="118.08"/>
    <x v="3"/>
  </r>
  <r>
    <x v="70"/>
    <s v="Виталюр"/>
    <s v="Жодино"/>
    <s v="Ягоды"/>
    <s v="Клубника"/>
    <n v="2460"/>
    <n v="17"/>
    <n v="41.82"/>
    <x v="3"/>
  </r>
  <r>
    <x v="70"/>
    <s v="Соседи"/>
    <s v="Жодино"/>
    <s v="Ягоды"/>
    <s v="Малина"/>
    <n v="2970"/>
    <n v="72"/>
    <n v="213.84"/>
    <x v="3"/>
  </r>
  <r>
    <x v="70"/>
    <s v="Виталюр"/>
    <s v="Минск"/>
    <s v="Зелень"/>
    <s v="Петрушка"/>
    <n v="640"/>
    <n v="95"/>
    <n v="60.8"/>
    <x v="3"/>
  </r>
  <r>
    <x v="70"/>
    <s v="Виталюр"/>
    <s v="Минск"/>
    <s v="Зелень"/>
    <s v="Лук зеленый"/>
    <n v="705"/>
    <n v="23"/>
    <n v="16.215"/>
    <x v="3"/>
  </r>
  <r>
    <x v="70"/>
    <s v="Евроопт"/>
    <s v="Минск"/>
    <s v="Зелень"/>
    <s v="Лук зеленый"/>
    <n v="705"/>
    <n v="69"/>
    <n v="48.645000000000003"/>
    <x v="3"/>
  </r>
  <r>
    <x v="70"/>
    <s v="Соседи"/>
    <s v="Минск"/>
    <s v="Зелень"/>
    <s v="Укроп"/>
    <n v="650"/>
    <n v="24"/>
    <n v="15.6"/>
    <x v="3"/>
  </r>
  <r>
    <x v="70"/>
    <s v="Копеечка"/>
    <s v="Минск"/>
    <s v="Овощи"/>
    <s v="Морковь"/>
    <n v="715"/>
    <n v="48"/>
    <n v="34.32"/>
    <x v="3"/>
  </r>
  <r>
    <x v="70"/>
    <s v="Виталюр"/>
    <s v="Минск"/>
    <s v="Ягоды"/>
    <s v="Голубика"/>
    <n v="3205"/>
    <n v="21"/>
    <n v="67.305000000000007"/>
    <x v="3"/>
  </r>
  <r>
    <x v="70"/>
    <s v="Евроопт"/>
    <s v="Столбцы"/>
    <s v="Овощи"/>
    <s v="Картофель"/>
    <n v="690"/>
    <n v="7"/>
    <n v="4.83"/>
    <x v="3"/>
  </r>
  <r>
    <x v="70"/>
    <s v="Виталюр"/>
    <s v="Столбцы"/>
    <s v="Фрукты"/>
    <s v="Сливы"/>
    <n v="930"/>
    <n v="15"/>
    <n v="13.95"/>
    <x v="3"/>
  </r>
  <r>
    <x v="70"/>
    <s v="Виталюр"/>
    <s v="Столбцы"/>
    <s v="Фрукты"/>
    <s v="Апельсины"/>
    <n v="2540"/>
    <n v="65"/>
    <n v="165.1"/>
    <x v="3"/>
  </r>
  <r>
    <x v="70"/>
    <s v="Соседи"/>
    <s v="Фаниполь"/>
    <s v="Овощи"/>
    <s v="Свекла"/>
    <n v="450"/>
    <n v="47"/>
    <n v="21.15"/>
    <x v="3"/>
  </r>
  <r>
    <x v="70"/>
    <s v="Евроопт"/>
    <s v="Фаниполь"/>
    <s v="Овощи"/>
    <s v="Капуста"/>
    <n v="460"/>
    <n v="12"/>
    <n v="5.52"/>
    <x v="3"/>
  </r>
  <r>
    <x v="70"/>
    <s v="Евроопт"/>
    <s v="Фаниполь"/>
    <s v="Фрукты"/>
    <s v="Груши"/>
    <n v="1420"/>
    <n v="55"/>
    <n v="78.099999999999994"/>
    <x v="3"/>
  </r>
  <r>
    <x v="71"/>
    <m/>
    <m/>
    <m/>
    <m/>
    <m/>
    <m/>
    <n v="1301.7850000000001"/>
    <x v="3"/>
  </r>
  <r>
    <x v="72"/>
    <s v="Евроопт"/>
    <s v="Барановичи"/>
    <s v="Зелень"/>
    <s v="Кинза"/>
    <n v="650"/>
    <n v="67"/>
    <n v="43.55"/>
    <x v="3"/>
  </r>
  <r>
    <x v="72"/>
    <s v="Копеечка"/>
    <s v="Барановичи"/>
    <s v="Зелень"/>
    <s v="Салат айсберг"/>
    <n v="1380"/>
    <n v="84"/>
    <n v="115.92"/>
    <x v="3"/>
  </r>
  <r>
    <x v="72"/>
    <s v="Евроопт"/>
    <s v="Борисов"/>
    <s v="Ягоды"/>
    <s v="Черешня"/>
    <n v="1760"/>
    <n v="44"/>
    <n v="77.44"/>
    <x v="3"/>
  </r>
  <r>
    <x v="72"/>
    <s v="Виталюр"/>
    <s v="Борисов"/>
    <s v="Ягоды"/>
    <s v="Брусника"/>
    <n v="1670"/>
    <n v="36"/>
    <n v="60.12"/>
    <x v="3"/>
  </r>
  <r>
    <x v="72"/>
    <s v="Соседи"/>
    <s v="Жодино"/>
    <s v="Овощи"/>
    <s v="Свекла"/>
    <n v="450"/>
    <n v="96"/>
    <n v="43.2"/>
    <x v="3"/>
  </r>
  <r>
    <x v="72"/>
    <s v="Соседи"/>
    <s v="Жодино"/>
    <s v="Ягоды"/>
    <s v="Брусника"/>
    <n v="1670"/>
    <n v="52"/>
    <n v="86.84"/>
    <x v="3"/>
  </r>
  <r>
    <x v="72"/>
    <s v="Виталюр"/>
    <s v="Жодино"/>
    <s v="Ягоды"/>
    <s v="Брусника"/>
    <n v="1670"/>
    <n v="27"/>
    <n v="45.09"/>
    <x v="3"/>
  </r>
  <r>
    <x v="72"/>
    <s v="Виталюр"/>
    <s v="Жодино"/>
    <s v="Ягоды"/>
    <s v="Голубика"/>
    <n v="3205"/>
    <n v="56"/>
    <n v="179.48"/>
    <x v="3"/>
  </r>
  <r>
    <x v="72"/>
    <s v="Виталюр"/>
    <s v="Столбцы"/>
    <s v="Зелень"/>
    <s v="Кинза"/>
    <n v="650"/>
    <n v="90"/>
    <n v="58.5"/>
    <x v="3"/>
  </r>
  <r>
    <x v="72"/>
    <s v="Виталюр"/>
    <s v="Столбцы"/>
    <s v="Ягоды"/>
    <s v="Клубника"/>
    <n v="2460"/>
    <n v="61"/>
    <n v="150.06"/>
    <x v="3"/>
  </r>
  <r>
    <x v="72"/>
    <s v="Евроопт"/>
    <s v="Фаниполь"/>
    <s v="Зелень"/>
    <s v="Укроп"/>
    <n v="650"/>
    <n v="34"/>
    <n v="22.1"/>
    <x v="3"/>
  </r>
  <r>
    <x v="73"/>
    <m/>
    <m/>
    <m/>
    <m/>
    <m/>
    <m/>
    <n v="882.30000000000007"/>
    <x v="3"/>
  </r>
  <r>
    <x v="74"/>
    <s v="Евроопт"/>
    <s v="Барановичи"/>
    <s v="Зелень"/>
    <s v="Лук зеленый"/>
    <n v="705"/>
    <n v="61"/>
    <n v="43.005000000000003"/>
    <x v="3"/>
  </r>
  <r>
    <x v="74"/>
    <s v="Виталюр"/>
    <s v="Барановичи"/>
    <s v="Овощи"/>
    <s v="Капуста"/>
    <n v="460"/>
    <n v="30"/>
    <n v="13.8"/>
    <x v="3"/>
  </r>
  <r>
    <x v="74"/>
    <s v="Копеечка"/>
    <s v="Барановичи"/>
    <s v="Фрукты"/>
    <s v="Сливы"/>
    <n v="930"/>
    <n v="23"/>
    <n v="21.39"/>
    <x v="3"/>
  </r>
  <r>
    <x v="74"/>
    <s v="Евроопт"/>
    <s v="Барановичи"/>
    <s v="Фрукты"/>
    <s v="Бананы"/>
    <n v="2400"/>
    <n v="89"/>
    <n v="213.6"/>
    <x v="3"/>
  </r>
  <r>
    <x v="74"/>
    <s v="Соседи"/>
    <s v="Барановичи"/>
    <s v="Фрукты"/>
    <s v="Груши"/>
    <n v="1420"/>
    <n v="92"/>
    <n v="130.63999999999999"/>
    <x v="3"/>
  </r>
  <r>
    <x v="74"/>
    <s v="Евроопт"/>
    <s v="Барановичи"/>
    <s v="Ягоды"/>
    <s v="Смородина черная"/>
    <n v="1505"/>
    <n v="8"/>
    <n v="12.04"/>
    <x v="3"/>
  </r>
  <r>
    <x v="74"/>
    <s v="Виталюр"/>
    <s v="Борисов"/>
    <s v="Фрукты"/>
    <s v="Апельсины"/>
    <n v="2540"/>
    <n v="49"/>
    <n v="124.46"/>
    <x v="3"/>
  </r>
  <r>
    <x v="74"/>
    <s v="Евроопт"/>
    <s v="Борисов"/>
    <s v="Ягоды"/>
    <s v="Клубника"/>
    <n v="2460"/>
    <n v="70"/>
    <n v="172.2"/>
    <x v="3"/>
  </r>
  <r>
    <x v="74"/>
    <s v="Копеечка"/>
    <s v="Минск"/>
    <s v="Зелень"/>
    <s v="Петрушка"/>
    <n v="640"/>
    <n v="59"/>
    <n v="37.76"/>
    <x v="3"/>
  </r>
  <r>
    <x v="74"/>
    <s v="Виталюр"/>
    <s v="Минск"/>
    <s v="Зелень"/>
    <s v="Петрушка"/>
    <n v="640"/>
    <n v="36"/>
    <n v="23.04"/>
    <x v="3"/>
  </r>
  <r>
    <x v="74"/>
    <s v="Виталюр"/>
    <s v="Минск"/>
    <s v="Фрукты"/>
    <s v="Сливы"/>
    <n v="930"/>
    <n v="8"/>
    <n v="7.44"/>
    <x v="3"/>
  </r>
  <r>
    <x v="74"/>
    <s v="Виталюр"/>
    <s v="Столбцы"/>
    <s v="Фрукты"/>
    <s v="Апельсины"/>
    <n v="2540"/>
    <n v="47"/>
    <n v="119.38"/>
    <x v="3"/>
  </r>
  <r>
    <x v="74"/>
    <s v="Евроопт"/>
    <s v="Столбцы"/>
    <s v="Фрукты"/>
    <s v="Апельсины"/>
    <n v="2540"/>
    <n v="90"/>
    <n v="228.6"/>
    <x v="3"/>
  </r>
  <r>
    <x v="74"/>
    <s v="Соседи"/>
    <s v="Фаниполь"/>
    <s v="Зелень"/>
    <s v="Укроп"/>
    <n v="650"/>
    <n v="51"/>
    <n v="33.15"/>
    <x v="3"/>
  </r>
  <r>
    <x v="75"/>
    <m/>
    <m/>
    <m/>
    <m/>
    <m/>
    <m/>
    <n v="1180.5050000000001"/>
    <x v="3"/>
  </r>
  <r>
    <x v="76"/>
    <s v="Евроопт"/>
    <s v="Барановичи"/>
    <s v="Фрукты"/>
    <s v="Апельсины"/>
    <n v="2540"/>
    <n v="95"/>
    <n v="241.3"/>
    <x v="3"/>
  </r>
  <r>
    <x v="76"/>
    <s v="Соседи"/>
    <s v="Борисов"/>
    <s v="Зелень"/>
    <s v="Салат айсберг"/>
    <n v="1380"/>
    <n v="30"/>
    <n v="41.4"/>
    <x v="3"/>
  </r>
  <r>
    <x v="76"/>
    <s v="Виталюр"/>
    <s v="Борисов"/>
    <s v="Овощи"/>
    <s v="Свекла"/>
    <n v="450"/>
    <n v="81"/>
    <n v="36.450000000000003"/>
    <x v="3"/>
  </r>
  <r>
    <x v="76"/>
    <s v="Соседи"/>
    <s v="Борисов"/>
    <s v="Фрукты"/>
    <s v="Сливы"/>
    <n v="930"/>
    <n v="98"/>
    <n v="91.14"/>
    <x v="3"/>
  </r>
  <r>
    <x v="76"/>
    <s v="Евроопт"/>
    <s v="Борисов"/>
    <s v="Фрукты"/>
    <s v="Абрикосы"/>
    <n v="1320"/>
    <n v="91"/>
    <n v="120.12"/>
    <x v="3"/>
  </r>
  <r>
    <x v="76"/>
    <s v="Евроопт"/>
    <s v="Жодино"/>
    <s v="Зелень"/>
    <s v="Укроп"/>
    <n v="650"/>
    <n v="23"/>
    <n v="14.95"/>
    <x v="3"/>
  </r>
  <r>
    <x v="76"/>
    <s v="Виталюр"/>
    <s v="Жодино"/>
    <s v="Овощи"/>
    <s v="Морковь"/>
    <n v="715"/>
    <n v="83"/>
    <n v="59.344999999999999"/>
    <x v="3"/>
  </r>
  <r>
    <x v="76"/>
    <s v="Виталюр"/>
    <s v="Жодино"/>
    <s v="Фрукты"/>
    <s v="Абрикосы"/>
    <n v="1320"/>
    <n v="100"/>
    <n v="132"/>
    <x v="3"/>
  </r>
  <r>
    <x v="76"/>
    <s v="Виталюр"/>
    <s v="Жодино"/>
    <s v="Фрукты"/>
    <s v="Абрикосы"/>
    <n v="1320"/>
    <n v="87"/>
    <n v="114.84"/>
    <x v="3"/>
  </r>
  <r>
    <x v="76"/>
    <s v="Евроопт"/>
    <s v="Жодино"/>
    <s v="Ягоды"/>
    <s v="Клубника"/>
    <n v="2460"/>
    <n v="48"/>
    <n v="118.08"/>
    <x v="3"/>
  </r>
  <r>
    <x v="76"/>
    <s v="Евроопт"/>
    <s v="Столбцы"/>
    <s v="Зелень"/>
    <s v="Петрушка"/>
    <n v="640"/>
    <n v="83"/>
    <n v="53.12"/>
    <x v="3"/>
  </r>
  <r>
    <x v="76"/>
    <s v="Евроопт"/>
    <s v="Столбцы"/>
    <s v="Зелень"/>
    <s v="Петрушка"/>
    <n v="640"/>
    <n v="26"/>
    <n v="16.64"/>
    <x v="3"/>
  </r>
  <r>
    <x v="76"/>
    <s v="Евроопт"/>
    <s v="Столбцы"/>
    <s v="Овощи"/>
    <s v="Баклажаны"/>
    <n v="890"/>
    <n v="87"/>
    <n v="77.430000000000007"/>
    <x v="3"/>
  </r>
  <r>
    <x v="76"/>
    <s v="Соседи"/>
    <s v="Столбцы"/>
    <s v="Овощи"/>
    <s v="Свекла"/>
    <n v="450"/>
    <n v="19"/>
    <n v="8.5500000000000007"/>
    <x v="3"/>
  </r>
  <r>
    <x v="76"/>
    <s v="Соседи"/>
    <s v="Столбцы"/>
    <s v="Овощи"/>
    <s v="Свекла"/>
    <n v="450"/>
    <n v="19"/>
    <n v="8.5500000000000007"/>
    <x v="3"/>
  </r>
  <r>
    <x v="76"/>
    <s v="Копеечка"/>
    <s v="Столбцы"/>
    <s v="Фрукты"/>
    <s v="Бананы"/>
    <n v="2400"/>
    <n v="67"/>
    <n v="160.80000000000001"/>
    <x v="3"/>
  </r>
  <r>
    <x v="76"/>
    <s v="Евроопт"/>
    <s v="Фаниполь"/>
    <s v="Зелень"/>
    <s v="Лук зеленый"/>
    <n v="705"/>
    <n v="13"/>
    <n v="9.1649999999999991"/>
    <x v="3"/>
  </r>
  <r>
    <x v="76"/>
    <s v="Евроопт"/>
    <s v="Фаниполь"/>
    <s v="Зелень"/>
    <s v="Петрушка"/>
    <n v="640"/>
    <n v="68"/>
    <n v="43.52"/>
    <x v="3"/>
  </r>
  <r>
    <x v="76"/>
    <s v="Евроопт"/>
    <s v="Фаниполь"/>
    <s v="Овощи"/>
    <s v="Кабачки"/>
    <n v="325"/>
    <n v="12"/>
    <n v="3.9"/>
    <x v="3"/>
  </r>
  <r>
    <x v="76"/>
    <s v="Соседи"/>
    <s v="Фаниполь"/>
    <s v="Овощи"/>
    <s v="Свекла"/>
    <n v="450"/>
    <n v="5"/>
    <n v="2.25"/>
    <x v="3"/>
  </r>
  <r>
    <x v="76"/>
    <s v="Соседи"/>
    <s v="Фаниполь"/>
    <s v="Фрукты"/>
    <s v="Бананы"/>
    <n v="2400"/>
    <n v="97"/>
    <n v="232.8"/>
    <x v="3"/>
  </r>
  <r>
    <x v="76"/>
    <s v="Виталюр"/>
    <s v="Фаниполь"/>
    <s v="Ягоды"/>
    <s v="Клубника"/>
    <n v="2460"/>
    <n v="9"/>
    <n v="22.14"/>
    <x v="3"/>
  </r>
  <r>
    <x v="77"/>
    <m/>
    <m/>
    <m/>
    <m/>
    <m/>
    <m/>
    <n v="1608.4900000000002"/>
    <x v="3"/>
  </r>
  <r>
    <x v="78"/>
    <s v="Копеечка"/>
    <s v="Барановичи"/>
    <s v="Фрукты"/>
    <s v="Бананы"/>
    <n v="2400"/>
    <n v="35"/>
    <n v="84"/>
    <x v="3"/>
  </r>
  <r>
    <x v="78"/>
    <s v="Копеечка"/>
    <s v="Барановичи"/>
    <s v="Фрукты"/>
    <s v="Сливы"/>
    <n v="930"/>
    <n v="14"/>
    <n v="13.02"/>
    <x v="3"/>
  </r>
  <r>
    <x v="78"/>
    <s v="Виталюр"/>
    <s v="Барановичи"/>
    <s v="Ягоды"/>
    <s v="Черешня"/>
    <n v="1760"/>
    <n v="98"/>
    <n v="172.48"/>
    <x v="3"/>
  </r>
  <r>
    <x v="78"/>
    <s v="Копеечка"/>
    <s v="Барановичи"/>
    <s v="Ягоды"/>
    <s v="Брусника"/>
    <n v="1670"/>
    <n v="34"/>
    <n v="56.78"/>
    <x v="3"/>
  </r>
  <r>
    <x v="78"/>
    <s v="Евроопт"/>
    <s v="Борисов"/>
    <s v="Овощи"/>
    <s v="Картофель"/>
    <n v="690"/>
    <n v="97"/>
    <n v="66.930000000000007"/>
    <x v="3"/>
  </r>
  <r>
    <x v="78"/>
    <s v="Соседи"/>
    <s v="Борисов"/>
    <s v="Ягоды"/>
    <s v="Черешня"/>
    <n v="1760"/>
    <n v="23"/>
    <n v="40.479999999999997"/>
    <x v="3"/>
  </r>
  <r>
    <x v="78"/>
    <s v="Евроопт"/>
    <s v="Борисов"/>
    <s v="Ягоды"/>
    <s v="Голубика"/>
    <n v="3205"/>
    <n v="81"/>
    <n v="259.60500000000002"/>
    <x v="3"/>
  </r>
  <r>
    <x v="78"/>
    <s v="Копеечка"/>
    <s v="Жодино"/>
    <s v="Зелень"/>
    <s v="Лук зеленый"/>
    <n v="705"/>
    <n v="88"/>
    <n v="62.04"/>
    <x v="3"/>
  </r>
  <r>
    <x v="78"/>
    <s v="Евроопт"/>
    <s v="Минск"/>
    <s v="Зелень"/>
    <s v="Кинза"/>
    <n v="650"/>
    <n v="58"/>
    <n v="37.700000000000003"/>
    <x v="3"/>
  </r>
  <r>
    <x v="78"/>
    <s v="Виталюр"/>
    <s v="Минск"/>
    <s v="Овощи"/>
    <s v="Баклажаны"/>
    <n v="890"/>
    <n v="14"/>
    <n v="12.46"/>
    <x v="3"/>
  </r>
  <r>
    <x v="78"/>
    <s v="Виталюр"/>
    <s v="Минск"/>
    <s v="Фрукты"/>
    <s v="Сливы"/>
    <n v="930"/>
    <n v="24"/>
    <n v="22.32"/>
    <x v="3"/>
  </r>
  <r>
    <x v="78"/>
    <s v="Копеечка"/>
    <s v="Минск"/>
    <s v="Ягоды"/>
    <s v="Брусника"/>
    <n v="1670"/>
    <n v="45"/>
    <n v="75.150000000000006"/>
    <x v="3"/>
  </r>
  <r>
    <x v="78"/>
    <s v="Копеечка"/>
    <s v="Минск"/>
    <s v="Ягоды"/>
    <s v="Голубика"/>
    <n v="3205"/>
    <n v="80"/>
    <n v="256.39999999999998"/>
    <x v="3"/>
  </r>
  <r>
    <x v="78"/>
    <s v="Копеечка"/>
    <s v="Столбцы"/>
    <s v="Овощи"/>
    <s v="Баклажаны"/>
    <n v="890"/>
    <n v="28"/>
    <n v="24.92"/>
    <x v="3"/>
  </r>
  <r>
    <x v="78"/>
    <s v="Евроопт"/>
    <s v="Столбцы"/>
    <s v="Фрукты"/>
    <s v="Груши"/>
    <n v="1420"/>
    <n v="73"/>
    <n v="103.66"/>
    <x v="3"/>
  </r>
  <r>
    <x v="78"/>
    <s v="Виталюр"/>
    <s v="Фаниполь"/>
    <s v="Зелень"/>
    <s v="Лук зеленый"/>
    <n v="705"/>
    <n v="52"/>
    <n v="36.659999999999997"/>
    <x v="3"/>
  </r>
  <r>
    <x v="78"/>
    <s v="Копеечка"/>
    <s v="Фаниполь"/>
    <s v="Овощи"/>
    <s v="Морковь"/>
    <n v="715"/>
    <n v="33"/>
    <n v="23.594999999999999"/>
    <x v="3"/>
  </r>
  <r>
    <x v="78"/>
    <s v="Евроопт"/>
    <s v="Фаниполь"/>
    <s v="Фрукты"/>
    <s v="Бананы"/>
    <n v="2400"/>
    <n v="41"/>
    <n v="98.4"/>
    <x v="3"/>
  </r>
  <r>
    <x v="78"/>
    <s v="Соседи"/>
    <s v="Фаниполь"/>
    <s v="Фрукты"/>
    <s v="Апельсины"/>
    <n v="2540"/>
    <n v="23"/>
    <n v="58.42"/>
    <x v="3"/>
  </r>
  <r>
    <x v="78"/>
    <s v="Копеечка"/>
    <s v="Фаниполь"/>
    <s v="Фрукты"/>
    <s v="Яблоки"/>
    <n v="1230"/>
    <n v="12"/>
    <n v="14.76"/>
    <x v="3"/>
  </r>
  <r>
    <x v="78"/>
    <s v="Соседи"/>
    <s v="Фаниполь"/>
    <s v="Фрукты"/>
    <s v="Сливы"/>
    <n v="930"/>
    <n v="22"/>
    <n v="20.46"/>
    <x v="3"/>
  </r>
  <r>
    <x v="78"/>
    <s v="Копеечка"/>
    <s v="Фаниполь"/>
    <s v="Фрукты"/>
    <s v="Яблоки"/>
    <n v="1230"/>
    <n v="88"/>
    <n v="108.24"/>
    <x v="3"/>
  </r>
  <r>
    <x v="78"/>
    <s v="Евроопт"/>
    <s v="Фаниполь"/>
    <s v="Ягоды"/>
    <s v="Клубника"/>
    <n v="2460"/>
    <n v="55"/>
    <n v="135.30000000000001"/>
    <x v="3"/>
  </r>
  <r>
    <x v="78"/>
    <s v="Виталюр"/>
    <s v="Фаниполь"/>
    <s v="Ягоды"/>
    <s v="Голубика"/>
    <n v="3205"/>
    <n v="58"/>
    <n v="185.89"/>
    <x v="3"/>
  </r>
  <r>
    <x v="79"/>
    <m/>
    <m/>
    <m/>
    <m/>
    <m/>
    <m/>
    <n v="1969.6700000000005"/>
    <x v="3"/>
  </r>
  <r>
    <x v="80"/>
    <s v="Виталюр"/>
    <s v="Барановичи"/>
    <s v="Зелень"/>
    <s v="Петрушка"/>
    <n v="640"/>
    <n v="74"/>
    <n v="47.36"/>
    <x v="3"/>
  </r>
  <r>
    <x v="80"/>
    <s v="Виталюр"/>
    <s v="Барановичи"/>
    <s v="Овощи"/>
    <s v="Капуста"/>
    <n v="460"/>
    <n v="63"/>
    <n v="28.98"/>
    <x v="3"/>
  </r>
  <r>
    <x v="80"/>
    <s v="Копеечка"/>
    <s v="Барановичи"/>
    <s v="Фрукты"/>
    <s v="Яблоки"/>
    <n v="1230"/>
    <n v="28"/>
    <n v="34.44"/>
    <x v="3"/>
  </r>
  <r>
    <x v="80"/>
    <s v="Копеечка"/>
    <s v="Барановичи"/>
    <s v="Ягоды"/>
    <s v="Клубника"/>
    <n v="2460"/>
    <n v="23"/>
    <n v="56.58"/>
    <x v="3"/>
  </r>
  <r>
    <x v="80"/>
    <s v="Копеечка"/>
    <s v="Барановичи"/>
    <s v="Ягоды"/>
    <s v="Голубика"/>
    <n v="3205"/>
    <n v="74"/>
    <n v="237.17"/>
    <x v="3"/>
  </r>
  <r>
    <x v="80"/>
    <s v="Виталюр"/>
    <s v="Борисов"/>
    <s v="Овощи"/>
    <s v="Кабачки"/>
    <n v="325"/>
    <n v="31"/>
    <n v="10.074999999999999"/>
    <x v="3"/>
  </r>
  <r>
    <x v="80"/>
    <s v="Соседи"/>
    <s v="Борисов"/>
    <s v="Овощи"/>
    <s v="Капуста"/>
    <n v="460"/>
    <n v="100"/>
    <n v="46"/>
    <x v="3"/>
  </r>
  <r>
    <x v="80"/>
    <s v="Соседи"/>
    <s v="Жодино"/>
    <s v="Зелень"/>
    <s v="Петрушка"/>
    <n v="640"/>
    <n v="10"/>
    <n v="6.4"/>
    <x v="3"/>
  </r>
  <r>
    <x v="80"/>
    <s v="Соседи"/>
    <s v="Минск"/>
    <s v="Зелень"/>
    <s v="Салат римский"/>
    <n v="540"/>
    <n v="59"/>
    <n v="31.86"/>
    <x v="3"/>
  </r>
  <r>
    <x v="80"/>
    <s v="Виталюр"/>
    <s v="Минск"/>
    <s v="Зелень"/>
    <s v="Петрушка"/>
    <n v="640"/>
    <n v="18"/>
    <n v="11.52"/>
    <x v="3"/>
  </r>
  <r>
    <x v="80"/>
    <s v="Копеечка"/>
    <s v="Минск"/>
    <s v="Овощи"/>
    <s v="Кабачки"/>
    <n v="325"/>
    <n v="62"/>
    <n v="20.149999999999999"/>
    <x v="3"/>
  </r>
  <r>
    <x v="80"/>
    <s v="Соседи"/>
    <s v="Столбцы"/>
    <s v="Зелень"/>
    <s v="Укроп"/>
    <n v="650"/>
    <n v="10"/>
    <n v="6.5"/>
    <x v="3"/>
  </r>
  <r>
    <x v="80"/>
    <s v="Виталюр"/>
    <s v="Столбцы"/>
    <s v="Зелень"/>
    <s v="Салат айсберг"/>
    <n v="1380"/>
    <n v="96"/>
    <n v="132.47999999999999"/>
    <x v="3"/>
  </r>
  <r>
    <x v="80"/>
    <s v="Соседи"/>
    <s v="Столбцы"/>
    <s v="Овощи"/>
    <s v="Баклажаны"/>
    <n v="890"/>
    <n v="87"/>
    <n v="77.430000000000007"/>
    <x v="3"/>
  </r>
  <r>
    <x v="80"/>
    <s v="Копеечка"/>
    <s v="Столбцы"/>
    <s v="Овощи"/>
    <s v="Картофель"/>
    <n v="690"/>
    <n v="20"/>
    <n v="13.8"/>
    <x v="3"/>
  </r>
  <r>
    <x v="80"/>
    <s v="Копеечка"/>
    <s v="Столбцы"/>
    <s v="Фрукты"/>
    <s v="Бананы"/>
    <n v="2400"/>
    <n v="86"/>
    <n v="206.4"/>
    <x v="3"/>
  </r>
  <r>
    <x v="80"/>
    <s v="Копеечка"/>
    <s v="Столбцы"/>
    <s v="Фрукты"/>
    <s v="Бананы"/>
    <n v="2400"/>
    <n v="25"/>
    <n v="60"/>
    <x v="3"/>
  </r>
  <r>
    <x v="80"/>
    <s v="Евроопт"/>
    <s v="Столбцы"/>
    <s v="Ягоды"/>
    <s v="Малина"/>
    <n v="2970"/>
    <n v="44"/>
    <n v="130.68"/>
    <x v="3"/>
  </r>
  <r>
    <x v="80"/>
    <s v="Виталюр"/>
    <s v="Фаниполь"/>
    <s v="Овощи"/>
    <s v="Свекла"/>
    <n v="450"/>
    <n v="36"/>
    <n v="16.2"/>
    <x v="3"/>
  </r>
  <r>
    <x v="80"/>
    <s v="Евроопт"/>
    <s v="Фаниполь"/>
    <s v="Овощи"/>
    <s v="Картофель"/>
    <n v="690"/>
    <n v="81"/>
    <n v="55.89"/>
    <x v="3"/>
  </r>
  <r>
    <x v="80"/>
    <s v="Копеечка"/>
    <s v="Фаниполь"/>
    <s v="Овощи"/>
    <s v="Морковь"/>
    <n v="715"/>
    <n v="94"/>
    <n v="67.209999999999994"/>
    <x v="3"/>
  </r>
  <r>
    <x v="80"/>
    <s v="Евроопт"/>
    <s v="Фаниполь"/>
    <s v="Овощи"/>
    <s v="Кабачки"/>
    <n v="325"/>
    <n v="56"/>
    <n v="18.2"/>
    <x v="3"/>
  </r>
  <r>
    <x v="80"/>
    <s v="Соседи"/>
    <s v="Фаниполь"/>
    <s v="Ягоды"/>
    <s v="Клубника"/>
    <n v="2460"/>
    <n v="63"/>
    <n v="154.97999999999999"/>
    <x v="3"/>
  </r>
  <r>
    <x v="81"/>
    <m/>
    <m/>
    <m/>
    <m/>
    <m/>
    <m/>
    <n v="1470.3050000000003"/>
    <x v="3"/>
  </r>
  <r>
    <x v="82"/>
    <s v="Евроопт"/>
    <s v="Барановичи"/>
    <s v="Овощи"/>
    <s v="Свекла"/>
    <n v="450"/>
    <n v="76"/>
    <n v="34.200000000000003"/>
    <x v="3"/>
  </r>
  <r>
    <x v="82"/>
    <s v="Копеечка"/>
    <s v="Барановичи"/>
    <s v="Фрукты"/>
    <s v="Груши"/>
    <n v="1420"/>
    <n v="51"/>
    <n v="72.42"/>
    <x v="3"/>
  </r>
  <r>
    <x v="82"/>
    <s v="Евроопт"/>
    <s v="Барановичи"/>
    <s v="Фрукты"/>
    <s v="Груши"/>
    <n v="1420"/>
    <n v="94"/>
    <n v="133.47999999999999"/>
    <x v="3"/>
  </r>
  <r>
    <x v="82"/>
    <s v="Соседи"/>
    <s v="Барановичи"/>
    <s v="Ягоды"/>
    <s v="Брусника"/>
    <n v="1670"/>
    <n v="36"/>
    <n v="60.12"/>
    <x v="3"/>
  </r>
  <r>
    <x v="82"/>
    <s v="Евроопт"/>
    <s v="Борисов"/>
    <s v="Зелень"/>
    <s v="Укроп"/>
    <n v="650"/>
    <n v="38"/>
    <n v="24.7"/>
    <x v="3"/>
  </r>
  <r>
    <x v="82"/>
    <s v="Евроопт"/>
    <s v="Борисов"/>
    <s v="Овощи"/>
    <s v="Кабачки"/>
    <n v="325"/>
    <n v="7"/>
    <n v="2.2749999999999999"/>
    <x v="3"/>
  </r>
  <r>
    <x v="82"/>
    <s v="Виталюр"/>
    <s v="Борисов"/>
    <s v="Фрукты"/>
    <s v="Бананы"/>
    <n v="2400"/>
    <n v="31"/>
    <n v="74.400000000000006"/>
    <x v="3"/>
  </r>
  <r>
    <x v="82"/>
    <s v="Виталюр"/>
    <s v="Борисов"/>
    <s v="Ягоды"/>
    <s v="Малина"/>
    <n v="2970"/>
    <n v="27"/>
    <n v="80.19"/>
    <x v="3"/>
  </r>
  <r>
    <x v="82"/>
    <s v="Евроопт"/>
    <s v="Борисов"/>
    <s v="Ягоды"/>
    <s v="Малина"/>
    <n v="2970"/>
    <n v="62"/>
    <n v="184.14"/>
    <x v="3"/>
  </r>
  <r>
    <x v="82"/>
    <s v="Виталюр"/>
    <s v="Борисов"/>
    <s v="Ягоды"/>
    <s v="Малина"/>
    <n v="2970"/>
    <n v="12"/>
    <n v="35.64"/>
    <x v="3"/>
  </r>
  <r>
    <x v="82"/>
    <s v="Копеечка"/>
    <s v="Жодино"/>
    <s v="Овощи"/>
    <s v="Баклажаны"/>
    <n v="890"/>
    <n v="70"/>
    <n v="62.3"/>
    <x v="3"/>
  </r>
  <r>
    <x v="82"/>
    <s v="Виталюр"/>
    <s v="Жодино"/>
    <s v="Ягоды"/>
    <s v="Малина"/>
    <n v="2970"/>
    <n v="31"/>
    <n v="92.07"/>
    <x v="3"/>
  </r>
  <r>
    <x v="82"/>
    <s v="Евроопт"/>
    <s v="Жодино"/>
    <s v="Ягоды"/>
    <s v="Малина"/>
    <n v="2970"/>
    <n v="42"/>
    <n v="124.74"/>
    <x v="3"/>
  </r>
  <r>
    <x v="82"/>
    <s v="Копеечка"/>
    <s v="Минск"/>
    <s v="Фрукты"/>
    <s v="Яблоки"/>
    <n v="1230"/>
    <n v="32"/>
    <n v="39.36"/>
    <x v="3"/>
  </r>
  <r>
    <x v="82"/>
    <s v="Копеечка"/>
    <s v="Столбцы"/>
    <s v="Зелень"/>
    <s v="Петрушка"/>
    <n v="640"/>
    <n v="46"/>
    <n v="29.44"/>
    <x v="3"/>
  </r>
  <r>
    <x v="82"/>
    <s v="Соседи"/>
    <s v="Фаниполь"/>
    <s v="Зелень"/>
    <s v="Салат айсберг"/>
    <n v="1380"/>
    <n v="90"/>
    <n v="124.2"/>
    <x v="3"/>
  </r>
  <r>
    <x v="82"/>
    <s v="Евроопт"/>
    <s v="Фаниполь"/>
    <s v="Овощи"/>
    <s v="Картофель"/>
    <n v="690"/>
    <n v="49"/>
    <n v="33.81"/>
    <x v="3"/>
  </r>
  <r>
    <x v="83"/>
    <m/>
    <m/>
    <m/>
    <m/>
    <m/>
    <m/>
    <n v="1207.4849999999999"/>
    <x v="3"/>
  </r>
  <r>
    <x v="84"/>
    <s v="Виталюр"/>
    <s v="Барановичи"/>
    <s v="Зелень"/>
    <s v="Салат римский"/>
    <n v="540"/>
    <n v="34"/>
    <n v="18.36"/>
    <x v="3"/>
  </r>
  <r>
    <x v="84"/>
    <s v="Евроопт"/>
    <s v="Борисов"/>
    <s v="Фрукты"/>
    <s v="Сливы"/>
    <n v="930"/>
    <n v="8"/>
    <n v="7.44"/>
    <x v="3"/>
  </r>
  <r>
    <x v="84"/>
    <s v="Виталюр"/>
    <s v="Борисов"/>
    <s v="Ягоды"/>
    <s v="Смородина черная"/>
    <n v="1505"/>
    <n v="84"/>
    <n v="126.42"/>
    <x v="3"/>
  </r>
  <r>
    <x v="84"/>
    <s v="Евроопт"/>
    <s v="Жодино"/>
    <s v="Зелень"/>
    <s v="Лук зеленый"/>
    <n v="705"/>
    <n v="86"/>
    <n v="60.63"/>
    <x v="3"/>
  </r>
  <r>
    <x v="84"/>
    <s v="Виталюр"/>
    <s v="Жодино"/>
    <s v="Овощи"/>
    <s v="Капуста"/>
    <n v="460"/>
    <n v="44"/>
    <n v="20.239999999999998"/>
    <x v="3"/>
  </r>
  <r>
    <x v="84"/>
    <s v="Евроопт"/>
    <s v="Жодино"/>
    <s v="Овощи"/>
    <s v="Свекла"/>
    <n v="450"/>
    <n v="85"/>
    <n v="38.25"/>
    <x v="3"/>
  </r>
  <r>
    <x v="84"/>
    <s v="Соседи"/>
    <s v="Жодино"/>
    <s v="Фрукты"/>
    <s v="Бананы"/>
    <n v="2400"/>
    <n v="81"/>
    <n v="194.4"/>
    <x v="3"/>
  </r>
  <r>
    <x v="84"/>
    <s v="Соседи"/>
    <s v="Минск"/>
    <s v="Зелень"/>
    <s v="Салат римский"/>
    <n v="540"/>
    <n v="45"/>
    <n v="24.3"/>
    <x v="3"/>
  </r>
  <r>
    <x v="84"/>
    <s v="Соседи"/>
    <s v="Минск"/>
    <s v="Фрукты"/>
    <s v="Яблоки"/>
    <n v="1230"/>
    <n v="13"/>
    <n v="15.99"/>
    <x v="3"/>
  </r>
  <r>
    <x v="84"/>
    <s v="Копеечка"/>
    <s v="Столбцы"/>
    <s v="Ягоды"/>
    <s v="Смородина черная"/>
    <n v="1505"/>
    <n v="70"/>
    <n v="105.35"/>
    <x v="3"/>
  </r>
  <r>
    <x v="84"/>
    <s v="Копеечка"/>
    <s v="Фаниполь"/>
    <s v="Ягоды"/>
    <s v="Смородина черная"/>
    <n v="1505"/>
    <n v="75"/>
    <n v="112.875"/>
    <x v="3"/>
  </r>
  <r>
    <x v="85"/>
    <m/>
    <m/>
    <m/>
    <m/>
    <m/>
    <m/>
    <n v="724.255"/>
    <x v="3"/>
  </r>
  <r>
    <x v="86"/>
    <s v="Виталюр"/>
    <s v="Барановичи"/>
    <s v="Овощи"/>
    <s v="Баклажаны"/>
    <n v="890"/>
    <n v="48"/>
    <n v="42.72"/>
    <x v="3"/>
  </r>
  <r>
    <x v="86"/>
    <s v="Копеечка"/>
    <s v="Барановичи"/>
    <s v="Овощи"/>
    <s v="Баклажаны"/>
    <n v="890"/>
    <n v="92"/>
    <n v="81.88"/>
    <x v="3"/>
  </r>
  <r>
    <x v="86"/>
    <s v="Евроопт"/>
    <s v="Барановичи"/>
    <s v="Фрукты"/>
    <s v="Яблоки"/>
    <n v="1230"/>
    <n v="73"/>
    <n v="89.79"/>
    <x v="3"/>
  </r>
  <r>
    <x v="86"/>
    <s v="Соседи"/>
    <s v="Борисов"/>
    <s v="Фрукты"/>
    <s v="Абрикосы"/>
    <n v="1320"/>
    <n v="28"/>
    <n v="36.96"/>
    <x v="3"/>
  </r>
  <r>
    <x v="86"/>
    <s v="Виталюр"/>
    <s v="Борисов"/>
    <s v="Ягоды"/>
    <s v="Малина"/>
    <n v="2970"/>
    <n v="59"/>
    <n v="175.23"/>
    <x v="3"/>
  </r>
  <r>
    <x v="86"/>
    <s v="Копеечка"/>
    <s v="Жодино"/>
    <s v="Овощи"/>
    <s v="Баклажаны"/>
    <n v="890"/>
    <n v="73"/>
    <n v="64.97"/>
    <x v="3"/>
  </r>
  <r>
    <x v="86"/>
    <s v="Виталюр"/>
    <s v="Жодино"/>
    <s v="Ягоды"/>
    <s v="Клубника"/>
    <n v="2460"/>
    <n v="12"/>
    <n v="29.52"/>
    <x v="3"/>
  </r>
  <r>
    <x v="86"/>
    <s v="Виталюр"/>
    <s v="Минск"/>
    <s v="Овощи"/>
    <s v="Морковь"/>
    <n v="715"/>
    <n v="51"/>
    <n v="36.465000000000003"/>
    <x v="3"/>
  </r>
  <r>
    <x v="87"/>
    <m/>
    <m/>
    <m/>
    <m/>
    <m/>
    <m/>
    <n v="557.53499999999997"/>
    <x v="3"/>
  </r>
  <r>
    <x v="88"/>
    <s v="Виталюр"/>
    <s v="Барановичи"/>
    <s v="Зелень"/>
    <s v="Салат айсберг"/>
    <n v="1380"/>
    <n v="74"/>
    <n v="102.12"/>
    <x v="3"/>
  </r>
  <r>
    <x v="88"/>
    <s v="Копеечка"/>
    <s v="Барановичи"/>
    <s v="Ягоды"/>
    <s v="Малина"/>
    <n v="2970"/>
    <n v="13"/>
    <n v="38.61"/>
    <x v="3"/>
  </r>
  <r>
    <x v="88"/>
    <s v="Копеечка"/>
    <s v="Борисов"/>
    <s v="Овощи"/>
    <s v="Баклажаны"/>
    <n v="890"/>
    <n v="100"/>
    <n v="89"/>
    <x v="3"/>
  </r>
  <r>
    <x v="88"/>
    <s v="Виталюр"/>
    <s v="Борисов"/>
    <s v="Ягоды"/>
    <s v="Черешня"/>
    <n v="1760"/>
    <n v="21"/>
    <n v="36.96"/>
    <x v="3"/>
  </r>
  <r>
    <x v="88"/>
    <s v="Соседи"/>
    <s v="Жодино"/>
    <s v="Ягоды"/>
    <s v="Малина"/>
    <n v="2970"/>
    <n v="7"/>
    <n v="20.79"/>
    <x v="3"/>
  </r>
  <r>
    <x v="88"/>
    <s v="Соседи"/>
    <s v="Минск"/>
    <s v="Фрукты"/>
    <s v="Бананы"/>
    <n v="2400"/>
    <n v="24"/>
    <n v="57.6"/>
    <x v="3"/>
  </r>
  <r>
    <x v="88"/>
    <s v="Копеечка"/>
    <s v="Минск"/>
    <s v="Ягоды"/>
    <s v="Малина"/>
    <n v="2970"/>
    <n v="89"/>
    <n v="264.33"/>
    <x v="3"/>
  </r>
  <r>
    <x v="88"/>
    <s v="Копеечка"/>
    <s v="Столбцы"/>
    <s v="Зелень"/>
    <s v="Салат римский"/>
    <n v="540"/>
    <n v="89"/>
    <n v="48.06"/>
    <x v="3"/>
  </r>
  <r>
    <x v="88"/>
    <s v="Виталюр"/>
    <s v="Фаниполь"/>
    <s v="Овощи"/>
    <s v="Морковь"/>
    <n v="715"/>
    <n v="79"/>
    <n v="56.484999999999999"/>
    <x v="3"/>
  </r>
  <r>
    <x v="88"/>
    <s v="Копеечка"/>
    <s v="Фаниполь"/>
    <s v="Ягоды"/>
    <s v="Голубика"/>
    <n v="3205"/>
    <n v="17"/>
    <n v="54.484999999999999"/>
    <x v="3"/>
  </r>
  <r>
    <x v="89"/>
    <m/>
    <m/>
    <m/>
    <m/>
    <m/>
    <m/>
    <n v="768.44"/>
    <x v="3"/>
  </r>
  <r>
    <x v="90"/>
    <s v="Соседи"/>
    <s v="Барановичи"/>
    <s v="Зелень"/>
    <s v="Салат римский"/>
    <n v="540"/>
    <n v="89"/>
    <n v="48.06"/>
    <x v="3"/>
  </r>
  <r>
    <x v="90"/>
    <s v="Евроопт"/>
    <s v="Барановичи"/>
    <s v="Овощи"/>
    <s v="Картофель"/>
    <n v="690"/>
    <n v="46"/>
    <n v="31.74"/>
    <x v="3"/>
  </r>
  <r>
    <x v="90"/>
    <s v="Соседи"/>
    <s v="Барановичи"/>
    <s v="Овощи"/>
    <s v="Кабачки"/>
    <n v="325"/>
    <n v="5"/>
    <n v="1.625"/>
    <x v="3"/>
  </r>
  <r>
    <x v="90"/>
    <s v="Соседи"/>
    <s v="Барановичи"/>
    <s v="Овощи"/>
    <s v="Свекла"/>
    <n v="450"/>
    <n v="33"/>
    <n v="14.85"/>
    <x v="3"/>
  </r>
  <r>
    <x v="90"/>
    <s v="Евроопт"/>
    <s v="Борисов"/>
    <s v="Фрукты"/>
    <s v="Яблоки"/>
    <n v="1230"/>
    <n v="58"/>
    <n v="71.34"/>
    <x v="3"/>
  </r>
  <r>
    <x v="90"/>
    <s v="Виталюр"/>
    <s v="Жодино"/>
    <s v="Зелень"/>
    <s v="Укроп"/>
    <n v="650"/>
    <n v="87"/>
    <n v="56.55"/>
    <x v="3"/>
  </r>
  <r>
    <x v="90"/>
    <s v="Виталюр"/>
    <s v="Жодино"/>
    <s v="Овощи"/>
    <s v="Морковь"/>
    <n v="715"/>
    <n v="31"/>
    <n v="22.164999999999999"/>
    <x v="3"/>
  </r>
  <r>
    <x v="90"/>
    <s v="Евроопт"/>
    <s v="Минск"/>
    <s v="Зелень"/>
    <s v="Укроп"/>
    <n v="650"/>
    <n v="48"/>
    <n v="31.2"/>
    <x v="3"/>
  </r>
  <r>
    <x v="90"/>
    <s v="Копеечка"/>
    <s v="Минск"/>
    <s v="Зелень"/>
    <s v="Кинза"/>
    <n v="650"/>
    <n v="13"/>
    <n v="8.4499999999999993"/>
    <x v="3"/>
  </r>
  <r>
    <x v="90"/>
    <s v="Копеечка"/>
    <s v="Фаниполь"/>
    <s v="Зелень"/>
    <s v="Салат айсберг"/>
    <n v="1380"/>
    <n v="31"/>
    <n v="42.78"/>
    <x v="3"/>
  </r>
  <r>
    <x v="91"/>
    <m/>
    <m/>
    <m/>
    <m/>
    <m/>
    <m/>
    <n v="328.76"/>
    <x v="3"/>
  </r>
  <r>
    <x v="92"/>
    <s v="Евроопт"/>
    <s v="Борисов"/>
    <s v="Ягоды"/>
    <s v="Смородина черная"/>
    <n v="1505"/>
    <n v="56"/>
    <n v="84.28"/>
    <x v="3"/>
  </r>
  <r>
    <x v="92"/>
    <s v="Виталюр"/>
    <s v="Жодино"/>
    <s v="Зелень"/>
    <s v="Салат айсберг"/>
    <n v="1380"/>
    <n v="58"/>
    <n v="80.040000000000006"/>
    <x v="3"/>
  </r>
  <r>
    <x v="92"/>
    <s v="Виталюр"/>
    <s v="Жодино"/>
    <s v="Зелень"/>
    <s v="Укроп"/>
    <n v="650"/>
    <n v="26"/>
    <n v="16.899999999999999"/>
    <x v="3"/>
  </r>
  <r>
    <x v="92"/>
    <s v="Соседи"/>
    <s v="Жодино"/>
    <s v="Овощи"/>
    <s v="Свекла"/>
    <n v="450"/>
    <n v="58"/>
    <n v="26.1"/>
    <x v="3"/>
  </r>
  <r>
    <x v="92"/>
    <s v="Виталюр"/>
    <s v="Минск"/>
    <s v="Овощи"/>
    <s v="Картофель"/>
    <n v="690"/>
    <n v="69"/>
    <n v="47.61"/>
    <x v="3"/>
  </r>
  <r>
    <x v="92"/>
    <s v="Соседи"/>
    <s v="Минск"/>
    <s v="Фрукты"/>
    <s v="Яблоки"/>
    <n v="1230"/>
    <n v="60"/>
    <n v="73.8"/>
    <x v="3"/>
  </r>
  <r>
    <x v="92"/>
    <s v="Копеечка"/>
    <s v="Минск"/>
    <s v="Фрукты"/>
    <s v="Сливы"/>
    <n v="930"/>
    <n v="6"/>
    <n v="5.58"/>
    <x v="3"/>
  </r>
  <r>
    <x v="92"/>
    <s v="Соседи"/>
    <s v="Минск"/>
    <s v="Фрукты"/>
    <s v="Апельсины"/>
    <n v="2540"/>
    <n v="13"/>
    <n v="33.020000000000003"/>
    <x v="3"/>
  </r>
  <r>
    <x v="92"/>
    <s v="Копеечка"/>
    <s v="Минск"/>
    <s v="Фрукты"/>
    <s v="Абрикосы"/>
    <n v="1320"/>
    <n v="39"/>
    <n v="51.48"/>
    <x v="3"/>
  </r>
  <r>
    <x v="92"/>
    <s v="Евроопт"/>
    <s v="Фаниполь"/>
    <s v="Зелень"/>
    <s v="Лук зеленый"/>
    <n v="705"/>
    <n v="55"/>
    <n v="38.774999999999999"/>
    <x v="3"/>
  </r>
  <r>
    <x v="92"/>
    <s v="Копеечка"/>
    <s v="Фаниполь"/>
    <s v="Зелень"/>
    <s v="Укроп"/>
    <n v="650"/>
    <n v="12"/>
    <n v="7.8"/>
    <x v="3"/>
  </r>
  <r>
    <x v="92"/>
    <s v="Евроопт"/>
    <s v="Фаниполь"/>
    <s v="Зелень"/>
    <s v="Кинза"/>
    <n v="650"/>
    <n v="18"/>
    <n v="11.7"/>
    <x v="3"/>
  </r>
  <r>
    <x v="93"/>
    <m/>
    <m/>
    <m/>
    <m/>
    <m/>
    <m/>
    <n v="477.08499999999998"/>
    <x v="3"/>
  </r>
  <r>
    <x v="94"/>
    <s v="Евроопт"/>
    <s v="Барановичи"/>
    <s v="Овощи"/>
    <s v="Картофель"/>
    <n v="690"/>
    <n v="85"/>
    <n v="58.65"/>
    <x v="3"/>
  </r>
  <r>
    <x v="94"/>
    <s v="Евроопт"/>
    <s v="Барановичи"/>
    <s v="Фрукты"/>
    <s v="Груши"/>
    <n v="1420"/>
    <n v="81"/>
    <n v="115.02"/>
    <x v="3"/>
  </r>
  <r>
    <x v="94"/>
    <s v="Виталюр"/>
    <s v="Борисов"/>
    <s v="Зелень"/>
    <s v="Петрушка"/>
    <n v="640"/>
    <n v="77"/>
    <n v="49.28"/>
    <x v="3"/>
  </r>
  <r>
    <x v="94"/>
    <s v="Копеечка"/>
    <s v="Борисов"/>
    <s v="Овощи"/>
    <s v="Капуста"/>
    <n v="460"/>
    <n v="33"/>
    <n v="15.18"/>
    <x v="3"/>
  </r>
  <r>
    <x v="94"/>
    <s v="Виталюр"/>
    <s v="Жодино"/>
    <s v="Зелень"/>
    <s v="Салат римский"/>
    <n v="540"/>
    <n v="83"/>
    <n v="44.82"/>
    <x v="3"/>
  </r>
  <r>
    <x v="94"/>
    <s v="Евроопт"/>
    <s v="Жодино"/>
    <s v="Овощи"/>
    <s v="Баклажаны"/>
    <n v="890"/>
    <n v="72"/>
    <n v="64.08"/>
    <x v="3"/>
  </r>
  <r>
    <x v="94"/>
    <s v="Копеечка"/>
    <s v="Жодино"/>
    <s v="Фрукты"/>
    <s v="Бананы"/>
    <n v="2400"/>
    <n v="9"/>
    <n v="21.6"/>
    <x v="3"/>
  </r>
  <r>
    <x v="94"/>
    <s v="Виталюр"/>
    <s v="Минск"/>
    <s v="Овощи"/>
    <s v="Капуста"/>
    <n v="460"/>
    <n v="44"/>
    <n v="20.239999999999998"/>
    <x v="3"/>
  </r>
  <r>
    <x v="94"/>
    <s v="Виталюр"/>
    <s v="Минск"/>
    <s v="Овощи"/>
    <s v="Свекла"/>
    <n v="450"/>
    <n v="61"/>
    <n v="27.45"/>
    <x v="3"/>
  </r>
  <r>
    <x v="94"/>
    <s v="Евроопт"/>
    <s v="Минск"/>
    <s v="Фрукты"/>
    <s v="Груши"/>
    <n v="1420"/>
    <n v="82"/>
    <n v="116.44"/>
    <x v="3"/>
  </r>
  <r>
    <x v="94"/>
    <s v="Виталюр"/>
    <s v="Столбцы"/>
    <s v="Зелень"/>
    <s v="Салат айсберг"/>
    <n v="1380"/>
    <n v="43"/>
    <n v="59.34"/>
    <x v="3"/>
  </r>
  <r>
    <x v="94"/>
    <s v="Евроопт"/>
    <s v="Столбцы"/>
    <s v="Овощи"/>
    <s v="Баклажаны"/>
    <n v="890"/>
    <n v="33"/>
    <n v="29.37"/>
    <x v="3"/>
  </r>
  <r>
    <x v="94"/>
    <s v="Соседи"/>
    <s v="Столбцы"/>
    <s v="Овощи"/>
    <s v="Кабачки"/>
    <n v="325"/>
    <n v="48"/>
    <n v="15.6"/>
    <x v="3"/>
  </r>
  <r>
    <x v="94"/>
    <s v="Копеечка"/>
    <s v="Столбцы"/>
    <s v="Фрукты"/>
    <s v="Абрикосы"/>
    <n v="1320"/>
    <n v="27"/>
    <n v="35.64"/>
    <x v="3"/>
  </r>
  <r>
    <x v="94"/>
    <s v="Соседи"/>
    <s v="Столбцы"/>
    <s v="Фрукты"/>
    <s v="Яблоки"/>
    <n v="1230"/>
    <n v="71"/>
    <n v="87.33"/>
    <x v="3"/>
  </r>
  <r>
    <x v="95"/>
    <m/>
    <m/>
    <m/>
    <m/>
    <m/>
    <m/>
    <n v="760.04000000000008"/>
    <x v="3"/>
  </r>
  <r>
    <x v="96"/>
    <s v="Виталюр"/>
    <s v="Барановичи"/>
    <s v="Зелень"/>
    <s v="Салат римский"/>
    <n v="540"/>
    <n v="86"/>
    <n v="46.44"/>
    <x v="3"/>
  </r>
  <r>
    <x v="96"/>
    <s v="Виталюр"/>
    <s v="Барановичи"/>
    <s v="Фрукты"/>
    <s v="Абрикосы"/>
    <n v="1320"/>
    <n v="84"/>
    <n v="110.88"/>
    <x v="3"/>
  </r>
  <r>
    <x v="96"/>
    <s v="Виталюр"/>
    <s v="Жодино"/>
    <s v="Зелень"/>
    <s v="Кинза"/>
    <n v="650"/>
    <n v="89"/>
    <n v="57.85"/>
    <x v="3"/>
  </r>
  <r>
    <x v="96"/>
    <s v="Соседи"/>
    <s v="Минск"/>
    <s v="Овощи"/>
    <s v="Морковь"/>
    <n v="715"/>
    <n v="5"/>
    <n v="3.5750000000000002"/>
    <x v="3"/>
  </r>
  <r>
    <x v="96"/>
    <s v="Евроопт"/>
    <s v="Минск"/>
    <s v="Ягоды"/>
    <s v="Брусника"/>
    <n v="1670"/>
    <n v="52"/>
    <n v="86.84"/>
    <x v="3"/>
  </r>
  <r>
    <x v="96"/>
    <s v="Копеечка"/>
    <s v="Столбцы"/>
    <s v="Овощи"/>
    <s v="Капуста"/>
    <n v="460"/>
    <n v="48"/>
    <n v="22.08"/>
    <x v="3"/>
  </r>
  <r>
    <x v="96"/>
    <s v="Соседи"/>
    <s v="Столбцы"/>
    <s v="Овощи"/>
    <s v="Баклажаны"/>
    <n v="890"/>
    <n v="38"/>
    <n v="33.82"/>
    <x v="3"/>
  </r>
  <r>
    <x v="96"/>
    <s v="Виталюр"/>
    <s v="Столбцы"/>
    <s v="Овощи"/>
    <s v="Свекла"/>
    <n v="450"/>
    <n v="77"/>
    <n v="34.65"/>
    <x v="3"/>
  </r>
  <r>
    <x v="96"/>
    <s v="Соседи"/>
    <s v="Столбцы"/>
    <s v="Фрукты"/>
    <s v="Сливы"/>
    <n v="930"/>
    <n v="29"/>
    <n v="26.97"/>
    <x v="3"/>
  </r>
  <r>
    <x v="96"/>
    <s v="Евроопт"/>
    <s v="Столбцы"/>
    <s v="Фрукты"/>
    <s v="Груши"/>
    <n v="1420"/>
    <n v="37"/>
    <n v="52.54"/>
    <x v="3"/>
  </r>
  <r>
    <x v="96"/>
    <s v="Соседи"/>
    <s v="Столбцы"/>
    <s v="Ягоды"/>
    <s v="Смородина черная"/>
    <n v="1505"/>
    <n v="6"/>
    <n v="9.0299999999999994"/>
    <x v="3"/>
  </r>
  <r>
    <x v="96"/>
    <s v="Соседи"/>
    <s v="Фаниполь"/>
    <s v="Зелень"/>
    <s v="Укроп"/>
    <n v="650"/>
    <n v="71"/>
    <n v="46.15"/>
    <x v="3"/>
  </r>
  <r>
    <x v="96"/>
    <s v="Виталюр"/>
    <s v="Фаниполь"/>
    <s v="Ягоды"/>
    <s v="Черешня"/>
    <n v="1760"/>
    <n v="27"/>
    <n v="47.52"/>
    <x v="3"/>
  </r>
  <r>
    <x v="97"/>
    <m/>
    <m/>
    <m/>
    <m/>
    <m/>
    <m/>
    <n v="578.34499999999991"/>
    <x v="3"/>
  </r>
  <r>
    <x v="98"/>
    <s v="Евроопт"/>
    <s v="Барановичи"/>
    <s v="Зелень"/>
    <s v="Салат айсберг"/>
    <n v="1380"/>
    <n v="75"/>
    <n v="103.5"/>
    <x v="3"/>
  </r>
  <r>
    <x v="98"/>
    <s v="Виталюр"/>
    <s v="Барановичи"/>
    <s v="Зелень"/>
    <s v="Салат римский"/>
    <n v="540"/>
    <n v="47"/>
    <n v="25.38"/>
    <x v="3"/>
  </r>
  <r>
    <x v="98"/>
    <s v="Соседи"/>
    <s v="Барановичи"/>
    <s v="Овощи"/>
    <s v="Картофель"/>
    <n v="690"/>
    <n v="84"/>
    <n v="57.96"/>
    <x v="3"/>
  </r>
  <r>
    <x v="98"/>
    <s v="Соседи"/>
    <s v="Барановичи"/>
    <s v="Ягоды"/>
    <s v="Голубика"/>
    <n v="3205"/>
    <n v="42"/>
    <n v="134.61000000000001"/>
    <x v="3"/>
  </r>
  <r>
    <x v="98"/>
    <s v="Евроопт"/>
    <s v="Барановичи"/>
    <s v="Ягоды"/>
    <s v="Брусника"/>
    <n v="1670"/>
    <n v="95"/>
    <n v="158.65"/>
    <x v="3"/>
  </r>
  <r>
    <x v="98"/>
    <s v="Евроопт"/>
    <s v="Борисов"/>
    <s v="Зелень"/>
    <s v="Укроп"/>
    <n v="650"/>
    <n v="73"/>
    <n v="47.45"/>
    <x v="3"/>
  </r>
  <r>
    <x v="98"/>
    <s v="Виталюр"/>
    <s v="Жодино"/>
    <s v="Зелень"/>
    <s v="Салат римский"/>
    <n v="540"/>
    <n v="10"/>
    <n v="5.4"/>
    <x v="3"/>
  </r>
  <r>
    <x v="98"/>
    <s v="Соседи"/>
    <s v="Жодино"/>
    <s v="Фрукты"/>
    <s v="Груши"/>
    <n v="1420"/>
    <n v="97"/>
    <n v="137.74"/>
    <x v="3"/>
  </r>
  <r>
    <x v="98"/>
    <s v="Копеечка"/>
    <s v="Минск"/>
    <s v="Зелень"/>
    <s v="Укроп"/>
    <n v="650"/>
    <n v="41"/>
    <n v="26.65"/>
    <x v="3"/>
  </r>
  <r>
    <x v="98"/>
    <s v="Евроопт"/>
    <s v="Минск"/>
    <s v="Овощи"/>
    <s v="Кабачки"/>
    <n v="325"/>
    <n v="80"/>
    <n v="26"/>
    <x v="3"/>
  </r>
  <r>
    <x v="98"/>
    <s v="Копеечка"/>
    <s v="Минск"/>
    <s v="Ягоды"/>
    <s v="Малина"/>
    <n v="2970"/>
    <n v="85"/>
    <n v="252.45"/>
    <x v="3"/>
  </r>
  <r>
    <x v="98"/>
    <s v="Евроопт"/>
    <s v="Столбцы"/>
    <s v="Зелень"/>
    <s v="Салат айсберг"/>
    <n v="1380"/>
    <n v="73"/>
    <n v="100.74"/>
    <x v="3"/>
  </r>
  <r>
    <x v="98"/>
    <s v="Виталюр"/>
    <s v="Фаниполь"/>
    <s v="Зелень"/>
    <s v="Кинза"/>
    <n v="650"/>
    <n v="63"/>
    <n v="40.950000000000003"/>
    <x v="3"/>
  </r>
  <r>
    <x v="99"/>
    <m/>
    <m/>
    <m/>
    <m/>
    <m/>
    <m/>
    <n v="1117.48"/>
    <x v="3"/>
  </r>
  <r>
    <x v="100"/>
    <s v="Виталюр"/>
    <s v="Барановичи"/>
    <s v="Зелень"/>
    <s v="Петрушка"/>
    <n v="640"/>
    <n v="98"/>
    <n v="62.72"/>
    <x v="3"/>
  </r>
  <r>
    <x v="100"/>
    <s v="Евроопт"/>
    <s v="Борисов"/>
    <s v="Овощи"/>
    <s v="Капуста"/>
    <n v="460"/>
    <n v="61"/>
    <n v="28.06"/>
    <x v="3"/>
  </r>
  <r>
    <x v="100"/>
    <s v="Евроопт"/>
    <s v="Борисов"/>
    <s v="Ягоды"/>
    <s v="Смородина черная"/>
    <n v="1505"/>
    <n v="51"/>
    <n v="76.754999999999995"/>
    <x v="3"/>
  </r>
  <r>
    <x v="100"/>
    <s v="Копеечка"/>
    <s v="Жодино"/>
    <s v="Зелень"/>
    <s v="Петрушка"/>
    <n v="640"/>
    <n v="78"/>
    <n v="49.92"/>
    <x v="3"/>
  </r>
  <r>
    <x v="100"/>
    <s v="Копеечка"/>
    <s v="Жодино"/>
    <s v="Фрукты"/>
    <s v="Сливы"/>
    <n v="930"/>
    <n v="34"/>
    <n v="31.62"/>
    <x v="3"/>
  </r>
  <r>
    <x v="100"/>
    <s v="Копеечка"/>
    <s v="Минск"/>
    <s v="Фрукты"/>
    <s v="Апельсины"/>
    <n v="2540"/>
    <n v="91"/>
    <n v="231.14"/>
    <x v="3"/>
  </r>
  <r>
    <x v="100"/>
    <s v="Копеечка"/>
    <s v="Минск"/>
    <s v="Фрукты"/>
    <s v="Яблоки"/>
    <n v="1230"/>
    <n v="40"/>
    <n v="49.2"/>
    <x v="3"/>
  </r>
  <r>
    <x v="100"/>
    <s v="Виталюр"/>
    <s v="Столбцы"/>
    <s v="Зелень"/>
    <s v="Салат римский"/>
    <n v="540"/>
    <n v="52"/>
    <n v="28.08"/>
    <x v="3"/>
  </r>
  <r>
    <x v="100"/>
    <s v="Соседи"/>
    <s v="Столбцы"/>
    <s v="Фрукты"/>
    <s v="Груши"/>
    <n v="1420"/>
    <n v="89"/>
    <n v="126.38"/>
    <x v="3"/>
  </r>
  <r>
    <x v="101"/>
    <m/>
    <m/>
    <m/>
    <m/>
    <m/>
    <m/>
    <n v="683.875"/>
    <x v="3"/>
  </r>
  <r>
    <x v="102"/>
    <s v="Виталюр"/>
    <s v="Барановичи"/>
    <s v="Фрукты"/>
    <s v="Груши"/>
    <n v="1420"/>
    <n v="20"/>
    <n v="28.4"/>
    <x v="3"/>
  </r>
  <r>
    <x v="102"/>
    <s v="Виталюр"/>
    <s v="Барановичи"/>
    <s v="Фрукты"/>
    <s v="Апельсины"/>
    <n v="2540"/>
    <n v="21"/>
    <n v="53.34"/>
    <x v="3"/>
  </r>
  <r>
    <x v="102"/>
    <s v="Евроопт"/>
    <s v="Борисов"/>
    <s v="Зелень"/>
    <s v="Салат римский"/>
    <n v="540"/>
    <n v="6"/>
    <n v="3.24"/>
    <x v="3"/>
  </r>
  <r>
    <x v="102"/>
    <s v="Евроопт"/>
    <s v="Борисов"/>
    <s v="Овощи"/>
    <s v="Свекла"/>
    <n v="450"/>
    <n v="33"/>
    <n v="14.85"/>
    <x v="3"/>
  </r>
  <r>
    <x v="102"/>
    <s v="Копеечка"/>
    <s v="Жодино"/>
    <s v="Овощи"/>
    <s v="Капуста"/>
    <n v="460"/>
    <n v="83"/>
    <n v="38.18"/>
    <x v="3"/>
  </r>
  <r>
    <x v="102"/>
    <s v="Соседи"/>
    <s v="Минск"/>
    <s v="Фрукты"/>
    <s v="Абрикосы"/>
    <n v="1320"/>
    <n v="17"/>
    <n v="22.44"/>
    <x v="3"/>
  </r>
  <r>
    <x v="102"/>
    <s v="Евроопт"/>
    <s v="Столбцы"/>
    <s v="Ягоды"/>
    <s v="Черешня"/>
    <n v="1760"/>
    <n v="33"/>
    <n v="58.08"/>
    <x v="3"/>
  </r>
  <r>
    <x v="102"/>
    <s v="Соседи"/>
    <s v="Столбцы"/>
    <s v="Ягоды"/>
    <s v="Голубика"/>
    <n v="3205"/>
    <n v="11"/>
    <n v="35.255000000000003"/>
    <x v="3"/>
  </r>
  <r>
    <x v="102"/>
    <s v="Виталюр"/>
    <s v="Фаниполь"/>
    <s v="Ягоды"/>
    <s v="Голубика"/>
    <n v="3205"/>
    <n v="41"/>
    <n v="131.405"/>
    <x v="3"/>
  </r>
  <r>
    <x v="103"/>
    <m/>
    <m/>
    <m/>
    <m/>
    <m/>
    <m/>
    <n v="385.18999999999994"/>
    <x v="3"/>
  </r>
  <r>
    <x v="104"/>
    <s v="Соседи"/>
    <s v="Жодино"/>
    <s v="Зелень"/>
    <s v="Кинза"/>
    <n v="650"/>
    <n v="71"/>
    <n v="46.15"/>
    <x v="3"/>
  </r>
  <r>
    <x v="104"/>
    <s v="Виталюр"/>
    <s v="Жодино"/>
    <s v="Овощи"/>
    <s v="Свекла"/>
    <n v="450"/>
    <n v="27"/>
    <n v="12.15"/>
    <x v="3"/>
  </r>
  <r>
    <x v="104"/>
    <s v="Евроопт"/>
    <s v="Жодино"/>
    <s v="Овощи"/>
    <s v="Картофель"/>
    <n v="690"/>
    <n v="27"/>
    <n v="18.63"/>
    <x v="3"/>
  </r>
  <r>
    <x v="104"/>
    <s v="Евроопт"/>
    <s v="Столбцы"/>
    <s v="Зелень"/>
    <s v="Укроп"/>
    <n v="650"/>
    <n v="14"/>
    <n v="9.1"/>
    <x v="3"/>
  </r>
  <r>
    <x v="104"/>
    <s v="Соседи"/>
    <s v="Фаниполь"/>
    <s v="Овощи"/>
    <s v="Свекла"/>
    <n v="450"/>
    <n v="78"/>
    <n v="35.1"/>
    <x v="3"/>
  </r>
  <r>
    <x v="105"/>
    <m/>
    <m/>
    <m/>
    <m/>
    <m/>
    <m/>
    <n v="121.13"/>
    <x v="3"/>
  </r>
  <r>
    <x v="106"/>
    <s v="Копеечка"/>
    <s v="Борисов"/>
    <s v="Овощи"/>
    <s v="Картофель"/>
    <n v="690"/>
    <n v="32"/>
    <n v="22.08"/>
    <x v="3"/>
  </r>
  <r>
    <x v="106"/>
    <s v="Виталюр"/>
    <s v="Минск"/>
    <s v="Зелень"/>
    <s v="Кинза"/>
    <n v="650"/>
    <n v="46"/>
    <n v="29.9"/>
    <x v="3"/>
  </r>
  <r>
    <x v="106"/>
    <s v="Виталюр"/>
    <s v="Минск"/>
    <s v="Ягоды"/>
    <s v="Черешня"/>
    <n v="1760"/>
    <n v="75"/>
    <n v="132"/>
    <x v="3"/>
  </r>
  <r>
    <x v="106"/>
    <s v="Копеечка"/>
    <s v="Столбцы"/>
    <s v="Фрукты"/>
    <s v="Сливы"/>
    <n v="930"/>
    <n v="67"/>
    <n v="62.31"/>
    <x v="3"/>
  </r>
  <r>
    <x v="106"/>
    <s v="Соседи"/>
    <s v="Столбцы"/>
    <s v="Фрукты"/>
    <s v="Яблоки"/>
    <n v="1230"/>
    <n v="95"/>
    <n v="116.85"/>
    <x v="3"/>
  </r>
  <r>
    <x v="107"/>
    <m/>
    <m/>
    <m/>
    <m/>
    <m/>
    <m/>
    <n v="363.14"/>
    <x v="3"/>
  </r>
  <r>
    <x v="108"/>
    <s v="Виталюр"/>
    <s v="Барановичи"/>
    <s v="Зелень"/>
    <s v="Лук зеленый"/>
    <n v="705"/>
    <n v="22"/>
    <n v="15.51"/>
    <x v="3"/>
  </r>
  <r>
    <x v="108"/>
    <s v="Соседи"/>
    <s v="Барановичи"/>
    <s v="Зелень"/>
    <s v="Укроп"/>
    <n v="650"/>
    <n v="8"/>
    <n v="5.2"/>
    <x v="3"/>
  </r>
  <r>
    <x v="108"/>
    <s v="Копеечка"/>
    <s v="Борисов"/>
    <s v="Овощи"/>
    <s v="Картофель"/>
    <n v="690"/>
    <n v="97"/>
    <n v="66.930000000000007"/>
    <x v="3"/>
  </r>
  <r>
    <x v="108"/>
    <s v="Виталюр"/>
    <s v="Борисов"/>
    <s v="Овощи"/>
    <s v="Кабачки"/>
    <n v="325"/>
    <n v="32"/>
    <n v="10.4"/>
    <x v="3"/>
  </r>
  <r>
    <x v="108"/>
    <s v="Копеечка"/>
    <s v="Борисов"/>
    <s v="Ягоды"/>
    <s v="Смородина черная"/>
    <n v="1505"/>
    <n v="34"/>
    <n v="51.17"/>
    <x v="3"/>
  </r>
  <r>
    <x v="108"/>
    <s v="Виталюр"/>
    <s v="Борисов"/>
    <s v="Ягоды"/>
    <s v="Малина"/>
    <n v="2970"/>
    <n v="92"/>
    <n v="273.24"/>
    <x v="3"/>
  </r>
  <r>
    <x v="108"/>
    <s v="Соседи"/>
    <s v="Жодино"/>
    <s v="Фрукты"/>
    <s v="Апельсины"/>
    <n v="2540"/>
    <n v="65"/>
    <n v="165.1"/>
    <x v="3"/>
  </r>
  <r>
    <x v="108"/>
    <s v="Виталюр"/>
    <s v="Минск"/>
    <s v="Зелень"/>
    <s v="Петрушка"/>
    <n v="640"/>
    <n v="40"/>
    <n v="25.6"/>
    <x v="3"/>
  </r>
  <r>
    <x v="108"/>
    <s v="Соседи"/>
    <s v="Минск"/>
    <s v="Овощи"/>
    <s v="Морковь"/>
    <n v="715"/>
    <n v="50"/>
    <n v="35.75"/>
    <x v="3"/>
  </r>
  <r>
    <x v="108"/>
    <s v="Соседи"/>
    <s v="Минск"/>
    <s v="Овощи"/>
    <s v="Баклажаны"/>
    <n v="890"/>
    <n v="89"/>
    <n v="79.209999999999994"/>
    <x v="3"/>
  </r>
  <r>
    <x v="108"/>
    <s v="Евроопт"/>
    <s v="Фаниполь"/>
    <s v="Овощи"/>
    <s v="Баклажаны"/>
    <n v="890"/>
    <n v="99"/>
    <n v="88.11"/>
    <x v="3"/>
  </r>
  <r>
    <x v="109"/>
    <m/>
    <m/>
    <m/>
    <m/>
    <m/>
    <m/>
    <n v="816.22000000000014"/>
    <x v="3"/>
  </r>
  <r>
    <x v="110"/>
    <s v="Виталюр"/>
    <s v="Барановичи"/>
    <s v="Овощи"/>
    <s v="Капуста"/>
    <n v="460"/>
    <n v="34"/>
    <n v="15.64"/>
    <x v="3"/>
  </r>
  <r>
    <x v="110"/>
    <s v="Евроопт"/>
    <s v="Борисов"/>
    <s v="Зелень"/>
    <s v="Салат римский"/>
    <n v="540"/>
    <n v="55"/>
    <n v="29.7"/>
    <x v="3"/>
  </r>
  <r>
    <x v="110"/>
    <s v="Евроопт"/>
    <s v="Жодино"/>
    <s v="Зелень"/>
    <s v="Кинза"/>
    <n v="650"/>
    <n v="67"/>
    <n v="43.55"/>
    <x v="3"/>
  </r>
  <r>
    <x v="110"/>
    <s v="Виталюр"/>
    <s v="Жодино"/>
    <s v="Овощи"/>
    <s v="Кабачки"/>
    <n v="325"/>
    <n v="37"/>
    <n v="12.025"/>
    <x v="3"/>
  </r>
  <r>
    <x v="110"/>
    <s v="Копеечка"/>
    <s v="Жодино"/>
    <s v="Ягоды"/>
    <s v="Голубика"/>
    <n v="3205"/>
    <n v="90"/>
    <n v="288.45"/>
    <x v="3"/>
  </r>
  <r>
    <x v="110"/>
    <s v="Виталюр"/>
    <s v="Минск"/>
    <s v="Фрукты"/>
    <s v="Бананы"/>
    <n v="2400"/>
    <n v="8"/>
    <n v="19.2"/>
    <x v="3"/>
  </r>
  <r>
    <x v="110"/>
    <s v="Соседи"/>
    <s v="Минск"/>
    <s v="Фрукты"/>
    <s v="Сливы"/>
    <n v="930"/>
    <n v="38"/>
    <n v="35.340000000000003"/>
    <x v="3"/>
  </r>
  <r>
    <x v="110"/>
    <s v="Виталюр"/>
    <s v="Минск"/>
    <s v="Фрукты"/>
    <s v="Апельсины"/>
    <n v="2540"/>
    <n v="51"/>
    <n v="129.54"/>
    <x v="3"/>
  </r>
  <r>
    <x v="110"/>
    <s v="Соседи"/>
    <s v="Столбцы"/>
    <s v="Зелень"/>
    <s v="Укроп"/>
    <n v="650"/>
    <n v="9"/>
    <n v="5.85"/>
    <x v="3"/>
  </r>
  <r>
    <x v="110"/>
    <s v="Евроопт"/>
    <s v="Столбцы"/>
    <s v="Зелень"/>
    <s v="Лук зеленый"/>
    <n v="705"/>
    <n v="17"/>
    <n v="11.984999999999999"/>
    <x v="3"/>
  </r>
  <r>
    <x v="110"/>
    <s v="Виталюр"/>
    <s v="Столбцы"/>
    <s v="Овощи"/>
    <s v="Морковь"/>
    <n v="715"/>
    <n v="54"/>
    <n v="38.61"/>
    <x v="3"/>
  </r>
  <r>
    <x v="110"/>
    <s v="Копеечка"/>
    <s v="Столбцы"/>
    <s v="Фрукты"/>
    <s v="Яблоки"/>
    <n v="1230"/>
    <n v="58"/>
    <n v="71.34"/>
    <x v="3"/>
  </r>
  <r>
    <x v="110"/>
    <s v="Копеечка"/>
    <s v="Фаниполь"/>
    <s v="Ягоды"/>
    <s v="Малина"/>
    <n v="2970"/>
    <n v="49"/>
    <n v="145.53"/>
    <x v="3"/>
  </r>
  <r>
    <x v="110"/>
    <s v="Виталюр"/>
    <s v="Фаниполь"/>
    <s v="Ягоды"/>
    <s v="Голубика"/>
    <n v="3205"/>
    <n v="80"/>
    <n v="256.39999999999998"/>
    <x v="3"/>
  </r>
  <r>
    <x v="111"/>
    <m/>
    <m/>
    <m/>
    <m/>
    <m/>
    <m/>
    <n v="1103.1599999999999"/>
    <x v="3"/>
  </r>
  <r>
    <x v="112"/>
    <s v="Виталюр"/>
    <s v="Барановичи"/>
    <s v="Зелень"/>
    <s v="Кинза"/>
    <n v="650"/>
    <n v="54"/>
    <n v="35.1"/>
    <x v="3"/>
  </r>
  <r>
    <x v="112"/>
    <s v="Копеечка"/>
    <s v="Барановичи"/>
    <s v="Фрукты"/>
    <s v="Сливы"/>
    <n v="930"/>
    <n v="90"/>
    <n v="83.7"/>
    <x v="3"/>
  </r>
  <r>
    <x v="112"/>
    <s v="Копеечка"/>
    <s v="Борисов"/>
    <s v="Ягоды"/>
    <s v="Голубика"/>
    <n v="3205"/>
    <n v="74"/>
    <n v="237.17"/>
    <x v="3"/>
  </r>
  <r>
    <x v="112"/>
    <s v="Евроопт"/>
    <s v="Жодино"/>
    <s v="Ягоды"/>
    <s v="Голубика"/>
    <n v="3205"/>
    <n v="18"/>
    <n v="57.69"/>
    <x v="3"/>
  </r>
  <r>
    <x v="112"/>
    <s v="Копеечка"/>
    <s v="Минск"/>
    <s v="Зелень"/>
    <s v="Укроп"/>
    <n v="650"/>
    <n v="27"/>
    <n v="17.55"/>
    <x v="3"/>
  </r>
  <r>
    <x v="112"/>
    <s v="Соседи"/>
    <s v="Минск"/>
    <s v="Овощи"/>
    <s v="Картофель"/>
    <n v="690"/>
    <n v="52"/>
    <n v="35.880000000000003"/>
    <x v="3"/>
  </r>
  <r>
    <x v="112"/>
    <s v="Соседи"/>
    <s v="Столбцы"/>
    <s v="Овощи"/>
    <s v="Морковь"/>
    <n v="715"/>
    <n v="79"/>
    <n v="56.484999999999999"/>
    <x v="3"/>
  </r>
  <r>
    <x v="112"/>
    <s v="Виталюр"/>
    <s v="Столбцы"/>
    <s v="Овощи"/>
    <s v="Картофель"/>
    <n v="690"/>
    <n v="98"/>
    <n v="67.62"/>
    <x v="3"/>
  </r>
  <r>
    <x v="112"/>
    <s v="Евроопт"/>
    <s v="Столбцы"/>
    <s v="Фрукты"/>
    <s v="Яблоки"/>
    <n v="1230"/>
    <n v="32"/>
    <n v="39.36"/>
    <x v="3"/>
  </r>
  <r>
    <x v="112"/>
    <s v="Соседи"/>
    <s v="Фаниполь"/>
    <s v="Зелень"/>
    <s v="Петрушка"/>
    <n v="640"/>
    <n v="51"/>
    <n v="32.64"/>
    <x v="3"/>
  </r>
  <r>
    <x v="112"/>
    <s v="Евроопт"/>
    <s v="Фаниполь"/>
    <s v="Фрукты"/>
    <s v="Груши"/>
    <n v="1420"/>
    <n v="99"/>
    <n v="140.58000000000001"/>
    <x v="3"/>
  </r>
  <r>
    <x v="113"/>
    <m/>
    <m/>
    <m/>
    <m/>
    <m/>
    <m/>
    <n v="803.77500000000009"/>
    <x v="3"/>
  </r>
  <r>
    <x v="114"/>
    <s v="Копеечка"/>
    <s v="Жодино"/>
    <s v="Ягоды"/>
    <s v="Брусника"/>
    <n v="1670"/>
    <n v="11"/>
    <n v="18.37"/>
    <x v="3"/>
  </r>
  <r>
    <x v="114"/>
    <s v="Соседи"/>
    <s v="Минск"/>
    <s v="Зелень"/>
    <s v="Салат айсберг"/>
    <n v="1380"/>
    <n v="23"/>
    <n v="31.74"/>
    <x v="3"/>
  </r>
  <r>
    <x v="114"/>
    <s v="Виталюр"/>
    <s v="Минск"/>
    <s v="Ягоды"/>
    <s v="Брусника"/>
    <n v="1670"/>
    <n v="77"/>
    <n v="128.59"/>
    <x v="3"/>
  </r>
  <r>
    <x v="114"/>
    <s v="Соседи"/>
    <s v="Столбцы"/>
    <s v="Зелень"/>
    <s v="Салат айсберг"/>
    <n v="1380"/>
    <n v="81"/>
    <n v="111.78"/>
    <x v="3"/>
  </r>
  <r>
    <x v="114"/>
    <s v="Копеечка"/>
    <s v="Столбцы"/>
    <s v="Зелень"/>
    <s v="Кинза"/>
    <n v="650"/>
    <n v="58"/>
    <n v="37.700000000000003"/>
    <x v="3"/>
  </r>
  <r>
    <x v="114"/>
    <s v="Виталюр"/>
    <s v="Столбцы"/>
    <s v="Ягоды"/>
    <s v="Малина"/>
    <n v="2970"/>
    <n v="78"/>
    <n v="231.66"/>
    <x v="3"/>
  </r>
  <r>
    <x v="115"/>
    <m/>
    <m/>
    <m/>
    <m/>
    <m/>
    <m/>
    <n v="559.84"/>
    <x v="3"/>
  </r>
  <r>
    <x v="116"/>
    <s v="Соседи"/>
    <s v="Барановичи"/>
    <s v="Зелень"/>
    <s v="Кинза"/>
    <n v="650"/>
    <n v="62"/>
    <n v="40.299999999999997"/>
    <x v="3"/>
  </r>
  <r>
    <x v="116"/>
    <s v="Виталюр"/>
    <s v="Барановичи"/>
    <s v="Фрукты"/>
    <s v="Яблоки"/>
    <n v="1230"/>
    <n v="47"/>
    <n v="57.81"/>
    <x v="3"/>
  </r>
  <r>
    <x v="116"/>
    <s v="Копеечка"/>
    <s v="Барановичи"/>
    <s v="Фрукты"/>
    <s v="Груши"/>
    <n v="1420"/>
    <n v="83"/>
    <n v="117.86"/>
    <x v="3"/>
  </r>
  <r>
    <x v="116"/>
    <s v="Копеечка"/>
    <s v="Борисов"/>
    <s v="Овощи"/>
    <s v="Картофель"/>
    <n v="690"/>
    <n v="82"/>
    <n v="56.58"/>
    <x v="3"/>
  </r>
  <r>
    <x v="116"/>
    <s v="Виталюр"/>
    <s v="Борисов"/>
    <s v="Фрукты"/>
    <s v="Абрикосы"/>
    <n v="1320"/>
    <n v="47"/>
    <n v="62.04"/>
    <x v="3"/>
  </r>
  <r>
    <x v="116"/>
    <s v="Копеечка"/>
    <s v="Жодино"/>
    <s v="Ягоды"/>
    <s v="Смородина черная"/>
    <n v="1505"/>
    <n v="78"/>
    <n v="117.39"/>
    <x v="3"/>
  </r>
  <r>
    <x v="116"/>
    <s v="Соседи"/>
    <s v="Минск"/>
    <s v="Ягоды"/>
    <s v="Черешня"/>
    <n v="1760"/>
    <n v="91"/>
    <n v="160.16"/>
    <x v="3"/>
  </r>
  <r>
    <x v="116"/>
    <s v="Виталюр"/>
    <s v="Столбцы"/>
    <s v="Зелень"/>
    <s v="Салат римский"/>
    <n v="540"/>
    <n v="18"/>
    <n v="9.7200000000000006"/>
    <x v="3"/>
  </r>
  <r>
    <x v="116"/>
    <s v="Евроопт"/>
    <s v="Столбцы"/>
    <s v="Зелень"/>
    <s v="Лук зеленый"/>
    <n v="705"/>
    <n v="90"/>
    <n v="63.45"/>
    <x v="3"/>
  </r>
  <r>
    <x v="117"/>
    <m/>
    <m/>
    <m/>
    <m/>
    <m/>
    <m/>
    <n v="685.31000000000006"/>
    <x v="3"/>
  </r>
  <r>
    <x v="118"/>
    <s v="Соседи"/>
    <s v="Барановичи"/>
    <s v="Фрукты"/>
    <s v="Апельсины"/>
    <n v="2540"/>
    <n v="48"/>
    <n v="121.92"/>
    <x v="3"/>
  </r>
  <r>
    <x v="118"/>
    <s v="Евроопт"/>
    <s v="Барановичи"/>
    <s v="Ягоды"/>
    <s v="Черешня"/>
    <n v="1760"/>
    <n v="84"/>
    <n v="147.84"/>
    <x v="3"/>
  </r>
  <r>
    <x v="118"/>
    <s v="Копеечка"/>
    <s v="Борисов"/>
    <s v="Ягоды"/>
    <s v="Смородина черная"/>
    <n v="1505"/>
    <n v="46"/>
    <n v="69.23"/>
    <x v="3"/>
  </r>
  <r>
    <x v="118"/>
    <s v="Виталюр"/>
    <s v="Минск"/>
    <s v="Зелень"/>
    <s v="Лук зеленый"/>
    <n v="705"/>
    <n v="5"/>
    <n v="3.5249999999999999"/>
    <x v="3"/>
  </r>
  <r>
    <x v="118"/>
    <s v="Соседи"/>
    <s v="Минск"/>
    <s v="Зелень"/>
    <s v="Салат римский"/>
    <n v="540"/>
    <n v="76"/>
    <n v="41.04"/>
    <x v="3"/>
  </r>
  <r>
    <x v="118"/>
    <s v="Копеечка"/>
    <s v="Минск"/>
    <s v="Зелень"/>
    <s v="Кинза"/>
    <n v="650"/>
    <n v="90"/>
    <n v="58.5"/>
    <x v="3"/>
  </r>
  <r>
    <x v="118"/>
    <s v="Копеечка"/>
    <s v="Минск"/>
    <s v="Фрукты"/>
    <s v="Груши"/>
    <n v="1420"/>
    <n v="98"/>
    <n v="139.16"/>
    <x v="3"/>
  </r>
  <r>
    <x v="118"/>
    <s v="Копеечка"/>
    <s v="Столбцы"/>
    <s v="Зелень"/>
    <s v="Салат айсберг"/>
    <n v="1380"/>
    <n v="43"/>
    <n v="59.34"/>
    <x v="3"/>
  </r>
  <r>
    <x v="118"/>
    <s v="Копеечка"/>
    <s v="Фаниполь"/>
    <s v="Зелень"/>
    <s v="Салат айсберг"/>
    <n v="1380"/>
    <n v="74"/>
    <n v="102.12"/>
    <x v="3"/>
  </r>
  <r>
    <x v="118"/>
    <s v="Евроопт"/>
    <s v="Фаниполь"/>
    <s v="Зелень"/>
    <s v="Петрушка"/>
    <n v="640"/>
    <n v="53"/>
    <n v="33.92"/>
    <x v="3"/>
  </r>
  <r>
    <x v="119"/>
    <m/>
    <m/>
    <m/>
    <m/>
    <m/>
    <m/>
    <n v="776.59500000000003"/>
    <x v="1"/>
  </r>
  <r>
    <x v="120"/>
    <s v="Евроопт"/>
    <s v="Борисов"/>
    <s v="Фрукты"/>
    <s v="Сливы"/>
    <n v="930"/>
    <n v="47"/>
    <n v="43.71"/>
    <x v="4"/>
  </r>
  <r>
    <x v="120"/>
    <s v="Евроопт"/>
    <s v="Жодино"/>
    <s v="Зелень"/>
    <s v="Кинза"/>
    <n v="650"/>
    <n v="52"/>
    <n v="33.799999999999997"/>
    <x v="4"/>
  </r>
  <r>
    <x v="120"/>
    <s v="Евроопт"/>
    <s v="Жодино"/>
    <s v="Зелень"/>
    <s v="Лук зеленый"/>
    <n v="705"/>
    <n v="5"/>
    <n v="3.5249999999999999"/>
    <x v="4"/>
  </r>
  <r>
    <x v="120"/>
    <s v="Копеечка"/>
    <s v="Жодино"/>
    <s v="Овощи"/>
    <s v="Свекла"/>
    <n v="450"/>
    <n v="56"/>
    <n v="25.2"/>
    <x v="4"/>
  </r>
  <r>
    <x v="120"/>
    <s v="Евроопт"/>
    <s v="Минск"/>
    <s v="Зелень"/>
    <s v="Салат айсберг"/>
    <n v="1380"/>
    <n v="34"/>
    <n v="46.92"/>
    <x v="4"/>
  </r>
  <r>
    <x v="120"/>
    <s v="Соседи"/>
    <s v="Минск"/>
    <s v="Овощи"/>
    <s v="Кабачки"/>
    <n v="325"/>
    <n v="18"/>
    <n v="5.85"/>
    <x v="4"/>
  </r>
  <r>
    <x v="120"/>
    <s v="Копеечка"/>
    <s v="Минск"/>
    <s v="Овощи"/>
    <s v="Кабачки"/>
    <n v="325"/>
    <n v="23"/>
    <n v="7.4749999999999996"/>
    <x v="4"/>
  </r>
  <r>
    <x v="120"/>
    <s v="Виталюр"/>
    <s v="Столбцы"/>
    <s v="Зелень"/>
    <s v="Лук зеленый"/>
    <n v="705"/>
    <n v="78"/>
    <n v="54.99"/>
    <x v="4"/>
  </r>
  <r>
    <x v="121"/>
    <m/>
    <m/>
    <m/>
    <m/>
    <m/>
    <m/>
    <n v="221.47"/>
    <x v="4"/>
  </r>
  <r>
    <x v="122"/>
    <s v="Соседи"/>
    <s v="Барановичи"/>
    <s v="Фрукты"/>
    <s v="Яблоки"/>
    <n v="1230"/>
    <n v="29"/>
    <n v="35.67"/>
    <x v="4"/>
  </r>
  <r>
    <x v="122"/>
    <s v="Виталюр"/>
    <s v="Барановичи"/>
    <s v="Ягоды"/>
    <s v="Брусника"/>
    <n v="1670"/>
    <n v="78"/>
    <n v="130.26"/>
    <x v="4"/>
  </r>
  <r>
    <x v="122"/>
    <s v="Копеечка"/>
    <s v="Минск"/>
    <s v="Ягоды"/>
    <s v="Черешня"/>
    <n v="1760"/>
    <n v="92"/>
    <n v="161.91999999999999"/>
    <x v="4"/>
  </r>
  <r>
    <x v="122"/>
    <s v="Виталюр"/>
    <s v="Столбцы"/>
    <s v="Зелень"/>
    <s v="Салат айсберг"/>
    <n v="1380"/>
    <n v="68"/>
    <n v="93.84"/>
    <x v="4"/>
  </r>
  <r>
    <x v="122"/>
    <s v="Соседи"/>
    <s v="Фаниполь"/>
    <s v="Овощи"/>
    <s v="Кабачки"/>
    <n v="325"/>
    <n v="5"/>
    <n v="1.625"/>
    <x v="4"/>
  </r>
  <r>
    <x v="122"/>
    <s v="Евроопт"/>
    <s v="Фаниполь"/>
    <s v="Фрукты"/>
    <s v="Бананы"/>
    <n v="2400"/>
    <n v="76"/>
    <n v="182.4"/>
    <x v="4"/>
  </r>
  <r>
    <x v="122"/>
    <s v="Евроопт"/>
    <s v="Фаниполь"/>
    <s v="Ягоды"/>
    <s v="Смородина черная"/>
    <n v="1505"/>
    <n v="34"/>
    <n v="51.17"/>
    <x v="4"/>
  </r>
  <r>
    <x v="123"/>
    <m/>
    <m/>
    <m/>
    <m/>
    <m/>
    <m/>
    <n v="656.88499999999999"/>
    <x v="4"/>
  </r>
  <r>
    <x v="124"/>
    <s v="Виталюр"/>
    <s v="Барановичи"/>
    <s v="Фрукты"/>
    <s v="Бананы"/>
    <n v="2400"/>
    <n v="21"/>
    <n v="50.4"/>
    <x v="4"/>
  </r>
  <r>
    <x v="124"/>
    <s v="Соседи"/>
    <s v="Борисов"/>
    <s v="Фрукты"/>
    <s v="Бананы"/>
    <n v="2400"/>
    <n v="27"/>
    <n v="64.8"/>
    <x v="4"/>
  </r>
  <r>
    <x v="124"/>
    <s v="Евроопт"/>
    <s v="Борисов"/>
    <s v="Ягоды"/>
    <s v="Голубика"/>
    <n v="3205"/>
    <n v="81"/>
    <n v="259.60500000000002"/>
    <x v="4"/>
  </r>
  <r>
    <x v="124"/>
    <s v="Виталюр"/>
    <s v="Жодино"/>
    <s v="Овощи"/>
    <s v="Картофель"/>
    <n v="690"/>
    <n v="10"/>
    <n v="6.9"/>
    <x v="4"/>
  </r>
  <r>
    <x v="124"/>
    <s v="Евроопт"/>
    <s v="Жодино"/>
    <s v="Овощи"/>
    <s v="Свекла"/>
    <n v="450"/>
    <n v="74"/>
    <n v="33.299999999999997"/>
    <x v="4"/>
  </r>
  <r>
    <x v="124"/>
    <s v="Виталюр"/>
    <s v="Жодино"/>
    <s v="Фрукты"/>
    <s v="Бананы"/>
    <n v="2400"/>
    <n v="72"/>
    <n v="172.8"/>
    <x v="4"/>
  </r>
  <r>
    <x v="124"/>
    <s v="Соседи"/>
    <s v="Жодино"/>
    <s v="Фрукты"/>
    <s v="Апельсины"/>
    <n v="2540"/>
    <n v="79"/>
    <n v="200.66"/>
    <x v="4"/>
  </r>
  <r>
    <x v="124"/>
    <s v="Копеечка"/>
    <s v="Минск"/>
    <s v="Овощи"/>
    <s v="Кабачки"/>
    <n v="325"/>
    <n v="81"/>
    <n v="26.324999999999999"/>
    <x v="4"/>
  </r>
  <r>
    <x v="124"/>
    <s v="Виталюр"/>
    <s v="Минск"/>
    <s v="Фрукты"/>
    <s v="Сливы"/>
    <n v="930"/>
    <n v="89"/>
    <n v="82.77"/>
    <x v="4"/>
  </r>
  <r>
    <x v="124"/>
    <s v="Соседи"/>
    <s v="Столбцы"/>
    <s v="Овощи"/>
    <s v="Баклажаны"/>
    <n v="890"/>
    <n v="8"/>
    <n v="7.12"/>
    <x v="4"/>
  </r>
  <r>
    <x v="125"/>
    <m/>
    <m/>
    <m/>
    <m/>
    <m/>
    <m/>
    <n v="904.68000000000006"/>
    <x v="4"/>
  </r>
  <r>
    <x v="126"/>
    <s v="Евроопт"/>
    <s v="Барановичи"/>
    <s v="Фрукты"/>
    <s v="Сливы"/>
    <n v="930"/>
    <n v="40"/>
    <n v="37.200000000000003"/>
    <x v="4"/>
  </r>
  <r>
    <x v="126"/>
    <s v="Виталюр"/>
    <s v="Барановичи"/>
    <s v="Фрукты"/>
    <s v="Яблоки"/>
    <n v="1230"/>
    <n v="33"/>
    <n v="40.590000000000003"/>
    <x v="4"/>
  </r>
  <r>
    <x v="126"/>
    <s v="Копеечка"/>
    <s v="Барановичи"/>
    <s v="Ягоды"/>
    <s v="Смородина черная"/>
    <n v="1505"/>
    <n v="74"/>
    <n v="111.37"/>
    <x v="4"/>
  </r>
  <r>
    <x v="126"/>
    <s v="Евроопт"/>
    <s v="Жодино"/>
    <s v="Овощи"/>
    <s v="Свекла"/>
    <n v="450"/>
    <n v="99"/>
    <n v="44.55"/>
    <x v="4"/>
  </r>
  <r>
    <x v="126"/>
    <s v="Копеечка"/>
    <s v="Жодино"/>
    <s v="Фрукты"/>
    <s v="Сливы"/>
    <n v="930"/>
    <n v="22"/>
    <n v="20.46"/>
    <x v="4"/>
  </r>
  <r>
    <x v="126"/>
    <s v="Виталюр"/>
    <s v="Минск"/>
    <s v="Фрукты"/>
    <s v="Абрикосы"/>
    <n v="1320"/>
    <n v="17"/>
    <n v="22.44"/>
    <x v="4"/>
  </r>
  <r>
    <x v="126"/>
    <s v="Евроопт"/>
    <s v="Минск"/>
    <s v="Фрукты"/>
    <s v="Яблоки"/>
    <n v="1230"/>
    <n v="94"/>
    <n v="115.62"/>
    <x v="4"/>
  </r>
  <r>
    <x v="126"/>
    <s v="Копеечка"/>
    <s v="Столбцы"/>
    <s v="Ягоды"/>
    <s v="Брусника"/>
    <n v="1670"/>
    <n v="51"/>
    <n v="85.17"/>
    <x v="4"/>
  </r>
  <r>
    <x v="126"/>
    <s v="Копеечка"/>
    <s v="Фаниполь"/>
    <s v="Зелень"/>
    <s v="Салат айсберг"/>
    <n v="1380"/>
    <n v="53"/>
    <n v="73.14"/>
    <x v="4"/>
  </r>
  <r>
    <x v="126"/>
    <s v="Копеечка"/>
    <s v="Фаниполь"/>
    <s v="Овощи"/>
    <s v="Капуста"/>
    <n v="460"/>
    <n v="28"/>
    <n v="12.88"/>
    <x v="4"/>
  </r>
  <r>
    <x v="126"/>
    <s v="Евроопт"/>
    <s v="Фаниполь"/>
    <s v="Овощи"/>
    <s v="Баклажаны"/>
    <n v="890"/>
    <n v="18"/>
    <n v="16.02"/>
    <x v="4"/>
  </r>
  <r>
    <x v="126"/>
    <s v="Евроопт"/>
    <s v="Фаниполь"/>
    <s v="Фрукты"/>
    <s v="Груши"/>
    <n v="1420"/>
    <n v="90"/>
    <n v="127.8"/>
    <x v="4"/>
  </r>
  <r>
    <x v="127"/>
    <m/>
    <m/>
    <m/>
    <m/>
    <m/>
    <m/>
    <n v="707.24"/>
    <x v="4"/>
  </r>
  <r>
    <x v="128"/>
    <s v="Соседи"/>
    <s v="Барановичи"/>
    <s v="Овощи"/>
    <s v="Картофель"/>
    <n v="690"/>
    <n v="41"/>
    <n v="28.29"/>
    <x v="4"/>
  </r>
  <r>
    <x v="128"/>
    <s v="Евроопт"/>
    <s v="Борисов"/>
    <s v="Овощи"/>
    <s v="Капуста"/>
    <n v="460"/>
    <n v="12"/>
    <n v="5.52"/>
    <x v="4"/>
  </r>
  <r>
    <x v="128"/>
    <s v="Соседи"/>
    <s v="Жодино"/>
    <s v="Фрукты"/>
    <s v="Абрикосы"/>
    <n v="1320"/>
    <n v="94"/>
    <n v="124.08"/>
    <x v="4"/>
  </r>
  <r>
    <x v="128"/>
    <s v="Соседи"/>
    <s v="Минск"/>
    <s v="Зелень"/>
    <s v="Салат айсберг"/>
    <n v="1380"/>
    <n v="69"/>
    <n v="95.22"/>
    <x v="4"/>
  </r>
  <r>
    <x v="128"/>
    <s v="Евроопт"/>
    <s v="Фаниполь"/>
    <s v="Зелень"/>
    <s v="Салат айсберг"/>
    <n v="1380"/>
    <n v="95"/>
    <n v="131.1"/>
    <x v="4"/>
  </r>
  <r>
    <x v="128"/>
    <s v="Евроопт"/>
    <s v="Фаниполь"/>
    <s v="Зелень"/>
    <s v="Кинза"/>
    <n v="650"/>
    <n v="73"/>
    <n v="47.45"/>
    <x v="4"/>
  </r>
  <r>
    <x v="129"/>
    <m/>
    <m/>
    <m/>
    <m/>
    <m/>
    <m/>
    <n v="431.65999999999997"/>
    <x v="4"/>
  </r>
  <r>
    <x v="130"/>
    <s v="Евроопт"/>
    <s v="Барановичи"/>
    <s v="Овощи"/>
    <s v="Свекла"/>
    <n v="450"/>
    <n v="38"/>
    <n v="17.100000000000001"/>
    <x v="4"/>
  </r>
  <r>
    <x v="130"/>
    <s v="Соседи"/>
    <s v="Барановичи"/>
    <s v="Овощи"/>
    <s v="Картофель"/>
    <n v="690"/>
    <n v="66"/>
    <n v="45.54"/>
    <x v="4"/>
  </r>
  <r>
    <x v="130"/>
    <s v="Копеечка"/>
    <s v="Барановичи"/>
    <s v="Овощи"/>
    <s v="Кабачки"/>
    <n v="325"/>
    <n v="64"/>
    <n v="20.8"/>
    <x v="4"/>
  </r>
  <r>
    <x v="130"/>
    <s v="Евроопт"/>
    <s v="Борисов"/>
    <s v="Овощи"/>
    <s v="Свекла"/>
    <n v="450"/>
    <n v="48"/>
    <n v="21.6"/>
    <x v="4"/>
  </r>
  <r>
    <x v="130"/>
    <s v="Соседи"/>
    <s v="Борисов"/>
    <s v="Ягоды"/>
    <s v="Черешня"/>
    <n v="1760"/>
    <n v="49"/>
    <n v="86.24"/>
    <x v="4"/>
  </r>
  <r>
    <x v="130"/>
    <s v="Евроопт"/>
    <s v="Жодино"/>
    <s v="Овощи"/>
    <s v="Картофель"/>
    <n v="690"/>
    <n v="40"/>
    <n v="27.6"/>
    <x v="4"/>
  </r>
  <r>
    <x v="130"/>
    <s v="Копеечка"/>
    <s v="Жодино"/>
    <s v="Фрукты"/>
    <s v="Яблоки"/>
    <n v="1230"/>
    <n v="28"/>
    <n v="34.44"/>
    <x v="4"/>
  </r>
  <r>
    <x v="130"/>
    <s v="Соседи"/>
    <s v="Жодино"/>
    <s v="Ягоды"/>
    <s v="Клубника"/>
    <n v="2460"/>
    <n v="67"/>
    <n v="164.82"/>
    <x v="4"/>
  </r>
  <r>
    <x v="130"/>
    <s v="Виталюр"/>
    <s v="Минск"/>
    <s v="Овощи"/>
    <s v="Капуста"/>
    <n v="460"/>
    <n v="71"/>
    <n v="32.659999999999997"/>
    <x v="4"/>
  </r>
  <r>
    <x v="130"/>
    <s v="Соседи"/>
    <s v="Минск"/>
    <s v="Овощи"/>
    <s v="Морковь"/>
    <n v="715"/>
    <n v="44"/>
    <n v="31.46"/>
    <x v="4"/>
  </r>
  <r>
    <x v="130"/>
    <s v="Виталюр"/>
    <s v="Столбцы"/>
    <s v="Зелень"/>
    <s v="Кинза"/>
    <n v="650"/>
    <n v="84"/>
    <n v="54.6"/>
    <x v="4"/>
  </r>
  <r>
    <x v="130"/>
    <s v="Виталюр"/>
    <s v="Фаниполь"/>
    <s v="Зелень"/>
    <s v="Петрушка"/>
    <n v="640"/>
    <n v="88"/>
    <n v="56.32"/>
    <x v="4"/>
  </r>
  <r>
    <x v="130"/>
    <s v="Евроопт"/>
    <s v="Фаниполь"/>
    <s v="Фрукты"/>
    <s v="Бананы"/>
    <n v="2400"/>
    <n v="29"/>
    <n v="69.599999999999994"/>
    <x v="4"/>
  </r>
  <r>
    <x v="131"/>
    <m/>
    <m/>
    <m/>
    <m/>
    <m/>
    <m/>
    <n v="662.78"/>
    <x v="4"/>
  </r>
  <r>
    <x v="132"/>
    <s v="Виталюр"/>
    <s v="Барановичи"/>
    <s v="Овощи"/>
    <s v="Свекла"/>
    <n v="450"/>
    <n v="27"/>
    <n v="12.15"/>
    <x v="4"/>
  </r>
  <r>
    <x v="132"/>
    <s v="Виталюр"/>
    <s v="Барановичи"/>
    <s v="Овощи"/>
    <s v="Капуста"/>
    <n v="460"/>
    <n v="55"/>
    <n v="25.3"/>
    <x v="4"/>
  </r>
  <r>
    <x v="132"/>
    <s v="Евроопт"/>
    <s v="Барановичи"/>
    <s v="Ягоды"/>
    <s v="Голубика"/>
    <n v="3205"/>
    <n v="89"/>
    <n v="285.245"/>
    <x v="4"/>
  </r>
  <r>
    <x v="132"/>
    <s v="Соседи"/>
    <s v="Борисов"/>
    <s v="Зелень"/>
    <s v="Лук зеленый"/>
    <n v="705"/>
    <n v="92"/>
    <n v="64.86"/>
    <x v="4"/>
  </r>
  <r>
    <x v="132"/>
    <s v="Евроопт"/>
    <s v="Борисов"/>
    <s v="Овощи"/>
    <s v="Картофель"/>
    <n v="690"/>
    <n v="52"/>
    <n v="35.880000000000003"/>
    <x v="4"/>
  </r>
  <r>
    <x v="132"/>
    <s v="Копеечка"/>
    <s v="Борисов"/>
    <s v="Ягоды"/>
    <s v="Малина"/>
    <n v="2970"/>
    <n v="85"/>
    <n v="252.45"/>
    <x v="4"/>
  </r>
  <r>
    <x v="132"/>
    <s v="Евроопт"/>
    <s v="Минск"/>
    <s v="Овощи"/>
    <s v="Морковь"/>
    <n v="715"/>
    <n v="73"/>
    <n v="52.195"/>
    <x v="4"/>
  </r>
  <r>
    <x v="132"/>
    <s v="Соседи"/>
    <s v="Минск"/>
    <s v="Овощи"/>
    <s v="Кабачки"/>
    <n v="325"/>
    <n v="29"/>
    <n v="9.4250000000000007"/>
    <x v="4"/>
  </r>
  <r>
    <x v="132"/>
    <s v="Виталюр"/>
    <s v="Минск"/>
    <s v="Ягоды"/>
    <s v="Смородина черная"/>
    <n v="1505"/>
    <n v="59"/>
    <n v="88.795000000000002"/>
    <x v="4"/>
  </r>
  <r>
    <x v="132"/>
    <s v="Евроопт"/>
    <s v="Столбцы"/>
    <s v="Фрукты"/>
    <s v="Апельсины"/>
    <n v="2540"/>
    <n v="40"/>
    <n v="101.6"/>
    <x v="4"/>
  </r>
  <r>
    <x v="132"/>
    <s v="Копеечка"/>
    <s v="Фаниполь"/>
    <s v="Овощи"/>
    <s v="Капуста"/>
    <n v="460"/>
    <n v="93"/>
    <n v="42.78"/>
    <x v="4"/>
  </r>
  <r>
    <x v="132"/>
    <s v="Соседи"/>
    <s v="Фаниполь"/>
    <s v="Овощи"/>
    <s v="Кабачки"/>
    <n v="325"/>
    <n v="72"/>
    <n v="23.4"/>
    <x v="4"/>
  </r>
  <r>
    <x v="132"/>
    <s v="Виталюр"/>
    <s v="Фаниполь"/>
    <s v="Фрукты"/>
    <s v="Абрикосы"/>
    <n v="1320"/>
    <n v="51"/>
    <n v="67.319999999999993"/>
    <x v="4"/>
  </r>
  <r>
    <x v="133"/>
    <m/>
    <m/>
    <m/>
    <m/>
    <m/>
    <m/>
    <n v="1061.3999999999999"/>
    <x v="4"/>
  </r>
  <r>
    <x v="134"/>
    <s v="Копеечка"/>
    <s v="Барановичи"/>
    <s v="Ягоды"/>
    <s v="Черешня"/>
    <n v="1760"/>
    <n v="57"/>
    <n v="100.32"/>
    <x v="4"/>
  </r>
  <r>
    <x v="134"/>
    <s v="Соседи"/>
    <s v="Борисов"/>
    <s v="Зелень"/>
    <s v="Укроп"/>
    <n v="650"/>
    <n v="99"/>
    <n v="64.349999999999994"/>
    <x v="4"/>
  </r>
  <r>
    <x v="134"/>
    <s v="Евроопт"/>
    <s v="Борисов"/>
    <s v="Зелень"/>
    <s v="Лук зеленый"/>
    <n v="705"/>
    <n v="76"/>
    <n v="53.58"/>
    <x v="4"/>
  </r>
  <r>
    <x v="134"/>
    <s v="Копеечка"/>
    <s v="Жодино"/>
    <s v="Фрукты"/>
    <s v="Апельсины"/>
    <n v="2540"/>
    <n v="91"/>
    <n v="231.14"/>
    <x v="4"/>
  </r>
  <r>
    <x v="134"/>
    <s v="Копеечка"/>
    <s v="Столбцы"/>
    <s v="Овощи"/>
    <s v="Морковь"/>
    <n v="715"/>
    <n v="25"/>
    <n v="17.875"/>
    <x v="4"/>
  </r>
  <r>
    <x v="135"/>
    <m/>
    <m/>
    <m/>
    <m/>
    <m/>
    <m/>
    <n v="467.26499999999999"/>
    <x v="4"/>
  </r>
  <r>
    <x v="136"/>
    <s v="Соседи"/>
    <s v="Барановичи"/>
    <s v="Овощи"/>
    <s v="Кабачки"/>
    <n v="325"/>
    <n v="81"/>
    <n v="26.324999999999999"/>
    <x v="4"/>
  </r>
  <r>
    <x v="136"/>
    <s v="Виталюр"/>
    <s v="Барановичи"/>
    <s v="Овощи"/>
    <s v="Баклажаны"/>
    <n v="890"/>
    <n v="27"/>
    <n v="24.03"/>
    <x v="4"/>
  </r>
  <r>
    <x v="136"/>
    <s v="Виталюр"/>
    <s v="Борисов"/>
    <s v="Овощи"/>
    <s v="Кабачки"/>
    <n v="325"/>
    <n v="85"/>
    <n v="27.625"/>
    <x v="4"/>
  </r>
  <r>
    <x v="136"/>
    <s v="Виталюр"/>
    <s v="Борисов"/>
    <s v="Фрукты"/>
    <s v="Сливы"/>
    <n v="930"/>
    <n v="6"/>
    <n v="5.58"/>
    <x v="4"/>
  </r>
  <r>
    <x v="136"/>
    <s v="Соседи"/>
    <s v="Борисов"/>
    <s v="Ягоды"/>
    <s v="Малина"/>
    <n v="2970"/>
    <n v="12"/>
    <n v="35.64"/>
    <x v="4"/>
  </r>
  <r>
    <x v="136"/>
    <s v="Виталюр"/>
    <s v="Жодино"/>
    <s v="Зелень"/>
    <s v="Укроп"/>
    <n v="650"/>
    <n v="52"/>
    <n v="33.799999999999997"/>
    <x v="4"/>
  </r>
  <r>
    <x v="136"/>
    <s v="Соседи"/>
    <s v="Жодино"/>
    <s v="Фрукты"/>
    <s v="Абрикосы"/>
    <n v="1320"/>
    <n v="100"/>
    <n v="132"/>
    <x v="4"/>
  </r>
  <r>
    <x v="136"/>
    <s v="Виталюр"/>
    <s v="Минск"/>
    <s v="Овощи"/>
    <s v="Морковь"/>
    <n v="715"/>
    <n v="61"/>
    <n v="43.615000000000002"/>
    <x v="4"/>
  </r>
  <r>
    <x v="136"/>
    <s v="Евроопт"/>
    <s v="Минск"/>
    <s v="Ягоды"/>
    <s v="Голубика"/>
    <n v="3205"/>
    <n v="80"/>
    <n v="256.39999999999998"/>
    <x v="4"/>
  </r>
  <r>
    <x v="136"/>
    <s v="Копеечка"/>
    <s v="Столбцы"/>
    <s v="Ягоды"/>
    <s v="Брусника"/>
    <n v="1670"/>
    <n v="79"/>
    <n v="131.93"/>
    <x v="4"/>
  </r>
  <r>
    <x v="137"/>
    <m/>
    <m/>
    <m/>
    <m/>
    <m/>
    <m/>
    <n v="716.94499999999994"/>
    <x v="4"/>
  </r>
  <r>
    <x v="138"/>
    <s v="Виталюр"/>
    <s v="Барановичи"/>
    <s v="Овощи"/>
    <s v="Капуста"/>
    <n v="460"/>
    <n v="55"/>
    <n v="25.3"/>
    <x v="4"/>
  </r>
  <r>
    <x v="138"/>
    <s v="Евроопт"/>
    <s v="Барановичи"/>
    <s v="Фрукты"/>
    <s v="Груши"/>
    <n v="1420"/>
    <n v="39"/>
    <n v="55.38"/>
    <x v="4"/>
  </r>
  <r>
    <x v="138"/>
    <s v="Копеечка"/>
    <s v="Борисов"/>
    <s v="Овощи"/>
    <s v="Картофель"/>
    <n v="690"/>
    <n v="16"/>
    <n v="11.04"/>
    <x v="4"/>
  </r>
  <r>
    <x v="138"/>
    <s v="Копеечка"/>
    <s v="Борисов"/>
    <s v="Фрукты"/>
    <s v="Груши"/>
    <n v="1420"/>
    <n v="33"/>
    <n v="46.86"/>
    <x v="4"/>
  </r>
  <r>
    <x v="138"/>
    <s v="Евроопт"/>
    <s v="Жодино"/>
    <s v="Овощи"/>
    <s v="Кабачки"/>
    <n v="325"/>
    <n v="77"/>
    <n v="25.024999999999999"/>
    <x v="4"/>
  </r>
  <r>
    <x v="138"/>
    <s v="Копеечка"/>
    <s v="Минск"/>
    <s v="Фрукты"/>
    <s v="Абрикосы"/>
    <n v="1320"/>
    <n v="80"/>
    <n v="105.6"/>
    <x v="4"/>
  </r>
  <r>
    <x v="138"/>
    <s v="Копеечка"/>
    <s v="Минск"/>
    <s v="Фрукты"/>
    <s v="Бананы"/>
    <n v="2400"/>
    <n v="15"/>
    <n v="36"/>
    <x v="4"/>
  </r>
  <r>
    <x v="138"/>
    <s v="Виталюр"/>
    <s v="Минск"/>
    <s v="Ягоды"/>
    <s v="Брусника"/>
    <n v="1670"/>
    <n v="8"/>
    <n v="13.36"/>
    <x v="4"/>
  </r>
  <r>
    <x v="138"/>
    <s v="Копеечка"/>
    <s v="Столбцы"/>
    <s v="Овощи"/>
    <s v="Баклажаны"/>
    <n v="890"/>
    <n v="86"/>
    <n v="76.540000000000006"/>
    <x v="4"/>
  </r>
  <r>
    <x v="138"/>
    <s v="Копеечка"/>
    <s v="Столбцы"/>
    <s v="Фрукты"/>
    <s v="Яблоки"/>
    <n v="1230"/>
    <n v="15"/>
    <n v="18.45"/>
    <x v="4"/>
  </r>
  <r>
    <x v="138"/>
    <s v="Виталюр"/>
    <s v="Столбцы"/>
    <s v="Ягоды"/>
    <s v="Малина"/>
    <n v="2970"/>
    <n v="12"/>
    <n v="35.64"/>
    <x v="4"/>
  </r>
  <r>
    <x v="138"/>
    <s v="Соседи"/>
    <s v="Фаниполь"/>
    <s v="Овощи"/>
    <s v="Баклажаны"/>
    <n v="890"/>
    <n v="51"/>
    <n v="45.39"/>
    <x v="4"/>
  </r>
  <r>
    <x v="138"/>
    <s v="Копеечка"/>
    <s v="Фаниполь"/>
    <s v="Фрукты"/>
    <s v="Абрикосы"/>
    <n v="1320"/>
    <n v="55"/>
    <n v="72.599999999999994"/>
    <x v="4"/>
  </r>
  <r>
    <x v="139"/>
    <m/>
    <m/>
    <m/>
    <m/>
    <m/>
    <m/>
    <n v="567.18499999999995"/>
    <x v="4"/>
  </r>
  <r>
    <x v="140"/>
    <s v="Евроопт"/>
    <s v="Барановичи"/>
    <s v="Ягоды"/>
    <s v="Малина"/>
    <n v="2970"/>
    <n v="48"/>
    <n v="142.56"/>
    <x v="4"/>
  </r>
  <r>
    <x v="140"/>
    <s v="Евроопт"/>
    <s v="Борисов"/>
    <s v="Ягоды"/>
    <s v="Черешня"/>
    <n v="1760"/>
    <n v="34"/>
    <n v="59.84"/>
    <x v="4"/>
  </r>
  <r>
    <x v="140"/>
    <s v="Соседи"/>
    <s v="Жодино"/>
    <s v="Фрукты"/>
    <s v="Яблоки"/>
    <n v="1230"/>
    <n v="26"/>
    <n v="31.98"/>
    <x v="4"/>
  </r>
  <r>
    <x v="140"/>
    <s v="Виталюр"/>
    <s v="Минск"/>
    <s v="Фрукты"/>
    <s v="Груши"/>
    <n v="1420"/>
    <n v="43"/>
    <n v="61.06"/>
    <x v="4"/>
  </r>
  <r>
    <x v="140"/>
    <s v="Виталюр"/>
    <s v="Минск"/>
    <s v="Фрукты"/>
    <s v="Бананы"/>
    <n v="2400"/>
    <n v="48"/>
    <n v="115.2"/>
    <x v="4"/>
  </r>
  <r>
    <x v="140"/>
    <s v="Соседи"/>
    <s v="Столбцы"/>
    <s v="Фрукты"/>
    <s v="Абрикосы"/>
    <n v="1320"/>
    <n v="89"/>
    <n v="117.48"/>
    <x v="4"/>
  </r>
  <r>
    <x v="140"/>
    <s v="Евроопт"/>
    <s v="Фаниполь"/>
    <s v="Зелень"/>
    <s v="Кинза"/>
    <n v="650"/>
    <n v="64"/>
    <n v="41.6"/>
    <x v="4"/>
  </r>
  <r>
    <x v="140"/>
    <s v="Виталюр"/>
    <s v="Фаниполь"/>
    <s v="Овощи"/>
    <s v="Кабачки"/>
    <n v="325"/>
    <n v="58"/>
    <n v="18.850000000000001"/>
    <x v="4"/>
  </r>
  <r>
    <x v="141"/>
    <m/>
    <m/>
    <m/>
    <m/>
    <m/>
    <m/>
    <n v="588.57000000000005"/>
    <x v="4"/>
  </r>
  <r>
    <x v="142"/>
    <s v="Копеечка"/>
    <s v="Барановичи"/>
    <s v="Ягоды"/>
    <s v="Малина"/>
    <n v="2970"/>
    <n v="66"/>
    <n v="196.02"/>
    <x v="4"/>
  </r>
  <r>
    <x v="142"/>
    <s v="Копеечка"/>
    <s v="Борисов"/>
    <s v="Зелень"/>
    <s v="Кинза"/>
    <n v="650"/>
    <n v="53"/>
    <n v="34.450000000000003"/>
    <x v="4"/>
  </r>
  <r>
    <x v="142"/>
    <s v="Евроопт"/>
    <s v="Борисов"/>
    <s v="Овощи"/>
    <s v="Свекла"/>
    <n v="450"/>
    <n v="92"/>
    <n v="41.4"/>
    <x v="4"/>
  </r>
  <r>
    <x v="142"/>
    <s v="Евроопт"/>
    <s v="Борисов"/>
    <s v="Фрукты"/>
    <s v="Бананы"/>
    <n v="2400"/>
    <n v="42"/>
    <n v="100.8"/>
    <x v="4"/>
  </r>
  <r>
    <x v="142"/>
    <s v="Евроопт"/>
    <s v="Жодино"/>
    <s v="Ягоды"/>
    <s v="Малина"/>
    <n v="2970"/>
    <n v="45"/>
    <n v="133.65"/>
    <x v="4"/>
  </r>
  <r>
    <x v="142"/>
    <s v="Соседи"/>
    <s v="Минск"/>
    <s v="Фрукты"/>
    <s v="Груши"/>
    <n v="1420"/>
    <n v="37"/>
    <n v="52.54"/>
    <x v="4"/>
  </r>
  <r>
    <x v="142"/>
    <s v="Виталюр"/>
    <s v="Минск"/>
    <s v="Ягоды"/>
    <s v="Голубика"/>
    <n v="3205"/>
    <n v="54"/>
    <n v="173.07"/>
    <x v="4"/>
  </r>
  <r>
    <x v="142"/>
    <s v="Соседи"/>
    <s v="Столбцы"/>
    <s v="Овощи"/>
    <s v="Кабачки"/>
    <n v="325"/>
    <n v="97"/>
    <n v="31.524999999999999"/>
    <x v="4"/>
  </r>
  <r>
    <x v="142"/>
    <s v="Соседи"/>
    <s v="Столбцы"/>
    <s v="Овощи"/>
    <s v="Картофель"/>
    <n v="690"/>
    <n v="98"/>
    <n v="67.62"/>
    <x v="4"/>
  </r>
  <r>
    <x v="142"/>
    <s v="Соседи"/>
    <s v="Столбцы"/>
    <s v="Овощи"/>
    <s v="Капуста"/>
    <n v="460"/>
    <n v="84"/>
    <n v="38.64"/>
    <x v="4"/>
  </r>
  <r>
    <x v="142"/>
    <s v="Копеечка"/>
    <s v="Столбцы"/>
    <s v="Ягоды"/>
    <s v="Брусника"/>
    <n v="1670"/>
    <n v="47"/>
    <n v="78.489999999999995"/>
    <x v="4"/>
  </r>
  <r>
    <x v="142"/>
    <s v="Копеечка"/>
    <s v="Фаниполь"/>
    <s v="Ягоды"/>
    <s v="Брусника"/>
    <n v="1670"/>
    <n v="20"/>
    <n v="33.4"/>
    <x v="4"/>
  </r>
  <r>
    <x v="143"/>
    <m/>
    <m/>
    <m/>
    <m/>
    <m/>
    <m/>
    <n v="981.60500000000002"/>
    <x v="4"/>
  </r>
  <r>
    <x v="144"/>
    <s v="Виталюр"/>
    <s v="Минск"/>
    <s v="Зелень"/>
    <s v="Салат римский"/>
    <n v="540"/>
    <n v="54"/>
    <n v="29.16"/>
    <x v="4"/>
  </r>
  <r>
    <x v="144"/>
    <s v="Евроопт"/>
    <s v="Минск"/>
    <s v="Ягоды"/>
    <s v="Малина"/>
    <n v="2970"/>
    <n v="98"/>
    <n v="291.06"/>
    <x v="4"/>
  </r>
  <r>
    <x v="144"/>
    <s v="Виталюр"/>
    <s v="Столбцы"/>
    <s v="Овощи"/>
    <s v="Картофель"/>
    <n v="690"/>
    <n v="11"/>
    <n v="7.59"/>
    <x v="4"/>
  </r>
  <r>
    <x v="144"/>
    <s v="Копеечка"/>
    <s v="Столбцы"/>
    <s v="Овощи"/>
    <s v="Картофель"/>
    <n v="690"/>
    <n v="32"/>
    <n v="22.08"/>
    <x v="4"/>
  </r>
  <r>
    <x v="144"/>
    <s v="Соседи"/>
    <s v="Столбцы"/>
    <s v="Фрукты"/>
    <s v="Яблоки"/>
    <n v="1230"/>
    <n v="85"/>
    <n v="104.55"/>
    <x v="4"/>
  </r>
  <r>
    <x v="144"/>
    <s v="Соседи"/>
    <s v="Столбцы"/>
    <s v="Ягоды"/>
    <s v="Голубика"/>
    <n v="3205"/>
    <n v="63"/>
    <n v="201.91499999999999"/>
    <x v="4"/>
  </r>
  <r>
    <x v="144"/>
    <s v="Соседи"/>
    <s v="Фаниполь"/>
    <s v="Зелень"/>
    <s v="Петрушка"/>
    <n v="640"/>
    <n v="74"/>
    <n v="47.36"/>
    <x v="4"/>
  </r>
  <r>
    <x v="144"/>
    <s v="Евроопт"/>
    <s v="Фаниполь"/>
    <s v="Овощи"/>
    <s v="Кабачки"/>
    <n v="325"/>
    <n v="82"/>
    <n v="26.65"/>
    <x v="4"/>
  </r>
  <r>
    <x v="144"/>
    <s v="Виталюр"/>
    <s v="Фаниполь"/>
    <s v="Фрукты"/>
    <s v="Груши"/>
    <n v="1420"/>
    <n v="69"/>
    <n v="97.98"/>
    <x v="4"/>
  </r>
  <r>
    <x v="145"/>
    <m/>
    <m/>
    <m/>
    <m/>
    <m/>
    <m/>
    <n v="828.34500000000003"/>
    <x v="4"/>
  </r>
  <r>
    <x v="146"/>
    <s v="Соседи"/>
    <s v="Барановичи"/>
    <s v="Зелень"/>
    <s v="Укроп"/>
    <n v="650"/>
    <n v="61"/>
    <n v="39.65"/>
    <x v="4"/>
  </r>
  <r>
    <x v="146"/>
    <s v="Копеечка"/>
    <s v="Барановичи"/>
    <s v="Фрукты"/>
    <s v="Бананы"/>
    <n v="2400"/>
    <n v="72"/>
    <n v="172.8"/>
    <x v="4"/>
  </r>
  <r>
    <x v="146"/>
    <s v="Соседи"/>
    <s v="Барановичи"/>
    <s v="Фрукты"/>
    <s v="Абрикосы"/>
    <n v="1320"/>
    <n v="55"/>
    <n v="72.599999999999994"/>
    <x v="4"/>
  </r>
  <r>
    <x v="146"/>
    <s v="Евроопт"/>
    <s v="Минск"/>
    <s v="Зелень"/>
    <s v="Петрушка"/>
    <n v="640"/>
    <n v="65"/>
    <n v="41.6"/>
    <x v="4"/>
  </r>
  <r>
    <x v="146"/>
    <s v="Евроопт"/>
    <s v="Минск"/>
    <s v="Фрукты"/>
    <s v="Апельсины"/>
    <n v="2540"/>
    <n v="29"/>
    <n v="73.66"/>
    <x v="4"/>
  </r>
  <r>
    <x v="146"/>
    <s v="Копеечка"/>
    <s v="Минск"/>
    <s v="Фрукты"/>
    <s v="Сливы"/>
    <n v="930"/>
    <n v="41"/>
    <n v="38.130000000000003"/>
    <x v="4"/>
  </r>
  <r>
    <x v="146"/>
    <s v="Соседи"/>
    <s v="Столбцы"/>
    <s v="Ягоды"/>
    <s v="Клубника"/>
    <n v="2460"/>
    <n v="45"/>
    <n v="110.7"/>
    <x v="4"/>
  </r>
  <r>
    <x v="146"/>
    <s v="Соседи"/>
    <s v="Фаниполь"/>
    <s v="Овощи"/>
    <s v="Капуста"/>
    <n v="460"/>
    <n v="96"/>
    <n v="44.16"/>
    <x v="4"/>
  </r>
  <r>
    <x v="147"/>
    <m/>
    <m/>
    <m/>
    <m/>
    <m/>
    <m/>
    <n v="593.30000000000007"/>
    <x v="4"/>
  </r>
  <r>
    <x v="148"/>
    <s v="Копеечка"/>
    <s v="Барановичи"/>
    <s v="Зелень"/>
    <s v="Лук зеленый"/>
    <n v="705"/>
    <n v="29"/>
    <n v="20.445"/>
    <x v="4"/>
  </r>
  <r>
    <x v="148"/>
    <s v="Евроопт"/>
    <s v="Борисов"/>
    <s v="Зелень"/>
    <s v="Салат айсберг"/>
    <n v="1380"/>
    <n v="73"/>
    <n v="100.74"/>
    <x v="4"/>
  </r>
  <r>
    <x v="148"/>
    <s v="Копеечка"/>
    <s v="Борисов"/>
    <s v="Зелень"/>
    <s v="Петрушка"/>
    <n v="640"/>
    <n v="34"/>
    <n v="21.76"/>
    <x v="4"/>
  </r>
  <r>
    <x v="148"/>
    <s v="Евроопт"/>
    <s v="Борисов"/>
    <s v="Фрукты"/>
    <s v="Яблоки"/>
    <n v="1230"/>
    <n v="33"/>
    <n v="40.590000000000003"/>
    <x v="4"/>
  </r>
  <r>
    <x v="148"/>
    <s v="Евроопт"/>
    <s v="Жодино"/>
    <s v="Фрукты"/>
    <s v="Сливы"/>
    <n v="930"/>
    <n v="42"/>
    <n v="39.06"/>
    <x v="4"/>
  </r>
  <r>
    <x v="148"/>
    <s v="Копеечка"/>
    <s v="Столбцы"/>
    <s v="Ягоды"/>
    <s v="Клубника"/>
    <n v="2460"/>
    <n v="8"/>
    <n v="19.68"/>
    <x v="4"/>
  </r>
  <r>
    <x v="148"/>
    <s v="Копеечка"/>
    <s v="Фаниполь"/>
    <s v="Зелень"/>
    <s v="Лук зеленый"/>
    <n v="705"/>
    <n v="100"/>
    <n v="70.5"/>
    <x v="4"/>
  </r>
  <r>
    <x v="148"/>
    <s v="Евроопт"/>
    <s v="Фаниполь"/>
    <s v="Ягоды"/>
    <s v="Клубника"/>
    <n v="2460"/>
    <n v="60"/>
    <n v="147.6"/>
    <x v="4"/>
  </r>
  <r>
    <x v="149"/>
    <m/>
    <m/>
    <m/>
    <m/>
    <m/>
    <m/>
    <n v="460.375"/>
    <x v="4"/>
  </r>
  <r>
    <x v="150"/>
    <s v="Копеечка"/>
    <s v="Барановичи"/>
    <s v="Зелень"/>
    <s v="Салат римский"/>
    <n v="540"/>
    <n v="99"/>
    <n v="53.46"/>
    <x v="4"/>
  </r>
  <r>
    <x v="150"/>
    <s v="Евроопт"/>
    <s v="Барановичи"/>
    <s v="Зелень"/>
    <s v="Петрушка"/>
    <n v="640"/>
    <n v="80"/>
    <n v="51.2"/>
    <x v="4"/>
  </r>
  <r>
    <x v="150"/>
    <s v="Копеечка"/>
    <s v="Борисов"/>
    <s v="Ягоды"/>
    <s v="Черешня"/>
    <n v="1760"/>
    <n v="57"/>
    <n v="100.32"/>
    <x v="4"/>
  </r>
  <r>
    <x v="150"/>
    <s v="Соседи"/>
    <s v="Жодино"/>
    <s v="Ягоды"/>
    <s v="Смородина черная"/>
    <n v="1505"/>
    <n v="6"/>
    <n v="9.0299999999999994"/>
    <x v="4"/>
  </r>
  <r>
    <x v="150"/>
    <s v="Соседи"/>
    <s v="Минск"/>
    <s v="Зелень"/>
    <s v="Салат айсберг"/>
    <n v="1380"/>
    <n v="85"/>
    <n v="117.3"/>
    <x v="4"/>
  </r>
  <r>
    <x v="150"/>
    <s v="Соседи"/>
    <s v="Минск"/>
    <s v="Овощи"/>
    <s v="Баклажаны"/>
    <n v="890"/>
    <n v="33"/>
    <n v="29.37"/>
    <x v="4"/>
  </r>
  <r>
    <x v="150"/>
    <s v="Соседи"/>
    <s v="Фаниполь"/>
    <s v="Овощи"/>
    <s v="Морковь"/>
    <n v="715"/>
    <n v="45"/>
    <n v="32.174999999999997"/>
    <x v="4"/>
  </r>
  <r>
    <x v="150"/>
    <s v="Соседи"/>
    <s v="Фаниполь"/>
    <s v="Фрукты"/>
    <s v="Яблоки"/>
    <n v="1230"/>
    <n v="79"/>
    <n v="97.17"/>
    <x v="4"/>
  </r>
  <r>
    <x v="150"/>
    <s v="Виталюр"/>
    <s v="Фаниполь"/>
    <s v="Фрукты"/>
    <s v="Сливы"/>
    <n v="930"/>
    <n v="67"/>
    <n v="62.31"/>
    <x v="4"/>
  </r>
  <r>
    <x v="150"/>
    <s v="Соседи"/>
    <s v="Фаниполь"/>
    <s v="Ягоды"/>
    <s v="Малина"/>
    <n v="2970"/>
    <n v="62"/>
    <n v="184.14"/>
    <x v="4"/>
  </r>
  <r>
    <x v="151"/>
    <m/>
    <m/>
    <m/>
    <m/>
    <m/>
    <m/>
    <n v="736.47500000000002"/>
    <x v="4"/>
  </r>
  <r>
    <x v="152"/>
    <s v="Виталюр"/>
    <s v="Жодино"/>
    <s v="Фрукты"/>
    <s v="Сливы"/>
    <n v="930"/>
    <n v="53"/>
    <n v="49.29"/>
    <x v="4"/>
  </r>
  <r>
    <x v="152"/>
    <s v="Виталюр"/>
    <s v="Минск"/>
    <s v="Зелень"/>
    <s v="Салат римский"/>
    <n v="540"/>
    <n v="10"/>
    <n v="5.4"/>
    <x v="4"/>
  </r>
  <r>
    <x v="152"/>
    <s v="Евроопт"/>
    <s v="Столбцы"/>
    <s v="Зелень"/>
    <s v="Салат айсберг"/>
    <n v="1380"/>
    <n v="92"/>
    <n v="126.96"/>
    <x v="4"/>
  </r>
  <r>
    <x v="152"/>
    <s v="Евроопт"/>
    <s v="Столбцы"/>
    <s v="Ягоды"/>
    <s v="Брусника"/>
    <n v="1670"/>
    <n v="71"/>
    <n v="118.57"/>
    <x v="4"/>
  </r>
  <r>
    <x v="152"/>
    <s v="Евроопт"/>
    <s v="Фаниполь"/>
    <s v="Овощи"/>
    <s v="Картофель"/>
    <n v="690"/>
    <n v="30"/>
    <n v="20.7"/>
    <x v="4"/>
  </r>
  <r>
    <x v="153"/>
    <m/>
    <m/>
    <m/>
    <m/>
    <m/>
    <m/>
    <n v="320.91999999999996"/>
    <x v="4"/>
  </r>
  <r>
    <x v="154"/>
    <s v="Виталюр"/>
    <s v="Барановичи"/>
    <s v="Зелень"/>
    <s v="Салат римский"/>
    <n v="540"/>
    <n v="8"/>
    <n v="4.32"/>
    <x v="4"/>
  </r>
  <r>
    <x v="154"/>
    <s v="Евроопт"/>
    <s v="Барановичи"/>
    <s v="Зелень"/>
    <s v="Кинза"/>
    <n v="650"/>
    <n v="23"/>
    <n v="14.95"/>
    <x v="4"/>
  </r>
  <r>
    <x v="154"/>
    <s v="Копеечка"/>
    <s v="Барановичи"/>
    <s v="Ягоды"/>
    <s v="Брусника"/>
    <n v="1670"/>
    <n v="98"/>
    <n v="163.66"/>
    <x v="4"/>
  </r>
  <r>
    <x v="154"/>
    <s v="Виталюр"/>
    <s v="Борисов"/>
    <s v="Зелень"/>
    <s v="Лук зеленый"/>
    <n v="705"/>
    <n v="46"/>
    <n v="32.43"/>
    <x v="4"/>
  </r>
  <r>
    <x v="154"/>
    <s v="Виталюр"/>
    <s v="Жодино"/>
    <s v="Овощи"/>
    <s v="Капуста"/>
    <n v="460"/>
    <n v="87"/>
    <n v="40.020000000000003"/>
    <x v="4"/>
  </r>
  <r>
    <x v="154"/>
    <s v="Виталюр"/>
    <s v="Жодино"/>
    <s v="Фрукты"/>
    <s v="Сливы"/>
    <n v="930"/>
    <n v="20"/>
    <n v="18.600000000000001"/>
    <x v="4"/>
  </r>
  <r>
    <x v="154"/>
    <s v="Виталюр"/>
    <s v="Минск"/>
    <s v="Овощи"/>
    <s v="Картофель"/>
    <n v="690"/>
    <n v="55"/>
    <n v="37.950000000000003"/>
    <x v="4"/>
  </r>
  <r>
    <x v="154"/>
    <s v="Виталюр"/>
    <s v="Минск"/>
    <s v="Фрукты"/>
    <s v="Абрикосы"/>
    <n v="1320"/>
    <n v="61"/>
    <n v="80.52"/>
    <x v="4"/>
  </r>
  <r>
    <x v="154"/>
    <s v="Соседи"/>
    <s v="Минск"/>
    <s v="Фрукты"/>
    <s v="Сливы"/>
    <n v="930"/>
    <n v="45"/>
    <n v="41.85"/>
    <x v="4"/>
  </r>
  <r>
    <x v="154"/>
    <s v="Евроопт"/>
    <s v="Фаниполь"/>
    <s v="Овощи"/>
    <s v="Баклажаны"/>
    <n v="890"/>
    <n v="80"/>
    <n v="71.2"/>
    <x v="4"/>
  </r>
  <r>
    <x v="155"/>
    <m/>
    <m/>
    <m/>
    <m/>
    <m/>
    <m/>
    <n v="505.5"/>
    <x v="4"/>
  </r>
  <r>
    <x v="156"/>
    <s v="Виталюр"/>
    <s v="Барановичи"/>
    <s v="Зелень"/>
    <s v="Кинза"/>
    <n v="650"/>
    <n v="75"/>
    <n v="48.75"/>
    <x v="4"/>
  </r>
  <r>
    <x v="156"/>
    <s v="Соседи"/>
    <s v="Барановичи"/>
    <s v="Фрукты"/>
    <s v="Бананы"/>
    <n v="2400"/>
    <n v="74"/>
    <n v="177.6"/>
    <x v="4"/>
  </r>
  <r>
    <x v="156"/>
    <s v="Соседи"/>
    <s v="Борисов"/>
    <s v="Фрукты"/>
    <s v="Груши"/>
    <n v="1420"/>
    <n v="81"/>
    <n v="115.02"/>
    <x v="4"/>
  </r>
  <r>
    <x v="156"/>
    <s v="Соседи"/>
    <s v="Жодино"/>
    <s v="Зелень"/>
    <s v="Петрушка"/>
    <n v="640"/>
    <n v="46"/>
    <n v="29.44"/>
    <x v="4"/>
  </r>
  <r>
    <x v="156"/>
    <s v="Копеечка"/>
    <s v="Жодино"/>
    <s v="Овощи"/>
    <s v="Морковь"/>
    <n v="715"/>
    <n v="92"/>
    <n v="65.78"/>
    <x v="4"/>
  </r>
  <r>
    <x v="156"/>
    <s v="Соседи"/>
    <s v="Жодино"/>
    <s v="Фрукты"/>
    <s v="Абрикосы"/>
    <n v="1320"/>
    <n v="49"/>
    <n v="64.680000000000007"/>
    <x v="4"/>
  </r>
  <r>
    <x v="156"/>
    <s v="Копеечка"/>
    <s v="Жодино"/>
    <s v="Ягоды"/>
    <s v="Клубника"/>
    <n v="2460"/>
    <n v="36"/>
    <n v="88.56"/>
    <x v="4"/>
  </r>
  <r>
    <x v="156"/>
    <s v="Евроопт"/>
    <s v="Минск"/>
    <s v="Зелень"/>
    <s v="Кинза"/>
    <n v="650"/>
    <n v="96"/>
    <n v="62.4"/>
    <x v="4"/>
  </r>
  <r>
    <x v="156"/>
    <s v="Соседи"/>
    <s v="Минск"/>
    <s v="Фрукты"/>
    <s v="Груши"/>
    <n v="1420"/>
    <n v="80"/>
    <n v="113.6"/>
    <x v="4"/>
  </r>
  <r>
    <x v="156"/>
    <s v="Евроопт"/>
    <s v="Столбцы"/>
    <s v="Овощи"/>
    <s v="Морковь"/>
    <n v="715"/>
    <n v="23"/>
    <n v="16.445"/>
    <x v="4"/>
  </r>
  <r>
    <x v="157"/>
    <m/>
    <m/>
    <m/>
    <m/>
    <m/>
    <m/>
    <n v="782.27500000000009"/>
    <x v="4"/>
  </r>
  <r>
    <x v="158"/>
    <s v="Копеечка"/>
    <s v="Барановичи"/>
    <s v="Фрукты"/>
    <s v="Апельсины"/>
    <n v="2540"/>
    <n v="24"/>
    <n v="60.96"/>
    <x v="4"/>
  </r>
  <r>
    <x v="158"/>
    <s v="Копеечка"/>
    <s v="Барановичи"/>
    <s v="Ягоды"/>
    <s v="Малина"/>
    <n v="2970"/>
    <n v="37"/>
    <n v="109.89"/>
    <x v="4"/>
  </r>
  <r>
    <x v="158"/>
    <s v="Копеечка"/>
    <s v="Борисов"/>
    <s v="Зелень"/>
    <s v="Салат айсберг"/>
    <n v="1380"/>
    <n v="5"/>
    <n v="6.9"/>
    <x v="4"/>
  </r>
  <r>
    <x v="158"/>
    <s v="Виталюр"/>
    <s v="Борисов"/>
    <s v="Зелень"/>
    <s v="Кинза"/>
    <n v="650"/>
    <n v="39"/>
    <n v="25.35"/>
    <x v="4"/>
  </r>
  <r>
    <x v="158"/>
    <s v="Виталюр"/>
    <s v="Борисов"/>
    <s v="Фрукты"/>
    <s v="Яблоки"/>
    <n v="1230"/>
    <n v="82"/>
    <n v="100.86"/>
    <x v="4"/>
  </r>
  <r>
    <x v="158"/>
    <s v="Виталюр"/>
    <s v="Жодино"/>
    <s v="Фрукты"/>
    <s v="Апельсины"/>
    <n v="2540"/>
    <n v="68"/>
    <n v="172.72"/>
    <x v="4"/>
  </r>
  <r>
    <x v="158"/>
    <s v="Соседи"/>
    <s v="Столбцы"/>
    <s v="Зелень"/>
    <s v="Кинза"/>
    <n v="650"/>
    <n v="98"/>
    <n v="63.7"/>
    <x v="4"/>
  </r>
  <r>
    <x v="158"/>
    <s v="Копеечка"/>
    <s v="Столбцы"/>
    <s v="Овощи"/>
    <s v="Картофель"/>
    <n v="690"/>
    <n v="99"/>
    <n v="68.31"/>
    <x v="4"/>
  </r>
  <r>
    <x v="158"/>
    <s v="Копеечка"/>
    <s v="Столбцы"/>
    <s v="Овощи"/>
    <s v="Картофель"/>
    <n v="690"/>
    <n v="68"/>
    <n v="46.92"/>
    <x v="4"/>
  </r>
  <r>
    <x v="158"/>
    <s v="Соседи"/>
    <s v="Столбцы"/>
    <s v="Ягоды"/>
    <s v="Малина"/>
    <n v="2970"/>
    <n v="78"/>
    <n v="231.66"/>
    <x v="4"/>
  </r>
  <r>
    <x v="159"/>
    <m/>
    <m/>
    <m/>
    <m/>
    <m/>
    <m/>
    <n v="887.27"/>
    <x v="4"/>
  </r>
  <r>
    <x v="160"/>
    <s v="Копеечка"/>
    <s v="Барановичи"/>
    <s v="Фрукты"/>
    <s v="Абрикосы"/>
    <n v="1320"/>
    <n v="17"/>
    <n v="22.44"/>
    <x v="4"/>
  </r>
  <r>
    <x v="160"/>
    <s v="Евроопт"/>
    <s v="Барановичи"/>
    <s v="Ягоды"/>
    <s v="Брусника"/>
    <n v="1670"/>
    <n v="11"/>
    <n v="18.37"/>
    <x v="4"/>
  </r>
  <r>
    <x v="160"/>
    <s v="Евроопт"/>
    <s v="Барановичи"/>
    <s v="Ягоды"/>
    <s v="Голубика"/>
    <n v="3205"/>
    <n v="25"/>
    <n v="80.125"/>
    <x v="4"/>
  </r>
  <r>
    <x v="160"/>
    <s v="Виталюр"/>
    <s v="Борисов"/>
    <s v="Овощи"/>
    <s v="Свекла"/>
    <n v="450"/>
    <n v="96"/>
    <n v="43.2"/>
    <x v="4"/>
  </r>
  <r>
    <x v="160"/>
    <s v="Евроопт"/>
    <s v="Борисов"/>
    <s v="Овощи"/>
    <s v="Кабачки"/>
    <n v="325"/>
    <n v="46"/>
    <n v="14.95"/>
    <x v="4"/>
  </r>
  <r>
    <x v="160"/>
    <s v="Копеечка"/>
    <s v="Жодино"/>
    <s v="Зелень"/>
    <s v="Петрушка"/>
    <n v="640"/>
    <n v="28"/>
    <n v="17.920000000000002"/>
    <x v="4"/>
  </r>
  <r>
    <x v="160"/>
    <s v="Евроопт"/>
    <s v="Минск"/>
    <s v="Зелень"/>
    <s v="Кинза"/>
    <n v="650"/>
    <n v="73"/>
    <n v="47.45"/>
    <x v="4"/>
  </r>
  <r>
    <x v="160"/>
    <s v="Евроопт"/>
    <s v="Минск"/>
    <s v="Овощи"/>
    <s v="Капуста"/>
    <n v="460"/>
    <n v="91"/>
    <n v="41.86"/>
    <x v="4"/>
  </r>
  <r>
    <x v="160"/>
    <s v="Копеечка"/>
    <s v="Столбцы"/>
    <s v="Овощи"/>
    <s v="Морковь"/>
    <n v="715"/>
    <n v="7"/>
    <n v="5.0049999999999999"/>
    <x v="4"/>
  </r>
  <r>
    <x v="160"/>
    <s v="Евроопт"/>
    <s v="Столбцы"/>
    <s v="Овощи"/>
    <s v="Капуста"/>
    <n v="460"/>
    <n v="59"/>
    <n v="27.14"/>
    <x v="4"/>
  </r>
  <r>
    <x v="160"/>
    <s v="Евроопт"/>
    <s v="Фаниполь"/>
    <s v="Овощи"/>
    <s v="Морковь"/>
    <n v="715"/>
    <n v="45"/>
    <n v="32.174999999999997"/>
    <x v="4"/>
  </r>
  <r>
    <x v="161"/>
    <m/>
    <m/>
    <m/>
    <m/>
    <m/>
    <m/>
    <n v="350.63499999999999"/>
    <x v="4"/>
  </r>
  <r>
    <x v="162"/>
    <s v="Евроопт"/>
    <s v="Барановичи"/>
    <s v="Зелень"/>
    <s v="Лук зеленый"/>
    <n v="705"/>
    <n v="17"/>
    <n v="11.984999999999999"/>
    <x v="4"/>
  </r>
  <r>
    <x v="162"/>
    <s v="Соседи"/>
    <s v="Борисов"/>
    <s v="Овощи"/>
    <s v="Морковь"/>
    <n v="715"/>
    <n v="82"/>
    <n v="58.63"/>
    <x v="4"/>
  </r>
  <r>
    <x v="162"/>
    <s v="Евроопт"/>
    <s v="Борисов"/>
    <s v="Ягоды"/>
    <s v="Черешня"/>
    <n v="1760"/>
    <n v="37"/>
    <n v="65.12"/>
    <x v="4"/>
  </r>
  <r>
    <x v="162"/>
    <s v="Виталюр"/>
    <s v="Борисов"/>
    <s v="Ягоды"/>
    <s v="Малина"/>
    <n v="2970"/>
    <n v="19"/>
    <n v="56.43"/>
    <x v="4"/>
  </r>
  <r>
    <x v="162"/>
    <s v="Евроопт"/>
    <s v="Жодино"/>
    <s v="Фрукты"/>
    <s v="Груши"/>
    <n v="1420"/>
    <n v="64"/>
    <n v="90.88"/>
    <x v="4"/>
  </r>
  <r>
    <x v="162"/>
    <s v="Соседи"/>
    <s v="Жодино"/>
    <s v="Ягоды"/>
    <s v="Малина"/>
    <n v="2970"/>
    <n v="51"/>
    <n v="151.47"/>
    <x v="4"/>
  </r>
  <r>
    <x v="162"/>
    <s v="Евроопт"/>
    <s v="Жодино"/>
    <s v="Ягоды"/>
    <s v="Смородина черная"/>
    <n v="1505"/>
    <n v="17"/>
    <n v="25.585000000000001"/>
    <x v="4"/>
  </r>
  <r>
    <x v="162"/>
    <s v="Евроопт"/>
    <s v="Жодино"/>
    <s v="Ягоды"/>
    <s v="Клубника"/>
    <n v="2460"/>
    <n v="77"/>
    <n v="189.42"/>
    <x v="4"/>
  </r>
  <r>
    <x v="162"/>
    <s v="Копеечка"/>
    <s v="Минск"/>
    <s v="Овощи"/>
    <s v="Свекла"/>
    <n v="450"/>
    <n v="9"/>
    <n v="4.05"/>
    <x v="4"/>
  </r>
  <r>
    <x v="162"/>
    <s v="Соседи"/>
    <s v="Минск"/>
    <s v="Фрукты"/>
    <s v="Бананы"/>
    <n v="2400"/>
    <n v="75"/>
    <n v="180"/>
    <x v="4"/>
  </r>
  <r>
    <x v="162"/>
    <s v="Евроопт"/>
    <s v="Столбцы"/>
    <s v="Овощи"/>
    <s v="Свекла"/>
    <n v="450"/>
    <n v="93"/>
    <n v="41.85"/>
    <x v="4"/>
  </r>
  <r>
    <x v="162"/>
    <s v="Евроопт"/>
    <s v="Столбцы"/>
    <s v="Фрукты"/>
    <s v="Груши"/>
    <n v="1420"/>
    <n v="29"/>
    <n v="41.18"/>
    <x v="4"/>
  </r>
  <r>
    <x v="163"/>
    <m/>
    <m/>
    <m/>
    <m/>
    <m/>
    <m/>
    <n v="916.59999999999991"/>
    <x v="4"/>
  </r>
  <r>
    <x v="164"/>
    <s v="Виталюр"/>
    <s v="Барановичи"/>
    <s v="Овощи"/>
    <s v="Кабачки"/>
    <n v="325"/>
    <n v="84"/>
    <n v="27.3"/>
    <x v="4"/>
  </r>
  <r>
    <x v="164"/>
    <s v="Евроопт"/>
    <s v="Борисов"/>
    <s v="Овощи"/>
    <s v="Картофель"/>
    <n v="690"/>
    <n v="43"/>
    <n v="29.67"/>
    <x v="4"/>
  </r>
  <r>
    <x v="164"/>
    <s v="Виталюр"/>
    <s v="Борисов"/>
    <s v="Ягоды"/>
    <s v="Черешня"/>
    <n v="1760"/>
    <n v="82"/>
    <n v="144.32"/>
    <x v="4"/>
  </r>
  <r>
    <x v="164"/>
    <s v="Копеечка"/>
    <s v="Жодино"/>
    <s v="Зелень"/>
    <s v="Укроп"/>
    <n v="650"/>
    <n v="44"/>
    <n v="28.6"/>
    <x v="4"/>
  </r>
  <r>
    <x v="164"/>
    <s v="Виталюр"/>
    <s v="Жодино"/>
    <s v="Ягоды"/>
    <s v="Голубика"/>
    <n v="3205"/>
    <n v="32"/>
    <n v="102.56"/>
    <x v="4"/>
  </r>
  <r>
    <x v="164"/>
    <s v="Соседи"/>
    <s v="Жодино"/>
    <s v="Ягоды"/>
    <s v="Смородина черная"/>
    <n v="1505"/>
    <n v="63"/>
    <n v="94.814999999999998"/>
    <x v="4"/>
  </r>
  <r>
    <x v="164"/>
    <s v="Евроопт"/>
    <s v="Минск"/>
    <s v="Фрукты"/>
    <s v="Груши"/>
    <n v="1420"/>
    <n v="98"/>
    <n v="139.16"/>
    <x v="4"/>
  </r>
  <r>
    <x v="164"/>
    <s v="Виталюр"/>
    <s v="Минск"/>
    <s v="Ягоды"/>
    <s v="Смородина черная"/>
    <n v="1505"/>
    <n v="9"/>
    <n v="13.545"/>
    <x v="4"/>
  </r>
  <r>
    <x v="164"/>
    <s v="Копеечка"/>
    <s v="Столбцы"/>
    <s v="Овощи"/>
    <s v="Кабачки"/>
    <n v="325"/>
    <n v="30"/>
    <n v="9.75"/>
    <x v="4"/>
  </r>
  <r>
    <x v="164"/>
    <s v="Евроопт"/>
    <s v="Фаниполь"/>
    <s v="Ягоды"/>
    <s v="Клубника"/>
    <n v="2460"/>
    <n v="78"/>
    <n v="191.88"/>
    <x v="4"/>
  </r>
  <r>
    <x v="165"/>
    <m/>
    <m/>
    <m/>
    <m/>
    <m/>
    <m/>
    <n v="781.59999999999991"/>
    <x v="4"/>
  </r>
  <r>
    <x v="166"/>
    <s v="Копеечка"/>
    <s v="Барановичи"/>
    <s v="Зелень"/>
    <s v="Петрушка"/>
    <n v="640"/>
    <n v="79"/>
    <n v="50.56"/>
    <x v="4"/>
  </r>
  <r>
    <x v="166"/>
    <s v="Копеечка"/>
    <s v="Барановичи"/>
    <s v="Овощи"/>
    <s v="Баклажаны"/>
    <n v="890"/>
    <n v="100"/>
    <n v="89"/>
    <x v="4"/>
  </r>
  <r>
    <x v="166"/>
    <s v="Виталюр"/>
    <s v="Борисов"/>
    <s v="Ягоды"/>
    <s v="Голубика"/>
    <n v="3205"/>
    <n v="48"/>
    <n v="153.84"/>
    <x v="4"/>
  </r>
  <r>
    <x v="166"/>
    <s v="Соседи"/>
    <s v="Жодино"/>
    <s v="Зелень"/>
    <s v="Салат айсберг"/>
    <n v="1380"/>
    <n v="19"/>
    <n v="26.22"/>
    <x v="4"/>
  </r>
  <r>
    <x v="166"/>
    <s v="Виталюр"/>
    <s v="Жодино"/>
    <s v="Ягоды"/>
    <s v="Брусника"/>
    <n v="1670"/>
    <n v="72"/>
    <n v="120.24"/>
    <x v="4"/>
  </r>
  <r>
    <x v="166"/>
    <s v="Виталюр"/>
    <s v="Жодино"/>
    <s v="Ягоды"/>
    <s v="Брусника"/>
    <n v="1670"/>
    <n v="56"/>
    <n v="93.52"/>
    <x v="4"/>
  </r>
  <r>
    <x v="166"/>
    <s v="Соседи"/>
    <s v="Минск"/>
    <s v="Фрукты"/>
    <s v="Груши"/>
    <n v="1420"/>
    <n v="70"/>
    <n v="99.4"/>
    <x v="4"/>
  </r>
  <r>
    <x v="166"/>
    <s v="Виталюр"/>
    <s v="Минск"/>
    <s v="Ягоды"/>
    <s v="Клубника"/>
    <n v="2460"/>
    <n v="44"/>
    <n v="108.24"/>
    <x v="4"/>
  </r>
  <r>
    <x v="166"/>
    <s v="Соседи"/>
    <s v="Минск"/>
    <s v="Ягоды"/>
    <s v="Малина"/>
    <n v="2970"/>
    <n v="17"/>
    <n v="50.49"/>
    <x v="4"/>
  </r>
  <r>
    <x v="166"/>
    <s v="Виталюр"/>
    <s v="Столбцы"/>
    <s v="Овощи"/>
    <s v="Свекла"/>
    <n v="450"/>
    <n v="10"/>
    <n v="4.5"/>
    <x v="4"/>
  </r>
  <r>
    <x v="166"/>
    <s v="Евроопт"/>
    <s v="Фаниполь"/>
    <s v="Зелень"/>
    <s v="Салат римский"/>
    <n v="540"/>
    <n v="76"/>
    <n v="41.04"/>
    <x v="4"/>
  </r>
  <r>
    <x v="167"/>
    <m/>
    <m/>
    <m/>
    <m/>
    <m/>
    <m/>
    <n v="837.05"/>
    <x v="4"/>
  </r>
  <r>
    <x v="168"/>
    <s v="Евроопт"/>
    <s v="Барановичи"/>
    <s v="Овощи"/>
    <s v="Баклажаны"/>
    <n v="890"/>
    <n v="73"/>
    <n v="64.97"/>
    <x v="4"/>
  </r>
  <r>
    <x v="168"/>
    <s v="Евроопт"/>
    <s v="Борисов"/>
    <s v="Зелень"/>
    <s v="Петрушка"/>
    <n v="640"/>
    <n v="68"/>
    <n v="43.52"/>
    <x v="4"/>
  </r>
  <r>
    <x v="168"/>
    <s v="Копеечка"/>
    <s v="Борисов"/>
    <s v="Фрукты"/>
    <s v="Яблоки"/>
    <n v="1230"/>
    <n v="20"/>
    <n v="24.6"/>
    <x v="4"/>
  </r>
  <r>
    <x v="168"/>
    <s v="Копеечка"/>
    <s v="Борисов"/>
    <s v="Ягоды"/>
    <s v="Черешня"/>
    <n v="1760"/>
    <n v="53"/>
    <n v="93.28"/>
    <x v="4"/>
  </r>
  <r>
    <x v="168"/>
    <s v="Соседи"/>
    <s v="Жодино"/>
    <s v="Овощи"/>
    <s v="Баклажаны"/>
    <n v="890"/>
    <n v="68"/>
    <n v="60.52"/>
    <x v="4"/>
  </r>
  <r>
    <x v="168"/>
    <s v="Копеечка"/>
    <s v="Минск"/>
    <s v="Ягоды"/>
    <s v="Голубика"/>
    <n v="3205"/>
    <n v="24"/>
    <n v="76.92"/>
    <x v="4"/>
  </r>
  <r>
    <x v="168"/>
    <s v="Копеечка"/>
    <s v="Столбцы"/>
    <s v="Овощи"/>
    <s v="Капуста"/>
    <n v="460"/>
    <n v="73"/>
    <n v="33.58"/>
    <x v="4"/>
  </r>
  <r>
    <x v="168"/>
    <s v="Соседи"/>
    <s v="Столбцы"/>
    <s v="Фрукты"/>
    <s v="Груши"/>
    <n v="1420"/>
    <n v="12"/>
    <n v="17.04"/>
    <x v="4"/>
  </r>
  <r>
    <x v="168"/>
    <s v="Копеечка"/>
    <s v="Столбцы"/>
    <s v="Ягоды"/>
    <s v="Клубника"/>
    <n v="2460"/>
    <n v="92"/>
    <n v="226.32"/>
    <x v="4"/>
  </r>
  <r>
    <x v="168"/>
    <s v="Копеечка"/>
    <s v="Фаниполь"/>
    <s v="Ягоды"/>
    <s v="Клубника"/>
    <n v="2460"/>
    <n v="14"/>
    <n v="34.44"/>
    <x v="4"/>
  </r>
  <r>
    <x v="169"/>
    <m/>
    <m/>
    <m/>
    <m/>
    <m/>
    <m/>
    <n v="675.19"/>
    <x v="4"/>
  </r>
  <r>
    <x v="170"/>
    <s v="Виталюр"/>
    <s v="Борисов"/>
    <s v="Ягоды"/>
    <s v="Смородина черная"/>
    <n v="1505"/>
    <n v="43"/>
    <n v="64.715000000000003"/>
    <x v="4"/>
  </r>
  <r>
    <x v="170"/>
    <s v="Виталюр"/>
    <s v="Жодино"/>
    <s v="Ягоды"/>
    <s v="Голубика"/>
    <n v="3205"/>
    <n v="44"/>
    <n v="141.02000000000001"/>
    <x v="4"/>
  </r>
  <r>
    <x v="170"/>
    <s v="Соседи"/>
    <s v="Жодино"/>
    <s v="Ягоды"/>
    <s v="Малина"/>
    <n v="2970"/>
    <n v="49"/>
    <n v="145.53"/>
    <x v="4"/>
  </r>
  <r>
    <x v="170"/>
    <s v="Соседи"/>
    <s v="Столбцы"/>
    <s v="Зелень"/>
    <s v="Укроп"/>
    <n v="650"/>
    <n v="32"/>
    <n v="20.8"/>
    <x v="4"/>
  </r>
  <r>
    <x v="170"/>
    <s v="Соседи"/>
    <s v="Фаниполь"/>
    <s v="Фрукты"/>
    <s v="Апельсины"/>
    <n v="2540"/>
    <n v="60"/>
    <n v="152.4"/>
    <x v="4"/>
  </r>
  <r>
    <x v="170"/>
    <s v="Евроопт"/>
    <s v="Фаниполь"/>
    <s v="Фрукты"/>
    <s v="Бананы"/>
    <n v="2400"/>
    <n v="16"/>
    <n v="38.4"/>
    <x v="4"/>
  </r>
  <r>
    <x v="170"/>
    <s v="Евроопт"/>
    <s v="Фаниполь"/>
    <s v="Фрукты"/>
    <s v="Сливы"/>
    <n v="930"/>
    <n v="95"/>
    <n v="88.35"/>
    <x v="4"/>
  </r>
  <r>
    <x v="171"/>
    <m/>
    <m/>
    <m/>
    <m/>
    <m/>
    <m/>
    <n v="651.21500000000003"/>
    <x v="4"/>
  </r>
  <r>
    <x v="172"/>
    <s v="Копеечка"/>
    <s v="Жодино"/>
    <s v="Ягоды"/>
    <s v="Брусника"/>
    <n v="1670"/>
    <n v="8"/>
    <n v="13.36"/>
    <x v="4"/>
  </r>
  <r>
    <x v="172"/>
    <s v="Виталюр"/>
    <s v="Жодино"/>
    <s v="Ягоды"/>
    <s v="Смородина черная"/>
    <n v="1505"/>
    <n v="48"/>
    <n v="72.239999999999995"/>
    <x v="4"/>
  </r>
  <r>
    <x v="172"/>
    <s v="Соседи"/>
    <s v="Минск"/>
    <s v="Овощи"/>
    <s v="Кабачки"/>
    <n v="325"/>
    <n v="59"/>
    <n v="19.175000000000001"/>
    <x v="4"/>
  </r>
  <r>
    <x v="172"/>
    <s v="Евроопт"/>
    <s v="Столбцы"/>
    <s v="Зелень"/>
    <s v="Кинза"/>
    <n v="650"/>
    <n v="44"/>
    <n v="28.6"/>
    <x v="4"/>
  </r>
  <r>
    <x v="172"/>
    <s v="Копеечка"/>
    <s v="Фаниполь"/>
    <s v="Зелень"/>
    <s v="Салат айсберг"/>
    <n v="1380"/>
    <n v="92"/>
    <n v="126.96"/>
    <x v="4"/>
  </r>
  <r>
    <x v="172"/>
    <s v="Копеечка"/>
    <s v="Фаниполь"/>
    <s v="Фрукты"/>
    <s v="Сливы"/>
    <n v="930"/>
    <n v="65"/>
    <n v="60.45"/>
    <x v="4"/>
  </r>
  <r>
    <x v="172"/>
    <s v="Копеечка"/>
    <s v="Фаниполь"/>
    <s v="Ягоды"/>
    <s v="Малина"/>
    <n v="2970"/>
    <n v="38"/>
    <n v="112.86"/>
    <x v="4"/>
  </r>
  <r>
    <x v="173"/>
    <m/>
    <m/>
    <m/>
    <m/>
    <m/>
    <m/>
    <n v="433.64499999999998"/>
    <x v="4"/>
  </r>
  <r>
    <x v="174"/>
    <s v="Евроопт"/>
    <s v="Барановичи"/>
    <s v="Овощи"/>
    <s v="Баклажаны"/>
    <n v="890"/>
    <n v="40"/>
    <n v="35.6"/>
    <x v="4"/>
  </r>
  <r>
    <x v="174"/>
    <s v="Виталюр"/>
    <s v="Барановичи"/>
    <s v="Ягоды"/>
    <s v="Малина"/>
    <n v="2970"/>
    <n v="11"/>
    <n v="32.67"/>
    <x v="4"/>
  </r>
  <r>
    <x v="175"/>
    <m/>
    <m/>
    <m/>
    <m/>
    <m/>
    <m/>
    <n v="68.27000000000001"/>
    <x v="4"/>
  </r>
  <r>
    <x v="176"/>
    <s v="Виталюр"/>
    <s v="Барановичи"/>
    <s v="Зелень"/>
    <s v="Укроп"/>
    <n v="650"/>
    <n v="23"/>
    <n v="14.95"/>
    <x v="4"/>
  </r>
  <r>
    <x v="176"/>
    <s v="Евроопт"/>
    <s v="Борисов"/>
    <s v="Зелень"/>
    <s v="Петрушка"/>
    <n v="640"/>
    <n v="57"/>
    <n v="36.479999999999997"/>
    <x v="4"/>
  </r>
  <r>
    <x v="176"/>
    <s v="Копеечка"/>
    <s v="Борисов"/>
    <s v="Зелень"/>
    <s v="Петрушка"/>
    <n v="640"/>
    <n v="89"/>
    <n v="56.96"/>
    <x v="4"/>
  </r>
  <r>
    <x v="176"/>
    <s v="Соседи"/>
    <s v="Борисов"/>
    <s v="Овощи"/>
    <s v="Капуста"/>
    <n v="460"/>
    <n v="6"/>
    <n v="2.76"/>
    <x v="4"/>
  </r>
  <r>
    <x v="176"/>
    <s v="Виталюр"/>
    <s v="Борисов"/>
    <s v="Фрукты"/>
    <s v="Яблоки"/>
    <n v="1230"/>
    <n v="45"/>
    <n v="55.35"/>
    <x v="4"/>
  </r>
  <r>
    <x v="176"/>
    <s v="Соседи"/>
    <s v="Борисов"/>
    <s v="Ягоды"/>
    <s v="Малина"/>
    <n v="2970"/>
    <n v="96"/>
    <n v="285.12"/>
    <x v="4"/>
  </r>
  <r>
    <x v="176"/>
    <s v="Соседи"/>
    <s v="Жодино"/>
    <s v="Фрукты"/>
    <s v="Апельсины"/>
    <n v="2540"/>
    <n v="42"/>
    <n v="106.68"/>
    <x v="4"/>
  </r>
  <r>
    <x v="176"/>
    <s v="Соседи"/>
    <s v="Жодино"/>
    <s v="Ягоды"/>
    <s v="Голубика"/>
    <n v="3205"/>
    <n v="85"/>
    <n v="272.42500000000001"/>
    <x v="4"/>
  </r>
  <r>
    <x v="176"/>
    <s v="Соседи"/>
    <s v="Столбцы"/>
    <s v="Зелень"/>
    <s v="Салат айсберг"/>
    <n v="1380"/>
    <n v="69"/>
    <n v="95.22"/>
    <x v="4"/>
  </r>
  <r>
    <x v="176"/>
    <s v="Евроопт"/>
    <s v="Фаниполь"/>
    <s v="Зелень"/>
    <s v="Укроп"/>
    <n v="650"/>
    <n v="51"/>
    <n v="33.15"/>
    <x v="4"/>
  </r>
  <r>
    <x v="176"/>
    <s v="Соседи"/>
    <s v="Фаниполь"/>
    <s v="Зелень"/>
    <s v="Кинза"/>
    <n v="650"/>
    <n v="30"/>
    <n v="19.5"/>
    <x v="4"/>
  </r>
  <r>
    <x v="176"/>
    <s v="Соседи"/>
    <s v="Фаниполь"/>
    <s v="Зелень"/>
    <s v="Салат римский"/>
    <n v="540"/>
    <n v="49"/>
    <n v="26.46"/>
    <x v="4"/>
  </r>
  <r>
    <x v="176"/>
    <s v="Копеечка"/>
    <s v="Фаниполь"/>
    <s v="Ягоды"/>
    <s v="Смородина черная"/>
    <n v="1505"/>
    <n v="49"/>
    <n v="73.745000000000005"/>
    <x v="4"/>
  </r>
  <r>
    <x v="177"/>
    <m/>
    <m/>
    <m/>
    <m/>
    <m/>
    <m/>
    <n v="1078.8"/>
    <x v="4"/>
  </r>
  <r>
    <x v="178"/>
    <s v="Соседи"/>
    <s v="Барановичи"/>
    <s v="Зелень"/>
    <s v="Салат римский"/>
    <n v="540"/>
    <n v="15"/>
    <n v="8.1"/>
    <x v="4"/>
  </r>
  <r>
    <x v="178"/>
    <s v="Евроопт"/>
    <s v="Барановичи"/>
    <s v="Фрукты"/>
    <s v="Груши"/>
    <n v="1420"/>
    <n v="58"/>
    <n v="82.36"/>
    <x v="4"/>
  </r>
  <r>
    <x v="178"/>
    <s v="Копеечка"/>
    <s v="Барановичи"/>
    <s v="Ягоды"/>
    <s v="Черешня"/>
    <n v="1760"/>
    <n v="61"/>
    <n v="107.36"/>
    <x v="4"/>
  </r>
  <r>
    <x v="178"/>
    <s v="Копеечка"/>
    <s v="Борисов"/>
    <s v="Зелень"/>
    <s v="Салат айсберг"/>
    <n v="1380"/>
    <n v="57"/>
    <n v="78.66"/>
    <x v="4"/>
  </r>
  <r>
    <x v="178"/>
    <s v="Виталюр"/>
    <s v="Борисов"/>
    <s v="Овощи"/>
    <s v="Свекла"/>
    <n v="450"/>
    <n v="6"/>
    <n v="2.7"/>
    <x v="4"/>
  </r>
  <r>
    <x v="178"/>
    <s v="Виталюр"/>
    <s v="Жодино"/>
    <s v="Зелень"/>
    <s v="Салат айсберг"/>
    <n v="1380"/>
    <n v="6"/>
    <n v="8.2799999999999994"/>
    <x v="4"/>
  </r>
  <r>
    <x v="178"/>
    <s v="Копеечка"/>
    <s v="Жодино"/>
    <s v="Зелень"/>
    <s v="Салат айсберг"/>
    <n v="1380"/>
    <n v="69"/>
    <n v="95.22"/>
    <x v="4"/>
  </r>
  <r>
    <x v="178"/>
    <s v="Соседи"/>
    <s v="Жодино"/>
    <s v="Фрукты"/>
    <s v="Яблоки"/>
    <n v="1230"/>
    <n v="55"/>
    <n v="67.650000000000006"/>
    <x v="4"/>
  </r>
  <r>
    <x v="178"/>
    <s v="Евроопт"/>
    <s v="Жодино"/>
    <s v="Фрукты"/>
    <s v="Апельсины"/>
    <n v="2540"/>
    <n v="65"/>
    <n v="165.1"/>
    <x v="4"/>
  </r>
  <r>
    <x v="178"/>
    <s v="Копеечка"/>
    <s v="Минск"/>
    <s v="Зелень"/>
    <s v="Салат айсберг"/>
    <n v="1380"/>
    <n v="16"/>
    <n v="22.08"/>
    <x v="4"/>
  </r>
  <r>
    <x v="178"/>
    <s v="Соседи"/>
    <s v="Минск"/>
    <s v="Ягоды"/>
    <s v="Малина"/>
    <n v="2970"/>
    <n v="26"/>
    <n v="77.22"/>
    <x v="4"/>
  </r>
  <r>
    <x v="178"/>
    <s v="Соседи"/>
    <s v="Столбцы"/>
    <s v="Зелень"/>
    <s v="Лук зеленый"/>
    <n v="705"/>
    <n v="15"/>
    <n v="10.574999999999999"/>
    <x v="4"/>
  </r>
  <r>
    <x v="178"/>
    <s v="Виталюр"/>
    <s v="Столбцы"/>
    <s v="Овощи"/>
    <s v="Картофель"/>
    <n v="690"/>
    <n v="32"/>
    <n v="22.08"/>
    <x v="4"/>
  </r>
  <r>
    <x v="178"/>
    <s v="Евроопт"/>
    <s v="Столбцы"/>
    <s v="Фрукты"/>
    <s v="Апельсины"/>
    <n v="2540"/>
    <n v="52"/>
    <n v="132.08000000000001"/>
    <x v="4"/>
  </r>
  <r>
    <x v="179"/>
    <m/>
    <m/>
    <m/>
    <m/>
    <m/>
    <m/>
    <n v="879.46500000000015"/>
    <x v="1"/>
  </r>
  <r>
    <x v="180"/>
    <s v="Евроопт"/>
    <s v="Барановичи"/>
    <s v="Зелень"/>
    <s v="Лук зеленый"/>
    <n v="705"/>
    <n v="23"/>
    <n v="16.215"/>
    <x v="5"/>
  </r>
  <r>
    <x v="180"/>
    <s v="Виталюр"/>
    <s v="Барановичи"/>
    <s v="Фрукты"/>
    <s v="Груши"/>
    <n v="1420"/>
    <n v="63"/>
    <n v="89.46"/>
    <x v="5"/>
  </r>
  <r>
    <x v="180"/>
    <s v="Соседи"/>
    <s v="Барановичи"/>
    <s v="Ягоды"/>
    <s v="Смородина черная"/>
    <n v="1505"/>
    <n v="97"/>
    <n v="145.98500000000001"/>
    <x v="5"/>
  </r>
  <r>
    <x v="180"/>
    <s v="Виталюр"/>
    <s v="Борисов"/>
    <s v="Зелень"/>
    <s v="Кинза"/>
    <n v="650"/>
    <n v="12"/>
    <n v="7.8"/>
    <x v="5"/>
  </r>
  <r>
    <x v="180"/>
    <s v="Соседи"/>
    <s v="Жодино"/>
    <s v="Зелень"/>
    <s v="Салат римский"/>
    <n v="540"/>
    <n v="98"/>
    <n v="52.92"/>
    <x v="5"/>
  </r>
  <r>
    <x v="180"/>
    <s v="Копеечка"/>
    <s v="Жодино"/>
    <s v="Ягоды"/>
    <s v="Клубника"/>
    <n v="2460"/>
    <n v="73"/>
    <n v="179.58"/>
    <x v="5"/>
  </r>
  <r>
    <x v="180"/>
    <s v="Копеечка"/>
    <s v="Минск"/>
    <s v="Зелень"/>
    <s v="Петрушка"/>
    <n v="640"/>
    <n v="25"/>
    <n v="16"/>
    <x v="5"/>
  </r>
  <r>
    <x v="180"/>
    <s v="Виталюр"/>
    <s v="Столбцы"/>
    <s v="Зелень"/>
    <s v="Кинза"/>
    <n v="650"/>
    <n v="61"/>
    <n v="39.65"/>
    <x v="5"/>
  </r>
  <r>
    <x v="180"/>
    <s v="Виталюр"/>
    <s v="Столбцы"/>
    <s v="Фрукты"/>
    <s v="Груши"/>
    <n v="1420"/>
    <n v="78"/>
    <n v="110.76"/>
    <x v="5"/>
  </r>
  <r>
    <x v="180"/>
    <s v="Копеечка"/>
    <s v="Фаниполь"/>
    <s v="Фрукты"/>
    <s v="Сливы"/>
    <n v="930"/>
    <n v="49"/>
    <n v="45.57"/>
    <x v="5"/>
  </r>
  <r>
    <x v="180"/>
    <s v="Соседи"/>
    <s v="Фаниполь"/>
    <s v="Фрукты"/>
    <s v="Груши"/>
    <n v="1420"/>
    <n v="86"/>
    <n v="122.12"/>
    <x v="5"/>
  </r>
  <r>
    <x v="181"/>
    <m/>
    <m/>
    <m/>
    <m/>
    <m/>
    <m/>
    <n v="826.06000000000006"/>
    <x v="5"/>
  </r>
  <r>
    <x v="182"/>
    <s v="Соседи"/>
    <s v="Барановичи"/>
    <s v="Зелень"/>
    <s v="Салат айсберг"/>
    <n v="1380"/>
    <n v="93"/>
    <n v="128.34"/>
    <x v="5"/>
  </r>
  <r>
    <x v="182"/>
    <s v="Соседи"/>
    <s v="Жодино"/>
    <s v="Овощи"/>
    <s v="Капуста"/>
    <n v="460"/>
    <n v="55"/>
    <n v="25.3"/>
    <x v="5"/>
  </r>
  <r>
    <x v="182"/>
    <s v="Копеечка"/>
    <s v="Жодино"/>
    <s v="Овощи"/>
    <s v="Свекла"/>
    <n v="450"/>
    <n v="87"/>
    <n v="39.15"/>
    <x v="5"/>
  </r>
  <r>
    <x v="182"/>
    <s v="Копеечка"/>
    <s v="Жодино"/>
    <s v="Ягоды"/>
    <s v="Черешня"/>
    <n v="1760"/>
    <n v="8"/>
    <n v="14.08"/>
    <x v="5"/>
  </r>
  <r>
    <x v="182"/>
    <s v="Виталюр"/>
    <s v="Жодино"/>
    <s v="Ягоды"/>
    <s v="Смородина черная"/>
    <n v="1505"/>
    <n v="61"/>
    <n v="91.805000000000007"/>
    <x v="5"/>
  </r>
  <r>
    <x v="182"/>
    <s v="Соседи"/>
    <s v="Минск"/>
    <s v="Ягоды"/>
    <s v="Клубника"/>
    <n v="2460"/>
    <n v="39"/>
    <n v="95.94"/>
    <x v="5"/>
  </r>
  <r>
    <x v="182"/>
    <s v="Копеечка"/>
    <s v="Столбцы"/>
    <s v="Ягоды"/>
    <s v="Малина"/>
    <n v="2970"/>
    <n v="56"/>
    <n v="166.32"/>
    <x v="5"/>
  </r>
  <r>
    <x v="182"/>
    <s v="Соседи"/>
    <s v="Фаниполь"/>
    <s v="Фрукты"/>
    <s v="Абрикосы"/>
    <n v="1320"/>
    <n v="29"/>
    <n v="38.28"/>
    <x v="5"/>
  </r>
  <r>
    <x v="183"/>
    <m/>
    <m/>
    <m/>
    <m/>
    <m/>
    <m/>
    <n v="599.21500000000003"/>
    <x v="5"/>
  </r>
  <r>
    <x v="184"/>
    <s v="Копеечка"/>
    <s v="Барановичи"/>
    <s v="Фрукты"/>
    <s v="Сливы"/>
    <n v="930"/>
    <n v="84"/>
    <n v="78.12"/>
    <x v="5"/>
  </r>
  <r>
    <x v="184"/>
    <s v="Копеечка"/>
    <s v="Барановичи"/>
    <s v="Фрукты"/>
    <s v="Яблоки"/>
    <n v="1230"/>
    <n v="96"/>
    <n v="118.08"/>
    <x v="5"/>
  </r>
  <r>
    <x v="184"/>
    <s v="Евроопт"/>
    <s v="Барановичи"/>
    <s v="Ягоды"/>
    <s v="Смородина черная"/>
    <n v="1505"/>
    <n v="80"/>
    <n v="120.4"/>
    <x v="5"/>
  </r>
  <r>
    <x v="184"/>
    <s v="Соседи"/>
    <s v="Борисов"/>
    <s v="Зелень"/>
    <s v="Укроп"/>
    <n v="650"/>
    <n v="34"/>
    <n v="22.1"/>
    <x v="5"/>
  </r>
  <r>
    <x v="184"/>
    <s v="Виталюр"/>
    <s v="Борисов"/>
    <s v="Ягоды"/>
    <s v="Брусника"/>
    <n v="1670"/>
    <n v="49"/>
    <n v="81.83"/>
    <x v="5"/>
  </r>
  <r>
    <x v="184"/>
    <s v="Соседи"/>
    <s v="Столбцы"/>
    <s v="Фрукты"/>
    <s v="Абрикосы"/>
    <n v="1320"/>
    <n v="32"/>
    <n v="42.24"/>
    <x v="5"/>
  </r>
  <r>
    <x v="184"/>
    <s v="Виталюр"/>
    <s v="Столбцы"/>
    <s v="Ягоды"/>
    <s v="Смородина черная"/>
    <n v="1505"/>
    <n v="65"/>
    <n v="97.825000000000003"/>
    <x v="5"/>
  </r>
  <r>
    <x v="184"/>
    <s v="Евроопт"/>
    <s v="Фаниполь"/>
    <s v="Фрукты"/>
    <s v="Сливы"/>
    <n v="930"/>
    <n v="71"/>
    <n v="66.03"/>
    <x v="5"/>
  </r>
  <r>
    <x v="185"/>
    <m/>
    <m/>
    <m/>
    <m/>
    <m/>
    <m/>
    <n v="626.625"/>
    <x v="5"/>
  </r>
  <r>
    <x v="186"/>
    <s v="Виталюр"/>
    <s v="Барановичи"/>
    <s v="Ягоды"/>
    <s v="Клубника"/>
    <n v="2460"/>
    <n v="83"/>
    <n v="204.18"/>
    <x v="5"/>
  </r>
  <r>
    <x v="186"/>
    <s v="Копеечка"/>
    <s v="Жодино"/>
    <s v="Зелень"/>
    <s v="Салат римский"/>
    <n v="540"/>
    <n v="81"/>
    <n v="43.74"/>
    <x v="5"/>
  </r>
  <r>
    <x v="186"/>
    <s v="Копеечка"/>
    <s v="Столбцы"/>
    <s v="Овощи"/>
    <s v="Баклажаны"/>
    <n v="890"/>
    <n v="50"/>
    <n v="44.5"/>
    <x v="5"/>
  </r>
  <r>
    <x v="186"/>
    <s v="Евроопт"/>
    <s v="Столбцы"/>
    <s v="Овощи"/>
    <s v="Морковь"/>
    <n v="715"/>
    <n v="49"/>
    <n v="35.034999999999997"/>
    <x v="5"/>
  </r>
  <r>
    <x v="186"/>
    <s v="Копеечка"/>
    <s v="Столбцы"/>
    <s v="Фрукты"/>
    <s v="Абрикосы"/>
    <n v="1320"/>
    <n v="70"/>
    <n v="92.4"/>
    <x v="5"/>
  </r>
  <r>
    <x v="186"/>
    <s v="Соседи"/>
    <s v="Столбцы"/>
    <s v="Ягоды"/>
    <s v="Смородина черная"/>
    <n v="1505"/>
    <n v="27"/>
    <n v="40.634999999999998"/>
    <x v="5"/>
  </r>
  <r>
    <x v="186"/>
    <s v="Копеечка"/>
    <s v="Столбцы"/>
    <s v="Ягоды"/>
    <s v="Смородина черная"/>
    <n v="1505"/>
    <n v="100"/>
    <n v="150.5"/>
    <x v="5"/>
  </r>
  <r>
    <x v="186"/>
    <s v="Соседи"/>
    <s v="Фаниполь"/>
    <s v="Фрукты"/>
    <s v="Абрикосы"/>
    <n v="1320"/>
    <n v="86"/>
    <n v="113.52"/>
    <x v="5"/>
  </r>
  <r>
    <x v="186"/>
    <s v="Виталюр"/>
    <s v="Фаниполь"/>
    <s v="Фрукты"/>
    <s v="Апельсины"/>
    <n v="2540"/>
    <n v="19"/>
    <n v="48.26"/>
    <x v="5"/>
  </r>
  <r>
    <x v="187"/>
    <m/>
    <m/>
    <m/>
    <m/>
    <m/>
    <m/>
    <n v="772.77"/>
    <x v="5"/>
  </r>
  <r>
    <x v="188"/>
    <s v="Соседи"/>
    <s v="Борисов"/>
    <s v="Овощи"/>
    <s v="Картофель"/>
    <n v="690"/>
    <n v="34"/>
    <n v="23.46"/>
    <x v="5"/>
  </r>
  <r>
    <x v="188"/>
    <s v="Евроопт"/>
    <s v="Борисов"/>
    <s v="Ягоды"/>
    <s v="Малина"/>
    <n v="2970"/>
    <n v="6"/>
    <n v="17.82"/>
    <x v="5"/>
  </r>
  <r>
    <x v="188"/>
    <s v="Евроопт"/>
    <s v="Жодино"/>
    <s v="Зелень"/>
    <s v="Укроп"/>
    <n v="650"/>
    <n v="72"/>
    <n v="46.8"/>
    <x v="5"/>
  </r>
  <r>
    <x v="188"/>
    <s v="Евроопт"/>
    <s v="Жодино"/>
    <s v="Фрукты"/>
    <s v="Яблоки"/>
    <n v="1230"/>
    <n v="84"/>
    <n v="103.32"/>
    <x v="5"/>
  </r>
  <r>
    <x v="188"/>
    <s v="Виталюр"/>
    <s v="Минск"/>
    <s v="Овощи"/>
    <s v="Картофель"/>
    <n v="690"/>
    <n v="60"/>
    <n v="41.4"/>
    <x v="5"/>
  </r>
  <r>
    <x v="188"/>
    <s v="Соседи"/>
    <s v="Фаниполь"/>
    <s v="Зелень"/>
    <s v="Кинза"/>
    <n v="650"/>
    <n v="42"/>
    <n v="27.3"/>
    <x v="5"/>
  </r>
  <r>
    <x v="188"/>
    <s v="Евроопт"/>
    <s v="Фаниполь"/>
    <s v="Фрукты"/>
    <s v="Сливы"/>
    <n v="930"/>
    <n v="39"/>
    <n v="36.270000000000003"/>
    <x v="5"/>
  </r>
  <r>
    <x v="188"/>
    <s v="Соседи"/>
    <s v="Фаниполь"/>
    <s v="Ягоды"/>
    <s v="Смородина черная"/>
    <n v="1505"/>
    <n v="9"/>
    <n v="13.545"/>
    <x v="5"/>
  </r>
  <r>
    <x v="189"/>
    <m/>
    <m/>
    <m/>
    <m/>
    <m/>
    <m/>
    <n v="309.91499999999996"/>
    <x v="5"/>
  </r>
  <r>
    <x v="190"/>
    <s v="Соседи"/>
    <s v="Барановичи"/>
    <s v="Овощи"/>
    <s v="Кабачки"/>
    <n v="325"/>
    <n v="14"/>
    <n v="4.55"/>
    <x v="5"/>
  </r>
  <r>
    <x v="190"/>
    <s v="Соседи"/>
    <s v="Борисов"/>
    <s v="Зелень"/>
    <s v="Укроп"/>
    <n v="650"/>
    <n v="73"/>
    <n v="47.45"/>
    <x v="5"/>
  </r>
  <r>
    <x v="190"/>
    <s v="Копеечка"/>
    <s v="Борисов"/>
    <s v="Овощи"/>
    <s v="Свекла"/>
    <n v="450"/>
    <n v="98"/>
    <n v="44.1"/>
    <x v="5"/>
  </r>
  <r>
    <x v="190"/>
    <s v="Соседи"/>
    <s v="Борисов"/>
    <s v="Ягоды"/>
    <s v="Клубника"/>
    <n v="2460"/>
    <n v="21"/>
    <n v="51.66"/>
    <x v="5"/>
  </r>
  <r>
    <x v="190"/>
    <s v="Соседи"/>
    <s v="Жодино"/>
    <s v="Зелень"/>
    <s v="Укроп"/>
    <n v="650"/>
    <n v="88"/>
    <n v="57.2"/>
    <x v="5"/>
  </r>
  <r>
    <x v="190"/>
    <s v="Виталюр"/>
    <s v="Жодино"/>
    <s v="Фрукты"/>
    <s v="Груши"/>
    <n v="1420"/>
    <n v="89"/>
    <n v="126.38"/>
    <x v="5"/>
  </r>
  <r>
    <x v="190"/>
    <s v="Копеечка"/>
    <s v="Жодино"/>
    <s v="Ягоды"/>
    <s v="Брусника"/>
    <n v="1670"/>
    <n v="64"/>
    <n v="106.88"/>
    <x v="5"/>
  </r>
  <r>
    <x v="190"/>
    <s v="Евроопт"/>
    <s v="Минск"/>
    <s v="Зелень"/>
    <s v="Кинза"/>
    <n v="650"/>
    <n v="100"/>
    <n v="65"/>
    <x v="5"/>
  </r>
  <r>
    <x v="190"/>
    <s v="Копеечка"/>
    <s v="Столбцы"/>
    <s v="Зелень"/>
    <s v="Салат айсберг"/>
    <n v="1380"/>
    <n v="86"/>
    <n v="118.68"/>
    <x v="5"/>
  </r>
  <r>
    <x v="190"/>
    <s v="Копеечка"/>
    <s v="Столбцы"/>
    <s v="Овощи"/>
    <s v="Капуста"/>
    <n v="460"/>
    <n v="51"/>
    <n v="23.46"/>
    <x v="5"/>
  </r>
  <r>
    <x v="190"/>
    <s v="Виталюр"/>
    <s v="Столбцы"/>
    <s v="Ягоды"/>
    <s v="Черешня"/>
    <n v="1760"/>
    <n v="82"/>
    <n v="144.32"/>
    <x v="5"/>
  </r>
  <r>
    <x v="190"/>
    <s v="Копеечка"/>
    <s v="Столбцы"/>
    <s v="Ягоды"/>
    <s v="Брусника"/>
    <n v="1670"/>
    <n v="76"/>
    <n v="126.92"/>
    <x v="5"/>
  </r>
  <r>
    <x v="191"/>
    <m/>
    <m/>
    <m/>
    <m/>
    <m/>
    <m/>
    <n v="916.6"/>
    <x v="5"/>
  </r>
  <r>
    <x v="192"/>
    <s v="Виталюр"/>
    <s v="Борисов"/>
    <s v="Фрукты"/>
    <s v="Сливы"/>
    <n v="930"/>
    <n v="38"/>
    <n v="35.340000000000003"/>
    <x v="5"/>
  </r>
  <r>
    <x v="192"/>
    <s v="Копеечка"/>
    <s v="Борисов"/>
    <s v="Ягоды"/>
    <s v="Клубника"/>
    <n v="2460"/>
    <n v="50"/>
    <n v="123"/>
    <x v="5"/>
  </r>
  <r>
    <x v="192"/>
    <s v="Копеечка"/>
    <s v="Столбцы"/>
    <s v="Ягоды"/>
    <s v="Черешня"/>
    <n v="1760"/>
    <n v="69"/>
    <n v="121.44"/>
    <x v="5"/>
  </r>
  <r>
    <x v="192"/>
    <s v="Виталюр"/>
    <s v="Фаниполь"/>
    <s v="Зелень"/>
    <s v="Укроп"/>
    <n v="650"/>
    <n v="12"/>
    <n v="7.8"/>
    <x v="5"/>
  </r>
  <r>
    <x v="192"/>
    <s v="Виталюр"/>
    <s v="Фаниполь"/>
    <s v="Ягоды"/>
    <s v="Смородина черная"/>
    <n v="1505"/>
    <n v="42"/>
    <n v="63.21"/>
    <x v="5"/>
  </r>
  <r>
    <x v="193"/>
    <m/>
    <m/>
    <m/>
    <m/>
    <m/>
    <m/>
    <n v="350.78999999999996"/>
    <x v="5"/>
  </r>
  <r>
    <x v="194"/>
    <s v="Копеечка"/>
    <s v="Барановичи"/>
    <s v="Зелень"/>
    <s v="Лук зеленый"/>
    <n v="705"/>
    <n v="43"/>
    <n v="30.315000000000001"/>
    <x v="5"/>
  </r>
  <r>
    <x v="194"/>
    <s v="Виталюр"/>
    <s v="Минск"/>
    <s v="Зелень"/>
    <s v="Салат айсберг"/>
    <n v="1380"/>
    <n v="83"/>
    <n v="114.54"/>
    <x v="5"/>
  </r>
  <r>
    <x v="194"/>
    <s v="Соседи"/>
    <s v="Минск"/>
    <s v="Овощи"/>
    <s v="Капуста"/>
    <n v="460"/>
    <n v="49"/>
    <n v="22.54"/>
    <x v="5"/>
  </r>
  <r>
    <x v="194"/>
    <s v="Копеечка"/>
    <s v="Столбцы"/>
    <s v="Фрукты"/>
    <s v="Сливы"/>
    <n v="930"/>
    <n v="49"/>
    <n v="45.57"/>
    <x v="5"/>
  </r>
  <r>
    <x v="194"/>
    <s v="Виталюр"/>
    <s v="Фаниполь"/>
    <s v="Зелень"/>
    <s v="Кинза"/>
    <n v="650"/>
    <n v="12"/>
    <n v="7.8"/>
    <x v="5"/>
  </r>
  <r>
    <x v="194"/>
    <s v="Евроопт"/>
    <s v="Фаниполь"/>
    <s v="Овощи"/>
    <s v="Картофель"/>
    <n v="690"/>
    <n v="61"/>
    <n v="42.09"/>
    <x v="5"/>
  </r>
  <r>
    <x v="194"/>
    <s v="Виталюр"/>
    <s v="Фаниполь"/>
    <s v="Фрукты"/>
    <s v="Груши"/>
    <n v="1420"/>
    <n v="57"/>
    <n v="80.94"/>
    <x v="5"/>
  </r>
  <r>
    <x v="195"/>
    <m/>
    <m/>
    <m/>
    <m/>
    <m/>
    <m/>
    <n v="343.79500000000002"/>
    <x v="5"/>
  </r>
  <r>
    <x v="196"/>
    <s v="Соседи"/>
    <s v="Барановичи"/>
    <s v="Ягоды"/>
    <s v="Голубика"/>
    <n v="3205"/>
    <n v="63"/>
    <n v="201.91499999999999"/>
    <x v="5"/>
  </r>
  <r>
    <x v="196"/>
    <s v="Копеечка"/>
    <s v="Борисов"/>
    <s v="Фрукты"/>
    <s v="Апельсины"/>
    <n v="2540"/>
    <n v="78"/>
    <n v="198.12"/>
    <x v="5"/>
  </r>
  <r>
    <x v="196"/>
    <s v="Евроопт"/>
    <s v="Минск"/>
    <s v="Зелень"/>
    <s v="Петрушка"/>
    <n v="640"/>
    <n v="93"/>
    <n v="59.52"/>
    <x v="5"/>
  </r>
  <r>
    <x v="196"/>
    <s v="Соседи"/>
    <s v="Минск"/>
    <s v="Зелень"/>
    <s v="Укроп"/>
    <n v="650"/>
    <n v="84"/>
    <n v="54.6"/>
    <x v="5"/>
  </r>
  <r>
    <x v="196"/>
    <s v="Виталюр"/>
    <s v="Минск"/>
    <s v="Ягоды"/>
    <s v="Смородина черная"/>
    <n v="1505"/>
    <n v="19"/>
    <n v="28.594999999999999"/>
    <x v="5"/>
  </r>
  <r>
    <x v="196"/>
    <s v="Евроопт"/>
    <s v="Минск"/>
    <s v="Ягоды"/>
    <s v="Голубика"/>
    <n v="3205"/>
    <n v="27"/>
    <n v="86.534999999999997"/>
    <x v="5"/>
  </r>
  <r>
    <x v="196"/>
    <s v="Соседи"/>
    <s v="Столбцы"/>
    <s v="Ягоды"/>
    <s v="Голубика"/>
    <n v="3205"/>
    <n v="81"/>
    <n v="259.60500000000002"/>
    <x v="5"/>
  </r>
  <r>
    <x v="196"/>
    <s v="Копеечка"/>
    <s v="Фаниполь"/>
    <s v="Зелень"/>
    <s v="Петрушка"/>
    <n v="640"/>
    <n v="85"/>
    <n v="54.4"/>
    <x v="5"/>
  </r>
  <r>
    <x v="196"/>
    <s v="Евроопт"/>
    <s v="Фаниполь"/>
    <s v="Фрукты"/>
    <s v="Груши"/>
    <n v="1420"/>
    <n v="14"/>
    <n v="19.88"/>
    <x v="5"/>
  </r>
  <r>
    <x v="197"/>
    <m/>
    <m/>
    <m/>
    <m/>
    <m/>
    <m/>
    <n v="963.17"/>
    <x v="5"/>
  </r>
  <r>
    <x v="198"/>
    <s v="Копеечка"/>
    <s v="Барановичи"/>
    <s v="Ягоды"/>
    <s v="Голубика"/>
    <n v="3205"/>
    <n v="43"/>
    <n v="137.815"/>
    <x v="5"/>
  </r>
  <r>
    <x v="198"/>
    <s v="Соседи"/>
    <s v="Столбцы"/>
    <s v="Зелень"/>
    <s v="Кинза"/>
    <n v="650"/>
    <n v="31"/>
    <n v="20.149999999999999"/>
    <x v="5"/>
  </r>
  <r>
    <x v="198"/>
    <s v="Соседи"/>
    <s v="Столбцы"/>
    <s v="Овощи"/>
    <s v="Картофель"/>
    <n v="690"/>
    <n v="82"/>
    <n v="56.58"/>
    <x v="5"/>
  </r>
  <r>
    <x v="198"/>
    <s v="Виталюр"/>
    <s v="Столбцы"/>
    <s v="Фрукты"/>
    <s v="Яблоки"/>
    <n v="1230"/>
    <n v="84"/>
    <n v="103.32"/>
    <x v="5"/>
  </r>
  <r>
    <x v="198"/>
    <s v="Соседи"/>
    <s v="Фаниполь"/>
    <s v="Зелень"/>
    <s v="Укроп"/>
    <n v="650"/>
    <n v="89"/>
    <n v="57.85"/>
    <x v="5"/>
  </r>
  <r>
    <x v="199"/>
    <m/>
    <m/>
    <m/>
    <m/>
    <m/>
    <m/>
    <n v="375.71500000000003"/>
    <x v="5"/>
  </r>
  <r>
    <x v="200"/>
    <s v="Соседи"/>
    <s v="Барановичи"/>
    <s v="Овощи"/>
    <s v="Картофель"/>
    <n v="690"/>
    <n v="15"/>
    <n v="10.35"/>
    <x v="5"/>
  </r>
  <r>
    <x v="200"/>
    <s v="Соседи"/>
    <s v="Барановичи"/>
    <s v="Фрукты"/>
    <s v="Абрикосы"/>
    <n v="1320"/>
    <n v="17"/>
    <n v="22.44"/>
    <x v="5"/>
  </r>
  <r>
    <x v="200"/>
    <s v="Соседи"/>
    <s v="Борисов"/>
    <s v="Фрукты"/>
    <s v="Груши"/>
    <n v="1420"/>
    <n v="19"/>
    <n v="26.98"/>
    <x v="5"/>
  </r>
  <r>
    <x v="200"/>
    <s v="Виталюр"/>
    <s v="Фаниполь"/>
    <s v="Овощи"/>
    <s v="Свекла"/>
    <n v="450"/>
    <n v="56"/>
    <n v="25.2"/>
    <x v="5"/>
  </r>
  <r>
    <x v="200"/>
    <s v="Копеечка"/>
    <s v="Фаниполь"/>
    <s v="Фрукты"/>
    <s v="Бананы"/>
    <n v="2400"/>
    <n v="95"/>
    <n v="228"/>
    <x v="5"/>
  </r>
  <r>
    <x v="200"/>
    <s v="Евроопт"/>
    <s v="Фаниполь"/>
    <s v="Ягоды"/>
    <s v="Голубика"/>
    <n v="3205"/>
    <n v="45"/>
    <n v="144.22499999999999"/>
    <x v="5"/>
  </r>
  <r>
    <x v="201"/>
    <m/>
    <m/>
    <m/>
    <m/>
    <m/>
    <m/>
    <n v="457.19500000000005"/>
    <x v="5"/>
  </r>
  <r>
    <x v="202"/>
    <s v="Соседи"/>
    <s v="Барановичи"/>
    <s v="Ягоды"/>
    <s v="Голубика"/>
    <n v="3205"/>
    <n v="43"/>
    <n v="137.815"/>
    <x v="5"/>
  </r>
  <r>
    <x v="202"/>
    <s v="Копеечка"/>
    <s v="Борисов"/>
    <s v="Зелень"/>
    <s v="Салат римский"/>
    <n v="540"/>
    <n v="93"/>
    <n v="50.22"/>
    <x v="5"/>
  </r>
  <r>
    <x v="202"/>
    <s v="Виталюр"/>
    <s v="Жодино"/>
    <s v="Овощи"/>
    <s v="Капуста"/>
    <n v="460"/>
    <n v="20"/>
    <n v="9.1999999999999993"/>
    <x v="5"/>
  </r>
  <r>
    <x v="202"/>
    <s v="Соседи"/>
    <s v="Минск"/>
    <s v="Овощи"/>
    <s v="Свекла"/>
    <n v="450"/>
    <n v="29"/>
    <n v="13.05"/>
    <x v="5"/>
  </r>
  <r>
    <x v="202"/>
    <s v="Соседи"/>
    <s v="Столбцы"/>
    <s v="Зелень"/>
    <s v="Салат айсберг"/>
    <n v="1380"/>
    <n v="32"/>
    <n v="44.16"/>
    <x v="5"/>
  </r>
  <r>
    <x v="202"/>
    <s v="Копеечка"/>
    <s v="Фаниполь"/>
    <s v="Ягоды"/>
    <s v="Черешня"/>
    <n v="1760"/>
    <n v="52"/>
    <n v="91.52"/>
    <x v="5"/>
  </r>
  <r>
    <x v="203"/>
    <m/>
    <m/>
    <m/>
    <m/>
    <m/>
    <m/>
    <n v="345.96499999999997"/>
    <x v="5"/>
  </r>
  <r>
    <x v="204"/>
    <s v="Копеечка"/>
    <s v="Барановичи"/>
    <s v="Фрукты"/>
    <s v="Бананы"/>
    <n v="2400"/>
    <n v="90"/>
    <n v="216"/>
    <x v="5"/>
  </r>
  <r>
    <x v="204"/>
    <s v="Соседи"/>
    <s v="Борисов"/>
    <s v="Зелень"/>
    <s v="Лук зеленый"/>
    <n v="705"/>
    <n v="54"/>
    <n v="38.07"/>
    <x v="5"/>
  </r>
  <r>
    <x v="204"/>
    <s v="Копеечка"/>
    <s v="Борисов"/>
    <s v="Овощи"/>
    <s v="Баклажаны"/>
    <n v="890"/>
    <n v="51"/>
    <n v="45.39"/>
    <x v="5"/>
  </r>
  <r>
    <x v="204"/>
    <s v="Виталюр"/>
    <s v="Жодино"/>
    <s v="Овощи"/>
    <s v="Морковь"/>
    <n v="715"/>
    <n v="39"/>
    <n v="27.885000000000002"/>
    <x v="5"/>
  </r>
  <r>
    <x v="204"/>
    <s v="Виталюр"/>
    <s v="Минск"/>
    <s v="Зелень"/>
    <s v="Петрушка"/>
    <n v="640"/>
    <n v="82"/>
    <n v="52.48"/>
    <x v="5"/>
  </r>
  <r>
    <x v="204"/>
    <s v="Евроопт"/>
    <s v="Минск"/>
    <s v="Зелень"/>
    <s v="Салат айсберг"/>
    <n v="1380"/>
    <n v="41"/>
    <n v="56.58"/>
    <x v="5"/>
  </r>
  <r>
    <x v="204"/>
    <s v="Евроопт"/>
    <s v="Минск"/>
    <s v="Зелень"/>
    <s v="Петрушка"/>
    <n v="640"/>
    <n v="42"/>
    <n v="26.88"/>
    <x v="5"/>
  </r>
  <r>
    <x v="204"/>
    <s v="Евроопт"/>
    <s v="Минск"/>
    <s v="Фрукты"/>
    <s v="Апельсины"/>
    <n v="2540"/>
    <n v="87"/>
    <n v="220.98"/>
    <x v="5"/>
  </r>
  <r>
    <x v="204"/>
    <s v="Копеечка"/>
    <s v="Минск"/>
    <s v="Ягоды"/>
    <s v="Смородина черная"/>
    <n v="1505"/>
    <n v="46"/>
    <n v="69.23"/>
    <x v="5"/>
  </r>
  <r>
    <x v="204"/>
    <s v="Копеечка"/>
    <s v="Столбцы"/>
    <s v="Фрукты"/>
    <s v="Груши"/>
    <n v="1420"/>
    <n v="40"/>
    <n v="56.8"/>
    <x v="5"/>
  </r>
  <r>
    <x v="204"/>
    <s v="Евроопт"/>
    <s v="Фаниполь"/>
    <s v="Зелень"/>
    <s v="Укроп"/>
    <n v="650"/>
    <n v="23"/>
    <n v="14.95"/>
    <x v="5"/>
  </r>
  <r>
    <x v="204"/>
    <s v="Виталюр"/>
    <s v="Фаниполь"/>
    <s v="Овощи"/>
    <s v="Картофель"/>
    <n v="690"/>
    <n v="66"/>
    <n v="45.54"/>
    <x v="5"/>
  </r>
  <r>
    <x v="205"/>
    <m/>
    <m/>
    <m/>
    <m/>
    <m/>
    <m/>
    <n v="870.78499999999997"/>
    <x v="5"/>
  </r>
  <r>
    <x v="206"/>
    <s v="Копеечка"/>
    <s v="Барановичи"/>
    <s v="Зелень"/>
    <s v="Укроп"/>
    <n v="650"/>
    <n v="96"/>
    <n v="62.4"/>
    <x v="5"/>
  </r>
  <r>
    <x v="206"/>
    <s v="Виталюр"/>
    <s v="Борисов"/>
    <s v="Зелень"/>
    <s v="Укроп"/>
    <n v="650"/>
    <n v="32"/>
    <n v="20.8"/>
    <x v="5"/>
  </r>
  <r>
    <x v="206"/>
    <s v="Виталюр"/>
    <s v="Жодино"/>
    <s v="Овощи"/>
    <s v="Баклажаны"/>
    <n v="890"/>
    <n v="38"/>
    <n v="33.82"/>
    <x v="5"/>
  </r>
  <r>
    <x v="206"/>
    <s v="Копеечка"/>
    <s v="Минск"/>
    <s v="Зелень"/>
    <s v="Салат римский"/>
    <n v="540"/>
    <n v="73"/>
    <n v="39.42"/>
    <x v="5"/>
  </r>
  <r>
    <x v="206"/>
    <s v="Виталюр"/>
    <s v="Столбцы"/>
    <s v="Зелень"/>
    <s v="Салат римский"/>
    <n v="540"/>
    <n v="81"/>
    <n v="43.74"/>
    <x v="5"/>
  </r>
  <r>
    <x v="206"/>
    <s v="Соседи"/>
    <s v="Столбцы"/>
    <s v="Зелень"/>
    <s v="Салат римский"/>
    <n v="540"/>
    <n v="36"/>
    <n v="19.440000000000001"/>
    <x v="5"/>
  </r>
  <r>
    <x v="206"/>
    <s v="Соседи"/>
    <s v="Столбцы"/>
    <s v="Фрукты"/>
    <s v="Бананы"/>
    <n v="2400"/>
    <n v="22"/>
    <n v="52.8"/>
    <x v="5"/>
  </r>
  <r>
    <x v="207"/>
    <m/>
    <m/>
    <m/>
    <m/>
    <m/>
    <m/>
    <n v="272.42"/>
    <x v="5"/>
  </r>
  <r>
    <x v="208"/>
    <s v="Виталюр"/>
    <s v="Барановичи"/>
    <s v="Овощи"/>
    <s v="Баклажаны"/>
    <n v="890"/>
    <n v="50"/>
    <n v="44.5"/>
    <x v="5"/>
  </r>
  <r>
    <x v="208"/>
    <s v="Евроопт"/>
    <s v="Барановичи"/>
    <s v="Фрукты"/>
    <s v="Абрикосы"/>
    <n v="1320"/>
    <n v="91"/>
    <n v="120.12"/>
    <x v="5"/>
  </r>
  <r>
    <x v="208"/>
    <s v="Копеечка"/>
    <s v="Борисов"/>
    <s v="Фрукты"/>
    <s v="Яблоки"/>
    <n v="1230"/>
    <n v="20"/>
    <n v="24.6"/>
    <x v="5"/>
  </r>
  <r>
    <x v="208"/>
    <s v="Виталюр"/>
    <s v="Борисов"/>
    <s v="Ягоды"/>
    <s v="Черешня"/>
    <n v="1760"/>
    <n v="44"/>
    <n v="77.44"/>
    <x v="5"/>
  </r>
  <r>
    <x v="208"/>
    <s v="Виталюр"/>
    <s v="Жодино"/>
    <s v="Овощи"/>
    <s v="Морковь"/>
    <n v="715"/>
    <n v="31"/>
    <n v="22.164999999999999"/>
    <x v="5"/>
  </r>
  <r>
    <x v="208"/>
    <s v="Евроопт"/>
    <s v="Жодино"/>
    <s v="Ягоды"/>
    <s v="Брусника"/>
    <n v="1670"/>
    <n v="69"/>
    <n v="115.23"/>
    <x v="5"/>
  </r>
  <r>
    <x v="208"/>
    <s v="Копеечка"/>
    <s v="Минск"/>
    <s v="Овощи"/>
    <s v="Баклажаны"/>
    <n v="890"/>
    <n v="46"/>
    <n v="40.94"/>
    <x v="5"/>
  </r>
  <r>
    <x v="208"/>
    <s v="Копеечка"/>
    <s v="Столбцы"/>
    <s v="Ягоды"/>
    <s v="Брусника"/>
    <n v="1670"/>
    <n v="18"/>
    <n v="30.06"/>
    <x v="5"/>
  </r>
  <r>
    <x v="209"/>
    <m/>
    <m/>
    <m/>
    <m/>
    <m/>
    <m/>
    <n v="475.05500000000001"/>
    <x v="5"/>
  </r>
  <r>
    <x v="210"/>
    <s v="Копеечка"/>
    <s v="Барановичи"/>
    <s v="Зелень"/>
    <s v="Салат айсберг"/>
    <n v="1380"/>
    <n v="43"/>
    <n v="59.34"/>
    <x v="5"/>
  </r>
  <r>
    <x v="210"/>
    <s v="Евроопт"/>
    <s v="Барановичи"/>
    <s v="Фрукты"/>
    <s v="Апельсины"/>
    <n v="2540"/>
    <n v="21"/>
    <n v="53.34"/>
    <x v="5"/>
  </r>
  <r>
    <x v="210"/>
    <s v="Евроопт"/>
    <s v="Барановичи"/>
    <s v="Ягоды"/>
    <s v="Клубника"/>
    <n v="2460"/>
    <n v="72"/>
    <n v="177.12"/>
    <x v="5"/>
  </r>
  <r>
    <x v="210"/>
    <s v="Соседи"/>
    <s v="Борисов"/>
    <s v="Зелень"/>
    <s v="Салат айсберг"/>
    <n v="1380"/>
    <n v="79"/>
    <n v="109.02"/>
    <x v="5"/>
  </r>
  <r>
    <x v="210"/>
    <s v="Копеечка"/>
    <s v="Борисов"/>
    <s v="Зелень"/>
    <s v="Лук зеленый"/>
    <n v="705"/>
    <n v="74"/>
    <n v="52.17"/>
    <x v="5"/>
  </r>
  <r>
    <x v="210"/>
    <s v="Виталюр"/>
    <s v="Жодино"/>
    <s v="Зелень"/>
    <s v="Петрушка"/>
    <n v="640"/>
    <n v="98"/>
    <n v="62.72"/>
    <x v="5"/>
  </r>
  <r>
    <x v="210"/>
    <s v="Виталюр"/>
    <s v="Минск"/>
    <s v="Ягоды"/>
    <s v="Голубика"/>
    <n v="3205"/>
    <n v="38"/>
    <n v="121.79"/>
    <x v="5"/>
  </r>
  <r>
    <x v="210"/>
    <s v="Копеечка"/>
    <s v="Столбцы"/>
    <s v="Овощи"/>
    <s v="Картофель"/>
    <n v="690"/>
    <n v="19"/>
    <n v="13.11"/>
    <x v="5"/>
  </r>
  <r>
    <x v="210"/>
    <s v="Копеечка"/>
    <s v="Фаниполь"/>
    <s v="Зелень"/>
    <s v="Кинза"/>
    <n v="650"/>
    <n v="34"/>
    <n v="22.1"/>
    <x v="5"/>
  </r>
  <r>
    <x v="210"/>
    <s v="Евроопт"/>
    <s v="Фаниполь"/>
    <s v="Зелень"/>
    <s v="Петрушка"/>
    <n v="640"/>
    <n v="21"/>
    <n v="13.44"/>
    <x v="5"/>
  </r>
  <r>
    <x v="211"/>
    <m/>
    <m/>
    <m/>
    <m/>
    <m/>
    <m/>
    <n v="684.15000000000009"/>
    <x v="5"/>
  </r>
  <r>
    <x v="212"/>
    <s v="Копеечка"/>
    <s v="Барановичи"/>
    <s v="Зелень"/>
    <s v="Кинза"/>
    <n v="650"/>
    <n v="27"/>
    <n v="17.55"/>
    <x v="5"/>
  </r>
  <r>
    <x v="212"/>
    <s v="Евроопт"/>
    <s v="Барановичи"/>
    <s v="Зелень"/>
    <s v="Лук зеленый"/>
    <n v="705"/>
    <n v="57"/>
    <n v="40.185000000000002"/>
    <x v="5"/>
  </r>
  <r>
    <x v="212"/>
    <s v="Соседи"/>
    <s v="Барановичи"/>
    <s v="Фрукты"/>
    <s v="Груши"/>
    <n v="1420"/>
    <n v="100"/>
    <n v="142"/>
    <x v="5"/>
  </r>
  <r>
    <x v="212"/>
    <s v="Евроопт"/>
    <s v="Барановичи"/>
    <s v="Фрукты"/>
    <s v="Бананы"/>
    <n v="2400"/>
    <n v="41"/>
    <n v="98.4"/>
    <x v="5"/>
  </r>
  <r>
    <x v="212"/>
    <s v="Виталюр"/>
    <s v="Барановичи"/>
    <s v="Ягоды"/>
    <s v="Голубика"/>
    <n v="3205"/>
    <n v="78"/>
    <n v="249.99"/>
    <x v="5"/>
  </r>
  <r>
    <x v="212"/>
    <s v="Евроопт"/>
    <s v="Борисов"/>
    <s v="Овощи"/>
    <s v="Баклажаны"/>
    <n v="890"/>
    <n v="75"/>
    <n v="66.75"/>
    <x v="5"/>
  </r>
  <r>
    <x v="212"/>
    <s v="Соседи"/>
    <s v="Жодино"/>
    <s v="Фрукты"/>
    <s v="Бананы"/>
    <n v="2400"/>
    <n v="43"/>
    <n v="103.2"/>
    <x v="5"/>
  </r>
  <r>
    <x v="212"/>
    <s v="Копеечка"/>
    <s v="Жодино"/>
    <s v="Ягоды"/>
    <s v="Малина"/>
    <n v="2970"/>
    <n v="27"/>
    <n v="80.19"/>
    <x v="5"/>
  </r>
  <r>
    <x v="212"/>
    <s v="Соседи"/>
    <s v="Минск"/>
    <s v="Овощи"/>
    <s v="Капуста"/>
    <n v="460"/>
    <n v="59"/>
    <n v="27.14"/>
    <x v="5"/>
  </r>
  <r>
    <x v="212"/>
    <s v="Соседи"/>
    <s v="Минск"/>
    <s v="Ягоды"/>
    <s v="Смородина черная"/>
    <n v="1505"/>
    <n v="98"/>
    <n v="147.49"/>
    <x v="5"/>
  </r>
  <r>
    <x v="213"/>
    <m/>
    <m/>
    <m/>
    <m/>
    <m/>
    <m/>
    <n v="972.8950000000001"/>
    <x v="5"/>
  </r>
  <r>
    <x v="214"/>
    <s v="Копеечка"/>
    <s v="Барановичи"/>
    <s v="Овощи"/>
    <s v="Баклажаны"/>
    <n v="890"/>
    <n v="21"/>
    <n v="18.690000000000001"/>
    <x v="5"/>
  </r>
  <r>
    <x v="214"/>
    <s v="Евроопт"/>
    <s v="Борисов"/>
    <s v="Зелень"/>
    <s v="Салат айсберг"/>
    <n v="1380"/>
    <n v="18"/>
    <n v="24.84"/>
    <x v="5"/>
  </r>
  <r>
    <x v="214"/>
    <s v="Соседи"/>
    <s v="Борисов"/>
    <s v="Овощи"/>
    <s v="Свекла"/>
    <n v="450"/>
    <n v="97"/>
    <n v="43.65"/>
    <x v="5"/>
  </r>
  <r>
    <x v="214"/>
    <s v="Виталюр"/>
    <s v="Борисов"/>
    <s v="Овощи"/>
    <s v="Морковь"/>
    <n v="715"/>
    <n v="89"/>
    <n v="63.634999999999998"/>
    <x v="5"/>
  </r>
  <r>
    <x v="214"/>
    <s v="Копеечка"/>
    <s v="Минск"/>
    <s v="Зелень"/>
    <s v="Петрушка"/>
    <n v="640"/>
    <n v="40"/>
    <n v="25.6"/>
    <x v="5"/>
  </r>
  <r>
    <x v="214"/>
    <s v="Евроопт"/>
    <s v="Минск"/>
    <s v="Зелень"/>
    <s v="Петрушка"/>
    <n v="640"/>
    <n v="75"/>
    <n v="48"/>
    <x v="5"/>
  </r>
  <r>
    <x v="214"/>
    <s v="Копеечка"/>
    <s v="Минск"/>
    <s v="Ягоды"/>
    <s v="Малина"/>
    <n v="2970"/>
    <n v="59"/>
    <n v="175.23"/>
    <x v="5"/>
  </r>
  <r>
    <x v="214"/>
    <s v="Евроопт"/>
    <s v="Столбцы"/>
    <s v="Ягоды"/>
    <s v="Черешня"/>
    <n v="1760"/>
    <n v="24"/>
    <n v="42.24"/>
    <x v="5"/>
  </r>
  <r>
    <x v="214"/>
    <s v="Евроопт"/>
    <s v="Фаниполь"/>
    <s v="Ягоды"/>
    <s v="Клубника"/>
    <n v="2460"/>
    <n v="5"/>
    <n v="12.3"/>
    <x v="5"/>
  </r>
  <r>
    <x v="215"/>
    <m/>
    <m/>
    <m/>
    <m/>
    <m/>
    <m/>
    <n v="454.185"/>
    <x v="5"/>
  </r>
  <r>
    <x v="216"/>
    <s v="Виталюр"/>
    <s v="Барановичи"/>
    <s v="Зелень"/>
    <s v="Петрушка"/>
    <n v="640"/>
    <n v="60"/>
    <n v="38.4"/>
    <x v="5"/>
  </r>
  <r>
    <x v="216"/>
    <s v="Копеечка"/>
    <s v="Барановичи"/>
    <s v="Овощи"/>
    <s v="Свекла"/>
    <n v="450"/>
    <n v="86"/>
    <n v="38.700000000000003"/>
    <x v="5"/>
  </r>
  <r>
    <x v="216"/>
    <s v="Виталюр"/>
    <s v="Барановичи"/>
    <s v="Фрукты"/>
    <s v="Бананы"/>
    <n v="2400"/>
    <n v="23"/>
    <n v="55.2"/>
    <x v="5"/>
  </r>
  <r>
    <x v="216"/>
    <s v="Копеечка"/>
    <s v="Борисов"/>
    <s v="Овощи"/>
    <s v="Кабачки"/>
    <n v="325"/>
    <n v="48"/>
    <n v="15.6"/>
    <x v="5"/>
  </r>
  <r>
    <x v="216"/>
    <s v="Соседи"/>
    <s v="Жодино"/>
    <s v="Ягоды"/>
    <s v="Малина"/>
    <n v="2970"/>
    <n v="59"/>
    <n v="175.23"/>
    <x v="5"/>
  </r>
  <r>
    <x v="216"/>
    <s v="Виталюр"/>
    <s v="Жодино"/>
    <s v="Ягоды"/>
    <s v="Черешня"/>
    <n v="1760"/>
    <n v="30"/>
    <n v="52.8"/>
    <x v="5"/>
  </r>
  <r>
    <x v="216"/>
    <s v="Соседи"/>
    <s v="Минск"/>
    <s v="Овощи"/>
    <s v="Капуста"/>
    <n v="460"/>
    <n v="23"/>
    <n v="10.58"/>
    <x v="5"/>
  </r>
  <r>
    <x v="216"/>
    <s v="Евроопт"/>
    <s v="Столбцы"/>
    <s v="Овощи"/>
    <s v="Баклажаны"/>
    <n v="890"/>
    <n v="27"/>
    <n v="24.03"/>
    <x v="5"/>
  </r>
  <r>
    <x v="216"/>
    <s v="Виталюр"/>
    <s v="Столбцы"/>
    <s v="Ягоды"/>
    <s v="Брусника"/>
    <n v="1670"/>
    <n v="32"/>
    <n v="53.44"/>
    <x v="5"/>
  </r>
  <r>
    <x v="216"/>
    <s v="Соседи"/>
    <s v="Фаниполь"/>
    <s v="Фрукты"/>
    <s v="Абрикосы"/>
    <n v="1320"/>
    <n v="15"/>
    <n v="19.8"/>
    <x v="5"/>
  </r>
  <r>
    <x v="216"/>
    <s v="Виталюр"/>
    <s v="Фаниполь"/>
    <s v="Ягоды"/>
    <s v="Голубика"/>
    <n v="3205"/>
    <n v="46"/>
    <n v="147.43"/>
    <x v="5"/>
  </r>
  <r>
    <x v="217"/>
    <m/>
    <m/>
    <m/>
    <m/>
    <m/>
    <m/>
    <n v="631.21"/>
    <x v="5"/>
  </r>
  <r>
    <x v="218"/>
    <s v="Соседи"/>
    <s v="Барановичи"/>
    <s v="Фрукты"/>
    <s v="Груши"/>
    <n v="1420"/>
    <n v="74"/>
    <n v="105.08"/>
    <x v="5"/>
  </r>
  <r>
    <x v="218"/>
    <s v="Виталюр"/>
    <s v="Борисов"/>
    <s v="Ягоды"/>
    <s v="Смородина черная"/>
    <n v="1505"/>
    <n v="49"/>
    <n v="73.745000000000005"/>
    <x v="5"/>
  </r>
  <r>
    <x v="218"/>
    <s v="Виталюр"/>
    <s v="Жодино"/>
    <s v="Фрукты"/>
    <s v="Абрикосы"/>
    <n v="1320"/>
    <n v="45"/>
    <n v="59.4"/>
    <x v="5"/>
  </r>
  <r>
    <x v="218"/>
    <s v="Виталюр"/>
    <s v="Минск"/>
    <s v="Овощи"/>
    <s v="Кабачки"/>
    <n v="325"/>
    <n v="46"/>
    <n v="14.95"/>
    <x v="5"/>
  </r>
  <r>
    <x v="218"/>
    <s v="Соседи"/>
    <s v="Столбцы"/>
    <s v="Овощи"/>
    <s v="Картофель"/>
    <n v="690"/>
    <n v="37"/>
    <n v="25.53"/>
    <x v="5"/>
  </r>
  <r>
    <x v="218"/>
    <s v="Копеечка"/>
    <s v="Столбцы"/>
    <s v="Фрукты"/>
    <s v="Сливы"/>
    <n v="930"/>
    <n v="18"/>
    <n v="16.739999999999998"/>
    <x v="5"/>
  </r>
  <r>
    <x v="218"/>
    <s v="Виталюр"/>
    <s v="Фаниполь"/>
    <s v="Зелень"/>
    <s v="Укроп"/>
    <n v="650"/>
    <n v="98"/>
    <n v="63.7"/>
    <x v="5"/>
  </r>
  <r>
    <x v="218"/>
    <s v="Евроопт"/>
    <s v="Фаниполь"/>
    <s v="Овощи"/>
    <s v="Картофель"/>
    <n v="690"/>
    <n v="16"/>
    <n v="11.04"/>
    <x v="5"/>
  </r>
  <r>
    <x v="218"/>
    <s v="Евроопт"/>
    <s v="Фаниполь"/>
    <s v="Ягоды"/>
    <s v="Черешня"/>
    <n v="1760"/>
    <n v="24"/>
    <n v="42.24"/>
    <x v="5"/>
  </r>
  <r>
    <x v="219"/>
    <m/>
    <m/>
    <m/>
    <m/>
    <m/>
    <m/>
    <n v="412.42500000000001"/>
    <x v="5"/>
  </r>
  <r>
    <x v="220"/>
    <s v="Копеечка"/>
    <s v="Барановичи"/>
    <s v="Фрукты"/>
    <s v="Апельсины"/>
    <n v="2540"/>
    <n v="61"/>
    <n v="154.94"/>
    <x v="5"/>
  </r>
  <r>
    <x v="220"/>
    <s v="Виталюр"/>
    <s v="Борисов"/>
    <s v="Зелень"/>
    <s v="Салат айсберг"/>
    <n v="1380"/>
    <n v="54"/>
    <n v="74.52"/>
    <x v="5"/>
  </r>
  <r>
    <x v="220"/>
    <s v="Копеечка"/>
    <s v="Борисов"/>
    <s v="Овощи"/>
    <s v="Морковь"/>
    <n v="715"/>
    <n v="17"/>
    <n v="12.154999999999999"/>
    <x v="5"/>
  </r>
  <r>
    <x v="220"/>
    <s v="Соседи"/>
    <s v="Борисов"/>
    <s v="Фрукты"/>
    <s v="Сливы"/>
    <n v="930"/>
    <n v="35"/>
    <n v="32.549999999999997"/>
    <x v="5"/>
  </r>
  <r>
    <x v="220"/>
    <s v="Виталюр"/>
    <s v="Борисов"/>
    <s v="Фрукты"/>
    <s v="Апельсины"/>
    <n v="2540"/>
    <n v="7"/>
    <n v="17.78"/>
    <x v="5"/>
  </r>
  <r>
    <x v="220"/>
    <s v="Копеечка"/>
    <s v="Жодино"/>
    <s v="Овощи"/>
    <s v="Морковь"/>
    <n v="715"/>
    <n v="20"/>
    <n v="14.3"/>
    <x v="5"/>
  </r>
  <r>
    <x v="220"/>
    <s v="Виталюр"/>
    <s v="Жодино"/>
    <s v="Ягоды"/>
    <s v="Малина"/>
    <n v="2970"/>
    <n v="72"/>
    <n v="213.84"/>
    <x v="5"/>
  </r>
  <r>
    <x v="220"/>
    <s v="Евроопт"/>
    <s v="Минск"/>
    <s v="Зелень"/>
    <s v="Салат римский"/>
    <n v="540"/>
    <n v="100"/>
    <n v="54"/>
    <x v="5"/>
  </r>
  <r>
    <x v="220"/>
    <s v="Копеечка"/>
    <s v="Минск"/>
    <s v="Зелень"/>
    <s v="Кинза"/>
    <n v="650"/>
    <n v="27"/>
    <n v="17.55"/>
    <x v="5"/>
  </r>
  <r>
    <x v="220"/>
    <s v="Копеечка"/>
    <s v="Фаниполь"/>
    <s v="Зелень"/>
    <s v="Кинза"/>
    <n v="650"/>
    <n v="62"/>
    <n v="40.299999999999997"/>
    <x v="5"/>
  </r>
  <r>
    <x v="220"/>
    <s v="Виталюр"/>
    <s v="Фаниполь"/>
    <s v="Фрукты"/>
    <s v="Апельсины"/>
    <n v="2540"/>
    <n v="94"/>
    <n v="238.76"/>
    <x v="5"/>
  </r>
  <r>
    <x v="220"/>
    <s v="Копеечка"/>
    <s v="Фаниполь"/>
    <s v="Ягоды"/>
    <s v="Клубника"/>
    <n v="2460"/>
    <n v="31"/>
    <n v="76.260000000000005"/>
    <x v="5"/>
  </r>
  <r>
    <x v="221"/>
    <m/>
    <m/>
    <m/>
    <m/>
    <m/>
    <m/>
    <n v="946.95499999999981"/>
    <x v="5"/>
  </r>
  <r>
    <x v="222"/>
    <s v="Соседи"/>
    <s v="Барановичи"/>
    <s v="Зелень"/>
    <s v="Салат римский"/>
    <n v="540"/>
    <n v="59"/>
    <n v="31.86"/>
    <x v="5"/>
  </r>
  <r>
    <x v="222"/>
    <s v="Виталюр"/>
    <s v="Жодино"/>
    <s v="Овощи"/>
    <s v="Капуста"/>
    <n v="460"/>
    <n v="52"/>
    <n v="23.92"/>
    <x v="5"/>
  </r>
  <r>
    <x v="222"/>
    <s v="Соседи"/>
    <s v="Минск"/>
    <s v="Зелень"/>
    <s v="Лук зеленый"/>
    <n v="705"/>
    <n v="25"/>
    <n v="17.625"/>
    <x v="5"/>
  </r>
  <r>
    <x v="222"/>
    <s v="Евроопт"/>
    <s v="Столбцы"/>
    <s v="Фрукты"/>
    <s v="Апельсины"/>
    <n v="2540"/>
    <n v="87"/>
    <n v="220.98"/>
    <x v="5"/>
  </r>
  <r>
    <x v="222"/>
    <s v="Виталюр"/>
    <s v="Фаниполь"/>
    <s v="Ягоды"/>
    <s v="Голубика"/>
    <n v="3205"/>
    <n v="90"/>
    <n v="288.45"/>
    <x v="5"/>
  </r>
  <r>
    <x v="223"/>
    <m/>
    <m/>
    <m/>
    <m/>
    <m/>
    <m/>
    <n v="582.83500000000004"/>
    <x v="5"/>
  </r>
  <r>
    <x v="224"/>
    <s v="Евроопт"/>
    <s v="Барановичи"/>
    <s v="Фрукты"/>
    <s v="Апельсины"/>
    <n v="2540"/>
    <n v="57"/>
    <n v="144.78"/>
    <x v="5"/>
  </r>
  <r>
    <x v="224"/>
    <s v="Соседи"/>
    <s v="Борисов"/>
    <s v="Зелень"/>
    <s v="Укроп"/>
    <n v="650"/>
    <n v="8"/>
    <n v="5.2"/>
    <x v="5"/>
  </r>
  <r>
    <x v="224"/>
    <s v="Виталюр"/>
    <s v="Борисов"/>
    <s v="Овощи"/>
    <s v="Капуста"/>
    <n v="460"/>
    <n v="39"/>
    <n v="17.940000000000001"/>
    <x v="5"/>
  </r>
  <r>
    <x v="224"/>
    <s v="Копеечка"/>
    <s v="Жодино"/>
    <s v="Зелень"/>
    <s v="Укроп"/>
    <n v="650"/>
    <n v="55"/>
    <n v="35.75"/>
    <x v="5"/>
  </r>
  <r>
    <x v="224"/>
    <s v="Копеечка"/>
    <s v="Минск"/>
    <s v="Овощи"/>
    <s v="Свекла"/>
    <n v="450"/>
    <n v="86"/>
    <n v="38.700000000000003"/>
    <x v="5"/>
  </r>
  <r>
    <x v="224"/>
    <s v="Виталюр"/>
    <s v="Столбцы"/>
    <s v="Фрукты"/>
    <s v="Сливы"/>
    <n v="930"/>
    <n v="45"/>
    <n v="41.85"/>
    <x v="5"/>
  </r>
  <r>
    <x v="224"/>
    <s v="Копеечка"/>
    <s v="Столбцы"/>
    <s v="Фрукты"/>
    <s v="Абрикосы"/>
    <n v="1320"/>
    <n v="82"/>
    <n v="108.24"/>
    <x v="5"/>
  </r>
  <r>
    <x v="224"/>
    <s v="Виталюр"/>
    <s v="Фаниполь"/>
    <s v="Фрукты"/>
    <s v="Апельсины"/>
    <n v="2540"/>
    <n v="97"/>
    <n v="246.38"/>
    <x v="5"/>
  </r>
  <r>
    <x v="224"/>
    <s v="Виталюр"/>
    <s v="Фаниполь"/>
    <s v="Ягоды"/>
    <s v="Смородина черная"/>
    <n v="1505"/>
    <n v="32"/>
    <n v="48.16"/>
    <x v="5"/>
  </r>
  <r>
    <x v="225"/>
    <m/>
    <m/>
    <m/>
    <m/>
    <m/>
    <m/>
    <n v="687"/>
    <x v="5"/>
  </r>
  <r>
    <x v="226"/>
    <s v="Евроопт"/>
    <s v="Барановичи"/>
    <s v="Овощи"/>
    <s v="Капуста"/>
    <n v="460"/>
    <n v="8"/>
    <n v="3.68"/>
    <x v="5"/>
  </r>
  <r>
    <x v="226"/>
    <s v="Виталюр"/>
    <s v="Барановичи"/>
    <s v="Ягоды"/>
    <s v="Клубника"/>
    <n v="2460"/>
    <n v="8"/>
    <n v="19.68"/>
    <x v="5"/>
  </r>
  <r>
    <x v="226"/>
    <s v="Виталюр"/>
    <s v="Жодино"/>
    <s v="Ягоды"/>
    <s v="Малина"/>
    <n v="2970"/>
    <n v="27"/>
    <n v="80.19"/>
    <x v="5"/>
  </r>
  <r>
    <x v="226"/>
    <s v="Евроопт"/>
    <s v="Минск"/>
    <s v="Зелень"/>
    <s v="Салат римский"/>
    <n v="540"/>
    <n v="60"/>
    <n v="32.4"/>
    <x v="5"/>
  </r>
  <r>
    <x v="226"/>
    <s v="Евроопт"/>
    <s v="Минск"/>
    <s v="Овощи"/>
    <s v="Кабачки"/>
    <n v="325"/>
    <n v="12"/>
    <n v="3.9"/>
    <x v="5"/>
  </r>
  <r>
    <x v="226"/>
    <s v="Соседи"/>
    <s v="Минск"/>
    <s v="Овощи"/>
    <s v="Кабачки"/>
    <n v="325"/>
    <n v="17"/>
    <n v="5.5250000000000004"/>
    <x v="5"/>
  </r>
  <r>
    <x v="226"/>
    <s v="Копеечка"/>
    <s v="Минск"/>
    <s v="Фрукты"/>
    <s v="Бананы"/>
    <n v="2400"/>
    <n v="36"/>
    <n v="86.4"/>
    <x v="5"/>
  </r>
  <r>
    <x v="226"/>
    <s v="Евроопт"/>
    <s v="Столбцы"/>
    <s v="Зелень"/>
    <s v="Салат римский"/>
    <n v="540"/>
    <n v="19"/>
    <n v="10.26"/>
    <x v="5"/>
  </r>
  <r>
    <x v="226"/>
    <s v="Соседи"/>
    <s v="Столбцы"/>
    <s v="Овощи"/>
    <s v="Картофель"/>
    <n v="690"/>
    <n v="20"/>
    <n v="13.8"/>
    <x v="5"/>
  </r>
  <r>
    <x v="226"/>
    <s v="Копеечка"/>
    <s v="Столбцы"/>
    <s v="Ягоды"/>
    <s v="Черешня"/>
    <n v="1760"/>
    <n v="48"/>
    <n v="84.48"/>
    <x v="5"/>
  </r>
  <r>
    <x v="227"/>
    <m/>
    <m/>
    <m/>
    <m/>
    <m/>
    <m/>
    <n v="340.315"/>
    <x v="5"/>
  </r>
  <r>
    <x v="228"/>
    <s v="Евроопт"/>
    <s v="Барановичи"/>
    <s v="Зелень"/>
    <s v="Салат айсберг"/>
    <n v="1380"/>
    <n v="83"/>
    <n v="114.54"/>
    <x v="5"/>
  </r>
  <r>
    <x v="228"/>
    <s v="Соседи"/>
    <s v="Барановичи"/>
    <s v="Ягоды"/>
    <s v="Смородина черная"/>
    <n v="1505"/>
    <n v="63"/>
    <n v="94.814999999999998"/>
    <x v="5"/>
  </r>
  <r>
    <x v="228"/>
    <s v="Соседи"/>
    <s v="Борисов"/>
    <s v="Овощи"/>
    <s v="Картофель"/>
    <n v="690"/>
    <n v="13"/>
    <n v="8.9700000000000006"/>
    <x v="5"/>
  </r>
  <r>
    <x v="228"/>
    <s v="Копеечка"/>
    <s v="Борисов"/>
    <s v="Овощи"/>
    <s v="Баклажаны"/>
    <n v="890"/>
    <n v="69"/>
    <n v="61.41"/>
    <x v="5"/>
  </r>
  <r>
    <x v="228"/>
    <s v="Евроопт"/>
    <s v="Борисов"/>
    <s v="Овощи"/>
    <s v="Баклажаны"/>
    <n v="890"/>
    <n v="86"/>
    <n v="76.540000000000006"/>
    <x v="5"/>
  </r>
  <r>
    <x v="228"/>
    <s v="Соседи"/>
    <s v="Борисов"/>
    <s v="Овощи"/>
    <s v="Морковь"/>
    <n v="715"/>
    <n v="88"/>
    <n v="62.92"/>
    <x v="5"/>
  </r>
  <r>
    <x v="228"/>
    <s v="Копеечка"/>
    <s v="Борисов"/>
    <s v="Ягоды"/>
    <s v="Брусника"/>
    <n v="1670"/>
    <n v="44"/>
    <n v="73.48"/>
    <x v="5"/>
  </r>
  <r>
    <x v="228"/>
    <s v="Соседи"/>
    <s v="Жодино"/>
    <s v="Зелень"/>
    <s v="Укроп"/>
    <n v="650"/>
    <n v="72"/>
    <n v="46.8"/>
    <x v="5"/>
  </r>
  <r>
    <x v="228"/>
    <s v="Копеечка"/>
    <s v="Жодино"/>
    <s v="Зелень"/>
    <s v="Салат римский"/>
    <n v="540"/>
    <n v="91"/>
    <n v="49.14"/>
    <x v="5"/>
  </r>
  <r>
    <x v="228"/>
    <s v="Виталюр"/>
    <s v="Столбцы"/>
    <s v="Овощи"/>
    <s v="Кабачки"/>
    <n v="325"/>
    <n v="61"/>
    <n v="19.824999999999999"/>
    <x v="5"/>
  </r>
  <r>
    <x v="228"/>
    <s v="Виталюр"/>
    <s v="Столбцы"/>
    <s v="Фрукты"/>
    <s v="Груши"/>
    <n v="1420"/>
    <n v="82"/>
    <n v="116.44"/>
    <x v="5"/>
  </r>
  <r>
    <x v="228"/>
    <s v="Виталюр"/>
    <s v="Столбцы"/>
    <s v="Ягоды"/>
    <s v="Смородина черная"/>
    <n v="1505"/>
    <n v="59"/>
    <n v="88.795000000000002"/>
    <x v="5"/>
  </r>
  <r>
    <x v="228"/>
    <s v="Евроопт"/>
    <s v="Фаниполь"/>
    <s v="Зелень"/>
    <s v="Лук зеленый"/>
    <n v="705"/>
    <n v="50"/>
    <n v="35.25"/>
    <x v="5"/>
  </r>
  <r>
    <x v="229"/>
    <m/>
    <m/>
    <m/>
    <m/>
    <m/>
    <m/>
    <n v="848.92500000000007"/>
    <x v="5"/>
  </r>
  <r>
    <x v="230"/>
    <s v="Копеечка"/>
    <s v="Барановичи"/>
    <s v="Овощи"/>
    <s v="Свекла"/>
    <n v="450"/>
    <n v="89"/>
    <n v="40.049999999999997"/>
    <x v="5"/>
  </r>
  <r>
    <x v="230"/>
    <s v="Виталюр"/>
    <s v="Барановичи"/>
    <s v="Овощи"/>
    <s v="Баклажаны"/>
    <n v="890"/>
    <n v="97"/>
    <n v="86.33"/>
    <x v="5"/>
  </r>
  <r>
    <x v="230"/>
    <s v="Виталюр"/>
    <s v="Барановичи"/>
    <s v="Овощи"/>
    <s v="Картофель"/>
    <n v="690"/>
    <n v="95"/>
    <n v="65.55"/>
    <x v="5"/>
  </r>
  <r>
    <x v="230"/>
    <s v="Соседи"/>
    <s v="Барановичи"/>
    <s v="Овощи"/>
    <s v="Капуста"/>
    <n v="460"/>
    <n v="21"/>
    <n v="9.66"/>
    <x v="5"/>
  </r>
  <r>
    <x v="230"/>
    <s v="Копеечка"/>
    <s v="Барановичи"/>
    <s v="Овощи"/>
    <s v="Баклажаны"/>
    <n v="890"/>
    <n v="9"/>
    <n v="8.01"/>
    <x v="5"/>
  </r>
  <r>
    <x v="230"/>
    <s v="Копеечка"/>
    <s v="Барановичи"/>
    <s v="Фрукты"/>
    <s v="Абрикосы"/>
    <n v="1320"/>
    <n v="22"/>
    <n v="29.04"/>
    <x v="5"/>
  </r>
  <r>
    <x v="230"/>
    <s v="Виталюр"/>
    <s v="Барановичи"/>
    <s v="Ягоды"/>
    <s v="Брусника"/>
    <n v="1670"/>
    <n v="90"/>
    <n v="150.30000000000001"/>
    <x v="5"/>
  </r>
  <r>
    <x v="230"/>
    <s v="Соседи"/>
    <s v="Жодино"/>
    <s v="Фрукты"/>
    <s v="Апельсины"/>
    <n v="2540"/>
    <n v="97"/>
    <n v="246.38"/>
    <x v="5"/>
  </r>
  <r>
    <x v="230"/>
    <s v="Копеечка"/>
    <s v="Жодино"/>
    <s v="Ягоды"/>
    <s v="Брусника"/>
    <n v="1670"/>
    <n v="14"/>
    <n v="23.38"/>
    <x v="5"/>
  </r>
  <r>
    <x v="230"/>
    <s v="Евроопт"/>
    <s v="Минск"/>
    <s v="Зелень"/>
    <s v="Укроп"/>
    <n v="650"/>
    <n v="30"/>
    <n v="19.5"/>
    <x v="5"/>
  </r>
  <r>
    <x v="230"/>
    <s v="Соседи"/>
    <s v="Минск"/>
    <s v="Овощи"/>
    <s v="Свекла"/>
    <n v="450"/>
    <n v="52"/>
    <n v="23.4"/>
    <x v="5"/>
  </r>
  <r>
    <x v="230"/>
    <s v="Соседи"/>
    <s v="Фаниполь"/>
    <s v="Овощи"/>
    <s v="Свекла"/>
    <n v="450"/>
    <n v="61"/>
    <n v="27.45"/>
    <x v="5"/>
  </r>
  <r>
    <x v="231"/>
    <m/>
    <m/>
    <m/>
    <m/>
    <m/>
    <m/>
    <n v="729.05"/>
    <x v="5"/>
  </r>
  <r>
    <x v="232"/>
    <s v="Виталюр"/>
    <s v="Барановичи"/>
    <s v="Зелень"/>
    <s v="Салат айсберг"/>
    <n v="1380"/>
    <n v="10"/>
    <n v="13.8"/>
    <x v="5"/>
  </r>
  <r>
    <x v="232"/>
    <s v="Виталюр"/>
    <s v="Барановичи"/>
    <s v="Ягоды"/>
    <s v="Брусника"/>
    <n v="1670"/>
    <n v="85"/>
    <n v="141.94999999999999"/>
    <x v="5"/>
  </r>
  <r>
    <x v="232"/>
    <s v="Соседи"/>
    <s v="Жодино"/>
    <s v="Зелень"/>
    <s v="Укроп"/>
    <n v="650"/>
    <n v="58"/>
    <n v="37.700000000000003"/>
    <x v="5"/>
  </r>
  <r>
    <x v="232"/>
    <s v="Соседи"/>
    <s v="Жодино"/>
    <s v="Фрукты"/>
    <s v="Абрикосы"/>
    <n v="1320"/>
    <n v="61"/>
    <n v="80.52"/>
    <x v="5"/>
  </r>
  <r>
    <x v="232"/>
    <s v="Копеечка"/>
    <s v="Столбцы"/>
    <s v="Ягоды"/>
    <s v="Черешня"/>
    <n v="1760"/>
    <n v="45"/>
    <n v="79.2"/>
    <x v="5"/>
  </r>
  <r>
    <x v="232"/>
    <s v="Соседи"/>
    <s v="Столбцы"/>
    <s v="Ягоды"/>
    <s v="Клубника"/>
    <n v="2460"/>
    <n v="5"/>
    <n v="12.3"/>
    <x v="5"/>
  </r>
  <r>
    <x v="233"/>
    <m/>
    <m/>
    <m/>
    <m/>
    <m/>
    <m/>
    <n v="365.46999999999997"/>
    <x v="5"/>
  </r>
  <r>
    <x v="234"/>
    <s v="Копеечка"/>
    <s v="Борисов"/>
    <s v="Овощи"/>
    <s v="Морковь"/>
    <n v="715"/>
    <n v="75"/>
    <n v="53.625"/>
    <x v="5"/>
  </r>
  <r>
    <x v="234"/>
    <s v="Копеечка"/>
    <s v="Жодино"/>
    <s v="Ягоды"/>
    <s v="Брусника"/>
    <n v="1670"/>
    <n v="37"/>
    <n v="61.79"/>
    <x v="5"/>
  </r>
  <r>
    <x v="234"/>
    <s v="Виталюр"/>
    <s v="Столбцы"/>
    <s v="Фрукты"/>
    <s v="Сливы"/>
    <n v="930"/>
    <n v="56"/>
    <n v="52.08"/>
    <x v="5"/>
  </r>
  <r>
    <x v="234"/>
    <s v="Виталюр"/>
    <s v="Фаниполь"/>
    <s v="Овощи"/>
    <s v="Баклажаны"/>
    <n v="890"/>
    <n v="25"/>
    <n v="22.25"/>
    <x v="5"/>
  </r>
  <r>
    <x v="234"/>
    <s v="Евроопт"/>
    <s v="Фаниполь"/>
    <s v="Фрукты"/>
    <s v="Бананы"/>
    <n v="2400"/>
    <n v="67"/>
    <n v="160.80000000000001"/>
    <x v="5"/>
  </r>
  <r>
    <x v="235"/>
    <m/>
    <m/>
    <m/>
    <m/>
    <m/>
    <m/>
    <n v="350.54500000000002"/>
    <x v="5"/>
  </r>
  <r>
    <x v="236"/>
    <s v="Виталюр"/>
    <s v="Барановичи"/>
    <s v="Зелень"/>
    <s v="Петрушка"/>
    <n v="640"/>
    <n v="7"/>
    <n v="4.4800000000000004"/>
    <x v="5"/>
  </r>
  <r>
    <x v="236"/>
    <s v="Копеечка"/>
    <s v="Борисов"/>
    <s v="Зелень"/>
    <s v="Петрушка"/>
    <n v="640"/>
    <n v="52"/>
    <n v="33.28"/>
    <x v="5"/>
  </r>
  <r>
    <x v="236"/>
    <s v="Соседи"/>
    <s v="Борисов"/>
    <s v="Фрукты"/>
    <s v="Груши"/>
    <n v="1420"/>
    <n v="93"/>
    <n v="132.06"/>
    <x v="5"/>
  </r>
  <r>
    <x v="236"/>
    <s v="Евроопт"/>
    <s v="Борисов"/>
    <s v="Ягоды"/>
    <s v="Брусника"/>
    <n v="1670"/>
    <n v="6"/>
    <n v="10.02"/>
    <x v="5"/>
  </r>
  <r>
    <x v="236"/>
    <s v="Соседи"/>
    <s v="Жодино"/>
    <s v="Овощи"/>
    <s v="Свекла"/>
    <n v="450"/>
    <n v="18"/>
    <n v="8.1"/>
    <x v="5"/>
  </r>
  <r>
    <x v="236"/>
    <s v="Соседи"/>
    <s v="Жодино"/>
    <s v="Овощи"/>
    <s v="Капуста"/>
    <n v="460"/>
    <n v="17"/>
    <n v="7.82"/>
    <x v="5"/>
  </r>
  <r>
    <x v="236"/>
    <s v="Виталюр"/>
    <s v="Жодино"/>
    <s v="Фрукты"/>
    <s v="Бананы"/>
    <n v="2400"/>
    <n v="88"/>
    <n v="211.2"/>
    <x v="5"/>
  </r>
  <r>
    <x v="236"/>
    <s v="Соседи"/>
    <s v="Жодино"/>
    <s v="Ягоды"/>
    <s v="Малина"/>
    <n v="2970"/>
    <n v="68"/>
    <n v="201.96"/>
    <x v="5"/>
  </r>
  <r>
    <x v="236"/>
    <s v="Копеечка"/>
    <s v="Минск"/>
    <s v="Овощи"/>
    <s v="Баклажаны"/>
    <n v="890"/>
    <n v="95"/>
    <n v="84.55"/>
    <x v="5"/>
  </r>
  <r>
    <x v="236"/>
    <s v="Виталюр"/>
    <s v="Минск"/>
    <s v="Ягоды"/>
    <s v="Голубика"/>
    <n v="3205"/>
    <n v="94"/>
    <n v="301.27"/>
    <x v="5"/>
  </r>
  <r>
    <x v="236"/>
    <s v="Виталюр"/>
    <s v="Столбцы"/>
    <s v="Овощи"/>
    <s v="Картофель"/>
    <n v="690"/>
    <n v="30"/>
    <n v="20.7"/>
    <x v="5"/>
  </r>
  <r>
    <x v="236"/>
    <s v="Виталюр"/>
    <s v="Столбцы"/>
    <s v="Фрукты"/>
    <s v="Яблоки"/>
    <n v="1230"/>
    <n v="68"/>
    <n v="83.64"/>
    <x v="5"/>
  </r>
  <r>
    <x v="236"/>
    <s v="Копеечка"/>
    <s v="Столбцы"/>
    <s v="Фрукты"/>
    <s v="Яблоки"/>
    <n v="1230"/>
    <n v="32"/>
    <n v="39.36"/>
    <x v="5"/>
  </r>
  <r>
    <x v="236"/>
    <s v="Евроопт"/>
    <s v="Фаниполь"/>
    <s v="Зелень"/>
    <s v="Кинза"/>
    <n v="650"/>
    <n v="17"/>
    <n v="11.05"/>
    <x v="5"/>
  </r>
  <r>
    <x v="237"/>
    <m/>
    <m/>
    <m/>
    <m/>
    <m/>
    <m/>
    <n v="1149.4899999999998"/>
    <x v="5"/>
  </r>
  <r>
    <x v="238"/>
    <s v="Виталюр"/>
    <s v="Борисов"/>
    <s v="Овощи"/>
    <s v="Морковь"/>
    <n v="715"/>
    <n v="91"/>
    <n v="65.064999999999998"/>
    <x v="5"/>
  </r>
  <r>
    <x v="238"/>
    <s v="Виталюр"/>
    <s v="Борисов"/>
    <s v="Ягоды"/>
    <s v="Смородина черная"/>
    <n v="1505"/>
    <n v="35"/>
    <n v="52.674999999999997"/>
    <x v="5"/>
  </r>
  <r>
    <x v="238"/>
    <s v="Копеечка"/>
    <s v="Минск"/>
    <s v="Овощи"/>
    <s v="Морковь"/>
    <n v="715"/>
    <n v="8"/>
    <n v="5.72"/>
    <x v="5"/>
  </r>
  <r>
    <x v="238"/>
    <s v="Евроопт"/>
    <s v="Минск"/>
    <s v="Овощи"/>
    <s v="Картофель"/>
    <n v="690"/>
    <n v="42"/>
    <n v="28.98"/>
    <x v="5"/>
  </r>
  <r>
    <x v="238"/>
    <s v="Виталюр"/>
    <s v="Минск"/>
    <s v="Ягоды"/>
    <s v="Клубника"/>
    <n v="2460"/>
    <n v="11"/>
    <n v="27.06"/>
    <x v="5"/>
  </r>
  <r>
    <x v="238"/>
    <s v="Виталюр"/>
    <s v="Столбцы"/>
    <s v="Ягоды"/>
    <s v="Черешня"/>
    <n v="1760"/>
    <n v="63"/>
    <n v="110.88"/>
    <x v="5"/>
  </r>
  <r>
    <x v="238"/>
    <s v="Евроопт"/>
    <s v="Фаниполь"/>
    <s v="Овощи"/>
    <s v="Морковь"/>
    <n v="715"/>
    <n v="12"/>
    <n v="8.58"/>
    <x v="5"/>
  </r>
  <r>
    <x v="238"/>
    <s v="Виталюр"/>
    <s v="Фаниполь"/>
    <s v="Фрукты"/>
    <s v="Абрикосы"/>
    <n v="1320"/>
    <n v="24"/>
    <n v="31.68"/>
    <x v="5"/>
  </r>
  <r>
    <x v="239"/>
    <m/>
    <m/>
    <m/>
    <m/>
    <m/>
    <m/>
    <n v="330.64"/>
    <x v="5"/>
  </r>
  <r>
    <x v="240"/>
    <s v="Соседи"/>
    <s v="Барановичи"/>
    <s v="Фрукты"/>
    <s v="Абрикосы"/>
    <n v="1320"/>
    <n v="36"/>
    <n v="47.52"/>
    <x v="5"/>
  </r>
  <r>
    <x v="240"/>
    <s v="Копеечка"/>
    <s v="Барановичи"/>
    <s v="Фрукты"/>
    <s v="Яблоки"/>
    <n v="1230"/>
    <n v="36"/>
    <n v="44.28"/>
    <x v="5"/>
  </r>
  <r>
    <x v="240"/>
    <s v="Соседи"/>
    <s v="Борисов"/>
    <s v="Зелень"/>
    <s v="Лук зеленый"/>
    <n v="705"/>
    <n v="70"/>
    <n v="49.35"/>
    <x v="5"/>
  </r>
  <r>
    <x v="240"/>
    <s v="Виталюр"/>
    <s v="Борисов"/>
    <s v="Овощи"/>
    <s v="Картофель"/>
    <n v="690"/>
    <n v="94"/>
    <n v="64.86"/>
    <x v="5"/>
  </r>
  <r>
    <x v="240"/>
    <s v="Виталюр"/>
    <s v="Борисов"/>
    <s v="Ягоды"/>
    <s v="Малина"/>
    <n v="2970"/>
    <n v="38"/>
    <n v="112.86"/>
    <x v="5"/>
  </r>
  <r>
    <x v="240"/>
    <s v="Копеечка"/>
    <s v="Жодино"/>
    <s v="Овощи"/>
    <s v="Свекла"/>
    <n v="450"/>
    <n v="62"/>
    <n v="27.9"/>
    <x v="5"/>
  </r>
  <r>
    <x v="240"/>
    <s v="Виталюр"/>
    <s v="Минск"/>
    <s v="Зелень"/>
    <s v="Петрушка"/>
    <n v="640"/>
    <n v="73"/>
    <n v="46.72"/>
    <x v="5"/>
  </r>
  <r>
    <x v="240"/>
    <s v="Евроопт"/>
    <s v="Столбцы"/>
    <s v="Зелень"/>
    <s v="Лук зеленый"/>
    <n v="705"/>
    <n v="26"/>
    <n v="18.329999999999998"/>
    <x v="5"/>
  </r>
  <r>
    <x v="240"/>
    <s v="Евроопт"/>
    <s v="Столбцы"/>
    <s v="Овощи"/>
    <s v="Капуста"/>
    <n v="460"/>
    <n v="48"/>
    <n v="22.08"/>
    <x v="5"/>
  </r>
  <r>
    <x v="240"/>
    <s v="Копеечка"/>
    <s v="Фаниполь"/>
    <s v="Овощи"/>
    <s v="Капуста"/>
    <n v="460"/>
    <n v="63"/>
    <n v="28.98"/>
    <x v="5"/>
  </r>
  <r>
    <x v="240"/>
    <s v="Соседи"/>
    <s v="Фаниполь"/>
    <s v="Ягоды"/>
    <s v="Голубика"/>
    <n v="3205"/>
    <n v="99"/>
    <n v="317.29500000000002"/>
    <x v="5"/>
  </r>
  <r>
    <x v="241"/>
    <m/>
    <m/>
    <m/>
    <m/>
    <m/>
    <m/>
    <n v="780.17499999999995"/>
    <x v="1"/>
  </r>
  <r>
    <x v="242"/>
    <s v="Евроопт"/>
    <s v="Барановичи"/>
    <s v="Зелень"/>
    <s v="Салат римский"/>
    <n v="540"/>
    <n v="28"/>
    <n v="15.12"/>
    <x v="6"/>
  </r>
  <r>
    <x v="242"/>
    <s v="Копеечка"/>
    <s v="Барановичи"/>
    <s v="Ягоды"/>
    <s v="Клубника"/>
    <n v="2460"/>
    <n v="73"/>
    <n v="179.58"/>
    <x v="6"/>
  </r>
  <r>
    <x v="242"/>
    <s v="Виталюр"/>
    <s v="Барановичи"/>
    <s v="Ягоды"/>
    <s v="Брусника"/>
    <n v="1670"/>
    <n v="30"/>
    <n v="50.1"/>
    <x v="6"/>
  </r>
  <r>
    <x v="242"/>
    <s v="Виталюр"/>
    <s v="Борисов"/>
    <s v="Овощи"/>
    <s v="Свекла"/>
    <n v="450"/>
    <n v="9"/>
    <n v="4.05"/>
    <x v="6"/>
  </r>
  <r>
    <x v="242"/>
    <s v="Копеечка"/>
    <s v="Минск"/>
    <s v="Зелень"/>
    <s v="Кинза"/>
    <n v="650"/>
    <n v="28"/>
    <n v="18.2"/>
    <x v="6"/>
  </r>
  <r>
    <x v="242"/>
    <s v="Евроопт"/>
    <s v="Минск"/>
    <s v="Фрукты"/>
    <s v="Апельсины"/>
    <n v="2540"/>
    <n v="44"/>
    <n v="111.76"/>
    <x v="6"/>
  </r>
  <r>
    <x v="242"/>
    <s v="Виталюр"/>
    <s v="Минск"/>
    <s v="Ягоды"/>
    <s v="Черешня"/>
    <n v="1760"/>
    <n v="72"/>
    <n v="126.72"/>
    <x v="6"/>
  </r>
  <r>
    <x v="242"/>
    <s v="Виталюр"/>
    <s v="Минск"/>
    <s v="Ягоды"/>
    <s v="Малина"/>
    <n v="2970"/>
    <n v="72"/>
    <n v="213.84"/>
    <x v="6"/>
  </r>
  <r>
    <x v="242"/>
    <s v="Евроопт"/>
    <s v="Столбцы"/>
    <s v="Зелень"/>
    <s v="Салат айсберг"/>
    <n v="1380"/>
    <n v="51"/>
    <n v="70.38"/>
    <x v="6"/>
  </r>
  <r>
    <x v="242"/>
    <s v="Евроопт"/>
    <s v="Столбцы"/>
    <s v="Фрукты"/>
    <s v="Абрикосы"/>
    <n v="1320"/>
    <n v="73"/>
    <n v="96.36"/>
    <x v="6"/>
  </r>
  <r>
    <x v="242"/>
    <s v="Виталюр"/>
    <s v="Фаниполь"/>
    <s v="Фрукты"/>
    <s v="Груши"/>
    <n v="1420"/>
    <n v="53"/>
    <n v="75.260000000000005"/>
    <x v="6"/>
  </r>
  <r>
    <x v="242"/>
    <s v="Виталюр"/>
    <s v="Фаниполь"/>
    <s v="Фрукты"/>
    <s v="Абрикосы"/>
    <n v="1320"/>
    <n v="61"/>
    <n v="80.52"/>
    <x v="6"/>
  </r>
  <r>
    <x v="243"/>
    <m/>
    <m/>
    <m/>
    <m/>
    <m/>
    <m/>
    <n v="1041.8900000000001"/>
    <x v="6"/>
  </r>
  <r>
    <x v="244"/>
    <s v="Евроопт"/>
    <s v="Борисов"/>
    <s v="Овощи"/>
    <s v="Картофель"/>
    <n v="690"/>
    <n v="50"/>
    <n v="34.5"/>
    <x v="6"/>
  </r>
  <r>
    <x v="244"/>
    <s v="Соседи"/>
    <s v="Борисов"/>
    <s v="Овощи"/>
    <s v="Картофель"/>
    <n v="690"/>
    <n v="82"/>
    <n v="56.58"/>
    <x v="6"/>
  </r>
  <r>
    <x v="244"/>
    <s v="Виталюр"/>
    <s v="Столбцы"/>
    <s v="Фрукты"/>
    <s v="Сливы"/>
    <n v="930"/>
    <n v="43"/>
    <n v="39.99"/>
    <x v="6"/>
  </r>
  <r>
    <x v="244"/>
    <s v="Копеечка"/>
    <s v="Столбцы"/>
    <s v="Ягоды"/>
    <s v="Малина"/>
    <n v="2970"/>
    <n v="61"/>
    <n v="181.17"/>
    <x v="6"/>
  </r>
  <r>
    <x v="244"/>
    <s v="Евроопт"/>
    <s v="Фаниполь"/>
    <s v="Зелень"/>
    <s v="Лук зеленый"/>
    <n v="705"/>
    <n v="70"/>
    <n v="49.35"/>
    <x v="6"/>
  </r>
  <r>
    <x v="244"/>
    <s v="Евроопт"/>
    <s v="Фаниполь"/>
    <s v="Зелень"/>
    <s v="Салат римский"/>
    <n v="540"/>
    <n v="76"/>
    <n v="41.04"/>
    <x v="6"/>
  </r>
  <r>
    <x v="245"/>
    <m/>
    <m/>
    <m/>
    <m/>
    <m/>
    <m/>
    <n v="402.63000000000005"/>
    <x v="6"/>
  </r>
  <r>
    <x v="246"/>
    <s v="Соседи"/>
    <s v="Минск"/>
    <s v="Зелень"/>
    <s v="Салат римский"/>
    <n v="540"/>
    <n v="62"/>
    <n v="33.479999999999997"/>
    <x v="6"/>
  </r>
  <r>
    <x v="246"/>
    <s v="Виталюр"/>
    <s v="Столбцы"/>
    <s v="Зелень"/>
    <s v="Укроп"/>
    <n v="650"/>
    <n v="12"/>
    <n v="7.8"/>
    <x v="6"/>
  </r>
  <r>
    <x v="246"/>
    <s v="Евроопт"/>
    <s v="Столбцы"/>
    <s v="Овощи"/>
    <s v="Картофель"/>
    <n v="690"/>
    <n v="69"/>
    <n v="47.61"/>
    <x v="6"/>
  </r>
  <r>
    <x v="246"/>
    <s v="Евроопт"/>
    <s v="Фаниполь"/>
    <s v="Зелень"/>
    <s v="Кинза"/>
    <n v="650"/>
    <n v="69"/>
    <n v="44.85"/>
    <x v="6"/>
  </r>
  <r>
    <x v="247"/>
    <m/>
    <m/>
    <m/>
    <m/>
    <m/>
    <m/>
    <n v="133.73999999999998"/>
    <x v="6"/>
  </r>
  <r>
    <x v="248"/>
    <s v="Евроопт"/>
    <s v="Барановичи"/>
    <s v="Овощи"/>
    <s v="Кабачки"/>
    <n v="325"/>
    <n v="69"/>
    <n v="22.425000000000001"/>
    <x v="6"/>
  </r>
  <r>
    <x v="248"/>
    <s v="Копеечка"/>
    <s v="Борисов"/>
    <s v="Зелень"/>
    <s v="Петрушка"/>
    <n v="640"/>
    <n v="6"/>
    <n v="3.84"/>
    <x v="6"/>
  </r>
  <r>
    <x v="248"/>
    <s v="Соседи"/>
    <s v="Борисов"/>
    <s v="Овощи"/>
    <s v="Морковь"/>
    <n v="715"/>
    <n v="82"/>
    <n v="58.63"/>
    <x v="6"/>
  </r>
  <r>
    <x v="248"/>
    <s v="Виталюр"/>
    <s v="Жодино"/>
    <s v="Зелень"/>
    <s v="Кинза"/>
    <n v="650"/>
    <n v="31"/>
    <n v="20.149999999999999"/>
    <x v="6"/>
  </r>
  <r>
    <x v="248"/>
    <s v="Виталюр"/>
    <s v="Жодино"/>
    <s v="Фрукты"/>
    <s v="Груши"/>
    <n v="1420"/>
    <n v="61"/>
    <n v="86.62"/>
    <x v="6"/>
  </r>
  <r>
    <x v="248"/>
    <s v="Евроопт"/>
    <s v="Минск"/>
    <s v="Ягоды"/>
    <s v="Смородина черная"/>
    <n v="1505"/>
    <n v="67"/>
    <n v="100.83499999999999"/>
    <x v="6"/>
  </r>
  <r>
    <x v="248"/>
    <s v="Соседи"/>
    <s v="Столбцы"/>
    <s v="Зелень"/>
    <s v="Кинза"/>
    <n v="650"/>
    <n v="50"/>
    <n v="32.5"/>
    <x v="6"/>
  </r>
  <r>
    <x v="248"/>
    <s v="Евроопт"/>
    <s v="Столбцы"/>
    <s v="Зелень"/>
    <s v="Кинза"/>
    <n v="650"/>
    <n v="27"/>
    <n v="17.55"/>
    <x v="6"/>
  </r>
  <r>
    <x v="248"/>
    <s v="Евроопт"/>
    <s v="Столбцы"/>
    <s v="Зелень"/>
    <s v="Петрушка"/>
    <n v="640"/>
    <n v="99"/>
    <n v="63.36"/>
    <x v="6"/>
  </r>
  <r>
    <x v="248"/>
    <s v="Евроопт"/>
    <s v="Столбцы"/>
    <s v="Ягоды"/>
    <s v="Голубика"/>
    <n v="3205"/>
    <n v="89"/>
    <n v="285.245"/>
    <x v="6"/>
  </r>
  <r>
    <x v="248"/>
    <s v="Виталюр"/>
    <s v="Фаниполь"/>
    <s v="Зелень"/>
    <s v="Салат римский"/>
    <n v="540"/>
    <n v="38"/>
    <n v="20.52"/>
    <x v="6"/>
  </r>
  <r>
    <x v="249"/>
    <m/>
    <m/>
    <m/>
    <m/>
    <m/>
    <m/>
    <n v="711.67499999999995"/>
    <x v="6"/>
  </r>
  <r>
    <x v="250"/>
    <s v="Виталюр"/>
    <s v="Барановичи"/>
    <s v="Зелень"/>
    <s v="Салат римский"/>
    <n v="540"/>
    <n v="81"/>
    <n v="43.74"/>
    <x v="6"/>
  </r>
  <r>
    <x v="250"/>
    <s v="Виталюр"/>
    <s v="Барановичи"/>
    <s v="Зелень"/>
    <s v="Кинза"/>
    <n v="650"/>
    <n v="7"/>
    <n v="4.55"/>
    <x v="6"/>
  </r>
  <r>
    <x v="250"/>
    <s v="Евроопт"/>
    <s v="Барановичи"/>
    <s v="Фрукты"/>
    <s v="Груши"/>
    <n v="1420"/>
    <n v="49"/>
    <n v="69.58"/>
    <x v="6"/>
  </r>
  <r>
    <x v="250"/>
    <s v="Соседи"/>
    <s v="Борисов"/>
    <s v="Овощи"/>
    <s v="Капуста"/>
    <n v="460"/>
    <n v="79"/>
    <n v="36.340000000000003"/>
    <x v="6"/>
  </r>
  <r>
    <x v="250"/>
    <s v="Копеечка"/>
    <s v="Борисов"/>
    <s v="Овощи"/>
    <s v="Морковь"/>
    <n v="715"/>
    <n v="13"/>
    <n v="9.2949999999999999"/>
    <x v="6"/>
  </r>
  <r>
    <x v="250"/>
    <s v="Виталюр"/>
    <s v="Жодино"/>
    <s v="Зелень"/>
    <s v="Кинза"/>
    <n v="650"/>
    <n v="44"/>
    <n v="28.6"/>
    <x v="6"/>
  </r>
  <r>
    <x v="250"/>
    <s v="Соседи"/>
    <s v="Жодино"/>
    <s v="Овощи"/>
    <s v="Картофель"/>
    <n v="690"/>
    <n v="6"/>
    <n v="4.1399999999999997"/>
    <x v="6"/>
  </r>
  <r>
    <x v="250"/>
    <s v="Соседи"/>
    <s v="Столбцы"/>
    <s v="Зелень"/>
    <s v="Кинза"/>
    <n v="650"/>
    <n v="98"/>
    <n v="63.7"/>
    <x v="6"/>
  </r>
  <r>
    <x v="250"/>
    <s v="Копеечка"/>
    <s v="Фаниполь"/>
    <s v="Зелень"/>
    <s v="Укроп"/>
    <n v="650"/>
    <n v="86"/>
    <n v="55.9"/>
    <x v="6"/>
  </r>
  <r>
    <x v="251"/>
    <m/>
    <m/>
    <m/>
    <m/>
    <m/>
    <m/>
    <n v="315.84499999999997"/>
    <x v="6"/>
  </r>
  <r>
    <x v="252"/>
    <s v="Евроопт"/>
    <s v="Барановичи"/>
    <s v="Зелень"/>
    <s v="Лук зеленый"/>
    <n v="705"/>
    <n v="48"/>
    <n v="33.840000000000003"/>
    <x v="6"/>
  </r>
  <r>
    <x v="252"/>
    <s v="Евроопт"/>
    <s v="Барановичи"/>
    <s v="Ягоды"/>
    <s v="Смородина черная"/>
    <n v="1505"/>
    <n v="57"/>
    <n v="85.784999999999997"/>
    <x v="6"/>
  </r>
  <r>
    <x v="252"/>
    <s v="Копеечка"/>
    <s v="Борисов"/>
    <s v="Фрукты"/>
    <s v="Яблоки"/>
    <n v="1230"/>
    <n v="14"/>
    <n v="17.22"/>
    <x v="6"/>
  </r>
  <r>
    <x v="252"/>
    <s v="Виталюр"/>
    <s v="Минск"/>
    <s v="Зелень"/>
    <s v="Укроп"/>
    <n v="650"/>
    <n v="25"/>
    <n v="16.25"/>
    <x v="6"/>
  </r>
  <r>
    <x v="252"/>
    <s v="Евроопт"/>
    <s v="Столбцы"/>
    <s v="Овощи"/>
    <s v="Капуста"/>
    <n v="460"/>
    <n v="37"/>
    <n v="17.02"/>
    <x v="6"/>
  </r>
  <r>
    <x v="252"/>
    <s v="Соседи"/>
    <s v="Столбцы"/>
    <s v="Овощи"/>
    <s v="Свекла"/>
    <n v="450"/>
    <n v="7"/>
    <n v="3.15"/>
    <x v="6"/>
  </r>
  <r>
    <x v="252"/>
    <s v="Виталюр"/>
    <s v="Столбцы"/>
    <s v="Ягоды"/>
    <s v="Черешня"/>
    <n v="1760"/>
    <n v="58"/>
    <n v="102.08"/>
    <x v="6"/>
  </r>
  <r>
    <x v="252"/>
    <s v="Виталюр"/>
    <s v="Фаниполь"/>
    <s v="Ягоды"/>
    <s v="Голубика"/>
    <n v="3205"/>
    <n v="57"/>
    <n v="182.685"/>
    <x v="6"/>
  </r>
  <r>
    <x v="253"/>
    <m/>
    <m/>
    <m/>
    <m/>
    <m/>
    <m/>
    <n v="458.03000000000003"/>
    <x v="6"/>
  </r>
  <r>
    <x v="254"/>
    <s v="Виталюр"/>
    <s v="Барановичи"/>
    <s v="Зелень"/>
    <s v="Петрушка"/>
    <n v="640"/>
    <n v="23"/>
    <n v="14.72"/>
    <x v="6"/>
  </r>
  <r>
    <x v="254"/>
    <s v="Виталюр"/>
    <s v="Барановичи"/>
    <s v="Ягоды"/>
    <s v="Черешня"/>
    <n v="1760"/>
    <n v="62"/>
    <n v="109.12"/>
    <x v="6"/>
  </r>
  <r>
    <x v="254"/>
    <s v="Копеечка"/>
    <s v="Борисов"/>
    <s v="Ягоды"/>
    <s v="Смородина черная"/>
    <n v="1505"/>
    <n v="77"/>
    <n v="115.88500000000001"/>
    <x v="6"/>
  </r>
  <r>
    <x v="254"/>
    <s v="Соседи"/>
    <s v="Жодино"/>
    <s v="Ягоды"/>
    <s v="Малина"/>
    <n v="2970"/>
    <n v="23"/>
    <n v="68.31"/>
    <x v="6"/>
  </r>
  <r>
    <x v="254"/>
    <s v="Евроопт"/>
    <s v="Минск"/>
    <s v="Зелень"/>
    <s v="Салат айсберг"/>
    <n v="1380"/>
    <n v="90"/>
    <n v="124.2"/>
    <x v="6"/>
  </r>
  <r>
    <x v="254"/>
    <s v="Копеечка"/>
    <s v="Минск"/>
    <s v="Зелень"/>
    <s v="Лук зеленый"/>
    <n v="705"/>
    <n v="27"/>
    <n v="19.035"/>
    <x v="6"/>
  </r>
  <r>
    <x v="254"/>
    <s v="Копеечка"/>
    <s v="Минск"/>
    <s v="Фрукты"/>
    <s v="Бананы"/>
    <n v="2400"/>
    <n v="44"/>
    <n v="105.6"/>
    <x v="6"/>
  </r>
  <r>
    <x v="254"/>
    <s v="Соседи"/>
    <s v="Минск"/>
    <s v="Ягоды"/>
    <s v="Голубика"/>
    <n v="3205"/>
    <n v="70"/>
    <n v="224.35"/>
    <x v="6"/>
  </r>
  <r>
    <x v="254"/>
    <s v="Евроопт"/>
    <s v="Столбцы"/>
    <s v="Зелень"/>
    <s v="Лук зеленый"/>
    <n v="705"/>
    <n v="58"/>
    <n v="40.89"/>
    <x v="6"/>
  </r>
  <r>
    <x v="254"/>
    <s v="Виталюр"/>
    <s v="Столбцы"/>
    <s v="Зелень"/>
    <s v="Укроп"/>
    <n v="650"/>
    <n v="46"/>
    <n v="29.9"/>
    <x v="6"/>
  </r>
  <r>
    <x v="254"/>
    <s v="Копеечка"/>
    <s v="Столбцы"/>
    <s v="Фрукты"/>
    <s v="Бананы"/>
    <n v="2400"/>
    <n v="90"/>
    <n v="216"/>
    <x v="6"/>
  </r>
  <r>
    <x v="254"/>
    <s v="Евроопт"/>
    <s v="Фаниполь"/>
    <s v="Фрукты"/>
    <s v="Бананы"/>
    <n v="2400"/>
    <n v="46"/>
    <n v="110.4"/>
    <x v="6"/>
  </r>
  <r>
    <x v="255"/>
    <m/>
    <m/>
    <m/>
    <m/>
    <m/>
    <m/>
    <n v="1178.4100000000001"/>
    <x v="6"/>
  </r>
  <r>
    <x v="256"/>
    <s v="Копеечка"/>
    <s v="Барановичи"/>
    <s v="Овощи"/>
    <s v="Кабачки"/>
    <n v="325"/>
    <n v="61"/>
    <n v="19.824999999999999"/>
    <x v="6"/>
  </r>
  <r>
    <x v="256"/>
    <s v="Виталюр"/>
    <s v="Барановичи"/>
    <s v="Ягоды"/>
    <s v="Брусника"/>
    <n v="1670"/>
    <n v="71"/>
    <n v="118.57"/>
    <x v="6"/>
  </r>
  <r>
    <x v="256"/>
    <s v="Копеечка"/>
    <s v="Барановичи"/>
    <s v="Ягоды"/>
    <s v="Смородина черная"/>
    <n v="1505"/>
    <n v="41"/>
    <n v="61.704999999999998"/>
    <x v="6"/>
  </r>
  <r>
    <x v="256"/>
    <s v="Соседи"/>
    <s v="Борисов"/>
    <s v="Зелень"/>
    <s v="Лук зеленый"/>
    <n v="705"/>
    <n v="17"/>
    <n v="11.984999999999999"/>
    <x v="6"/>
  </r>
  <r>
    <x v="256"/>
    <s v="Соседи"/>
    <s v="Борисов"/>
    <s v="Фрукты"/>
    <s v="Абрикосы"/>
    <n v="1320"/>
    <n v="83"/>
    <n v="109.56"/>
    <x v="6"/>
  </r>
  <r>
    <x v="256"/>
    <s v="Копеечка"/>
    <s v="Жодино"/>
    <s v="Фрукты"/>
    <s v="Яблоки"/>
    <n v="1230"/>
    <n v="23"/>
    <n v="28.29"/>
    <x v="6"/>
  </r>
  <r>
    <x v="256"/>
    <s v="Копеечка"/>
    <s v="Жодино"/>
    <s v="Ягоды"/>
    <s v="Голубика"/>
    <n v="3205"/>
    <n v="18"/>
    <n v="57.69"/>
    <x v="6"/>
  </r>
  <r>
    <x v="256"/>
    <s v="Соседи"/>
    <s v="Столбцы"/>
    <s v="Зелень"/>
    <s v="Петрушка"/>
    <n v="640"/>
    <n v="97"/>
    <n v="62.08"/>
    <x v="6"/>
  </r>
  <r>
    <x v="256"/>
    <s v="Евроопт"/>
    <s v="Столбцы"/>
    <s v="Зелень"/>
    <s v="Укроп"/>
    <n v="650"/>
    <n v="47"/>
    <n v="30.55"/>
    <x v="6"/>
  </r>
  <r>
    <x v="256"/>
    <s v="Копеечка"/>
    <s v="Столбцы"/>
    <s v="Овощи"/>
    <s v="Кабачки"/>
    <n v="325"/>
    <n v="35"/>
    <n v="11.375"/>
    <x v="6"/>
  </r>
  <r>
    <x v="256"/>
    <s v="Виталюр"/>
    <s v="Фаниполь"/>
    <s v="Зелень"/>
    <s v="Кинза"/>
    <n v="650"/>
    <n v="45"/>
    <n v="29.25"/>
    <x v="6"/>
  </r>
  <r>
    <x v="256"/>
    <s v="Виталюр"/>
    <s v="Фаниполь"/>
    <s v="Фрукты"/>
    <s v="Яблоки"/>
    <n v="1230"/>
    <n v="92"/>
    <n v="113.16"/>
    <x v="6"/>
  </r>
  <r>
    <x v="257"/>
    <m/>
    <m/>
    <m/>
    <m/>
    <m/>
    <m/>
    <n v="654.04"/>
    <x v="6"/>
  </r>
  <r>
    <x v="258"/>
    <s v="Евроопт"/>
    <s v="Барановичи"/>
    <s v="Овощи"/>
    <s v="Картофель"/>
    <n v="690"/>
    <n v="58"/>
    <n v="40.020000000000003"/>
    <x v="6"/>
  </r>
  <r>
    <x v="258"/>
    <s v="Копеечка"/>
    <s v="Барановичи"/>
    <s v="Фрукты"/>
    <s v="Бананы"/>
    <n v="2400"/>
    <n v="75"/>
    <n v="180"/>
    <x v="6"/>
  </r>
  <r>
    <x v="258"/>
    <s v="Виталюр"/>
    <s v="Барановичи"/>
    <s v="Фрукты"/>
    <s v="Груши"/>
    <n v="1420"/>
    <n v="58"/>
    <n v="82.36"/>
    <x v="6"/>
  </r>
  <r>
    <x v="258"/>
    <s v="Копеечка"/>
    <s v="Барановичи"/>
    <s v="Ягоды"/>
    <s v="Малина"/>
    <n v="2970"/>
    <n v="72"/>
    <n v="213.84"/>
    <x v="6"/>
  </r>
  <r>
    <x v="258"/>
    <s v="Евроопт"/>
    <s v="Жодино"/>
    <s v="Зелень"/>
    <s v="Укроп"/>
    <n v="650"/>
    <n v="91"/>
    <n v="59.15"/>
    <x v="6"/>
  </r>
  <r>
    <x v="258"/>
    <s v="Виталюр"/>
    <s v="Жодино"/>
    <s v="Зелень"/>
    <s v="Салат римский"/>
    <n v="540"/>
    <n v="77"/>
    <n v="41.58"/>
    <x v="6"/>
  </r>
  <r>
    <x v="258"/>
    <s v="Копеечка"/>
    <s v="Жодино"/>
    <s v="Ягоды"/>
    <s v="Голубика"/>
    <n v="3205"/>
    <n v="43"/>
    <n v="137.815"/>
    <x v="6"/>
  </r>
  <r>
    <x v="258"/>
    <s v="Копеечка"/>
    <s v="Минск"/>
    <s v="Зелень"/>
    <s v="Салат римский"/>
    <n v="540"/>
    <n v="98"/>
    <n v="52.92"/>
    <x v="6"/>
  </r>
  <r>
    <x v="258"/>
    <s v="Соседи"/>
    <s v="Минск"/>
    <s v="Ягоды"/>
    <s v="Малина"/>
    <n v="2970"/>
    <n v="34"/>
    <n v="100.98"/>
    <x v="6"/>
  </r>
  <r>
    <x v="259"/>
    <m/>
    <m/>
    <m/>
    <m/>
    <m/>
    <m/>
    <n v="908.66500000000008"/>
    <x v="6"/>
  </r>
  <r>
    <x v="260"/>
    <s v="Копеечка"/>
    <s v="Барановичи"/>
    <s v="Овощи"/>
    <s v="Картофель"/>
    <n v="690"/>
    <n v="66"/>
    <n v="45.54"/>
    <x v="6"/>
  </r>
  <r>
    <x v="260"/>
    <s v="Соседи"/>
    <s v="Барановичи"/>
    <s v="Овощи"/>
    <s v="Свекла"/>
    <n v="450"/>
    <n v="39"/>
    <n v="17.55"/>
    <x v="6"/>
  </r>
  <r>
    <x v="260"/>
    <s v="Виталюр"/>
    <s v="Барановичи"/>
    <s v="Овощи"/>
    <s v="Свекла"/>
    <n v="450"/>
    <n v="27"/>
    <n v="12.15"/>
    <x v="6"/>
  </r>
  <r>
    <x v="260"/>
    <s v="Виталюр"/>
    <s v="Барановичи"/>
    <s v="Овощи"/>
    <s v="Капуста"/>
    <n v="460"/>
    <n v="56"/>
    <n v="25.76"/>
    <x v="6"/>
  </r>
  <r>
    <x v="260"/>
    <s v="Евроопт"/>
    <s v="Барановичи"/>
    <s v="Ягоды"/>
    <s v="Смородина черная"/>
    <n v="1505"/>
    <n v="33"/>
    <n v="49.664999999999999"/>
    <x v="6"/>
  </r>
  <r>
    <x v="260"/>
    <s v="Копеечка"/>
    <s v="Борисов"/>
    <s v="Овощи"/>
    <s v="Картофель"/>
    <n v="690"/>
    <n v="71"/>
    <n v="48.99"/>
    <x v="6"/>
  </r>
  <r>
    <x v="260"/>
    <s v="Копеечка"/>
    <s v="Борисов"/>
    <s v="Ягоды"/>
    <s v="Смородина черная"/>
    <n v="1505"/>
    <n v="7"/>
    <n v="10.535"/>
    <x v="6"/>
  </r>
  <r>
    <x v="260"/>
    <s v="Евроопт"/>
    <s v="Жодино"/>
    <s v="Овощи"/>
    <s v="Картофель"/>
    <n v="690"/>
    <n v="20"/>
    <n v="13.8"/>
    <x v="6"/>
  </r>
  <r>
    <x v="260"/>
    <s v="Евроопт"/>
    <s v="Столбцы"/>
    <s v="Зелень"/>
    <s v="Салат айсберг"/>
    <n v="1380"/>
    <n v="44"/>
    <n v="60.72"/>
    <x v="6"/>
  </r>
  <r>
    <x v="260"/>
    <s v="Копеечка"/>
    <s v="Столбцы"/>
    <s v="Ягоды"/>
    <s v="Смородина черная"/>
    <n v="1505"/>
    <n v="44"/>
    <n v="66.22"/>
    <x v="6"/>
  </r>
  <r>
    <x v="260"/>
    <s v="Соседи"/>
    <s v="Фаниполь"/>
    <s v="Ягоды"/>
    <s v="Смородина черная"/>
    <n v="1505"/>
    <n v="42"/>
    <n v="63.21"/>
    <x v="6"/>
  </r>
  <r>
    <x v="260"/>
    <s v="Евроопт"/>
    <s v="Фаниполь"/>
    <s v="Ягоды"/>
    <s v="Малина"/>
    <n v="2970"/>
    <n v="51"/>
    <n v="151.47"/>
    <x v="6"/>
  </r>
  <r>
    <x v="261"/>
    <m/>
    <m/>
    <m/>
    <m/>
    <m/>
    <m/>
    <n v="565.61"/>
    <x v="6"/>
  </r>
  <r>
    <x v="262"/>
    <s v="Соседи"/>
    <s v="Барановичи"/>
    <s v="Фрукты"/>
    <s v="Бананы"/>
    <n v="2400"/>
    <n v="99"/>
    <n v="237.6"/>
    <x v="6"/>
  </r>
  <r>
    <x v="262"/>
    <s v="Виталюр"/>
    <s v="Барановичи"/>
    <s v="Фрукты"/>
    <s v="Груши"/>
    <n v="1420"/>
    <n v="32"/>
    <n v="45.44"/>
    <x v="6"/>
  </r>
  <r>
    <x v="262"/>
    <s v="Копеечка"/>
    <s v="Жодино"/>
    <s v="Овощи"/>
    <s v="Свекла"/>
    <n v="450"/>
    <n v="46"/>
    <n v="20.7"/>
    <x v="6"/>
  </r>
  <r>
    <x v="262"/>
    <s v="Соседи"/>
    <s v="Минск"/>
    <s v="Зелень"/>
    <s v="Петрушка"/>
    <n v="640"/>
    <n v="24"/>
    <n v="15.36"/>
    <x v="6"/>
  </r>
  <r>
    <x v="262"/>
    <s v="Виталюр"/>
    <s v="Минск"/>
    <s v="Ягоды"/>
    <s v="Клубника"/>
    <n v="2460"/>
    <n v="94"/>
    <n v="231.24"/>
    <x v="6"/>
  </r>
  <r>
    <x v="262"/>
    <s v="Соседи"/>
    <s v="Столбцы"/>
    <s v="Овощи"/>
    <s v="Морковь"/>
    <n v="715"/>
    <n v="77"/>
    <n v="55.055"/>
    <x v="6"/>
  </r>
  <r>
    <x v="262"/>
    <s v="Соседи"/>
    <s v="Столбцы"/>
    <s v="Овощи"/>
    <s v="Капуста"/>
    <n v="460"/>
    <n v="86"/>
    <n v="39.56"/>
    <x v="6"/>
  </r>
  <r>
    <x v="262"/>
    <s v="Виталюр"/>
    <s v="Столбцы"/>
    <s v="Фрукты"/>
    <s v="Бананы"/>
    <n v="2400"/>
    <n v="64"/>
    <n v="153.6"/>
    <x v="6"/>
  </r>
  <r>
    <x v="262"/>
    <s v="Евроопт"/>
    <s v="Фаниполь"/>
    <s v="Зелень"/>
    <s v="Салат айсберг"/>
    <n v="1380"/>
    <n v="60"/>
    <n v="82.8"/>
    <x v="6"/>
  </r>
  <r>
    <x v="263"/>
    <m/>
    <m/>
    <m/>
    <m/>
    <m/>
    <m/>
    <n v="881.3549999999999"/>
    <x v="6"/>
  </r>
  <r>
    <x v="264"/>
    <s v="Виталюр"/>
    <s v="Барановичи"/>
    <s v="Ягоды"/>
    <s v="Черешня"/>
    <n v="1760"/>
    <n v="84"/>
    <n v="147.84"/>
    <x v="6"/>
  </r>
  <r>
    <x v="264"/>
    <s v="Копеечка"/>
    <s v="Борисов"/>
    <s v="Овощи"/>
    <s v="Картофель"/>
    <n v="690"/>
    <n v="39"/>
    <n v="26.91"/>
    <x v="6"/>
  </r>
  <r>
    <x v="264"/>
    <s v="Виталюр"/>
    <s v="Жодино"/>
    <s v="Овощи"/>
    <s v="Кабачки"/>
    <n v="325"/>
    <n v="79"/>
    <n v="25.675000000000001"/>
    <x v="6"/>
  </r>
  <r>
    <x v="264"/>
    <s v="Виталюр"/>
    <s v="Жодино"/>
    <s v="Ягоды"/>
    <s v="Клубника"/>
    <n v="2460"/>
    <n v="43"/>
    <n v="105.78"/>
    <x v="6"/>
  </r>
  <r>
    <x v="264"/>
    <s v="Евроопт"/>
    <s v="Минск"/>
    <s v="Зелень"/>
    <s v="Укроп"/>
    <n v="650"/>
    <n v="71"/>
    <n v="46.15"/>
    <x v="6"/>
  </r>
  <r>
    <x v="264"/>
    <s v="Соседи"/>
    <s v="Фаниполь"/>
    <s v="Зелень"/>
    <s v="Лук зеленый"/>
    <n v="705"/>
    <n v="15"/>
    <n v="10.574999999999999"/>
    <x v="6"/>
  </r>
  <r>
    <x v="265"/>
    <m/>
    <m/>
    <m/>
    <m/>
    <m/>
    <m/>
    <n v="362.93"/>
    <x v="6"/>
  </r>
  <r>
    <x v="266"/>
    <s v="Соседи"/>
    <s v="Барановичи"/>
    <s v="Фрукты"/>
    <s v="Бананы"/>
    <n v="2400"/>
    <n v="50"/>
    <n v="120"/>
    <x v="6"/>
  </r>
  <r>
    <x v="266"/>
    <s v="Евроопт"/>
    <s v="Борисов"/>
    <s v="Зелень"/>
    <s v="Салат айсберг"/>
    <n v="1380"/>
    <n v="76"/>
    <n v="104.88"/>
    <x v="6"/>
  </r>
  <r>
    <x v="266"/>
    <s v="Виталюр"/>
    <s v="Борисов"/>
    <s v="Фрукты"/>
    <s v="Абрикосы"/>
    <n v="1320"/>
    <n v="18"/>
    <n v="23.76"/>
    <x v="6"/>
  </r>
  <r>
    <x v="266"/>
    <s v="Виталюр"/>
    <s v="Жодино"/>
    <s v="Овощи"/>
    <s v="Кабачки"/>
    <n v="325"/>
    <n v="32"/>
    <n v="10.4"/>
    <x v="6"/>
  </r>
  <r>
    <x v="266"/>
    <s v="Копеечка"/>
    <s v="Жодино"/>
    <s v="Фрукты"/>
    <s v="Сливы"/>
    <n v="930"/>
    <n v="45"/>
    <n v="41.85"/>
    <x v="6"/>
  </r>
  <r>
    <x v="266"/>
    <s v="Копеечка"/>
    <s v="Минск"/>
    <s v="Зелень"/>
    <s v="Лук зеленый"/>
    <n v="705"/>
    <n v="6"/>
    <n v="4.2300000000000004"/>
    <x v="6"/>
  </r>
  <r>
    <x v="266"/>
    <s v="Виталюр"/>
    <s v="Минск"/>
    <s v="Овощи"/>
    <s v="Баклажаны"/>
    <n v="890"/>
    <n v="40"/>
    <n v="35.6"/>
    <x v="6"/>
  </r>
  <r>
    <x v="266"/>
    <s v="Копеечка"/>
    <s v="Минск"/>
    <s v="Фрукты"/>
    <s v="Груши"/>
    <n v="1420"/>
    <n v="66"/>
    <n v="93.72"/>
    <x v="6"/>
  </r>
  <r>
    <x v="266"/>
    <s v="Соседи"/>
    <s v="Фаниполь"/>
    <s v="Зелень"/>
    <s v="Салат айсберг"/>
    <n v="1380"/>
    <n v="43"/>
    <n v="59.34"/>
    <x v="6"/>
  </r>
  <r>
    <x v="266"/>
    <s v="Евроопт"/>
    <s v="Фаниполь"/>
    <s v="Фрукты"/>
    <s v="Апельсины"/>
    <n v="2540"/>
    <n v="72"/>
    <n v="182.88"/>
    <x v="6"/>
  </r>
  <r>
    <x v="267"/>
    <m/>
    <m/>
    <m/>
    <m/>
    <m/>
    <m/>
    <n v="676.66000000000008"/>
    <x v="6"/>
  </r>
  <r>
    <x v="268"/>
    <s v="Евроопт"/>
    <s v="Барановичи"/>
    <s v="Овощи"/>
    <s v="Кабачки"/>
    <n v="325"/>
    <n v="33"/>
    <n v="10.725"/>
    <x v="6"/>
  </r>
  <r>
    <x v="268"/>
    <s v="Соседи"/>
    <s v="Барановичи"/>
    <s v="Фрукты"/>
    <s v="Сливы"/>
    <n v="930"/>
    <n v="43"/>
    <n v="39.99"/>
    <x v="6"/>
  </r>
  <r>
    <x v="268"/>
    <s v="Виталюр"/>
    <s v="Борисов"/>
    <s v="Зелень"/>
    <s v="Лук зеленый"/>
    <n v="705"/>
    <n v="40"/>
    <n v="28.2"/>
    <x v="6"/>
  </r>
  <r>
    <x v="268"/>
    <s v="Виталюр"/>
    <s v="Борисов"/>
    <s v="Фрукты"/>
    <s v="Бананы"/>
    <n v="2400"/>
    <n v="8"/>
    <n v="19.2"/>
    <x v="6"/>
  </r>
  <r>
    <x v="268"/>
    <s v="Копеечка"/>
    <s v="Борисов"/>
    <s v="Фрукты"/>
    <s v="Груши"/>
    <n v="1420"/>
    <n v="87"/>
    <n v="123.54"/>
    <x v="6"/>
  </r>
  <r>
    <x v="268"/>
    <s v="Копеечка"/>
    <s v="Жодино"/>
    <s v="Овощи"/>
    <s v="Баклажаны"/>
    <n v="890"/>
    <n v="67"/>
    <n v="59.63"/>
    <x v="6"/>
  </r>
  <r>
    <x v="268"/>
    <s v="Соседи"/>
    <s v="Минск"/>
    <s v="Овощи"/>
    <s v="Кабачки"/>
    <n v="325"/>
    <n v="100"/>
    <n v="32.5"/>
    <x v="6"/>
  </r>
  <r>
    <x v="268"/>
    <s v="Евроопт"/>
    <s v="Минск"/>
    <s v="Фрукты"/>
    <s v="Груши"/>
    <n v="1420"/>
    <n v="33"/>
    <n v="46.86"/>
    <x v="6"/>
  </r>
  <r>
    <x v="268"/>
    <s v="Копеечка"/>
    <s v="Столбцы"/>
    <s v="Фрукты"/>
    <s v="Сливы"/>
    <n v="930"/>
    <n v="67"/>
    <n v="62.31"/>
    <x v="6"/>
  </r>
  <r>
    <x v="268"/>
    <s v="Копеечка"/>
    <s v="Столбцы"/>
    <s v="Ягоды"/>
    <s v="Черешня"/>
    <n v="1760"/>
    <n v="62"/>
    <n v="109.12"/>
    <x v="6"/>
  </r>
  <r>
    <x v="268"/>
    <s v="Соседи"/>
    <s v="Столбцы"/>
    <s v="Ягоды"/>
    <s v="Черешня"/>
    <n v="1760"/>
    <n v="91"/>
    <n v="160.16"/>
    <x v="6"/>
  </r>
  <r>
    <x v="268"/>
    <s v="Копеечка"/>
    <s v="Фаниполь"/>
    <s v="Ягоды"/>
    <s v="Малина"/>
    <n v="2970"/>
    <n v="66"/>
    <n v="196.02"/>
    <x v="6"/>
  </r>
  <r>
    <x v="268"/>
    <s v="Копеечка"/>
    <s v="Фаниполь"/>
    <s v="Ягоды"/>
    <s v="Голубика"/>
    <n v="3205"/>
    <n v="22"/>
    <n v="70.510000000000005"/>
    <x v="6"/>
  </r>
  <r>
    <x v="269"/>
    <m/>
    <m/>
    <m/>
    <m/>
    <m/>
    <m/>
    <n v="958.76499999999999"/>
    <x v="6"/>
  </r>
  <r>
    <x v="270"/>
    <s v="Евроопт"/>
    <s v="Барановичи"/>
    <s v="Зелень"/>
    <s v="Лук зеленый"/>
    <n v="705"/>
    <n v="42"/>
    <n v="29.61"/>
    <x v="6"/>
  </r>
  <r>
    <x v="270"/>
    <s v="Соседи"/>
    <s v="Борисов"/>
    <s v="Ягоды"/>
    <s v="Голубика"/>
    <n v="3205"/>
    <n v="46"/>
    <n v="147.43"/>
    <x v="6"/>
  </r>
  <r>
    <x v="270"/>
    <s v="Соседи"/>
    <s v="Жодино"/>
    <s v="Ягоды"/>
    <s v="Брусника"/>
    <n v="1670"/>
    <n v="96"/>
    <n v="160.32"/>
    <x v="6"/>
  </r>
  <r>
    <x v="270"/>
    <s v="Соседи"/>
    <s v="Минск"/>
    <s v="Ягоды"/>
    <s v="Малина"/>
    <n v="2970"/>
    <n v="6"/>
    <n v="17.82"/>
    <x v="6"/>
  </r>
  <r>
    <x v="270"/>
    <s v="Виталюр"/>
    <s v="Минск"/>
    <s v="Ягоды"/>
    <s v="Клубника"/>
    <n v="2460"/>
    <n v="23"/>
    <n v="56.58"/>
    <x v="6"/>
  </r>
  <r>
    <x v="271"/>
    <m/>
    <m/>
    <m/>
    <m/>
    <m/>
    <m/>
    <n v="411.76"/>
    <x v="6"/>
  </r>
  <r>
    <x v="272"/>
    <s v="Соседи"/>
    <s v="Барановичи"/>
    <s v="Овощи"/>
    <s v="Картофель"/>
    <n v="690"/>
    <n v="45"/>
    <n v="31.05"/>
    <x v="6"/>
  </r>
  <r>
    <x v="272"/>
    <s v="Виталюр"/>
    <s v="Барановичи"/>
    <s v="Ягоды"/>
    <s v="Черешня"/>
    <n v="1760"/>
    <n v="43"/>
    <n v="75.680000000000007"/>
    <x v="6"/>
  </r>
  <r>
    <x v="272"/>
    <s v="Копеечка"/>
    <s v="Борисов"/>
    <s v="Ягоды"/>
    <s v="Малина"/>
    <n v="2970"/>
    <n v="57"/>
    <n v="169.29"/>
    <x v="6"/>
  </r>
  <r>
    <x v="272"/>
    <s v="Виталюр"/>
    <s v="Жодино"/>
    <s v="Фрукты"/>
    <s v="Бананы"/>
    <n v="2400"/>
    <n v="90"/>
    <n v="216"/>
    <x v="6"/>
  </r>
  <r>
    <x v="272"/>
    <s v="Виталюр"/>
    <s v="Жодино"/>
    <s v="Ягоды"/>
    <s v="Малина"/>
    <n v="2970"/>
    <n v="47"/>
    <n v="139.59"/>
    <x v="6"/>
  </r>
  <r>
    <x v="272"/>
    <s v="Виталюр"/>
    <s v="Минск"/>
    <s v="Ягоды"/>
    <s v="Брусника"/>
    <n v="1670"/>
    <n v="7"/>
    <n v="11.69"/>
    <x v="6"/>
  </r>
  <r>
    <x v="272"/>
    <s v="Виталюр"/>
    <s v="Столбцы"/>
    <s v="Зелень"/>
    <s v="Салат айсберг"/>
    <n v="1380"/>
    <n v="33"/>
    <n v="45.54"/>
    <x v="6"/>
  </r>
  <r>
    <x v="272"/>
    <s v="Евроопт"/>
    <s v="Фаниполь"/>
    <s v="Зелень"/>
    <s v="Кинза"/>
    <n v="650"/>
    <n v="43"/>
    <n v="27.95"/>
    <x v="6"/>
  </r>
  <r>
    <x v="272"/>
    <s v="Виталюр"/>
    <s v="Фаниполь"/>
    <s v="Зелень"/>
    <s v="Петрушка"/>
    <n v="640"/>
    <n v="73"/>
    <n v="46.72"/>
    <x v="6"/>
  </r>
  <r>
    <x v="272"/>
    <s v="Евроопт"/>
    <s v="Фаниполь"/>
    <s v="Фрукты"/>
    <s v="Бананы"/>
    <n v="2400"/>
    <n v="18"/>
    <n v="43.2"/>
    <x v="6"/>
  </r>
  <r>
    <x v="272"/>
    <s v="Виталюр"/>
    <s v="Фаниполь"/>
    <s v="Фрукты"/>
    <s v="Груши"/>
    <n v="1420"/>
    <n v="53"/>
    <n v="75.260000000000005"/>
    <x v="6"/>
  </r>
  <r>
    <x v="272"/>
    <s v="Евроопт"/>
    <s v="Фаниполь"/>
    <s v="Ягоды"/>
    <s v="Голубика"/>
    <n v="3205"/>
    <n v="40"/>
    <n v="128.19999999999999"/>
    <x v="6"/>
  </r>
  <r>
    <x v="273"/>
    <m/>
    <m/>
    <m/>
    <m/>
    <m/>
    <m/>
    <n v="1010.1700000000001"/>
    <x v="6"/>
  </r>
  <r>
    <x v="274"/>
    <s v="Соседи"/>
    <s v="Барановичи"/>
    <s v="Овощи"/>
    <s v="Капуста"/>
    <n v="460"/>
    <n v="41"/>
    <n v="18.86"/>
    <x v="6"/>
  </r>
  <r>
    <x v="274"/>
    <s v="Копеечка"/>
    <s v="Барановичи"/>
    <s v="Ягоды"/>
    <s v="Голубика"/>
    <n v="3205"/>
    <n v="13"/>
    <n v="41.664999999999999"/>
    <x v="6"/>
  </r>
  <r>
    <x v="274"/>
    <s v="Копеечка"/>
    <s v="Борисов"/>
    <s v="Зелень"/>
    <s v="Кинза"/>
    <n v="650"/>
    <n v="50"/>
    <n v="32.5"/>
    <x v="6"/>
  </r>
  <r>
    <x v="274"/>
    <s v="Соседи"/>
    <s v="Борисов"/>
    <s v="Зелень"/>
    <s v="Салат айсберг"/>
    <n v="1380"/>
    <n v="70"/>
    <n v="96.6"/>
    <x v="6"/>
  </r>
  <r>
    <x v="274"/>
    <s v="Виталюр"/>
    <s v="Борисов"/>
    <s v="Фрукты"/>
    <s v="Апельсины"/>
    <n v="2540"/>
    <n v="76"/>
    <n v="193.04"/>
    <x v="6"/>
  </r>
  <r>
    <x v="274"/>
    <s v="Соседи"/>
    <s v="Жодино"/>
    <s v="Фрукты"/>
    <s v="Апельсины"/>
    <n v="2540"/>
    <n v="21"/>
    <n v="53.34"/>
    <x v="6"/>
  </r>
  <r>
    <x v="274"/>
    <s v="Копеечка"/>
    <s v="Жодино"/>
    <s v="Фрукты"/>
    <s v="Яблоки"/>
    <n v="1230"/>
    <n v="16"/>
    <n v="19.68"/>
    <x v="6"/>
  </r>
  <r>
    <x v="274"/>
    <s v="Копеечка"/>
    <s v="Минск"/>
    <s v="Зелень"/>
    <s v="Салат айсберг"/>
    <n v="1380"/>
    <n v="39"/>
    <n v="53.82"/>
    <x v="6"/>
  </r>
  <r>
    <x v="274"/>
    <s v="Соседи"/>
    <s v="Минск"/>
    <s v="Овощи"/>
    <s v="Баклажаны"/>
    <n v="890"/>
    <n v="97"/>
    <n v="86.33"/>
    <x v="6"/>
  </r>
  <r>
    <x v="274"/>
    <s v="Евроопт"/>
    <s v="Минск"/>
    <s v="Фрукты"/>
    <s v="Сливы"/>
    <n v="930"/>
    <n v="76"/>
    <n v="70.680000000000007"/>
    <x v="6"/>
  </r>
  <r>
    <x v="274"/>
    <s v="Евроопт"/>
    <s v="Столбцы"/>
    <s v="Фрукты"/>
    <s v="Абрикосы"/>
    <n v="1320"/>
    <n v="91"/>
    <n v="120.12"/>
    <x v="6"/>
  </r>
  <r>
    <x v="274"/>
    <s v="Евроопт"/>
    <s v="Столбцы"/>
    <s v="Фрукты"/>
    <s v="Сливы"/>
    <n v="930"/>
    <n v="69"/>
    <n v="64.17"/>
    <x v="6"/>
  </r>
  <r>
    <x v="274"/>
    <s v="Евроопт"/>
    <s v="Столбцы"/>
    <s v="Ягоды"/>
    <s v="Голубика"/>
    <n v="3205"/>
    <n v="91"/>
    <n v="291.65499999999997"/>
    <x v="6"/>
  </r>
  <r>
    <x v="275"/>
    <m/>
    <m/>
    <m/>
    <m/>
    <m/>
    <m/>
    <n v="1142.46"/>
    <x v="6"/>
  </r>
  <r>
    <x v="276"/>
    <s v="Соседи"/>
    <s v="Барановичи"/>
    <s v="Зелень"/>
    <s v="Салат айсберг"/>
    <n v="1380"/>
    <n v="15"/>
    <n v="20.7"/>
    <x v="6"/>
  </r>
  <r>
    <x v="276"/>
    <s v="Соседи"/>
    <s v="Борисов"/>
    <s v="Овощи"/>
    <s v="Свекла"/>
    <n v="450"/>
    <n v="9"/>
    <n v="4.05"/>
    <x v="6"/>
  </r>
  <r>
    <x v="276"/>
    <s v="Евроопт"/>
    <s v="Жодино"/>
    <s v="Фрукты"/>
    <s v="Абрикосы"/>
    <n v="1320"/>
    <n v="42"/>
    <n v="55.44"/>
    <x v="6"/>
  </r>
  <r>
    <x v="276"/>
    <s v="Виталюр"/>
    <s v="Минск"/>
    <s v="Зелень"/>
    <s v="Укроп"/>
    <n v="650"/>
    <n v="89"/>
    <n v="57.85"/>
    <x v="6"/>
  </r>
  <r>
    <x v="276"/>
    <s v="Евроопт"/>
    <s v="Минск"/>
    <s v="Овощи"/>
    <s v="Баклажаны"/>
    <n v="890"/>
    <n v="71"/>
    <n v="63.19"/>
    <x v="6"/>
  </r>
  <r>
    <x v="276"/>
    <s v="Виталюр"/>
    <s v="Минск"/>
    <s v="Фрукты"/>
    <s v="Абрикосы"/>
    <n v="1320"/>
    <n v="22"/>
    <n v="29.04"/>
    <x v="6"/>
  </r>
  <r>
    <x v="276"/>
    <s v="Евроопт"/>
    <s v="Фаниполь"/>
    <s v="Овощи"/>
    <s v="Капуста"/>
    <n v="460"/>
    <n v="82"/>
    <n v="37.72"/>
    <x v="6"/>
  </r>
  <r>
    <x v="276"/>
    <s v="Копеечка"/>
    <s v="Фаниполь"/>
    <s v="Фрукты"/>
    <s v="Апельсины"/>
    <n v="2540"/>
    <n v="30"/>
    <n v="76.2"/>
    <x v="6"/>
  </r>
  <r>
    <x v="277"/>
    <m/>
    <m/>
    <m/>
    <m/>
    <m/>
    <m/>
    <n v="344.19"/>
    <x v="6"/>
  </r>
  <r>
    <x v="278"/>
    <s v="Копеечка"/>
    <s v="Барановичи"/>
    <s v="Овощи"/>
    <s v="Картофель"/>
    <n v="690"/>
    <n v="67"/>
    <n v="46.23"/>
    <x v="6"/>
  </r>
  <r>
    <x v="278"/>
    <s v="Копеечка"/>
    <s v="Борисов"/>
    <s v="Фрукты"/>
    <s v="Абрикосы"/>
    <n v="1320"/>
    <n v="9"/>
    <n v="11.88"/>
    <x v="6"/>
  </r>
  <r>
    <x v="278"/>
    <s v="Евроопт"/>
    <s v="Борисов"/>
    <s v="Ягоды"/>
    <s v="Голубика"/>
    <n v="3205"/>
    <n v="63"/>
    <n v="201.91499999999999"/>
    <x v="6"/>
  </r>
  <r>
    <x v="278"/>
    <s v="Евроопт"/>
    <s v="Жодино"/>
    <s v="Овощи"/>
    <s v="Картофель"/>
    <n v="690"/>
    <n v="35"/>
    <n v="24.15"/>
    <x v="6"/>
  </r>
  <r>
    <x v="278"/>
    <s v="Копеечка"/>
    <s v="Минск"/>
    <s v="Фрукты"/>
    <s v="Сливы"/>
    <n v="930"/>
    <n v="50"/>
    <n v="46.5"/>
    <x v="6"/>
  </r>
  <r>
    <x v="278"/>
    <s v="Копеечка"/>
    <s v="Минск"/>
    <s v="Ягоды"/>
    <s v="Черешня"/>
    <n v="1760"/>
    <n v="65"/>
    <n v="114.4"/>
    <x v="6"/>
  </r>
  <r>
    <x v="278"/>
    <s v="Виталюр"/>
    <s v="Столбцы"/>
    <s v="Овощи"/>
    <s v="Свекла"/>
    <n v="450"/>
    <n v="26"/>
    <n v="11.7"/>
    <x v="6"/>
  </r>
  <r>
    <x v="278"/>
    <s v="Виталюр"/>
    <s v="Столбцы"/>
    <s v="Фрукты"/>
    <s v="Абрикосы"/>
    <n v="1320"/>
    <n v="66"/>
    <n v="87.12"/>
    <x v="6"/>
  </r>
  <r>
    <x v="278"/>
    <s v="Соседи"/>
    <s v="Столбцы"/>
    <s v="Ягоды"/>
    <s v="Малина"/>
    <n v="2970"/>
    <n v="75"/>
    <n v="222.75"/>
    <x v="6"/>
  </r>
  <r>
    <x v="278"/>
    <s v="Виталюр"/>
    <s v="Столбцы"/>
    <s v="Ягоды"/>
    <s v="Черешня"/>
    <n v="1760"/>
    <n v="49"/>
    <n v="86.24"/>
    <x v="6"/>
  </r>
  <r>
    <x v="278"/>
    <s v="Копеечка"/>
    <s v="Фаниполь"/>
    <s v="Зелень"/>
    <s v="Салат римский"/>
    <n v="540"/>
    <n v="71"/>
    <n v="38.340000000000003"/>
    <x v="6"/>
  </r>
  <r>
    <x v="279"/>
    <m/>
    <m/>
    <m/>
    <m/>
    <m/>
    <m/>
    <n v="891.22500000000002"/>
    <x v="6"/>
  </r>
  <r>
    <x v="280"/>
    <s v="Виталюр"/>
    <s v="Барановичи"/>
    <s v="Овощи"/>
    <s v="Капуста"/>
    <n v="460"/>
    <n v="14"/>
    <n v="6.44"/>
    <x v="6"/>
  </r>
  <r>
    <x v="280"/>
    <s v="Соседи"/>
    <s v="Борисов"/>
    <s v="Фрукты"/>
    <s v="Апельсины"/>
    <n v="2540"/>
    <n v="29"/>
    <n v="73.66"/>
    <x v="6"/>
  </r>
  <r>
    <x v="280"/>
    <s v="Евроопт"/>
    <s v="Борисов"/>
    <s v="Фрукты"/>
    <s v="Абрикосы"/>
    <n v="1320"/>
    <n v="5"/>
    <n v="6.6"/>
    <x v="6"/>
  </r>
  <r>
    <x v="280"/>
    <s v="Копеечка"/>
    <s v="Минск"/>
    <s v="Зелень"/>
    <s v="Петрушка"/>
    <n v="640"/>
    <n v="91"/>
    <n v="58.24"/>
    <x v="6"/>
  </r>
  <r>
    <x v="280"/>
    <s v="Евроопт"/>
    <s v="Минск"/>
    <s v="Зелень"/>
    <s v="Петрушка"/>
    <n v="640"/>
    <n v="79"/>
    <n v="50.56"/>
    <x v="6"/>
  </r>
  <r>
    <x v="280"/>
    <s v="Копеечка"/>
    <s v="Минск"/>
    <s v="Зелень"/>
    <s v="Петрушка"/>
    <n v="640"/>
    <n v="69"/>
    <n v="44.16"/>
    <x v="6"/>
  </r>
  <r>
    <x v="280"/>
    <s v="Виталюр"/>
    <s v="Столбцы"/>
    <s v="Овощи"/>
    <s v="Свекла"/>
    <n v="450"/>
    <n v="42"/>
    <n v="18.899999999999999"/>
    <x v="6"/>
  </r>
  <r>
    <x v="280"/>
    <s v="Виталюр"/>
    <s v="Столбцы"/>
    <s v="Ягоды"/>
    <s v="Малина"/>
    <n v="2970"/>
    <n v="53"/>
    <n v="157.41"/>
    <x v="6"/>
  </r>
  <r>
    <x v="280"/>
    <s v="Евроопт"/>
    <s v="Столбцы"/>
    <s v="Ягоды"/>
    <s v="Клубника"/>
    <n v="2460"/>
    <n v="14"/>
    <n v="34.44"/>
    <x v="6"/>
  </r>
  <r>
    <x v="280"/>
    <s v="Соседи"/>
    <s v="Фаниполь"/>
    <s v="Фрукты"/>
    <s v="Груши"/>
    <n v="1420"/>
    <n v="80"/>
    <n v="113.6"/>
    <x v="6"/>
  </r>
  <r>
    <x v="280"/>
    <s v="Евроопт"/>
    <s v="Фаниполь"/>
    <s v="Фрукты"/>
    <s v="Бананы"/>
    <n v="2400"/>
    <n v="59"/>
    <n v="141.6"/>
    <x v="6"/>
  </r>
  <r>
    <x v="281"/>
    <m/>
    <m/>
    <m/>
    <m/>
    <m/>
    <m/>
    <n v="705.61"/>
    <x v="6"/>
  </r>
  <r>
    <x v="282"/>
    <s v="Виталюр"/>
    <s v="Борисов"/>
    <s v="Зелень"/>
    <s v="Укроп"/>
    <n v="650"/>
    <n v="7"/>
    <n v="4.55"/>
    <x v="6"/>
  </r>
  <r>
    <x v="282"/>
    <s v="Соседи"/>
    <s v="Жодино"/>
    <s v="Фрукты"/>
    <s v="Яблоки"/>
    <n v="1230"/>
    <n v="8"/>
    <n v="9.84"/>
    <x v="6"/>
  </r>
  <r>
    <x v="282"/>
    <s v="Евроопт"/>
    <s v="Жодино"/>
    <s v="Ягоды"/>
    <s v="Брусника"/>
    <n v="1670"/>
    <n v="25"/>
    <n v="41.75"/>
    <x v="6"/>
  </r>
  <r>
    <x v="282"/>
    <s v="Виталюр"/>
    <s v="Жодино"/>
    <s v="Ягоды"/>
    <s v="Брусника"/>
    <n v="1670"/>
    <n v="75"/>
    <n v="125.25"/>
    <x v="6"/>
  </r>
  <r>
    <x v="282"/>
    <s v="Виталюр"/>
    <s v="Фаниполь"/>
    <s v="Ягоды"/>
    <s v="Смородина черная"/>
    <n v="1505"/>
    <n v="49"/>
    <n v="73.745000000000005"/>
    <x v="6"/>
  </r>
  <r>
    <x v="283"/>
    <m/>
    <m/>
    <m/>
    <m/>
    <m/>
    <m/>
    <n v="255.13499999999999"/>
    <x v="6"/>
  </r>
  <r>
    <x v="284"/>
    <s v="Евроопт"/>
    <s v="Барановичи"/>
    <s v="Зелень"/>
    <s v="Лук зеленый"/>
    <n v="705"/>
    <n v="48"/>
    <n v="33.840000000000003"/>
    <x v="6"/>
  </r>
  <r>
    <x v="284"/>
    <s v="Копеечка"/>
    <s v="Барановичи"/>
    <s v="Овощи"/>
    <s v="Баклажаны"/>
    <n v="890"/>
    <n v="21"/>
    <n v="18.690000000000001"/>
    <x v="6"/>
  </r>
  <r>
    <x v="284"/>
    <s v="Копеечка"/>
    <s v="Барановичи"/>
    <s v="Ягоды"/>
    <s v="Голубика"/>
    <n v="3205"/>
    <n v="82"/>
    <n v="262.81"/>
    <x v="6"/>
  </r>
  <r>
    <x v="284"/>
    <s v="Евроопт"/>
    <s v="Борисов"/>
    <s v="Ягоды"/>
    <s v="Голубика"/>
    <n v="3205"/>
    <n v="66"/>
    <n v="211.53"/>
    <x v="6"/>
  </r>
  <r>
    <x v="284"/>
    <s v="Виталюр"/>
    <s v="Жодино"/>
    <s v="Овощи"/>
    <s v="Кабачки"/>
    <n v="325"/>
    <n v="62"/>
    <n v="20.149999999999999"/>
    <x v="6"/>
  </r>
  <r>
    <x v="284"/>
    <s v="Копеечка"/>
    <s v="Жодино"/>
    <s v="Фрукты"/>
    <s v="Апельсины"/>
    <n v="2540"/>
    <n v="36"/>
    <n v="91.44"/>
    <x v="6"/>
  </r>
  <r>
    <x v="284"/>
    <s v="Копеечка"/>
    <s v="Минск"/>
    <s v="Овощи"/>
    <s v="Кабачки"/>
    <n v="325"/>
    <n v="39"/>
    <n v="12.675000000000001"/>
    <x v="6"/>
  </r>
  <r>
    <x v="284"/>
    <s v="Виталюр"/>
    <s v="Столбцы"/>
    <s v="Зелень"/>
    <s v="Петрушка"/>
    <n v="640"/>
    <n v="30"/>
    <n v="19.2"/>
    <x v="6"/>
  </r>
  <r>
    <x v="284"/>
    <s v="Копеечка"/>
    <s v="Столбцы"/>
    <s v="Овощи"/>
    <s v="Свекла"/>
    <n v="450"/>
    <n v="28"/>
    <n v="12.6"/>
    <x v="6"/>
  </r>
  <r>
    <x v="284"/>
    <s v="Виталюр"/>
    <s v="Фаниполь"/>
    <s v="Зелень"/>
    <s v="Салат айсберг"/>
    <n v="1380"/>
    <n v="78"/>
    <n v="107.64"/>
    <x v="6"/>
  </r>
  <r>
    <x v="285"/>
    <m/>
    <m/>
    <m/>
    <m/>
    <m/>
    <m/>
    <n v="790.57500000000005"/>
    <x v="6"/>
  </r>
  <r>
    <x v="286"/>
    <s v="Евроопт"/>
    <s v="Барановичи"/>
    <s v="Ягоды"/>
    <s v="Малина"/>
    <n v="2970"/>
    <n v="70"/>
    <n v="207.9"/>
    <x v="6"/>
  </r>
  <r>
    <x v="286"/>
    <s v="Соседи"/>
    <s v="Барановичи"/>
    <s v="Ягоды"/>
    <s v="Клубника"/>
    <n v="2460"/>
    <n v="11"/>
    <n v="27.06"/>
    <x v="6"/>
  </r>
  <r>
    <x v="286"/>
    <s v="Виталюр"/>
    <s v="Борисов"/>
    <s v="Фрукты"/>
    <s v="Абрикосы"/>
    <n v="1320"/>
    <n v="95"/>
    <n v="125.4"/>
    <x v="6"/>
  </r>
  <r>
    <x v="286"/>
    <s v="Виталюр"/>
    <s v="Жодино"/>
    <s v="Овощи"/>
    <s v="Морковь"/>
    <n v="715"/>
    <n v="67"/>
    <n v="47.905000000000001"/>
    <x v="6"/>
  </r>
  <r>
    <x v="286"/>
    <s v="Копеечка"/>
    <s v="Жодино"/>
    <s v="Ягоды"/>
    <s v="Черешня"/>
    <n v="1760"/>
    <n v="31"/>
    <n v="54.56"/>
    <x v="6"/>
  </r>
  <r>
    <x v="286"/>
    <s v="Виталюр"/>
    <s v="Минск"/>
    <s v="Зелень"/>
    <s v="Салат римский"/>
    <n v="540"/>
    <n v="24"/>
    <n v="12.96"/>
    <x v="6"/>
  </r>
  <r>
    <x v="286"/>
    <s v="Виталюр"/>
    <s v="Столбцы"/>
    <s v="Зелень"/>
    <s v="Салат айсберг"/>
    <n v="1380"/>
    <n v="42"/>
    <n v="57.96"/>
    <x v="6"/>
  </r>
  <r>
    <x v="286"/>
    <s v="Копеечка"/>
    <s v="Фаниполь"/>
    <s v="Ягоды"/>
    <s v="Клубника"/>
    <n v="2460"/>
    <n v="70"/>
    <n v="172.2"/>
    <x v="6"/>
  </r>
  <r>
    <x v="287"/>
    <m/>
    <m/>
    <m/>
    <m/>
    <m/>
    <m/>
    <n v="705.94499999999994"/>
    <x v="6"/>
  </r>
  <r>
    <x v="288"/>
    <s v="Виталюр"/>
    <s v="Барановичи"/>
    <s v="Зелень"/>
    <s v="Лук зеленый"/>
    <n v="705"/>
    <n v="47"/>
    <n v="33.134999999999998"/>
    <x v="6"/>
  </r>
  <r>
    <x v="288"/>
    <s v="Евроопт"/>
    <s v="Борисов"/>
    <s v="Фрукты"/>
    <s v="Абрикосы"/>
    <n v="1320"/>
    <n v="8"/>
    <n v="10.56"/>
    <x v="6"/>
  </r>
  <r>
    <x v="288"/>
    <s v="Копеечка"/>
    <s v="Жодино"/>
    <s v="Фрукты"/>
    <s v="Груши"/>
    <n v="1420"/>
    <n v="46"/>
    <n v="65.319999999999993"/>
    <x v="6"/>
  </r>
  <r>
    <x v="288"/>
    <s v="Виталюр"/>
    <s v="Жодино"/>
    <s v="Фрукты"/>
    <s v="Яблоки"/>
    <n v="1230"/>
    <n v="98"/>
    <n v="120.54"/>
    <x v="6"/>
  </r>
  <r>
    <x v="288"/>
    <s v="Соседи"/>
    <s v="Минск"/>
    <s v="Зелень"/>
    <s v="Салат римский"/>
    <n v="540"/>
    <n v="100"/>
    <n v="54"/>
    <x v="6"/>
  </r>
  <r>
    <x v="288"/>
    <s v="Евроопт"/>
    <s v="Минск"/>
    <s v="Овощи"/>
    <s v="Картофель"/>
    <n v="690"/>
    <n v="91"/>
    <n v="62.79"/>
    <x v="6"/>
  </r>
  <r>
    <x v="288"/>
    <s v="Соседи"/>
    <s v="Столбцы"/>
    <s v="Зелень"/>
    <s v="Укроп"/>
    <n v="650"/>
    <n v="48"/>
    <n v="31.2"/>
    <x v="6"/>
  </r>
  <r>
    <x v="288"/>
    <s v="Евроопт"/>
    <s v="Столбцы"/>
    <s v="Фрукты"/>
    <s v="Бананы"/>
    <n v="2400"/>
    <n v="6"/>
    <n v="14.4"/>
    <x v="6"/>
  </r>
  <r>
    <x v="289"/>
    <m/>
    <m/>
    <m/>
    <m/>
    <m/>
    <m/>
    <n v="391.94499999999999"/>
    <x v="6"/>
  </r>
  <r>
    <x v="290"/>
    <s v="Копеечка"/>
    <s v="Барановичи"/>
    <s v="Зелень"/>
    <s v="Салат айсберг"/>
    <n v="1380"/>
    <n v="39"/>
    <n v="53.82"/>
    <x v="6"/>
  </r>
  <r>
    <x v="290"/>
    <s v="Виталюр"/>
    <s v="Барановичи"/>
    <s v="Овощи"/>
    <s v="Капуста"/>
    <n v="460"/>
    <n v="25"/>
    <n v="11.5"/>
    <x v="6"/>
  </r>
  <r>
    <x v="290"/>
    <s v="Евроопт"/>
    <s v="Барановичи"/>
    <s v="Фрукты"/>
    <s v="Апельсины"/>
    <n v="2540"/>
    <n v="61"/>
    <n v="154.94"/>
    <x v="6"/>
  </r>
  <r>
    <x v="290"/>
    <s v="Виталюр"/>
    <s v="Барановичи"/>
    <s v="Ягоды"/>
    <s v="Малина"/>
    <n v="2970"/>
    <n v="57"/>
    <n v="169.29"/>
    <x v="6"/>
  </r>
  <r>
    <x v="290"/>
    <s v="Соседи"/>
    <s v="Барановичи"/>
    <s v="Ягоды"/>
    <s v="Голубика"/>
    <n v="3205"/>
    <n v="88"/>
    <n v="282.04000000000002"/>
    <x v="6"/>
  </r>
  <r>
    <x v="290"/>
    <s v="Копеечка"/>
    <s v="Минск"/>
    <s v="Зелень"/>
    <s v="Салат айсберг"/>
    <n v="1380"/>
    <n v="50"/>
    <n v="69"/>
    <x v="6"/>
  </r>
  <r>
    <x v="290"/>
    <s v="Соседи"/>
    <s v="Фаниполь"/>
    <s v="Ягоды"/>
    <s v="Черешня"/>
    <n v="1760"/>
    <n v="47"/>
    <n v="82.72"/>
    <x v="6"/>
  </r>
  <r>
    <x v="291"/>
    <m/>
    <m/>
    <m/>
    <m/>
    <m/>
    <m/>
    <n v="823.31"/>
    <x v="6"/>
  </r>
  <r>
    <x v="292"/>
    <s v="Копеечка"/>
    <s v="Барановичи"/>
    <s v="Зелень"/>
    <s v="Лук зеленый"/>
    <n v="705"/>
    <n v="43"/>
    <n v="30.315000000000001"/>
    <x v="6"/>
  </r>
  <r>
    <x v="292"/>
    <s v="Виталюр"/>
    <s v="Барановичи"/>
    <s v="Овощи"/>
    <s v="Морковь"/>
    <n v="715"/>
    <n v="90"/>
    <n v="64.349999999999994"/>
    <x v="6"/>
  </r>
  <r>
    <x v="292"/>
    <s v="Евроопт"/>
    <s v="Барановичи"/>
    <s v="Овощи"/>
    <s v="Капуста"/>
    <n v="460"/>
    <n v="65"/>
    <n v="29.9"/>
    <x v="6"/>
  </r>
  <r>
    <x v="292"/>
    <s v="Соседи"/>
    <s v="Барановичи"/>
    <s v="Фрукты"/>
    <s v="Сливы"/>
    <n v="930"/>
    <n v="52"/>
    <n v="48.36"/>
    <x v="6"/>
  </r>
  <r>
    <x v="292"/>
    <s v="Копеечка"/>
    <s v="Барановичи"/>
    <s v="Фрукты"/>
    <s v="Яблоки"/>
    <n v="1230"/>
    <n v="36"/>
    <n v="44.28"/>
    <x v="6"/>
  </r>
  <r>
    <x v="292"/>
    <s v="Копеечка"/>
    <s v="Барановичи"/>
    <s v="Ягоды"/>
    <s v="Черешня"/>
    <n v="1760"/>
    <n v="47"/>
    <n v="82.72"/>
    <x v="6"/>
  </r>
  <r>
    <x v="292"/>
    <s v="Виталюр"/>
    <s v="Барановичи"/>
    <s v="Ягоды"/>
    <s v="Смородина черная"/>
    <n v="1505"/>
    <n v="63"/>
    <n v="94.814999999999998"/>
    <x v="6"/>
  </r>
  <r>
    <x v="292"/>
    <s v="Виталюр"/>
    <s v="Жодино"/>
    <s v="Ягоды"/>
    <s v="Смородина черная"/>
    <n v="1505"/>
    <n v="69"/>
    <n v="103.845"/>
    <x v="6"/>
  </r>
  <r>
    <x v="292"/>
    <s v="Евроопт"/>
    <s v="Столбцы"/>
    <s v="Ягоды"/>
    <s v="Голубика"/>
    <n v="3205"/>
    <n v="74"/>
    <n v="237.17"/>
    <x v="6"/>
  </r>
  <r>
    <x v="292"/>
    <s v="Виталюр"/>
    <s v="Столбцы"/>
    <s v="Ягоды"/>
    <s v="Брусника"/>
    <n v="1670"/>
    <n v="12"/>
    <n v="20.04"/>
    <x v="6"/>
  </r>
  <r>
    <x v="293"/>
    <m/>
    <m/>
    <m/>
    <m/>
    <m/>
    <m/>
    <n v="755.79499999999996"/>
    <x v="6"/>
  </r>
  <r>
    <x v="294"/>
    <s v="Евроопт"/>
    <s v="Барановичи"/>
    <s v="Овощи"/>
    <s v="Картофель"/>
    <n v="690"/>
    <n v="39"/>
    <n v="26.91"/>
    <x v="6"/>
  </r>
  <r>
    <x v="294"/>
    <s v="Евроопт"/>
    <s v="Борисов"/>
    <s v="Овощи"/>
    <s v="Капуста"/>
    <n v="460"/>
    <n v="43"/>
    <n v="19.78"/>
    <x v="6"/>
  </r>
  <r>
    <x v="294"/>
    <s v="Евроопт"/>
    <s v="Борисов"/>
    <s v="Фрукты"/>
    <s v="Бананы"/>
    <n v="2400"/>
    <n v="95"/>
    <n v="228"/>
    <x v="6"/>
  </r>
  <r>
    <x v="294"/>
    <s v="Виталюр"/>
    <s v="Жодино"/>
    <s v="Зелень"/>
    <s v="Салат айсберг"/>
    <n v="1380"/>
    <n v="23"/>
    <n v="31.74"/>
    <x v="6"/>
  </r>
  <r>
    <x v="294"/>
    <s v="Евроопт"/>
    <s v="Жодино"/>
    <s v="Зелень"/>
    <s v="Петрушка"/>
    <n v="640"/>
    <n v="95"/>
    <n v="60.8"/>
    <x v="6"/>
  </r>
  <r>
    <x v="294"/>
    <s v="Евроопт"/>
    <s v="Минск"/>
    <s v="Зелень"/>
    <s v="Укроп"/>
    <n v="650"/>
    <n v="28"/>
    <n v="18.2"/>
    <x v="6"/>
  </r>
  <r>
    <x v="294"/>
    <s v="Копеечка"/>
    <s v="Столбцы"/>
    <s v="Овощи"/>
    <s v="Капуста"/>
    <n v="460"/>
    <n v="69"/>
    <n v="31.74"/>
    <x v="6"/>
  </r>
  <r>
    <x v="294"/>
    <s v="Виталюр"/>
    <s v="Столбцы"/>
    <s v="Ягоды"/>
    <s v="Голубика"/>
    <n v="3205"/>
    <n v="27"/>
    <n v="86.534999999999997"/>
    <x v="6"/>
  </r>
  <r>
    <x v="294"/>
    <s v="Виталюр"/>
    <s v="Фаниполь"/>
    <s v="Фрукты"/>
    <s v="Яблоки"/>
    <n v="1230"/>
    <n v="76"/>
    <n v="93.48"/>
    <x v="6"/>
  </r>
  <r>
    <x v="294"/>
    <s v="Евроопт"/>
    <s v="Фаниполь"/>
    <s v="Ягоды"/>
    <s v="Голубика"/>
    <n v="3205"/>
    <n v="86"/>
    <n v="275.63"/>
    <x v="6"/>
  </r>
  <r>
    <x v="295"/>
    <m/>
    <m/>
    <m/>
    <m/>
    <m/>
    <m/>
    <n v="872.81500000000005"/>
    <x v="6"/>
  </r>
  <r>
    <x v="296"/>
    <s v="Копеечка"/>
    <s v="Барановичи"/>
    <s v="Овощи"/>
    <s v="Капуста"/>
    <n v="460"/>
    <n v="40"/>
    <n v="18.399999999999999"/>
    <x v="6"/>
  </r>
  <r>
    <x v="296"/>
    <s v="Виталюр"/>
    <s v="Барановичи"/>
    <s v="Ягоды"/>
    <s v="Черешня"/>
    <n v="1760"/>
    <n v="49"/>
    <n v="86.24"/>
    <x v="6"/>
  </r>
  <r>
    <x v="296"/>
    <s v="Виталюр"/>
    <s v="Борисов"/>
    <s v="Фрукты"/>
    <s v="Яблоки"/>
    <n v="1230"/>
    <n v="13"/>
    <n v="15.99"/>
    <x v="6"/>
  </r>
  <r>
    <x v="296"/>
    <s v="Виталюр"/>
    <s v="Жодино"/>
    <s v="Зелень"/>
    <s v="Кинза"/>
    <n v="650"/>
    <n v="13"/>
    <n v="8.4499999999999993"/>
    <x v="6"/>
  </r>
  <r>
    <x v="296"/>
    <s v="Виталюр"/>
    <s v="Жодино"/>
    <s v="Фрукты"/>
    <s v="Бананы"/>
    <n v="2400"/>
    <n v="73"/>
    <n v="175.2"/>
    <x v="6"/>
  </r>
  <r>
    <x v="296"/>
    <s v="Виталюр"/>
    <s v="Жодино"/>
    <s v="Ягоды"/>
    <s v="Малина"/>
    <n v="2970"/>
    <n v="95"/>
    <n v="282.14999999999998"/>
    <x v="6"/>
  </r>
  <r>
    <x v="296"/>
    <s v="Копеечка"/>
    <s v="Минск"/>
    <s v="Зелень"/>
    <s v="Кинза"/>
    <n v="650"/>
    <n v="58"/>
    <n v="37.700000000000003"/>
    <x v="6"/>
  </r>
  <r>
    <x v="296"/>
    <s v="Копеечка"/>
    <s v="Минск"/>
    <s v="Овощи"/>
    <s v="Свекла"/>
    <n v="450"/>
    <n v="71"/>
    <n v="31.95"/>
    <x v="6"/>
  </r>
  <r>
    <x v="296"/>
    <s v="Соседи"/>
    <s v="Столбцы"/>
    <s v="Зелень"/>
    <s v="Петрушка"/>
    <n v="640"/>
    <n v="50"/>
    <n v="32"/>
    <x v="6"/>
  </r>
  <r>
    <x v="296"/>
    <s v="Евроопт"/>
    <s v="Столбцы"/>
    <s v="Овощи"/>
    <s v="Кабачки"/>
    <n v="325"/>
    <n v="26"/>
    <n v="8.4499999999999993"/>
    <x v="6"/>
  </r>
  <r>
    <x v="296"/>
    <s v="Соседи"/>
    <s v="Фаниполь"/>
    <s v="Овощи"/>
    <s v="Кабачки"/>
    <n v="325"/>
    <n v="96"/>
    <n v="31.2"/>
    <x v="6"/>
  </r>
  <r>
    <x v="297"/>
    <m/>
    <m/>
    <m/>
    <m/>
    <m/>
    <m/>
    <n v="727.73000000000013"/>
    <x v="6"/>
  </r>
  <r>
    <x v="298"/>
    <s v="Виталюр"/>
    <s v="Барановичи"/>
    <s v="Зелень"/>
    <s v="Лук зеленый"/>
    <n v="705"/>
    <n v="30"/>
    <n v="21.15"/>
    <x v="6"/>
  </r>
  <r>
    <x v="298"/>
    <s v="Виталюр"/>
    <s v="Минск"/>
    <s v="Фрукты"/>
    <s v="Яблоки"/>
    <n v="1230"/>
    <n v="90"/>
    <n v="110.7"/>
    <x v="6"/>
  </r>
  <r>
    <x v="298"/>
    <s v="Копеечка"/>
    <s v="Фаниполь"/>
    <s v="Овощи"/>
    <s v="Картофель"/>
    <n v="690"/>
    <n v="90"/>
    <n v="62.1"/>
    <x v="6"/>
  </r>
  <r>
    <x v="298"/>
    <s v="Евроопт"/>
    <s v="Фаниполь"/>
    <s v="Ягоды"/>
    <s v="Голубика"/>
    <n v="3205"/>
    <n v="85"/>
    <n v="272.42500000000001"/>
    <x v="6"/>
  </r>
  <r>
    <x v="299"/>
    <m/>
    <m/>
    <m/>
    <m/>
    <m/>
    <m/>
    <n v="466.375"/>
    <x v="6"/>
  </r>
  <r>
    <x v="300"/>
    <s v="Копеечка"/>
    <s v="Барановичи"/>
    <s v="Зелень"/>
    <s v="Кинза"/>
    <n v="650"/>
    <n v="84"/>
    <n v="54.6"/>
    <x v="6"/>
  </r>
  <r>
    <x v="300"/>
    <s v="Виталюр"/>
    <s v="Борисов"/>
    <s v="Овощи"/>
    <s v="Баклажаны"/>
    <n v="890"/>
    <n v="44"/>
    <n v="39.159999999999997"/>
    <x v="6"/>
  </r>
  <r>
    <x v="300"/>
    <s v="Соседи"/>
    <s v="Жодино"/>
    <s v="Овощи"/>
    <s v="Картофель"/>
    <n v="690"/>
    <n v="42"/>
    <n v="28.98"/>
    <x v="6"/>
  </r>
  <r>
    <x v="300"/>
    <s v="Виталюр"/>
    <s v="Столбцы"/>
    <s v="Зелень"/>
    <s v="Салат римский"/>
    <n v="540"/>
    <n v="10"/>
    <n v="5.4"/>
    <x v="6"/>
  </r>
  <r>
    <x v="300"/>
    <s v="Копеечка"/>
    <s v="Фаниполь"/>
    <s v="Фрукты"/>
    <s v="Бананы"/>
    <n v="2400"/>
    <n v="17"/>
    <n v="40.799999999999997"/>
    <x v="6"/>
  </r>
  <r>
    <x v="301"/>
    <m/>
    <m/>
    <m/>
    <m/>
    <m/>
    <m/>
    <n v="168.94"/>
    <x v="1"/>
  </r>
  <r>
    <x v="302"/>
    <s v="Копеечка"/>
    <s v="Барановичи"/>
    <s v="Зелень"/>
    <s v="Укроп"/>
    <n v="650"/>
    <n v="88"/>
    <n v="57.2"/>
    <x v="7"/>
  </r>
  <r>
    <x v="302"/>
    <s v="Соседи"/>
    <s v="Барановичи"/>
    <s v="Фрукты"/>
    <s v="Бананы"/>
    <n v="2400"/>
    <n v="38"/>
    <n v="91.2"/>
    <x v="7"/>
  </r>
  <r>
    <x v="302"/>
    <s v="Евроопт"/>
    <s v="Борисов"/>
    <s v="Зелень"/>
    <s v="Кинза"/>
    <n v="650"/>
    <n v="68"/>
    <n v="44.2"/>
    <x v="7"/>
  </r>
  <r>
    <x v="302"/>
    <s v="Копеечка"/>
    <s v="Борисов"/>
    <s v="Зелень"/>
    <s v="Салат айсберг"/>
    <n v="1380"/>
    <n v="92"/>
    <n v="126.96"/>
    <x v="7"/>
  </r>
  <r>
    <x v="302"/>
    <s v="Соседи"/>
    <s v="Борисов"/>
    <s v="Овощи"/>
    <s v="Баклажаны"/>
    <n v="890"/>
    <n v="61"/>
    <n v="54.29"/>
    <x v="7"/>
  </r>
  <r>
    <x v="302"/>
    <s v="Евроопт"/>
    <s v="Борисов"/>
    <s v="Ягоды"/>
    <s v="Малина"/>
    <n v="2970"/>
    <n v="30"/>
    <n v="89.1"/>
    <x v="7"/>
  </r>
  <r>
    <x v="302"/>
    <s v="Виталюр"/>
    <s v="Борисов"/>
    <s v="Ягоды"/>
    <s v="Смородина черная"/>
    <n v="1505"/>
    <n v="55"/>
    <n v="82.775000000000006"/>
    <x v="7"/>
  </r>
  <r>
    <x v="302"/>
    <s v="Евроопт"/>
    <s v="Жодино"/>
    <s v="Овощи"/>
    <s v="Баклажаны"/>
    <n v="890"/>
    <n v="46"/>
    <n v="40.94"/>
    <x v="7"/>
  </r>
  <r>
    <x v="302"/>
    <s v="Евроопт"/>
    <s v="Жодино"/>
    <s v="Фрукты"/>
    <s v="Сливы"/>
    <n v="930"/>
    <n v="68"/>
    <n v="63.24"/>
    <x v="7"/>
  </r>
  <r>
    <x v="302"/>
    <s v="Копеечка"/>
    <s v="Столбцы"/>
    <s v="Овощи"/>
    <s v="Кабачки"/>
    <n v="325"/>
    <n v="86"/>
    <n v="27.95"/>
    <x v="7"/>
  </r>
  <r>
    <x v="302"/>
    <s v="Виталюр"/>
    <s v="Фаниполь"/>
    <s v="Зелень"/>
    <s v="Укроп"/>
    <n v="650"/>
    <n v="84"/>
    <n v="54.6"/>
    <x v="7"/>
  </r>
  <r>
    <x v="302"/>
    <s v="Виталюр"/>
    <s v="Фаниполь"/>
    <s v="Ягоды"/>
    <s v="Клубника"/>
    <n v="2460"/>
    <n v="12"/>
    <n v="29.52"/>
    <x v="7"/>
  </r>
  <r>
    <x v="303"/>
    <m/>
    <m/>
    <m/>
    <m/>
    <m/>
    <m/>
    <n v="761.97500000000002"/>
    <x v="7"/>
  </r>
  <r>
    <x v="304"/>
    <s v="Евроопт"/>
    <s v="Барановичи"/>
    <s v="Зелень"/>
    <s v="Салат римский"/>
    <n v="540"/>
    <n v="48"/>
    <n v="25.92"/>
    <x v="7"/>
  </r>
  <r>
    <x v="304"/>
    <s v="Виталюр"/>
    <s v="Барановичи"/>
    <s v="Овощи"/>
    <s v="Капуста"/>
    <n v="460"/>
    <n v="57"/>
    <n v="26.22"/>
    <x v="7"/>
  </r>
  <r>
    <x v="304"/>
    <s v="Копеечка"/>
    <s v="Барановичи"/>
    <s v="Овощи"/>
    <s v="Капуста"/>
    <n v="460"/>
    <n v="72"/>
    <n v="33.119999999999997"/>
    <x v="7"/>
  </r>
  <r>
    <x v="304"/>
    <s v="Копеечка"/>
    <s v="Барановичи"/>
    <s v="Фрукты"/>
    <s v="Яблоки"/>
    <n v="1230"/>
    <n v="76"/>
    <n v="93.48"/>
    <x v="7"/>
  </r>
  <r>
    <x v="304"/>
    <s v="Виталюр"/>
    <s v="Барановичи"/>
    <s v="Фрукты"/>
    <s v="Абрикосы"/>
    <n v="1320"/>
    <n v="42"/>
    <n v="55.44"/>
    <x v="7"/>
  </r>
  <r>
    <x v="304"/>
    <s v="Евроопт"/>
    <s v="Борисов"/>
    <s v="Фрукты"/>
    <s v="Яблоки"/>
    <n v="1230"/>
    <n v="90"/>
    <n v="110.7"/>
    <x v="7"/>
  </r>
  <r>
    <x v="304"/>
    <s v="Евроопт"/>
    <s v="Жодино"/>
    <s v="Зелень"/>
    <s v="Салат айсберг"/>
    <n v="1380"/>
    <n v="25"/>
    <n v="34.5"/>
    <x v="7"/>
  </r>
  <r>
    <x v="304"/>
    <s v="Копеечка"/>
    <s v="Минск"/>
    <s v="Зелень"/>
    <s v="Салат айсберг"/>
    <n v="1380"/>
    <n v="54"/>
    <n v="74.52"/>
    <x v="7"/>
  </r>
  <r>
    <x v="304"/>
    <s v="Копеечка"/>
    <s v="Минск"/>
    <s v="Овощи"/>
    <s v="Морковь"/>
    <n v="715"/>
    <n v="27"/>
    <n v="19.305"/>
    <x v="7"/>
  </r>
  <r>
    <x v="304"/>
    <s v="Евроопт"/>
    <s v="Минск"/>
    <s v="Овощи"/>
    <s v="Картофель"/>
    <n v="690"/>
    <n v="28"/>
    <n v="19.32"/>
    <x v="7"/>
  </r>
  <r>
    <x v="304"/>
    <s v="Копеечка"/>
    <s v="Фаниполь"/>
    <s v="Фрукты"/>
    <s v="Бананы"/>
    <n v="2400"/>
    <n v="72"/>
    <n v="172.8"/>
    <x v="7"/>
  </r>
  <r>
    <x v="305"/>
    <m/>
    <m/>
    <m/>
    <m/>
    <m/>
    <m/>
    <n v="665.32500000000005"/>
    <x v="7"/>
  </r>
  <r>
    <x v="306"/>
    <s v="Соседи"/>
    <s v="Барановичи"/>
    <s v="Зелень"/>
    <s v="Укроп"/>
    <n v="650"/>
    <n v="67"/>
    <n v="43.55"/>
    <x v="7"/>
  </r>
  <r>
    <x v="306"/>
    <s v="Копеечка"/>
    <s v="Барановичи"/>
    <s v="Овощи"/>
    <s v="Морковь"/>
    <n v="715"/>
    <n v="34"/>
    <n v="24.31"/>
    <x v="7"/>
  </r>
  <r>
    <x v="306"/>
    <s v="Соседи"/>
    <s v="Барановичи"/>
    <s v="Овощи"/>
    <s v="Кабачки"/>
    <n v="325"/>
    <n v="57"/>
    <n v="18.524999999999999"/>
    <x v="7"/>
  </r>
  <r>
    <x v="306"/>
    <s v="Копеечка"/>
    <s v="Борисов"/>
    <s v="Зелень"/>
    <s v="Лук зеленый"/>
    <n v="705"/>
    <n v="14"/>
    <n v="9.8699999999999992"/>
    <x v="7"/>
  </r>
  <r>
    <x v="306"/>
    <s v="Соседи"/>
    <s v="Борисов"/>
    <s v="Овощи"/>
    <s v="Картофель"/>
    <n v="690"/>
    <n v="64"/>
    <n v="44.16"/>
    <x v="7"/>
  </r>
  <r>
    <x v="306"/>
    <s v="Копеечка"/>
    <s v="Минск"/>
    <s v="Овощи"/>
    <s v="Свекла"/>
    <n v="450"/>
    <n v="87"/>
    <n v="39.15"/>
    <x v="7"/>
  </r>
  <r>
    <x v="306"/>
    <s v="Виталюр"/>
    <s v="Минск"/>
    <s v="Фрукты"/>
    <s v="Абрикосы"/>
    <n v="1320"/>
    <n v="61"/>
    <n v="80.52"/>
    <x v="7"/>
  </r>
  <r>
    <x v="306"/>
    <s v="Виталюр"/>
    <s v="Столбцы"/>
    <s v="Зелень"/>
    <s v="Кинза"/>
    <n v="650"/>
    <n v="70"/>
    <n v="45.5"/>
    <x v="7"/>
  </r>
  <r>
    <x v="306"/>
    <s v="Виталюр"/>
    <s v="Фаниполь"/>
    <s v="Овощи"/>
    <s v="Капуста"/>
    <n v="460"/>
    <n v="23"/>
    <n v="10.58"/>
    <x v="7"/>
  </r>
  <r>
    <x v="306"/>
    <s v="Соседи"/>
    <s v="Фаниполь"/>
    <s v="Ягоды"/>
    <s v="Смородина черная"/>
    <n v="1505"/>
    <n v="44"/>
    <n v="66.22"/>
    <x v="7"/>
  </r>
  <r>
    <x v="307"/>
    <m/>
    <m/>
    <m/>
    <m/>
    <m/>
    <m/>
    <n v="382.38499999999999"/>
    <x v="7"/>
  </r>
  <r>
    <x v="308"/>
    <s v="Копеечка"/>
    <s v="Барановичи"/>
    <s v="Овощи"/>
    <s v="Морковь"/>
    <n v="715"/>
    <n v="9"/>
    <n v="6.4349999999999996"/>
    <x v="7"/>
  </r>
  <r>
    <x v="308"/>
    <s v="Соседи"/>
    <s v="Барановичи"/>
    <s v="Фрукты"/>
    <s v="Абрикосы"/>
    <n v="1320"/>
    <n v="27"/>
    <n v="35.64"/>
    <x v="7"/>
  </r>
  <r>
    <x v="308"/>
    <s v="Соседи"/>
    <s v="Барановичи"/>
    <s v="Фрукты"/>
    <s v="Бананы"/>
    <n v="2400"/>
    <n v="81"/>
    <n v="194.4"/>
    <x v="7"/>
  </r>
  <r>
    <x v="308"/>
    <s v="Виталюр"/>
    <s v="Барановичи"/>
    <s v="Ягоды"/>
    <s v="Черешня"/>
    <n v="1760"/>
    <n v="95"/>
    <n v="167.2"/>
    <x v="7"/>
  </r>
  <r>
    <x v="308"/>
    <s v="Виталюр"/>
    <s v="Борисов"/>
    <s v="Зелень"/>
    <s v="Салат айсберг"/>
    <n v="1380"/>
    <n v="99"/>
    <n v="136.62"/>
    <x v="7"/>
  </r>
  <r>
    <x v="308"/>
    <s v="Евроопт"/>
    <s v="Жодино"/>
    <s v="Зелень"/>
    <s v="Кинза"/>
    <n v="650"/>
    <n v="77"/>
    <n v="50.05"/>
    <x v="7"/>
  </r>
  <r>
    <x v="308"/>
    <s v="Соседи"/>
    <s v="Жодино"/>
    <s v="Зелень"/>
    <s v="Салат римский"/>
    <n v="540"/>
    <n v="33"/>
    <n v="17.82"/>
    <x v="7"/>
  </r>
  <r>
    <x v="308"/>
    <s v="Соседи"/>
    <s v="Жодино"/>
    <s v="Овощи"/>
    <s v="Картофель"/>
    <n v="690"/>
    <n v="71"/>
    <n v="48.99"/>
    <x v="7"/>
  </r>
  <r>
    <x v="308"/>
    <s v="Соседи"/>
    <s v="Минск"/>
    <s v="Зелень"/>
    <s v="Укроп"/>
    <n v="650"/>
    <n v="33"/>
    <n v="21.45"/>
    <x v="7"/>
  </r>
  <r>
    <x v="308"/>
    <s v="Виталюр"/>
    <s v="Минск"/>
    <s v="Фрукты"/>
    <s v="Яблоки"/>
    <n v="1230"/>
    <n v="30"/>
    <n v="36.9"/>
    <x v="7"/>
  </r>
  <r>
    <x v="308"/>
    <s v="Виталюр"/>
    <s v="Фаниполь"/>
    <s v="Овощи"/>
    <s v="Капуста"/>
    <n v="460"/>
    <n v="7"/>
    <n v="3.22"/>
    <x v="7"/>
  </r>
  <r>
    <x v="308"/>
    <s v="Копеечка"/>
    <s v="Фаниполь"/>
    <s v="Ягоды"/>
    <s v="Клубника"/>
    <n v="2460"/>
    <n v="70"/>
    <n v="172.2"/>
    <x v="7"/>
  </r>
  <r>
    <x v="309"/>
    <m/>
    <m/>
    <m/>
    <m/>
    <m/>
    <m/>
    <n v="890.92500000000018"/>
    <x v="7"/>
  </r>
  <r>
    <x v="310"/>
    <s v="Виталюр"/>
    <s v="Барановичи"/>
    <s v="Зелень"/>
    <s v="Кинза"/>
    <n v="650"/>
    <n v="53"/>
    <n v="34.450000000000003"/>
    <x v="7"/>
  </r>
  <r>
    <x v="310"/>
    <s v="Копеечка"/>
    <s v="Барановичи"/>
    <s v="Фрукты"/>
    <s v="Сливы"/>
    <n v="930"/>
    <n v="43"/>
    <n v="39.99"/>
    <x v="7"/>
  </r>
  <r>
    <x v="310"/>
    <s v="Соседи"/>
    <s v="Борисов"/>
    <s v="Зелень"/>
    <s v="Салат римский"/>
    <n v="540"/>
    <n v="23"/>
    <n v="12.42"/>
    <x v="7"/>
  </r>
  <r>
    <x v="310"/>
    <s v="Виталюр"/>
    <s v="Борисов"/>
    <s v="Овощи"/>
    <s v="Капуста"/>
    <n v="460"/>
    <n v="26"/>
    <n v="11.96"/>
    <x v="7"/>
  </r>
  <r>
    <x v="310"/>
    <s v="Виталюр"/>
    <s v="Борисов"/>
    <s v="Ягоды"/>
    <s v="Смородина черная"/>
    <n v="1505"/>
    <n v="63"/>
    <n v="94.814999999999998"/>
    <x v="7"/>
  </r>
  <r>
    <x v="310"/>
    <s v="Копеечка"/>
    <s v="Жодино"/>
    <s v="Овощи"/>
    <s v="Картофель"/>
    <n v="690"/>
    <n v="88"/>
    <n v="60.72"/>
    <x v="7"/>
  </r>
  <r>
    <x v="310"/>
    <s v="Соседи"/>
    <s v="Жодино"/>
    <s v="Фрукты"/>
    <s v="Абрикосы"/>
    <n v="1320"/>
    <n v="18"/>
    <n v="23.76"/>
    <x v="7"/>
  </r>
  <r>
    <x v="310"/>
    <s v="Евроопт"/>
    <s v="Минск"/>
    <s v="Ягоды"/>
    <s v="Малина"/>
    <n v="2970"/>
    <n v="46"/>
    <n v="136.62"/>
    <x v="7"/>
  </r>
  <r>
    <x v="310"/>
    <s v="Виталюр"/>
    <s v="Столбцы"/>
    <s v="Ягоды"/>
    <s v="Клубника"/>
    <n v="2460"/>
    <n v="25"/>
    <n v="61.5"/>
    <x v="7"/>
  </r>
  <r>
    <x v="310"/>
    <s v="Соседи"/>
    <s v="Фаниполь"/>
    <s v="Фрукты"/>
    <s v="Абрикосы"/>
    <n v="1320"/>
    <n v="68"/>
    <n v="89.76"/>
    <x v="7"/>
  </r>
  <r>
    <x v="311"/>
    <m/>
    <m/>
    <m/>
    <m/>
    <m/>
    <m/>
    <n v="565.995"/>
    <x v="7"/>
  </r>
  <r>
    <x v="312"/>
    <s v="Соседи"/>
    <s v="Барановичи"/>
    <s v="Зелень"/>
    <s v="Петрушка"/>
    <n v="640"/>
    <n v="17"/>
    <n v="10.88"/>
    <x v="7"/>
  </r>
  <r>
    <x v="312"/>
    <s v="Соседи"/>
    <s v="Барановичи"/>
    <s v="Зелень"/>
    <s v="Кинза"/>
    <n v="650"/>
    <n v="23"/>
    <n v="14.95"/>
    <x v="7"/>
  </r>
  <r>
    <x v="312"/>
    <s v="Евроопт"/>
    <s v="Барановичи"/>
    <s v="Ягоды"/>
    <s v="Черешня"/>
    <n v="1760"/>
    <n v="15"/>
    <n v="26.4"/>
    <x v="7"/>
  </r>
  <r>
    <x v="312"/>
    <s v="Виталюр"/>
    <s v="Борисов"/>
    <s v="Зелень"/>
    <s v="Лук зеленый"/>
    <n v="705"/>
    <n v="27"/>
    <n v="19.035"/>
    <x v="7"/>
  </r>
  <r>
    <x v="312"/>
    <s v="Соседи"/>
    <s v="Жодино"/>
    <s v="Зелень"/>
    <s v="Салат айсберг"/>
    <n v="1380"/>
    <n v="43"/>
    <n v="59.34"/>
    <x v="7"/>
  </r>
  <r>
    <x v="312"/>
    <s v="Евроопт"/>
    <s v="Столбцы"/>
    <s v="Овощи"/>
    <s v="Свекла"/>
    <n v="450"/>
    <n v="8"/>
    <n v="3.6"/>
    <x v="7"/>
  </r>
  <r>
    <x v="312"/>
    <s v="Евроопт"/>
    <s v="Столбцы"/>
    <s v="Овощи"/>
    <s v="Капуста"/>
    <n v="460"/>
    <n v="15"/>
    <n v="6.9"/>
    <x v="7"/>
  </r>
  <r>
    <x v="312"/>
    <s v="Виталюр"/>
    <s v="Столбцы"/>
    <s v="Фрукты"/>
    <s v="Груши"/>
    <n v="1420"/>
    <n v="71"/>
    <n v="100.82"/>
    <x v="7"/>
  </r>
  <r>
    <x v="312"/>
    <s v="Евроопт"/>
    <s v="Фаниполь"/>
    <s v="Зелень"/>
    <s v="Лук зеленый"/>
    <n v="705"/>
    <n v="83"/>
    <n v="58.515000000000001"/>
    <x v="7"/>
  </r>
  <r>
    <x v="313"/>
    <m/>
    <m/>
    <m/>
    <m/>
    <m/>
    <m/>
    <n v="300.44"/>
    <x v="7"/>
  </r>
  <r>
    <x v="314"/>
    <s v="Копеечка"/>
    <s v="Борисов"/>
    <s v="Зелень"/>
    <s v="Салат римский"/>
    <n v="540"/>
    <n v="19"/>
    <n v="10.26"/>
    <x v="7"/>
  </r>
  <r>
    <x v="314"/>
    <s v="Соседи"/>
    <s v="Борисов"/>
    <s v="Ягоды"/>
    <s v="Голубика"/>
    <n v="3205"/>
    <n v="96"/>
    <n v="307.68"/>
    <x v="7"/>
  </r>
  <r>
    <x v="314"/>
    <s v="Евроопт"/>
    <s v="Жодино"/>
    <s v="Зелень"/>
    <s v="Лук зеленый"/>
    <n v="705"/>
    <n v="83"/>
    <n v="58.515000000000001"/>
    <x v="7"/>
  </r>
  <r>
    <x v="314"/>
    <s v="Соседи"/>
    <s v="Минск"/>
    <s v="Овощи"/>
    <s v="Кабачки"/>
    <n v="325"/>
    <n v="32"/>
    <n v="10.4"/>
    <x v="7"/>
  </r>
  <r>
    <x v="314"/>
    <s v="Виталюр"/>
    <s v="Минск"/>
    <s v="Ягоды"/>
    <s v="Голубика"/>
    <n v="3205"/>
    <n v="88"/>
    <n v="282.04000000000002"/>
    <x v="7"/>
  </r>
  <r>
    <x v="314"/>
    <s v="Копеечка"/>
    <s v="Столбцы"/>
    <s v="Зелень"/>
    <s v="Салат айсберг"/>
    <n v="1380"/>
    <n v="29"/>
    <n v="40.020000000000003"/>
    <x v="7"/>
  </r>
  <r>
    <x v="314"/>
    <s v="Копеечка"/>
    <s v="Столбцы"/>
    <s v="Фрукты"/>
    <s v="Сливы"/>
    <n v="930"/>
    <n v="18"/>
    <n v="16.739999999999998"/>
    <x v="7"/>
  </r>
  <r>
    <x v="314"/>
    <s v="Виталюр"/>
    <s v="Фаниполь"/>
    <s v="Зелень"/>
    <s v="Салат айсберг"/>
    <n v="1380"/>
    <n v="63"/>
    <n v="86.94"/>
    <x v="7"/>
  </r>
  <r>
    <x v="314"/>
    <s v="Виталюр"/>
    <s v="Фаниполь"/>
    <s v="Зелень"/>
    <s v="Салат римский"/>
    <n v="540"/>
    <n v="21"/>
    <n v="11.34"/>
    <x v="7"/>
  </r>
  <r>
    <x v="314"/>
    <s v="Виталюр"/>
    <s v="Фаниполь"/>
    <s v="Фрукты"/>
    <s v="Сливы"/>
    <n v="930"/>
    <n v="70"/>
    <n v="65.099999999999994"/>
    <x v="7"/>
  </r>
  <r>
    <x v="315"/>
    <m/>
    <m/>
    <m/>
    <m/>
    <m/>
    <m/>
    <n v="889.03500000000008"/>
    <x v="7"/>
  </r>
  <r>
    <x v="316"/>
    <s v="Виталюр"/>
    <s v="Барановичи"/>
    <s v="Зелень"/>
    <s v="Салат римский"/>
    <n v="540"/>
    <n v="12"/>
    <n v="6.48"/>
    <x v="7"/>
  </r>
  <r>
    <x v="316"/>
    <s v="Евроопт"/>
    <s v="Барановичи"/>
    <s v="Ягоды"/>
    <s v="Смородина черная"/>
    <n v="1505"/>
    <n v="40"/>
    <n v="60.2"/>
    <x v="7"/>
  </r>
  <r>
    <x v="316"/>
    <s v="Виталюр"/>
    <s v="Борисов"/>
    <s v="Ягоды"/>
    <s v="Малина"/>
    <n v="2970"/>
    <n v="85"/>
    <n v="252.45"/>
    <x v="7"/>
  </r>
  <r>
    <x v="316"/>
    <s v="Виталюр"/>
    <s v="Жодино"/>
    <s v="Фрукты"/>
    <s v="Бананы"/>
    <n v="2400"/>
    <n v="47"/>
    <n v="112.8"/>
    <x v="7"/>
  </r>
  <r>
    <x v="316"/>
    <s v="Евроопт"/>
    <s v="Минск"/>
    <s v="Фрукты"/>
    <s v="Абрикосы"/>
    <n v="1320"/>
    <n v="47"/>
    <n v="62.04"/>
    <x v="7"/>
  </r>
  <r>
    <x v="316"/>
    <s v="Копеечка"/>
    <s v="Столбцы"/>
    <s v="Овощи"/>
    <s v="Картофель"/>
    <n v="690"/>
    <n v="12"/>
    <n v="8.2799999999999994"/>
    <x v="7"/>
  </r>
  <r>
    <x v="316"/>
    <s v="Виталюр"/>
    <s v="Столбцы"/>
    <s v="Ягоды"/>
    <s v="Голубика"/>
    <n v="3205"/>
    <n v="50"/>
    <n v="160.25"/>
    <x v="7"/>
  </r>
  <r>
    <x v="316"/>
    <s v="Копеечка"/>
    <s v="Фаниполь"/>
    <s v="Овощи"/>
    <s v="Капуста"/>
    <n v="460"/>
    <n v="82"/>
    <n v="37.72"/>
    <x v="7"/>
  </r>
  <r>
    <x v="316"/>
    <s v="Евроопт"/>
    <s v="Фаниполь"/>
    <s v="Ягоды"/>
    <s v="Малина"/>
    <n v="2970"/>
    <n v="42"/>
    <n v="124.74"/>
    <x v="7"/>
  </r>
  <r>
    <x v="317"/>
    <m/>
    <m/>
    <m/>
    <m/>
    <m/>
    <m/>
    <n v="824.96"/>
    <x v="7"/>
  </r>
  <r>
    <x v="318"/>
    <s v="Соседи"/>
    <s v="Барановичи"/>
    <s v="Фрукты"/>
    <s v="Абрикосы"/>
    <n v="1320"/>
    <n v="93"/>
    <n v="122.76"/>
    <x v="7"/>
  </r>
  <r>
    <x v="318"/>
    <s v="Соседи"/>
    <s v="Барановичи"/>
    <s v="Фрукты"/>
    <s v="Бананы"/>
    <n v="2400"/>
    <n v="100"/>
    <n v="240"/>
    <x v="7"/>
  </r>
  <r>
    <x v="318"/>
    <s v="Евроопт"/>
    <s v="Борисов"/>
    <s v="Овощи"/>
    <s v="Баклажаны"/>
    <n v="890"/>
    <n v="26"/>
    <n v="23.14"/>
    <x v="7"/>
  </r>
  <r>
    <x v="318"/>
    <s v="Виталюр"/>
    <s v="Жодино"/>
    <s v="Фрукты"/>
    <s v="Апельсины"/>
    <n v="2540"/>
    <n v="50"/>
    <n v="127"/>
    <x v="7"/>
  </r>
  <r>
    <x v="318"/>
    <s v="Евроопт"/>
    <s v="Жодино"/>
    <s v="Ягоды"/>
    <s v="Смородина черная"/>
    <n v="1505"/>
    <n v="13"/>
    <n v="19.565000000000001"/>
    <x v="7"/>
  </r>
  <r>
    <x v="318"/>
    <s v="Евроопт"/>
    <s v="Минск"/>
    <s v="Зелень"/>
    <s v="Укроп"/>
    <n v="650"/>
    <n v="79"/>
    <n v="51.35"/>
    <x v="7"/>
  </r>
  <r>
    <x v="318"/>
    <s v="Копеечка"/>
    <s v="Минск"/>
    <s v="Фрукты"/>
    <s v="Абрикосы"/>
    <n v="1320"/>
    <n v="58"/>
    <n v="76.56"/>
    <x v="7"/>
  </r>
  <r>
    <x v="318"/>
    <s v="Копеечка"/>
    <s v="Минск"/>
    <s v="Фрукты"/>
    <s v="Сливы"/>
    <n v="930"/>
    <n v="42"/>
    <n v="39.06"/>
    <x v="7"/>
  </r>
  <r>
    <x v="318"/>
    <s v="Виталюр"/>
    <s v="Фаниполь"/>
    <s v="Зелень"/>
    <s v="Кинза"/>
    <n v="650"/>
    <n v="54"/>
    <n v="35.1"/>
    <x v="7"/>
  </r>
  <r>
    <x v="318"/>
    <s v="Соседи"/>
    <s v="Фаниполь"/>
    <s v="Фрукты"/>
    <s v="Бананы"/>
    <n v="2400"/>
    <n v="81"/>
    <n v="194.4"/>
    <x v="7"/>
  </r>
  <r>
    <x v="319"/>
    <m/>
    <m/>
    <m/>
    <m/>
    <m/>
    <m/>
    <n v="928.93499999999995"/>
    <x v="7"/>
  </r>
  <r>
    <x v="320"/>
    <s v="Копеечка"/>
    <s v="Барановичи"/>
    <s v="Ягоды"/>
    <s v="Голубика"/>
    <n v="3205"/>
    <n v="35"/>
    <n v="112.175"/>
    <x v="7"/>
  </r>
  <r>
    <x v="320"/>
    <s v="Евроопт"/>
    <s v="Жодино"/>
    <s v="Овощи"/>
    <s v="Капуста"/>
    <n v="460"/>
    <n v="14"/>
    <n v="6.44"/>
    <x v="7"/>
  </r>
  <r>
    <x v="320"/>
    <s v="Соседи"/>
    <s v="Минск"/>
    <s v="Овощи"/>
    <s v="Свекла"/>
    <n v="450"/>
    <n v="87"/>
    <n v="39.15"/>
    <x v="7"/>
  </r>
  <r>
    <x v="320"/>
    <s v="Соседи"/>
    <s v="Минск"/>
    <s v="Фрукты"/>
    <s v="Яблоки"/>
    <n v="1230"/>
    <n v="66"/>
    <n v="81.180000000000007"/>
    <x v="7"/>
  </r>
  <r>
    <x v="320"/>
    <s v="Копеечка"/>
    <s v="Столбцы"/>
    <s v="Овощи"/>
    <s v="Картофель"/>
    <n v="690"/>
    <n v="23"/>
    <n v="15.87"/>
    <x v="7"/>
  </r>
  <r>
    <x v="320"/>
    <s v="Соседи"/>
    <s v="Столбцы"/>
    <s v="Овощи"/>
    <s v="Картофель"/>
    <n v="690"/>
    <n v="38"/>
    <n v="26.22"/>
    <x v="7"/>
  </r>
  <r>
    <x v="320"/>
    <s v="Евроопт"/>
    <s v="Столбцы"/>
    <s v="Фрукты"/>
    <s v="Абрикосы"/>
    <n v="1320"/>
    <n v="15"/>
    <n v="19.8"/>
    <x v="7"/>
  </r>
  <r>
    <x v="320"/>
    <s v="Копеечка"/>
    <s v="Фаниполь"/>
    <s v="Зелень"/>
    <s v="Лук зеленый"/>
    <n v="705"/>
    <n v="46"/>
    <n v="32.43"/>
    <x v="7"/>
  </r>
  <r>
    <x v="320"/>
    <s v="Соседи"/>
    <s v="Фаниполь"/>
    <s v="Зелень"/>
    <s v="Укроп"/>
    <n v="650"/>
    <n v="36"/>
    <n v="23.4"/>
    <x v="7"/>
  </r>
  <r>
    <x v="320"/>
    <s v="Копеечка"/>
    <s v="Фаниполь"/>
    <s v="Овощи"/>
    <s v="Кабачки"/>
    <n v="325"/>
    <n v="38"/>
    <n v="12.35"/>
    <x v="7"/>
  </r>
  <r>
    <x v="320"/>
    <s v="Виталюр"/>
    <s v="Фаниполь"/>
    <s v="Овощи"/>
    <s v="Баклажаны"/>
    <n v="890"/>
    <n v="66"/>
    <n v="58.74"/>
    <x v="7"/>
  </r>
  <r>
    <x v="321"/>
    <m/>
    <m/>
    <m/>
    <m/>
    <m/>
    <m/>
    <n v="427.755"/>
    <x v="7"/>
  </r>
  <r>
    <x v="322"/>
    <s v="Копеечка"/>
    <s v="Барановичи"/>
    <s v="Ягоды"/>
    <s v="Малина"/>
    <n v="2970"/>
    <n v="27"/>
    <n v="80.19"/>
    <x v="7"/>
  </r>
  <r>
    <x v="322"/>
    <s v="Копеечка"/>
    <s v="Борисов"/>
    <s v="Зелень"/>
    <s v="Кинза"/>
    <n v="650"/>
    <n v="68"/>
    <n v="44.2"/>
    <x v="7"/>
  </r>
  <r>
    <x v="322"/>
    <s v="Виталюр"/>
    <s v="Борисов"/>
    <s v="Овощи"/>
    <s v="Баклажаны"/>
    <n v="890"/>
    <n v="32"/>
    <n v="28.48"/>
    <x v="7"/>
  </r>
  <r>
    <x v="322"/>
    <s v="Евроопт"/>
    <s v="Минск"/>
    <s v="Зелень"/>
    <s v="Кинза"/>
    <n v="650"/>
    <n v="13"/>
    <n v="8.4499999999999993"/>
    <x v="7"/>
  </r>
  <r>
    <x v="322"/>
    <s v="Соседи"/>
    <s v="Минск"/>
    <s v="Зелень"/>
    <s v="Салат римский"/>
    <n v="540"/>
    <n v="91"/>
    <n v="49.14"/>
    <x v="7"/>
  </r>
  <r>
    <x v="322"/>
    <s v="Копеечка"/>
    <s v="Минск"/>
    <s v="Ягоды"/>
    <s v="Черешня"/>
    <n v="1760"/>
    <n v="67"/>
    <n v="117.92"/>
    <x v="7"/>
  </r>
  <r>
    <x v="322"/>
    <s v="Копеечка"/>
    <s v="Столбцы"/>
    <s v="Зелень"/>
    <s v="Укроп"/>
    <n v="650"/>
    <n v="42"/>
    <n v="27.3"/>
    <x v="7"/>
  </r>
  <r>
    <x v="323"/>
    <m/>
    <m/>
    <m/>
    <m/>
    <m/>
    <m/>
    <n v="355.68"/>
    <x v="7"/>
  </r>
  <r>
    <x v="324"/>
    <s v="Евроопт"/>
    <s v="Барановичи"/>
    <s v="Зелень"/>
    <s v="Кинза"/>
    <n v="650"/>
    <n v="90"/>
    <n v="58.5"/>
    <x v="7"/>
  </r>
  <r>
    <x v="324"/>
    <s v="Евроопт"/>
    <s v="Борисов"/>
    <s v="Зелень"/>
    <s v="Кинза"/>
    <n v="650"/>
    <n v="41"/>
    <n v="26.65"/>
    <x v="7"/>
  </r>
  <r>
    <x v="324"/>
    <s v="Соседи"/>
    <s v="Борисов"/>
    <s v="Овощи"/>
    <s v="Картофель"/>
    <n v="690"/>
    <n v="51"/>
    <n v="35.19"/>
    <x v="7"/>
  </r>
  <r>
    <x v="324"/>
    <s v="Виталюр"/>
    <s v="Жодино"/>
    <s v="Ягоды"/>
    <s v="Брусника"/>
    <n v="1670"/>
    <n v="46"/>
    <n v="76.819999999999993"/>
    <x v="7"/>
  </r>
  <r>
    <x v="324"/>
    <s v="Копеечка"/>
    <s v="Минск"/>
    <s v="Фрукты"/>
    <s v="Апельсины"/>
    <n v="2540"/>
    <n v="15"/>
    <n v="38.1"/>
    <x v="7"/>
  </r>
  <r>
    <x v="324"/>
    <s v="Копеечка"/>
    <s v="Минск"/>
    <s v="Ягоды"/>
    <s v="Брусника"/>
    <n v="1670"/>
    <n v="53"/>
    <n v="88.51"/>
    <x v="7"/>
  </r>
  <r>
    <x v="324"/>
    <s v="Соседи"/>
    <s v="Фаниполь"/>
    <s v="Овощи"/>
    <s v="Свекла"/>
    <n v="450"/>
    <n v="40"/>
    <n v="18"/>
    <x v="7"/>
  </r>
  <r>
    <x v="324"/>
    <s v="Копеечка"/>
    <s v="Фаниполь"/>
    <s v="Ягоды"/>
    <s v="Малина"/>
    <n v="2970"/>
    <n v="83"/>
    <n v="246.51"/>
    <x v="7"/>
  </r>
  <r>
    <x v="325"/>
    <m/>
    <m/>
    <m/>
    <m/>
    <m/>
    <m/>
    <n v="588.28"/>
    <x v="7"/>
  </r>
  <r>
    <x v="326"/>
    <s v="Соседи"/>
    <s v="Барановичи"/>
    <s v="Овощи"/>
    <s v="Баклажаны"/>
    <n v="890"/>
    <n v="74"/>
    <n v="65.86"/>
    <x v="7"/>
  </r>
  <r>
    <x v="326"/>
    <s v="Копеечка"/>
    <s v="Барановичи"/>
    <s v="Овощи"/>
    <s v="Баклажаны"/>
    <n v="890"/>
    <n v="38"/>
    <n v="33.82"/>
    <x v="7"/>
  </r>
  <r>
    <x v="326"/>
    <s v="Евроопт"/>
    <s v="Барановичи"/>
    <s v="Ягоды"/>
    <s v="Голубика"/>
    <n v="3205"/>
    <n v="83"/>
    <n v="266.01499999999999"/>
    <x v="7"/>
  </r>
  <r>
    <x v="326"/>
    <s v="Виталюр"/>
    <s v="Столбцы"/>
    <s v="Зелень"/>
    <s v="Петрушка"/>
    <n v="640"/>
    <n v="42"/>
    <n v="26.88"/>
    <x v="7"/>
  </r>
  <r>
    <x v="326"/>
    <s v="Виталюр"/>
    <s v="Столбцы"/>
    <s v="Овощи"/>
    <s v="Капуста"/>
    <n v="460"/>
    <n v="5"/>
    <n v="2.2999999999999998"/>
    <x v="7"/>
  </r>
  <r>
    <x v="326"/>
    <s v="Виталюр"/>
    <s v="Столбцы"/>
    <s v="Ягоды"/>
    <s v="Смородина черная"/>
    <n v="1505"/>
    <n v="22"/>
    <n v="33.11"/>
    <x v="7"/>
  </r>
  <r>
    <x v="326"/>
    <s v="Виталюр"/>
    <s v="Фаниполь"/>
    <s v="Овощи"/>
    <s v="Кабачки"/>
    <n v="325"/>
    <n v="72"/>
    <n v="23.4"/>
    <x v="7"/>
  </r>
  <r>
    <x v="327"/>
    <m/>
    <m/>
    <m/>
    <m/>
    <m/>
    <m/>
    <n v="451.38499999999999"/>
    <x v="7"/>
  </r>
  <r>
    <x v="328"/>
    <s v="Евроопт"/>
    <s v="Барановичи"/>
    <s v="Зелень"/>
    <s v="Лук зеленый"/>
    <n v="705"/>
    <n v="86"/>
    <n v="60.63"/>
    <x v="7"/>
  </r>
  <r>
    <x v="328"/>
    <s v="Копеечка"/>
    <s v="Барановичи"/>
    <s v="Овощи"/>
    <s v="Кабачки"/>
    <n v="325"/>
    <n v="35"/>
    <n v="11.375"/>
    <x v="7"/>
  </r>
  <r>
    <x v="328"/>
    <s v="Копеечка"/>
    <s v="Барановичи"/>
    <s v="Ягоды"/>
    <s v="Клубника"/>
    <n v="2460"/>
    <n v="67"/>
    <n v="164.82"/>
    <x v="7"/>
  </r>
  <r>
    <x v="328"/>
    <s v="Виталюр"/>
    <s v="Борисов"/>
    <s v="Ягоды"/>
    <s v="Клубника"/>
    <n v="2460"/>
    <n v="59"/>
    <n v="145.13999999999999"/>
    <x v="7"/>
  </r>
  <r>
    <x v="328"/>
    <s v="Копеечка"/>
    <s v="Жодино"/>
    <s v="Зелень"/>
    <s v="Лук зеленый"/>
    <n v="705"/>
    <n v="83"/>
    <n v="58.515000000000001"/>
    <x v="7"/>
  </r>
  <r>
    <x v="328"/>
    <s v="Виталюр"/>
    <s v="Жодино"/>
    <s v="Зелень"/>
    <s v="Кинза"/>
    <n v="650"/>
    <n v="74"/>
    <n v="48.1"/>
    <x v="7"/>
  </r>
  <r>
    <x v="328"/>
    <s v="Соседи"/>
    <s v="Минск"/>
    <s v="Зелень"/>
    <s v="Петрушка"/>
    <n v="640"/>
    <n v="65"/>
    <n v="41.6"/>
    <x v="7"/>
  </r>
  <r>
    <x v="328"/>
    <s v="Копеечка"/>
    <s v="Минск"/>
    <s v="Овощи"/>
    <s v="Баклажаны"/>
    <n v="890"/>
    <n v="64"/>
    <n v="56.96"/>
    <x v="7"/>
  </r>
  <r>
    <x v="328"/>
    <s v="Соседи"/>
    <s v="Столбцы"/>
    <s v="Зелень"/>
    <s v="Кинза"/>
    <n v="650"/>
    <n v="29"/>
    <n v="18.850000000000001"/>
    <x v="7"/>
  </r>
  <r>
    <x v="328"/>
    <s v="Виталюр"/>
    <s v="Фаниполь"/>
    <s v="Овощи"/>
    <s v="Баклажаны"/>
    <n v="890"/>
    <n v="93"/>
    <n v="82.77"/>
    <x v="7"/>
  </r>
  <r>
    <x v="328"/>
    <s v="Соседи"/>
    <s v="Фаниполь"/>
    <s v="Овощи"/>
    <s v="Свекла"/>
    <n v="450"/>
    <n v="53"/>
    <n v="23.85"/>
    <x v="7"/>
  </r>
  <r>
    <x v="328"/>
    <s v="Виталюр"/>
    <s v="Фаниполь"/>
    <s v="Ягоды"/>
    <s v="Малина"/>
    <n v="2970"/>
    <n v="72"/>
    <n v="213.84"/>
    <x v="7"/>
  </r>
  <r>
    <x v="329"/>
    <m/>
    <m/>
    <m/>
    <m/>
    <m/>
    <m/>
    <n v="926.45"/>
    <x v="7"/>
  </r>
  <r>
    <x v="330"/>
    <s v="Копеечка"/>
    <s v="Барановичи"/>
    <s v="Ягоды"/>
    <s v="Черешня"/>
    <n v="1760"/>
    <n v="33"/>
    <n v="58.08"/>
    <x v="7"/>
  </r>
  <r>
    <x v="330"/>
    <s v="Виталюр"/>
    <s v="Жодино"/>
    <s v="Зелень"/>
    <s v="Укроп"/>
    <n v="650"/>
    <n v="44"/>
    <n v="28.6"/>
    <x v="7"/>
  </r>
  <r>
    <x v="330"/>
    <s v="Соседи"/>
    <s v="Минск"/>
    <s v="Овощи"/>
    <s v="Картофель"/>
    <n v="690"/>
    <n v="33"/>
    <n v="22.77"/>
    <x v="7"/>
  </r>
  <r>
    <x v="330"/>
    <s v="Копеечка"/>
    <s v="Минск"/>
    <s v="Фрукты"/>
    <s v="Яблоки"/>
    <n v="1230"/>
    <n v="51"/>
    <n v="62.73"/>
    <x v="7"/>
  </r>
  <r>
    <x v="330"/>
    <s v="Евроопт"/>
    <s v="Столбцы"/>
    <s v="Зелень"/>
    <s v="Укроп"/>
    <n v="650"/>
    <n v="34"/>
    <n v="22.1"/>
    <x v="7"/>
  </r>
  <r>
    <x v="330"/>
    <s v="Соседи"/>
    <s v="Столбцы"/>
    <s v="Ягоды"/>
    <s v="Черешня"/>
    <n v="1760"/>
    <n v="57"/>
    <n v="100.32"/>
    <x v="7"/>
  </r>
  <r>
    <x v="330"/>
    <s v="Копеечка"/>
    <s v="Фаниполь"/>
    <s v="Зелень"/>
    <s v="Лук зеленый"/>
    <n v="705"/>
    <n v="38"/>
    <n v="26.79"/>
    <x v="7"/>
  </r>
  <r>
    <x v="330"/>
    <s v="Евроопт"/>
    <s v="Фаниполь"/>
    <s v="Фрукты"/>
    <s v="Бананы"/>
    <n v="2400"/>
    <n v="10"/>
    <n v="24"/>
    <x v="7"/>
  </r>
  <r>
    <x v="331"/>
    <m/>
    <m/>
    <m/>
    <m/>
    <m/>
    <m/>
    <n v="345.39000000000004"/>
    <x v="7"/>
  </r>
  <r>
    <x v="332"/>
    <s v="Евроопт"/>
    <s v="Барановичи"/>
    <s v="Зелень"/>
    <s v="Укроп"/>
    <n v="650"/>
    <n v="7"/>
    <n v="4.55"/>
    <x v="7"/>
  </r>
  <r>
    <x v="332"/>
    <s v="Копеечка"/>
    <s v="Барановичи"/>
    <s v="Овощи"/>
    <s v="Баклажаны"/>
    <n v="890"/>
    <n v="19"/>
    <n v="16.91"/>
    <x v="7"/>
  </r>
  <r>
    <x v="332"/>
    <s v="Виталюр"/>
    <s v="Барановичи"/>
    <s v="Ягоды"/>
    <s v="Черешня"/>
    <n v="1760"/>
    <n v="6"/>
    <n v="10.56"/>
    <x v="7"/>
  </r>
  <r>
    <x v="332"/>
    <s v="Виталюр"/>
    <s v="Борисов"/>
    <s v="Зелень"/>
    <s v="Лук зеленый"/>
    <n v="705"/>
    <n v="6"/>
    <n v="4.2300000000000004"/>
    <x v="7"/>
  </r>
  <r>
    <x v="332"/>
    <s v="Виталюр"/>
    <s v="Борисов"/>
    <s v="Овощи"/>
    <s v="Морковь"/>
    <n v="715"/>
    <n v="13"/>
    <n v="9.2949999999999999"/>
    <x v="7"/>
  </r>
  <r>
    <x v="332"/>
    <s v="Копеечка"/>
    <s v="Жодино"/>
    <s v="Зелень"/>
    <s v="Лук зеленый"/>
    <n v="705"/>
    <n v="14"/>
    <n v="9.8699999999999992"/>
    <x v="7"/>
  </r>
  <r>
    <x v="332"/>
    <s v="Копеечка"/>
    <s v="Жодино"/>
    <s v="Овощи"/>
    <s v="Баклажаны"/>
    <n v="890"/>
    <n v="44"/>
    <n v="39.159999999999997"/>
    <x v="7"/>
  </r>
  <r>
    <x v="332"/>
    <s v="Соседи"/>
    <s v="Минск"/>
    <s v="Фрукты"/>
    <s v="Груши"/>
    <n v="1420"/>
    <n v="34"/>
    <n v="48.28"/>
    <x v="7"/>
  </r>
  <r>
    <x v="332"/>
    <s v="Копеечка"/>
    <s v="Столбцы"/>
    <s v="Зелень"/>
    <s v="Петрушка"/>
    <n v="640"/>
    <n v="85"/>
    <n v="54.4"/>
    <x v="7"/>
  </r>
  <r>
    <x v="332"/>
    <s v="Копеечка"/>
    <s v="Столбцы"/>
    <s v="Овощи"/>
    <s v="Кабачки"/>
    <n v="325"/>
    <n v="89"/>
    <n v="28.925000000000001"/>
    <x v="7"/>
  </r>
  <r>
    <x v="332"/>
    <s v="Евроопт"/>
    <s v="Столбцы"/>
    <s v="Ягоды"/>
    <s v="Смородина черная"/>
    <n v="1505"/>
    <n v="53"/>
    <n v="79.765000000000001"/>
    <x v="7"/>
  </r>
  <r>
    <x v="332"/>
    <s v="Виталюр"/>
    <s v="Фаниполь"/>
    <s v="Зелень"/>
    <s v="Петрушка"/>
    <n v="640"/>
    <n v="66"/>
    <n v="42.24"/>
    <x v="7"/>
  </r>
  <r>
    <x v="332"/>
    <s v="Евроопт"/>
    <s v="Фаниполь"/>
    <s v="Ягоды"/>
    <s v="Смородина черная"/>
    <n v="1505"/>
    <n v="41"/>
    <n v="61.704999999999998"/>
    <x v="7"/>
  </r>
  <r>
    <x v="333"/>
    <m/>
    <m/>
    <m/>
    <m/>
    <m/>
    <m/>
    <n v="409.89"/>
    <x v="7"/>
  </r>
  <r>
    <x v="334"/>
    <s v="Виталюр"/>
    <s v="Барановичи"/>
    <s v="Зелень"/>
    <s v="Салат айсберг"/>
    <n v="1380"/>
    <n v="72"/>
    <n v="99.36"/>
    <x v="7"/>
  </r>
  <r>
    <x v="334"/>
    <s v="Виталюр"/>
    <s v="Борисов"/>
    <s v="Ягоды"/>
    <s v="Черешня"/>
    <n v="1760"/>
    <n v="39"/>
    <n v="68.64"/>
    <x v="7"/>
  </r>
  <r>
    <x v="334"/>
    <s v="Копеечка"/>
    <s v="Жодино"/>
    <s v="Зелень"/>
    <s v="Салат айсберг"/>
    <n v="1380"/>
    <n v="61"/>
    <n v="84.18"/>
    <x v="7"/>
  </r>
  <r>
    <x v="334"/>
    <s v="Евроопт"/>
    <s v="Жодино"/>
    <s v="Зелень"/>
    <s v="Салат айсберг"/>
    <n v="1380"/>
    <n v="55"/>
    <n v="75.900000000000006"/>
    <x v="7"/>
  </r>
  <r>
    <x v="334"/>
    <s v="Копеечка"/>
    <s v="Жодино"/>
    <s v="Овощи"/>
    <s v="Капуста"/>
    <n v="460"/>
    <n v="78"/>
    <n v="35.880000000000003"/>
    <x v="7"/>
  </r>
  <r>
    <x v="334"/>
    <s v="Копеечка"/>
    <s v="Жодино"/>
    <s v="Фрукты"/>
    <s v="Сливы"/>
    <n v="930"/>
    <n v="87"/>
    <n v="80.91"/>
    <x v="7"/>
  </r>
  <r>
    <x v="334"/>
    <s v="Соседи"/>
    <s v="Жодино"/>
    <s v="Фрукты"/>
    <s v="Апельсины"/>
    <n v="2540"/>
    <n v="69"/>
    <n v="175.26"/>
    <x v="7"/>
  </r>
  <r>
    <x v="334"/>
    <s v="Копеечка"/>
    <s v="Минск"/>
    <s v="Овощи"/>
    <s v="Морковь"/>
    <n v="715"/>
    <n v="97"/>
    <n v="69.355000000000004"/>
    <x v="7"/>
  </r>
  <r>
    <x v="334"/>
    <s v="Евроопт"/>
    <s v="Минск"/>
    <s v="Фрукты"/>
    <s v="Груши"/>
    <n v="1420"/>
    <n v="44"/>
    <n v="62.48"/>
    <x v="7"/>
  </r>
  <r>
    <x v="334"/>
    <s v="Виталюр"/>
    <s v="Минск"/>
    <s v="Фрукты"/>
    <s v="Яблоки"/>
    <n v="1230"/>
    <n v="48"/>
    <n v="59.04"/>
    <x v="7"/>
  </r>
  <r>
    <x v="334"/>
    <s v="Виталюр"/>
    <s v="Минск"/>
    <s v="Ягоды"/>
    <s v="Черешня"/>
    <n v="1760"/>
    <n v="14"/>
    <n v="24.64"/>
    <x v="7"/>
  </r>
  <r>
    <x v="334"/>
    <s v="Соседи"/>
    <s v="Столбцы"/>
    <s v="Овощи"/>
    <s v="Морковь"/>
    <n v="715"/>
    <n v="76"/>
    <n v="54.34"/>
    <x v="7"/>
  </r>
  <r>
    <x v="334"/>
    <s v="Виталюр"/>
    <s v="Фаниполь"/>
    <s v="Овощи"/>
    <s v="Свекла"/>
    <n v="450"/>
    <n v="27"/>
    <n v="12.15"/>
    <x v="7"/>
  </r>
  <r>
    <x v="335"/>
    <m/>
    <m/>
    <m/>
    <m/>
    <m/>
    <m/>
    <n v="902.13499999999999"/>
    <x v="7"/>
  </r>
  <r>
    <x v="336"/>
    <s v="Соседи"/>
    <s v="Барановичи"/>
    <s v="Зелень"/>
    <s v="Салат айсберг"/>
    <n v="1380"/>
    <n v="46"/>
    <n v="63.48"/>
    <x v="7"/>
  </r>
  <r>
    <x v="336"/>
    <s v="Копеечка"/>
    <s v="Барановичи"/>
    <s v="Фрукты"/>
    <s v="Груши"/>
    <n v="1420"/>
    <n v="44"/>
    <n v="62.48"/>
    <x v="7"/>
  </r>
  <r>
    <x v="336"/>
    <s v="Соседи"/>
    <s v="Борисов"/>
    <s v="Ягоды"/>
    <s v="Клубника"/>
    <n v="2460"/>
    <n v="78"/>
    <n v="191.88"/>
    <x v="7"/>
  </r>
  <r>
    <x v="336"/>
    <s v="Евроопт"/>
    <s v="Борисов"/>
    <s v="Ягоды"/>
    <s v="Малина"/>
    <n v="2970"/>
    <n v="26"/>
    <n v="77.22"/>
    <x v="7"/>
  </r>
  <r>
    <x v="336"/>
    <s v="Копеечка"/>
    <s v="Жодино"/>
    <s v="Фрукты"/>
    <s v="Абрикосы"/>
    <n v="1320"/>
    <n v="88"/>
    <n v="116.16"/>
    <x v="7"/>
  </r>
  <r>
    <x v="336"/>
    <s v="Соседи"/>
    <s v="Жодино"/>
    <s v="Ягоды"/>
    <s v="Клубника"/>
    <n v="2460"/>
    <n v="41"/>
    <n v="100.86"/>
    <x v="7"/>
  </r>
  <r>
    <x v="336"/>
    <s v="Виталюр"/>
    <s v="Минск"/>
    <s v="Зелень"/>
    <s v="Кинза"/>
    <n v="650"/>
    <n v="74"/>
    <n v="48.1"/>
    <x v="7"/>
  </r>
  <r>
    <x v="336"/>
    <s v="Виталюр"/>
    <s v="Минск"/>
    <s v="Зелень"/>
    <s v="Кинза"/>
    <n v="650"/>
    <n v="75"/>
    <n v="48.75"/>
    <x v="7"/>
  </r>
  <r>
    <x v="336"/>
    <s v="Соседи"/>
    <s v="Фаниполь"/>
    <s v="Ягоды"/>
    <s v="Смородина черная"/>
    <n v="1505"/>
    <n v="100"/>
    <n v="150.5"/>
    <x v="7"/>
  </r>
  <r>
    <x v="336"/>
    <s v="Соседи"/>
    <s v="Фаниполь"/>
    <s v="Ягоды"/>
    <s v="Малина"/>
    <n v="2970"/>
    <n v="47"/>
    <n v="139.59"/>
    <x v="7"/>
  </r>
  <r>
    <x v="336"/>
    <s v="Копеечка"/>
    <s v="Фаниполь"/>
    <s v="Ягоды"/>
    <s v="Голубика"/>
    <n v="3205"/>
    <n v="76"/>
    <n v="243.58"/>
    <x v="7"/>
  </r>
  <r>
    <x v="337"/>
    <m/>
    <m/>
    <m/>
    <m/>
    <m/>
    <m/>
    <n v="1242.5999999999999"/>
    <x v="7"/>
  </r>
  <r>
    <x v="338"/>
    <s v="Виталюр"/>
    <s v="Барановичи"/>
    <s v="Овощи"/>
    <s v="Картофель"/>
    <n v="690"/>
    <n v="57"/>
    <n v="39.33"/>
    <x v="7"/>
  </r>
  <r>
    <x v="338"/>
    <s v="Копеечка"/>
    <s v="Барановичи"/>
    <s v="Овощи"/>
    <s v="Баклажаны"/>
    <n v="890"/>
    <n v="82"/>
    <n v="72.98"/>
    <x v="7"/>
  </r>
  <r>
    <x v="338"/>
    <s v="Соседи"/>
    <s v="Барановичи"/>
    <s v="Фрукты"/>
    <s v="Яблоки"/>
    <n v="1230"/>
    <n v="92"/>
    <n v="113.16"/>
    <x v="7"/>
  </r>
  <r>
    <x v="338"/>
    <s v="Копеечка"/>
    <s v="Барановичи"/>
    <s v="Фрукты"/>
    <s v="Сливы"/>
    <n v="930"/>
    <n v="80"/>
    <n v="74.400000000000006"/>
    <x v="7"/>
  </r>
  <r>
    <x v="338"/>
    <s v="Копеечка"/>
    <s v="Борисов"/>
    <s v="Фрукты"/>
    <s v="Абрикосы"/>
    <n v="1320"/>
    <n v="70"/>
    <n v="92.4"/>
    <x v="7"/>
  </r>
  <r>
    <x v="338"/>
    <s v="Виталюр"/>
    <s v="Жодино"/>
    <s v="Зелень"/>
    <s v="Кинза"/>
    <n v="650"/>
    <n v="48"/>
    <n v="31.2"/>
    <x v="7"/>
  </r>
  <r>
    <x v="338"/>
    <s v="Евроопт"/>
    <s v="Жодино"/>
    <s v="Ягоды"/>
    <s v="Голубика"/>
    <n v="3205"/>
    <n v="70"/>
    <n v="224.35"/>
    <x v="7"/>
  </r>
  <r>
    <x v="338"/>
    <s v="Евроопт"/>
    <s v="Жодино"/>
    <s v="Ягоды"/>
    <s v="Черешня"/>
    <n v="1760"/>
    <n v="29"/>
    <n v="51.04"/>
    <x v="7"/>
  </r>
  <r>
    <x v="338"/>
    <s v="Евроопт"/>
    <s v="Минск"/>
    <s v="Овощи"/>
    <s v="Капуста"/>
    <n v="460"/>
    <n v="96"/>
    <n v="44.16"/>
    <x v="7"/>
  </r>
  <r>
    <x v="338"/>
    <s v="Соседи"/>
    <s v="Минск"/>
    <s v="Фрукты"/>
    <s v="Бананы"/>
    <n v="2400"/>
    <n v="96"/>
    <n v="230.4"/>
    <x v="7"/>
  </r>
  <r>
    <x v="338"/>
    <s v="Виталюр"/>
    <s v="Столбцы"/>
    <s v="Овощи"/>
    <s v="Свекла"/>
    <n v="450"/>
    <n v="7"/>
    <n v="3.15"/>
    <x v="7"/>
  </r>
  <r>
    <x v="338"/>
    <s v="Копеечка"/>
    <s v="Фаниполь"/>
    <s v="Фрукты"/>
    <s v="Бананы"/>
    <n v="2400"/>
    <n v="32"/>
    <n v="76.8"/>
    <x v="7"/>
  </r>
  <r>
    <x v="339"/>
    <m/>
    <m/>
    <m/>
    <m/>
    <m/>
    <m/>
    <n v="1053.3699999999999"/>
    <x v="7"/>
  </r>
  <r>
    <x v="340"/>
    <s v="Виталюр"/>
    <s v="Барановичи"/>
    <s v="Зелень"/>
    <s v="Лук зеленый"/>
    <n v="705"/>
    <n v="26"/>
    <n v="18.329999999999998"/>
    <x v="7"/>
  </r>
  <r>
    <x v="340"/>
    <s v="Виталюр"/>
    <s v="Барановичи"/>
    <s v="Овощи"/>
    <s v="Картофель"/>
    <n v="690"/>
    <n v="21"/>
    <n v="14.49"/>
    <x v="7"/>
  </r>
  <r>
    <x v="340"/>
    <s v="Виталюр"/>
    <s v="Барановичи"/>
    <s v="Фрукты"/>
    <s v="Бананы"/>
    <n v="2400"/>
    <n v="83"/>
    <n v="199.2"/>
    <x v="7"/>
  </r>
  <r>
    <x v="340"/>
    <s v="Соседи"/>
    <s v="Барановичи"/>
    <s v="Ягоды"/>
    <s v="Голубика"/>
    <n v="3205"/>
    <n v="55"/>
    <n v="176.27500000000001"/>
    <x v="7"/>
  </r>
  <r>
    <x v="340"/>
    <s v="Соседи"/>
    <s v="Борисов"/>
    <s v="Овощи"/>
    <s v="Кабачки"/>
    <n v="325"/>
    <n v="85"/>
    <n v="27.625"/>
    <x v="7"/>
  </r>
  <r>
    <x v="340"/>
    <s v="Соседи"/>
    <s v="Минск"/>
    <s v="Фрукты"/>
    <s v="Сливы"/>
    <n v="930"/>
    <n v="40"/>
    <n v="37.200000000000003"/>
    <x v="7"/>
  </r>
  <r>
    <x v="340"/>
    <s v="Копеечка"/>
    <s v="Минск"/>
    <s v="Фрукты"/>
    <s v="Бананы"/>
    <n v="2400"/>
    <n v="94"/>
    <n v="225.6"/>
    <x v="7"/>
  </r>
  <r>
    <x v="340"/>
    <s v="Копеечка"/>
    <s v="Столбцы"/>
    <s v="Овощи"/>
    <s v="Баклажаны"/>
    <n v="890"/>
    <n v="100"/>
    <n v="89"/>
    <x v="7"/>
  </r>
  <r>
    <x v="340"/>
    <s v="Соседи"/>
    <s v="Фаниполь"/>
    <s v="Зелень"/>
    <s v="Салат римский"/>
    <n v="540"/>
    <n v="53"/>
    <n v="28.62"/>
    <x v="7"/>
  </r>
  <r>
    <x v="340"/>
    <s v="Копеечка"/>
    <s v="Фаниполь"/>
    <s v="Зелень"/>
    <s v="Лук зеленый"/>
    <n v="705"/>
    <n v="29"/>
    <n v="20.445"/>
    <x v="7"/>
  </r>
  <r>
    <x v="340"/>
    <s v="Виталюр"/>
    <s v="Фаниполь"/>
    <s v="Фрукты"/>
    <s v="Абрикосы"/>
    <n v="1320"/>
    <n v="42"/>
    <n v="55.44"/>
    <x v="7"/>
  </r>
  <r>
    <x v="340"/>
    <s v="Евроопт"/>
    <s v="Фаниполь"/>
    <s v="Ягоды"/>
    <s v="Брусника"/>
    <n v="1670"/>
    <n v="76"/>
    <n v="126.92"/>
    <x v="7"/>
  </r>
  <r>
    <x v="341"/>
    <m/>
    <m/>
    <m/>
    <m/>
    <m/>
    <m/>
    <n v="1019.1449999999999"/>
    <x v="7"/>
  </r>
  <r>
    <x v="342"/>
    <s v="Копеечка"/>
    <s v="Барановичи"/>
    <s v="Овощи"/>
    <s v="Баклажаны"/>
    <n v="890"/>
    <n v="28"/>
    <n v="24.92"/>
    <x v="7"/>
  </r>
  <r>
    <x v="342"/>
    <s v="Копеечка"/>
    <s v="Барановичи"/>
    <s v="Ягоды"/>
    <s v="Смородина черная"/>
    <n v="1505"/>
    <n v="75"/>
    <n v="112.875"/>
    <x v="7"/>
  </r>
  <r>
    <x v="342"/>
    <s v="Копеечка"/>
    <s v="Борисов"/>
    <s v="Овощи"/>
    <s v="Кабачки"/>
    <n v="325"/>
    <n v="71"/>
    <n v="23.074999999999999"/>
    <x v="7"/>
  </r>
  <r>
    <x v="342"/>
    <s v="Соседи"/>
    <s v="Жодино"/>
    <s v="Овощи"/>
    <s v="Баклажаны"/>
    <n v="890"/>
    <n v="26"/>
    <n v="23.14"/>
    <x v="7"/>
  </r>
  <r>
    <x v="342"/>
    <s v="Евроопт"/>
    <s v="Жодино"/>
    <s v="Ягоды"/>
    <s v="Брусника"/>
    <n v="1670"/>
    <n v="82"/>
    <n v="136.94"/>
    <x v="7"/>
  </r>
  <r>
    <x v="342"/>
    <s v="Виталюр"/>
    <s v="Жодино"/>
    <s v="Ягоды"/>
    <s v="Клубника"/>
    <n v="2460"/>
    <n v="74"/>
    <n v="182.04"/>
    <x v="7"/>
  </r>
  <r>
    <x v="342"/>
    <s v="Копеечка"/>
    <s v="Минск"/>
    <s v="Овощи"/>
    <s v="Картофель"/>
    <n v="690"/>
    <n v="66"/>
    <n v="45.54"/>
    <x v="7"/>
  </r>
  <r>
    <x v="342"/>
    <s v="Соседи"/>
    <s v="Минск"/>
    <s v="Ягоды"/>
    <s v="Малина"/>
    <n v="2970"/>
    <n v="68"/>
    <n v="201.96"/>
    <x v="7"/>
  </r>
  <r>
    <x v="342"/>
    <s v="Копеечка"/>
    <s v="Столбцы"/>
    <s v="Зелень"/>
    <s v="Салат римский"/>
    <n v="540"/>
    <n v="23"/>
    <n v="12.42"/>
    <x v="7"/>
  </r>
  <r>
    <x v="342"/>
    <s v="Евроопт"/>
    <s v="Столбцы"/>
    <s v="Овощи"/>
    <s v="Свекла"/>
    <n v="450"/>
    <n v="62"/>
    <n v="27.9"/>
    <x v="7"/>
  </r>
  <r>
    <x v="342"/>
    <s v="Копеечка"/>
    <s v="Столбцы"/>
    <s v="Фрукты"/>
    <s v="Абрикосы"/>
    <n v="1320"/>
    <n v="27"/>
    <n v="35.64"/>
    <x v="7"/>
  </r>
  <r>
    <x v="342"/>
    <s v="Соседи"/>
    <s v="Столбцы"/>
    <s v="Ягоды"/>
    <s v="Смородина черная"/>
    <n v="1505"/>
    <n v="67"/>
    <n v="100.83499999999999"/>
    <x v="7"/>
  </r>
  <r>
    <x v="342"/>
    <s v="Евроопт"/>
    <s v="Фаниполь"/>
    <s v="Зелень"/>
    <s v="Кинза"/>
    <n v="650"/>
    <n v="51"/>
    <n v="33.15"/>
    <x v="7"/>
  </r>
  <r>
    <x v="343"/>
    <m/>
    <m/>
    <m/>
    <m/>
    <m/>
    <m/>
    <n v="960.43499999999995"/>
    <x v="7"/>
  </r>
  <r>
    <x v="344"/>
    <s v="Соседи"/>
    <s v="Барановичи"/>
    <s v="Зелень"/>
    <s v="Салат айсберг"/>
    <n v="1380"/>
    <n v="32"/>
    <n v="44.16"/>
    <x v="7"/>
  </r>
  <r>
    <x v="344"/>
    <s v="Соседи"/>
    <s v="Барановичи"/>
    <s v="Ягоды"/>
    <s v="Малина"/>
    <n v="2970"/>
    <n v="95"/>
    <n v="282.14999999999998"/>
    <x v="7"/>
  </r>
  <r>
    <x v="344"/>
    <s v="Копеечка"/>
    <s v="Борисов"/>
    <s v="Зелень"/>
    <s v="Петрушка"/>
    <n v="640"/>
    <n v="56"/>
    <n v="35.840000000000003"/>
    <x v="7"/>
  </r>
  <r>
    <x v="344"/>
    <s v="Соседи"/>
    <s v="Борисов"/>
    <s v="Зелень"/>
    <s v="Салат римский"/>
    <n v="540"/>
    <n v="58"/>
    <n v="31.32"/>
    <x v="7"/>
  </r>
  <r>
    <x v="344"/>
    <s v="Виталюр"/>
    <s v="Борисов"/>
    <s v="Фрукты"/>
    <s v="Бананы"/>
    <n v="2400"/>
    <n v="17"/>
    <n v="40.799999999999997"/>
    <x v="7"/>
  </r>
  <r>
    <x v="344"/>
    <s v="Евроопт"/>
    <s v="Минск"/>
    <s v="Фрукты"/>
    <s v="Апельсины"/>
    <n v="2540"/>
    <n v="66"/>
    <n v="167.64"/>
    <x v="7"/>
  </r>
  <r>
    <x v="344"/>
    <s v="Копеечка"/>
    <s v="Столбцы"/>
    <s v="Овощи"/>
    <s v="Капуста"/>
    <n v="460"/>
    <n v="21"/>
    <n v="9.66"/>
    <x v="7"/>
  </r>
  <r>
    <x v="344"/>
    <s v="Евроопт"/>
    <s v="Столбцы"/>
    <s v="Овощи"/>
    <s v="Картофель"/>
    <n v="690"/>
    <n v="39"/>
    <n v="26.91"/>
    <x v="7"/>
  </r>
  <r>
    <x v="344"/>
    <s v="Евроопт"/>
    <s v="Фаниполь"/>
    <s v="Фрукты"/>
    <s v="Апельсины"/>
    <n v="2540"/>
    <n v="57"/>
    <n v="144.78"/>
    <x v="7"/>
  </r>
  <r>
    <x v="345"/>
    <m/>
    <m/>
    <m/>
    <m/>
    <m/>
    <m/>
    <n v="783.25999999999988"/>
    <x v="7"/>
  </r>
  <r>
    <x v="346"/>
    <s v="Виталюр"/>
    <s v="Барановичи"/>
    <s v="Фрукты"/>
    <s v="Бананы"/>
    <n v="2400"/>
    <n v="89"/>
    <n v="213.6"/>
    <x v="7"/>
  </r>
  <r>
    <x v="346"/>
    <s v="Копеечка"/>
    <s v="Барановичи"/>
    <s v="Ягоды"/>
    <s v="Смородина черная"/>
    <n v="1505"/>
    <n v="33"/>
    <n v="49.664999999999999"/>
    <x v="7"/>
  </r>
  <r>
    <x v="346"/>
    <s v="Евроопт"/>
    <s v="Жодино"/>
    <s v="Овощи"/>
    <s v="Капуста"/>
    <n v="460"/>
    <n v="88"/>
    <n v="40.479999999999997"/>
    <x v="7"/>
  </r>
  <r>
    <x v="346"/>
    <s v="Соседи"/>
    <s v="Жодино"/>
    <s v="Овощи"/>
    <s v="Морковь"/>
    <n v="715"/>
    <n v="69"/>
    <n v="49.335000000000001"/>
    <x v="7"/>
  </r>
  <r>
    <x v="346"/>
    <s v="Виталюр"/>
    <s v="Жодино"/>
    <s v="Фрукты"/>
    <s v="Яблоки"/>
    <n v="1230"/>
    <n v="90"/>
    <n v="110.7"/>
    <x v="7"/>
  </r>
  <r>
    <x v="346"/>
    <s v="Копеечка"/>
    <s v="Минск"/>
    <s v="Зелень"/>
    <s v="Салат айсберг"/>
    <n v="1380"/>
    <n v="58"/>
    <n v="80.040000000000006"/>
    <x v="7"/>
  </r>
  <r>
    <x v="346"/>
    <s v="Копеечка"/>
    <s v="Минск"/>
    <s v="Зелень"/>
    <s v="Салат айсберг"/>
    <n v="1380"/>
    <n v="66"/>
    <n v="91.08"/>
    <x v="7"/>
  </r>
  <r>
    <x v="346"/>
    <s v="Соседи"/>
    <s v="Минск"/>
    <s v="Зелень"/>
    <s v="Кинза"/>
    <n v="650"/>
    <n v="8"/>
    <n v="5.2"/>
    <x v="7"/>
  </r>
  <r>
    <x v="346"/>
    <s v="Виталюр"/>
    <s v="Минск"/>
    <s v="Ягоды"/>
    <s v="Голубика"/>
    <n v="3205"/>
    <n v="85"/>
    <n v="272.42500000000001"/>
    <x v="7"/>
  </r>
  <r>
    <x v="346"/>
    <s v="Виталюр"/>
    <s v="Столбцы"/>
    <s v="Зелень"/>
    <s v="Кинза"/>
    <n v="650"/>
    <n v="31"/>
    <n v="20.149999999999999"/>
    <x v="7"/>
  </r>
  <r>
    <x v="346"/>
    <s v="Соседи"/>
    <s v="Фаниполь"/>
    <s v="Ягоды"/>
    <s v="Малина"/>
    <n v="2970"/>
    <n v="47"/>
    <n v="139.59"/>
    <x v="7"/>
  </r>
  <r>
    <x v="347"/>
    <m/>
    <m/>
    <m/>
    <m/>
    <m/>
    <m/>
    <n v="1072.2650000000001"/>
    <x v="7"/>
  </r>
  <r>
    <x v="348"/>
    <s v="Виталюр"/>
    <s v="Барановичи"/>
    <s v="Овощи"/>
    <s v="Картофель"/>
    <n v="690"/>
    <n v="21"/>
    <n v="14.49"/>
    <x v="7"/>
  </r>
  <r>
    <x v="348"/>
    <s v="Виталюр"/>
    <s v="Барановичи"/>
    <s v="Фрукты"/>
    <s v="Груши"/>
    <n v="1420"/>
    <n v="51"/>
    <n v="72.42"/>
    <x v="7"/>
  </r>
  <r>
    <x v="348"/>
    <s v="Соседи"/>
    <s v="Барановичи"/>
    <s v="Фрукты"/>
    <s v="Бананы"/>
    <n v="2400"/>
    <n v="40"/>
    <n v="96"/>
    <x v="7"/>
  </r>
  <r>
    <x v="348"/>
    <s v="Евроопт"/>
    <s v="Барановичи"/>
    <s v="Фрукты"/>
    <s v="Груши"/>
    <n v="1420"/>
    <n v="76"/>
    <n v="107.92"/>
    <x v="7"/>
  </r>
  <r>
    <x v="348"/>
    <s v="Евроопт"/>
    <s v="Жодино"/>
    <s v="Овощи"/>
    <s v="Морковь"/>
    <n v="715"/>
    <n v="7"/>
    <n v="5.0049999999999999"/>
    <x v="7"/>
  </r>
  <r>
    <x v="348"/>
    <s v="Копеечка"/>
    <s v="Минск"/>
    <s v="Зелень"/>
    <s v="Укроп"/>
    <n v="650"/>
    <n v="75"/>
    <n v="48.75"/>
    <x v="7"/>
  </r>
  <r>
    <x v="348"/>
    <s v="Евроопт"/>
    <s v="Минск"/>
    <s v="Зелень"/>
    <s v="Салат римский"/>
    <n v="540"/>
    <n v="5"/>
    <n v="2.7"/>
    <x v="7"/>
  </r>
  <r>
    <x v="348"/>
    <s v="Соседи"/>
    <s v="Минск"/>
    <s v="Овощи"/>
    <s v="Свекла"/>
    <n v="450"/>
    <n v="56"/>
    <n v="25.2"/>
    <x v="7"/>
  </r>
  <r>
    <x v="348"/>
    <s v="Виталюр"/>
    <s v="Столбцы"/>
    <s v="Зелень"/>
    <s v="Кинза"/>
    <n v="650"/>
    <n v="23"/>
    <n v="14.95"/>
    <x v="7"/>
  </r>
  <r>
    <x v="348"/>
    <s v="Виталюр"/>
    <s v="Столбцы"/>
    <s v="Фрукты"/>
    <s v="Груши"/>
    <n v="1420"/>
    <n v="7"/>
    <n v="9.94"/>
    <x v="7"/>
  </r>
  <r>
    <x v="348"/>
    <s v="Соседи"/>
    <s v="Фаниполь"/>
    <s v="Овощи"/>
    <s v="Кабачки"/>
    <n v="325"/>
    <n v="61"/>
    <n v="19.824999999999999"/>
    <x v="7"/>
  </r>
  <r>
    <x v="349"/>
    <m/>
    <m/>
    <m/>
    <m/>
    <m/>
    <m/>
    <n v="417.19999999999993"/>
    <x v="7"/>
  </r>
  <r>
    <x v="350"/>
    <s v="Виталюр"/>
    <s v="Барановичи"/>
    <s v="Зелень"/>
    <s v="Петрушка"/>
    <n v="640"/>
    <n v="17"/>
    <n v="10.88"/>
    <x v="7"/>
  </r>
  <r>
    <x v="350"/>
    <s v="Соседи"/>
    <s v="Барановичи"/>
    <s v="Зелень"/>
    <s v="Лук зеленый"/>
    <n v="705"/>
    <n v="40"/>
    <n v="28.2"/>
    <x v="7"/>
  </r>
  <r>
    <x v="350"/>
    <s v="Копеечка"/>
    <s v="Барановичи"/>
    <s v="Овощи"/>
    <s v="Морковь"/>
    <n v="715"/>
    <n v="58"/>
    <n v="41.47"/>
    <x v="7"/>
  </r>
  <r>
    <x v="350"/>
    <s v="Соседи"/>
    <s v="Борисов"/>
    <s v="Зелень"/>
    <s v="Салат римский"/>
    <n v="540"/>
    <n v="11"/>
    <n v="5.94"/>
    <x v="7"/>
  </r>
  <r>
    <x v="350"/>
    <s v="Соседи"/>
    <s v="Борисов"/>
    <s v="Фрукты"/>
    <s v="Апельсины"/>
    <n v="2540"/>
    <n v="21"/>
    <n v="53.34"/>
    <x v="7"/>
  </r>
  <r>
    <x v="350"/>
    <s v="Соседи"/>
    <s v="Минск"/>
    <s v="Овощи"/>
    <s v="Свекла"/>
    <n v="450"/>
    <n v="66"/>
    <n v="29.7"/>
    <x v="7"/>
  </r>
  <r>
    <x v="350"/>
    <s v="Евроопт"/>
    <s v="Минск"/>
    <s v="Фрукты"/>
    <s v="Сливы"/>
    <n v="930"/>
    <n v="96"/>
    <n v="89.28"/>
    <x v="7"/>
  </r>
  <r>
    <x v="350"/>
    <s v="Евроопт"/>
    <s v="Фаниполь"/>
    <s v="Овощи"/>
    <s v="Свекла"/>
    <n v="450"/>
    <n v="48"/>
    <n v="21.6"/>
    <x v="7"/>
  </r>
  <r>
    <x v="351"/>
    <m/>
    <m/>
    <m/>
    <m/>
    <m/>
    <m/>
    <n v="280.40999999999997"/>
    <x v="7"/>
  </r>
  <r>
    <x v="352"/>
    <s v="Виталюр"/>
    <s v="Барановичи"/>
    <s v="Зелень"/>
    <s v="Петрушка"/>
    <n v="640"/>
    <n v="72"/>
    <n v="46.08"/>
    <x v="7"/>
  </r>
  <r>
    <x v="352"/>
    <s v="Виталюр"/>
    <s v="Барановичи"/>
    <s v="Зелень"/>
    <s v="Салат римский"/>
    <n v="540"/>
    <n v="51"/>
    <n v="27.54"/>
    <x v="7"/>
  </r>
  <r>
    <x v="352"/>
    <s v="Евроопт"/>
    <s v="Борисов"/>
    <s v="Овощи"/>
    <s v="Баклажаны"/>
    <n v="890"/>
    <n v="38"/>
    <n v="33.82"/>
    <x v="7"/>
  </r>
  <r>
    <x v="352"/>
    <s v="Соседи"/>
    <s v="Жодино"/>
    <s v="Фрукты"/>
    <s v="Груши"/>
    <n v="1420"/>
    <n v="91"/>
    <n v="129.22"/>
    <x v="7"/>
  </r>
  <r>
    <x v="352"/>
    <s v="Соседи"/>
    <s v="Фаниполь"/>
    <s v="Зелень"/>
    <s v="Салат римский"/>
    <n v="540"/>
    <n v="56"/>
    <n v="30.24"/>
    <x v="7"/>
  </r>
  <r>
    <x v="352"/>
    <s v="Виталюр"/>
    <s v="Фаниполь"/>
    <s v="Зелень"/>
    <s v="Салат айсберг"/>
    <n v="1380"/>
    <n v="53"/>
    <n v="73.14"/>
    <x v="7"/>
  </r>
  <r>
    <x v="352"/>
    <s v="Виталюр"/>
    <s v="Фаниполь"/>
    <s v="Овощи"/>
    <s v="Баклажаны"/>
    <n v="890"/>
    <n v="67"/>
    <n v="59.63"/>
    <x v="7"/>
  </r>
  <r>
    <x v="352"/>
    <s v="Соседи"/>
    <s v="Фаниполь"/>
    <s v="Ягоды"/>
    <s v="Малина"/>
    <n v="2970"/>
    <n v="29"/>
    <n v="86.13"/>
    <x v="7"/>
  </r>
  <r>
    <x v="353"/>
    <m/>
    <m/>
    <m/>
    <m/>
    <m/>
    <m/>
    <n v="485.79999999999995"/>
    <x v="7"/>
  </r>
  <r>
    <x v="354"/>
    <s v="Копеечка"/>
    <s v="Борисов"/>
    <s v="Фрукты"/>
    <s v="Яблоки"/>
    <n v="1230"/>
    <n v="93"/>
    <n v="114.39"/>
    <x v="7"/>
  </r>
  <r>
    <x v="354"/>
    <s v="Виталюр"/>
    <s v="Минск"/>
    <s v="Овощи"/>
    <s v="Баклажаны"/>
    <n v="890"/>
    <n v="26"/>
    <n v="23.14"/>
    <x v="7"/>
  </r>
  <r>
    <x v="354"/>
    <s v="Копеечка"/>
    <s v="Минск"/>
    <s v="Фрукты"/>
    <s v="Апельсины"/>
    <n v="2540"/>
    <n v="97"/>
    <n v="246.38"/>
    <x v="7"/>
  </r>
  <r>
    <x v="354"/>
    <s v="Евроопт"/>
    <s v="Минск"/>
    <s v="Фрукты"/>
    <s v="Груши"/>
    <n v="1420"/>
    <n v="45"/>
    <n v="63.9"/>
    <x v="7"/>
  </r>
  <r>
    <x v="354"/>
    <s v="Евроопт"/>
    <s v="Столбцы"/>
    <s v="Зелень"/>
    <s v="Кинза"/>
    <n v="650"/>
    <n v="30"/>
    <n v="19.5"/>
    <x v="7"/>
  </r>
  <r>
    <x v="354"/>
    <s v="Копеечка"/>
    <s v="Фаниполь"/>
    <s v="Ягоды"/>
    <s v="Клубника"/>
    <n v="2460"/>
    <n v="84"/>
    <n v="206.64"/>
    <x v="7"/>
  </r>
  <r>
    <x v="355"/>
    <m/>
    <m/>
    <m/>
    <m/>
    <m/>
    <m/>
    <n v="673.94999999999993"/>
    <x v="7"/>
  </r>
  <r>
    <x v="356"/>
    <s v="Соседи"/>
    <s v="Барановичи"/>
    <s v="Ягоды"/>
    <s v="Голубика"/>
    <n v="3205"/>
    <n v="82"/>
    <n v="262.81"/>
    <x v="7"/>
  </r>
  <r>
    <x v="356"/>
    <s v="Соседи"/>
    <s v="Жодино"/>
    <s v="Зелень"/>
    <s v="Кинза"/>
    <n v="650"/>
    <n v="9"/>
    <n v="5.85"/>
    <x v="7"/>
  </r>
  <r>
    <x v="356"/>
    <s v="Виталюр"/>
    <s v="Минск"/>
    <s v="Фрукты"/>
    <s v="Яблоки"/>
    <n v="1230"/>
    <n v="36"/>
    <n v="44.28"/>
    <x v="7"/>
  </r>
  <r>
    <x v="356"/>
    <s v="Евроопт"/>
    <s v="Столбцы"/>
    <s v="Зелень"/>
    <s v="Укроп"/>
    <n v="650"/>
    <n v="15"/>
    <n v="9.75"/>
    <x v="7"/>
  </r>
  <r>
    <x v="356"/>
    <s v="Виталюр"/>
    <s v="Столбцы"/>
    <s v="Фрукты"/>
    <s v="Груши"/>
    <n v="1420"/>
    <n v="54"/>
    <n v="76.680000000000007"/>
    <x v="7"/>
  </r>
  <r>
    <x v="356"/>
    <s v="Копеечка"/>
    <s v="Фаниполь"/>
    <s v="Овощи"/>
    <s v="Капуста"/>
    <n v="460"/>
    <n v="8"/>
    <n v="3.68"/>
    <x v="7"/>
  </r>
  <r>
    <x v="357"/>
    <m/>
    <m/>
    <m/>
    <m/>
    <m/>
    <m/>
    <n v="403.05000000000007"/>
    <x v="7"/>
  </r>
  <r>
    <x v="358"/>
    <s v="Копеечка"/>
    <s v="Барановичи"/>
    <s v="Овощи"/>
    <s v="Картофель"/>
    <n v="690"/>
    <n v="68"/>
    <n v="46.92"/>
    <x v="7"/>
  </r>
  <r>
    <x v="358"/>
    <s v="Евроопт"/>
    <s v="Барановичи"/>
    <s v="Фрукты"/>
    <s v="Апельсины"/>
    <n v="2540"/>
    <n v="81"/>
    <n v="205.74"/>
    <x v="7"/>
  </r>
  <r>
    <x v="358"/>
    <s v="Копеечка"/>
    <s v="Жодино"/>
    <s v="Зелень"/>
    <s v="Укроп"/>
    <n v="650"/>
    <n v="84"/>
    <n v="54.6"/>
    <x v="7"/>
  </r>
  <r>
    <x v="358"/>
    <s v="Копеечка"/>
    <s v="Жодино"/>
    <s v="Фрукты"/>
    <s v="Бананы"/>
    <n v="2400"/>
    <n v="54"/>
    <n v="129.6"/>
    <x v="7"/>
  </r>
  <r>
    <x v="358"/>
    <s v="Евроопт"/>
    <s v="Жодино"/>
    <s v="Фрукты"/>
    <s v="Яблоки"/>
    <n v="1230"/>
    <n v="27"/>
    <n v="33.21"/>
    <x v="7"/>
  </r>
  <r>
    <x v="358"/>
    <s v="Соседи"/>
    <s v="Минск"/>
    <s v="Зелень"/>
    <s v="Лук зеленый"/>
    <n v="705"/>
    <n v="85"/>
    <n v="59.924999999999997"/>
    <x v="7"/>
  </r>
  <r>
    <x v="358"/>
    <s v="Соседи"/>
    <s v="Минск"/>
    <s v="Ягоды"/>
    <s v="Голубика"/>
    <n v="3205"/>
    <n v="41"/>
    <n v="131.405"/>
    <x v="7"/>
  </r>
  <r>
    <x v="358"/>
    <s v="Копеечка"/>
    <s v="Минск"/>
    <s v="Ягоды"/>
    <s v="Малина"/>
    <n v="2970"/>
    <n v="8"/>
    <n v="23.76"/>
    <x v="7"/>
  </r>
  <r>
    <x v="358"/>
    <s v="Копеечка"/>
    <s v="Столбцы"/>
    <s v="Овощи"/>
    <s v="Свекла"/>
    <n v="450"/>
    <n v="86"/>
    <n v="38.700000000000003"/>
    <x v="7"/>
  </r>
  <r>
    <x v="359"/>
    <m/>
    <m/>
    <m/>
    <m/>
    <m/>
    <m/>
    <n v="723.86"/>
    <x v="7"/>
  </r>
  <r>
    <x v="360"/>
    <s v="Соседи"/>
    <s v="Барановичи"/>
    <s v="Овощи"/>
    <s v="Кабачки"/>
    <n v="325"/>
    <n v="99"/>
    <n v="32.174999999999997"/>
    <x v="7"/>
  </r>
  <r>
    <x v="360"/>
    <s v="Соседи"/>
    <s v="Борисов"/>
    <s v="Фрукты"/>
    <s v="Бананы"/>
    <n v="2400"/>
    <n v="91"/>
    <n v="218.4"/>
    <x v="7"/>
  </r>
  <r>
    <x v="360"/>
    <s v="Евроопт"/>
    <s v="Борисов"/>
    <s v="Ягоды"/>
    <s v="Смородина черная"/>
    <n v="1505"/>
    <n v="86"/>
    <n v="129.43"/>
    <x v="7"/>
  </r>
  <r>
    <x v="360"/>
    <s v="Евроопт"/>
    <s v="Жодино"/>
    <s v="Зелень"/>
    <s v="Лук зеленый"/>
    <n v="705"/>
    <n v="25"/>
    <n v="17.625"/>
    <x v="7"/>
  </r>
  <r>
    <x v="360"/>
    <s v="Соседи"/>
    <s v="Жодино"/>
    <s v="Овощи"/>
    <s v="Баклажаны"/>
    <n v="890"/>
    <n v="63"/>
    <n v="56.07"/>
    <x v="7"/>
  </r>
  <r>
    <x v="360"/>
    <s v="Копеечка"/>
    <s v="Минск"/>
    <s v="Овощи"/>
    <s v="Кабачки"/>
    <n v="325"/>
    <n v="18"/>
    <n v="5.85"/>
    <x v="7"/>
  </r>
  <r>
    <x v="360"/>
    <s v="Соседи"/>
    <s v="Минск"/>
    <s v="Овощи"/>
    <s v="Свекла"/>
    <n v="450"/>
    <n v="56"/>
    <n v="25.2"/>
    <x v="7"/>
  </r>
  <r>
    <x v="360"/>
    <s v="Соседи"/>
    <s v="Минск"/>
    <s v="Фрукты"/>
    <s v="Сливы"/>
    <n v="930"/>
    <n v="30"/>
    <n v="27.9"/>
    <x v="7"/>
  </r>
  <r>
    <x v="360"/>
    <s v="Соседи"/>
    <s v="Минск"/>
    <s v="Ягоды"/>
    <s v="Черешня"/>
    <n v="1760"/>
    <n v="25"/>
    <n v="44"/>
    <x v="7"/>
  </r>
  <r>
    <x v="360"/>
    <s v="Виталюр"/>
    <s v="Столбцы"/>
    <s v="Овощи"/>
    <s v="Кабачки"/>
    <n v="325"/>
    <n v="26"/>
    <n v="8.4499999999999993"/>
    <x v="7"/>
  </r>
  <r>
    <x v="360"/>
    <s v="Виталюр"/>
    <s v="Фаниполь"/>
    <s v="Ягоды"/>
    <s v="Клубника"/>
    <n v="2460"/>
    <n v="22"/>
    <n v="54.12"/>
    <x v="7"/>
  </r>
  <r>
    <x v="361"/>
    <m/>
    <m/>
    <m/>
    <m/>
    <m/>
    <m/>
    <n v="619.22"/>
    <x v="7"/>
  </r>
  <r>
    <x v="362"/>
    <s v="Соседи"/>
    <s v="Барановичи"/>
    <s v="Зелень"/>
    <s v="Укроп"/>
    <n v="650"/>
    <n v="33"/>
    <n v="21.45"/>
    <x v="7"/>
  </r>
  <r>
    <x v="362"/>
    <s v="Копеечка"/>
    <s v="Барановичи"/>
    <s v="Овощи"/>
    <s v="Кабачки"/>
    <n v="325"/>
    <n v="31"/>
    <n v="10.074999999999999"/>
    <x v="7"/>
  </r>
  <r>
    <x v="362"/>
    <s v="Копеечка"/>
    <s v="Барановичи"/>
    <s v="Фрукты"/>
    <s v="Груши"/>
    <n v="1420"/>
    <n v="19"/>
    <n v="26.98"/>
    <x v="7"/>
  </r>
  <r>
    <x v="362"/>
    <s v="Соседи"/>
    <s v="Жодино"/>
    <s v="Фрукты"/>
    <s v="Груши"/>
    <n v="1420"/>
    <n v="40"/>
    <n v="56.8"/>
    <x v="7"/>
  </r>
  <r>
    <x v="362"/>
    <s v="Виталюр"/>
    <s v="Столбцы"/>
    <s v="Овощи"/>
    <s v="Капуста"/>
    <n v="460"/>
    <n v="36"/>
    <n v="16.559999999999999"/>
    <x v="7"/>
  </r>
  <r>
    <x v="363"/>
    <m/>
    <m/>
    <m/>
    <m/>
    <m/>
    <m/>
    <n v="131.86499999999998"/>
    <x v="1"/>
  </r>
  <r>
    <x v="364"/>
    <s v="Соседи"/>
    <s v="Барановичи"/>
    <s v="Овощи"/>
    <s v="Капуста"/>
    <n v="460"/>
    <n v="70"/>
    <n v="32.200000000000003"/>
    <x v="8"/>
  </r>
  <r>
    <x v="364"/>
    <s v="Евроопт"/>
    <s v="Барановичи"/>
    <s v="Фрукты"/>
    <s v="Яблоки"/>
    <n v="1230"/>
    <n v="94"/>
    <n v="115.62"/>
    <x v="8"/>
  </r>
  <r>
    <x v="364"/>
    <s v="Евроопт"/>
    <s v="Жодино"/>
    <s v="Ягоды"/>
    <s v="Брусника"/>
    <n v="1670"/>
    <n v="73"/>
    <n v="121.91"/>
    <x v="8"/>
  </r>
  <r>
    <x v="364"/>
    <s v="Соседи"/>
    <s v="Минск"/>
    <s v="Фрукты"/>
    <s v="Апельсины"/>
    <n v="2540"/>
    <n v="92"/>
    <n v="233.68"/>
    <x v="8"/>
  </r>
  <r>
    <x v="364"/>
    <s v="Евроопт"/>
    <s v="Минск"/>
    <s v="Ягоды"/>
    <s v="Голубика"/>
    <n v="3205"/>
    <n v="57"/>
    <n v="182.685"/>
    <x v="8"/>
  </r>
  <r>
    <x v="364"/>
    <s v="Евроопт"/>
    <s v="Столбцы"/>
    <s v="Зелень"/>
    <s v="Укроп"/>
    <n v="650"/>
    <n v="31"/>
    <n v="20.149999999999999"/>
    <x v="8"/>
  </r>
  <r>
    <x v="364"/>
    <s v="Евроопт"/>
    <s v="Столбцы"/>
    <s v="Фрукты"/>
    <s v="Сливы"/>
    <n v="930"/>
    <n v="47"/>
    <n v="43.71"/>
    <x v="8"/>
  </r>
  <r>
    <x v="364"/>
    <s v="Виталюр"/>
    <s v="Столбцы"/>
    <s v="Фрукты"/>
    <s v="Яблоки"/>
    <n v="1230"/>
    <n v="17"/>
    <n v="20.91"/>
    <x v="8"/>
  </r>
  <r>
    <x v="364"/>
    <s v="Виталюр"/>
    <s v="Фаниполь"/>
    <s v="Овощи"/>
    <s v="Кабачки"/>
    <n v="325"/>
    <n v="15"/>
    <n v="4.875"/>
    <x v="8"/>
  </r>
  <r>
    <x v="365"/>
    <m/>
    <m/>
    <m/>
    <m/>
    <m/>
    <m/>
    <n v="775.74"/>
    <x v="8"/>
  </r>
  <r>
    <x v="366"/>
    <s v="Соседи"/>
    <s v="Барановичи"/>
    <s v="Зелень"/>
    <s v="Салат айсберг"/>
    <n v="1380"/>
    <n v="68"/>
    <n v="93.84"/>
    <x v="8"/>
  </r>
  <r>
    <x v="366"/>
    <s v="Соседи"/>
    <s v="Барановичи"/>
    <s v="Овощи"/>
    <s v="Баклажаны"/>
    <n v="890"/>
    <n v="26"/>
    <n v="23.14"/>
    <x v="8"/>
  </r>
  <r>
    <x v="366"/>
    <s v="Евроопт"/>
    <s v="Барановичи"/>
    <s v="Фрукты"/>
    <s v="Яблоки"/>
    <n v="1230"/>
    <n v="37"/>
    <n v="45.51"/>
    <x v="8"/>
  </r>
  <r>
    <x v="366"/>
    <s v="Копеечка"/>
    <s v="Барановичи"/>
    <s v="Ягоды"/>
    <s v="Малина"/>
    <n v="2970"/>
    <n v="16"/>
    <n v="47.52"/>
    <x v="8"/>
  </r>
  <r>
    <x v="366"/>
    <s v="Евроопт"/>
    <s v="Барановичи"/>
    <s v="Ягоды"/>
    <s v="Смородина черная"/>
    <n v="1505"/>
    <n v="78"/>
    <n v="117.39"/>
    <x v="8"/>
  </r>
  <r>
    <x v="366"/>
    <s v="Евроопт"/>
    <s v="Борисов"/>
    <s v="Овощи"/>
    <s v="Баклажаны"/>
    <n v="890"/>
    <n v="86"/>
    <n v="76.540000000000006"/>
    <x v="8"/>
  </r>
  <r>
    <x v="366"/>
    <s v="Копеечка"/>
    <s v="Борисов"/>
    <s v="Ягоды"/>
    <s v="Малина"/>
    <n v="2970"/>
    <n v="97"/>
    <n v="288.08999999999997"/>
    <x v="8"/>
  </r>
  <r>
    <x v="366"/>
    <s v="Соседи"/>
    <s v="Борисов"/>
    <s v="Ягоды"/>
    <s v="Малина"/>
    <n v="2970"/>
    <n v="87"/>
    <n v="258.39"/>
    <x v="8"/>
  </r>
  <r>
    <x v="366"/>
    <s v="Соседи"/>
    <s v="Жодино"/>
    <s v="Ягоды"/>
    <s v="Малина"/>
    <n v="2970"/>
    <n v="86"/>
    <n v="255.42"/>
    <x v="8"/>
  </r>
  <r>
    <x v="366"/>
    <s v="Евроопт"/>
    <s v="Столбцы"/>
    <s v="Зелень"/>
    <s v="Петрушка"/>
    <n v="640"/>
    <n v="48"/>
    <n v="30.72"/>
    <x v="8"/>
  </r>
  <r>
    <x v="367"/>
    <m/>
    <m/>
    <m/>
    <m/>
    <m/>
    <m/>
    <n v="1236.56"/>
    <x v="8"/>
  </r>
  <r>
    <x v="368"/>
    <s v="Соседи"/>
    <s v="Барановичи"/>
    <s v="Овощи"/>
    <s v="Картофель"/>
    <n v="690"/>
    <n v="61"/>
    <n v="42.09"/>
    <x v="8"/>
  </r>
  <r>
    <x v="368"/>
    <s v="Копеечка"/>
    <s v="Барановичи"/>
    <s v="Фрукты"/>
    <s v="Апельсины"/>
    <n v="2540"/>
    <n v="56"/>
    <n v="142.24"/>
    <x v="8"/>
  </r>
  <r>
    <x v="368"/>
    <s v="Виталюр"/>
    <s v="Барановичи"/>
    <s v="Фрукты"/>
    <s v="Яблоки"/>
    <n v="1230"/>
    <n v="20"/>
    <n v="24.6"/>
    <x v="8"/>
  </r>
  <r>
    <x v="368"/>
    <s v="Евроопт"/>
    <s v="Борисов"/>
    <s v="Овощи"/>
    <s v="Морковь"/>
    <n v="715"/>
    <n v="70"/>
    <n v="50.05"/>
    <x v="8"/>
  </r>
  <r>
    <x v="368"/>
    <s v="Виталюр"/>
    <s v="Борисов"/>
    <s v="Овощи"/>
    <s v="Капуста"/>
    <n v="460"/>
    <n v="90"/>
    <n v="41.4"/>
    <x v="8"/>
  </r>
  <r>
    <x v="368"/>
    <s v="Виталюр"/>
    <s v="Борисов"/>
    <s v="Фрукты"/>
    <s v="Сливы"/>
    <n v="930"/>
    <n v="11"/>
    <n v="10.23"/>
    <x v="8"/>
  </r>
  <r>
    <x v="368"/>
    <s v="Соседи"/>
    <s v="Борисов"/>
    <s v="Ягоды"/>
    <s v="Смородина черная"/>
    <n v="1505"/>
    <n v="52"/>
    <n v="78.260000000000005"/>
    <x v="8"/>
  </r>
  <r>
    <x v="368"/>
    <s v="Копеечка"/>
    <s v="Минск"/>
    <s v="Овощи"/>
    <s v="Кабачки"/>
    <n v="325"/>
    <n v="87"/>
    <n v="28.274999999999999"/>
    <x v="8"/>
  </r>
  <r>
    <x v="368"/>
    <s v="Копеечка"/>
    <s v="Столбцы"/>
    <s v="Овощи"/>
    <s v="Морковь"/>
    <n v="715"/>
    <n v="82"/>
    <n v="58.63"/>
    <x v="8"/>
  </r>
  <r>
    <x v="368"/>
    <s v="Копеечка"/>
    <s v="Фаниполь"/>
    <s v="Фрукты"/>
    <s v="Яблоки"/>
    <n v="1230"/>
    <n v="81"/>
    <n v="99.63"/>
    <x v="8"/>
  </r>
  <r>
    <x v="369"/>
    <m/>
    <m/>
    <m/>
    <m/>
    <m/>
    <m/>
    <n v="575.40499999999997"/>
    <x v="8"/>
  </r>
  <r>
    <x v="370"/>
    <s v="Евроопт"/>
    <s v="Барановичи"/>
    <s v="Зелень"/>
    <s v="Салат римский"/>
    <n v="540"/>
    <n v="56"/>
    <n v="30.24"/>
    <x v="8"/>
  </r>
  <r>
    <x v="370"/>
    <s v="Виталюр"/>
    <s v="Барановичи"/>
    <s v="Фрукты"/>
    <s v="Груши"/>
    <n v="1420"/>
    <n v="52"/>
    <n v="73.84"/>
    <x v="8"/>
  </r>
  <r>
    <x v="370"/>
    <s v="Виталюр"/>
    <s v="Барановичи"/>
    <s v="Ягоды"/>
    <s v="Смородина черная"/>
    <n v="1505"/>
    <n v="7"/>
    <n v="10.535"/>
    <x v="8"/>
  </r>
  <r>
    <x v="370"/>
    <s v="Евроопт"/>
    <s v="Барановичи"/>
    <s v="Ягоды"/>
    <s v="Черешня"/>
    <n v="1760"/>
    <n v="94"/>
    <n v="165.44"/>
    <x v="8"/>
  </r>
  <r>
    <x v="370"/>
    <s v="Копеечка"/>
    <s v="Борисов"/>
    <s v="Зелень"/>
    <s v="Лук зеленый"/>
    <n v="705"/>
    <n v="97"/>
    <n v="68.385000000000005"/>
    <x v="8"/>
  </r>
  <r>
    <x v="370"/>
    <s v="Соседи"/>
    <s v="Борисов"/>
    <s v="Ягоды"/>
    <s v="Смородина черная"/>
    <n v="1505"/>
    <n v="45"/>
    <n v="67.724999999999994"/>
    <x v="8"/>
  </r>
  <r>
    <x v="370"/>
    <s v="Виталюр"/>
    <s v="Борисов"/>
    <s v="Ягоды"/>
    <s v="Клубника"/>
    <n v="2460"/>
    <n v="73"/>
    <n v="179.58"/>
    <x v="8"/>
  </r>
  <r>
    <x v="370"/>
    <s v="Копеечка"/>
    <s v="Минск"/>
    <s v="Овощи"/>
    <s v="Морковь"/>
    <n v="715"/>
    <n v="47"/>
    <n v="33.604999999999997"/>
    <x v="8"/>
  </r>
  <r>
    <x v="370"/>
    <s v="Соседи"/>
    <s v="Минск"/>
    <s v="Фрукты"/>
    <s v="Апельсины"/>
    <n v="2540"/>
    <n v="32"/>
    <n v="81.28"/>
    <x v="8"/>
  </r>
  <r>
    <x v="370"/>
    <s v="Соседи"/>
    <s v="Столбцы"/>
    <s v="Зелень"/>
    <s v="Салат айсберг"/>
    <n v="1380"/>
    <n v="54"/>
    <n v="74.52"/>
    <x v="8"/>
  </r>
  <r>
    <x v="370"/>
    <s v="Виталюр"/>
    <s v="Фаниполь"/>
    <s v="Овощи"/>
    <s v="Морковь"/>
    <n v="715"/>
    <n v="69"/>
    <n v="49.335000000000001"/>
    <x v="8"/>
  </r>
  <r>
    <x v="371"/>
    <m/>
    <m/>
    <m/>
    <m/>
    <m/>
    <m/>
    <n v="834.48500000000001"/>
    <x v="8"/>
  </r>
  <r>
    <x v="372"/>
    <s v="Копеечка"/>
    <s v="Минск"/>
    <s v="Зелень"/>
    <s v="Петрушка"/>
    <n v="640"/>
    <n v="34"/>
    <n v="21.76"/>
    <x v="8"/>
  </r>
  <r>
    <x v="372"/>
    <s v="Евроопт"/>
    <s v="Фаниполь"/>
    <s v="Фрукты"/>
    <s v="Сливы"/>
    <n v="930"/>
    <n v="63"/>
    <n v="58.59"/>
    <x v="8"/>
  </r>
  <r>
    <x v="373"/>
    <m/>
    <m/>
    <m/>
    <m/>
    <m/>
    <m/>
    <n v="80.350000000000009"/>
    <x v="8"/>
  </r>
  <r>
    <x v="374"/>
    <s v="Копеечка"/>
    <s v="Борисов"/>
    <s v="Зелень"/>
    <s v="Лук зеленый"/>
    <n v="705"/>
    <n v="65"/>
    <n v="45.825000000000003"/>
    <x v="8"/>
  </r>
  <r>
    <x v="374"/>
    <s v="Копеечка"/>
    <s v="Борисов"/>
    <s v="Овощи"/>
    <s v="Кабачки"/>
    <n v="325"/>
    <n v="46"/>
    <n v="14.95"/>
    <x v="8"/>
  </r>
  <r>
    <x v="374"/>
    <s v="Копеечка"/>
    <s v="Жодино"/>
    <s v="Овощи"/>
    <s v="Баклажаны"/>
    <n v="890"/>
    <n v="68"/>
    <n v="60.52"/>
    <x v="8"/>
  </r>
  <r>
    <x v="374"/>
    <s v="Соседи"/>
    <s v="Минск"/>
    <s v="Зелень"/>
    <s v="Лук зеленый"/>
    <n v="705"/>
    <n v="36"/>
    <n v="25.38"/>
    <x v="8"/>
  </r>
  <r>
    <x v="374"/>
    <s v="Соседи"/>
    <s v="Минск"/>
    <s v="Ягоды"/>
    <s v="Черешня"/>
    <n v="1760"/>
    <n v="36"/>
    <n v="63.36"/>
    <x v="8"/>
  </r>
  <r>
    <x v="374"/>
    <s v="Соседи"/>
    <s v="Минск"/>
    <s v="Ягоды"/>
    <s v="Малина"/>
    <n v="2970"/>
    <n v="76"/>
    <n v="225.72"/>
    <x v="8"/>
  </r>
  <r>
    <x v="374"/>
    <s v="Евроопт"/>
    <s v="Столбцы"/>
    <s v="Зелень"/>
    <s v="Салат римский"/>
    <n v="540"/>
    <n v="100"/>
    <n v="54"/>
    <x v="8"/>
  </r>
  <r>
    <x v="374"/>
    <s v="Соседи"/>
    <s v="Столбцы"/>
    <s v="Фрукты"/>
    <s v="Сливы"/>
    <n v="930"/>
    <n v="58"/>
    <n v="53.94"/>
    <x v="8"/>
  </r>
  <r>
    <x v="375"/>
    <m/>
    <m/>
    <m/>
    <m/>
    <m/>
    <m/>
    <n v="543.69499999999994"/>
    <x v="8"/>
  </r>
  <r>
    <x v="376"/>
    <s v="Копеечка"/>
    <s v="Барановичи"/>
    <s v="Овощи"/>
    <s v="Картофель"/>
    <n v="690"/>
    <n v="30"/>
    <n v="20.7"/>
    <x v="8"/>
  </r>
  <r>
    <x v="376"/>
    <s v="Евроопт"/>
    <s v="Барановичи"/>
    <s v="Овощи"/>
    <s v="Свекла"/>
    <n v="450"/>
    <n v="43"/>
    <n v="19.350000000000001"/>
    <x v="8"/>
  </r>
  <r>
    <x v="376"/>
    <s v="Соседи"/>
    <s v="Барановичи"/>
    <s v="Фрукты"/>
    <s v="Бананы"/>
    <n v="2400"/>
    <n v="69"/>
    <n v="165.6"/>
    <x v="8"/>
  </r>
  <r>
    <x v="376"/>
    <s v="Копеечка"/>
    <s v="Борисов"/>
    <s v="Зелень"/>
    <s v="Салат айсберг"/>
    <n v="1380"/>
    <n v="57"/>
    <n v="78.66"/>
    <x v="8"/>
  </r>
  <r>
    <x v="376"/>
    <s v="Копеечка"/>
    <s v="Борисов"/>
    <s v="Овощи"/>
    <s v="Свекла"/>
    <n v="450"/>
    <n v="80"/>
    <n v="36"/>
    <x v="8"/>
  </r>
  <r>
    <x v="376"/>
    <s v="Соседи"/>
    <s v="Жодино"/>
    <s v="Фрукты"/>
    <s v="Бананы"/>
    <n v="2400"/>
    <n v="45"/>
    <n v="108"/>
    <x v="8"/>
  </r>
  <r>
    <x v="376"/>
    <s v="Евроопт"/>
    <s v="Минск"/>
    <s v="Овощи"/>
    <s v="Морковь"/>
    <n v="715"/>
    <n v="73"/>
    <n v="52.195"/>
    <x v="8"/>
  </r>
  <r>
    <x v="376"/>
    <s v="Копеечка"/>
    <s v="Минск"/>
    <s v="Фрукты"/>
    <s v="Бананы"/>
    <n v="2400"/>
    <n v="43"/>
    <n v="103.2"/>
    <x v="8"/>
  </r>
  <r>
    <x v="376"/>
    <s v="Соседи"/>
    <s v="Столбцы"/>
    <s v="Овощи"/>
    <s v="Баклажаны"/>
    <n v="890"/>
    <n v="50"/>
    <n v="44.5"/>
    <x v="8"/>
  </r>
  <r>
    <x v="376"/>
    <s v="Копеечка"/>
    <s v="Столбцы"/>
    <s v="Ягоды"/>
    <s v="Малина"/>
    <n v="2970"/>
    <n v="95"/>
    <n v="282.14999999999998"/>
    <x v="8"/>
  </r>
  <r>
    <x v="377"/>
    <m/>
    <m/>
    <m/>
    <m/>
    <m/>
    <m/>
    <n v="910.3549999999999"/>
    <x v="8"/>
  </r>
  <r>
    <x v="378"/>
    <s v="Виталюр"/>
    <s v="Барановичи"/>
    <s v="Зелень"/>
    <s v="Салат римский"/>
    <n v="540"/>
    <n v="68"/>
    <n v="36.72"/>
    <x v="8"/>
  </r>
  <r>
    <x v="378"/>
    <s v="Виталюр"/>
    <s v="Барановичи"/>
    <s v="Ягоды"/>
    <s v="Клубника"/>
    <n v="2460"/>
    <n v="21"/>
    <n v="51.66"/>
    <x v="8"/>
  </r>
  <r>
    <x v="378"/>
    <s v="Соседи"/>
    <s v="Жодино"/>
    <s v="Зелень"/>
    <s v="Салат римский"/>
    <n v="540"/>
    <n v="21"/>
    <n v="11.34"/>
    <x v="8"/>
  </r>
  <r>
    <x v="378"/>
    <s v="Евроопт"/>
    <s v="Жодино"/>
    <s v="Зелень"/>
    <s v="Салат айсберг"/>
    <n v="1380"/>
    <n v="96"/>
    <n v="132.47999999999999"/>
    <x v="8"/>
  </r>
  <r>
    <x v="378"/>
    <s v="Виталюр"/>
    <s v="Жодино"/>
    <s v="Фрукты"/>
    <s v="Груши"/>
    <n v="1420"/>
    <n v="66"/>
    <n v="93.72"/>
    <x v="8"/>
  </r>
  <r>
    <x v="378"/>
    <s v="Виталюр"/>
    <s v="Жодино"/>
    <s v="Ягоды"/>
    <s v="Клубника"/>
    <n v="2460"/>
    <n v="38"/>
    <n v="93.48"/>
    <x v="8"/>
  </r>
  <r>
    <x v="378"/>
    <s v="Копеечка"/>
    <s v="Минск"/>
    <s v="Фрукты"/>
    <s v="Яблоки"/>
    <n v="1230"/>
    <n v="35"/>
    <n v="43.05"/>
    <x v="8"/>
  </r>
  <r>
    <x v="378"/>
    <s v="Копеечка"/>
    <s v="Минск"/>
    <s v="Ягоды"/>
    <s v="Голубика"/>
    <n v="3205"/>
    <n v="38"/>
    <n v="121.79"/>
    <x v="8"/>
  </r>
  <r>
    <x v="378"/>
    <s v="Евроопт"/>
    <s v="Столбцы"/>
    <s v="Фрукты"/>
    <s v="Бананы"/>
    <n v="2400"/>
    <n v="88"/>
    <n v="211.2"/>
    <x v="8"/>
  </r>
  <r>
    <x v="378"/>
    <s v="Соседи"/>
    <s v="Столбцы"/>
    <s v="Ягоды"/>
    <s v="Черешня"/>
    <n v="1760"/>
    <n v="39"/>
    <n v="68.64"/>
    <x v="8"/>
  </r>
  <r>
    <x v="378"/>
    <s v="Евроопт"/>
    <s v="Фаниполь"/>
    <s v="Фрукты"/>
    <s v="Сливы"/>
    <n v="930"/>
    <n v="76"/>
    <n v="70.680000000000007"/>
    <x v="8"/>
  </r>
  <r>
    <x v="378"/>
    <s v="Виталюр"/>
    <s v="Фаниполь"/>
    <s v="Фрукты"/>
    <s v="Бананы"/>
    <n v="2400"/>
    <n v="65"/>
    <n v="156"/>
    <x v="8"/>
  </r>
  <r>
    <x v="379"/>
    <m/>
    <m/>
    <m/>
    <m/>
    <m/>
    <m/>
    <n v="1090.76"/>
    <x v="8"/>
  </r>
  <r>
    <x v="380"/>
    <s v="Соседи"/>
    <s v="Барановичи"/>
    <s v="Овощи"/>
    <s v="Свекла"/>
    <n v="450"/>
    <n v="43"/>
    <n v="19.350000000000001"/>
    <x v="8"/>
  </r>
  <r>
    <x v="380"/>
    <s v="Евроопт"/>
    <s v="Борисов"/>
    <s v="Зелень"/>
    <s v="Лук зеленый"/>
    <n v="705"/>
    <n v="80"/>
    <n v="56.4"/>
    <x v="8"/>
  </r>
  <r>
    <x v="380"/>
    <s v="Копеечка"/>
    <s v="Борисов"/>
    <s v="Зелень"/>
    <s v="Кинза"/>
    <n v="650"/>
    <n v="69"/>
    <n v="44.85"/>
    <x v="8"/>
  </r>
  <r>
    <x v="380"/>
    <s v="Виталюр"/>
    <s v="Борисов"/>
    <s v="Зелень"/>
    <s v="Петрушка"/>
    <n v="640"/>
    <n v="81"/>
    <n v="51.84"/>
    <x v="8"/>
  </r>
  <r>
    <x v="380"/>
    <s v="Виталюр"/>
    <s v="Борисов"/>
    <s v="Овощи"/>
    <s v="Кабачки"/>
    <n v="325"/>
    <n v="64"/>
    <n v="20.8"/>
    <x v="8"/>
  </r>
  <r>
    <x v="380"/>
    <s v="Евроопт"/>
    <s v="Борисов"/>
    <s v="Ягоды"/>
    <s v="Брусника"/>
    <n v="1670"/>
    <n v="100"/>
    <n v="167"/>
    <x v="8"/>
  </r>
  <r>
    <x v="380"/>
    <s v="Евроопт"/>
    <s v="Борисов"/>
    <s v="Ягоды"/>
    <s v="Малина"/>
    <n v="2970"/>
    <n v="12"/>
    <n v="35.64"/>
    <x v="8"/>
  </r>
  <r>
    <x v="380"/>
    <s v="Соседи"/>
    <s v="Борисов"/>
    <s v="Ягоды"/>
    <s v="Клубника"/>
    <n v="2460"/>
    <n v="23"/>
    <n v="56.58"/>
    <x v="8"/>
  </r>
  <r>
    <x v="380"/>
    <s v="Соседи"/>
    <s v="Жодино"/>
    <s v="Овощи"/>
    <s v="Морковь"/>
    <n v="715"/>
    <n v="80"/>
    <n v="57.2"/>
    <x v="8"/>
  </r>
  <r>
    <x v="380"/>
    <s v="Евроопт"/>
    <s v="Жодино"/>
    <s v="Ягоды"/>
    <s v="Малина"/>
    <n v="2970"/>
    <n v="47"/>
    <n v="139.59"/>
    <x v="8"/>
  </r>
  <r>
    <x v="380"/>
    <s v="Соседи"/>
    <s v="Минск"/>
    <s v="Ягоды"/>
    <s v="Клубника"/>
    <n v="2460"/>
    <n v="54"/>
    <n v="132.84"/>
    <x v="8"/>
  </r>
  <r>
    <x v="380"/>
    <s v="Евроопт"/>
    <s v="Столбцы"/>
    <s v="Ягоды"/>
    <s v="Смородина черная"/>
    <n v="1505"/>
    <n v="31"/>
    <n v="46.655000000000001"/>
    <x v="8"/>
  </r>
  <r>
    <x v="380"/>
    <s v="Евроопт"/>
    <s v="Столбцы"/>
    <s v="Ягоды"/>
    <s v="Смородина черная"/>
    <n v="1505"/>
    <n v="22"/>
    <n v="33.11"/>
    <x v="8"/>
  </r>
  <r>
    <x v="380"/>
    <s v="Виталюр"/>
    <s v="Фаниполь"/>
    <s v="Овощи"/>
    <s v="Кабачки"/>
    <n v="325"/>
    <n v="77"/>
    <n v="25.024999999999999"/>
    <x v="8"/>
  </r>
  <r>
    <x v="381"/>
    <m/>
    <m/>
    <m/>
    <m/>
    <m/>
    <m/>
    <n v="886.88"/>
    <x v="8"/>
  </r>
  <r>
    <x v="382"/>
    <s v="Виталюр"/>
    <s v="Барановичи"/>
    <s v="Фрукты"/>
    <s v="Абрикосы"/>
    <n v="1320"/>
    <n v="31"/>
    <n v="40.92"/>
    <x v="8"/>
  </r>
  <r>
    <x v="382"/>
    <s v="Копеечка"/>
    <s v="Барановичи"/>
    <s v="Фрукты"/>
    <s v="Абрикосы"/>
    <n v="1320"/>
    <n v="46"/>
    <n v="60.72"/>
    <x v="8"/>
  </r>
  <r>
    <x v="382"/>
    <s v="Евроопт"/>
    <s v="Борисов"/>
    <s v="Зелень"/>
    <s v="Петрушка"/>
    <n v="640"/>
    <n v="23"/>
    <n v="14.72"/>
    <x v="8"/>
  </r>
  <r>
    <x v="382"/>
    <s v="Соседи"/>
    <s v="Жодино"/>
    <s v="Зелень"/>
    <s v="Кинза"/>
    <n v="650"/>
    <n v="15"/>
    <n v="9.75"/>
    <x v="8"/>
  </r>
  <r>
    <x v="382"/>
    <s v="Евроопт"/>
    <s v="Жодино"/>
    <s v="Фрукты"/>
    <s v="Абрикосы"/>
    <n v="1320"/>
    <n v="82"/>
    <n v="108.24"/>
    <x v="8"/>
  </r>
  <r>
    <x v="382"/>
    <s v="Копеечка"/>
    <s v="Минск"/>
    <s v="Фрукты"/>
    <s v="Бананы"/>
    <n v="2400"/>
    <n v="45"/>
    <n v="108"/>
    <x v="8"/>
  </r>
  <r>
    <x v="382"/>
    <s v="Евроопт"/>
    <s v="Минск"/>
    <s v="Фрукты"/>
    <s v="Бананы"/>
    <n v="2400"/>
    <n v="35"/>
    <n v="84"/>
    <x v="8"/>
  </r>
  <r>
    <x v="382"/>
    <s v="Евроопт"/>
    <s v="Минск"/>
    <s v="Ягоды"/>
    <s v="Голубика"/>
    <n v="3205"/>
    <n v="28"/>
    <n v="89.74"/>
    <x v="8"/>
  </r>
  <r>
    <x v="382"/>
    <s v="Виталюр"/>
    <s v="Столбцы"/>
    <s v="Зелень"/>
    <s v="Петрушка"/>
    <n v="640"/>
    <n v="68"/>
    <n v="43.52"/>
    <x v="8"/>
  </r>
  <r>
    <x v="382"/>
    <s v="Виталюр"/>
    <s v="Столбцы"/>
    <s v="Зелень"/>
    <s v="Салат айсберг"/>
    <n v="1380"/>
    <n v="89"/>
    <n v="122.82"/>
    <x v="8"/>
  </r>
  <r>
    <x v="382"/>
    <s v="Копеечка"/>
    <s v="Фаниполь"/>
    <s v="Овощи"/>
    <s v="Морковь"/>
    <n v="715"/>
    <n v="42"/>
    <n v="30.03"/>
    <x v="8"/>
  </r>
  <r>
    <x v="383"/>
    <m/>
    <m/>
    <m/>
    <m/>
    <m/>
    <m/>
    <n v="712.46"/>
    <x v="8"/>
  </r>
  <r>
    <x v="384"/>
    <s v="Евроопт"/>
    <s v="Барановичи"/>
    <s v="Фрукты"/>
    <s v="Сливы"/>
    <n v="930"/>
    <n v="67"/>
    <n v="62.31"/>
    <x v="8"/>
  </r>
  <r>
    <x v="384"/>
    <s v="Евроопт"/>
    <s v="Барановичи"/>
    <s v="Ягоды"/>
    <s v="Смородина черная"/>
    <n v="1505"/>
    <n v="80"/>
    <n v="120.4"/>
    <x v="8"/>
  </r>
  <r>
    <x v="384"/>
    <s v="Соседи"/>
    <s v="Борисов"/>
    <s v="Зелень"/>
    <s v="Лук зеленый"/>
    <n v="705"/>
    <n v="88"/>
    <n v="62.04"/>
    <x v="8"/>
  </r>
  <r>
    <x v="384"/>
    <s v="Евроопт"/>
    <s v="Борисов"/>
    <s v="Зелень"/>
    <s v="Лук зеленый"/>
    <n v="705"/>
    <n v="46"/>
    <n v="32.43"/>
    <x v="8"/>
  </r>
  <r>
    <x v="384"/>
    <s v="Копеечка"/>
    <s v="Жодино"/>
    <s v="Овощи"/>
    <s v="Картофель"/>
    <n v="690"/>
    <n v="93"/>
    <n v="64.17"/>
    <x v="8"/>
  </r>
  <r>
    <x v="384"/>
    <s v="Копеечка"/>
    <s v="Минск"/>
    <s v="Фрукты"/>
    <s v="Апельсины"/>
    <n v="2540"/>
    <n v="29"/>
    <n v="73.66"/>
    <x v="8"/>
  </r>
  <r>
    <x v="384"/>
    <s v="Копеечка"/>
    <s v="Минск"/>
    <s v="Фрукты"/>
    <s v="Бананы"/>
    <n v="2400"/>
    <n v="99"/>
    <n v="237.6"/>
    <x v="8"/>
  </r>
  <r>
    <x v="384"/>
    <s v="Виталюр"/>
    <s v="Минск"/>
    <s v="Фрукты"/>
    <s v="Бананы"/>
    <n v="2400"/>
    <n v="68"/>
    <n v="163.19999999999999"/>
    <x v="8"/>
  </r>
  <r>
    <x v="384"/>
    <s v="Виталюр"/>
    <s v="Столбцы"/>
    <s v="Зелень"/>
    <s v="Кинза"/>
    <n v="650"/>
    <n v="79"/>
    <n v="51.35"/>
    <x v="8"/>
  </r>
  <r>
    <x v="384"/>
    <s v="Евроопт"/>
    <s v="Столбцы"/>
    <s v="Овощи"/>
    <s v="Картофель"/>
    <n v="690"/>
    <n v="78"/>
    <n v="53.82"/>
    <x v="8"/>
  </r>
  <r>
    <x v="384"/>
    <s v="Соседи"/>
    <s v="Столбцы"/>
    <s v="Фрукты"/>
    <s v="Яблоки"/>
    <n v="1230"/>
    <n v="34"/>
    <n v="41.82"/>
    <x v="8"/>
  </r>
  <r>
    <x v="384"/>
    <s v="Копеечка"/>
    <s v="Столбцы"/>
    <s v="Фрукты"/>
    <s v="Сливы"/>
    <n v="930"/>
    <n v="32"/>
    <n v="29.76"/>
    <x v="8"/>
  </r>
  <r>
    <x v="384"/>
    <s v="Евроопт"/>
    <s v="Фаниполь"/>
    <s v="Фрукты"/>
    <s v="Груши"/>
    <n v="1420"/>
    <n v="12"/>
    <n v="17.04"/>
    <x v="8"/>
  </r>
  <r>
    <x v="385"/>
    <m/>
    <m/>
    <m/>
    <m/>
    <m/>
    <m/>
    <n v="1009.6"/>
    <x v="8"/>
  </r>
  <r>
    <x v="386"/>
    <s v="Соседи"/>
    <s v="Барановичи"/>
    <s v="Овощи"/>
    <s v="Кабачки"/>
    <n v="325"/>
    <n v="60"/>
    <n v="19.5"/>
    <x v="8"/>
  </r>
  <r>
    <x v="386"/>
    <s v="Соседи"/>
    <s v="Барановичи"/>
    <s v="Фрукты"/>
    <s v="Сливы"/>
    <n v="930"/>
    <n v="12"/>
    <n v="11.16"/>
    <x v="8"/>
  </r>
  <r>
    <x v="386"/>
    <s v="Виталюр"/>
    <s v="Барановичи"/>
    <s v="Ягоды"/>
    <s v="Смородина черная"/>
    <n v="1505"/>
    <n v="52"/>
    <n v="78.260000000000005"/>
    <x v="8"/>
  </r>
  <r>
    <x v="386"/>
    <s v="Копеечка"/>
    <s v="Борисов"/>
    <s v="Фрукты"/>
    <s v="Сливы"/>
    <n v="930"/>
    <n v="12"/>
    <n v="11.16"/>
    <x v="8"/>
  </r>
  <r>
    <x v="386"/>
    <s v="Евроопт"/>
    <s v="Борисов"/>
    <s v="Фрукты"/>
    <s v="Сливы"/>
    <n v="930"/>
    <n v="81"/>
    <n v="75.33"/>
    <x v="8"/>
  </r>
  <r>
    <x v="386"/>
    <s v="Копеечка"/>
    <s v="Жодино"/>
    <s v="Фрукты"/>
    <s v="Абрикосы"/>
    <n v="1320"/>
    <n v="80"/>
    <n v="105.6"/>
    <x v="8"/>
  </r>
  <r>
    <x v="386"/>
    <s v="Евроопт"/>
    <s v="Жодино"/>
    <s v="Фрукты"/>
    <s v="Яблоки"/>
    <n v="1230"/>
    <n v="40"/>
    <n v="49.2"/>
    <x v="8"/>
  </r>
  <r>
    <x v="386"/>
    <s v="Соседи"/>
    <s v="Минск"/>
    <s v="Зелень"/>
    <s v="Кинза"/>
    <n v="650"/>
    <n v="37"/>
    <n v="24.05"/>
    <x v="8"/>
  </r>
  <r>
    <x v="386"/>
    <s v="Копеечка"/>
    <s v="Минск"/>
    <s v="Овощи"/>
    <s v="Морковь"/>
    <n v="715"/>
    <n v="68"/>
    <n v="48.62"/>
    <x v="8"/>
  </r>
  <r>
    <x v="386"/>
    <s v="Евроопт"/>
    <s v="Минск"/>
    <s v="Овощи"/>
    <s v="Баклажаны"/>
    <n v="890"/>
    <n v="62"/>
    <n v="55.18"/>
    <x v="8"/>
  </r>
  <r>
    <x v="386"/>
    <s v="Виталюр"/>
    <s v="Столбцы"/>
    <s v="Зелень"/>
    <s v="Салат айсберг"/>
    <n v="1380"/>
    <n v="88"/>
    <n v="121.44"/>
    <x v="8"/>
  </r>
  <r>
    <x v="386"/>
    <s v="Евроопт"/>
    <s v="Столбцы"/>
    <s v="Ягоды"/>
    <s v="Брусника"/>
    <n v="1670"/>
    <n v="88"/>
    <n v="146.96"/>
    <x v="8"/>
  </r>
  <r>
    <x v="386"/>
    <s v="Соседи"/>
    <s v="Столбцы"/>
    <s v="Ягоды"/>
    <s v="Голубика"/>
    <n v="3205"/>
    <n v="12"/>
    <n v="38.46"/>
    <x v="8"/>
  </r>
  <r>
    <x v="386"/>
    <s v="Евроопт"/>
    <s v="Фаниполь"/>
    <s v="Зелень"/>
    <s v="Лук зеленый"/>
    <n v="705"/>
    <n v="61"/>
    <n v="43.005000000000003"/>
    <x v="8"/>
  </r>
  <r>
    <x v="386"/>
    <s v="Соседи"/>
    <s v="Фаниполь"/>
    <s v="Овощи"/>
    <s v="Картофель"/>
    <n v="690"/>
    <n v="42"/>
    <n v="28.98"/>
    <x v="8"/>
  </r>
  <r>
    <x v="386"/>
    <s v="Копеечка"/>
    <s v="Фаниполь"/>
    <s v="Овощи"/>
    <s v="Картофель"/>
    <n v="690"/>
    <n v="68"/>
    <n v="46.92"/>
    <x v="8"/>
  </r>
  <r>
    <x v="387"/>
    <m/>
    <m/>
    <m/>
    <m/>
    <m/>
    <m/>
    <n v="903.82500000000005"/>
    <x v="8"/>
  </r>
  <r>
    <x v="388"/>
    <s v="Копеечка"/>
    <s v="Барановичи"/>
    <s v="Фрукты"/>
    <s v="Груши"/>
    <n v="1420"/>
    <n v="67"/>
    <n v="95.14"/>
    <x v="8"/>
  </r>
  <r>
    <x v="388"/>
    <s v="Соседи"/>
    <s v="Жодино"/>
    <s v="Овощи"/>
    <s v="Морковь"/>
    <n v="715"/>
    <n v="39"/>
    <n v="27.885000000000002"/>
    <x v="8"/>
  </r>
  <r>
    <x v="388"/>
    <s v="Копеечка"/>
    <s v="Минск"/>
    <s v="Овощи"/>
    <s v="Морковь"/>
    <n v="715"/>
    <n v="25"/>
    <n v="17.875"/>
    <x v="8"/>
  </r>
  <r>
    <x v="388"/>
    <s v="Евроопт"/>
    <s v="Минск"/>
    <s v="Ягоды"/>
    <s v="Смородина черная"/>
    <n v="1505"/>
    <n v="12"/>
    <n v="18.059999999999999"/>
    <x v="8"/>
  </r>
  <r>
    <x v="388"/>
    <s v="Копеечка"/>
    <s v="Минск"/>
    <s v="Ягоды"/>
    <s v="Черешня"/>
    <n v="1760"/>
    <n v="92"/>
    <n v="161.91999999999999"/>
    <x v="8"/>
  </r>
  <r>
    <x v="388"/>
    <s v="Соседи"/>
    <s v="Столбцы"/>
    <s v="Фрукты"/>
    <s v="Сливы"/>
    <n v="930"/>
    <n v="7"/>
    <n v="6.51"/>
    <x v="8"/>
  </r>
  <r>
    <x v="388"/>
    <s v="Евроопт"/>
    <s v="Столбцы"/>
    <s v="Фрукты"/>
    <s v="Бананы"/>
    <n v="2400"/>
    <n v="12"/>
    <n v="28.8"/>
    <x v="8"/>
  </r>
  <r>
    <x v="388"/>
    <s v="Евроопт"/>
    <s v="Фаниполь"/>
    <s v="Ягоды"/>
    <s v="Клубника"/>
    <n v="2460"/>
    <n v="61"/>
    <n v="150.06"/>
    <x v="8"/>
  </r>
  <r>
    <x v="389"/>
    <m/>
    <m/>
    <m/>
    <m/>
    <m/>
    <m/>
    <n v="506.25"/>
    <x v="8"/>
  </r>
  <r>
    <x v="390"/>
    <s v="Виталюр"/>
    <s v="Барановичи"/>
    <s v="Зелень"/>
    <s v="Лук зеленый"/>
    <n v="705"/>
    <n v="62"/>
    <n v="43.71"/>
    <x v="8"/>
  </r>
  <r>
    <x v="390"/>
    <s v="Копеечка"/>
    <s v="Жодино"/>
    <s v="Ягоды"/>
    <s v="Малина"/>
    <n v="2970"/>
    <n v="39"/>
    <n v="115.83"/>
    <x v="8"/>
  </r>
  <r>
    <x v="390"/>
    <s v="Копеечка"/>
    <s v="Минск"/>
    <s v="Зелень"/>
    <s v="Салат римский"/>
    <n v="540"/>
    <n v="49"/>
    <n v="26.46"/>
    <x v="8"/>
  </r>
  <r>
    <x v="390"/>
    <s v="Копеечка"/>
    <s v="Минск"/>
    <s v="Овощи"/>
    <s v="Картофель"/>
    <n v="690"/>
    <n v="25"/>
    <n v="17.25"/>
    <x v="8"/>
  </r>
  <r>
    <x v="390"/>
    <s v="Копеечка"/>
    <s v="Столбцы"/>
    <s v="Ягоды"/>
    <s v="Клубника"/>
    <n v="2460"/>
    <n v="75"/>
    <n v="184.5"/>
    <x v="8"/>
  </r>
  <r>
    <x v="390"/>
    <s v="Копеечка"/>
    <s v="Столбцы"/>
    <s v="Ягоды"/>
    <s v="Смородина черная"/>
    <n v="1505"/>
    <n v="90"/>
    <n v="135.44999999999999"/>
    <x v="8"/>
  </r>
  <r>
    <x v="390"/>
    <s v="Соседи"/>
    <s v="Фаниполь"/>
    <s v="Фрукты"/>
    <s v="Сливы"/>
    <n v="930"/>
    <n v="7"/>
    <n v="6.51"/>
    <x v="8"/>
  </r>
  <r>
    <x v="390"/>
    <s v="Виталюр"/>
    <s v="Фаниполь"/>
    <s v="Ягоды"/>
    <s v="Смородина черная"/>
    <n v="1505"/>
    <n v="56"/>
    <n v="84.28"/>
    <x v="8"/>
  </r>
  <r>
    <x v="391"/>
    <m/>
    <m/>
    <m/>
    <m/>
    <m/>
    <m/>
    <n v="613.99"/>
    <x v="8"/>
  </r>
  <r>
    <x v="392"/>
    <s v="Виталюр"/>
    <s v="Барановичи"/>
    <s v="Овощи"/>
    <s v="Свекла"/>
    <n v="450"/>
    <n v="6"/>
    <n v="2.7"/>
    <x v="8"/>
  </r>
  <r>
    <x v="392"/>
    <s v="Копеечка"/>
    <s v="Барановичи"/>
    <s v="Овощи"/>
    <s v="Свекла"/>
    <n v="450"/>
    <n v="7"/>
    <n v="3.15"/>
    <x v="8"/>
  </r>
  <r>
    <x v="392"/>
    <s v="Соседи"/>
    <s v="Барановичи"/>
    <s v="Овощи"/>
    <s v="Кабачки"/>
    <n v="325"/>
    <n v="66"/>
    <n v="21.45"/>
    <x v="8"/>
  </r>
  <r>
    <x v="392"/>
    <s v="Копеечка"/>
    <s v="Барановичи"/>
    <s v="Фрукты"/>
    <s v="Яблоки"/>
    <n v="1230"/>
    <n v="70"/>
    <n v="86.1"/>
    <x v="8"/>
  </r>
  <r>
    <x v="392"/>
    <s v="Виталюр"/>
    <s v="Борисов"/>
    <s v="Фрукты"/>
    <s v="Сливы"/>
    <n v="930"/>
    <n v="64"/>
    <n v="59.52"/>
    <x v="8"/>
  </r>
  <r>
    <x v="392"/>
    <s v="Соседи"/>
    <s v="Жодино"/>
    <s v="Овощи"/>
    <s v="Свекла"/>
    <n v="450"/>
    <n v="52"/>
    <n v="23.4"/>
    <x v="8"/>
  </r>
  <r>
    <x v="392"/>
    <s v="Виталюр"/>
    <s v="Жодино"/>
    <s v="Ягоды"/>
    <s v="Голубика"/>
    <n v="3205"/>
    <n v="42"/>
    <n v="134.61000000000001"/>
    <x v="8"/>
  </r>
  <r>
    <x v="392"/>
    <s v="Виталюр"/>
    <s v="Жодино"/>
    <s v="Ягоды"/>
    <s v="Брусника"/>
    <n v="1670"/>
    <n v="88"/>
    <n v="146.96"/>
    <x v="8"/>
  </r>
  <r>
    <x v="392"/>
    <s v="Евроопт"/>
    <s v="Минск"/>
    <s v="Зелень"/>
    <s v="Лук зеленый"/>
    <n v="705"/>
    <n v="63"/>
    <n v="44.414999999999999"/>
    <x v="8"/>
  </r>
  <r>
    <x v="392"/>
    <s v="Виталюр"/>
    <s v="Минск"/>
    <s v="Зелень"/>
    <s v="Петрушка"/>
    <n v="640"/>
    <n v="23"/>
    <n v="14.72"/>
    <x v="8"/>
  </r>
  <r>
    <x v="392"/>
    <s v="Копеечка"/>
    <s v="Минск"/>
    <s v="Ягоды"/>
    <s v="Клубника"/>
    <n v="2460"/>
    <n v="64"/>
    <n v="157.44"/>
    <x v="8"/>
  </r>
  <r>
    <x v="392"/>
    <s v="Копеечка"/>
    <s v="Столбцы"/>
    <s v="Ягоды"/>
    <s v="Черешня"/>
    <n v="1760"/>
    <n v="81"/>
    <n v="142.56"/>
    <x v="8"/>
  </r>
  <r>
    <x v="393"/>
    <m/>
    <m/>
    <m/>
    <m/>
    <m/>
    <m/>
    <n v="837.02499999999986"/>
    <x v="8"/>
  </r>
  <r>
    <x v="394"/>
    <s v="Копеечка"/>
    <s v="Барановичи"/>
    <s v="Зелень"/>
    <s v="Петрушка"/>
    <n v="640"/>
    <n v="36"/>
    <n v="23.04"/>
    <x v="8"/>
  </r>
  <r>
    <x v="394"/>
    <s v="Копеечка"/>
    <s v="Барановичи"/>
    <s v="Фрукты"/>
    <s v="Яблоки"/>
    <n v="1230"/>
    <n v="11"/>
    <n v="13.53"/>
    <x v="8"/>
  </r>
  <r>
    <x v="394"/>
    <s v="Соседи"/>
    <s v="Жодино"/>
    <s v="Фрукты"/>
    <s v="Бананы"/>
    <n v="2400"/>
    <n v="6"/>
    <n v="14.4"/>
    <x v="8"/>
  </r>
  <r>
    <x v="394"/>
    <s v="Виталюр"/>
    <s v="Минск"/>
    <s v="Ягоды"/>
    <s v="Малина"/>
    <n v="2970"/>
    <n v="43"/>
    <n v="127.71"/>
    <x v="8"/>
  </r>
  <r>
    <x v="394"/>
    <s v="Виталюр"/>
    <s v="Столбцы"/>
    <s v="Зелень"/>
    <s v="Петрушка"/>
    <n v="640"/>
    <n v="36"/>
    <n v="23.04"/>
    <x v="8"/>
  </r>
  <r>
    <x v="394"/>
    <s v="Соседи"/>
    <s v="Столбцы"/>
    <s v="Овощи"/>
    <s v="Капуста"/>
    <n v="460"/>
    <n v="43"/>
    <n v="19.78"/>
    <x v="8"/>
  </r>
  <r>
    <x v="394"/>
    <s v="Копеечка"/>
    <s v="Фаниполь"/>
    <s v="Ягоды"/>
    <s v="Смородина черная"/>
    <n v="1505"/>
    <n v="90"/>
    <n v="135.44999999999999"/>
    <x v="8"/>
  </r>
  <r>
    <x v="395"/>
    <m/>
    <m/>
    <m/>
    <m/>
    <m/>
    <m/>
    <n v="356.95"/>
    <x v="8"/>
  </r>
  <r>
    <x v="396"/>
    <s v="Копеечка"/>
    <s v="Барановичи"/>
    <s v="Зелень"/>
    <s v="Лук зеленый"/>
    <n v="705"/>
    <n v="40"/>
    <n v="28.2"/>
    <x v="8"/>
  </r>
  <r>
    <x v="396"/>
    <s v="Копеечка"/>
    <s v="Барановичи"/>
    <s v="Овощи"/>
    <s v="Свекла"/>
    <n v="450"/>
    <n v="91"/>
    <n v="40.950000000000003"/>
    <x v="8"/>
  </r>
  <r>
    <x v="396"/>
    <s v="Евроопт"/>
    <s v="Барановичи"/>
    <s v="Фрукты"/>
    <s v="Сливы"/>
    <n v="930"/>
    <n v="34"/>
    <n v="31.62"/>
    <x v="8"/>
  </r>
  <r>
    <x v="396"/>
    <s v="Виталюр"/>
    <s v="Борисов"/>
    <s v="Овощи"/>
    <s v="Кабачки"/>
    <n v="325"/>
    <n v="83"/>
    <n v="26.975000000000001"/>
    <x v="8"/>
  </r>
  <r>
    <x v="396"/>
    <s v="Евроопт"/>
    <s v="Борисов"/>
    <s v="Ягоды"/>
    <s v="Смородина черная"/>
    <n v="1505"/>
    <n v="32"/>
    <n v="48.16"/>
    <x v="8"/>
  </r>
  <r>
    <x v="396"/>
    <s v="Евроопт"/>
    <s v="Минск"/>
    <s v="Зелень"/>
    <s v="Лук зеленый"/>
    <n v="705"/>
    <n v="8"/>
    <n v="5.64"/>
    <x v="8"/>
  </r>
  <r>
    <x v="396"/>
    <s v="Евроопт"/>
    <s v="Фаниполь"/>
    <s v="Овощи"/>
    <s v="Кабачки"/>
    <n v="325"/>
    <n v="67"/>
    <n v="21.774999999999999"/>
    <x v="8"/>
  </r>
  <r>
    <x v="396"/>
    <s v="Виталюр"/>
    <s v="Фаниполь"/>
    <s v="Фрукты"/>
    <s v="Сливы"/>
    <n v="930"/>
    <n v="85"/>
    <n v="79.05"/>
    <x v="8"/>
  </r>
  <r>
    <x v="396"/>
    <s v="Виталюр"/>
    <s v="Фаниполь"/>
    <s v="Фрукты"/>
    <s v="Яблоки"/>
    <n v="1230"/>
    <n v="100"/>
    <n v="123"/>
    <x v="8"/>
  </r>
  <r>
    <x v="396"/>
    <s v="Соседи"/>
    <s v="Фаниполь"/>
    <s v="Ягоды"/>
    <s v="Брусника"/>
    <n v="1670"/>
    <n v="66"/>
    <n v="110.22"/>
    <x v="8"/>
  </r>
  <r>
    <x v="396"/>
    <s v="Виталюр"/>
    <s v="Фаниполь"/>
    <s v="Ягоды"/>
    <s v="Голубика"/>
    <n v="3205"/>
    <n v="69"/>
    <n v="221.14500000000001"/>
    <x v="8"/>
  </r>
  <r>
    <x v="397"/>
    <m/>
    <m/>
    <m/>
    <m/>
    <m/>
    <m/>
    <n v="736.73500000000001"/>
    <x v="8"/>
  </r>
  <r>
    <x v="398"/>
    <s v="Виталюр"/>
    <s v="Барановичи"/>
    <s v="Овощи"/>
    <s v="Кабачки"/>
    <n v="325"/>
    <n v="97"/>
    <n v="31.524999999999999"/>
    <x v="8"/>
  </r>
  <r>
    <x v="398"/>
    <s v="Виталюр"/>
    <s v="Барановичи"/>
    <s v="Ягоды"/>
    <s v="Черешня"/>
    <n v="1760"/>
    <n v="16"/>
    <n v="28.16"/>
    <x v="8"/>
  </r>
  <r>
    <x v="398"/>
    <s v="Копеечка"/>
    <s v="Барановичи"/>
    <s v="Ягоды"/>
    <s v="Смородина черная"/>
    <n v="1505"/>
    <n v="92"/>
    <n v="138.46"/>
    <x v="8"/>
  </r>
  <r>
    <x v="398"/>
    <s v="Соседи"/>
    <s v="Барановичи"/>
    <s v="Ягоды"/>
    <s v="Голубика"/>
    <n v="3205"/>
    <n v="44"/>
    <n v="141.02000000000001"/>
    <x v="8"/>
  </r>
  <r>
    <x v="398"/>
    <s v="Виталюр"/>
    <s v="Борисов"/>
    <s v="Фрукты"/>
    <s v="Апельсины"/>
    <n v="2540"/>
    <n v="53"/>
    <n v="134.62"/>
    <x v="8"/>
  </r>
  <r>
    <x v="398"/>
    <s v="Евроопт"/>
    <s v="Фаниполь"/>
    <s v="Фрукты"/>
    <s v="Апельсины"/>
    <n v="2540"/>
    <n v="43"/>
    <n v="109.22"/>
    <x v="8"/>
  </r>
  <r>
    <x v="399"/>
    <m/>
    <m/>
    <m/>
    <m/>
    <m/>
    <m/>
    <n v="583.005"/>
    <x v="8"/>
  </r>
  <r>
    <x v="400"/>
    <s v="Соседи"/>
    <s v="Борисов"/>
    <s v="Зелень"/>
    <s v="Салат айсберг"/>
    <n v="1380"/>
    <n v="29"/>
    <n v="40.020000000000003"/>
    <x v="8"/>
  </r>
  <r>
    <x v="400"/>
    <s v="Евроопт"/>
    <s v="Борисов"/>
    <s v="Фрукты"/>
    <s v="Яблоки"/>
    <n v="1230"/>
    <n v="56"/>
    <n v="68.88"/>
    <x v="8"/>
  </r>
  <r>
    <x v="400"/>
    <s v="Копеечка"/>
    <s v="Борисов"/>
    <s v="Фрукты"/>
    <s v="Яблоки"/>
    <n v="1230"/>
    <n v="100"/>
    <n v="123"/>
    <x v="8"/>
  </r>
  <r>
    <x v="400"/>
    <s v="Виталюр"/>
    <s v="Жодино"/>
    <s v="Ягоды"/>
    <s v="Малина"/>
    <n v="2970"/>
    <n v="77"/>
    <n v="228.69"/>
    <x v="8"/>
  </r>
  <r>
    <x v="400"/>
    <s v="Копеечка"/>
    <s v="Минск"/>
    <s v="Зелень"/>
    <s v="Укроп"/>
    <n v="650"/>
    <n v="34"/>
    <n v="22.1"/>
    <x v="8"/>
  </r>
  <r>
    <x v="400"/>
    <s v="Виталюр"/>
    <s v="Столбцы"/>
    <s v="Зелень"/>
    <s v="Салат римский"/>
    <n v="540"/>
    <n v="56"/>
    <n v="30.24"/>
    <x v="8"/>
  </r>
  <r>
    <x v="400"/>
    <s v="Соседи"/>
    <s v="Столбцы"/>
    <s v="Фрукты"/>
    <s v="Бананы"/>
    <n v="2400"/>
    <n v="66"/>
    <n v="158.4"/>
    <x v="8"/>
  </r>
  <r>
    <x v="400"/>
    <s v="Евроопт"/>
    <s v="Столбцы"/>
    <s v="Ягоды"/>
    <s v="Черешня"/>
    <n v="1760"/>
    <n v="51"/>
    <n v="89.76"/>
    <x v="8"/>
  </r>
  <r>
    <x v="401"/>
    <m/>
    <m/>
    <m/>
    <m/>
    <m/>
    <m/>
    <n v="761.09"/>
    <x v="8"/>
  </r>
  <r>
    <x v="402"/>
    <s v="Копеечка"/>
    <s v="Борисов"/>
    <s v="Зелень"/>
    <s v="Петрушка"/>
    <n v="640"/>
    <n v="65"/>
    <n v="41.6"/>
    <x v="8"/>
  </r>
  <r>
    <x v="402"/>
    <s v="Копеечка"/>
    <s v="Жодино"/>
    <s v="Овощи"/>
    <s v="Морковь"/>
    <n v="715"/>
    <n v="59"/>
    <n v="42.185000000000002"/>
    <x v="8"/>
  </r>
  <r>
    <x v="402"/>
    <s v="Соседи"/>
    <s v="Столбцы"/>
    <s v="Зелень"/>
    <s v="Укроп"/>
    <n v="650"/>
    <n v="48"/>
    <n v="31.2"/>
    <x v="8"/>
  </r>
  <r>
    <x v="402"/>
    <s v="Евроопт"/>
    <s v="Столбцы"/>
    <s v="Ягоды"/>
    <s v="Голубика"/>
    <n v="3205"/>
    <n v="65"/>
    <n v="208.32499999999999"/>
    <x v="8"/>
  </r>
  <r>
    <x v="402"/>
    <s v="Соседи"/>
    <s v="Фаниполь"/>
    <s v="Овощи"/>
    <s v="Картофель"/>
    <n v="690"/>
    <n v="45"/>
    <n v="31.05"/>
    <x v="8"/>
  </r>
  <r>
    <x v="402"/>
    <s v="Копеечка"/>
    <s v="Фаниполь"/>
    <s v="Фрукты"/>
    <s v="Абрикосы"/>
    <n v="1320"/>
    <n v="12"/>
    <n v="15.84"/>
    <x v="8"/>
  </r>
  <r>
    <x v="402"/>
    <s v="Евроопт"/>
    <s v="Фаниполь"/>
    <s v="Ягоды"/>
    <s v="Смородина черная"/>
    <n v="1505"/>
    <n v="32"/>
    <n v="48.16"/>
    <x v="8"/>
  </r>
  <r>
    <x v="403"/>
    <m/>
    <m/>
    <m/>
    <m/>
    <m/>
    <m/>
    <n v="418.36"/>
    <x v="8"/>
  </r>
  <r>
    <x v="404"/>
    <s v="Евроопт"/>
    <s v="Барановичи"/>
    <s v="Зелень"/>
    <s v="Кинза"/>
    <n v="650"/>
    <n v="21"/>
    <n v="13.65"/>
    <x v="8"/>
  </r>
  <r>
    <x v="404"/>
    <s v="Виталюр"/>
    <s v="Борисов"/>
    <s v="Овощи"/>
    <s v="Морковь"/>
    <n v="715"/>
    <n v="22"/>
    <n v="15.73"/>
    <x v="8"/>
  </r>
  <r>
    <x v="404"/>
    <s v="Евроопт"/>
    <s v="Борисов"/>
    <s v="Фрукты"/>
    <s v="Апельсины"/>
    <n v="2540"/>
    <n v="40"/>
    <n v="101.6"/>
    <x v="8"/>
  </r>
  <r>
    <x v="404"/>
    <s v="Соседи"/>
    <s v="Жодино"/>
    <s v="Ягоды"/>
    <s v="Брусника"/>
    <n v="1670"/>
    <n v="68"/>
    <n v="113.56"/>
    <x v="8"/>
  </r>
  <r>
    <x v="404"/>
    <s v="Соседи"/>
    <s v="Минск"/>
    <s v="Ягоды"/>
    <s v="Голубика"/>
    <n v="3205"/>
    <n v="10"/>
    <n v="32.049999999999997"/>
    <x v="8"/>
  </r>
  <r>
    <x v="404"/>
    <s v="Евроопт"/>
    <s v="Столбцы"/>
    <s v="Зелень"/>
    <s v="Лук зеленый"/>
    <n v="705"/>
    <n v="18"/>
    <n v="12.69"/>
    <x v="8"/>
  </r>
  <r>
    <x v="404"/>
    <s v="Соседи"/>
    <s v="Столбцы"/>
    <s v="Ягоды"/>
    <s v="Клубника"/>
    <n v="2460"/>
    <n v="84"/>
    <n v="206.64"/>
    <x v="8"/>
  </r>
  <r>
    <x v="404"/>
    <s v="Евроопт"/>
    <s v="Фаниполь"/>
    <s v="Зелень"/>
    <s v="Петрушка"/>
    <n v="640"/>
    <n v="9"/>
    <n v="5.76"/>
    <x v="8"/>
  </r>
  <r>
    <x v="405"/>
    <m/>
    <m/>
    <m/>
    <m/>
    <m/>
    <m/>
    <n v="501.67999999999995"/>
    <x v="8"/>
  </r>
  <r>
    <x v="406"/>
    <s v="Евроопт"/>
    <s v="Барановичи"/>
    <s v="Зелень"/>
    <s v="Салат римский"/>
    <n v="540"/>
    <n v="60"/>
    <n v="32.4"/>
    <x v="8"/>
  </r>
  <r>
    <x v="406"/>
    <s v="Соседи"/>
    <s v="Жодино"/>
    <s v="Зелень"/>
    <s v="Петрушка"/>
    <n v="640"/>
    <n v="62"/>
    <n v="39.68"/>
    <x v="8"/>
  </r>
  <r>
    <x v="406"/>
    <s v="Евроопт"/>
    <s v="Жодино"/>
    <s v="Зелень"/>
    <s v="Петрушка"/>
    <n v="640"/>
    <n v="76"/>
    <n v="48.64"/>
    <x v="8"/>
  </r>
  <r>
    <x v="406"/>
    <s v="Евроопт"/>
    <s v="Минск"/>
    <s v="Фрукты"/>
    <s v="Апельсины"/>
    <n v="2540"/>
    <n v="75"/>
    <n v="190.5"/>
    <x v="8"/>
  </r>
  <r>
    <x v="406"/>
    <s v="Виталюр"/>
    <s v="Фаниполь"/>
    <s v="Овощи"/>
    <s v="Капуста"/>
    <n v="460"/>
    <n v="74"/>
    <n v="34.04"/>
    <x v="8"/>
  </r>
  <r>
    <x v="407"/>
    <m/>
    <m/>
    <m/>
    <m/>
    <m/>
    <m/>
    <n v="345.26000000000005"/>
    <x v="8"/>
  </r>
  <r>
    <x v="408"/>
    <s v="Виталюр"/>
    <s v="Борисов"/>
    <s v="Овощи"/>
    <s v="Морковь"/>
    <n v="715"/>
    <n v="6"/>
    <n v="4.29"/>
    <x v="8"/>
  </r>
  <r>
    <x v="408"/>
    <s v="Евроопт"/>
    <s v="Жодино"/>
    <s v="Зелень"/>
    <s v="Кинза"/>
    <n v="650"/>
    <n v="11"/>
    <n v="7.15"/>
    <x v="8"/>
  </r>
  <r>
    <x v="408"/>
    <s v="Евроопт"/>
    <s v="Жодино"/>
    <s v="Фрукты"/>
    <s v="Груши"/>
    <n v="1420"/>
    <n v="8"/>
    <n v="11.36"/>
    <x v="8"/>
  </r>
  <r>
    <x v="408"/>
    <s v="Виталюр"/>
    <s v="Столбцы"/>
    <s v="Ягоды"/>
    <s v="Брусника"/>
    <n v="1670"/>
    <n v="52"/>
    <n v="86.84"/>
    <x v="8"/>
  </r>
  <r>
    <x v="409"/>
    <m/>
    <m/>
    <m/>
    <m/>
    <m/>
    <m/>
    <n v="109.64"/>
    <x v="8"/>
  </r>
  <r>
    <x v="410"/>
    <s v="Виталюр"/>
    <s v="Барановичи"/>
    <s v="Овощи"/>
    <s v="Картофель"/>
    <n v="690"/>
    <n v="46"/>
    <n v="31.74"/>
    <x v="8"/>
  </r>
  <r>
    <x v="410"/>
    <s v="Копеечка"/>
    <s v="Барановичи"/>
    <s v="Ягоды"/>
    <s v="Клубника"/>
    <n v="2460"/>
    <n v="26"/>
    <n v="63.96"/>
    <x v="8"/>
  </r>
  <r>
    <x v="410"/>
    <s v="Копеечка"/>
    <s v="Борисов"/>
    <s v="Овощи"/>
    <s v="Баклажаны"/>
    <n v="890"/>
    <n v="19"/>
    <n v="16.91"/>
    <x v="8"/>
  </r>
  <r>
    <x v="410"/>
    <s v="Соседи"/>
    <s v="Борисов"/>
    <s v="Фрукты"/>
    <s v="Абрикосы"/>
    <n v="1320"/>
    <n v="89"/>
    <n v="117.48"/>
    <x v="8"/>
  </r>
  <r>
    <x v="410"/>
    <s v="Евроопт"/>
    <s v="Жодино"/>
    <s v="Ягоды"/>
    <s v="Черешня"/>
    <n v="1760"/>
    <n v="30"/>
    <n v="52.8"/>
    <x v="8"/>
  </r>
  <r>
    <x v="410"/>
    <s v="Виталюр"/>
    <s v="Столбцы"/>
    <s v="Ягоды"/>
    <s v="Брусника"/>
    <n v="1670"/>
    <n v="92"/>
    <n v="153.63999999999999"/>
    <x v="8"/>
  </r>
  <r>
    <x v="410"/>
    <s v="Копеечка"/>
    <s v="Фаниполь"/>
    <s v="Фрукты"/>
    <s v="Груши"/>
    <n v="1420"/>
    <n v="41"/>
    <n v="58.22"/>
    <x v="8"/>
  </r>
  <r>
    <x v="410"/>
    <s v="Соседи"/>
    <s v="Фаниполь"/>
    <s v="Фрукты"/>
    <s v="Сливы"/>
    <n v="930"/>
    <n v="45"/>
    <n v="41.85"/>
    <x v="8"/>
  </r>
  <r>
    <x v="411"/>
    <m/>
    <m/>
    <m/>
    <m/>
    <m/>
    <m/>
    <n v="536.6"/>
    <x v="8"/>
  </r>
  <r>
    <x v="412"/>
    <s v="Евроопт"/>
    <s v="Барановичи"/>
    <s v="Ягоды"/>
    <s v="Голубика"/>
    <n v="3205"/>
    <n v="17"/>
    <n v="54.484999999999999"/>
    <x v="8"/>
  </r>
  <r>
    <x v="412"/>
    <s v="Копеечка"/>
    <s v="Жодино"/>
    <s v="Фрукты"/>
    <s v="Яблоки"/>
    <n v="1230"/>
    <n v="39"/>
    <n v="47.97"/>
    <x v="8"/>
  </r>
  <r>
    <x v="412"/>
    <s v="Копеечка"/>
    <s v="Жодино"/>
    <s v="Ягоды"/>
    <s v="Брусника"/>
    <n v="1670"/>
    <n v="76"/>
    <n v="126.92"/>
    <x v="8"/>
  </r>
  <r>
    <x v="412"/>
    <s v="Соседи"/>
    <s v="Жодино"/>
    <s v="Ягоды"/>
    <s v="Смородина черная"/>
    <n v="1505"/>
    <n v="58"/>
    <n v="87.29"/>
    <x v="8"/>
  </r>
  <r>
    <x v="412"/>
    <s v="Соседи"/>
    <s v="Столбцы"/>
    <s v="Фрукты"/>
    <s v="Сливы"/>
    <n v="930"/>
    <n v="60"/>
    <n v="55.8"/>
    <x v="8"/>
  </r>
  <r>
    <x v="412"/>
    <s v="Евроопт"/>
    <s v="Фаниполь"/>
    <s v="Зелень"/>
    <s v="Салат айсберг"/>
    <n v="1380"/>
    <n v="40"/>
    <n v="55.2"/>
    <x v="8"/>
  </r>
  <r>
    <x v="412"/>
    <s v="Евроопт"/>
    <s v="Фаниполь"/>
    <s v="Овощи"/>
    <s v="Свекла"/>
    <n v="450"/>
    <n v="67"/>
    <n v="30.15"/>
    <x v="8"/>
  </r>
  <r>
    <x v="412"/>
    <s v="Соседи"/>
    <s v="Фаниполь"/>
    <s v="Овощи"/>
    <s v="Баклажаны"/>
    <n v="890"/>
    <n v="30"/>
    <n v="26.7"/>
    <x v="8"/>
  </r>
  <r>
    <x v="412"/>
    <s v="Евроопт"/>
    <s v="Фаниполь"/>
    <s v="Фрукты"/>
    <s v="Яблоки"/>
    <n v="1230"/>
    <n v="34"/>
    <n v="41.82"/>
    <x v="8"/>
  </r>
  <r>
    <x v="412"/>
    <s v="Виталюр"/>
    <s v="Фаниполь"/>
    <s v="Ягоды"/>
    <s v="Клубника"/>
    <n v="2460"/>
    <n v="75"/>
    <n v="184.5"/>
    <x v="8"/>
  </r>
  <r>
    <x v="413"/>
    <m/>
    <m/>
    <m/>
    <m/>
    <m/>
    <m/>
    <n v="710.83500000000004"/>
    <x v="8"/>
  </r>
  <r>
    <x v="414"/>
    <s v="Виталюр"/>
    <s v="Барановичи"/>
    <s v="Зелень"/>
    <s v="Укроп"/>
    <n v="650"/>
    <n v="36"/>
    <n v="23.4"/>
    <x v="8"/>
  </r>
  <r>
    <x v="414"/>
    <s v="Евроопт"/>
    <s v="Барановичи"/>
    <s v="Ягоды"/>
    <s v="Клубника"/>
    <n v="2460"/>
    <n v="31"/>
    <n v="76.260000000000005"/>
    <x v="8"/>
  </r>
  <r>
    <x v="414"/>
    <s v="Соседи"/>
    <s v="Борисов"/>
    <s v="Ягоды"/>
    <s v="Черешня"/>
    <n v="1760"/>
    <n v="62"/>
    <n v="109.12"/>
    <x v="8"/>
  </r>
  <r>
    <x v="414"/>
    <s v="Евроопт"/>
    <s v="Жодино"/>
    <s v="Зелень"/>
    <s v="Салат айсберг"/>
    <n v="1380"/>
    <n v="45"/>
    <n v="62.1"/>
    <x v="8"/>
  </r>
  <r>
    <x v="414"/>
    <s v="Копеечка"/>
    <s v="Жодино"/>
    <s v="Фрукты"/>
    <s v="Сливы"/>
    <n v="930"/>
    <n v="31"/>
    <n v="28.83"/>
    <x v="8"/>
  </r>
  <r>
    <x v="414"/>
    <s v="Соседи"/>
    <s v="Жодино"/>
    <s v="Фрукты"/>
    <s v="Бананы"/>
    <n v="2400"/>
    <n v="82"/>
    <n v="196.8"/>
    <x v="8"/>
  </r>
  <r>
    <x v="414"/>
    <s v="Евроопт"/>
    <s v="Жодино"/>
    <s v="Ягоды"/>
    <s v="Черешня"/>
    <n v="1760"/>
    <n v="39"/>
    <n v="68.64"/>
    <x v="8"/>
  </r>
  <r>
    <x v="414"/>
    <s v="Копеечка"/>
    <s v="Минск"/>
    <s v="Ягоды"/>
    <s v="Клубника"/>
    <n v="2460"/>
    <n v="57"/>
    <n v="140.22"/>
    <x v="8"/>
  </r>
  <r>
    <x v="414"/>
    <s v="Виталюр"/>
    <s v="Столбцы"/>
    <s v="Овощи"/>
    <s v="Свекла"/>
    <n v="450"/>
    <n v="20"/>
    <n v="9"/>
    <x v="8"/>
  </r>
  <r>
    <x v="414"/>
    <s v="Копеечка"/>
    <s v="Столбцы"/>
    <s v="Ягоды"/>
    <s v="Голубика"/>
    <n v="3205"/>
    <n v="87"/>
    <n v="278.83499999999998"/>
    <x v="8"/>
  </r>
  <r>
    <x v="414"/>
    <s v="Виталюр"/>
    <s v="Фаниполь"/>
    <s v="Овощи"/>
    <s v="Морковь"/>
    <n v="715"/>
    <n v="92"/>
    <n v="65.78"/>
    <x v="8"/>
  </r>
  <r>
    <x v="414"/>
    <s v="Соседи"/>
    <s v="Фаниполь"/>
    <s v="Фрукты"/>
    <s v="Сливы"/>
    <n v="930"/>
    <n v="56"/>
    <n v="52.08"/>
    <x v="8"/>
  </r>
  <r>
    <x v="414"/>
    <s v="Виталюр"/>
    <s v="Фаниполь"/>
    <s v="Ягоды"/>
    <s v="Голубика"/>
    <n v="3205"/>
    <n v="51"/>
    <n v="163.45500000000001"/>
    <x v="8"/>
  </r>
  <r>
    <x v="415"/>
    <m/>
    <m/>
    <m/>
    <m/>
    <m/>
    <m/>
    <n v="1274.5199999999998"/>
    <x v="8"/>
  </r>
  <r>
    <x v="416"/>
    <s v="Копеечка"/>
    <s v="Барановичи"/>
    <s v="Ягоды"/>
    <s v="Смородина черная"/>
    <n v="1505"/>
    <n v="80"/>
    <n v="120.4"/>
    <x v="8"/>
  </r>
  <r>
    <x v="416"/>
    <s v="Евроопт"/>
    <s v="Борисов"/>
    <s v="Зелень"/>
    <s v="Салат римский"/>
    <n v="540"/>
    <n v="62"/>
    <n v="33.479999999999997"/>
    <x v="8"/>
  </r>
  <r>
    <x v="416"/>
    <s v="Копеечка"/>
    <s v="Минск"/>
    <s v="Овощи"/>
    <s v="Картофель"/>
    <n v="690"/>
    <n v="7"/>
    <n v="4.83"/>
    <x v="8"/>
  </r>
  <r>
    <x v="416"/>
    <s v="Виталюр"/>
    <s v="Минск"/>
    <s v="Фрукты"/>
    <s v="Бананы"/>
    <n v="2400"/>
    <n v="11"/>
    <n v="26.4"/>
    <x v="8"/>
  </r>
  <r>
    <x v="416"/>
    <s v="Евроопт"/>
    <s v="Столбцы"/>
    <s v="Ягоды"/>
    <s v="Голубика"/>
    <n v="3205"/>
    <n v="23"/>
    <n v="73.715000000000003"/>
    <x v="8"/>
  </r>
  <r>
    <x v="416"/>
    <s v="Соседи"/>
    <s v="Фаниполь"/>
    <s v="Овощи"/>
    <s v="Кабачки"/>
    <n v="325"/>
    <n v="63"/>
    <n v="20.475000000000001"/>
    <x v="8"/>
  </r>
  <r>
    <x v="416"/>
    <s v="Виталюр"/>
    <s v="Фаниполь"/>
    <s v="Овощи"/>
    <s v="Капуста"/>
    <n v="460"/>
    <n v="80"/>
    <n v="36.799999999999997"/>
    <x v="8"/>
  </r>
  <r>
    <x v="416"/>
    <s v="Евроопт"/>
    <s v="Фаниполь"/>
    <s v="Фрукты"/>
    <s v="Груши"/>
    <n v="1420"/>
    <n v="22"/>
    <n v="31.24"/>
    <x v="8"/>
  </r>
  <r>
    <x v="416"/>
    <s v="Виталюр"/>
    <s v="Фаниполь"/>
    <s v="Фрукты"/>
    <s v="Яблоки"/>
    <n v="1230"/>
    <n v="69"/>
    <n v="84.87"/>
    <x v="8"/>
  </r>
  <r>
    <x v="416"/>
    <s v="Копеечка"/>
    <s v="Фаниполь"/>
    <s v="Ягоды"/>
    <s v="Голубика"/>
    <n v="3205"/>
    <n v="84"/>
    <n v="269.22000000000003"/>
    <x v="8"/>
  </r>
  <r>
    <x v="417"/>
    <m/>
    <m/>
    <m/>
    <m/>
    <m/>
    <m/>
    <n v="701.43000000000006"/>
    <x v="8"/>
  </r>
  <r>
    <x v="418"/>
    <s v="Соседи"/>
    <s v="Барановичи"/>
    <s v="Овощи"/>
    <s v="Свекла"/>
    <n v="450"/>
    <n v="26"/>
    <n v="11.7"/>
    <x v="8"/>
  </r>
  <r>
    <x v="418"/>
    <s v="Евроопт"/>
    <s v="Борисов"/>
    <s v="Овощи"/>
    <s v="Картофель"/>
    <n v="690"/>
    <n v="92"/>
    <n v="63.48"/>
    <x v="8"/>
  </r>
  <r>
    <x v="418"/>
    <s v="Виталюр"/>
    <s v="Борисов"/>
    <s v="Ягоды"/>
    <s v="Голубика"/>
    <n v="3205"/>
    <n v="63"/>
    <n v="201.91499999999999"/>
    <x v="8"/>
  </r>
  <r>
    <x v="418"/>
    <s v="Евроопт"/>
    <s v="Борисов"/>
    <s v="Ягоды"/>
    <s v="Брусника"/>
    <n v="1670"/>
    <n v="19"/>
    <n v="31.73"/>
    <x v="8"/>
  </r>
  <r>
    <x v="418"/>
    <s v="Копеечка"/>
    <s v="Жодино"/>
    <s v="Зелень"/>
    <s v="Лук зеленый"/>
    <n v="705"/>
    <n v="71"/>
    <n v="50.055"/>
    <x v="8"/>
  </r>
  <r>
    <x v="418"/>
    <s v="Соседи"/>
    <s v="Жодино"/>
    <s v="Овощи"/>
    <s v="Кабачки"/>
    <n v="325"/>
    <n v="50"/>
    <n v="16.25"/>
    <x v="8"/>
  </r>
  <r>
    <x v="418"/>
    <s v="Виталюр"/>
    <s v="Жодино"/>
    <s v="Фрукты"/>
    <s v="Сливы"/>
    <n v="930"/>
    <n v="96"/>
    <n v="89.28"/>
    <x v="8"/>
  </r>
  <r>
    <x v="418"/>
    <s v="Евроопт"/>
    <s v="Жодино"/>
    <s v="Ягоды"/>
    <s v="Смородина черная"/>
    <n v="1505"/>
    <n v="92"/>
    <n v="138.46"/>
    <x v="8"/>
  </r>
  <r>
    <x v="418"/>
    <s v="Соседи"/>
    <s v="Минск"/>
    <s v="Зелень"/>
    <s v="Укроп"/>
    <n v="650"/>
    <n v="47"/>
    <n v="30.55"/>
    <x v="8"/>
  </r>
  <r>
    <x v="418"/>
    <s v="Соседи"/>
    <s v="Столбцы"/>
    <s v="Овощи"/>
    <s v="Кабачки"/>
    <n v="325"/>
    <n v="59"/>
    <n v="19.175000000000001"/>
    <x v="8"/>
  </r>
  <r>
    <x v="419"/>
    <m/>
    <m/>
    <m/>
    <m/>
    <m/>
    <m/>
    <n v="652.59499999999991"/>
    <x v="8"/>
  </r>
  <r>
    <x v="420"/>
    <s v="Соседи"/>
    <s v="Барановичи"/>
    <s v="Ягоды"/>
    <s v="Смородина черная"/>
    <n v="1505"/>
    <n v="13"/>
    <n v="19.565000000000001"/>
    <x v="8"/>
  </r>
  <r>
    <x v="420"/>
    <s v="Евроопт"/>
    <s v="Борисов"/>
    <s v="Зелень"/>
    <s v="Салат айсберг"/>
    <n v="1380"/>
    <n v="28"/>
    <n v="38.64"/>
    <x v="8"/>
  </r>
  <r>
    <x v="420"/>
    <s v="Евроопт"/>
    <s v="Борисов"/>
    <s v="Фрукты"/>
    <s v="Груши"/>
    <n v="1420"/>
    <n v="58"/>
    <n v="82.36"/>
    <x v="8"/>
  </r>
  <r>
    <x v="420"/>
    <s v="Соседи"/>
    <s v="Борисов"/>
    <s v="Ягоды"/>
    <s v="Брусника"/>
    <n v="1670"/>
    <n v="75"/>
    <n v="125.25"/>
    <x v="8"/>
  </r>
  <r>
    <x v="420"/>
    <s v="Виталюр"/>
    <s v="Борисов"/>
    <s v="Ягоды"/>
    <s v="Черешня"/>
    <n v="1760"/>
    <n v="51"/>
    <n v="89.76"/>
    <x v="8"/>
  </r>
  <r>
    <x v="420"/>
    <s v="Евроопт"/>
    <s v="Жодино"/>
    <s v="Овощи"/>
    <s v="Капуста"/>
    <n v="460"/>
    <n v="54"/>
    <n v="24.84"/>
    <x v="8"/>
  </r>
  <r>
    <x v="420"/>
    <s v="Копеечка"/>
    <s v="Жодино"/>
    <s v="Фрукты"/>
    <s v="Бананы"/>
    <n v="2400"/>
    <n v="86"/>
    <n v="206.4"/>
    <x v="8"/>
  </r>
  <r>
    <x v="420"/>
    <s v="Виталюр"/>
    <s v="Минск"/>
    <s v="Ягоды"/>
    <s v="Черешня"/>
    <n v="1760"/>
    <n v="21"/>
    <n v="36.96"/>
    <x v="8"/>
  </r>
  <r>
    <x v="420"/>
    <s v="Виталюр"/>
    <s v="Фаниполь"/>
    <s v="Зелень"/>
    <s v="Укроп"/>
    <n v="650"/>
    <n v="70"/>
    <n v="45.5"/>
    <x v="8"/>
  </r>
  <r>
    <x v="420"/>
    <s v="Копеечка"/>
    <s v="Фаниполь"/>
    <s v="Овощи"/>
    <s v="Кабачки"/>
    <n v="325"/>
    <n v="24"/>
    <n v="7.8"/>
    <x v="8"/>
  </r>
  <r>
    <x v="420"/>
    <s v="Соседи"/>
    <s v="Фаниполь"/>
    <s v="Ягоды"/>
    <s v="Черешня"/>
    <n v="1760"/>
    <n v="15"/>
    <n v="26.4"/>
    <x v="8"/>
  </r>
  <r>
    <x v="421"/>
    <m/>
    <m/>
    <m/>
    <m/>
    <m/>
    <m/>
    <n v="703.47499999999991"/>
    <x v="8"/>
  </r>
  <r>
    <x v="422"/>
    <s v="Копеечка"/>
    <s v="Барановичи"/>
    <s v="Ягоды"/>
    <s v="Клубника"/>
    <n v="2460"/>
    <n v="78"/>
    <n v="191.88"/>
    <x v="8"/>
  </r>
  <r>
    <x v="422"/>
    <s v="Виталюр"/>
    <s v="Барановичи"/>
    <s v="Ягоды"/>
    <s v="Голубика"/>
    <n v="3205"/>
    <n v="21"/>
    <n v="67.305000000000007"/>
    <x v="8"/>
  </r>
  <r>
    <x v="422"/>
    <s v="Евроопт"/>
    <s v="Жодино"/>
    <s v="Овощи"/>
    <s v="Капуста"/>
    <n v="460"/>
    <n v="49"/>
    <n v="22.54"/>
    <x v="8"/>
  </r>
  <r>
    <x v="422"/>
    <s v="Виталюр"/>
    <s v="Жодино"/>
    <s v="Фрукты"/>
    <s v="Сливы"/>
    <n v="930"/>
    <n v="74"/>
    <n v="68.819999999999993"/>
    <x v="8"/>
  </r>
  <r>
    <x v="422"/>
    <s v="Евроопт"/>
    <s v="Минск"/>
    <s v="Овощи"/>
    <s v="Морковь"/>
    <n v="715"/>
    <n v="45"/>
    <n v="32.174999999999997"/>
    <x v="8"/>
  </r>
  <r>
    <x v="422"/>
    <s v="Евроопт"/>
    <s v="Столбцы"/>
    <s v="Овощи"/>
    <s v="Картофель"/>
    <n v="690"/>
    <n v="70"/>
    <n v="48.3"/>
    <x v="8"/>
  </r>
  <r>
    <x v="422"/>
    <s v="Евроопт"/>
    <s v="Столбцы"/>
    <s v="Ягоды"/>
    <s v="Брусника"/>
    <n v="1670"/>
    <n v="70"/>
    <n v="116.9"/>
    <x v="8"/>
  </r>
  <r>
    <x v="422"/>
    <s v="Евроопт"/>
    <s v="Столбцы"/>
    <s v="Ягоды"/>
    <s v="Брусника"/>
    <n v="1670"/>
    <n v="14"/>
    <n v="23.38"/>
    <x v="8"/>
  </r>
  <r>
    <x v="422"/>
    <s v="Евроопт"/>
    <s v="Фаниполь"/>
    <s v="Зелень"/>
    <s v="Укроп"/>
    <n v="650"/>
    <n v="23"/>
    <n v="14.95"/>
    <x v="8"/>
  </r>
  <r>
    <x v="422"/>
    <s v="Копеечка"/>
    <s v="Фаниполь"/>
    <s v="Фрукты"/>
    <s v="Абрикосы"/>
    <n v="1320"/>
    <n v="60"/>
    <n v="79.2"/>
    <x v="8"/>
  </r>
  <r>
    <x v="423"/>
    <m/>
    <m/>
    <m/>
    <m/>
    <m/>
    <m/>
    <n v="665.45000000000016"/>
    <x v="8"/>
  </r>
  <r>
    <x v="424"/>
    <s v="Копеечка"/>
    <s v="Барановичи"/>
    <s v="Зелень"/>
    <s v="Салат римский"/>
    <n v="540"/>
    <n v="69"/>
    <n v="37.26"/>
    <x v="8"/>
  </r>
  <r>
    <x v="424"/>
    <s v="Евроопт"/>
    <s v="Барановичи"/>
    <s v="Ягоды"/>
    <s v="Брусника"/>
    <n v="1670"/>
    <n v="87"/>
    <n v="145.29"/>
    <x v="8"/>
  </r>
  <r>
    <x v="424"/>
    <s v="Евроопт"/>
    <s v="Борисов"/>
    <s v="Фрукты"/>
    <s v="Абрикосы"/>
    <n v="1320"/>
    <n v="10"/>
    <n v="13.2"/>
    <x v="8"/>
  </r>
  <r>
    <x v="424"/>
    <s v="Копеечка"/>
    <s v="Борисов"/>
    <s v="Ягоды"/>
    <s v="Малина"/>
    <n v="2970"/>
    <n v="74"/>
    <n v="219.78"/>
    <x v="8"/>
  </r>
  <r>
    <x v="424"/>
    <s v="Соседи"/>
    <s v="Жодино"/>
    <s v="Фрукты"/>
    <s v="Яблоки"/>
    <n v="1230"/>
    <n v="70"/>
    <n v="86.1"/>
    <x v="8"/>
  </r>
  <r>
    <x v="425"/>
    <m/>
    <m/>
    <m/>
    <m/>
    <m/>
    <m/>
    <n v="501.63"/>
    <x v="1"/>
  </r>
  <r>
    <x v="426"/>
    <s v="Копеечка"/>
    <s v="Барановичи"/>
    <s v="Зелень"/>
    <s v="Кинза"/>
    <n v="650"/>
    <n v="30"/>
    <n v="19.5"/>
    <x v="9"/>
  </r>
  <r>
    <x v="426"/>
    <s v="Виталюр"/>
    <s v="Борисов"/>
    <s v="Фрукты"/>
    <s v="Груши"/>
    <n v="1420"/>
    <n v="7"/>
    <n v="9.94"/>
    <x v="9"/>
  </r>
  <r>
    <x v="426"/>
    <s v="Виталюр"/>
    <s v="Борисов"/>
    <s v="Ягоды"/>
    <s v="Малина"/>
    <n v="2970"/>
    <n v="8"/>
    <n v="23.76"/>
    <x v="9"/>
  </r>
  <r>
    <x v="426"/>
    <s v="Евроопт"/>
    <s v="Борисов"/>
    <s v="Ягоды"/>
    <s v="Смородина черная"/>
    <n v="1505"/>
    <n v="93"/>
    <n v="139.965"/>
    <x v="9"/>
  </r>
  <r>
    <x v="426"/>
    <s v="Копеечка"/>
    <s v="Жодино"/>
    <s v="Зелень"/>
    <s v="Кинза"/>
    <n v="650"/>
    <n v="74"/>
    <n v="48.1"/>
    <x v="9"/>
  </r>
  <r>
    <x v="426"/>
    <s v="Виталюр"/>
    <s v="Столбцы"/>
    <s v="Зелень"/>
    <s v="Кинза"/>
    <n v="650"/>
    <n v="24"/>
    <n v="15.6"/>
    <x v="9"/>
  </r>
  <r>
    <x v="426"/>
    <s v="Копеечка"/>
    <s v="Фаниполь"/>
    <s v="Зелень"/>
    <s v="Салат римский"/>
    <n v="540"/>
    <n v="28"/>
    <n v="15.12"/>
    <x v="9"/>
  </r>
  <r>
    <x v="426"/>
    <s v="Соседи"/>
    <s v="Фаниполь"/>
    <s v="Фрукты"/>
    <s v="Груши"/>
    <n v="1420"/>
    <n v="20"/>
    <n v="28.4"/>
    <x v="9"/>
  </r>
  <r>
    <x v="427"/>
    <m/>
    <m/>
    <m/>
    <m/>
    <m/>
    <m/>
    <n v="300.38499999999999"/>
    <x v="9"/>
  </r>
  <r>
    <x v="428"/>
    <s v="Копеечка"/>
    <s v="Барановичи"/>
    <s v="Зелень"/>
    <s v="Петрушка"/>
    <n v="640"/>
    <n v="52"/>
    <n v="33.28"/>
    <x v="9"/>
  </r>
  <r>
    <x v="428"/>
    <s v="Евроопт"/>
    <s v="Барановичи"/>
    <s v="Ягоды"/>
    <s v="Смородина черная"/>
    <n v="1505"/>
    <n v="76"/>
    <n v="114.38"/>
    <x v="9"/>
  </r>
  <r>
    <x v="428"/>
    <s v="Виталюр"/>
    <s v="Борисов"/>
    <s v="Овощи"/>
    <s v="Свекла"/>
    <n v="450"/>
    <n v="71"/>
    <n v="31.95"/>
    <x v="9"/>
  </r>
  <r>
    <x v="428"/>
    <s v="Копеечка"/>
    <s v="Борисов"/>
    <s v="Ягоды"/>
    <s v="Смородина черная"/>
    <n v="1505"/>
    <n v="8"/>
    <n v="12.04"/>
    <x v="9"/>
  </r>
  <r>
    <x v="428"/>
    <s v="Виталюр"/>
    <s v="Минск"/>
    <s v="Овощи"/>
    <s v="Свекла"/>
    <n v="450"/>
    <n v="51"/>
    <n v="22.95"/>
    <x v="9"/>
  </r>
  <r>
    <x v="428"/>
    <s v="Евроопт"/>
    <s v="Столбцы"/>
    <s v="Овощи"/>
    <s v="Кабачки"/>
    <n v="325"/>
    <n v="19"/>
    <n v="6.1749999999999998"/>
    <x v="9"/>
  </r>
  <r>
    <x v="428"/>
    <s v="Виталюр"/>
    <s v="Фаниполь"/>
    <s v="Овощи"/>
    <s v="Капуста"/>
    <n v="460"/>
    <n v="75"/>
    <n v="34.5"/>
    <x v="9"/>
  </r>
  <r>
    <x v="428"/>
    <s v="Соседи"/>
    <s v="Фаниполь"/>
    <s v="Фрукты"/>
    <s v="Бананы"/>
    <n v="2400"/>
    <n v="68"/>
    <n v="163.19999999999999"/>
    <x v="9"/>
  </r>
  <r>
    <x v="429"/>
    <m/>
    <m/>
    <m/>
    <m/>
    <m/>
    <m/>
    <n v="418.47499999999997"/>
    <x v="9"/>
  </r>
  <r>
    <x v="430"/>
    <s v="Виталюр"/>
    <s v="Борисов"/>
    <s v="Ягоды"/>
    <s v="Черешня"/>
    <n v="1760"/>
    <n v="57"/>
    <n v="100.32"/>
    <x v="9"/>
  </r>
  <r>
    <x v="430"/>
    <s v="Соседи"/>
    <s v="Минск"/>
    <s v="Овощи"/>
    <s v="Свекла"/>
    <n v="450"/>
    <n v="37"/>
    <n v="16.649999999999999"/>
    <x v="9"/>
  </r>
  <r>
    <x v="430"/>
    <s v="Копеечка"/>
    <s v="Минск"/>
    <s v="Овощи"/>
    <s v="Капуста"/>
    <n v="460"/>
    <n v="39"/>
    <n v="17.940000000000001"/>
    <x v="9"/>
  </r>
  <r>
    <x v="430"/>
    <s v="Соседи"/>
    <s v="Минск"/>
    <s v="Фрукты"/>
    <s v="Сливы"/>
    <n v="930"/>
    <n v="35"/>
    <n v="32.549999999999997"/>
    <x v="9"/>
  </r>
  <r>
    <x v="430"/>
    <s v="Евроопт"/>
    <s v="Минск"/>
    <s v="Фрукты"/>
    <s v="Апельсины"/>
    <n v="2540"/>
    <n v="49"/>
    <n v="124.46"/>
    <x v="9"/>
  </r>
  <r>
    <x v="430"/>
    <s v="Евроопт"/>
    <s v="Столбцы"/>
    <s v="Овощи"/>
    <s v="Баклажаны"/>
    <n v="890"/>
    <n v="10"/>
    <n v="8.9"/>
    <x v="9"/>
  </r>
  <r>
    <x v="430"/>
    <s v="Соседи"/>
    <s v="Фаниполь"/>
    <s v="Ягоды"/>
    <s v="Голубика"/>
    <n v="3205"/>
    <n v="32"/>
    <n v="102.56"/>
    <x v="9"/>
  </r>
  <r>
    <x v="431"/>
    <m/>
    <m/>
    <m/>
    <m/>
    <m/>
    <m/>
    <n v="403.37999999999994"/>
    <x v="9"/>
  </r>
  <r>
    <x v="432"/>
    <s v="Виталюр"/>
    <s v="Барановичи"/>
    <s v="Зелень"/>
    <s v="Салат римский"/>
    <n v="540"/>
    <n v="69"/>
    <n v="37.26"/>
    <x v="9"/>
  </r>
  <r>
    <x v="432"/>
    <s v="Евроопт"/>
    <s v="Барановичи"/>
    <s v="Овощи"/>
    <s v="Кабачки"/>
    <n v="325"/>
    <n v="40"/>
    <n v="13"/>
    <x v="9"/>
  </r>
  <r>
    <x v="432"/>
    <s v="Копеечка"/>
    <s v="Барановичи"/>
    <s v="Ягоды"/>
    <s v="Малина"/>
    <n v="2970"/>
    <n v="46"/>
    <n v="136.62"/>
    <x v="9"/>
  </r>
  <r>
    <x v="432"/>
    <s v="Евроопт"/>
    <s v="Барановичи"/>
    <s v="Ягоды"/>
    <s v="Черешня"/>
    <n v="1760"/>
    <n v="98"/>
    <n v="172.48"/>
    <x v="9"/>
  </r>
  <r>
    <x v="432"/>
    <s v="Копеечка"/>
    <s v="Борисов"/>
    <s v="Овощи"/>
    <s v="Баклажаны"/>
    <n v="890"/>
    <n v="53"/>
    <n v="47.17"/>
    <x v="9"/>
  </r>
  <r>
    <x v="432"/>
    <s v="Евроопт"/>
    <s v="Жодино"/>
    <s v="Зелень"/>
    <s v="Петрушка"/>
    <n v="640"/>
    <n v="24"/>
    <n v="15.36"/>
    <x v="9"/>
  </r>
  <r>
    <x v="432"/>
    <s v="Евроопт"/>
    <s v="Минск"/>
    <s v="Зелень"/>
    <s v="Салат римский"/>
    <n v="540"/>
    <n v="88"/>
    <n v="47.52"/>
    <x v="9"/>
  </r>
  <r>
    <x v="432"/>
    <s v="Евроопт"/>
    <s v="Минск"/>
    <s v="Ягоды"/>
    <s v="Голубика"/>
    <n v="3205"/>
    <n v="11"/>
    <n v="35.255000000000003"/>
    <x v="9"/>
  </r>
  <r>
    <x v="432"/>
    <s v="Копеечка"/>
    <s v="Столбцы"/>
    <s v="Зелень"/>
    <s v="Петрушка"/>
    <n v="640"/>
    <n v="81"/>
    <n v="51.84"/>
    <x v="9"/>
  </r>
  <r>
    <x v="432"/>
    <s v="Виталюр"/>
    <s v="Столбцы"/>
    <s v="Ягоды"/>
    <s v="Смородина черная"/>
    <n v="1505"/>
    <n v="41"/>
    <n v="61.704999999999998"/>
    <x v="9"/>
  </r>
  <r>
    <x v="432"/>
    <s v="Копеечка"/>
    <s v="Фаниполь"/>
    <s v="Фрукты"/>
    <s v="Груши"/>
    <n v="1420"/>
    <n v="74"/>
    <n v="105.08"/>
    <x v="9"/>
  </r>
  <r>
    <x v="433"/>
    <m/>
    <m/>
    <m/>
    <m/>
    <m/>
    <m/>
    <n v="723.29000000000008"/>
    <x v="9"/>
  </r>
  <r>
    <x v="434"/>
    <s v="Виталюр"/>
    <s v="Барановичи"/>
    <s v="Зелень"/>
    <s v="Салат айсберг"/>
    <n v="1380"/>
    <n v="93"/>
    <n v="128.34"/>
    <x v="9"/>
  </r>
  <r>
    <x v="434"/>
    <s v="Копеечка"/>
    <s v="Барановичи"/>
    <s v="Овощи"/>
    <s v="Кабачки"/>
    <n v="325"/>
    <n v="58"/>
    <n v="18.850000000000001"/>
    <x v="9"/>
  </r>
  <r>
    <x v="434"/>
    <s v="Копеечка"/>
    <s v="Барановичи"/>
    <s v="Фрукты"/>
    <s v="Апельсины"/>
    <n v="2540"/>
    <n v="21"/>
    <n v="53.34"/>
    <x v="9"/>
  </r>
  <r>
    <x v="434"/>
    <s v="Копеечка"/>
    <s v="Жодино"/>
    <s v="Ягоды"/>
    <s v="Малина"/>
    <n v="2970"/>
    <n v="36"/>
    <n v="106.92"/>
    <x v="9"/>
  </r>
  <r>
    <x v="434"/>
    <s v="Копеечка"/>
    <s v="Жодино"/>
    <s v="Ягоды"/>
    <s v="Брусника"/>
    <n v="1670"/>
    <n v="53"/>
    <n v="88.51"/>
    <x v="9"/>
  </r>
  <r>
    <x v="434"/>
    <s v="Виталюр"/>
    <s v="Минск"/>
    <s v="Овощи"/>
    <s v="Баклажаны"/>
    <n v="890"/>
    <n v="79"/>
    <n v="70.31"/>
    <x v="9"/>
  </r>
  <r>
    <x v="434"/>
    <s v="Евроопт"/>
    <s v="Столбцы"/>
    <s v="Зелень"/>
    <s v="Салат римский"/>
    <n v="540"/>
    <n v="43"/>
    <n v="23.22"/>
    <x v="9"/>
  </r>
  <r>
    <x v="434"/>
    <s v="Копеечка"/>
    <s v="Столбцы"/>
    <s v="Зелень"/>
    <s v="Салат римский"/>
    <n v="540"/>
    <n v="39"/>
    <n v="21.06"/>
    <x v="9"/>
  </r>
  <r>
    <x v="434"/>
    <s v="Виталюр"/>
    <s v="Фаниполь"/>
    <s v="Ягоды"/>
    <s v="Черешня"/>
    <n v="1760"/>
    <n v="18"/>
    <n v="31.68"/>
    <x v="9"/>
  </r>
  <r>
    <x v="435"/>
    <m/>
    <m/>
    <m/>
    <m/>
    <m/>
    <m/>
    <n v="542.23"/>
    <x v="9"/>
  </r>
  <r>
    <x v="436"/>
    <s v="Копеечка"/>
    <s v="Борисов"/>
    <s v="Ягоды"/>
    <s v="Черешня"/>
    <n v="1760"/>
    <n v="99"/>
    <n v="174.24"/>
    <x v="9"/>
  </r>
  <r>
    <x v="436"/>
    <s v="Соседи"/>
    <s v="Жодино"/>
    <s v="Овощи"/>
    <s v="Картофель"/>
    <n v="690"/>
    <n v="6"/>
    <n v="4.1399999999999997"/>
    <x v="9"/>
  </r>
  <r>
    <x v="436"/>
    <s v="Виталюр"/>
    <s v="Жодино"/>
    <s v="Овощи"/>
    <s v="Баклажаны"/>
    <n v="890"/>
    <n v="80"/>
    <n v="71.2"/>
    <x v="9"/>
  </r>
  <r>
    <x v="436"/>
    <s v="Копеечка"/>
    <s v="Жодино"/>
    <s v="Фрукты"/>
    <s v="Груши"/>
    <n v="1420"/>
    <n v="12"/>
    <n v="17.04"/>
    <x v="9"/>
  </r>
  <r>
    <x v="436"/>
    <s v="Евроопт"/>
    <s v="Жодино"/>
    <s v="Ягоды"/>
    <s v="Брусника"/>
    <n v="1670"/>
    <n v="94"/>
    <n v="156.97999999999999"/>
    <x v="9"/>
  </r>
  <r>
    <x v="437"/>
    <m/>
    <m/>
    <m/>
    <m/>
    <m/>
    <m/>
    <n v="423.6"/>
    <x v="9"/>
  </r>
  <r>
    <x v="438"/>
    <s v="Соседи"/>
    <s v="Барановичи"/>
    <s v="Ягоды"/>
    <s v="Клубника"/>
    <n v="2460"/>
    <n v="52"/>
    <n v="127.92"/>
    <x v="9"/>
  </r>
  <r>
    <x v="438"/>
    <s v="Копеечка"/>
    <s v="Борисов"/>
    <s v="Зелень"/>
    <s v="Салат айсберг"/>
    <n v="1380"/>
    <n v="14"/>
    <n v="19.32"/>
    <x v="9"/>
  </r>
  <r>
    <x v="438"/>
    <s v="Соседи"/>
    <s v="Борисов"/>
    <s v="Зелень"/>
    <s v="Петрушка"/>
    <n v="640"/>
    <n v="54"/>
    <n v="34.56"/>
    <x v="9"/>
  </r>
  <r>
    <x v="438"/>
    <s v="Виталюр"/>
    <s v="Борисов"/>
    <s v="Ягоды"/>
    <s v="Клубника"/>
    <n v="2460"/>
    <n v="73"/>
    <n v="179.58"/>
    <x v="9"/>
  </r>
  <r>
    <x v="438"/>
    <s v="Копеечка"/>
    <s v="Жодино"/>
    <s v="Овощи"/>
    <s v="Капуста"/>
    <n v="460"/>
    <n v="59"/>
    <n v="27.14"/>
    <x v="9"/>
  </r>
  <r>
    <x v="438"/>
    <s v="Виталюр"/>
    <s v="Столбцы"/>
    <s v="Овощи"/>
    <s v="Картофель"/>
    <n v="690"/>
    <n v="28"/>
    <n v="19.32"/>
    <x v="9"/>
  </r>
  <r>
    <x v="438"/>
    <s v="Копеечка"/>
    <s v="Столбцы"/>
    <s v="Ягоды"/>
    <s v="Смородина черная"/>
    <n v="1505"/>
    <n v="76"/>
    <n v="114.38"/>
    <x v="9"/>
  </r>
  <r>
    <x v="438"/>
    <s v="Виталюр"/>
    <s v="Фаниполь"/>
    <s v="Ягоды"/>
    <s v="Клубника"/>
    <n v="2460"/>
    <n v="78"/>
    <n v="191.88"/>
    <x v="9"/>
  </r>
  <r>
    <x v="439"/>
    <m/>
    <m/>
    <m/>
    <m/>
    <m/>
    <m/>
    <n v="714.1"/>
    <x v="9"/>
  </r>
  <r>
    <x v="440"/>
    <s v="Копеечка"/>
    <s v="Барановичи"/>
    <s v="Фрукты"/>
    <s v="Апельсины"/>
    <n v="2540"/>
    <n v="82"/>
    <n v="208.28"/>
    <x v="9"/>
  </r>
  <r>
    <x v="440"/>
    <s v="Копеечка"/>
    <s v="Борисов"/>
    <s v="Фрукты"/>
    <s v="Сливы"/>
    <n v="930"/>
    <n v="34"/>
    <n v="31.62"/>
    <x v="9"/>
  </r>
  <r>
    <x v="440"/>
    <s v="Виталюр"/>
    <s v="Жодино"/>
    <s v="Зелень"/>
    <s v="Укроп"/>
    <n v="650"/>
    <n v="32"/>
    <n v="20.8"/>
    <x v="9"/>
  </r>
  <r>
    <x v="441"/>
    <m/>
    <m/>
    <m/>
    <m/>
    <m/>
    <m/>
    <n v="260.7"/>
    <x v="9"/>
  </r>
  <r>
    <x v="442"/>
    <s v="Евроопт"/>
    <s v="Барановичи"/>
    <s v="Зелень"/>
    <s v="Лук зеленый"/>
    <n v="705"/>
    <n v="41"/>
    <n v="28.905000000000001"/>
    <x v="9"/>
  </r>
  <r>
    <x v="442"/>
    <s v="Соседи"/>
    <s v="Барановичи"/>
    <s v="Овощи"/>
    <s v="Капуста"/>
    <n v="460"/>
    <n v="69"/>
    <n v="31.74"/>
    <x v="9"/>
  </r>
  <r>
    <x v="442"/>
    <s v="Евроопт"/>
    <s v="Борисов"/>
    <s v="Овощи"/>
    <s v="Капуста"/>
    <n v="460"/>
    <n v="50"/>
    <n v="23"/>
    <x v="9"/>
  </r>
  <r>
    <x v="442"/>
    <s v="Соседи"/>
    <s v="Борисов"/>
    <s v="Овощи"/>
    <s v="Свекла"/>
    <n v="450"/>
    <n v="10"/>
    <n v="4.5"/>
    <x v="9"/>
  </r>
  <r>
    <x v="442"/>
    <s v="Виталюр"/>
    <s v="Борисов"/>
    <s v="Фрукты"/>
    <s v="Груши"/>
    <n v="1420"/>
    <n v="43"/>
    <n v="61.06"/>
    <x v="9"/>
  </r>
  <r>
    <x v="442"/>
    <s v="Виталюр"/>
    <s v="Жодино"/>
    <s v="Зелень"/>
    <s v="Кинза"/>
    <n v="650"/>
    <n v="10"/>
    <n v="6.5"/>
    <x v="9"/>
  </r>
  <r>
    <x v="442"/>
    <s v="Копеечка"/>
    <s v="Жодино"/>
    <s v="Овощи"/>
    <s v="Картофель"/>
    <n v="690"/>
    <n v="94"/>
    <n v="64.86"/>
    <x v="9"/>
  </r>
  <r>
    <x v="442"/>
    <s v="Соседи"/>
    <s v="Минск"/>
    <s v="Ягоды"/>
    <s v="Черешня"/>
    <n v="1760"/>
    <n v="86"/>
    <n v="151.36000000000001"/>
    <x v="9"/>
  </r>
  <r>
    <x v="442"/>
    <s v="Виталюр"/>
    <s v="Фаниполь"/>
    <s v="Зелень"/>
    <s v="Петрушка"/>
    <n v="640"/>
    <n v="46"/>
    <n v="29.44"/>
    <x v="9"/>
  </r>
  <r>
    <x v="442"/>
    <s v="Соседи"/>
    <s v="Фаниполь"/>
    <s v="Зелень"/>
    <s v="Лук зеленый"/>
    <n v="705"/>
    <n v="84"/>
    <n v="59.22"/>
    <x v="9"/>
  </r>
  <r>
    <x v="442"/>
    <s v="Евроопт"/>
    <s v="Фаниполь"/>
    <s v="Овощи"/>
    <s v="Морковь"/>
    <n v="715"/>
    <n v="14"/>
    <n v="10.01"/>
    <x v="9"/>
  </r>
  <r>
    <x v="443"/>
    <m/>
    <m/>
    <m/>
    <m/>
    <m/>
    <m/>
    <n v="470.59500000000003"/>
    <x v="9"/>
  </r>
  <r>
    <x v="444"/>
    <s v="Виталюр"/>
    <s v="Барановичи"/>
    <s v="Фрукты"/>
    <s v="Бананы"/>
    <n v="2400"/>
    <n v="12"/>
    <n v="28.8"/>
    <x v="9"/>
  </r>
  <r>
    <x v="444"/>
    <s v="Виталюр"/>
    <s v="Борисов"/>
    <s v="Фрукты"/>
    <s v="Бананы"/>
    <n v="2400"/>
    <n v="51"/>
    <n v="122.4"/>
    <x v="9"/>
  </r>
  <r>
    <x v="444"/>
    <s v="Евроопт"/>
    <s v="Минск"/>
    <s v="Фрукты"/>
    <s v="Абрикосы"/>
    <n v="1320"/>
    <n v="21"/>
    <n v="27.72"/>
    <x v="9"/>
  </r>
  <r>
    <x v="444"/>
    <s v="Евроопт"/>
    <s v="Минск"/>
    <s v="Ягоды"/>
    <s v="Малина"/>
    <n v="2970"/>
    <n v="45"/>
    <n v="133.65"/>
    <x v="9"/>
  </r>
  <r>
    <x v="444"/>
    <s v="Евроопт"/>
    <s v="Столбцы"/>
    <s v="Овощи"/>
    <s v="Морковь"/>
    <n v="715"/>
    <n v="82"/>
    <n v="58.63"/>
    <x v="9"/>
  </r>
  <r>
    <x v="445"/>
    <m/>
    <m/>
    <m/>
    <m/>
    <m/>
    <m/>
    <n v="371.20000000000005"/>
    <x v="9"/>
  </r>
  <r>
    <x v="446"/>
    <s v="Евроопт"/>
    <s v="Жодино"/>
    <s v="Овощи"/>
    <s v="Свекла"/>
    <n v="450"/>
    <n v="92"/>
    <n v="41.4"/>
    <x v="9"/>
  </r>
  <r>
    <x v="446"/>
    <s v="Копеечка"/>
    <s v="Минск"/>
    <s v="Зелень"/>
    <s v="Кинза"/>
    <n v="650"/>
    <n v="7"/>
    <n v="4.55"/>
    <x v="9"/>
  </r>
  <r>
    <x v="446"/>
    <s v="Виталюр"/>
    <s v="Минск"/>
    <s v="Овощи"/>
    <s v="Капуста"/>
    <n v="460"/>
    <n v="78"/>
    <n v="35.880000000000003"/>
    <x v="9"/>
  </r>
  <r>
    <x v="446"/>
    <s v="Соседи"/>
    <s v="Минск"/>
    <s v="Фрукты"/>
    <s v="Яблоки"/>
    <n v="1230"/>
    <n v="72"/>
    <n v="88.56"/>
    <x v="9"/>
  </r>
  <r>
    <x v="446"/>
    <s v="Виталюр"/>
    <s v="Фаниполь"/>
    <s v="Ягоды"/>
    <s v="Голубика"/>
    <n v="3205"/>
    <n v="89"/>
    <n v="285.245"/>
    <x v="9"/>
  </r>
  <r>
    <x v="447"/>
    <m/>
    <m/>
    <m/>
    <m/>
    <m/>
    <m/>
    <n v="455.63499999999999"/>
    <x v="9"/>
  </r>
  <r>
    <x v="448"/>
    <s v="Соседи"/>
    <s v="Барановичи"/>
    <s v="Фрукты"/>
    <s v="Апельсины"/>
    <n v="2540"/>
    <n v="37"/>
    <n v="93.98"/>
    <x v="9"/>
  </r>
  <r>
    <x v="448"/>
    <s v="Соседи"/>
    <s v="Барановичи"/>
    <s v="Ягоды"/>
    <s v="Клубника"/>
    <n v="2460"/>
    <n v="48"/>
    <n v="118.08"/>
    <x v="9"/>
  </r>
  <r>
    <x v="448"/>
    <s v="Виталюр"/>
    <s v="Минск"/>
    <s v="Овощи"/>
    <s v="Свекла"/>
    <n v="450"/>
    <n v="55"/>
    <n v="24.75"/>
    <x v="9"/>
  </r>
  <r>
    <x v="448"/>
    <s v="Виталюр"/>
    <s v="Минск"/>
    <s v="Ягоды"/>
    <s v="Клубника"/>
    <n v="2460"/>
    <n v="50"/>
    <n v="123"/>
    <x v="9"/>
  </r>
  <r>
    <x v="448"/>
    <s v="Евроопт"/>
    <s v="Столбцы"/>
    <s v="Овощи"/>
    <s v="Баклажаны"/>
    <n v="890"/>
    <n v="9"/>
    <n v="8.01"/>
    <x v="9"/>
  </r>
  <r>
    <x v="448"/>
    <s v="Виталюр"/>
    <s v="Фаниполь"/>
    <s v="Зелень"/>
    <s v="Лук зеленый"/>
    <n v="705"/>
    <n v="21"/>
    <n v="14.805"/>
    <x v="9"/>
  </r>
  <r>
    <x v="448"/>
    <s v="Копеечка"/>
    <s v="Фаниполь"/>
    <s v="Овощи"/>
    <s v="Капуста"/>
    <n v="460"/>
    <n v="7"/>
    <n v="3.22"/>
    <x v="9"/>
  </r>
  <r>
    <x v="448"/>
    <s v="Евроопт"/>
    <s v="Фаниполь"/>
    <s v="Овощи"/>
    <s v="Кабачки"/>
    <n v="325"/>
    <n v="76"/>
    <n v="24.7"/>
    <x v="9"/>
  </r>
  <r>
    <x v="448"/>
    <s v="Виталюр"/>
    <s v="Фаниполь"/>
    <s v="Фрукты"/>
    <s v="Абрикосы"/>
    <n v="1320"/>
    <n v="60"/>
    <n v="79.2"/>
    <x v="9"/>
  </r>
  <r>
    <x v="449"/>
    <m/>
    <m/>
    <m/>
    <m/>
    <m/>
    <m/>
    <n v="489.745"/>
    <x v="9"/>
  </r>
  <r>
    <x v="450"/>
    <s v="Копеечка"/>
    <s v="Барановичи"/>
    <s v="Зелень"/>
    <s v="Лук зеленый"/>
    <n v="705"/>
    <n v="35"/>
    <n v="24.675000000000001"/>
    <x v="9"/>
  </r>
  <r>
    <x v="450"/>
    <s v="Виталюр"/>
    <s v="Барановичи"/>
    <s v="Фрукты"/>
    <s v="Сливы"/>
    <n v="930"/>
    <n v="93"/>
    <n v="86.49"/>
    <x v="9"/>
  </r>
  <r>
    <x v="450"/>
    <s v="Виталюр"/>
    <s v="Борисов"/>
    <s v="Ягоды"/>
    <s v="Смородина черная"/>
    <n v="1505"/>
    <n v="74"/>
    <n v="111.37"/>
    <x v="9"/>
  </r>
  <r>
    <x v="450"/>
    <s v="Евроопт"/>
    <s v="Жодино"/>
    <s v="Овощи"/>
    <s v="Баклажаны"/>
    <n v="890"/>
    <n v="46"/>
    <n v="40.94"/>
    <x v="9"/>
  </r>
  <r>
    <x v="450"/>
    <s v="Евроопт"/>
    <s v="Жодино"/>
    <s v="Ягоды"/>
    <s v="Смородина черная"/>
    <n v="1505"/>
    <n v="76"/>
    <n v="114.38"/>
    <x v="9"/>
  </r>
  <r>
    <x v="450"/>
    <s v="Соседи"/>
    <s v="Жодино"/>
    <s v="Ягоды"/>
    <s v="Брусника"/>
    <n v="1670"/>
    <n v="83"/>
    <n v="138.61000000000001"/>
    <x v="9"/>
  </r>
  <r>
    <x v="450"/>
    <s v="Копеечка"/>
    <s v="Минск"/>
    <s v="Фрукты"/>
    <s v="Груши"/>
    <n v="1420"/>
    <n v="11"/>
    <n v="15.62"/>
    <x v="9"/>
  </r>
  <r>
    <x v="450"/>
    <s v="Виталюр"/>
    <s v="Минск"/>
    <s v="Фрукты"/>
    <s v="Сливы"/>
    <n v="930"/>
    <n v="47"/>
    <n v="43.71"/>
    <x v="9"/>
  </r>
  <r>
    <x v="450"/>
    <s v="Виталюр"/>
    <s v="Минск"/>
    <s v="Фрукты"/>
    <s v="Яблоки"/>
    <n v="1230"/>
    <n v="32"/>
    <n v="39.36"/>
    <x v="9"/>
  </r>
  <r>
    <x v="450"/>
    <s v="Соседи"/>
    <s v="Минск"/>
    <s v="Ягоды"/>
    <s v="Черешня"/>
    <n v="1760"/>
    <n v="33"/>
    <n v="58.08"/>
    <x v="9"/>
  </r>
  <r>
    <x v="451"/>
    <m/>
    <m/>
    <m/>
    <m/>
    <m/>
    <m/>
    <n v="673.23500000000013"/>
    <x v="9"/>
  </r>
  <r>
    <x v="452"/>
    <s v="Соседи"/>
    <s v="Борисов"/>
    <s v="Овощи"/>
    <s v="Свекла"/>
    <n v="450"/>
    <n v="97"/>
    <n v="43.65"/>
    <x v="9"/>
  </r>
  <r>
    <x v="452"/>
    <s v="Копеечка"/>
    <s v="Борисов"/>
    <s v="Овощи"/>
    <s v="Капуста"/>
    <n v="460"/>
    <n v="88"/>
    <n v="40.479999999999997"/>
    <x v="9"/>
  </r>
  <r>
    <x v="452"/>
    <s v="Евроопт"/>
    <s v="Борисов"/>
    <s v="Фрукты"/>
    <s v="Яблоки"/>
    <n v="1230"/>
    <n v="97"/>
    <n v="119.31"/>
    <x v="9"/>
  </r>
  <r>
    <x v="452"/>
    <s v="Копеечка"/>
    <s v="Борисов"/>
    <s v="Фрукты"/>
    <s v="Абрикосы"/>
    <n v="1320"/>
    <n v="74"/>
    <n v="97.68"/>
    <x v="9"/>
  </r>
  <r>
    <x v="452"/>
    <s v="Соседи"/>
    <s v="Жодино"/>
    <s v="Зелень"/>
    <s v="Кинза"/>
    <n v="650"/>
    <n v="54"/>
    <n v="35.1"/>
    <x v="9"/>
  </r>
  <r>
    <x v="452"/>
    <s v="Виталюр"/>
    <s v="Жодино"/>
    <s v="Фрукты"/>
    <s v="Апельсины"/>
    <n v="2540"/>
    <n v="9"/>
    <n v="22.86"/>
    <x v="9"/>
  </r>
  <r>
    <x v="452"/>
    <s v="Копеечка"/>
    <s v="Минск"/>
    <s v="Фрукты"/>
    <s v="Бананы"/>
    <n v="2400"/>
    <n v="45"/>
    <n v="108"/>
    <x v="9"/>
  </r>
  <r>
    <x v="452"/>
    <s v="Соседи"/>
    <s v="Столбцы"/>
    <s v="Зелень"/>
    <s v="Кинза"/>
    <n v="650"/>
    <n v="86"/>
    <n v="55.9"/>
    <x v="9"/>
  </r>
  <r>
    <x v="452"/>
    <s v="Евроопт"/>
    <s v="Столбцы"/>
    <s v="Зелень"/>
    <s v="Лук зеленый"/>
    <n v="705"/>
    <n v="21"/>
    <n v="14.805"/>
    <x v="9"/>
  </r>
  <r>
    <x v="452"/>
    <s v="Виталюр"/>
    <s v="Столбцы"/>
    <s v="Зелень"/>
    <s v="Салат римский"/>
    <n v="540"/>
    <n v="98"/>
    <n v="52.92"/>
    <x v="9"/>
  </r>
  <r>
    <x v="452"/>
    <s v="Соседи"/>
    <s v="Столбцы"/>
    <s v="Ягоды"/>
    <s v="Голубика"/>
    <n v="3205"/>
    <n v="21"/>
    <n v="67.305000000000007"/>
    <x v="9"/>
  </r>
  <r>
    <x v="452"/>
    <s v="Виталюр"/>
    <s v="Фаниполь"/>
    <s v="Ягоды"/>
    <s v="Смородина черная"/>
    <n v="1505"/>
    <n v="65"/>
    <n v="97.825000000000003"/>
    <x v="9"/>
  </r>
  <r>
    <x v="452"/>
    <s v="Виталюр"/>
    <s v="Фаниполь"/>
    <s v="Ягоды"/>
    <s v="Малина"/>
    <n v="2970"/>
    <n v="17"/>
    <n v="50.49"/>
    <x v="9"/>
  </r>
  <r>
    <x v="453"/>
    <m/>
    <m/>
    <m/>
    <m/>
    <m/>
    <m/>
    <n v="806.32500000000005"/>
    <x v="9"/>
  </r>
  <r>
    <x v="454"/>
    <s v="Копеечка"/>
    <s v="Барановичи"/>
    <s v="Ягоды"/>
    <s v="Малина"/>
    <n v="2970"/>
    <n v="69"/>
    <n v="204.93"/>
    <x v="9"/>
  </r>
  <r>
    <x v="454"/>
    <s v="Копеечка"/>
    <s v="Жодино"/>
    <s v="Зелень"/>
    <s v="Лук зеленый"/>
    <n v="705"/>
    <n v="32"/>
    <n v="22.56"/>
    <x v="9"/>
  </r>
  <r>
    <x v="454"/>
    <s v="Копеечка"/>
    <s v="Жодино"/>
    <s v="Фрукты"/>
    <s v="Абрикосы"/>
    <n v="1320"/>
    <n v="87"/>
    <n v="114.84"/>
    <x v="9"/>
  </r>
  <r>
    <x v="454"/>
    <s v="Копеечка"/>
    <s v="Жодино"/>
    <s v="Фрукты"/>
    <s v="Сливы"/>
    <n v="930"/>
    <n v="27"/>
    <n v="25.11"/>
    <x v="9"/>
  </r>
  <r>
    <x v="454"/>
    <s v="Копеечка"/>
    <s v="Жодино"/>
    <s v="Фрукты"/>
    <s v="Абрикосы"/>
    <n v="1320"/>
    <n v="98"/>
    <n v="129.36000000000001"/>
    <x v="9"/>
  </r>
  <r>
    <x v="454"/>
    <s v="Соседи"/>
    <s v="Минск"/>
    <s v="Ягоды"/>
    <s v="Клубника"/>
    <n v="2460"/>
    <n v="57"/>
    <n v="140.22"/>
    <x v="9"/>
  </r>
  <r>
    <x v="454"/>
    <s v="Евроопт"/>
    <s v="Фаниполь"/>
    <s v="Зелень"/>
    <s v="Салат айсберг"/>
    <n v="1380"/>
    <n v="57"/>
    <n v="78.66"/>
    <x v="9"/>
  </r>
  <r>
    <x v="454"/>
    <s v="Виталюр"/>
    <s v="Фаниполь"/>
    <s v="Ягоды"/>
    <s v="Голубика"/>
    <n v="3205"/>
    <n v="24"/>
    <n v="76.92"/>
    <x v="9"/>
  </r>
  <r>
    <x v="455"/>
    <m/>
    <m/>
    <m/>
    <m/>
    <m/>
    <m/>
    <n v="792.6"/>
    <x v="9"/>
  </r>
  <r>
    <x v="456"/>
    <s v="Виталюр"/>
    <s v="Барановичи"/>
    <s v="Зелень"/>
    <s v="Салат айсберг"/>
    <n v="1380"/>
    <n v="40"/>
    <n v="55.2"/>
    <x v="9"/>
  </r>
  <r>
    <x v="456"/>
    <s v="Соседи"/>
    <s v="Барановичи"/>
    <s v="Овощи"/>
    <s v="Кабачки"/>
    <n v="325"/>
    <n v="72"/>
    <n v="23.4"/>
    <x v="9"/>
  </r>
  <r>
    <x v="456"/>
    <s v="Копеечка"/>
    <s v="Жодино"/>
    <s v="Зелень"/>
    <s v="Лук зеленый"/>
    <n v="705"/>
    <n v="42"/>
    <n v="29.61"/>
    <x v="9"/>
  </r>
  <r>
    <x v="456"/>
    <s v="Виталюр"/>
    <s v="Жодино"/>
    <s v="Зелень"/>
    <s v="Укроп"/>
    <n v="650"/>
    <n v="16"/>
    <n v="10.4"/>
    <x v="9"/>
  </r>
  <r>
    <x v="456"/>
    <s v="Соседи"/>
    <s v="Минск"/>
    <s v="Фрукты"/>
    <s v="Яблоки"/>
    <n v="1230"/>
    <n v="38"/>
    <n v="46.74"/>
    <x v="9"/>
  </r>
  <r>
    <x v="456"/>
    <s v="Евроопт"/>
    <s v="Столбцы"/>
    <s v="Ягоды"/>
    <s v="Смородина черная"/>
    <n v="1505"/>
    <n v="88"/>
    <n v="132.44"/>
    <x v="9"/>
  </r>
  <r>
    <x v="456"/>
    <s v="Соседи"/>
    <s v="Фаниполь"/>
    <s v="Зелень"/>
    <s v="Кинза"/>
    <n v="650"/>
    <n v="31"/>
    <n v="20.149999999999999"/>
    <x v="9"/>
  </r>
  <r>
    <x v="456"/>
    <s v="Копеечка"/>
    <s v="Фаниполь"/>
    <s v="Ягоды"/>
    <s v="Черешня"/>
    <n v="1760"/>
    <n v="71"/>
    <n v="124.96"/>
    <x v="9"/>
  </r>
  <r>
    <x v="457"/>
    <m/>
    <m/>
    <m/>
    <m/>
    <m/>
    <m/>
    <n v="442.89999999999992"/>
    <x v="9"/>
  </r>
  <r>
    <x v="458"/>
    <s v="Виталюр"/>
    <s v="Барановичи"/>
    <s v="Зелень"/>
    <s v="Салат римский"/>
    <n v="540"/>
    <n v="54"/>
    <n v="29.16"/>
    <x v="9"/>
  </r>
  <r>
    <x v="458"/>
    <s v="Копеечка"/>
    <s v="Барановичи"/>
    <s v="Овощи"/>
    <s v="Баклажаны"/>
    <n v="890"/>
    <n v="92"/>
    <n v="81.88"/>
    <x v="9"/>
  </r>
  <r>
    <x v="458"/>
    <s v="Соседи"/>
    <s v="Барановичи"/>
    <s v="Ягоды"/>
    <s v="Голубика"/>
    <n v="3205"/>
    <n v="59"/>
    <n v="189.095"/>
    <x v="9"/>
  </r>
  <r>
    <x v="458"/>
    <s v="Евроопт"/>
    <s v="Жодино"/>
    <s v="Овощи"/>
    <s v="Картофель"/>
    <n v="690"/>
    <n v="50"/>
    <n v="34.5"/>
    <x v="9"/>
  </r>
  <r>
    <x v="458"/>
    <s v="Копеечка"/>
    <s v="Жодино"/>
    <s v="Фрукты"/>
    <s v="Бананы"/>
    <n v="2400"/>
    <n v="96"/>
    <n v="230.4"/>
    <x v="9"/>
  </r>
  <r>
    <x v="458"/>
    <s v="Евроопт"/>
    <s v="Минск"/>
    <s v="Зелень"/>
    <s v="Салат римский"/>
    <n v="540"/>
    <n v="99"/>
    <n v="53.46"/>
    <x v="9"/>
  </r>
  <r>
    <x v="458"/>
    <s v="Виталюр"/>
    <s v="Столбцы"/>
    <s v="Фрукты"/>
    <s v="Сливы"/>
    <n v="930"/>
    <n v="21"/>
    <n v="19.53"/>
    <x v="9"/>
  </r>
  <r>
    <x v="459"/>
    <m/>
    <m/>
    <m/>
    <m/>
    <m/>
    <m/>
    <n v="638.02499999999998"/>
    <x v="9"/>
  </r>
  <r>
    <x v="460"/>
    <s v="Евроопт"/>
    <s v="Барановичи"/>
    <s v="Овощи"/>
    <s v="Баклажаны"/>
    <n v="890"/>
    <n v="76"/>
    <n v="67.64"/>
    <x v="9"/>
  </r>
  <r>
    <x v="460"/>
    <s v="Соседи"/>
    <s v="Барановичи"/>
    <s v="Ягоды"/>
    <s v="Малина"/>
    <n v="2970"/>
    <n v="19"/>
    <n v="56.43"/>
    <x v="9"/>
  </r>
  <r>
    <x v="460"/>
    <s v="Евроопт"/>
    <s v="Борисов"/>
    <s v="Зелень"/>
    <s v="Укроп"/>
    <n v="650"/>
    <n v="20"/>
    <n v="13"/>
    <x v="9"/>
  </r>
  <r>
    <x v="460"/>
    <s v="Евроопт"/>
    <s v="Борисов"/>
    <s v="Фрукты"/>
    <s v="Яблоки"/>
    <n v="1230"/>
    <n v="79"/>
    <n v="97.17"/>
    <x v="9"/>
  </r>
  <r>
    <x v="460"/>
    <s v="Соседи"/>
    <s v="Борисов"/>
    <s v="Ягоды"/>
    <s v="Малина"/>
    <n v="2970"/>
    <n v="25"/>
    <n v="74.25"/>
    <x v="9"/>
  </r>
  <r>
    <x v="460"/>
    <s v="Соседи"/>
    <s v="Жодино"/>
    <s v="Овощи"/>
    <s v="Баклажаны"/>
    <n v="890"/>
    <n v="91"/>
    <n v="80.989999999999995"/>
    <x v="9"/>
  </r>
  <r>
    <x v="460"/>
    <s v="Соседи"/>
    <s v="Жодино"/>
    <s v="Овощи"/>
    <s v="Картофель"/>
    <n v="690"/>
    <n v="91"/>
    <n v="62.79"/>
    <x v="9"/>
  </r>
  <r>
    <x v="460"/>
    <s v="Евроопт"/>
    <s v="Жодино"/>
    <s v="Ягоды"/>
    <s v="Смородина черная"/>
    <n v="1505"/>
    <n v="19"/>
    <n v="28.594999999999999"/>
    <x v="9"/>
  </r>
  <r>
    <x v="460"/>
    <s v="Копеечка"/>
    <s v="Столбцы"/>
    <s v="Зелень"/>
    <s v="Салат айсберг"/>
    <n v="1380"/>
    <n v="10"/>
    <n v="13.8"/>
    <x v="9"/>
  </r>
  <r>
    <x v="460"/>
    <s v="Соседи"/>
    <s v="Столбцы"/>
    <s v="Зелень"/>
    <s v="Салат римский"/>
    <n v="540"/>
    <n v="48"/>
    <n v="25.92"/>
    <x v="9"/>
  </r>
  <r>
    <x v="460"/>
    <s v="Виталюр"/>
    <s v="Столбцы"/>
    <s v="Ягоды"/>
    <s v="Малина"/>
    <n v="2970"/>
    <n v="72"/>
    <n v="213.84"/>
    <x v="9"/>
  </r>
  <r>
    <x v="460"/>
    <s v="Соседи"/>
    <s v="Столбцы"/>
    <s v="Ягоды"/>
    <s v="Смородина черная"/>
    <n v="1505"/>
    <n v="7"/>
    <n v="10.535"/>
    <x v="9"/>
  </r>
  <r>
    <x v="460"/>
    <s v="Копеечка"/>
    <s v="Фаниполь"/>
    <s v="Зелень"/>
    <s v="Укроп"/>
    <n v="650"/>
    <n v="24"/>
    <n v="15.6"/>
    <x v="9"/>
  </r>
  <r>
    <x v="460"/>
    <s v="Евроопт"/>
    <s v="Фаниполь"/>
    <s v="Ягоды"/>
    <s v="Малина"/>
    <n v="2970"/>
    <n v="74"/>
    <n v="219.78"/>
    <x v="9"/>
  </r>
  <r>
    <x v="460"/>
    <s v="Копеечка"/>
    <s v="Фаниполь"/>
    <s v="Ягоды"/>
    <s v="Брусника"/>
    <n v="1670"/>
    <n v="36"/>
    <n v="60.12"/>
    <x v="9"/>
  </r>
  <r>
    <x v="461"/>
    <m/>
    <m/>
    <m/>
    <m/>
    <m/>
    <m/>
    <n v="1040.46"/>
    <x v="9"/>
  </r>
  <r>
    <x v="462"/>
    <s v="Соседи"/>
    <s v="Борисов"/>
    <s v="Ягоды"/>
    <s v="Черешня"/>
    <n v="1760"/>
    <n v="45"/>
    <n v="79.2"/>
    <x v="9"/>
  </r>
  <r>
    <x v="462"/>
    <s v="Соседи"/>
    <s v="Борисов"/>
    <s v="Ягоды"/>
    <s v="Брусника"/>
    <n v="1670"/>
    <n v="100"/>
    <n v="167"/>
    <x v="9"/>
  </r>
  <r>
    <x v="462"/>
    <s v="Виталюр"/>
    <s v="Минск"/>
    <s v="Овощи"/>
    <s v="Морковь"/>
    <n v="715"/>
    <n v="95"/>
    <n v="67.924999999999997"/>
    <x v="9"/>
  </r>
  <r>
    <x v="462"/>
    <s v="Соседи"/>
    <s v="Минск"/>
    <s v="Ягоды"/>
    <s v="Брусника"/>
    <n v="1670"/>
    <n v="68"/>
    <n v="113.56"/>
    <x v="9"/>
  </r>
  <r>
    <x v="462"/>
    <s v="Соседи"/>
    <s v="Столбцы"/>
    <s v="Зелень"/>
    <s v="Лук зеленый"/>
    <n v="705"/>
    <n v="18"/>
    <n v="12.69"/>
    <x v="9"/>
  </r>
  <r>
    <x v="462"/>
    <s v="Евроопт"/>
    <s v="Фаниполь"/>
    <s v="Фрукты"/>
    <s v="Бананы"/>
    <n v="2400"/>
    <n v="81"/>
    <n v="194.4"/>
    <x v="9"/>
  </r>
  <r>
    <x v="462"/>
    <s v="Виталюр"/>
    <s v="Фаниполь"/>
    <s v="Ягоды"/>
    <s v="Клубника"/>
    <n v="2460"/>
    <n v="6"/>
    <n v="14.76"/>
    <x v="9"/>
  </r>
  <r>
    <x v="463"/>
    <m/>
    <m/>
    <m/>
    <m/>
    <m/>
    <m/>
    <n v="649.53499999999997"/>
    <x v="9"/>
  </r>
  <r>
    <x v="464"/>
    <s v="Копеечка"/>
    <s v="Барановичи"/>
    <s v="Зелень"/>
    <s v="Петрушка"/>
    <n v="640"/>
    <n v="34"/>
    <n v="21.76"/>
    <x v="9"/>
  </r>
  <r>
    <x v="464"/>
    <s v="Виталюр"/>
    <s v="Барановичи"/>
    <s v="Ягоды"/>
    <s v="Малина"/>
    <n v="2970"/>
    <n v="5"/>
    <n v="14.85"/>
    <x v="9"/>
  </r>
  <r>
    <x v="464"/>
    <s v="Евроопт"/>
    <s v="Борисов"/>
    <s v="Зелень"/>
    <s v="Салат айсберг"/>
    <n v="1380"/>
    <n v="85"/>
    <n v="117.3"/>
    <x v="9"/>
  </r>
  <r>
    <x v="464"/>
    <s v="Соседи"/>
    <s v="Борисов"/>
    <s v="Зелень"/>
    <s v="Салат айсберг"/>
    <n v="1380"/>
    <n v="96"/>
    <n v="132.47999999999999"/>
    <x v="9"/>
  </r>
  <r>
    <x v="464"/>
    <s v="Виталюр"/>
    <s v="Борисов"/>
    <s v="Фрукты"/>
    <s v="Сливы"/>
    <n v="930"/>
    <n v="41"/>
    <n v="38.130000000000003"/>
    <x v="9"/>
  </r>
  <r>
    <x v="464"/>
    <s v="Евроопт"/>
    <s v="Жодино"/>
    <s v="Ягоды"/>
    <s v="Голубика"/>
    <n v="3205"/>
    <n v="23"/>
    <n v="73.715000000000003"/>
    <x v="9"/>
  </r>
  <r>
    <x v="464"/>
    <s v="Соседи"/>
    <s v="Минск"/>
    <s v="Зелень"/>
    <s v="Укроп"/>
    <n v="650"/>
    <n v="51"/>
    <n v="33.15"/>
    <x v="9"/>
  </r>
  <r>
    <x v="464"/>
    <s v="Евроопт"/>
    <s v="Минск"/>
    <s v="Зелень"/>
    <s v="Укроп"/>
    <n v="650"/>
    <n v="88"/>
    <n v="57.2"/>
    <x v="9"/>
  </r>
  <r>
    <x v="464"/>
    <s v="Виталюр"/>
    <s v="Минск"/>
    <s v="Фрукты"/>
    <s v="Бананы"/>
    <n v="2400"/>
    <n v="11"/>
    <n v="26.4"/>
    <x v="9"/>
  </r>
  <r>
    <x v="464"/>
    <s v="Копеечка"/>
    <s v="Столбцы"/>
    <s v="Овощи"/>
    <s v="Морковь"/>
    <n v="715"/>
    <n v="79"/>
    <n v="56.484999999999999"/>
    <x v="9"/>
  </r>
  <r>
    <x v="464"/>
    <s v="Соседи"/>
    <s v="Столбцы"/>
    <s v="Фрукты"/>
    <s v="Яблоки"/>
    <n v="1230"/>
    <n v="50"/>
    <n v="61.5"/>
    <x v="9"/>
  </r>
  <r>
    <x v="464"/>
    <s v="Евроопт"/>
    <s v="Фаниполь"/>
    <s v="Фрукты"/>
    <s v="Апельсины"/>
    <n v="2540"/>
    <n v="55"/>
    <n v="139.69999999999999"/>
    <x v="9"/>
  </r>
  <r>
    <x v="465"/>
    <m/>
    <m/>
    <m/>
    <m/>
    <m/>
    <m/>
    <n v="772.67000000000007"/>
    <x v="9"/>
  </r>
  <r>
    <x v="466"/>
    <s v="Соседи"/>
    <s v="Барановичи"/>
    <s v="Зелень"/>
    <s v="Салат айсберг"/>
    <n v="1380"/>
    <n v="43"/>
    <n v="59.34"/>
    <x v="9"/>
  </r>
  <r>
    <x v="466"/>
    <s v="Евроопт"/>
    <s v="Барановичи"/>
    <s v="Овощи"/>
    <s v="Кабачки"/>
    <n v="325"/>
    <n v="45"/>
    <n v="14.625"/>
    <x v="9"/>
  </r>
  <r>
    <x v="466"/>
    <s v="Соседи"/>
    <s v="Барановичи"/>
    <s v="Фрукты"/>
    <s v="Абрикосы"/>
    <n v="1320"/>
    <n v="17"/>
    <n v="22.44"/>
    <x v="9"/>
  </r>
  <r>
    <x v="466"/>
    <s v="Соседи"/>
    <s v="Барановичи"/>
    <s v="Фрукты"/>
    <s v="Апельсины"/>
    <n v="2540"/>
    <n v="52"/>
    <n v="132.08000000000001"/>
    <x v="9"/>
  </r>
  <r>
    <x v="466"/>
    <s v="Евроопт"/>
    <s v="Борисов"/>
    <s v="Зелень"/>
    <s v="Лук зеленый"/>
    <n v="705"/>
    <n v="40"/>
    <n v="28.2"/>
    <x v="9"/>
  </r>
  <r>
    <x v="466"/>
    <s v="Копеечка"/>
    <s v="Борисов"/>
    <s v="Фрукты"/>
    <s v="Апельсины"/>
    <n v="2540"/>
    <n v="56"/>
    <n v="142.24"/>
    <x v="9"/>
  </r>
  <r>
    <x v="466"/>
    <s v="Евроопт"/>
    <s v="Борисов"/>
    <s v="Фрукты"/>
    <s v="Груши"/>
    <n v="1420"/>
    <n v="92"/>
    <n v="130.63999999999999"/>
    <x v="9"/>
  </r>
  <r>
    <x v="466"/>
    <s v="Евроопт"/>
    <s v="Борисов"/>
    <s v="Фрукты"/>
    <s v="Бананы"/>
    <n v="2400"/>
    <n v="99"/>
    <n v="237.6"/>
    <x v="9"/>
  </r>
  <r>
    <x v="466"/>
    <s v="Евроопт"/>
    <s v="Минск"/>
    <s v="Зелень"/>
    <s v="Петрушка"/>
    <n v="640"/>
    <n v="84"/>
    <n v="53.76"/>
    <x v="9"/>
  </r>
  <r>
    <x v="466"/>
    <s v="Виталюр"/>
    <s v="Минск"/>
    <s v="Фрукты"/>
    <s v="Сливы"/>
    <n v="930"/>
    <n v="83"/>
    <n v="77.19"/>
    <x v="9"/>
  </r>
  <r>
    <x v="466"/>
    <s v="Виталюр"/>
    <s v="Минск"/>
    <s v="Ягоды"/>
    <s v="Черешня"/>
    <n v="1760"/>
    <n v="30"/>
    <n v="52.8"/>
    <x v="9"/>
  </r>
  <r>
    <x v="466"/>
    <s v="Евроопт"/>
    <s v="Столбцы"/>
    <s v="Овощи"/>
    <s v="Картофель"/>
    <n v="690"/>
    <n v="9"/>
    <n v="6.21"/>
    <x v="9"/>
  </r>
  <r>
    <x v="466"/>
    <s v="Соседи"/>
    <s v="Столбцы"/>
    <s v="Ягоды"/>
    <s v="Смородина черная"/>
    <n v="1505"/>
    <n v="47"/>
    <n v="70.734999999999999"/>
    <x v="9"/>
  </r>
  <r>
    <x v="466"/>
    <s v="Евроопт"/>
    <s v="Фаниполь"/>
    <s v="Зелень"/>
    <s v="Салат римский"/>
    <n v="540"/>
    <n v="16"/>
    <n v="8.64"/>
    <x v="9"/>
  </r>
  <r>
    <x v="466"/>
    <s v="Копеечка"/>
    <s v="Фаниполь"/>
    <s v="Ягоды"/>
    <s v="Брусника"/>
    <n v="1670"/>
    <n v="29"/>
    <n v="48.43"/>
    <x v="9"/>
  </r>
  <r>
    <x v="467"/>
    <m/>
    <m/>
    <m/>
    <m/>
    <m/>
    <m/>
    <n v="1084.93"/>
    <x v="9"/>
  </r>
  <r>
    <x v="468"/>
    <s v="Соседи"/>
    <s v="Барановичи"/>
    <s v="Ягоды"/>
    <s v="Смородина черная"/>
    <n v="1505"/>
    <n v="77"/>
    <n v="115.88500000000001"/>
    <x v="9"/>
  </r>
  <r>
    <x v="468"/>
    <s v="Евроопт"/>
    <s v="Борисов"/>
    <s v="Зелень"/>
    <s v="Салат римский"/>
    <n v="540"/>
    <n v="76"/>
    <n v="41.04"/>
    <x v="9"/>
  </r>
  <r>
    <x v="468"/>
    <s v="Евроопт"/>
    <s v="Борисов"/>
    <s v="Зелень"/>
    <s v="Лук зеленый"/>
    <n v="705"/>
    <n v="60"/>
    <n v="42.3"/>
    <x v="9"/>
  </r>
  <r>
    <x v="468"/>
    <s v="Копеечка"/>
    <s v="Борисов"/>
    <s v="Фрукты"/>
    <s v="Бананы"/>
    <n v="2400"/>
    <n v="93"/>
    <n v="223.2"/>
    <x v="9"/>
  </r>
  <r>
    <x v="468"/>
    <s v="Евроопт"/>
    <s v="Жодино"/>
    <s v="Фрукты"/>
    <s v="Сливы"/>
    <n v="930"/>
    <n v="17"/>
    <n v="15.81"/>
    <x v="9"/>
  </r>
  <r>
    <x v="468"/>
    <s v="Соседи"/>
    <s v="Жодино"/>
    <s v="Фрукты"/>
    <s v="Апельсины"/>
    <n v="2540"/>
    <n v="14"/>
    <n v="35.56"/>
    <x v="9"/>
  </r>
  <r>
    <x v="468"/>
    <s v="Соседи"/>
    <s v="Столбцы"/>
    <s v="Фрукты"/>
    <s v="Груши"/>
    <n v="1420"/>
    <n v="25"/>
    <n v="35.5"/>
    <x v="9"/>
  </r>
  <r>
    <x v="468"/>
    <s v="Евроопт"/>
    <s v="Столбцы"/>
    <s v="Фрукты"/>
    <s v="Груши"/>
    <n v="1420"/>
    <n v="15"/>
    <n v="21.3"/>
    <x v="9"/>
  </r>
  <r>
    <x v="468"/>
    <s v="Евроопт"/>
    <s v="Столбцы"/>
    <s v="Ягоды"/>
    <s v="Малина"/>
    <n v="2970"/>
    <n v="72"/>
    <n v="213.84"/>
    <x v="9"/>
  </r>
  <r>
    <x v="468"/>
    <s v="Виталюр"/>
    <s v="Фаниполь"/>
    <s v="Зелень"/>
    <s v="Укроп"/>
    <n v="650"/>
    <n v="35"/>
    <n v="22.75"/>
    <x v="9"/>
  </r>
  <r>
    <x v="468"/>
    <s v="Копеечка"/>
    <s v="Фаниполь"/>
    <s v="Овощи"/>
    <s v="Картофель"/>
    <n v="690"/>
    <n v="57"/>
    <n v="39.33"/>
    <x v="9"/>
  </r>
  <r>
    <x v="468"/>
    <s v="Копеечка"/>
    <s v="Фаниполь"/>
    <s v="Овощи"/>
    <s v="Кабачки"/>
    <n v="325"/>
    <n v="42"/>
    <n v="13.65"/>
    <x v="9"/>
  </r>
  <r>
    <x v="468"/>
    <s v="Копеечка"/>
    <s v="Фаниполь"/>
    <s v="Фрукты"/>
    <s v="Абрикосы"/>
    <n v="1320"/>
    <n v="72"/>
    <n v="95.04"/>
    <x v="9"/>
  </r>
  <r>
    <x v="469"/>
    <m/>
    <m/>
    <m/>
    <m/>
    <m/>
    <m/>
    <n v="915.20500000000004"/>
    <x v="9"/>
  </r>
  <r>
    <x v="470"/>
    <s v="Виталюр"/>
    <s v="Барановичи"/>
    <s v="Зелень"/>
    <s v="Салат айсберг"/>
    <n v="1380"/>
    <n v="83"/>
    <n v="114.54"/>
    <x v="9"/>
  </r>
  <r>
    <x v="470"/>
    <s v="Виталюр"/>
    <s v="Барановичи"/>
    <s v="Овощи"/>
    <s v="Баклажаны"/>
    <n v="890"/>
    <n v="30"/>
    <n v="26.7"/>
    <x v="9"/>
  </r>
  <r>
    <x v="470"/>
    <s v="Евроопт"/>
    <s v="Барановичи"/>
    <s v="Ягоды"/>
    <s v="Голубика"/>
    <n v="3205"/>
    <n v="43"/>
    <n v="137.815"/>
    <x v="9"/>
  </r>
  <r>
    <x v="470"/>
    <s v="Виталюр"/>
    <s v="Барановичи"/>
    <s v="Ягоды"/>
    <s v="Голубика"/>
    <n v="3205"/>
    <n v="17"/>
    <n v="54.484999999999999"/>
    <x v="9"/>
  </r>
  <r>
    <x v="470"/>
    <s v="Копеечка"/>
    <s v="Борисов"/>
    <s v="Ягоды"/>
    <s v="Клубника"/>
    <n v="2460"/>
    <n v="8"/>
    <n v="19.68"/>
    <x v="9"/>
  </r>
  <r>
    <x v="470"/>
    <s v="Соседи"/>
    <s v="Жодино"/>
    <s v="Зелень"/>
    <s v="Кинза"/>
    <n v="650"/>
    <n v="71"/>
    <n v="46.15"/>
    <x v="9"/>
  </r>
  <r>
    <x v="470"/>
    <s v="Соседи"/>
    <s v="Жодино"/>
    <s v="Овощи"/>
    <s v="Морковь"/>
    <n v="715"/>
    <n v="88"/>
    <n v="62.92"/>
    <x v="9"/>
  </r>
  <r>
    <x v="470"/>
    <s v="Копеечка"/>
    <s v="Минск"/>
    <s v="Зелень"/>
    <s v="Салат римский"/>
    <n v="540"/>
    <n v="65"/>
    <n v="35.1"/>
    <x v="9"/>
  </r>
  <r>
    <x v="470"/>
    <s v="Евроопт"/>
    <s v="Минск"/>
    <s v="Овощи"/>
    <s v="Капуста"/>
    <n v="460"/>
    <n v="13"/>
    <n v="5.98"/>
    <x v="9"/>
  </r>
  <r>
    <x v="470"/>
    <s v="Копеечка"/>
    <s v="Минск"/>
    <s v="Фрукты"/>
    <s v="Апельсины"/>
    <n v="2540"/>
    <n v="97"/>
    <n v="246.38"/>
    <x v="9"/>
  </r>
  <r>
    <x v="470"/>
    <s v="Копеечка"/>
    <s v="Столбцы"/>
    <s v="Ягоды"/>
    <s v="Черешня"/>
    <n v="1760"/>
    <n v="41"/>
    <n v="72.16"/>
    <x v="9"/>
  </r>
  <r>
    <x v="471"/>
    <m/>
    <m/>
    <m/>
    <m/>
    <m/>
    <m/>
    <n v="821.91"/>
    <x v="9"/>
  </r>
  <r>
    <x v="472"/>
    <s v="Соседи"/>
    <s v="Барановичи"/>
    <s v="Зелень"/>
    <s v="Петрушка"/>
    <n v="640"/>
    <n v="57"/>
    <n v="36.479999999999997"/>
    <x v="9"/>
  </r>
  <r>
    <x v="472"/>
    <s v="Соседи"/>
    <s v="Борисов"/>
    <s v="Зелень"/>
    <s v="Лук зеленый"/>
    <n v="705"/>
    <n v="28"/>
    <n v="19.739999999999998"/>
    <x v="9"/>
  </r>
  <r>
    <x v="472"/>
    <s v="Копеечка"/>
    <s v="Борисов"/>
    <s v="Овощи"/>
    <s v="Кабачки"/>
    <n v="325"/>
    <n v="17"/>
    <n v="5.5250000000000004"/>
    <x v="9"/>
  </r>
  <r>
    <x v="472"/>
    <s v="Виталюр"/>
    <s v="Минск"/>
    <s v="Зелень"/>
    <s v="Укроп"/>
    <n v="650"/>
    <n v="26"/>
    <n v="16.899999999999999"/>
    <x v="9"/>
  </r>
  <r>
    <x v="472"/>
    <s v="Евроопт"/>
    <s v="Минск"/>
    <s v="Ягоды"/>
    <s v="Черешня"/>
    <n v="1760"/>
    <n v="45"/>
    <n v="79.2"/>
    <x v="9"/>
  </r>
  <r>
    <x v="472"/>
    <s v="Виталюр"/>
    <s v="Столбцы"/>
    <s v="Зелень"/>
    <s v="Лук зеленый"/>
    <n v="705"/>
    <n v="35"/>
    <n v="24.675000000000001"/>
    <x v="9"/>
  </r>
  <r>
    <x v="472"/>
    <s v="Соседи"/>
    <s v="Столбцы"/>
    <s v="Овощи"/>
    <s v="Картофель"/>
    <n v="690"/>
    <n v="25"/>
    <n v="17.25"/>
    <x v="9"/>
  </r>
  <r>
    <x v="472"/>
    <s v="Соседи"/>
    <s v="Фаниполь"/>
    <s v="Зелень"/>
    <s v="Укроп"/>
    <n v="650"/>
    <n v="28"/>
    <n v="18.2"/>
    <x v="9"/>
  </r>
  <r>
    <x v="472"/>
    <s v="Соседи"/>
    <s v="Фаниполь"/>
    <s v="Овощи"/>
    <s v="Кабачки"/>
    <n v="325"/>
    <n v="48"/>
    <n v="15.6"/>
    <x v="9"/>
  </r>
  <r>
    <x v="472"/>
    <s v="Копеечка"/>
    <s v="Фаниполь"/>
    <s v="Овощи"/>
    <s v="Кабачки"/>
    <n v="325"/>
    <n v="32"/>
    <n v="10.4"/>
    <x v="9"/>
  </r>
  <r>
    <x v="472"/>
    <s v="Виталюр"/>
    <s v="Фаниполь"/>
    <s v="Ягоды"/>
    <s v="Смородина черная"/>
    <n v="1505"/>
    <n v="93"/>
    <n v="139.965"/>
    <x v="9"/>
  </r>
  <r>
    <x v="473"/>
    <m/>
    <m/>
    <m/>
    <m/>
    <m/>
    <m/>
    <n v="383.935"/>
    <x v="9"/>
  </r>
  <r>
    <x v="474"/>
    <s v="Виталюр"/>
    <s v="Минск"/>
    <s v="Зелень"/>
    <s v="Укроп"/>
    <n v="650"/>
    <n v="26"/>
    <n v="16.899999999999999"/>
    <x v="9"/>
  </r>
  <r>
    <x v="474"/>
    <s v="Соседи"/>
    <s v="Минск"/>
    <s v="Фрукты"/>
    <s v="Яблоки"/>
    <n v="1230"/>
    <n v="40"/>
    <n v="49.2"/>
    <x v="9"/>
  </r>
  <r>
    <x v="474"/>
    <s v="Соседи"/>
    <s v="Минск"/>
    <s v="Ягоды"/>
    <s v="Клубника"/>
    <n v="2460"/>
    <n v="92"/>
    <n v="226.32"/>
    <x v="9"/>
  </r>
  <r>
    <x v="475"/>
    <m/>
    <m/>
    <m/>
    <m/>
    <m/>
    <m/>
    <n v="292.41999999999996"/>
    <x v="9"/>
  </r>
  <r>
    <x v="476"/>
    <s v="Евроопт"/>
    <s v="Барановичи"/>
    <s v="Ягоды"/>
    <s v="Брусника"/>
    <n v="1670"/>
    <n v="9"/>
    <n v="15.03"/>
    <x v="9"/>
  </r>
  <r>
    <x v="476"/>
    <s v="Виталюр"/>
    <s v="Минск"/>
    <s v="Ягоды"/>
    <s v="Клубника"/>
    <n v="2460"/>
    <n v="53"/>
    <n v="130.38"/>
    <x v="9"/>
  </r>
  <r>
    <x v="476"/>
    <s v="Копеечка"/>
    <s v="Столбцы"/>
    <s v="Зелень"/>
    <s v="Укроп"/>
    <n v="650"/>
    <n v="82"/>
    <n v="53.3"/>
    <x v="9"/>
  </r>
  <r>
    <x v="476"/>
    <s v="Копеечка"/>
    <s v="Столбцы"/>
    <s v="Фрукты"/>
    <s v="Бананы"/>
    <n v="2400"/>
    <n v="43"/>
    <n v="103.2"/>
    <x v="9"/>
  </r>
  <r>
    <x v="476"/>
    <s v="Соседи"/>
    <s v="Столбцы"/>
    <s v="Ягоды"/>
    <s v="Клубника"/>
    <n v="2460"/>
    <n v="94"/>
    <n v="231.24"/>
    <x v="9"/>
  </r>
  <r>
    <x v="476"/>
    <s v="Соседи"/>
    <s v="Фаниполь"/>
    <s v="Фрукты"/>
    <s v="Апельсины"/>
    <n v="2540"/>
    <n v="8"/>
    <n v="20.32"/>
    <x v="9"/>
  </r>
  <r>
    <x v="476"/>
    <s v="Соседи"/>
    <s v="Фаниполь"/>
    <s v="Ягоды"/>
    <s v="Малина"/>
    <n v="2970"/>
    <n v="74"/>
    <n v="219.78"/>
    <x v="9"/>
  </r>
  <r>
    <x v="477"/>
    <m/>
    <m/>
    <m/>
    <m/>
    <m/>
    <m/>
    <n v="773.25"/>
    <x v="9"/>
  </r>
  <r>
    <x v="478"/>
    <s v="Соседи"/>
    <s v="Барановичи"/>
    <s v="Зелень"/>
    <s v="Кинза"/>
    <n v="650"/>
    <n v="60"/>
    <n v="39"/>
    <x v="9"/>
  </r>
  <r>
    <x v="478"/>
    <s v="Соседи"/>
    <s v="Жодино"/>
    <s v="Овощи"/>
    <s v="Капуста"/>
    <n v="460"/>
    <n v="39"/>
    <n v="17.940000000000001"/>
    <x v="9"/>
  </r>
  <r>
    <x v="478"/>
    <s v="Соседи"/>
    <s v="Жодино"/>
    <s v="Фрукты"/>
    <s v="Абрикосы"/>
    <n v="1320"/>
    <n v="82"/>
    <n v="108.24"/>
    <x v="9"/>
  </r>
  <r>
    <x v="478"/>
    <s v="Виталюр"/>
    <s v="Минск"/>
    <s v="Зелень"/>
    <s v="Лук зеленый"/>
    <n v="705"/>
    <n v="48"/>
    <n v="33.840000000000003"/>
    <x v="9"/>
  </r>
  <r>
    <x v="478"/>
    <s v="Евроопт"/>
    <s v="Минск"/>
    <s v="Овощи"/>
    <s v="Морковь"/>
    <n v="715"/>
    <n v="46"/>
    <n v="32.89"/>
    <x v="9"/>
  </r>
  <r>
    <x v="478"/>
    <s v="Соседи"/>
    <s v="Столбцы"/>
    <s v="Ягоды"/>
    <s v="Голубика"/>
    <n v="3205"/>
    <n v="97"/>
    <n v="310.88499999999999"/>
    <x v="9"/>
  </r>
  <r>
    <x v="478"/>
    <s v="Копеечка"/>
    <s v="Фаниполь"/>
    <s v="Фрукты"/>
    <s v="Бананы"/>
    <n v="2400"/>
    <n v="96"/>
    <n v="230.4"/>
    <x v="9"/>
  </r>
  <r>
    <x v="479"/>
    <m/>
    <m/>
    <m/>
    <m/>
    <m/>
    <m/>
    <n v="773.19500000000005"/>
    <x v="9"/>
  </r>
  <r>
    <x v="480"/>
    <s v="Евроопт"/>
    <s v="Барановичи"/>
    <s v="Зелень"/>
    <s v="Салат римский"/>
    <n v="540"/>
    <n v="17"/>
    <n v="9.18"/>
    <x v="9"/>
  </r>
  <r>
    <x v="480"/>
    <s v="Евроопт"/>
    <s v="Барановичи"/>
    <s v="Зелень"/>
    <s v="Салат римский"/>
    <n v="540"/>
    <n v="83"/>
    <n v="44.82"/>
    <x v="9"/>
  </r>
  <r>
    <x v="480"/>
    <s v="Евроопт"/>
    <s v="Барановичи"/>
    <s v="Овощи"/>
    <s v="Свекла"/>
    <n v="450"/>
    <n v="74"/>
    <n v="33.299999999999997"/>
    <x v="9"/>
  </r>
  <r>
    <x v="480"/>
    <s v="Копеечка"/>
    <s v="Борисов"/>
    <s v="Овощи"/>
    <s v="Кабачки"/>
    <n v="325"/>
    <n v="97"/>
    <n v="31.524999999999999"/>
    <x v="9"/>
  </r>
  <r>
    <x v="480"/>
    <s v="Соседи"/>
    <s v="Жодино"/>
    <s v="Зелень"/>
    <s v="Лук зеленый"/>
    <n v="705"/>
    <n v="29"/>
    <n v="20.445"/>
    <x v="9"/>
  </r>
  <r>
    <x v="480"/>
    <s v="Соседи"/>
    <s v="Жодино"/>
    <s v="Фрукты"/>
    <s v="Груши"/>
    <n v="1420"/>
    <n v="30"/>
    <n v="42.6"/>
    <x v="9"/>
  </r>
  <r>
    <x v="480"/>
    <s v="Виталюр"/>
    <s v="Минск"/>
    <s v="Фрукты"/>
    <s v="Сливы"/>
    <n v="930"/>
    <n v="40"/>
    <n v="37.200000000000003"/>
    <x v="9"/>
  </r>
  <r>
    <x v="480"/>
    <s v="Соседи"/>
    <s v="Столбцы"/>
    <s v="Овощи"/>
    <s v="Баклажаны"/>
    <n v="890"/>
    <n v="36"/>
    <n v="32.04"/>
    <x v="9"/>
  </r>
  <r>
    <x v="480"/>
    <s v="Соседи"/>
    <s v="Столбцы"/>
    <s v="Ягоды"/>
    <s v="Брусника"/>
    <n v="1670"/>
    <n v="22"/>
    <n v="36.74"/>
    <x v="9"/>
  </r>
  <r>
    <x v="480"/>
    <s v="Евроопт"/>
    <s v="Фаниполь"/>
    <s v="Зелень"/>
    <s v="Кинза"/>
    <n v="650"/>
    <n v="67"/>
    <n v="43.55"/>
    <x v="9"/>
  </r>
  <r>
    <x v="481"/>
    <m/>
    <m/>
    <m/>
    <m/>
    <m/>
    <m/>
    <n v="331.4"/>
    <x v="9"/>
  </r>
  <r>
    <x v="482"/>
    <s v="Виталюр"/>
    <s v="Барановичи"/>
    <s v="Зелень"/>
    <s v="Салат айсберг"/>
    <n v="1380"/>
    <n v="58"/>
    <n v="80.040000000000006"/>
    <x v="9"/>
  </r>
  <r>
    <x v="482"/>
    <s v="Соседи"/>
    <s v="Барановичи"/>
    <s v="Фрукты"/>
    <s v="Яблоки"/>
    <n v="1230"/>
    <n v="20"/>
    <n v="24.6"/>
    <x v="9"/>
  </r>
  <r>
    <x v="482"/>
    <s v="Виталюр"/>
    <s v="Жодино"/>
    <s v="Ягоды"/>
    <s v="Брусника"/>
    <n v="1670"/>
    <n v="67"/>
    <n v="111.89"/>
    <x v="9"/>
  </r>
  <r>
    <x v="482"/>
    <s v="Копеечка"/>
    <s v="Минск"/>
    <s v="Зелень"/>
    <s v="Лук зеленый"/>
    <n v="705"/>
    <n v="59"/>
    <n v="41.594999999999999"/>
    <x v="9"/>
  </r>
  <r>
    <x v="482"/>
    <s v="Соседи"/>
    <s v="Столбцы"/>
    <s v="Овощи"/>
    <s v="Кабачки"/>
    <n v="325"/>
    <n v="52"/>
    <n v="16.899999999999999"/>
    <x v="9"/>
  </r>
  <r>
    <x v="482"/>
    <s v="Копеечка"/>
    <s v="Столбцы"/>
    <s v="Фрукты"/>
    <s v="Яблоки"/>
    <n v="1230"/>
    <n v="22"/>
    <n v="27.06"/>
    <x v="9"/>
  </r>
  <r>
    <x v="482"/>
    <s v="Евроопт"/>
    <s v="Столбцы"/>
    <s v="Фрукты"/>
    <s v="Абрикосы"/>
    <n v="1320"/>
    <n v="5"/>
    <n v="6.6"/>
    <x v="9"/>
  </r>
  <r>
    <x v="482"/>
    <s v="Копеечка"/>
    <s v="Фаниполь"/>
    <s v="Зелень"/>
    <s v="Укроп"/>
    <n v="650"/>
    <n v="25"/>
    <n v="16.25"/>
    <x v="9"/>
  </r>
  <r>
    <x v="483"/>
    <m/>
    <m/>
    <m/>
    <m/>
    <m/>
    <m/>
    <n v="324.935"/>
    <x v="9"/>
  </r>
  <r>
    <x v="484"/>
    <s v="Евроопт"/>
    <s v="Барановичи"/>
    <s v="Фрукты"/>
    <s v="Абрикосы"/>
    <n v="1320"/>
    <n v="11"/>
    <n v="14.52"/>
    <x v="9"/>
  </r>
  <r>
    <x v="484"/>
    <s v="Соседи"/>
    <s v="Барановичи"/>
    <s v="Фрукты"/>
    <s v="Апельсины"/>
    <n v="2540"/>
    <n v="86"/>
    <n v="218.44"/>
    <x v="9"/>
  </r>
  <r>
    <x v="484"/>
    <s v="Евроопт"/>
    <s v="Барановичи"/>
    <s v="Фрукты"/>
    <s v="Яблоки"/>
    <n v="1230"/>
    <n v="42"/>
    <n v="51.66"/>
    <x v="9"/>
  </r>
  <r>
    <x v="484"/>
    <s v="Евроопт"/>
    <s v="Барановичи"/>
    <s v="Ягоды"/>
    <s v="Брусника"/>
    <n v="1670"/>
    <n v="73"/>
    <n v="121.91"/>
    <x v="9"/>
  </r>
  <r>
    <x v="484"/>
    <s v="Евроопт"/>
    <s v="Борисов"/>
    <s v="Зелень"/>
    <s v="Укроп"/>
    <n v="650"/>
    <n v="12"/>
    <n v="7.8"/>
    <x v="9"/>
  </r>
  <r>
    <x v="484"/>
    <s v="Виталюр"/>
    <s v="Борисов"/>
    <s v="Овощи"/>
    <s v="Морковь"/>
    <n v="715"/>
    <n v="36"/>
    <n v="25.74"/>
    <x v="9"/>
  </r>
  <r>
    <x v="484"/>
    <s v="Виталюр"/>
    <s v="Борисов"/>
    <s v="Овощи"/>
    <s v="Баклажаны"/>
    <n v="890"/>
    <n v="75"/>
    <n v="66.75"/>
    <x v="9"/>
  </r>
  <r>
    <x v="484"/>
    <s v="Евроопт"/>
    <s v="Борисов"/>
    <s v="Ягоды"/>
    <s v="Смородина черная"/>
    <n v="1505"/>
    <n v="8"/>
    <n v="12.04"/>
    <x v="9"/>
  </r>
  <r>
    <x v="484"/>
    <s v="Копеечка"/>
    <s v="Жодино"/>
    <s v="Зелень"/>
    <s v="Укроп"/>
    <n v="650"/>
    <n v="45"/>
    <n v="29.25"/>
    <x v="9"/>
  </r>
  <r>
    <x v="484"/>
    <s v="Соседи"/>
    <s v="Жодино"/>
    <s v="Фрукты"/>
    <s v="Яблоки"/>
    <n v="1230"/>
    <n v="28"/>
    <n v="34.44"/>
    <x v="9"/>
  </r>
  <r>
    <x v="484"/>
    <s v="Евроопт"/>
    <s v="Жодино"/>
    <s v="Ягоды"/>
    <s v="Клубника"/>
    <n v="2460"/>
    <n v="32"/>
    <n v="78.72"/>
    <x v="9"/>
  </r>
  <r>
    <x v="484"/>
    <s v="Копеечка"/>
    <s v="Минск"/>
    <s v="Зелень"/>
    <s v="Лук зеленый"/>
    <n v="705"/>
    <n v="44"/>
    <n v="31.02"/>
    <x v="9"/>
  </r>
  <r>
    <x v="484"/>
    <s v="Виталюр"/>
    <s v="Столбцы"/>
    <s v="Овощи"/>
    <s v="Кабачки"/>
    <n v="325"/>
    <n v="43"/>
    <n v="13.975"/>
    <x v="9"/>
  </r>
  <r>
    <x v="484"/>
    <s v="Соседи"/>
    <s v="Столбцы"/>
    <s v="Овощи"/>
    <s v="Свекла"/>
    <n v="450"/>
    <n v="17"/>
    <n v="7.65"/>
    <x v="9"/>
  </r>
  <r>
    <x v="485"/>
    <m/>
    <m/>
    <m/>
    <m/>
    <m/>
    <m/>
    <n v="713.91499999999996"/>
    <x v="1"/>
  </r>
  <r>
    <x v="486"/>
    <s v="Евроопт"/>
    <s v="Барановичи"/>
    <s v="Овощи"/>
    <s v="Картофель"/>
    <n v="690"/>
    <n v="13"/>
    <n v="8.9700000000000006"/>
    <x v="10"/>
  </r>
  <r>
    <x v="486"/>
    <s v="Евроопт"/>
    <s v="Барановичи"/>
    <s v="Фрукты"/>
    <s v="Яблоки"/>
    <n v="1230"/>
    <n v="76"/>
    <n v="93.48"/>
    <x v="10"/>
  </r>
  <r>
    <x v="486"/>
    <s v="Соседи"/>
    <s v="Барановичи"/>
    <s v="Фрукты"/>
    <s v="Абрикосы"/>
    <n v="1320"/>
    <n v="39"/>
    <n v="51.48"/>
    <x v="10"/>
  </r>
  <r>
    <x v="486"/>
    <s v="Копеечка"/>
    <s v="Борисов"/>
    <s v="Овощи"/>
    <s v="Морковь"/>
    <n v="715"/>
    <n v="36"/>
    <n v="25.74"/>
    <x v="10"/>
  </r>
  <r>
    <x v="486"/>
    <s v="Соседи"/>
    <s v="Борисов"/>
    <s v="Фрукты"/>
    <s v="Сливы"/>
    <n v="930"/>
    <n v="25"/>
    <n v="23.25"/>
    <x v="10"/>
  </r>
  <r>
    <x v="486"/>
    <s v="Соседи"/>
    <s v="Борисов"/>
    <s v="Ягоды"/>
    <s v="Смородина черная"/>
    <n v="1505"/>
    <n v="87"/>
    <n v="130.935"/>
    <x v="10"/>
  </r>
  <r>
    <x v="486"/>
    <s v="Виталюр"/>
    <s v="Борисов"/>
    <s v="Ягоды"/>
    <s v="Смородина черная"/>
    <n v="1505"/>
    <n v="11"/>
    <n v="16.555"/>
    <x v="10"/>
  </r>
  <r>
    <x v="486"/>
    <s v="Виталюр"/>
    <s v="Жодино"/>
    <s v="Фрукты"/>
    <s v="Яблоки"/>
    <n v="1230"/>
    <n v="7"/>
    <n v="8.61"/>
    <x v="10"/>
  </r>
  <r>
    <x v="486"/>
    <s v="Виталюр"/>
    <s v="Жодино"/>
    <s v="Фрукты"/>
    <s v="Сливы"/>
    <n v="930"/>
    <n v="49"/>
    <n v="45.57"/>
    <x v="10"/>
  </r>
  <r>
    <x v="486"/>
    <s v="Соседи"/>
    <s v="Минск"/>
    <s v="Зелень"/>
    <s v="Укроп"/>
    <n v="650"/>
    <n v="89"/>
    <n v="57.85"/>
    <x v="10"/>
  </r>
  <r>
    <x v="486"/>
    <s v="Копеечка"/>
    <s v="Фаниполь"/>
    <s v="Овощи"/>
    <s v="Свекла"/>
    <n v="450"/>
    <n v="28"/>
    <n v="12.6"/>
    <x v="10"/>
  </r>
  <r>
    <x v="486"/>
    <s v="Копеечка"/>
    <s v="Фаниполь"/>
    <s v="Ягоды"/>
    <s v="Брусника"/>
    <n v="1670"/>
    <n v="99"/>
    <n v="165.33"/>
    <x v="10"/>
  </r>
  <r>
    <x v="487"/>
    <m/>
    <m/>
    <m/>
    <m/>
    <m/>
    <m/>
    <n v="640.37000000000012"/>
    <x v="10"/>
  </r>
  <r>
    <x v="488"/>
    <s v="Евроопт"/>
    <s v="Барановичи"/>
    <s v="Овощи"/>
    <s v="Кабачки"/>
    <n v="325"/>
    <n v="99"/>
    <n v="32.174999999999997"/>
    <x v="10"/>
  </r>
  <r>
    <x v="488"/>
    <s v="Виталюр"/>
    <s v="Барановичи"/>
    <s v="Фрукты"/>
    <s v="Абрикосы"/>
    <n v="1320"/>
    <n v="60"/>
    <n v="79.2"/>
    <x v="10"/>
  </r>
  <r>
    <x v="488"/>
    <s v="Копеечка"/>
    <s v="Борисов"/>
    <s v="Овощи"/>
    <s v="Кабачки"/>
    <n v="325"/>
    <n v="91"/>
    <n v="29.574999999999999"/>
    <x v="10"/>
  </r>
  <r>
    <x v="488"/>
    <s v="Соседи"/>
    <s v="Борисов"/>
    <s v="Ягоды"/>
    <s v="Малина"/>
    <n v="2970"/>
    <n v="52"/>
    <n v="154.44"/>
    <x v="10"/>
  </r>
  <r>
    <x v="488"/>
    <s v="Виталюр"/>
    <s v="Жодино"/>
    <s v="Фрукты"/>
    <s v="Груши"/>
    <n v="1420"/>
    <n v="53"/>
    <n v="75.260000000000005"/>
    <x v="10"/>
  </r>
  <r>
    <x v="488"/>
    <s v="Виталюр"/>
    <s v="Минск"/>
    <s v="Ягоды"/>
    <s v="Голубика"/>
    <n v="3205"/>
    <n v="82"/>
    <n v="262.81"/>
    <x v="10"/>
  </r>
  <r>
    <x v="488"/>
    <s v="Соседи"/>
    <s v="Столбцы"/>
    <s v="Фрукты"/>
    <s v="Апельсины"/>
    <n v="2540"/>
    <n v="29"/>
    <n v="73.66"/>
    <x v="10"/>
  </r>
  <r>
    <x v="488"/>
    <s v="Виталюр"/>
    <s v="Фаниполь"/>
    <s v="Фрукты"/>
    <s v="Бананы"/>
    <n v="2400"/>
    <n v="38"/>
    <n v="91.2"/>
    <x v="10"/>
  </r>
  <r>
    <x v="489"/>
    <m/>
    <m/>
    <m/>
    <m/>
    <m/>
    <m/>
    <n v="798.32"/>
    <x v="10"/>
  </r>
  <r>
    <x v="490"/>
    <s v="Евроопт"/>
    <s v="Барановичи"/>
    <s v="Зелень"/>
    <s v="Петрушка"/>
    <n v="640"/>
    <n v="22"/>
    <n v="14.08"/>
    <x v="10"/>
  </r>
  <r>
    <x v="490"/>
    <s v="Соседи"/>
    <s v="Барановичи"/>
    <s v="Фрукты"/>
    <s v="Бананы"/>
    <n v="2400"/>
    <n v="77"/>
    <n v="184.8"/>
    <x v="10"/>
  </r>
  <r>
    <x v="490"/>
    <s v="Виталюр"/>
    <s v="Барановичи"/>
    <s v="Фрукты"/>
    <s v="Сливы"/>
    <n v="930"/>
    <n v="41"/>
    <n v="38.130000000000003"/>
    <x v="10"/>
  </r>
  <r>
    <x v="490"/>
    <s v="Виталюр"/>
    <s v="Барановичи"/>
    <s v="Ягоды"/>
    <s v="Голубика"/>
    <n v="3205"/>
    <n v="57"/>
    <n v="182.685"/>
    <x v="10"/>
  </r>
  <r>
    <x v="490"/>
    <s v="Виталюр"/>
    <s v="Жодино"/>
    <s v="Фрукты"/>
    <s v="Абрикосы"/>
    <n v="1320"/>
    <n v="29"/>
    <n v="38.28"/>
    <x v="10"/>
  </r>
  <r>
    <x v="490"/>
    <s v="Соседи"/>
    <s v="Жодино"/>
    <s v="Фрукты"/>
    <s v="Груши"/>
    <n v="1420"/>
    <n v="88"/>
    <n v="124.96"/>
    <x v="10"/>
  </r>
  <r>
    <x v="490"/>
    <s v="Соседи"/>
    <s v="Минск"/>
    <s v="Фрукты"/>
    <s v="Абрикосы"/>
    <n v="1320"/>
    <n v="70"/>
    <n v="92.4"/>
    <x v="10"/>
  </r>
  <r>
    <x v="490"/>
    <s v="Соседи"/>
    <s v="Минск"/>
    <s v="Фрукты"/>
    <s v="Апельсины"/>
    <n v="2540"/>
    <n v="15"/>
    <n v="38.1"/>
    <x v="10"/>
  </r>
  <r>
    <x v="490"/>
    <s v="Виталюр"/>
    <s v="Столбцы"/>
    <s v="Фрукты"/>
    <s v="Сливы"/>
    <n v="930"/>
    <n v="70"/>
    <n v="65.099999999999994"/>
    <x v="10"/>
  </r>
  <r>
    <x v="490"/>
    <s v="Евроопт"/>
    <s v="Столбцы"/>
    <s v="Фрукты"/>
    <s v="Груши"/>
    <n v="1420"/>
    <n v="68"/>
    <n v="96.56"/>
    <x v="10"/>
  </r>
  <r>
    <x v="490"/>
    <s v="Евроопт"/>
    <s v="Фаниполь"/>
    <s v="Овощи"/>
    <s v="Кабачки"/>
    <n v="325"/>
    <n v="57"/>
    <n v="18.524999999999999"/>
    <x v="10"/>
  </r>
  <r>
    <x v="491"/>
    <m/>
    <m/>
    <m/>
    <m/>
    <m/>
    <m/>
    <n v="893.62"/>
    <x v="10"/>
  </r>
  <r>
    <x v="492"/>
    <s v="Евроопт"/>
    <s v="Борисов"/>
    <s v="Овощи"/>
    <s v="Свекла"/>
    <n v="450"/>
    <n v="99"/>
    <n v="44.55"/>
    <x v="10"/>
  </r>
  <r>
    <x v="492"/>
    <s v="Соседи"/>
    <s v="Жодино"/>
    <s v="Овощи"/>
    <s v="Капуста"/>
    <n v="460"/>
    <n v="97"/>
    <n v="44.62"/>
    <x v="10"/>
  </r>
  <r>
    <x v="492"/>
    <s v="Копеечка"/>
    <s v="Жодино"/>
    <s v="Овощи"/>
    <s v="Капуста"/>
    <n v="460"/>
    <n v="48"/>
    <n v="22.08"/>
    <x v="10"/>
  </r>
  <r>
    <x v="492"/>
    <s v="Соседи"/>
    <s v="Минск"/>
    <s v="Овощи"/>
    <s v="Свекла"/>
    <n v="450"/>
    <n v="53"/>
    <n v="23.85"/>
    <x v="10"/>
  </r>
  <r>
    <x v="492"/>
    <s v="Евроопт"/>
    <s v="Минск"/>
    <s v="Фрукты"/>
    <s v="Сливы"/>
    <n v="930"/>
    <n v="100"/>
    <n v="93"/>
    <x v="10"/>
  </r>
  <r>
    <x v="492"/>
    <s v="Копеечка"/>
    <s v="Минск"/>
    <s v="Ягоды"/>
    <s v="Малина"/>
    <n v="2970"/>
    <n v="11"/>
    <n v="32.67"/>
    <x v="10"/>
  </r>
  <r>
    <x v="492"/>
    <s v="Виталюр"/>
    <s v="Минск"/>
    <s v="Ягоды"/>
    <s v="Голубика"/>
    <n v="3205"/>
    <n v="50"/>
    <n v="160.25"/>
    <x v="10"/>
  </r>
  <r>
    <x v="492"/>
    <s v="Копеечка"/>
    <s v="Столбцы"/>
    <s v="Овощи"/>
    <s v="Баклажаны"/>
    <n v="890"/>
    <n v="90"/>
    <n v="80.099999999999994"/>
    <x v="10"/>
  </r>
  <r>
    <x v="492"/>
    <s v="Соседи"/>
    <s v="Столбцы"/>
    <s v="Фрукты"/>
    <s v="Абрикосы"/>
    <n v="1320"/>
    <n v="32"/>
    <n v="42.24"/>
    <x v="10"/>
  </r>
  <r>
    <x v="492"/>
    <s v="Евроопт"/>
    <s v="Фаниполь"/>
    <s v="Зелень"/>
    <s v="Салат айсберг"/>
    <n v="1380"/>
    <n v="17"/>
    <n v="23.46"/>
    <x v="10"/>
  </r>
  <r>
    <x v="492"/>
    <s v="Виталюр"/>
    <s v="Фаниполь"/>
    <s v="Фрукты"/>
    <s v="Яблоки"/>
    <n v="1230"/>
    <n v="44"/>
    <n v="54.12"/>
    <x v="10"/>
  </r>
  <r>
    <x v="492"/>
    <s v="Евроопт"/>
    <s v="Фаниполь"/>
    <s v="Ягоды"/>
    <s v="Клубника"/>
    <n v="2460"/>
    <n v="90"/>
    <n v="221.4"/>
    <x v="10"/>
  </r>
  <r>
    <x v="493"/>
    <m/>
    <m/>
    <m/>
    <m/>
    <m/>
    <m/>
    <n v="842.34"/>
    <x v="10"/>
  </r>
  <r>
    <x v="494"/>
    <s v="Виталюр"/>
    <s v="Барановичи"/>
    <s v="Фрукты"/>
    <s v="Апельсины"/>
    <n v="2540"/>
    <n v="87"/>
    <n v="220.98"/>
    <x v="10"/>
  </r>
  <r>
    <x v="494"/>
    <s v="Копеечка"/>
    <s v="Минск"/>
    <s v="Зелень"/>
    <s v="Салат римский"/>
    <n v="540"/>
    <n v="17"/>
    <n v="9.18"/>
    <x v="10"/>
  </r>
  <r>
    <x v="494"/>
    <s v="Копеечка"/>
    <s v="Минск"/>
    <s v="Ягоды"/>
    <s v="Черешня"/>
    <n v="1760"/>
    <n v="61"/>
    <n v="107.36"/>
    <x v="10"/>
  </r>
  <r>
    <x v="494"/>
    <s v="Евроопт"/>
    <s v="Минск"/>
    <s v="Ягоды"/>
    <s v="Смородина черная"/>
    <n v="1505"/>
    <n v="47"/>
    <n v="70.734999999999999"/>
    <x v="10"/>
  </r>
  <r>
    <x v="494"/>
    <s v="Виталюр"/>
    <s v="Столбцы"/>
    <s v="Зелень"/>
    <s v="Кинза"/>
    <n v="650"/>
    <n v="49"/>
    <n v="31.85"/>
    <x v="10"/>
  </r>
  <r>
    <x v="494"/>
    <s v="Виталюр"/>
    <s v="Столбцы"/>
    <s v="Овощи"/>
    <s v="Кабачки"/>
    <n v="325"/>
    <n v="43"/>
    <n v="13.975"/>
    <x v="10"/>
  </r>
  <r>
    <x v="494"/>
    <s v="Копеечка"/>
    <s v="Фаниполь"/>
    <s v="Зелень"/>
    <s v="Салат римский"/>
    <n v="540"/>
    <n v="15"/>
    <n v="8.1"/>
    <x v="10"/>
  </r>
  <r>
    <x v="494"/>
    <s v="Соседи"/>
    <s v="Фаниполь"/>
    <s v="Зелень"/>
    <s v="Лук зеленый"/>
    <n v="705"/>
    <n v="99"/>
    <n v="69.795000000000002"/>
    <x v="10"/>
  </r>
  <r>
    <x v="494"/>
    <s v="Соседи"/>
    <s v="Фаниполь"/>
    <s v="Ягоды"/>
    <s v="Брусника"/>
    <n v="1670"/>
    <n v="77"/>
    <n v="128.59"/>
    <x v="10"/>
  </r>
  <r>
    <x v="495"/>
    <m/>
    <m/>
    <m/>
    <m/>
    <m/>
    <m/>
    <n v="660.56500000000005"/>
    <x v="10"/>
  </r>
  <r>
    <x v="496"/>
    <s v="Копеечка"/>
    <s v="Борисов"/>
    <s v="Зелень"/>
    <s v="Салат айсберг"/>
    <n v="1380"/>
    <n v="80"/>
    <n v="110.4"/>
    <x v="10"/>
  </r>
  <r>
    <x v="496"/>
    <s v="Копеечка"/>
    <s v="Борисов"/>
    <s v="Овощи"/>
    <s v="Свекла"/>
    <n v="450"/>
    <n v="21"/>
    <n v="9.4499999999999993"/>
    <x v="10"/>
  </r>
  <r>
    <x v="496"/>
    <s v="Соседи"/>
    <s v="Жодино"/>
    <s v="Ягоды"/>
    <s v="Брусника"/>
    <n v="1670"/>
    <n v="32"/>
    <n v="53.44"/>
    <x v="10"/>
  </r>
  <r>
    <x v="496"/>
    <s v="Евроопт"/>
    <s v="Минск"/>
    <s v="Овощи"/>
    <s v="Морковь"/>
    <n v="715"/>
    <n v="81"/>
    <n v="57.914999999999999"/>
    <x v="10"/>
  </r>
  <r>
    <x v="496"/>
    <s v="Евроопт"/>
    <s v="Столбцы"/>
    <s v="Зелень"/>
    <s v="Петрушка"/>
    <n v="640"/>
    <n v="60"/>
    <n v="38.4"/>
    <x v="10"/>
  </r>
  <r>
    <x v="496"/>
    <s v="Виталюр"/>
    <s v="Столбцы"/>
    <s v="Фрукты"/>
    <s v="Апельсины"/>
    <n v="2540"/>
    <n v="58"/>
    <n v="147.32"/>
    <x v="10"/>
  </r>
  <r>
    <x v="497"/>
    <m/>
    <m/>
    <m/>
    <m/>
    <m/>
    <m/>
    <n v="416.92500000000001"/>
    <x v="10"/>
  </r>
  <r>
    <x v="498"/>
    <s v="Виталюр"/>
    <s v="Барановичи"/>
    <s v="Зелень"/>
    <s v="Укроп"/>
    <n v="650"/>
    <n v="86"/>
    <n v="55.9"/>
    <x v="10"/>
  </r>
  <r>
    <x v="498"/>
    <s v="Виталюр"/>
    <s v="Барановичи"/>
    <s v="Овощи"/>
    <s v="Морковь"/>
    <n v="715"/>
    <n v="49"/>
    <n v="35.034999999999997"/>
    <x v="10"/>
  </r>
  <r>
    <x v="498"/>
    <s v="Евроопт"/>
    <s v="Барановичи"/>
    <s v="Фрукты"/>
    <s v="Груши"/>
    <n v="1420"/>
    <n v="96"/>
    <n v="136.32"/>
    <x v="10"/>
  </r>
  <r>
    <x v="498"/>
    <s v="Евроопт"/>
    <s v="Барановичи"/>
    <s v="Фрукты"/>
    <s v="Апельсины"/>
    <n v="2540"/>
    <n v="68"/>
    <n v="172.72"/>
    <x v="10"/>
  </r>
  <r>
    <x v="498"/>
    <s v="Евроопт"/>
    <s v="Борисов"/>
    <s v="Зелень"/>
    <s v="Лук зеленый"/>
    <n v="705"/>
    <n v="65"/>
    <n v="45.825000000000003"/>
    <x v="10"/>
  </r>
  <r>
    <x v="498"/>
    <s v="Соседи"/>
    <s v="Жодино"/>
    <s v="Овощи"/>
    <s v="Кабачки"/>
    <n v="325"/>
    <n v="52"/>
    <n v="16.899999999999999"/>
    <x v="10"/>
  </r>
  <r>
    <x v="498"/>
    <s v="Виталюр"/>
    <s v="Минск"/>
    <s v="Зелень"/>
    <s v="Укроп"/>
    <n v="650"/>
    <n v="79"/>
    <n v="51.35"/>
    <x v="10"/>
  </r>
  <r>
    <x v="498"/>
    <s v="Копеечка"/>
    <s v="Столбцы"/>
    <s v="Ягоды"/>
    <s v="Брусника"/>
    <n v="1670"/>
    <n v="14"/>
    <n v="23.38"/>
    <x v="10"/>
  </r>
  <r>
    <x v="499"/>
    <m/>
    <m/>
    <m/>
    <m/>
    <m/>
    <m/>
    <n v="537.42999999999995"/>
    <x v="10"/>
  </r>
  <r>
    <x v="500"/>
    <s v="Евроопт"/>
    <s v="Борисов"/>
    <s v="Зелень"/>
    <s v="Салат римский"/>
    <n v="540"/>
    <n v="26"/>
    <n v="14.04"/>
    <x v="10"/>
  </r>
  <r>
    <x v="500"/>
    <s v="Виталюр"/>
    <s v="Борисов"/>
    <s v="Овощи"/>
    <s v="Баклажаны"/>
    <n v="890"/>
    <n v="15"/>
    <n v="13.35"/>
    <x v="10"/>
  </r>
  <r>
    <x v="500"/>
    <s v="Соседи"/>
    <s v="Жодино"/>
    <s v="Овощи"/>
    <s v="Кабачки"/>
    <n v="325"/>
    <n v="64"/>
    <n v="20.8"/>
    <x v="10"/>
  </r>
  <r>
    <x v="500"/>
    <s v="Соседи"/>
    <s v="Столбцы"/>
    <s v="Фрукты"/>
    <s v="Груши"/>
    <n v="1420"/>
    <n v="70"/>
    <n v="99.4"/>
    <x v="10"/>
  </r>
  <r>
    <x v="500"/>
    <s v="Виталюр"/>
    <s v="Столбцы"/>
    <s v="Ягоды"/>
    <s v="Смородина черная"/>
    <n v="1505"/>
    <n v="21"/>
    <n v="31.605"/>
    <x v="10"/>
  </r>
  <r>
    <x v="500"/>
    <s v="Виталюр"/>
    <s v="Фаниполь"/>
    <s v="Овощи"/>
    <s v="Баклажаны"/>
    <n v="890"/>
    <n v="67"/>
    <n v="59.63"/>
    <x v="10"/>
  </r>
  <r>
    <x v="500"/>
    <s v="Соседи"/>
    <s v="Фаниполь"/>
    <s v="Ягоды"/>
    <s v="Голубика"/>
    <n v="3205"/>
    <n v="9"/>
    <n v="28.844999999999999"/>
    <x v="10"/>
  </r>
  <r>
    <x v="501"/>
    <m/>
    <m/>
    <m/>
    <m/>
    <m/>
    <m/>
    <n v="267.66999999999996"/>
    <x v="10"/>
  </r>
  <r>
    <x v="502"/>
    <s v="Копеечка"/>
    <s v="Барановичи"/>
    <s v="Зелень"/>
    <s v="Салат римский"/>
    <n v="540"/>
    <n v="36"/>
    <n v="19.440000000000001"/>
    <x v="10"/>
  </r>
  <r>
    <x v="502"/>
    <s v="Копеечка"/>
    <s v="Барановичи"/>
    <s v="Фрукты"/>
    <s v="Сливы"/>
    <n v="930"/>
    <n v="99"/>
    <n v="92.07"/>
    <x v="10"/>
  </r>
  <r>
    <x v="502"/>
    <s v="Соседи"/>
    <s v="Жодино"/>
    <s v="Зелень"/>
    <s v="Салат римский"/>
    <n v="540"/>
    <n v="19"/>
    <n v="10.26"/>
    <x v="10"/>
  </r>
  <r>
    <x v="502"/>
    <s v="Виталюр"/>
    <s v="Минск"/>
    <s v="Овощи"/>
    <s v="Свекла"/>
    <n v="450"/>
    <n v="66"/>
    <n v="29.7"/>
    <x v="10"/>
  </r>
  <r>
    <x v="502"/>
    <s v="Виталюр"/>
    <s v="Минск"/>
    <s v="Фрукты"/>
    <s v="Абрикосы"/>
    <n v="1320"/>
    <n v="79"/>
    <n v="104.28"/>
    <x v="10"/>
  </r>
  <r>
    <x v="502"/>
    <s v="Копеечка"/>
    <s v="Минск"/>
    <s v="Фрукты"/>
    <s v="Яблоки"/>
    <n v="1230"/>
    <n v="8"/>
    <n v="9.84"/>
    <x v="10"/>
  </r>
  <r>
    <x v="502"/>
    <s v="Виталюр"/>
    <s v="Минск"/>
    <s v="Ягоды"/>
    <s v="Смородина черная"/>
    <n v="1505"/>
    <n v="85"/>
    <n v="127.925"/>
    <x v="10"/>
  </r>
  <r>
    <x v="502"/>
    <s v="Соседи"/>
    <s v="Фаниполь"/>
    <s v="Фрукты"/>
    <s v="Бананы"/>
    <n v="2400"/>
    <n v="10"/>
    <n v="24"/>
    <x v="10"/>
  </r>
  <r>
    <x v="502"/>
    <s v="Евроопт"/>
    <s v="Фаниполь"/>
    <s v="Фрукты"/>
    <s v="Апельсины"/>
    <n v="2540"/>
    <n v="67"/>
    <n v="170.18"/>
    <x v="10"/>
  </r>
  <r>
    <x v="503"/>
    <m/>
    <m/>
    <m/>
    <m/>
    <m/>
    <m/>
    <n v="587.69499999999994"/>
    <x v="10"/>
  </r>
  <r>
    <x v="504"/>
    <s v="Евроопт"/>
    <s v="Борисов"/>
    <s v="Фрукты"/>
    <s v="Абрикосы"/>
    <n v="1320"/>
    <n v="11"/>
    <n v="14.52"/>
    <x v="10"/>
  </r>
  <r>
    <x v="504"/>
    <s v="Копеечка"/>
    <s v="Жодино"/>
    <s v="Овощи"/>
    <s v="Баклажаны"/>
    <n v="890"/>
    <n v="50"/>
    <n v="44.5"/>
    <x v="10"/>
  </r>
  <r>
    <x v="504"/>
    <s v="Копеечка"/>
    <s v="Жодино"/>
    <s v="Фрукты"/>
    <s v="Сливы"/>
    <n v="930"/>
    <n v="48"/>
    <n v="44.64"/>
    <x v="10"/>
  </r>
  <r>
    <x v="504"/>
    <s v="Соседи"/>
    <s v="Минск"/>
    <s v="Овощи"/>
    <s v="Свекла"/>
    <n v="450"/>
    <n v="89"/>
    <n v="40.049999999999997"/>
    <x v="10"/>
  </r>
  <r>
    <x v="504"/>
    <s v="Евроопт"/>
    <s v="Минск"/>
    <s v="Фрукты"/>
    <s v="Бананы"/>
    <n v="2400"/>
    <n v="14"/>
    <n v="33.6"/>
    <x v="10"/>
  </r>
  <r>
    <x v="504"/>
    <s v="Евроопт"/>
    <s v="Минск"/>
    <s v="Ягоды"/>
    <s v="Смородина черная"/>
    <n v="1505"/>
    <n v="83"/>
    <n v="124.91500000000001"/>
    <x v="10"/>
  </r>
  <r>
    <x v="504"/>
    <s v="Евроопт"/>
    <s v="Столбцы"/>
    <s v="Зелень"/>
    <s v="Салат айсберг"/>
    <n v="1380"/>
    <n v="85"/>
    <n v="117.3"/>
    <x v="10"/>
  </r>
  <r>
    <x v="504"/>
    <s v="Соседи"/>
    <s v="Фаниполь"/>
    <s v="Зелень"/>
    <s v="Кинза"/>
    <n v="650"/>
    <n v="59"/>
    <n v="38.35"/>
    <x v="10"/>
  </r>
  <r>
    <x v="505"/>
    <m/>
    <m/>
    <m/>
    <m/>
    <m/>
    <m/>
    <n v="457.875"/>
    <x v="10"/>
  </r>
  <r>
    <x v="506"/>
    <s v="Евроопт"/>
    <s v="Барановичи"/>
    <s v="Зелень"/>
    <s v="Кинза"/>
    <n v="650"/>
    <n v="76"/>
    <n v="49.4"/>
    <x v="10"/>
  </r>
  <r>
    <x v="506"/>
    <s v="Соседи"/>
    <s v="Барановичи"/>
    <s v="Овощи"/>
    <s v="Баклажаны"/>
    <n v="890"/>
    <n v="52"/>
    <n v="46.28"/>
    <x v="10"/>
  </r>
  <r>
    <x v="506"/>
    <s v="Виталюр"/>
    <s v="Борисов"/>
    <s v="Зелень"/>
    <s v="Салат айсберг"/>
    <n v="1380"/>
    <n v="38"/>
    <n v="52.44"/>
    <x v="10"/>
  </r>
  <r>
    <x v="506"/>
    <s v="Евроопт"/>
    <s v="Борисов"/>
    <s v="Фрукты"/>
    <s v="Апельсины"/>
    <n v="2540"/>
    <n v="95"/>
    <n v="241.3"/>
    <x v="10"/>
  </r>
  <r>
    <x v="506"/>
    <s v="Виталюр"/>
    <s v="Жодино"/>
    <s v="Зелень"/>
    <s v="Салат айсберг"/>
    <n v="1380"/>
    <n v="10"/>
    <n v="13.8"/>
    <x v="10"/>
  </r>
  <r>
    <x v="506"/>
    <s v="Евроопт"/>
    <s v="Минск"/>
    <s v="Зелень"/>
    <s v="Салат айсберг"/>
    <n v="1380"/>
    <n v="23"/>
    <n v="31.74"/>
    <x v="10"/>
  </r>
  <r>
    <x v="506"/>
    <s v="Копеечка"/>
    <s v="Минск"/>
    <s v="Овощи"/>
    <s v="Картофель"/>
    <n v="690"/>
    <n v="74"/>
    <n v="51.06"/>
    <x v="10"/>
  </r>
  <r>
    <x v="506"/>
    <s v="Евроопт"/>
    <s v="Минск"/>
    <s v="Ягоды"/>
    <s v="Малина"/>
    <n v="2970"/>
    <n v="48"/>
    <n v="142.56"/>
    <x v="10"/>
  </r>
  <r>
    <x v="506"/>
    <s v="Евроопт"/>
    <s v="Столбцы"/>
    <s v="Зелень"/>
    <s v="Салат римский"/>
    <n v="540"/>
    <n v="64"/>
    <n v="34.56"/>
    <x v="10"/>
  </r>
  <r>
    <x v="506"/>
    <s v="Виталюр"/>
    <s v="Столбцы"/>
    <s v="Зелень"/>
    <s v="Кинза"/>
    <n v="650"/>
    <n v="26"/>
    <n v="16.899999999999999"/>
    <x v="10"/>
  </r>
  <r>
    <x v="506"/>
    <s v="Евроопт"/>
    <s v="Столбцы"/>
    <s v="Овощи"/>
    <s v="Кабачки"/>
    <n v="325"/>
    <n v="94"/>
    <n v="30.55"/>
    <x v="10"/>
  </r>
  <r>
    <x v="506"/>
    <s v="Евроопт"/>
    <s v="Столбцы"/>
    <s v="Фрукты"/>
    <s v="Груши"/>
    <n v="1420"/>
    <n v="61"/>
    <n v="86.62"/>
    <x v="10"/>
  </r>
  <r>
    <x v="506"/>
    <s v="Копеечка"/>
    <s v="Фаниполь"/>
    <s v="Ягоды"/>
    <s v="Брусника"/>
    <n v="1670"/>
    <n v="48"/>
    <n v="80.16"/>
    <x v="10"/>
  </r>
  <r>
    <x v="507"/>
    <m/>
    <m/>
    <m/>
    <m/>
    <m/>
    <m/>
    <n v="877.37"/>
    <x v="10"/>
  </r>
  <r>
    <x v="508"/>
    <s v="Евроопт"/>
    <s v="Барановичи"/>
    <s v="Фрукты"/>
    <s v="Апельсины"/>
    <n v="2540"/>
    <n v="89"/>
    <n v="226.06"/>
    <x v="10"/>
  </r>
  <r>
    <x v="508"/>
    <s v="Евроопт"/>
    <s v="Барановичи"/>
    <s v="Ягоды"/>
    <s v="Голубика"/>
    <n v="3205"/>
    <n v="41"/>
    <n v="131.405"/>
    <x v="10"/>
  </r>
  <r>
    <x v="508"/>
    <s v="Виталюр"/>
    <s v="Столбцы"/>
    <s v="Овощи"/>
    <s v="Свекла"/>
    <n v="450"/>
    <n v="50"/>
    <n v="22.5"/>
    <x v="10"/>
  </r>
  <r>
    <x v="509"/>
    <m/>
    <m/>
    <m/>
    <m/>
    <m/>
    <m/>
    <n v="379.96500000000003"/>
    <x v="10"/>
  </r>
  <r>
    <x v="510"/>
    <s v="Копеечка"/>
    <s v="Барановичи"/>
    <s v="Зелень"/>
    <s v="Салат айсберг"/>
    <n v="1380"/>
    <n v="44"/>
    <n v="60.72"/>
    <x v="10"/>
  </r>
  <r>
    <x v="510"/>
    <s v="Копеечка"/>
    <s v="Борисов"/>
    <s v="Овощи"/>
    <s v="Баклажаны"/>
    <n v="890"/>
    <n v="83"/>
    <n v="73.87"/>
    <x v="10"/>
  </r>
  <r>
    <x v="510"/>
    <s v="Евроопт"/>
    <s v="Борисов"/>
    <s v="Ягоды"/>
    <s v="Малина"/>
    <n v="2970"/>
    <n v="16"/>
    <n v="47.52"/>
    <x v="10"/>
  </r>
  <r>
    <x v="510"/>
    <s v="Соседи"/>
    <s v="Жодино"/>
    <s v="Фрукты"/>
    <s v="Бананы"/>
    <n v="2400"/>
    <n v="83"/>
    <n v="199.2"/>
    <x v="10"/>
  </r>
  <r>
    <x v="510"/>
    <s v="Евроопт"/>
    <s v="Жодино"/>
    <s v="Ягоды"/>
    <s v="Черешня"/>
    <n v="1760"/>
    <n v="27"/>
    <n v="47.52"/>
    <x v="10"/>
  </r>
  <r>
    <x v="510"/>
    <s v="Копеечка"/>
    <s v="Минск"/>
    <s v="Ягоды"/>
    <s v="Голубика"/>
    <n v="3205"/>
    <n v="36"/>
    <n v="115.38"/>
    <x v="10"/>
  </r>
  <r>
    <x v="510"/>
    <s v="Виталюр"/>
    <s v="Минск"/>
    <s v="Ягоды"/>
    <s v="Черешня"/>
    <n v="1760"/>
    <n v="69"/>
    <n v="121.44"/>
    <x v="10"/>
  </r>
  <r>
    <x v="510"/>
    <s v="Виталюр"/>
    <s v="Столбцы"/>
    <s v="Зелень"/>
    <s v="Лук зеленый"/>
    <n v="705"/>
    <n v="33"/>
    <n v="23.265000000000001"/>
    <x v="10"/>
  </r>
  <r>
    <x v="510"/>
    <s v="Соседи"/>
    <s v="Столбцы"/>
    <s v="Зелень"/>
    <s v="Петрушка"/>
    <n v="640"/>
    <n v="21"/>
    <n v="13.44"/>
    <x v="10"/>
  </r>
  <r>
    <x v="510"/>
    <s v="Евроопт"/>
    <s v="Фаниполь"/>
    <s v="Зелень"/>
    <s v="Петрушка"/>
    <n v="640"/>
    <n v="46"/>
    <n v="29.44"/>
    <x v="10"/>
  </r>
  <r>
    <x v="510"/>
    <s v="Соседи"/>
    <s v="Фаниполь"/>
    <s v="Овощи"/>
    <s v="Свекла"/>
    <n v="450"/>
    <n v="34"/>
    <n v="15.3"/>
    <x v="10"/>
  </r>
  <r>
    <x v="510"/>
    <s v="Соседи"/>
    <s v="Фаниполь"/>
    <s v="Фрукты"/>
    <s v="Апельсины"/>
    <n v="2540"/>
    <n v="6"/>
    <n v="15.24"/>
    <x v="10"/>
  </r>
  <r>
    <x v="511"/>
    <m/>
    <m/>
    <m/>
    <m/>
    <m/>
    <m/>
    <n v="762.33500000000015"/>
    <x v="10"/>
  </r>
  <r>
    <x v="512"/>
    <s v="Евроопт"/>
    <s v="Барановичи"/>
    <s v="Ягоды"/>
    <s v="Смородина черная"/>
    <n v="1505"/>
    <n v="80"/>
    <n v="120.4"/>
    <x v="10"/>
  </r>
  <r>
    <x v="512"/>
    <s v="Копеечка"/>
    <s v="Борисов"/>
    <s v="Зелень"/>
    <s v="Салат римский"/>
    <n v="540"/>
    <n v="39"/>
    <n v="21.06"/>
    <x v="10"/>
  </r>
  <r>
    <x v="512"/>
    <s v="Евроопт"/>
    <s v="Борисов"/>
    <s v="Овощи"/>
    <s v="Морковь"/>
    <n v="715"/>
    <n v="88"/>
    <n v="62.92"/>
    <x v="10"/>
  </r>
  <r>
    <x v="512"/>
    <s v="Соседи"/>
    <s v="Жодино"/>
    <s v="Зелень"/>
    <s v="Салат римский"/>
    <n v="540"/>
    <n v="38"/>
    <n v="20.52"/>
    <x v="10"/>
  </r>
  <r>
    <x v="512"/>
    <s v="Соседи"/>
    <s v="Жодино"/>
    <s v="Фрукты"/>
    <s v="Абрикосы"/>
    <n v="1320"/>
    <n v="30"/>
    <n v="39.6"/>
    <x v="10"/>
  </r>
  <r>
    <x v="512"/>
    <s v="Соседи"/>
    <s v="Минск"/>
    <s v="Зелень"/>
    <s v="Лук зеленый"/>
    <n v="705"/>
    <n v="81"/>
    <n v="57.104999999999997"/>
    <x v="10"/>
  </r>
  <r>
    <x v="512"/>
    <s v="Виталюр"/>
    <s v="Минск"/>
    <s v="Зелень"/>
    <s v="Укроп"/>
    <n v="650"/>
    <n v="35"/>
    <n v="22.75"/>
    <x v="10"/>
  </r>
  <r>
    <x v="512"/>
    <s v="Евроопт"/>
    <s v="Минск"/>
    <s v="Зелень"/>
    <s v="Петрушка"/>
    <n v="640"/>
    <n v="63"/>
    <n v="40.32"/>
    <x v="10"/>
  </r>
  <r>
    <x v="512"/>
    <s v="Евроопт"/>
    <s v="Столбцы"/>
    <s v="Фрукты"/>
    <s v="Бананы"/>
    <n v="2400"/>
    <n v="70"/>
    <n v="168"/>
    <x v="10"/>
  </r>
  <r>
    <x v="513"/>
    <m/>
    <m/>
    <m/>
    <m/>
    <m/>
    <m/>
    <n v="552.67499999999995"/>
    <x v="10"/>
  </r>
  <r>
    <x v="514"/>
    <s v="Виталюр"/>
    <s v="Барановичи"/>
    <s v="Зелень"/>
    <s v="Салат айсберг"/>
    <n v="1380"/>
    <n v="59"/>
    <n v="81.42"/>
    <x v="10"/>
  </r>
  <r>
    <x v="514"/>
    <s v="Копеечка"/>
    <s v="Барановичи"/>
    <s v="Фрукты"/>
    <s v="Бананы"/>
    <n v="2400"/>
    <n v="86"/>
    <n v="206.4"/>
    <x v="10"/>
  </r>
  <r>
    <x v="514"/>
    <s v="Евроопт"/>
    <s v="Барановичи"/>
    <s v="Фрукты"/>
    <s v="Абрикосы"/>
    <n v="1320"/>
    <n v="40"/>
    <n v="52.8"/>
    <x v="10"/>
  </r>
  <r>
    <x v="514"/>
    <s v="Евроопт"/>
    <s v="Борисов"/>
    <s v="Зелень"/>
    <s v="Салат римский"/>
    <n v="540"/>
    <n v="23"/>
    <n v="12.42"/>
    <x v="10"/>
  </r>
  <r>
    <x v="514"/>
    <s v="Копеечка"/>
    <s v="Борисов"/>
    <s v="Фрукты"/>
    <s v="Абрикосы"/>
    <n v="1320"/>
    <n v="68"/>
    <n v="89.76"/>
    <x v="10"/>
  </r>
  <r>
    <x v="514"/>
    <s v="Копеечка"/>
    <s v="Борисов"/>
    <s v="Ягоды"/>
    <s v="Малина"/>
    <n v="2970"/>
    <n v="20"/>
    <n v="59.4"/>
    <x v="10"/>
  </r>
  <r>
    <x v="514"/>
    <s v="Копеечка"/>
    <s v="Минск"/>
    <s v="Зелень"/>
    <s v="Петрушка"/>
    <n v="640"/>
    <n v="83"/>
    <n v="53.12"/>
    <x v="10"/>
  </r>
  <r>
    <x v="514"/>
    <s v="Евроопт"/>
    <s v="Минск"/>
    <s v="Овощи"/>
    <s v="Морковь"/>
    <n v="715"/>
    <n v="14"/>
    <n v="10.01"/>
    <x v="10"/>
  </r>
  <r>
    <x v="514"/>
    <s v="Копеечка"/>
    <s v="Минск"/>
    <s v="Фрукты"/>
    <s v="Груши"/>
    <n v="1420"/>
    <n v="8"/>
    <n v="11.36"/>
    <x v="10"/>
  </r>
  <r>
    <x v="514"/>
    <s v="Виталюр"/>
    <s v="Столбцы"/>
    <s v="Зелень"/>
    <s v="Лук зеленый"/>
    <n v="705"/>
    <n v="21"/>
    <n v="14.805"/>
    <x v="10"/>
  </r>
  <r>
    <x v="514"/>
    <s v="Виталюр"/>
    <s v="Столбцы"/>
    <s v="Фрукты"/>
    <s v="Апельсины"/>
    <n v="2540"/>
    <n v="72"/>
    <n v="182.88"/>
    <x v="10"/>
  </r>
  <r>
    <x v="514"/>
    <s v="Евроопт"/>
    <s v="Столбцы"/>
    <s v="Ягоды"/>
    <s v="Малина"/>
    <n v="2970"/>
    <n v="32"/>
    <n v="95.04"/>
    <x v="10"/>
  </r>
  <r>
    <x v="514"/>
    <s v="Виталюр"/>
    <s v="Фаниполь"/>
    <s v="Зелень"/>
    <s v="Кинза"/>
    <n v="650"/>
    <n v="57"/>
    <n v="37.049999999999997"/>
    <x v="10"/>
  </r>
  <r>
    <x v="514"/>
    <s v="Евроопт"/>
    <s v="Фаниполь"/>
    <s v="Фрукты"/>
    <s v="Бананы"/>
    <n v="2400"/>
    <n v="60"/>
    <n v="144"/>
    <x v="10"/>
  </r>
  <r>
    <x v="515"/>
    <m/>
    <m/>
    <m/>
    <m/>
    <m/>
    <m/>
    <n v="1050.4649999999997"/>
    <x v="10"/>
  </r>
  <r>
    <x v="516"/>
    <s v="Соседи"/>
    <s v="Барановичи"/>
    <s v="Фрукты"/>
    <s v="Яблоки"/>
    <n v="1230"/>
    <n v="51"/>
    <n v="62.73"/>
    <x v="10"/>
  </r>
  <r>
    <x v="516"/>
    <s v="Копеечка"/>
    <s v="Борисов"/>
    <s v="Зелень"/>
    <s v="Укроп"/>
    <n v="650"/>
    <n v="95"/>
    <n v="61.75"/>
    <x v="10"/>
  </r>
  <r>
    <x v="516"/>
    <s v="Евроопт"/>
    <s v="Борисов"/>
    <s v="Овощи"/>
    <s v="Морковь"/>
    <n v="715"/>
    <n v="80"/>
    <n v="57.2"/>
    <x v="10"/>
  </r>
  <r>
    <x v="516"/>
    <s v="Копеечка"/>
    <s v="Борисов"/>
    <s v="Овощи"/>
    <s v="Баклажаны"/>
    <n v="890"/>
    <n v="58"/>
    <n v="51.62"/>
    <x v="10"/>
  </r>
  <r>
    <x v="516"/>
    <s v="Виталюр"/>
    <s v="Борисов"/>
    <s v="Ягоды"/>
    <s v="Клубника"/>
    <n v="2460"/>
    <n v="69"/>
    <n v="169.74"/>
    <x v="10"/>
  </r>
  <r>
    <x v="516"/>
    <s v="Евроопт"/>
    <s v="Жодино"/>
    <s v="Зелень"/>
    <s v="Петрушка"/>
    <n v="640"/>
    <n v="97"/>
    <n v="62.08"/>
    <x v="10"/>
  </r>
  <r>
    <x v="516"/>
    <s v="Виталюр"/>
    <s v="Фаниполь"/>
    <s v="Зелень"/>
    <s v="Салат айсберг"/>
    <n v="1380"/>
    <n v="45"/>
    <n v="62.1"/>
    <x v="10"/>
  </r>
  <r>
    <x v="516"/>
    <s v="Соседи"/>
    <s v="Фаниполь"/>
    <s v="Фрукты"/>
    <s v="Сливы"/>
    <n v="930"/>
    <n v="9"/>
    <n v="8.3699999999999992"/>
    <x v="10"/>
  </r>
  <r>
    <x v="517"/>
    <m/>
    <m/>
    <m/>
    <m/>
    <m/>
    <m/>
    <n v="535.59"/>
    <x v="10"/>
  </r>
  <r>
    <x v="518"/>
    <s v="Виталюр"/>
    <s v="Барановичи"/>
    <s v="Ягоды"/>
    <s v="Голубика"/>
    <n v="3205"/>
    <n v="28"/>
    <n v="89.74"/>
    <x v="10"/>
  </r>
  <r>
    <x v="518"/>
    <s v="Соседи"/>
    <s v="Барановичи"/>
    <s v="Ягоды"/>
    <s v="Малина"/>
    <n v="2970"/>
    <n v="84"/>
    <n v="249.48"/>
    <x v="10"/>
  </r>
  <r>
    <x v="518"/>
    <s v="Евроопт"/>
    <s v="Борисов"/>
    <s v="Овощи"/>
    <s v="Баклажаны"/>
    <n v="890"/>
    <n v="16"/>
    <n v="14.24"/>
    <x v="10"/>
  </r>
  <r>
    <x v="518"/>
    <s v="Соседи"/>
    <s v="Борисов"/>
    <s v="Фрукты"/>
    <s v="Яблоки"/>
    <n v="1230"/>
    <n v="91"/>
    <n v="111.93"/>
    <x v="10"/>
  </r>
  <r>
    <x v="518"/>
    <s v="Евроопт"/>
    <s v="Жодино"/>
    <s v="Ягоды"/>
    <s v="Черешня"/>
    <n v="1760"/>
    <n v="13"/>
    <n v="22.88"/>
    <x v="10"/>
  </r>
  <r>
    <x v="518"/>
    <s v="Соседи"/>
    <s v="Жодино"/>
    <s v="Ягоды"/>
    <s v="Малина"/>
    <n v="2970"/>
    <n v="65"/>
    <n v="193.05"/>
    <x v="10"/>
  </r>
  <r>
    <x v="518"/>
    <s v="Виталюр"/>
    <s v="Минск"/>
    <s v="Овощи"/>
    <s v="Морковь"/>
    <n v="715"/>
    <n v="70"/>
    <n v="50.05"/>
    <x v="10"/>
  </r>
  <r>
    <x v="518"/>
    <s v="Соседи"/>
    <s v="Минск"/>
    <s v="Ягоды"/>
    <s v="Смородина черная"/>
    <n v="1505"/>
    <n v="28"/>
    <n v="42.14"/>
    <x v="10"/>
  </r>
  <r>
    <x v="518"/>
    <s v="Соседи"/>
    <s v="Столбцы"/>
    <s v="Зелень"/>
    <s v="Салат айсберг"/>
    <n v="1380"/>
    <n v="61"/>
    <n v="84.18"/>
    <x v="10"/>
  </r>
  <r>
    <x v="518"/>
    <s v="Копеечка"/>
    <s v="Столбцы"/>
    <s v="Овощи"/>
    <s v="Баклажаны"/>
    <n v="890"/>
    <n v="25"/>
    <n v="22.25"/>
    <x v="10"/>
  </r>
  <r>
    <x v="518"/>
    <s v="Копеечка"/>
    <s v="Столбцы"/>
    <s v="Фрукты"/>
    <s v="Бананы"/>
    <n v="2400"/>
    <n v="6"/>
    <n v="14.4"/>
    <x v="10"/>
  </r>
  <r>
    <x v="518"/>
    <s v="Виталюр"/>
    <s v="Фаниполь"/>
    <s v="Зелень"/>
    <s v="Укроп"/>
    <n v="650"/>
    <n v="37"/>
    <n v="24.05"/>
    <x v="10"/>
  </r>
  <r>
    <x v="518"/>
    <s v="Копеечка"/>
    <s v="Фаниполь"/>
    <s v="Зелень"/>
    <s v="Кинза"/>
    <n v="650"/>
    <n v="98"/>
    <n v="63.7"/>
    <x v="10"/>
  </r>
  <r>
    <x v="518"/>
    <s v="Соседи"/>
    <s v="Фаниполь"/>
    <s v="Овощи"/>
    <s v="Капуста"/>
    <n v="460"/>
    <n v="31"/>
    <n v="14.26"/>
    <x v="10"/>
  </r>
  <r>
    <x v="518"/>
    <s v="Виталюр"/>
    <s v="Фаниполь"/>
    <s v="Ягоды"/>
    <s v="Брусника"/>
    <n v="1670"/>
    <n v="7"/>
    <n v="11.69"/>
    <x v="10"/>
  </r>
  <r>
    <x v="519"/>
    <m/>
    <m/>
    <m/>
    <m/>
    <m/>
    <m/>
    <n v="1008.0399999999998"/>
    <x v="10"/>
  </r>
  <r>
    <x v="520"/>
    <s v="Виталюр"/>
    <s v="Барановичи"/>
    <s v="Ягоды"/>
    <s v="Клубника"/>
    <n v="2460"/>
    <n v="8"/>
    <n v="19.68"/>
    <x v="10"/>
  </r>
  <r>
    <x v="520"/>
    <s v="Копеечка"/>
    <s v="Барановичи"/>
    <s v="Ягоды"/>
    <s v="Голубика"/>
    <n v="3205"/>
    <n v="94"/>
    <n v="301.27"/>
    <x v="10"/>
  </r>
  <r>
    <x v="520"/>
    <s v="Евроопт"/>
    <s v="Борисов"/>
    <s v="Зелень"/>
    <s v="Петрушка"/>
    <n v="640"/>
    <n v="8"/>
    <n v="5.12"/>
    <x v="10"/>
  </r>
  <r>
    <x v="520"/>
    <s v="Копеечка"/>
    <s v="Жодино"/>
    <s v="Ягоды"/>
    <s v="Малина"/>
    <n v="2970"/>
    <n v="62"/>
    <n v="184.14"/>
    <x v="10"/>
  </r>
  <r>
    <x v="520"/>
    <s v="Соседи"/>
    <s v="Минск"/>
    <s v="Фрукты"/>
    <s v="Абрикосы"/>
    <n v="1320"/>
    <n v="22"/>
    <n v="29.04"/>
    <x v="10"/>
  </r>
  <r>
    <x v="521"/>
    <m/>
    <m/>
    <m/>
    <m/>
    <m/>
    <m/>
    <n v="539.25"/>
    <x v="10"/>
  </r>
  <r>
    <x v="522"/>
    <s v="Евроопт"/>
    <s v="Барановичи"/>
    <s v="Зелень"/>
    <s v="Кинза"/>
    <n v="650"/>
    <n v="54"/>
    <n v="35.1"/>
    <x v="10"/>
  </r>
  <r>
    <x v="522"/>
    <s v="Копеечка"/>
    <s v="Борисов"/>
    <s v="Зелень"/>
    <s v="Салат айсберг"/>
    <n v="1380"/>
    <n v="13"/>
    <n v="17.940000000000001"/>
    <x v="10"/>
  </r>
  <r>
    <x v="522"/>
    <s v="Копеечка"/>
    <s v="Борисов"/>
    <s v="Ягоды"/>
    <s v="Смородина черная"/>
    <n v="1505"/>
    <n v="41"/>
    <n v="61.704999999999998"/>
    <x v="10"/>
  </r>
  <r>
    <x v="522"/>
    <s v="Виталюр"/>
    <s v="Минск"/>
    <s v="Зелень"/>
    <s v="Лук зеленый"/>
    <n v="705"/>
    <n v="62"/>
    <n v="43.71"/>
    <x v="10"/>
  </r>
  <r>
    <x v="522"/>
    <s v="Соседи"/>
    <s v="Минск"/>
    <s v="Фрукты"/>
    <s v="Абрикосы"/>
    <n v="1320"/>
    <n v="85"/>
    <n v="112.2"/>
    <x v="10"/>
  </r>
  <r>
    <x v="522"/>
    <s v="Копеечка"/>
    <s v="Минск"/>
    <s v="Ягоды"/>
    <s v="Малина"/>
    <n v="2970"/>
    <n v="23"/>
    <n v="68.31"/>
    <x v="10"/>
  </r>
  <r>
    <x v="522"/>
    <s v="Виталюр"/>
    <s v="Минск"/>
    <s v="Ягоды"/>
    <s v="Смородина черная"/>
    <n v="1505"/>
    <n v="58"/>
    <n v="87.29"/>
    <x v="10"/>
  </r>
  <r>
    <x v="522"/>
    <s v="Евроопт"/>
    <s v="Столбцы"/>
    <s v="Зелень"/>
    <s v="Кинза"/>
    <n v="650"/>
    <n v="83"/>
    <n v="53.95"/>
    <x v="10"/>
  </r>
  <r>
    <x v="522"/>
    <s v="Евроопт"/>
    <s v="Столбцы"/>
    <s v="Овощи"/>
    <s v="Картофель"/>
    <n v="690"/>
    <n v="12"/>
    <n v="8.2799999999999994"/>
    <x v="10"/>
  </r>
  <r>
    <x v="522"/>
    <s v="Виталюр"/>
    <s v="Столбцы"/>
    <s v="Ягоды"/>
    <s v="Брусника"/>
    <n v="1670"/>
    <n v="74"/>
    <n v="123.58"/>
    <x v="10"/>
  </r>
  <r>
    <x v="522"/>
    <s v="Евроопт"/>
    <s v="Фаниполь"/>
    <s v="Фрукты"/>
    <s v="Бананы"/>
    <n v="2400"/>
    <n v="64"/>
    <n v="153.6"/>
    <x v="10"/>
  </r>
  <r>
    <x v="522"/>
    <s v="Виталюр"/>
    <s v="Фаниполь"/>
    <s v="Фрукты"/>
    <s v="Яблоки"/>
    <n v="1230"/>
    <n v="85"/>
    <n v="104.55"/>
    <x v="10"/>
  </r>
  <r>
    <x v="522"/>
    <s v="Соседи"/>
    <s v="Фаниполь"/>
    <s v="Ягоды"/>
    <s v="Малина"/>
    <n v="2970"/>
    <n v="96"/>
    <n v="285.12"/>
    <x v="10"/>
  </r>
  <r>
    <x v="523"/>
    <m/>
    <m/>
    <m/>
    <m/>
    <m/>
    <m/>
    <n v="1155.335"/>
    <x v="10"/>
  </r>
  <r>
    <x v="524"/>
    <s v="Соседи"/>
    <s v="Барановичи"/>
    <s v="Зелень"/>
    <s v="Салат айсберг"/>
    <n v="1380"/>
    <n v="18"/>
    <n v="24.84"/>
    <x v="10"/>
  </r>
  <r>
    <x v="524"/>
    <s v="Копеечка"/>
    <s v="Барановичи"/>
    <s v="Овощи"/>
    <s v="Морковь"/>
    <n v="715"/>
    <n v="25"/>
    <n v="17.875"/>
    <x v="10"/>
  </r>
  <r>
    <x v="524"/>
    <s v="Соседи"/>
    <s v="Барановичи"/>
    <s v="Овощи"/>
    <s v="Капуста"/>
    <n v="460"/>
    <n v="87"/>
    <n v="40.020000000000003"/>
    <x v="10"/>
  </r>
  <r>
    <x v="524"/>
    <s v="Евроопт"/>
    <s v="Барановичи"/>
    <s v="Фрукты"/>
    <s v="Абрикосы"/>
    <n v="1320"/>
    <n v="74"/>
    <n v="97.68"/>
    <x v="10"/>
  </r>
  <r>
    <x v="524"/>
    <s v="Соседи"/>
    <s v="Жодино"/>
    <s v="Овощи"/>
    <s v="Баклажаны"/>
    <n v="890"/>
    <n v="30"/>
    <n v="26.7"/>
    <x v="10"/>
  </r>
  <r>
    <x v="524"/>
    <s v="Копеечка"/>
    <s v="Жодино"/>
    <s v="Овощи"/>
    <s v="Картофель"/>
    <n v="690"/>
    <n v="96"/>
    <n v="66.239999999999995"/>
    <x v="10"/>
  </r>
  <r>
    <x v="524"/>
    <s v="Соседи"/>
    <s v="Минск"/>
    <s v="Овощи"/>
    <s v="Капуста"/>
    <n v="460"/>
    <n v="75"/>
    <n v="34.5"/>
    <x v="10"/>
  </r>
  <r>
    <x v="524"/>
    <s v="Копеечка"/>
    <s v="Минск"/>
    <s v="Овощи"/>
    <s v="Свекла"/>
    <n v="450"/>
    <n v="76"/>
    <n v="34.200000000000003"/>
    <x v="10"/>
  </r>
  <r>
    <x v="524"/>
    <s v="Евроопт"/>
    <s v="Минск"/>
    <s v="Овощи"/>
    <s v="Свекла"/>
    <n v="450"/>
    <n v="12"/>
    <n v="5.4"/>
    <x v="10"/>
  </r>
  <r>
    <x v="524"/>
    <s v="Виталюр"/>
    <s v="Минск"/>
    <s v="Фрукты"/>
    <s v="Апельсины"/>
    <n v="2540"/>
    <n v="22"/>
    <n v="55.88"/>
    <x v="10"/>
  </r>
  <r>
    <x v="524"/>
    <s v="Виталюр"/>
    <s v="Столбцы"/>
    <s v="Зелень"/>
    <s v="Укроп"/>
    <n v="650"/>
    <n v="98"/>
    <n v="63.7"/>
    <x v="10"/>
  </r>
  <r>
    <x v="524"/>
    <s v="Виталюр"/>
    <s v="Столбцы"/>
    <s v="Зелень"/>
    <s v="Петрушка"/>
    <n v="640"/>
    <n v="63"/>
    <n v="40.32"/>
    <x v="10"/>
  </r>
  <r>
    <x v="525"/>
    <m/>
    <m/>
    <m/>
    <m/>
    <m/>
    <m/>
    <n v="507.35499999999996"/>
    <x v="10"/>
  </r>
  <r>
    <x v="526"/>
    <s v="Виталюр"/>
    <s v="Барановичи"/>
    <s v="Ягоды"/>
    <s v="Черешня"/>
    <n v="1760"/>
    <n v="17"/>
    <n v="29.92"/>
    <x v="10"/>
  </r>
  <r>
    <x v="526"/>
    <s v="Копеечка"/>
    <s v="Борисов"/>
    <s v="Ягоды"/>
    <s v="Клубника"/>
    <n v="2460"/>
    <n v="80"/>
    <n v="196.8"/>
    <x v="10"/>
  </r>
  <r>
    <x v="526"/>
    <s v="Копеечка"/>
    <s v="Жодино"/>
    <s v="Зелень"/>
    <s v="Петрушка"/>
    <n v="640"/>
    <n v="98"/>
    <n v="62.72"/>
    <x v="10"/>
  </r>
  <r>
    <x v="526"/>
    <s v="Соседи"/>
    <s v="Жодино"/>
    <s v="Фрукты"/>
    <s v="Сливы"/>
    <n v="930"/>
    <n v="81"/>
    <n v="75.33"/>
    <x v="10"/>
  </r>
  <r>
    <x v="526"/>
    <s v="Соседи"/>
    <s v="Минск"/>
    <s v="Фрукты"/>
    <s v="Сливы"/>
    <n v="930"/>
    <n v="29"/>
    <n v="26.97"/>
    <x v="10"/>
  </r>
  <r>
    <x v="526"/>
    <s v="Виталюр"/>
    <s v="Минск"/>
    <s v="Ягоды"/>
    <s v="Малина"/>
    <n v="2970"/>
    <n v="98"/>
    <n v="291.06"/>
    <x v="10"/>
  </r>
  <r>
    <x v="526"/>
    <s v="Евроопт"/>
    <s v="Столбцы"/>
    <s v="Зелень"/>
    <s v="Салат айсберг"/>
    <n v="1380"/>
    <n v="62"/>
    <n v="85.56"/>
    <x v="10"/>
  </r>
  <r>
    <x v="526"/>
    <s v="Соседи"/>
    <s v="Столбцы"/>
    <s v="Фрукты"/>
    <s v="Груши"/>
    <n v="1420"/>
    <n v="44"/>
    <n v="62.48"/>
    <x v="10"/>
  </r>
  <r>
    <x v="527"/>
    <m/>
    <m/>
    <m/>
    <m/>
    <m/>
    <m/>
    <n v="830.83999999999992"/>
    <x v="10"/>
  </r>
  <r>
    <x v="528"/>
    <s v="Виталюр"/>
    <s v="Барановичи"/>
    <s v="Зелень"/>
    <s v="Лук зеленый"/>
    <n v="705"/>
    <n v="67"/>
    <n v="47.234999999999999"/>
    <x v="10"/>
  </r>
  <r>
    <x v="528"/>
    <s v="Виталюр"/>
    <s v="Жодино"/>
    <s v="Овощи"/>
    <s v="Морковь"/>
    <n v="715"/>
    <n v="65"/>
    <n v="46.475000000000001"/>
    <x v="10"/>
  </r>
  <r>
    <x v="528"/>
    <s v="Соседи"/>
    <s v="Жодино"/>
    <s v="Ягоды"/>
    <s v="Брусника"/>
    <n v="1670"/>
    <n v="68"/>
    <n v="113.56"/>
    <x v="10"/>
  </r>
  <r>
    <x v="528"/>
    <s v="Соседи"/>
    <s v="Жодино"/>
    <s v="Ягоды"/>
    <s v="Голубика"/>
    <n v="3205"/>
    <n v="48"/>
    <n v="153.84"/>
    <x v="10"/>
  </r>
  <r>
    <x v="528"/>
    <s v="Копеечка"/>
    <s v="Фаниполь"/>
    <s v="Зелень"/>
    <s v="Петрушка"/>
    <n v="640"/>
    <n v="70"/>
    <n v="44.8"/>
    <x v="10"/>
  </r>
  <r>
    <x v="528"/>
    <s v="Виталюр"/>
    <s v="Фаниполь"/>
    <s v="Фрукты"/>
    <s v="Абрикосы"/>
    <n v="1320"/>
    <n v="79"/>
    <n v="104.28"/>
    <x v="10"/>
  </r>
  <r>
    <x v="529"/>
    <m/>
    <m/>
    <m/>
    <m/>
    <m/>
    <m/>
    <n v="510.19000000000005"/>
    <x v="10"/>
  </r>
  <r>
    <x v="530"/>
    <s v="Виталюр"/>
    <s v="Барановичи"/>
    <s v="Фрукты"/>
    <s v="Абрикосы"/>
    <n v="1320"/>
    <n v="69"/>
    <n v="91.08"/>
    <x v="10"/>
  </r>
  <r>
    <x v="530"/>
    <s v="Виталюр"/>
    <s v="Борисов"/>
    <s v="Овощи"/>
    <s v="Морковь"/>
    <n v="715"/>
    <n v="30"/>
    <n v="21.45"/>
    <x v="10"/>
  </r>
  <r>
    <x v="530"/>
    <s v="Евроопт"/>
    <s v="Борисов"/>
    <s v="Фрукты"/>
    <s v="Груши"/>
    <n v="1420"/>
    <n v="82"/>
    <n v="116.44"/>
    <x v="10"/>
  </r>
  <r>
    <x v="530"/>
    <s v="Евроопт"/>
    <s v="Жодино"/>
    <s v="Овощи"/>
    <s v="Свекла"/>
    <n v="450"/>
    <n v="81"/>
    <n v="36.450000000000003"/>
    <x v="10"/>
  </r>
  <r>
    <x v="530"/>
    <s v="Виталюр"/>
    <s v="Жодино"/>
    <s v="Ягоды"/>
    <s v="Малина"/>
    <n v="2970"/>
    <n v="52"/>
    <n v="154.44"/>
    <x v="10"/>
  </r>
  <r>
    <x v="530"/>
    <s v="Копеечка"/>
    <s v="Минск"/>
    <s v="Зелень"/>
    <s v="Салат айсберг"/>
    <n v="1380"/>
    <n v="97"/>
    <n v="133.86000000000001"/>
    <x v="10"/>
  </r>
  <r>
    <x v="530"/>
    <s v="Соседи"/>
    <s v="Столбцы"/>
    <s v="Овощи"/>
    <s v="Капуста"/>
    <n v="460"/>
    <n v="70"/>
    <n v="32.200000000000003"/>
    <x v="10"/>
  </r>
  <r>
    <x v="530"/>
    <s v="Евроопт"/>
    <s v="Столбцы"/>
    <s v="Фрукты"/>
    <s v="Абрикосы"/>
    <n v="1320"/>
    <n v="50"/>
    <n v="66"/>
    <x v="10"/>
  </r>
  <r>
    <x v="530"/>
    <s v="Соседи"/>
    <s v="Фаниполь"/>
    <s v="Фрукты"/>
    <s v="Апельсины"/>
    <n v="2540"/>
    <n v="93"/>
    <n v="236.22"/>
    <x v="10"/>
  </r>
  <r>
    <x v="530"/>
    <s v="Соседи"/>
    <s v="Фаниполь"/>
    <s v="Фрукты"/>
    <s v="Бананы"/>
    <n v="2400"/>
    <n v="33"/>
    <n v="79.2"/>
    <x v="10"/>
  </r>
  <r>
    <x v="531"/>
    <m/>
    <m/>
    <m/>
    <m/>
    <m/>
    <m/>
    <n v="967.34000000000015"/>
    <x v="10"/>
  </r>
  <r>
    <x v="532"/>
    <s v="Копеечка"/>
    <s v="Барановичи"/>
    <s v="Фрукты"/>
    <s v="Груши"/>
    <n v="1420"/>
    <n v="25"/>
    <n v="35.5"/>
    <x v="10"/>
  </r>
  <r>
    <x v="532"/>
    <s v="Виталюр"/>
    <s v="Борисов"/>
    <s v="Зелень"/>
    <s v="Петрушка"/>
    <n v="640"/>
    <n v="76"/>
    <n v="48.64"/>
    <x v="10"/>
  </r>
  <r>
    <x v="532"/>
    <s v="Евроопт"/>
    <s v="Борисов"/>
    <s v="Фрукты"/>
    <s v="Абрикосы"/>
    <n v="1320"/>
    <n v="53"/>
    <n v="69.959999999999994"/>
    <x v="10"/>
  </r>
  <r>
    <x v="532"/>
    <s v="Копеечка"/>
    <s v="Борисов"/>
    <s v="Ягоды"/>
    <s v="Голубика"/>
    <n v="3205"/>
    <n v="12"/>
    <n v="38.46"/>
    <x v="10"/>
  </r>
  <r>
    <x v="532"/>
    <s v="Виталюр"/>
    <s v="Жодино"/>
    <s v="Зелень"/>
    <s v="Петрушка"/>
    <n v="640"/>
    <n v="43"/>
    <n v="27.52"/>
    <x v="10"/>
  </r>
  <r>
    <x v="532"/>
    <s v="Виталюр"/>
    <s v="Жодино"/>
    <s v="Ягоды"/>
    <s v="Малина"/>
    <n v="2970"/>
    <n v="36"/>
    <n v="106.92"/>
    <x v="10"/>
  </r>
  <r>
    <x v="532"/>
    <s v="Соседи"/>
    <s v="Минск"/>
    <s v="Ягоды"/>
    <s v="Черешня"/>
    <n v="1760"/>
    <n v="13"/>
    <n v="22.88"/>
    <x v="10"/>
  </r>
  <r>
    <x v="532"/>
    <s v="Копеечка"/>
    <s v="Столбцы"/>
    <s v="Ягоды"/>
    <s v="Черешня"/>
    <n v="1760"/>
    <n v="100"/>
    <n v="176"/>
    <x v="10"/>
  </r>
  <r>
    <x v="532"/>
    <s v="Копеечка"/>
    <s v="Фаниполь"/>
    <s v="Зелень"/>
    <s v="Кинза"/>
    <n v="650"/>
    <n v="33"/>
    <n v="21.45"/>
    <x v="10"/>
  </r>
  <r>
    <x v="532"/>
    <s v="Соседи"/>
    <s v="Фаниполь"/>
    <s v="Фрукты"/>
    <s v="Груши"/>
    <n v="1420"/>
    <n v="23"/>
    <n v="32.659999999999997"/>
    <x v="10"/>
  </r>
  <r>
    <x v="532"/>
    <s v="Виталюр"/>
    <s v="Фаниполь"/>
    <s v="Фрукты"/>
    <s v="Груши"/>
    <n v="1420"/>
    <n v="19"/>
    <n v="26.98"/>
    <x v="10"/>
  </r>
  <r>
    <x v="533"/>
    <m/>
    <m/>
    <m/>
    <m/>
    <m/>
    <m/>
    <n v="606.97"/>
    <x v="10"/>
  </r>
  <r>
    <x v="534"/>
    <s v="Соседи"/>
    <s v="Борисов"/>
    <s v="Овощи"/>
    <s v="Картофель"/>
    <n v="690"/>
    <n v="39"/>
    <n v="26.91"/>
    <x v="10"/>
  </r>
  <r>
    <x v="534"/>
    <s v="Евроопт"/>
    <s v="Борисов"/>
    <s v="Овощи"/>
    <s v="Кабачки"/>
    <n v="325"/>
    <n v="51"/>
    <n v="16.574999999999999"/>
    <x v="10"/>
  </r>
  <r>
    <x v="534"/>
    <s v="Евроопт"/>
    <s v="Столбцы"/>
    <s v="Овощи"/>
    <s v="Морковь"/>
    <n v="715"/>
    <n v="86"/>
    <n v="61.49"/>
    <x v="10"/>
  </r>
  <r>
    <x v="534"/>
    <s v="Евроопт"/>
    <s v="Столбцы"/>
    <s v="Овощи"/>
    <s v="Баклажаны"/>
    <n v="890"/>
    <n v="61"/>
    <n v="54.29"/>
    <x v="10"/>
  </r>
  <r>
    <x v="534"/>
    <s v="Соседи"/>
    <s v="Столбцы"/>
    <s v="Фрукты"/>
    <s v="Абрикосы"/>
    <n v="1320"/>
    <n v="89"/>
    <n v="117.48"/>
    <x v="10"/>
  </r>
  <r>
    <x v="534"/>
    <s v="Виталюр"/>
    <s v="Фаниполь"/>
    <s v="Зелень"/>
    <s v="Кинза"/>
    <n v="650"/>
    <n v="64"/>
    <n v="41.6"/>
    <x v="10"/>
  </r>
  <r>
    <x v="534"/>
    <s v="Копеечка"/>
    <s v="Фаниполь"/>
    <s v="Фрукты"/>
    <s v="Сливы"/>
    <n v="930"/>
    <n v="89"/>
    <n v="82.77"/>
    <x v="10"/>
  </r>
  <r>
    <x v="535"/>
    <m/>
    <m/>
    <m/>
    <m/>
    <m/>
    <m/>
    <n v="401.11500000000001"/>
    <x v="10"/>
  </r>
  <r>
    <x v="536"/>
    <s v="Виталюр"/>
    <s v="Барановичи"/>
    <s v="Фрукты"/>
    <s v="Апельсины"/>
    <n v="2540"/>
    <n v="75"/>
    <n v="190.5"/>
    <x v="10"/>
  </r>
  <r>
    <x v="536"/>
    <s v="Соседи"/>
    <s v="Борисов"/>
    <s v="Фрукты"/>
    <s v="Сливы"/>
    <n v="930"/>
    <n v="48"/>
    <n v="44.64"/>
    <x v="10"/>
  </r>
  <r>
    <x v="536"/>
    <s v="Виталюр"/>
    <s v="Борисов"/>
    <s v="Фрукты"/>
    <s v="Сливы"/>
    <n v="930"/>
    <n v="70"/>
    <n v="65.099999999999994"/>
    <x v="10"/>
  </r>
  <r>
    <x v="536"/>
    <s v="Виталюр"/>
    <s v="Жодино"/>
    <s v="Овощи"/>
    <s v="Свекла"/>
    <n v="450"/>
    <n v="58"/>
    <n v="26.1"/>
    <x v="10"/>
  </r>
  <r>
    <x v="536"/>
    <s v="Соседи"/>
    <s v="Жодино"/>
    <s v="Фрукты"/>
    <s v="Апельсины"/>
    <n v="2540"/>
    <n v="30"/>
    <n v="76.2"/>
    <x v="10"/>
  </r>
  <r>
    <x v="536"/>
    <s v="Копеечка"/>
    <s v="Жодино"/>
    <s v="Фрукты"/>
    <s v="Апельсины"/>
    <n v="2540"/>
    <n v="53"/>
    <n v="134.62"/>
    <x v="10"/>
  </r>
  <r>
    <x v="536"/>
    <s v="Копеечка"/>
    <s v="Жодино"/>
    <s v="Ягоды"/>
    <s v="Черешня"/>
    <n v="1760"/>
    <n v="89"/>
    <n v="156.63999999999999"/>
    <x v="10"/>
  </r>
  <r>
    <x v="536"/>
    <s v="Евроопт"/>
    <s v="Жодино"/>
    <s v="Ягоды"/>
    <s v="Брусника"/>
    <n v="1670"/>
    <n v="23"/>
    <n v="38.409999999999997"/>
    <x v="10"/>
  </r>
  <r>
    <x v="536"/>
    <s v="Соседи"/>
    <s v="Минск"/>
    <s v="Зелень"/>
    <s v="Петрушка"/>
    <n v="640"/>
    <n v="8"/>
    <n v="5.12"/>
    <x v="10"/>
  </r>
  <r>
    <x v="536"/>
    <s v="Виталюр"/>
    <s v="Минск"/>
    <s v="Овощи"/>
    <s v="Свекла"/>
    <n v="450"/>
    <n v="91"/>
    <n v="40.950000000000003"/>
    <x v="10"/>
  </r>
  <r>
    <x v="536"/>
    <s v="Соседи"/>
    <s v="Столбцы"/>
    <s v="Зелень"/>
    <s v="Кинза"/>
    <n v="650"/>
    <n v="11"/>
    <n v="7.15"/>
    <x v="10"/>
  </r>
  <r>
    <x v="536"/>
    <s v="Евроопт"/>
    <s v="Столбцы"/>
    <s v="Овощи"/>
    <s v="Баклажаны"/>
    <n v="890"/>
    <n v="95"/>
    <n v="84.55"/>
    <x v="10"/>
  </r>
  <r>
    <x v="536"/>
    <s v="Соседи"/>
    <s v="Столбцы"/>
    <s v="Ягоды"/>
    <s v="Черешня"/>
    <n v="1760"/>
    <n v="23"/>
    <n v="40.479999999999997"/>
    <x v="10"/>
  </r>
  <r>
    <x v="537"/>
    <m/>
    <m/>
    <m/>
    <m/>
    <m/>
    <m/>
    <n v="910.46"/>
    <x v="10"/>
  </r>
  <r>
    <x v="538"/>
    <s v="Виталюр"/>
    <s v="Барановичи"/>
    <s v="Фрукты"/>
    <s v="Яблоки"/>
    <n v="1230"/>
    <n v="86"/>
    <n v="105.78"/>
    <x v="10"/>
  </r>
  <r>
    <x v="538"/>
    <s v="Виталюр"/>
    <s v="Барановичи"/>
    <s v="Фрукты"/>
    <s v="Сливы"/>
    <n v="930"/>
    <n v="19"/>
    <n v="17.670000000000002"/>
    <x v="10"/>
  </r>
  <r>
    <x v="538"/>
    <s v="Виталюр"/>
    <s v="Борисов"/>
    <s v="Зелень"/>
    <s v="Салат римский"/>
    <n v="540"/>
    <n v="97"/>
    <n v="52.38"/>
    <x v="10"/>
  </r>
  <r>
    <x v="538"/>
    <s v="Копеечка"/>
    <s v="Борисов"/>
    <s v="Зелень"/>
    <s v="Петрушка"/>
    <n v="640"/>
    <n v="5"/>
    <n v="3.2"/>
    <x v="10"/>
  </r>
  <r>
    <x v="538"/>
    <s v="Соседи"/>
    <s v="Борисов"/>
    <s v="Ягоды"/>
    <s v="Брусника"/>
    <n v="1670"/>
    <n v="54"/>
    <n v="90.18"/>
    <x v="10"/>
  </r>
  <r>
    <x v="538"/>
    <s v="Виталюр"/>
    <s v="Борисов"/>
    <s v="Ягоды"/>
    <s v="Брусника"/>
    <n v="1670"/>
    <n v="26"/>
    <n v="43.42"/>
    <x v="10"/>
  </r>
  <r>
    <x v="538"/>
    <s v="Евроопт"/>
    <s v="Жодино"/>
    <s v="Зелень"/>
    <s v="Лук зеленый"/>
    <n v="705"/>
    <n v="49"/>
    <n v="34.545000000000002"/>
    <x v="10"/>
  </r>
  <r>
    <x v="538"/>
    <s v="Виталюр"/>
    <s v="Жодино"/>
    <s v="Фрукты"/>
    <s v="Бананы"/>
    <n v="2400"/>
    <n v="73"/>
    <n v="175.2"/>
    <x v="10"/>
  </r>
  <r>
    <x v="538"/>
    <s v="Копеечка"/>
    <s v="Минск"/>
    <s v="Зелень"/>
    <s v="Салат айсберг"/>
    <n v="1380"/>
    <n v="98"/>
    <n v="135.24"/>
    <x v="10"/>
  </r>
  <r>
    <x v="538"/>
    <s v="Соседи"/>
    <s v="Минск"/>
    <s v="Овощи"/>
    <s v="Морковь"/>
    <n v="715"/>
    <n v="55"/>
    <n v="39.325000000000003"/>
    <x v="10"/>
  </r>
  <r>
    <x v="538"/>
    <s v="Копеечка"/>
    <s v="Столбцы"/>
    <s v="Фрукты"/>
    <s v="Яблоки"/>
    <n v="1230"/>
    <n v="51"/>
    <n v="62.73"/>
    <x v="10"/>
  </r>
  <r>
    <x v="538"/>
    <s v="Виталюр"/>
    <s v="Столбцы"/>
    <s v="Фрукты"/>
    <s v="Абрикосы"/>
    <n v="1320"/>
    <n v="33"/>
    <n v="43.56"/>
    <x v="10"/>
  </r>
  <r>
    <x v="538"/>
    <s v="Копеечка"/>
    <s v="Фаниполь"/>
    <s v="Овощи"/>
    <s v="Капуста"/>
    <n v="460"/>
    <n v="74"/>
    <n v="34.04"/>
    <x v="10"/>
  </r>
  <r>
    <x v="539"/>
    <m/>
    <m/>
    <m/>
    <m/>
    <m/>
    <m/>
    <n v="837.27"/>
    <x v="10"/>
  </r>
  <r>
    <x v="540"/>
    <s v="Соседи"/>
    <s v="Барановичи"/>
    <s v="Зелень"/>
    <s v="Салат айсберг"/>
    <n v="1380"/>
    <n v="16"/>
    <n v="22.08"/>
    <x v="10"/>
  </r>
  <r>
    <x v="540"/>
    <s v="Соседи"/>
    <s v="Барановичи"/>
    <s v="Овощи"/>
    <s v="Капуста"/>
    <n v="460"/>
    <n v="92"/>
    <n v="42.32"/>
    <x v="10"/>
  </r>
  <r>
    <x v="540"/>
    <s v="Евроопт"/>
    <s v="Барановичи"/>
    <s v="Овощи"/>
    <s v="Кабачки"/>
    <n v="325"/>
    <n v="88"/>
    <n v="28.6"/>
    <x v="10"/>
  </r>
  <r>
    <x v="540"/>
    <s v="Евроопт"/>
    <s v="Барановичи"/>
    <s v="Фрукты"/>
    <s v="Груши"/>
    <n v="1420"/>
    <n v="89"/>
    <n v="126.38"/>
    <x v="10"/>
  </r>
  <r>
    <x v="540"/>
    <s v="Евроопт"/>
    <s v="Борисов"/>
    <s v="Зелень"/>
    <s v="Лук зеленый"/>
    <n v="705"/>
    <n v="38"/>
    <n v="26.79"/>
    <x v="10"/>
  </r>
  <r>
    <x v="540"/>
    <s v="Копеечка"/>
    <s v="Борисов"/>
    <s v="Овощи"/>
    <s v="Морковь"/>
    <n v="715"/>
    <n v="25"/>
    <n v="17.875"/>
    <x v="10"/>
  </r>
  <r>
    <x v="540"/>
    <s v="Соседи"/>
    <s v="Борисов"/>
    <s v="Фрукты"/>
    <s v="Бананы"/>
    <n v="2400"/>
    <n v="92"/>
    <n v="220.8"/>
    <x v="10"/>
  </r>
  <r>
    <x v="540"/>
    <s v="Евроопт"/>
    <s v="Жодино"/>
    <s v="Зелень"/>
    <s v="Салат айсберг"/>
    <n v="1380"/>
    <n v="36"/>
    <n v="49.68"/>
    <x v="10"/>
  </r>
  <r>
    <x v="540"/>
    <s v="Евроопт"/>
    <s v="Жодино"/>
    <s v="Фрукты"/>
    <s v="Абрикосы"/>
    <n v="1320"/>
    <n v="46"/>
    <n v="60.72"/>
    <x v="10"/>
  </r>
  <r>
    <x v="540"/>
    <s v="Евроопт"/>
    <s v="Жодино"/>
    <s v="Ягоды"/>
    <s v="Голубика"/>
    <n v="3205"/>
    <n v="77"/>
    <n v="246.785"/>
    <x v="10"/>
  </r>
  <r>
    <x v="541"/>
    <m/>
    <m/>
    <m/>
    <m/>
    <m/>
    <m/>
    <n v="842.03"/>
    <x v="10"/>
  </r>
  <r>
    <x v="542"/>
    <s v="Виталюр"/>
    <s v="Барановичи"/>
    <s v="Фрукты"/>
    <s v="Абрикосы"/>
    <n v="1320"/>
    <n v="46"/>
    <n v="60.72"/>
    <x v="10"/>
  </r>
  <r>
    <x v="542"/>
    <s v="Копеечка"/>
    <s v="Барановичи"/>
    <s v="Ягоды"/>
    <s v="Голубика"/>
    <n v="3205"/>
    <n v="51"/>
    <n v="163.45500000000001"/>
    <x v="10"/>
  </r>
  <r>
    <x v="542"/>
    <s v="Виталюр"/>
    <s v="Минск"/>
    <s v="Зелень"/>
    <s v="Салат айсберг"/>
    <n v="1380"/>
    <n v="86"/>
    <n v="118.68"/>
    <x v="10"/>
  </r>
  <r>
    <x v="542"/>
    <s v="Евроопт"/>
    <s v="Минск"/>
    <s v="Зелень"/>
    <s v="Салат айсберг"/>
    <n v="1380"/>
    <n v="50"/>
    <n v="69"/>
    <x v="10"/>
  </r>
  <r>
    <x v="542"/>
    <s v="Копеечка"/>
    <s v="Минск"/>
    <s v="Фрукты"/>
    <s v="Яблоки"/>
    <n v="1230"/>
    <n v="90"/>
    <n v="110.7"/>
    <x v="10"/>
  </r>
  <r>
    <x v="542"/>
    <s v="Виталюр"/>
    <s v="Столбцы"/>
    <s v="Зелень"/>
    <s v="Кинза"/>
    <n v="650"/>
    <n v="59"/>
    <n v="38.35"/>
    <x v="10"/>
  </r>
  <r>
    <x v="543"/>
    <m/>
    <m/>
    <m/>
    <m/>
    <m/>
    <m/>
    <n v="560.90500000000009"/>
    <x v="10"/>
  </r>
  <r>
    <x v="544"/>
    <s v="Евроопт"/>
    <s v="Барановичи"/>
    <s v="Зелень"/>
    <s v="Укроп"/>
    <n v="650"/>
    <n v="15"/>
    <n v="9.75"/>
    <x v="10"/>
  </r>
  <r>
    <x v="544"/>
    <s v="Евроопт"/>
    <s v="Барановичи"/>
    <s v="Овощи"/>
    <s v="Капуста"/>
    <n v="460"/>
    <n v="33"/>
    <n v="15.18"/>
    <x v="10"/>
  </r>
  <r>
    <x v="544"/>
    <s v="Соседи"/>
    <s v="Барановичи"/>
    <s v="Ягоды"/>
    <s v="Малина"/>
    <n v="2970"/>
    <n v="100"/>
    <n v="297"/>
    <x v="10"/>
  </r>
  <r>
    <x v="544"/>
    <s v="Евроопт"/>
    <s v="Барановичи"/>
    <s v="Ягоды"/>
    <s v="Малина"/>
    <n v="2970"/>
    <n v="13"/>
    <n v="38.61"/>
    <x v="10"/>
  </r>
  <r>
    <x v="544"/>
    <s v="Соседи"/>
    <s v="Борисов"/>
    <s v="Зелень"/>
    <s v="Лук зеленый"/>
    <n v="705"/>
    <n v="53"/>
    <n v="37.365000000000002"/>
    <x v="10"/>
  </r>
  <r>
    <x v="544"/>
    <s v="Евроопт"/>
    <s v="Борисов"/>
    <s v="Овощи"/>
    <s v="Капуста"/>
    <n v="460"/>
    <n v="47"/>
    <n v="21.62"/>
    <x v="10"/>
  </r>
  <r>
    <x v="544"/>
    <s v="Евроопт"/>
    <s v="Борисов"/>
    <s v="Фрукты"/>
    <s v="Груши"/>
    <n v="1420"/>
    <n v="75"/>
    <n v="106.5"/>
    <x v="10"/>
  </r>
  <r>
    <x v="544"/>
    <s v="Копеечка"/>
    <s v="Жодино"/>
    <s v="Фрукты"/>
    <s v="Бананы"/>
    <n v="2400"/>
    <n v="60"/>
    <n v="144"/>
    <x v="10"/>
  </r>
  <r>
    <x v="544"/>
    <s v="Виталюр"/>
    <s v="Минск"/>
    <s v="Овощи"/>
    <s v="Морковь"/>
    <n v="715"/>
    <n v="64"/>
    <n v="45.76"/>
    <x v="10"/>
  </r>
  <r>
    <x v="544"/>
    <s v="Копеечка"/>
    <s v="Минск"/>
    <s v="Овощи"/>
    <s v="Баклажаны"/>
    <n v="890"/>
    <n v="70"/>
    <n v="62.3"/>
    <x v="10"/>
  </r>
  <r>
    <x v="544"/>
    <s v="Соседи"/>
    <s v="Столбцы"/>
    <s v="Овощи"/>
    <s v="Капуста"/>
    <n v="460"/>
    <n v="43"/>
    <n v="19.78"/>
    <x v="10"/>
  </r>
  <r>
    <x v="544"/>
    <s v="Соседи"/>
    <s v="Фаниполь"/>
    <s v="Зелень"/>
    <s v="Салат айсберг"/>
    <n v="1380"/>
    <n v="46"/>
    <n v="63.48"/>
    <x v="10"/>
  </r>
  <r>
    <x v="544"/>
    <s v="Евроопт"/>
    <s v="Фаниполь"/>
    <s v="Фрукты"/>
    <s v="Бананы"/>
    <n v="2400"/>
    <n v="20"/>
    <n v="48"/>
    <x v="10"/>
  </r>
  <r>
    <x v="544"/>
    <s v="Соседи"/>
    <s v="Фаниполь"/>
    <s v="Ягоды"/>
    <s v="Голубика"/>
    <n v="3205"/>
    <n v="66"/>
    <n v="211.53"/>
    <x v="10"/>
  </r>
  <r>
    <x v="545"/>
    <m/>
    <m/>
    <m/>
    <m/>
    <m/>
    <m/>
    <n v="1120.875"/>
    <x v="10"/>
  </r>
  <r>
    <x v="546"/>
    <s v="Соседи"/>
    <s v="Жодино"/>
    <s v="Зелень"/>
    <s v="Салат айсберг"/>
    <n v="1380"/>
    <n v="53"/>
    <n v="73.14"/>
    <x v="10"/>
  </r>
  <r>
    <x v="546"/>
    <s v="Соседи"/>
    <s v="Жодино"/>
    <s v="Овощи"/>
    <s v="Морковь"/>
    <n v="715"/>
    <n v="15"/>
    <n v="10.725"/>
    <x v="10"/>
  </r>
  <r>
    <x v="546"/>
    <s v="Копеечка"/>
    <s v="Жодино"/>
    <s v="Фрукты"/>
    <s v="Груши"/>
    <n v="1420"/>
    <n v="50"/>
    <n v="71"/>
    <x v="10"/>
  </r>
  <r>
    <x v="546"/>
    <s v="Копеечка"/>
    <s v="Жодино"/>
    <s v="Фрукты"/>
    <s v="Груши"/>
    <n v="1420"/>
    <n v="100"/>
    <n v="142"/>
    <x v="10"/>
  </r>
  <r>
    <x v="546"/>
    <s v="Копеечка"/>
    <s v="Жодино"/>
    <s v="Ягоды"/>
    <s v="Голубика"/>
    <n v="3205"/>
    <n v="22"/>
    <n v="70.510000000000005"/>
    <x v="10"/>
  </r>
  <r>
    <x v="546"/>
    <s v="Евроопт"/>
    <s v="Столбцы"/>
    <s v="Овощи"/>
    <s v="Картофель"/>
    <n v="690"/>
    <n v="41"/>
    <n v="28.29"/>
    <x v="10"/>
  </r>
  <r>
    <x v="546"/>
    <s v="Евроопт"/>
    <s v="Фаниполь"/>
    <s v="Зелень"/>
    <s v="Кинза"/>
    <n v="650"/>
    <n v="83"/>
    <n v="53.95"/>
    <x v="10"/>
  </r>
  <r>
    <x v="547"/>
    <m/>
    <m/>
    <m/>
    <m/>
    <m/>
    <m/>
    <n v="449.61500000000001"/>
    <x v="1"/>
  </r>
  <r>
    <x v="548"/>
    <s v="Евроопт"/>
    <s v="Барановичи"/>
    <s v="Овощи"/>
    <s v="Кабачки"/>
    <n v="325"/>
    <n v="51"/>
    <n v="16.574999999999999"/>
    <x v="11"/>
  </r>
  <r>
    <x v="548"/>
    <s v="Соседи"/>
    <s v="Барановичи"/>
    <s v="Фрукты"/>
    <s v="Сливы"/>
    <n v="930"/>
    <n v="40"/>
    <n v="37.200000000000003"/>
    <x v="11"/>
  </r>
  <r>
    <x v="548"/>
    <s v="Соседи"/>
    <s v="Борисов"/>
    <s v="Зелень"/>
    <s v="Салат айсберг"/>
    <n v="1380"/>
    <n v="26"/>
    <n v="35.880000000000003"/>
    <x v="11"/>
  </r>
  <r>
    <x v="548"/>
    <s v="Евроопт"/>
    <s v="Борисов"/>
    <s v="Овощи"/>
    <s v="Кабачки"/>
    <n v="325"/>
    <n v="7"/>
    <n v="2.2749999999999999"/>
    <x v="11"/>
  </r>
  <r>
    <x v="548"/>
    <s v="Евроопт"/>
    <s v="Борисов"/>
    <s v="Фрукты"/>
    <s v="Абрикосы"/>
    <n v="1320"/>
    <n v="42"/>
    <n v="55.44"/>
    <x v="11"/>
  </r>
  <r>
    <x v="548"/>
    <s v="Виталюр"/>
    <s v="Борисов"/>
    <s v="Ягоды"/>
    <s v="Смородина черная"/>
    <n v="1505"/>
    <n v="95"/>
    <n v="142.97499999999999"/>
    <x v="11"/>
  </r>
  <r>
    <x v="548"/>
    <s v="Соседи"/>
    <s v="Жодино"/>
    <s v="Фрукты"/>
    <s v="Абрикосы"/>
    <n v="1320"/>
    <n v="83"/>
    <n v="109.56"/>
    <x v="11"/>
  </r>
  <r>
    <x v="548"/>
    <s v="Евроопт"/>
    <s v="Жодино"/>
    <s v="Ягоды"/>
    <s v="Брусника"/>
    <n v="1670"/>
    <n v="75"/>
    <n v="125.25"/>
    <x v="11"/>
  </r>
  <r>
    <x v="548"/>
    <s v="Соседи"/>
    <s v="Минск"/>
    <s v="Зелень"/>
    <s v="Салат римский"/>
    <n v="540"/>
    <n v="36"/>
    <n v="19.440000000000001"/>
    <x v="11"/>
  </r>
  <r>
    <x v="548"/>
    <s v="Копеечка"/>
    <s v="Минск"/>
    <s v="Овощи"/>
    <s v="Морковь"/>
    <n v="715"/>
    <n v="100"/>
    <n v="71.5"/>
    <x v="11"/>
  </r>
  <r>
    <x v="548"/>
    <s v="Соседи"/>
    <s v="Минск"/>
    <s v="Овощи"/>
    <s v="Морковь"/>
    <n v="715"/>
    <n v="64"/>
    <n v="45.76"/>
    <x v="11"/>
  </r>
  <r>
    <x v="548"/>
    <s v="Евроопт"/>
    <s v="Минск"/>
    <s v="Фрукты"/>
    <s v="Яблоки"/>
    <n v="1230"/>
    <n v="97"/>
    <n v="119.31"/>
    <x v="11"/>
  </r>
  <r>
    <x v="548"/>
    <s v="Евроопт"/>
    <s v="Минск"/>
    <s v="Фрукты"/>
    <s v="Яблоки"/>
    <n v="1230"/>
    <n v="27"/>
    <n v="33.21"/>
    <x v="11"/>
  </r>
  <r>
    <x v="548"/>
    <s v="Соседи"/>
    <s v="Фаниполь"/>
    <s v="Фрукты"/>
    <s v="Яблоки"/>
    <n v="1230"/>
    <n v="90"/>
    <n v="110.7"/>
    <x v="11"/>
  </r>
  <r>
    <x v="549"/>
    <m/>
    <m/>
    <m/>
    <m/>
    <m/>
    <m/>
    <n v="925.07500000000005"/>
    <x v="11"/>
  </r>
  <r>
    <x v="550"/>
    <s v="Виталюр"/>
    <s v="Барановичи"/>
    <s v="Зелень"/>
    <s v="Петрушка"/>
    <n v="640"/>
    <n v="66"/>
    <n v="42.24"/>
    <x v="11"/>
  </r>
  <r>
    <x v="550"/>
    <s v="Копеечка"/>
    <s v="Борисов"/>
    <s v="Зелень"/>
    <s v="Лук зеленый"/>
    <n v="705"/>
    <n v="17"/>
    <n v="11.984999999999999"/>
    <x v="11"/>
  </r>
  <r>
    <x v="550"/>
    <s v="Евроопт"/>
    <s v="Борисов"/>
    <s v="Овощи"/>
    <s v="Морковь"/>
    <n v="715"/>
    <n v="8"/>
    <n v="5.72"/>
    <x v="11"/>
  </r>
  <r>
    <x v="550"/>
    <s v="Копеечка"/>
    <s v="Столбцы"/>
    <s v="Овощи"/>
    <s v="Морковь"/>
    <n v="715"/>
    <n v="63"/>
    <n v="45.045000000000002"/>
    <x v="11"/>
  </r>
  <r>
    <x v="550"/>
    <s v="Виталюр"/>
    <s v="Фаниполь"/>
    <s v="Зелень"/>
    <s v="Салат айсберг"/>
    <n v="1380"/>
    <n v="22"/>
    <n v="30.36"/>
    <x v="11"/>
  </r>
  <r>
    <x v="550"/>
    <s v="Виталюр"/>
    <s v="Фаниполь"/>
    <s v="Ягоды"/>
    <s v="Клубника"/>
    <n v="2460"/>
    <n v="13"/>
    <n v="31.98"/>
    <x v="11"/>
  </r>
  <r>
    <x v="550"/>
    <s v="Евроопт"/>
    <s v="Фаниполь"/>
    <s v="Ягоды"/>
    <s v="Клубника"/>
    <n v="2460"/>
    <n v="22"/>
    <n v="54.12"/>
    <x v="11"/>
  </r>
  <r>
    <x v="550"/>
    <s v="Евроопт"/>
    <s v="Фаниполь"/>
    <s v="Ягоды"/>
    <s v="Черешня"/>
    <n v="1760"/>
    <n v="9"/>
    <n v="15.84"/>
    <x v="11"/>
  </r>
  <r>
    <x v="551"/>
    <m/>
    <m/>
    <m/>
    <m/>
    <m/>
    <m/>
    <n v="237.29000000000002"/>
    <x v="11"/>
  </r>
  <r>
    <x v="552"/>
    <s v="Виталюр"/>
    <s v="Барановичи"/>
    <s v="Ягоды"/>
    <s v="Клубника"/>
    <n v="2460"/>
    <n v="12"/>
    <n v="29.52"/>
    <x v="11"/>
  </r>
  <r>
    <x v="552"/>
    <s v="Соседи"/>
    <s v="Борисов"/>
    <s v="Зелень"/>
    <s v="Лук зеленый"/>
    <n v="705"/>
    <n v="73"/>
    <n v="51.465000000000003"/>
    <x v="11"/>
  </r>
  <r>
    <x v="552"/>
    <s v="Копеечка"/>
    <s v="Борисов"/>
    <s v="Овощи"/>
    <s v="Капуста"/>
    <n v="460"/>
    <n v="87"/>
    <n v="40.020000000000003"/>
    <x v="11"/>
  </r>
  <r>
    <x v="552"/>
    <s v="Копеечка"/>
    <s v="Борисов"/>
    <s v="Ягоды"/>
    <s v="Малина"/>
    <n v="2970"/>
    <n v="53"/>
    <n v="157.41"/>
    <x v="11"/>
  </r>
  <r>
    <x v="552"/>
    <s v="Копеечка"/>
    <s v="Жодино"/>
    <s v="Овощи"/>
    <s v="Капуста"/>
    <n v="460"/>
    <n v="80"/>
    <n v="36.799999999999997"/>
    <x v="11"/>
  </r>
  <r>
    <x v="552"/>
    <s v="Копеечка"/>
    <s v="Жодино"/>
    <s v="Фрукты"/>
    <s v="Апельсины"/>
    <n v="2540"/>
    <n v="44"/>
    <n v="111.76"/>
    <x v="11"/>
  </r>
  <r>
    <x v="552"/>
    <s v="Евроопт"/>
    <s v="Жодино"/>
    <s v="Ягоды"/>
    <s v="Черешня"/>
    <n v="1760"/>
    <n v="82"/>
    <n v="144.32"/>
    <x v="11"/>
  </r>
  <r>
    <x v="552"/>
    <s v="Евроопт"/>
    <s v="Столбцы"/>
    <s v="Ягоды"/>
    <s v="Черешня"/>
    <n v="1760"/>
    <n v="55"/>
    <n v="96.8"/>
    <x v="11"/>
  </r>
  <r>
    <x v="552"/>
    <s v="Евроопт"/>
    <s v="Фаниполь"/>
    <s v="Зелень"/>
    <s v="Салат римский"/>
    <n v="540"/>
    <n v="83"/>
    <n v="44.82"/>
    <x v="11"/>
  </r>
  <r>
    <x v="552"/>
    <s v="Копеечка"/>
    <s v="Фаниполь"/>
    <s v="Фрукты"/>
    <s v="Яблоки"/>
    <n v="1230"/>
    <n v="46"/>
    <n v="56.58"/>
    <x v="11"/>
  </r>
  <r>
    <x v="552"/>
    <s v="Виталюр"/>
    <s v="Фаниполь"/>
    <s v="Фрукты"/>
    <s v="Груши"/>
    <n v="1420"/>
    <n v="58"/>
    <n v="82.36"/>
    <x v="11"/>
  </r>
  <r>
    <x v="552"/>
    <s v="Евроопт"/>
    <s v="Фаниполь"/>
    <s v="Ягоды"/>
    <s v="Черешня"/>
    <n v="1760"/>
    <n v="75"/>
    <n v="132"/>
    <x v="11"/>
  </r>
  <r>
    <x v="553"/>
    <m/>
    <m/>
    <m/>
    <m/>
    <m/>
    <m/>
    <n v="983.85500000000002"/>
    <x v="11"/>
  </r>
  <r>
    <x v="554"/>
    <s v="Копеечка"/>
    <s v="Барановичи"/>
    <s v="Зелень"/>
    <s v="Салат римский"/>
    <n v="540"/>
    <n v="85"/>
    <n v="45.9"/>
    <x v="11"/>
  </r>
  <r>
    <x v="554"/>
    <s v="Виталюр"/>
    <s v="Барановичи"/>
    <s v="Овощи"/>
    <s v="Капуста"/>
    <n v="460"/>
    <n v="75"/>
    <n v="34.5"/>
    <x v="11"/>
  </r>
  <r>
    <x v="554"/>
    <s v="Соседи"/>
    <s v="Барановичи"/>
    <s v="Фрукты"/>
    <s v="Сливы"/>
    <n v="930"/>
    <n v="36"/>
    <n v="33.479999999999997"/>
    <x v="11"/>
  </r>
  <r>
    <x v="554"/>
    <s v="Виталюр"/>
    <s v="Барановичи"/>
    <s v="Фрукты"/>
    <s v="Яблоки"/>
    <n v="1230"/>
    <n v="78"/>
    <n v="95.94"/>
    <x v="11"/>
  </r>
  <r>
    <x v="554"/>
    <s v="Евроопт"/>
    <s v="Борисов"/>
    <s v="Зелень"/>
    <s v="Укроп"/>
    <n v="650"/>
    <n v="80"/>
    <n v="52"/>
    <x v="11"/>
  </r>
  <r>
    <x v="554"/>
    <s v="Виталюр"/>
    <s v="Жодино"/>
    <s v="Зелень"/>
    <s v="Салат айсберг"/>
    <n v="1380"/>
    <n v="15"/>
    <n v="20.7"/>
    <x v="11"/>
  </r>
  <r>
    <x v="554"/>
    <s v="Виталюр"/>
    <s v="Жодино"/>
    <s v="Овощи"/>
    <s v="Баклажаны"/>
    <n v="890"/>
    <n v="66"/>
    <n v="58.74"/>
    <x v="11"/>
  </r>
  <r>
    <x v="554"/>
    <s v="Копеечка"/>
    <s v="Жодино"/>
    <s v="Фрукты"/>
    <s v="Сливы"/>
    <n v="930"/>
    <n v="89"/>
    <n v="82.77"/>
    <x v="11"/>
  </r>
  <r>
    <x v="554"/>
    <s v="Евроопт"/>
    <s v="Жодино"/>
    <s v="Ягоды"/>
    <s v="Малина"/>
    <n v="2970"/>
    <n v="39"/>
    <n v="115.83"/>
    <x v="11"/>
  </r>
  <r>
    <x v="554"/>
    <s v="Копеечка"/>
    <s v="Минск"/>
    <s v="Зелень"/>
    <s v="Салат римский"/>
    <n v="540"/>
    <n v="8"/>
    <n v="4.32"/>
    <x v="11"/>
  </r>
  <r>
    <x v="554"/>
    <s v="Копеечка"/>
    <s v="Фаниполь"/>
    <s v="Ягоды"/>
    <s v="Клубника"/>
    <n v="2460"/>
    <n v="32"/>
    <n v="78.72"/>
    <x v="11"/>
  </r>
  <r>
    <x v="555"/>
    <m/>
    <m/>
    <m/>
    <m/>
    <m/>
    <m/>
    <n v="622.90000000000009"/>
    <x v="11"/>
  </r>
  <r>
    <x v="556"/>
    <s v="Евроопт"/>
    <s v="Барановичи"/>
    <s v="Зелень"/>
    <s v="Салат айсберг"/>
    <n v="1380"/>
    <n v="6"/>
    <n v="8.2799999999999994"/>
    <x v="11"/>
  </r>
  <r>
    <x v="556"/>
    <s v="Виталюр"/>
    <s v="Барановичи"/>
    <s v="Фрукты"/>
    <s v="Груши"/>
    <n v="1420"/>
    <n v="75"/>
    <n v="106.5"/>
    <x v="11"/>
  </r>
  <r>
    <x v="556"/>
    <s v="Евроопт"/>
    <s v="Барановичи"/>
    <s v="Ягоды"/>
    <s v="Смородина черная"/>
    <n v="1505"/>
    <n v="88"/>
    <n v="132.44"/>
    <x v="11"/>
  </r>
  <r>
    <x v="556"/>
    <s v="Евроопт"/>
    <s v="Борисов"/>
    <s v="Зелень"/>
    <s v="Лук зеленый"/>
    <n v="705"/>
    <n v="5"/>
    <n v="3.5249999999999999"/>
    <x v="11"/>
  </r>
  <r>
    <x v="556"/>
    <s v="Копеечка"/>
    <s v="Борисов"/>
    <s v="Овощи"/>
    <s v="Кабачки"/>
    <n v="325"/>
    <n v="40"/>
    <n v="13"/>
    <x v="11"/>
  </r>
  <r>
    <x v="556"/>
    <s v="Евроопт"/>
    <s v="Жодино"/>
    <s v="Фрукты"/>
    <s v="Бананы"/>
    <n v="2400"/>
    <n v="22"/>
    <n v="52.8"/>
    <x v="11"/>
  </r>
  <r>
    <x v="556"/>
    <s v="Виталюр"/>
    <s v="Минск"/>
    <s v="Зелень"/>
    <s v="Кинза"/>
    <n v="650"/>
    <n v="10"/>
    <n v="6.5"/>
    <x v="11"/>
  </r>
  <r>
    <x v="556"/>
    <s v="Виталюр"/>
    <s v="Минск"/>
    <s v="Фрукты"/>
    <s v="Яблоки"/>
    <n v="1230"/>
    <n v="34"/>
    <n v="41.82"/>
    <x v="11"/>
  </r>
  <r>
    <x v="557"/>
    <m/>
    <m/>
    <m/>
    <m/>
    <m/>
    <m/>
    <n v="364.86500000000001"/>
    <x v="11"/>
  </r>
  <r>
    <x v="558"/>
    <s v="Копеечка"/>
    <s v="Барановичи"/>
    <s v="Фрукты"/>
    <s v="Бананы"/>
    <n v="2400"/>
    <n v="6"/>
    <n v="14.4"/>
    <x v="11"/>
  </r>
  <r>
    <x v="558"/>
    <s v="Евроопт"/>
    <s v="Барановичи"/>
    <s v="Фрукты"/>
    <s v="Сливы"/>
    <n v="930"/>
    <n v="54"/>
    <n v="50.22"/>
    <x v="11"/>
  </r>
  <r>
    <x v="558"/>
    <s v="Соседи"/>
    <s v="Борисов"/>
    <s v="Овощи"/>
    <s v="Морковь"/>
    <n v="715"/>
    <n v="91"/>
    <n v="65.064999999999998"/>
    <x v="11"/>
  </r>
  <r>
    <x v="558"/>
    <s v="Евроопт"/>
    <s v="Борисов"/>
    <s v="Овощи"/>
    <s v="Морковь"/>
    <n v="715"/>
    <n v="90"/>
    <n v="64.349999999999994"/>
    <x v="11"/>
  </r>
  <r>
    <x v="558"/>
    <s v="Виталюр"/>
    <s v="Борисов"/>
    <s v="Фрукты"/>
    <s v="Сливы"/>
    <n v="930"/>
    <n v="81"/>
    <n v="75.33"/>
    <x v="11"/>
  </r>
  <r>
    <x v="558"/>
    <s v="Евроопт"/>
    <s v="Минск"/>
    <s v="Зелень"/>
    <s v="Укроп"/>
    <n v="650"/>
    <n v="93"/>
    <n v="60.45"/>
    <x v="11"/>
  </r>
  <r>
    <x v="558"/>
    <s v="Копеечка"/>
    <s v="Минск"/>
    <s v="Овощи"/>
    <s v="Баклажаны"/>
    <n v="890"/>
    <n v="51"/>
    <n v="45.39"/>
    <x v="11"/>
  </r>
  <r>
    <x v="558"/>
    <s v="Копеечка"/>
    <s v="Минск"/>
    <s v="Фрукты"/>
    <s v="Сливы"/>
    <n v="930"/>
    <n v="57"/>
    <n v="53.01"/>
    <x v="11"/>
  </r>
  <r>
    <x v="558"/>
    <s v="Евроопт"/>
    <s v="Минск"/>
    <s v="Ягоды"/>
    <s v="Черешня"/>
    <n v="1760"/>
    <n v="26"/>
    <n v="45.76"/>
    <x v="11"/>
  </r>
  <r>
    <x v="558"/>
    <s v="Евроопт"/>
    <s v="Минск"/>
    <s v="Ягоды"/>
    <s v="Смородина черная"/>
    <n v="1505"/>
    <n v="28"/>
    <n v="42.14"/>
    <x v="11"/>
  </r>
  <r>
    <x v="558"/>
    <s v="Евроопт"/>
    <s v="Столбцы"/>
    <s v="Зелень"/>
    <s v="Салат римский"/>
    <n v="540"/>
    <n v="42"/>
    <n v="22.68"/>
    <x v="11"/>
  </r>
  <r>
    <x v="558"/>
    <s v="Виталюр"/>
    <s v="Фаниполь"/>
    <s v="Зелень"/>
    <s v="Кинза"/>
    <n v="650"/>
    <n v="59"/>
    <n v="38.35"/>
    <x v="11"/>
  </r>
  <r>
    <x v="558"/>
    <s v="Копеечка"/>
    <s v="Фаниполь"/>
    <s v="Овощи"/>
    <s v="Капуста"/>
    <n v="460"/>
    <n v="62"/>
    <n v="28.52"/>
    <x v="11"/>
  </r>
  <r>
    <x v="558"/>
    <s v="Виталюр"/>
    <s v="Фаниполь"/>
    <s v="Овощи"/>
    <s v="Кабачки"/>
    <n v="325"/>
    <n v="37"/>
    <n v="12.025"/>
    <x v="11"/>
  </r>
  <r>
    <x v="558"/>
    <s v="Копеечка"/>
    <s v="Фаниполь"/>
    <s v="Фрукты"/>
    <s v="Груши"/>
    <n v="1420"/>
    <n v="20"/>
    <n v="28.4"/>
    <x v="11"/>
  </r>
  <r>
    <x v="559"/>
    <m/>
    <m/>
    <m/>
    <m/>
    <m/>
    <m/>
    <n v="646.08999999999992"/>
    <x v="11"/>
  </r>
  <r>
    <x v="560"/>
    <s v="Копеечка"/>
    <s v="Барановичи"/>
    <s v="Зелень"/>
    <s v="Салат римский"/>
    <n v="540"/>
    <n v="62"/>
    <n v="33.479999999999997"/>
    <x v="11"/>
  </r>
  <r>
    <x v="560"/>
    <s v="Виталюр"/>
    <s v="Борисов"/>
    <s v="Зелень"/>
    <s v="Салат римский"/>
    <n v="540"/>
    <n v="11"/>
    <n v="5.94"/>
    <x v="11"/>
  </r>
  <r>
    <x v="560"/>
    <s v="Копеечка"/>
    <s v="Борисов"/>
    <s v="Фрукты"/>
    <s v="Абрикосы"/>
    <n v="1320"/>
    <n v="30"/>
    <n v="39.6"/>
    <x v="11"/>
  </r>
  <r>
    <x v="560"/>
    <s v="Копеечка"/>
    <s v="Минск"/>
    <s v="Овощи"/>
    <s v="Кабачки"/>
    <n v="325"/>
    <n v="93"/>
    <n v="30.225000000000001"/>
    <x v="11"/>
  </r>
  <r>
    <x v="560"/>
    <s v="Копеечка"/>
    <s v="Минск"/>
    <s v="Овощи"/>
    <s v="Баклажаны"/>
    <n v="890"/>
    <n v="24"/>
    <n v="21.36"/>
    <x v="11"/>
  </r>
  <r>
    <x v="560"/>
    <s v="Виталюр"/>
    <s v="Минск"/>
    <s v="Ягоды"/>
    <s v="Клубника"/>
    <n v="2460"/>
    <n v="90"/>
    <n v="221.4"/>
    <x v="11"/>
  </r>
  <r>
    <x v="560"/>
    <s v="Евроопт"/>
    <s v="Минск"/>
    <s v="Ягоды"/>
    <s v="Брусника"/>
    <n v="1670"/>
    <n v="88"/>
    <n v="146.96"/>
    <x v="11"/>
  </r>
  <r>
    <x v="560"/>
    <s v="Копеечка"/>
    <s v="Минск"/>
    <s v="Ягоды"/>
    <s v="Клубника"/>
    <n v="2460"/>
    <n v="88"/>
    <n v="216.48"/>
    <x v="11"/>
  </r>
  <r>
    <x v="560"/>
    <s v="Соседи"/>
    <s v="Столбцы"/>
    <s v="Овощи"/>
    <s v="Морковь"/>
    <n v="715"/>
    <n v="46"/>
    <n v="32.89"/>
    <x v="11"/>
  </r>
  <r>
    <x v="560"/>
    <s v="Копеечка"/>
    <s v="Фаниполь"/>
    <s v="Фрукты"/>
    <s v="Бананы"/>
    <n v="2400"/>
    <n v="11"/>
    <n v="26.4"/>
    <x v="11"/>
  </r>
  <r>
    <x v="560"/>
    <s v="Копеечка"/>
    <s v="Фаниполь"/>
    <s v="Фрукты"/>
    <s v="Сливы"/>
    <n v="930"/>
    <n v="86"/>
    <n v="79.98"/>
    <x v="11"/>
  </r>
  <r>
    <x v="560"/>
    <s v="Соседи"/>
    <s v="Фаниполь"/>
    <s v="Ягоды"/>
    <s v="Голубика"/>
    <n v="3205"/>
    <n v="28"/>
    <n v="89.74"/>
    <x v="11"/>
  </r>
  <r>
    <x v="560"/>
    <s v="Евроопт"/>
    <s v="Фаниполь"/>
    <s v="Ягоды"/>
    <s v="Брусника"/>
    <n v="1670"/>
    <n v="9"/>
    <n v="15.03"/>
    <x v="11"/>
  </r>
  <r>
    <x v="561"/>
    <m/>
    <m/>
    <m/>
    <m/>
    <m/>
    <m/>
    <n v="959.48500000000001"/>
    <x v="11"/>
  </r>
  <r>
    <x v="562"/>
    <s v="Соседи"/>
    <s v="Барановичи"/>
    <s v="Овощи"/>
    <s v="Морковь"/>
    <n v="715"/>
    <n v="58"/>
    <n v="41.47"/>
    <x v="11"/>
  </r>
  <r>
    <x v="562"/>
    <s v="Виталюр"/>
    <s v="Барановичи"/>
    <s v="Фрукты"/>
    <s v="Груши"/>
    <n v="1420"/>
    <n v="58"/>
    <n v="82.36"/>
    <x v="11"/>
  </r>
  <r>
    <x v="562"/>
    <s v="Виталюр"/>
    <s v="Борисов"/>
    <s v="Фрукты"/>
    <s v="Сливы"/>
    <n v="930"/>
    <n v="50"/>
    <n v="46.5"/>
    <x v="11"/>
  </r>
  <r>
    <x v="562"/>
    <s v="Копеечка"/>
    <s v="Минск"/>
    <s v="Зелень"/>
    <s v="Салат римский"/>
    <n v="540"/>
    <n v="51"/>
    <n v="27.54"/>
    <x v="11"/>
  </r>
  <r>
    <x v="562"/>
    <s v="Виталюр"/>
    <s v="Столбцы"/>
    <s v="Зелень"/>
    <s v="Кинза"/>
    <n v="650"/>
    <n v="32"/>
    <n v="20.8"/>
    <x v="11"/>
  </r>
  <r>
    <x v="562"/>
    <s v="Виталюр"/>
    <s v="Столбцы"/>
    <s v="Фрукты"/>
    <s v="Груши"/>
    <n v="1420"/>
    <n v="73"/>
    <n v="103.66"/>
    <x v="11"/>
  </r>
  <r>
    <x v="562"/>
    <s v="Евроопт"/>
    <s v="Фаниполь"/>
    <s v="Зелень"/>
    <s v="Укроп"/>
    <n v="650"/>
    <n v="21"/>
    <n v="13.65"/>
    <x v="11"/>
  </r>
  <r>
    <x v="562"/>
    <s v="Копеечка"/>
    <s v="Фаниполь"/>
    <s v="Зелень"/>
    <s v="Кинза"/>
    <n v="650"/>
    <n v="99"/>
    <n v="64.349999999999994"/>
    <x v="11"/>
  </r>
  <r>
    <x v="563"/>
    <m/>
    <m/>
    <m/>
    <m/>
    <m/>
    <m/>
    <n v="400.32999999999993"/>
    <x v="11"/>
  </r>
  <r>
    <x v="564"/>
    <s v="Соседи"/>
    <s v="Барановичи"/>
    <s v="Ягоды"/>
    <s v="Смородина черная"/>
    <n v="1505"/>
    <n v="99"/>
    <n v="148.995"/>
    <x v="11"/>
  </r>
  <r>
    <x v="564"/>
    <s v="Копеечка"/>
    <s v="Борисов"/>
    <s v="Овощи"/>
    <s v="Картофель"/>
    <n v="690"/>
    <n v="47"/>
    <n v="32.43"/>
    <x v="11"/>
  </r>
  <r>
    <x v="564"/>
    <s v="Евроопт"/>
    <s v="Минск"/>
    <s v="Зелень"/>
    <s v="Кинза"/>
    <n v="650"/>
    <n v="13"/>
    <n v="8.4499999999999993"/>
    <x v="11"/>
  </r>
  <r>
    <x v="564"/>
    <s v="Виталюр"/>
    <s v="Минск"/>
    <s v="Ягоды"/>
    <s v="Клубника"/>
    <n v="2460"/>
    <n v="45"/>
    <n v="110.7"/>
    <x v="11"/>
  </r>
  <r>
    <x v="564"/>
    <s v="Евроопт"/>
    <s v="Столбцы"/>
    <s v="Овощи"/>
    <s v="Кабачки"/>
    <n v="325"/>
    <n v="56"/>
    <n v="18.2"/>
    <x v="11"/>
  </r>
  <r>
    <x v="564"/>
    <s v="Виталюр"/>
    <s v="Столбцы"/>
    <s v="Овощи"/>
    <s v="Свекла"/>
    <n v="450"/>
    <n v="33"/>
    <n v="14.85"/>
    <x v="11"/>
  </r>
  <r>
    <x v="564"/>
    <s v="Соседи"/>
    <s v="Столбцы"/>
    <s v="Фрукты"/>
    <s v="Апельсины"/>
    <n v="2540"/>
    <n v="77"/>
    <n v="195.58"/>
    <x v="11"/>
  </r>
  <r>
    <x v="564"/>
    <s v="Копеечка"/>
    <s v="Столбцы"/>
    <s v="Фрукты"/>
    <s v="Яблоки"/>
    <n v="1230"/>
    <n v="60"/>
    <n v="73.8"/>
    <x v="11"/>
  </r>
  <r>
    <x v="564"/>
    <s v="Соседи"/>
    <s v="Столбцы"/>
    <s v="Ягоды"/>
    <s v="Клубника"/>
    <n v="2460"/>
    <n v="62"/>
    <n v="152.52000000000001"/>
    <x v="11"/>
  </r>
  <r>
    <x v="564"/>
    <s v="Евроопт"/>
    <s v="Фаниполь"/>
    <s v="Зелень"/>
    <s v="Салат римский"/>
    <n v="540"/>
    <n v="19"/>
    <n v="10.26"/>
    <x v="11"/>
  </r>
  <r>
    <x v="565"/>
    <m/>
    <m/>
    <m/>
    <m/>
    <m/>
    <m/>
    <n v="765.78499999999997"/>
    <x v="11"/>
  </r>
  <r>
    <x v="566"/>
    <s v="Виталюр"/>
    <s v="Барановичи"/>
    <s v="Овощи"/>
    <s v="Капуста"/>
    <n v="460"/>
    <n v="79"/>
    <n v="36.340000000000003"/>
    <x v="11"/>
  </r>
  <r>
    <x v="566"/>
    <s v="Копеечка"/>
    <s v="Барановичи"/>
    <s v="Фрукты"/>
    <s v="Абрикосы"/>
    <n v="1320"/>
    <n v="7"/>
    <n v="9.24"/>
    <x v="11"/>
  </r>
  <r>
    <x v="566"/>
    <s v="Соседи"/>
    <s v="Барановичи"/>
    <s v="Ягоды"/>
    <s v="Черешня"/>
    <n v="1760"/>
    <n v="13"/>
    <n v="22.88"/>
    <x v="11"/>
  </r>
  <r>
    <x v="566"/>
    <s v="Копеечка"/>
    <s v="Борисов"/>
    <s v="Овощи"/>
    <s v="Картофель"/>
    <n v="690"/>
    <n v="57"/>
    <n v="39.33"/>
    <x v="11"/>
  </r>
  <r>
    <x v="566"/>
    <s v="Копеечка"/>
    <s v="Борисов"/>
    <s v="Фрукты"/>
    <s v="Груши"/>
    <n v="1420"/>
    <n v="11"/>
    <n v="15.62"/>
    <x v="11"/>
  </r>
  <r>
    <x v="566"/>
    <s v="Копеечка"/>
    <s v="Борисов"/>
    <s v="Ягоды"/>
    <s v="Малина"/>
    <n v="2970"/>
    <n v="54"/>
    <n v="160.38"/>
    <x v="11"/>
  </r>
  <r>
    <x v="566"/>
    <s v="Евроопт"/>
    <s v="Минск"/>
    <s v="Зелень"/>
    <s v="Салат айсберг"/>
    <n v="1380"/>
    <n v="74"/>
    <n v="102.12"/>
    <x v="11"/>
  </r>
  <r>
    <x v="566"/>
    <s v="Соседи"/>
    <s v="Столбцы"/>
    <s v="Овощи"/>
    <s v="Морковь"/>
    <n v="715"/>
    <n v="33"/>
    <n v="23.594999999999999"/>
    <x v="11"/>
  </r>
  <r>
    <x v="566"/>
    <s v="Соседи"/>
    <s v="Столбцы"/>
    <s v="Ягоды"/>
    <s v="Черешня"/>
    <n v="1760"/>
    <n v="90"/>
    <n v="158.4"/>
    <x v="11"/>
  </r>
  <r>
    <x v="566"/>
    <s v="Евроопт"/>
    <s v="Фаниполь"/>
    <s v="Фрукты"/>
    <s v="Абрикосы"/>
    <n v="1320"/>
    <n v="40"/>
    <n v="52.8"/>
    <x v="11"/>
  </r>
  <r>
    <x v="567"/>
    <m/>
    <m/>
    <m/>
    <m/>
    <m/>
    <m/>
    <n v="620.70499999999993"/>
    <x v="11"/>
  </r>
  <r>
    <x v="568"/>
    <s v="Виталюр"/>
    <s v="Барановичи"/>
    <s v="Ягоды"/>
    <s v="Голубика"/>
    <n v="3205"/>
    <n v="83"/>
    <n v="266.01499999999999"/>
    <x v="11"/>
  </r>
  <r>
    <x v="568"/>
    <s v="Виталюр"/>
    <s v="Борисов"/>
    <s v="Фрукты"/>
    <s v="Сливы"/>
    <n v="930"/>
    <n v="33"/>
    <n v="30.69"/>
    <x v="11"/>
  </r>
  <r>
    <x v="568"/>
    <s v="Евроопт"/>
    <s v="Борисов"/>
    <s v="Ягоды"/>
    <s v="Малина"/>
    <n v="2970"/>
    <n v="65"/>
    <n v="193.05"/>
    <x v="11"/>
  </r>
  <r>
    <x v="568"/>
    <s v="Виталюр"/>
    <s v="Столбцы"/>
    <s v="Овощи"/>
    <s v="Картофель"/>
    <n v="690"/>
    <n v="43"/>
    <n v="29.67"/>
    <x v="11"/>
  </r>
  <r>
    <x v="568"/>
    <s v="Соседи"/>
    <s v="Столбцы"/>
    <s v="Фрукты"/>
    <s v="Абрикосы"/>
    <n v="1320"/>
    <n v="58"/>
    <n v="76.56"/>
    <x v="11"/>
  </r>
  <r>
    <x v="568"/>
    <s v="Виталюр"/>
    <s v="Столбцы"/>
    <s v="Ягоды"/>
    <s v="Брусника"/>
    <n v="1670"/>
    <n v="25"/>
    <n v="41.75"/>
    <x v="11"/>
  </r>
  <r>
    <x v="568"/>
    <s v="Евроопт"/>
    <s v="Фаниполь"/>
    <s v="Фрукты"/>
    <s v="Абрикосы"/>
    <n v="1320"/>
    <n v="13"/>
    <n v="17.16"/>
    <x v="11"/>
  </r>
  <r>
    <x v="568"/>
    <s v="Евроопт"/>
    <s v="Фаниполь"/>
    <s v="Ягоды"/>
    <s v="Клубника"/>
    <n v="2460"/>
    <n v="81"/>
    <n v="199.26"/>
    <x v="11"/>
  </r>
  <r>
    <x v="569"/>
    <m/>
    <m/>
    <m/>
    <m/>
    <m/>
    <m/>
    <n v="854.15499999999986"/>
    <x v="11"/>
  </r>
  <r>
    <x v="570"/>
    <s v="Виталюр"/>
    <s v="Барановичи"/>
    <s v="Ягоды"/>
    <s v="Черешня"/>
    <n v="1760"/>
    <n v="28"/>
    <n v="49.28"/>
    <x v="11"/>
  </r>
  <r>
    <x v="570"/>
    <s v="Копеечка"/>
    <s v="Борисов"/>
    <s v="Фрукты"/>
    <s v="Абрикосы"/>
    <n v="1320"/>
    <n v="63"/>
    <n v="83.16"/>
    <x v="11"/>
  </r>
  <r>
    <x v="570"/>
    <s v="Виталюр"/>
    <s v="Жодино"/>
    <s v="Зелень"/>
    <s v="Петрушка"/>
    <n v="640"/>
    <n v="52"/>
    <n v="33.28"/>
    <x v="11"/>
  </r>
  <r>
    <x v="570"/>
    <s v="Соседи"/>
    <s v="Столбцы"/>
    <s v="Зелень"/>
    <s v="Салат римский"/>
    <n v="540"/>
    <n v="56"/>
    <n v="30.24"/>
    <x v="11"/>
  </r>
  <r>
    <x v="570"/>
    <s v="Соседи"/>
    <s v="Столбцы"/>
    <s v="Фрукты"/>
    <s v="Сливы"/>
    <n v="930"/>
    <n v="92"/>
    <n v="85.56"/>
    <x v="11"/>
  </r>
  <r>
    <x v="570"/>
    <s v="Копеечка"/>
    <s v="Фаниполь"/>
    <s v="Зелень"/>
    <s v="Кинза"/>
    <n v="650"/>
    <n v="54"/>
    <n v="35.1"/>
    <x v="11"/>
  </r>
  <r>
    <x v="570"/>
    <s v="Копеечка"/>
    <s v="Фаниполь"/>
    <s v="Зелень"/>
    <s v="Петрушка"/>
    <n v="640"/>
    <n v="58"/>
    <n v="37.119999999999997"/>
    <x v="11"/>
  </r>
  <r>
    <x v="570"/>
    <s v="Копеечка"/>
    <s v="Фаниполь"/>
    <s v="Овощи"/>
    <s v="Свекла"/>
    <n v="450"/>
    <n v="17"/>
    <n v="7.65"/>
    <x v="11"/>
  </r>
  <r>
    <x v="570"/>
    <s v="Виталюр"/>
    <s v="Фаниполь"/>
    <s v="Ягоды"/>
    <s v="Клубника"/>
    <n v="2460"/>
    <n v="57"/>
    <n v="140.22"/>
    <x v="11"/>
  </r>
  <r>
    <x v="571"/>
    <m/>
    <m/>
    <m/>
    <m/>
    <m/>
    <m/>
    <n v="501.61"/>
    <x v="11"/>
  </r>
  <r>
    <x v="572"/>
    <s v="Виталюр"/>
    <s v="Барановичи"/>
    <s v="Фрукты"/>
    <s v="Груши"/>
    <n v="1420"/>
    <n v="67"/>
    <n v="95.14"/>
    <x v="11"/>
  </r>
  <r>
    <x v="572"/>
    <s v="Соседи"/>
    <s v="Борисов"/>
    <s v="Зелень"/>
    <s v="Укроп"/>
    <n v="650"/>
    <n v="12"/>
    <n v="7.8"/>
    <x v="11"/>
  </r>
  <r>
    <x v="572"/>
    <s v="Виталюр"/>
    <s v="Борисов"/>
    <s v="Ягоды"/>
    <s v="Смородина черная"/>
    <n v="1505"/>
    <n v="79"/>
    <n v="118.895"/>
    <x v="11"/>
  </r>
  <r>
    <x v="572"/>
    <s v="Копеечка"/>
    <s v="Борисов"/>
    <s v="Ягоды"/>
    <s v="Малина"/>
    <n v="2970"/>
    <n v="28"/>
    <n v="83.16"/>
    <x v="11"/>
  </r>
  <r>
    <x v="572"/>
    <s v="Соседи"/>
    <s v="Жодино"/>
    <s v="Овощи"/>
    <s v="Кабачки"/>
    <n v="325"/>
    <n v="44"/>
    <n v="14.3"/>
    <x v="11"/>
  </r>
  <r>
    <x v="572"/>
    <s v="Копеечка"/>
    <s v="Жодино"/>
    <s v="Овощи"/>
    <s v="Кабачки"/>
    <n v="325"/>
    <n v="60"/>
    <n v="19.5"/>
    <x v="11"/>
  </r>
  <r>
    <x v="572"/>
    <s v="Виталюр"/>
    <s v="Жодино"/>
    <s v="Фрукты"/>
    <s v="Груши"/>
    <n v="1420"/>
    <n v="72"/>
    <n v="102.24"/>
    <x v="11"/>
  </r>
  <r>
    <x v="572"/>
    <s v="Копеечка"/>
    <s v="Минск"/>
    <s v="Ягоды"/>
    <s v="Клубника"/>
    <n v="2460"/>
    <n v="83"/>
    <n v="204.18"/>
    <x v="11"/>
  </r>
  <r>
    <x v="572"/>
    <s v="Соседи"/>
    <s v="Столбцы"/>
    <s v="Зелень"/>
    <s v="Укроп"/>
    <n v="650"/>
    <n v="47"/>
    <n v="30.55"/>
    <x v="11"/>
  </r>
  <r>
    <x v="573"/>
    <m/>
    <m/>
    <m/>
    <m/>
    <m/>
    <m/>
    <n v="675.76499999999999"/>
    <x v="11"/>
  </r>
  <r>
    <x v="574"/>
    <s v="Евроопт"/>
    <s v="Барановичи"/>
    <s v="Зелень"/>
    <s v="Укроп"/>
    <n v="650"/>
    <n v="41"/>
    <n v="26.65"/>
    <x v="11"/>
  </r>
  <r>
    <x v="574"/>
    <s v="Копеечка"/>
    <s v="Борисов"/>
    <s v="Овощи"/>
    <s v="Картофель"/>
    <n v="690"/>
    <n v="23"/>
    <n v="15.87"/>
    <x v="11"/>
  </r>
  <r>
    <x v="574"/>
    <s v="Виталюр"/>
    <s v="Борисов"/>
    <s v="Фрукты"/>
    <s v="Яблоки"/>
    <n v="1230"/>
    <n v="56"/>
    <n v="68.88"/>
    <x v="11"/>
  </r>
  <r>
    <x v="574"/>
    <s v="Евроопт"/>
    <s v="Борисов"/>
    <s v="Ягоды"/>
    <s v="Малина"/>
    <n v="2970"/>
    <n v="8"/>
    <n v="23.76"/>
    <x v="11"/>
  </r>
  <r>
    <x v="574"/>
    <s v="Евроопт"/>
    <s v="Минск"/>
    <s v="Овощи"/>
    <s v="Капуста"/>
    <n v="460"/>
    <n v="90"/>
    <n v="41.4"/>
    <x v="11"/>
  </r>
  <r>
    <x v="574"/>
    <s v="Евроопт"/>
    <s v="Минск"/>
    <s v="Ягоды"/>
    <s v="Малина"/>
    <n v="2970"/>
    <n v="98"/>
    <n v="291.06"/>
    <x v="11"/>
  </r>
  <r>
    <x v="574"/>
    <s v="Копеечка"/>
    <s v="Фаниполь"/>
    <s v="Овощи"/>
    <s v="Кабачки"/>
    <n v="325"/>
    <n v="50"/>
    <n v="16.25"/>
    <x v="11"/>
  </r>
  <r>
    <x v="574"/>
    <s v="Копеечка"/>
    <s v="Фаниполь"/>
    <s v="Ягоды"/>
    <s v="Черешня"/>
    <n v="1760"/>
    <n v="57"/>
    <n v="100.32"/>
    <x v="11"/>
  </r>
  <r>
    <x v="575"/>
    <m/>
    <m/>
    <m/>
    <m/>
    <m/>
    <m/>
    <n v="584.19000000000005"/>
    <x v="11"/>
  </r>
  <r>
    <x v="576"/>
    <s v="Виталюр"/>
    <s v="Барановичи"/>
    <s v="Зелень"/>
    <s v="Кинза"/>
    <n v="650"/>
    <n v="70"/>
    <n v="45.5"/>
    <x v="11"/>
  </r>
  <r>
    <x v="576"/>
    <s v="Евроопт"/>
    <s v="Барановичи"/>
    <s v="Фрукты"/>
    <s v="Сливы"/>
    <n v="930"/>
    <n v="11"/>
    <n v="10.23"/>
    <x v="11"/>
  </r>
  <r>
    <x v="576"/>
    <s v="Соседи"/>
    <s v="Жодино"/>
    <s v="Овощи"/>
    <s v="Морковь"/>
    <n v="715"/>
    <n v="93"/>
    <n v="66.495000000000005"/>
    <x v="11"/>
  </r>
  <r>
    <x v="576"/>
    <s v="Виталюр"/>
    <s v="Минск"/>
    <s v="Ягоды"/>
    <s v="Голубика"/>
    <n v="3205"/>
    <n v="27"/>
    <n v="86.534999999999997"/>
    <x v="11"/>
  </r>
  <r>
    <x v="576"/>
    <s v="Виталюр"/>
    <s v="Фаниполь"/>
    <s v="Ягоды"/>
    <s v="Черешня"/>
    <n v="1760"/>
    <n v="62"/>
    <n v="109.12"/>
    <x v="11"/>
  </r>
  <r>
    <x v="577"/>
    <m/>
    <m/>
    <m/>
    <m/>
    <m/>
    <m/>
    <n v="317.88"/>
    <x v="11"/>
  </r>
  <r>
    <x v="578"/>
    <s v="Копеечка"/>
    <s v="Борисов"/>
    <s v="Ягоды"/>
    <s v="Малина"/>
    <n v="2970"/>
    <n v="77"/>
    <n v="228.69"/>
    <x v="11"/>
  </r>
  <r>
    <x v="578"/>
    <s v="Копеечка"/>
    <s v="Жодино"/>
    <s v="Зелень"/>
    <s v="Петрушка"/>
    <n v="640"/>
    <n v="43"/>
    <n v="27.52"/>
    <x v="11"/>
  </r>
  <r>
    <x v="578"/>
    <s v="Копеечка"/>
    <s v="Столбцы"/>
    <s v="Ягоды"/>
    <s v="Малина"/>
    <n v="2970"/>
    <n v="37"/>
    <n v="109.89"/>
    <x v="11"/>
  </r>
  <r>
    <x v="579"/>
    <m/>
    <m/>
    <m/>
    <m/>
    <m/>
    <m/>
    <n v="366.09999999999997"/>
    <x v="11"/>
  </r>
  <r>
    <x v="580"/>
    <s v="Евроопт"/>
    <s v="Барановичи"/>
    <s v="Овощи"/>
    <s v="Картофель"/>
    <n v="690"/>
    <n v="52"/>
    <n v="35.880000000000003"/>
    <x v="11"/>
  </r>
  <r>
    <x v="580"/>
    <s v="Евроопт"/>
    <s v="Борисов"/>
    <s v="Зелень"/>
    <s v="Салат римский"/>
    <n v="540"/>
    <n v="77"/>
    <n v="41.58"/>
    <x v="11"/>
  </r>
  <r>
    <x v="580"/>
    <s v="Копеечка"/>
    <s v="Борисов"/>
    <s v="Овощи"/>
    <s v="Капуста"/>
    <n v="460"/>
    <n v="80"/>
    <n v="36.799999999999997"/>
    <x v="11"/>
  </r>
  <r>
    <x v="580"/>
    <s v="Евроопт"/>
    <s v="Борисов"/>
    <s v="Овощи"/>
    <s v="Картофель"/>
    <n v="690"/>
    <n v="86"/>
    <n v="59.34"/>
    <x v="11"/>
  </r>
  <r>
    <x v="580"/>
    <s v="Виталюр"/>
    <s v="Жодино"/>
    <s v="Ягоды"/>
    <s v="Черешня"/>
    <n v="1760"/>
    <n v="59"/>
    <n v="103.84"/>
    <x v="11"/>
  </r>
  <r>
    <x v="580"/>
    <s v="Копеечка"/>
    <s v="Минск"/>
    <s v="Фрукты"/>
    <s v="Сливы"/>
    <n v="930"/>
    <n v="97"/>
    <n v="90.21"/>
    <x v="11"/>
  </r>
  <r>
    <x v="580"/>
    <s v="Виталюр"/>
    <s v="Минск"/>
    <s v="Ягоды"/>
    <s v="Малина"/>
    <n v="2970"/>
    <n v="91"/>
    <n v="270.27"/>
    <x v="11"/>
  </r>
  <r>
    <x v="580"/>
    <s v="Евроопт"/>
    <s v="Фаниполь"/>
    <s v="Фрукты"/>
    <s v="Абрикосы"/>
    <n v="1320"/>
    <n v="33"/>
    <n v="43.56"/>
    <x v="11"/>
  </r>
  <r>
    <x v="581"/>
    <m/>
    <m/>
    <m/>
    <m/>
    <m/>
    <m/>
    <n v="681.48"/>
    <x v="11"/>
  </r>
  <r>
    <x v="582"/>
    <s v="Соседи"/>
    <s v="Барановичи"/>
    <s v="Зелень"/>
    <s v="Салат айсберг"/>
    <n v="1380"/>
    <n v="67"/>
    <n v="92.46"/>
    <x v="11"/>
  </r>
  <r>
    <x v="582"/>
    <s v="Виталюр"/>
    <s v="Барановичи"/>
    <s v="Ягоды"/>
    <s v="Смородина черная"/>
    <n v="1505"/>
    <n v="55"/>
    <n v="82.775000000000006"/>
    <x v="11"/>
  </r>
  <r>
    <x v="582"/>
    <s v="Копеечка"/>
    <s v="Минск"/>
    <s v="Фрукты"/>
    <s v="Бананы"/>
    <n v="2400"/>
    <n v="11"/>
    <n v="26.4"/>
    <x v="11"/>
  </r>
  <r>
    <x v="582"/>
    <s v="Виталюр"/>
    <s v="Минск"/>
    <s v="Ягоды"/>
    <s v="Смородина черная"/>
    <n v="1505"/>
    <n v="53"/>
    <n v="79.765000000000001"/>
    <x v="11"/>
  </r>
  <r>
    <x v="582"/>
    <s v="Виталюр"/>
    <s v="Минск"/>
    <s v="Ягоды"/>
    <s v="Клубника"/>
    <n v="2460"/>
    <n v="82"/>
    <n v="201.72"/>
    <x v="11"/>
  </r>
  <r>
    <x v="582"/>
    <s v="Соседи"/>
    <s v="Столбцы"/>
    <s v="Зелень"/>
    <s v="Лук зеленый"/>
    <n v="705"/>
    <n v="62"/>
    <n v="43.71"/>
    <x v="11"/>
  </r>
  <r>
    <x v="583"/>
    <m/>
    <m/>
    <m/>
    <m/>
    <m/>
    <m/>
    <n v="526.83000000000004"/>
    <x v="11"/>
  </r>
  <r>
    <x v="584"/>
    <s v="Соседи"/>
    <s v="Барановичи"/>
    <s v="Овощи"/>
    <s v="Картофель"/>
    <n v="690"/>
    <n v="82"/>
    <n v="56.58"/>
    <x v="11"/>
  </r>
  <r>
    <x v="584"/>
    <s v="Евроопт"/>
    <s v="Барановичи"/>
    <s v="Фрукты"/>
    <s v="Груши"/>
    <n v="1420"/>
    <n v="25"/>
    <n v="35.5"/>
    <x v="11"/>
  </r>
  <r>
    <x v="584"/>
    <s v="Виталюр"/>
    <s v="Барановичи"/>
    <s v="Ягоды"/>
    <s v="Голубика"/>
    <n v="3205"/>
    <n v="97"/>
    <n v="310.88499999999999"/>
    <x v="11"/>
  </r>
  <r>
    <x v="584"/>
    <s v="Копеечка"/>
    <s v="Борисов"/>
    <s v="Зелень"/>
    <s v="Укроп"/>
    <n v="650"/>
    <n v="88"/>
    <n v="57.2"/>
    <x v="11"/>
  </r>
  <r>
    <x v="584"/>
    <s v="Соседи"/>
    <s v="Жодино"/>
    <s v="Зелень"/>
    <s v="Салат айсберг"/>
    <n v="1380"/>
    <n v="78"/>
    <n v="107.64"/>
    <x v="11"/>
  </r>
  <r>
    <x v="584"/>
    <s v="Копеечка"/>
    <s v="Жодино"/>
    <s v="Фрукты"/>
    <s v="Груши"/>
    <n v="1420"/>
    <n v="72"/>
    <n v="102.24"/>
    <x v="11"/>
  </r>
  <r>
    <x v="584"/>
    <s v="Копеечка"/>
    <s v="Минск"/>
    <s v="Зелень"/>
    <s v="Лук зеленый"/>
    <n v="705"/>
    <n v="85"/>
    <n v="59.924999999999997"/>
    <x v="11"/>
  </r>
  <r>
    <x v="584"/>
    <s v="Виталюр"/>
    <s v="Минск"/>
    <s v="Зелень"/>
    <s v="Лук зеленый"/>
    <n v="705"/>
    <n v="8"/>
    <n v="5.64"/>
    <x v="11"/>
  </r>
  <r>
    <x v="584"/>
    <s v="Копеечка"/>
    <s v="Столбцы"/>
    <s v="Зелень"/>
    <s v="Салат айсберг"/>
    <n v="1380"/>
    <n v="30"/>
    <n v="41.4"/>
    <x v="11"/>
  </r>
  <r>
    <x v="584"/>
    <s v="Виталюр"/>
    <s v="Столбцы"/>
    <s v="Фрукты"/>
    <s v="Сливы"/>
    <n v="930"/>
    <n v="12"/>
    <n v="11.16"/>
    <x v="11"/>
  </r>
  <r>
    <x v="584"/>
    <s v="Копеечка"/>
    <s v="Столбцы"/>
    <s v="Ягоды"/>
    <s v="Брусника"/>
    <n v="1670"/>
    <n v="31"/>
    <n v="51.77"/>
    <x v="11"/>
  </r>
  <r>
    <x v="584"/>
    <s v="Копеечка"/>
    <s v="Столбцы"/>
    <s v="Ягоды"/>
    <s v="Голубика"/>
    <n v="3205"/>
    <n v="54"/>
    <n v="173.07"/>
    <x v="11"/>
  </r>
  <r>
    <x v="584"/>
    <s v="Евроопт"/>
    <s v="Фаниполь"/>
    <s v="Зелень"/>
    <s v="Салат айсберг"/>
    <n v="1380"/>
    <n v="9"/>
    <n v="12.42"/>
    <x v="11"/>
  </r>
  <r>
    <x v="585"/>
    <m/>
    <m/>
    <m/>
    <m/>
    <m/>
    <m/>
    <n v="1025.4299999999998"/>
    <x v="11"/>
  </r>
  <r>
    <x v="586"/>
    <s v="Соседи"/>
    <s v="Борисов"/>
    <s v="Овощи"/>
    <s v="Картофель"/>
    <n v="690"/>
    <n v="31"/>
    <n v="21.39"/>
    <x v="11"/>
  </r>
  <r>
    <x v="586"/>
    <s v="Виталюр"/>
    <s v="Жодино"/>
    <s v="Фрукты"/>
    <s v="Апельсины"/>
    <n v="2540"/>
    <n v="9"/>
    <n v="22.86"/>
    <x v="11"/>
  </r>
  <r>
    <x v="586"/>
    <s v="Соседи"/>
    <s v="Минск"/>
    <s v="Зелень"/>
    <s v="Салат айсберг"/>
    <n v="1380"/>
    <n v="25"/>
    <n v="34.5"/>
    <x v="11"/>
  </r>
  <r>
    <x v="586"/>
    <s v="Виталюр"/>
    <s v="Минск"/>
    <s v="Зелень"/>
    <s v="Салат айсберг"/>
    <n v="1380"/>
    <n v="66"/>
    <n v="91.08"/>
    <x v="11"/>
  </r>
  <r>
    <x v="586"/>
    <s v="Виталюр"/>
    <s v="Минск"/>
    <s v="Овощи"/>
    <s v="Баклажаны"/>
    <n v="890"/>
    <n v="47"/>
    <n v="41.83"/>
    <x v="11"/>
  </r>
  <r>
    <x v="586"/>
    <s v="Евроопт"/>
    <s v="Столбцы"/>
    <s v="Ягоды"/>
    <s v="Клубника"/>
    <n v="2460"/>
    <n v="79"/>
    <n v="194.34"/>
    <x v="11"/>
  </r>
  <r>
    <x v="587"/>
    <m/>
    <m/>
    <m/>
    <m/>
    <m/>
    <m/>
    <n v="406"/>
    <x v="11"/>
  </r>
  <r>
    <x v="588"/>
    <s v="Евроопт"/>
    <s v="Барановичи"/>
    <s v="Овощи"/>
    <s v="Картофель"/>
    <n v="690"/>
    <n v="90"/>
    <n v="62.1"/>
    <x v="11"/>
  </r>
  <r>
    <x v="588"/>
    <s v="Копеечка"/>
    <s v="Барановичи"/>
    <s v="Овощи"/>
    <s v="Морковь"/>
    <n v="715"/>
    <n v="20"/>
    <n v="14.3"/>
    <x v="11"/>
  </r>
  <r>
    <x v="588"/>
    <s v="Соседи"/>
    <s v="Барановичи"/>
    <s v="Фрукты"/>
    <s v="Бананы"/>
    <n v="2400"/>
    <n v="81"/>
    <n v="194.4"/>
    <x v="11"/>
  </r>
  <r>
    <x v="588"/>
    <s v="Евроопт"/>
    <s v="Борисов"/>
    <s v="Зелень"/>
    <s v="Кинза"/>
    <n v="650"/>
    <n v="81"/>
    <n v="52.65"/>
    <x v="11"/>
  </r>
  <r>
    <x v="588"/>
    <s v="Копеечка"/>
    <s v="Борисов"/>
    <s v="Овощи"/>
    <s v="Свекла"/>
    <n v="450"/>
    <n v="79"/>
    <n v="35.549999999999997"/>
    <x v="11"/>
  </r>
  <r>
    <x v="588"/>
    <s v="Копеечка"/>
    <s v="Борисов"/>
    <s v="Фрукты"/>
    <s v="Бананы"/>
    <n v="2400"/>
    <n v="84"/>
    <n v="201.6"/>
    <x v="11"/>
  </r>
  <r>
    <x v="588"/>
    <s v="Соседи"/>
    <s v="Борисов"/>
    <s v="Ягоды"/>
    <s v="Малина"/>
    <n v="2970"/>
    <n v="36"/>
    <n v="106.92"/>
    <x v="11"/>
  </r>
  <r>
    <x v="588"/>
    <s v="Копеечка"/>
    <s v="Жодино"/>
    <s v="Зелень"/>
    <s v="Салат айсберг"/>
    <n v="1380"/>
    <n v="70"/>
    <n v="96.6"/>
    <x v="11"/>
  </r>
  <r>
    <x v="588"/>
    <s v="Копеечка"/>
    <s v="Жодино"/>
    <s v="Ягоды"/>
    <s v="Клубника"/>
    <n v="2460"/>
    <n v="62"/>
    <n v="152.52000000000001"/>
    <x v="11"/>
  </r>
  <r>
    <x v="588"/>
    <s v="Копеечка"/>
    <s v="Минск"/>
    <s v="Фрукты"/>
    <s v="Груши"/>
    <n v="1420"/>
    <n v="62"/>
    <n v="88.04"/>
    <x v="11"/>
  </r>
  <r>
    <x v="588"/>
    <s v="Копеечка"/>
    <s v="Минск"/>
    <s v="Фрукты"/>
    <s v="Апельсины"/>
    <n v="2540"/>
    <n v="63"/>
    <n v="160.02000000000001"/>
    <x v="11"/>
  </r>
  <r>
    <x v="588"/>
    <s v="Копеечка"/>
    <s v="Минск"/>
    <s v="Ягоды"/>
    <s v="Клубника"/>
    <n v="2460"/>
    <n v="70"/>
    <n v="172.2"/>
    <x v="11"/>
  </r>
  <r>
    <x v="588"/>
    <s v="Копеечка"/>
    <s v="Столбцы"/>
    <s v="Овощи"/>
    <s v="Морковь"/>
    <n v="715"/>
    <n v="55"/>
    <n v="39.325000000000003"/>
    <x v="11"/>
  </r>
  <r>
    <x v="588"/>
    <s v="Евроопт"/>
    <s v="Фаниполь"/>
    <s v="Фрукты"/>
    <s v="Абрикосы"/>
    <n v="1320"/>
    <n v="39"/>
    <n v="51.48"/>
    <x v="11"/>
  </r>
  <r>
    <x v="589"/>
    <m/>
    <m/>
    <m/>
    <m/>
    <m/>
    <m/>
    <n v="1427.7050000000002"/>
    <x v="11"/>
  </r>
  <r>
    <x v="590"/>
    <s v="Виталюр"/>
    <s v="Барановичи"/>
    <s v="Зелень"/>
    <s v="Лук зеленый"/>
    <n v="705"/>
    <n v="34"/>
    <n v="23.97"/>
    <x v="11"/>
  </r>
  <r>
    <x v="590"/>
    <s v="Евроопт"/>
    <s v="Борисов"/>
    <s v="Фрукты"/>
    <s v="Бананы"/>
    <n v="2400"/>
    <n v="43"/>
    <n v="103.2"/>
    <x v="11"/>
  </r>
  <r>
    <x v="590"/>
    <s v="Соседи"/>
    <s v="Борисов"/>
    <s v="Ягоды"/>
    <s v="Смородина черная"/>
    <n v="1505"/>
    <n v="6"/>
    <n v="9.0299999999999994"/>
    <x v="11"/>
  </r>
  <r>
    <x v="590"/>
    <s v="Евроопт"/>
    <s v="Жодино"/>
    <s v="Зелень"/>
    <s v="Лук зеленый"/>
    <n v="705"/>
    <n v="23"/>
    <n v="16.215"/>
    <x v="11"/>
  </r>
  <r>
    <x v="590"/>
    <s v="Соседи"/>
    <s v="Жодино"/>
    <s v="Овощи"/>
    <s v="Кабачки"/>
    <n v="325"/>
    <n v="88"/>
    <n v="28.6"/>
    <x v="11"/>
  </r>
  <r>
    <x v="590"/>
    <s v="Евроопт"/>
    <s v="Жодино"/>
    <s v="Ягоды"/>
    <s v="Смородина черная"/>
    <n v="1505"/>
    <n v="92"/>
    <n v="138.46"/>
    <x v="11"/>
  </r>
  <r>
    <x v="590"/>
    <s v="Копеечка"/>
    <s v="Минск"/>
    <s v="Зелень"/>
    <s v="Кинза"/>
    <n v="650"/>
    <n v="93"/>
    <n v="60.45"/>
    <x v="11"/>
  </r>
  <r>
    <x v="590"/>
    <s v="Виталюр"/>
    <s v="Минск"/>
    <s v="Овощи"/>
    <s v="Кабачки"/>
    <n v="325"/>
    <n v="48"/>
    <n v="15.6"/>
    <x v="11"/>
  </r>
  <r>
    <x v="590"/>
    <s v="Виталюр"/>
    <s v="Столбцы"/>
    <s v="Зелень"/>
    <s v="Лук зеленый"/>
    <n v="705"/>
    <n v="53"/>
    <n v="37.365000000000002"/>
    <x v="11"/>
  </r>
  <r>
    <x v="590"/>
    <s v="Виталюр"/>
    <s v="Столбцы"/>
    <s v="Фрукты"/>
    <s v="Груши"/>
    <n v="1420"/>
    <n v="64"/>
    <n v="90.88"/>
    <x v="11"/>
  </r>
  <r>
    <x v="590"/>
    <s v="Копеечка"/>
    <s v="Фаниполь"/>
    <s v="Фрукты"/>
    <s v="Яблоки"/>
    <n v="1230"/>
    <n v="22"/>
    <n v="27.06"/>
    <x v="11"/>
  </r>
  <r>
    <x v="591"/>
    <m/>
    <m/>
    <m/>
    <m/>
    <m/>
    <m/>
    <n v="550.82999999999993"/>
    <x v="11"/>
  </r>
  <r>
    <x v="592"/>
    <s v="Копеечка"/>
    <s v="Барановичи"/>
    <s v="Овощи"/>
    <s v="Картофель"/>
    <n v="690"/>
    <n v="89"/>
    <n v="61.41"/>
    <x v="11"/>
  </r>
  <r>
    <x v="592"/>
    <s v="Евроопт"/>
    <s v="Жодино"/>
    <s v="Зелень"/>
    <s v="Петрушка"/>
    <n v="640"/>
    <n v="38"/>
    <n v="24.32"/>
    <x v="11"/>
  </r>
  <r>
    <x v="592"/>
    <s v="Виталюр"/>
    <s v="Минск"/>
    <s v="Зелень"/>
    <s v="Лук зеленый"/>
    <n v="705"/>
    <n v="37"/>
    <n v="26.085000000000001"/>
    <x v="11"/>
  </r>
  <r>
    <x v="592"/>
    <s v="Евроопт"/>
    <s v="Минск"/>
    <s v="Овощи"/>
    <s v="Кабачки"/>
    <n v="325"/>
    <n v="75"/>
    <n v="24.375"/>
    <x v="11"/>
  </r>
  <r>
    <x v="592"/>
    <s v="Евроопт"/>
    <s v="Минск"/>
    <s v="Фрукты"/>
    <s v="Груши"/>
    <n v="1420"/>
    <n v="95"/>
    <n v="134.9"/>
    <x v="11"/>
  </r>
  <r>
    <x v="592"/>
    <s v="Виталюр"/>
    <s v="Столбцы"/>
    <s v="Зелень"/>
    <s v="Салат айсберг"/>
    <n v="1380"/>
    <n v="14"/>
    <n v="19.32"/>
    <x v="11"/>
  </r>
  <r>
    <x v="592"/>
    <s v="Виталюр"/>
    <s v="Столбцы"/>
    <s v="Ягоды"/>
    <s v="Смородина черная"/>
    <n v="1505"/>
    <n v="90"/>
    <n v="135.44999999999999"/>
    <x v="11"/>
  </r>
  <r>
    <x v="593"/>
    <m/>
    <m/>
    <m/>
    <m/>
    <m/>
    <m/>
    <n v="425.86"/>
    <x v="11"/>
  </r>
  <r>
    <x v="594"/>
    <s v="Копеечка"/>
    <s v="Барановичи"/>
    <s v="Фрукты"/>
    <s v="Яблоки"/>
    <n v="1230"/>
    <n v="42"/>
    <n v="51.66"/>
    <x v="11"/>
  </r>
  <r>
    <x v="594"/>
    <s v="Евроопт"/>
    <s v="Борисов"/>
    <s v="Фрукты"/>
    <s v="Яблоки"/>
    <n v="1230"/>
    <n v="46"/>
    <n v="56.58"/>
    <x v="11"/>
  </r>
  <r>
    <x v="594"/>
    <s v="Копеечка"/>
    <s v="Жодино"/>
    <s v="Фрукты"/>
    <s v="Груши"/>
    <n v="1420"/>
    <n v="45"/>
    <n v="63.9"/>
    <x v="11"/>
  </r>
  <r>
    <x v="594"/>
    <s v="Виталюр"/>
    <s v="Жодино"/>
    <s v="Фрукты"/>
    <s v="Сливы"/>
    <n v="930"/>
    <n v="93"/>
    <n v="86.49"/>
    <x v="11"/>
  </r>
  <r>
    <x v="594"/>
    <s v="Виталюр"/>
    <s v="Жодино"/>
    <s v="Ягоды"/>
    <s v="Голубика"/>
    <n v="3205"/>
    <n v="82"/>
    <n v="262.81"/>
    <x v="11"/>
  </r>
  <r>
    <x v="594"/>
    <s v="Соседи"/>
    <s v="Минск"/>
    <s v="Фрукты"/>
    <s v="Апельсины"/>
    <n v="2540"/>
    <n v="48"/>
    <n v="121.92"/>
    <x v="11"/>
  </r>
  <r>
    <x v="594"/>
    <s v="Соседи"/>
    <s v="Минск"/>
    <s v="Фрукты"/>
    <s v="Бананы"/>
    <n v="2400"/>
    <n v="36"/>
    <n v="86.4"/>
    <x v="11"/>
  </r>
  <r>
    <x v="594"/>
    <s v="Копеечка"/>
    <s v="Минск"/>
    <s v="Фрукты"/>
    <s v="Сливы"/>
    <n v="930"/>
    <n v="58"/>
    <n v="53.94"/>
    <x v="11"/>
  </r>
  <r>
    <x v="594"/>
    <s v="Копеечка"/>
    <s v="Минск"/>
    <s v="Ягоды"/>
    <s v="Малина"/>
    <n v="2970"/>
    <n v="68"/>
    <n v="201.96"/>
    <x v="11"/>
  </r>
  <r>
    <x v="594"/>
    <s v="Евроопт"/>
    <s v="Минск"/>
    <s v="Ягоды"/>
    <s v="Клубника"/>
    <n v="2460"/>
    <n v="28"/>
    <n v="68.88"/>
    <x v="11"/>
  </r>
  <r>
    <x v="594"/>
    <s v="Соседи"/>
    <s v="Столбцы"/>
    <s v="Ягоды"/>
    <s v="Смородина черная"/>
    <n v="1505"/>
    <n v="29"/>
    <n v="43.645000000000003"/>
    <x v="11"/>
  </r>
  <r>
    <x v="594"/>
    <s v="Виталюр"/>
    <s v="Фаниполь"/>
    <s v="Овощи"/>
    <s v="Капуста"/>
    <n v="460"/>
    <n v="28"/>
    <n v="12.88"/>
    <x v="11"/>
  </r>
  <r>
    <x v="595"/>
    <m/>
    <m/>
    <m/>
    <m/>
    <m/>
    <m/>
    <n v="1111.0650000000001"/>
    <x v="11"/>
  </r>
  <r>
    <x v="596"/>
    <s v="Виталюр"/>
    <s v="Барановичи"/>
    <s v="Зелень"/>
    <s v="Кинза"/>
    <n v="650"/>
    <n v="40"/>
    <n v="26"/>
    <x v="11"/>
  </r>
  <r>
    <x v="596"/>
    <s v="Копеечка"/>
    <s v="Борисов"/>
    <s v="Ягоды"/>
    <s v="Малина"/>
    <n v="2970"/>
    <n v="65"/>
    <n v="193.05"/>
    <x v="11"/>
  </r>
  <r>
    <x v="596"/>
    <s v="Копеечка"/>
    <s v="Жодино"/>
    <s v="Фрукты"/>
    <s v="Абрикосы"/>
    <n v="1320"/>
    <n v="79"/>
    <n v="104.28"/>
    <x v="11"/>
  </r>
  <r>
    <x v="596"/>
    <s v="Виталюр"/>
    <s v="Минск"/>
    <s v="Фрукты"/>
    <s v="Груши"/>
    <n v="1420"/>
    <n v="62"/>
    <n v="88.04"/>
    <x v="11"/>
  </r>
  <r>
    <x v="596"/>
    <s v="Евроопт"/>
    <s v="Минск"/>
    <s v="Ягоды"/>
    <s v="Клубника"/>
    <n v="2460"/>
    <n v="51"/>
    <n v="125.46"/>
    <x v="11"/>
  </r>
  <r>
    <x v="596"/>
    <s v="Копеечка"/>
    <s v="Минск"/>
    <s v="Ягоды"/>
    <s v="Смородина черная"/>
    <n v="1505"/>
    <n v="53"/>
    <n v="79.765000000000001"/>
    <x v="11"/>
  </r>
  <r>
    <x v="596"/>
    <s v="Копеечка"/>
    <s v="Столбцы"/>
    <s v="Зелень"/>
    <s v="Лук зеленый"/>
    <n v="705"/>
    <n v="90"/>
    <n v="63.45"/>
    <x v="11"/>
  </r>
  <r>
    <x v="596"/>
    <s v="Копеечка"/>
    <s v="Столбцы"/>
    <s v="Фрукты"/>
    <s v="Апельсины"/>
    <n v="2540"/>
    <n v="33"/>
    <n v="83.82"/>
    <x v="11"/>
  </r>
  <r>
    <x v="596"/>
    <s v="Копеечка"/>
    <s v="Столбцы"/>
    <s v="Фрукты"/>
    <s v="Апельсины"/>
    <n v="2540"/>
    <n v="9"/>
    <n v="22.86"/>
    <x v="11"/>
  </r>
  <r>
    <x v="596"/>
    <s v="Евроопт"/>
    <s v="Столбцы"/>
    <s v="Ягоды"/>
    <s v="Смородина черная"/>
    <n v="1505"/>
    <n v="53"/>
    <n v="79.765000000000001"/>
    <x v="11"/>
  </r>
  <r>
    <x v="596"/>
    <s v="Виталюр"/>
    <s v="Фаниполь"/>
    <s v="Овощи"/>
    <s v="Морковь"/>
    <n v="715"/>
    <n v="95"/>
    <n v="67.924999999999997"/>
    <x v="11"/>
  </r>
  <r>
    <x v="597"/>
    <m/>
    <m/>
    <m/>
    <m/>
    <m/>
    <m/>
    <n v="934.41499999999996"/>
    <x v="11"/>
  </r>
  <r>
    <x v="598"/>
    <s v="Евроопт"/>
    <s v="Барановичи"/>
    <s v="Зелень"/>
    <s v="Салат айсберг"/>
    <n v="1380"/>
    <n v="65"/>
    <n v="89.7"/>
    <x v="11"/>
  </r>
  <r>
    <x v="598"/>
    <s v="Виталюр"/>
    <s v="Барановичи"/>
    <s v="Овощи"/>
    <s v="Морковь"/>
    <n v="715"/>
    <n v="11"/>
    <n v="7.8650000000000002"/>
    <x v="11"/>
  </r>
  <r>
    <x v="598"/>
    <s v="Копеечка"/>
    <s v="Барановичи"/>
    <s v="Фрукты"/>
    <s v="Яблоки"/>
    <n v="1230"/>
    <n v="18"/>
    <n v="22.14"/>
    <x v="11"/>
  </r>
  <r>
    <x v="598"/>
    <s v="Евроопт"/>
    <s v="Барановичи"/>
    <s v="Фрукты"/>
    <s v="Груши"/>
    <n v="1420"/>
    <n v="42"/>
    <n v="59.64"/>
    <x v="11"/>
  </r>
  <r>
    <x v="598"/>
    <s v="Виталюр"/>
    <s v="Борисов"/>
    <s v="Фрукты"/>
    <s v="Абрикосы"/>
    <n v="1320"/>
    <n v="66"/>
    <n v="87.12"/>
    <x v="11"/>
  </r>
  <r>
    <x v="598"/>
    <s v="Виталюр"/>
    <s v="Жодино"/>
    <s v="Ягоды"/>
    <s v="Клубника"/>
    <n v="2460"/>
    <n v="21"/>
    <n v="51.66"/>
    <x v="11"/>
  </r>
  <r>
    <x v="598"/>
    <s v="Виталюр"/>
    <s v="Жодино"/>
    <s v="Ягоды"/>
    <s v="Брусника"/>
    <n v="1670"/>
    <n v="88"/>
    <n v="146.96"/>
    <x v="11"/>
  </r>
  <r>
    <x v="599"/>
    <m/>
    <m/>
    <m/>
    <m/>
    <m/>
    <m/>
    <n v="465.08500000000004"/>
    <x v="11"/>
  </r>
  <r>
    <x v="600"/>
    <s v="Евроопт"/>
    <s v="Барановичи"/>
    <s v="Зелень"/>
    <s v="Салат айсберг"/>
    <n v="1380"/>
    <n v="44"/>
    <n v="60.72"/>
    <x v="11"/>
  </r>
  <r>
    <x v="600"/>
    <s v="Соседи"/>
    <s v="Барановичи"/>
    <s v="Овощи"/>
    <s v="Картофель"/>
    <n v="690"/>
    <n v="21"/>
    <n v="14.49"/>
    <x v="11"/>
  </r>
  <r>
    <x v="600"/>
    <s v="Соседи"/>
    <s v="Барановичи"/>
    <s v="Ягоды"/>
    <s v="Голубика"/>
    <n v="3205"/>
    <n v="17"/>
    <n v="54.484999999999999"/>
    <x v="11"/>
  </r>
  <r>
    <x v="600"/>
    <s v="Копеечка"/>
    <s v="Барановичи"/>
    <s v="Ягоды"/>
    <s v="Клубника"/>
    <n v="2460"/>
    <n v="33"/>
    <n v="81.180000000000007"/>
    <x v="11"/>
  </r>
  <r>
    <x v="600"/>
    <s v="Виталюр"/>
    <s v="Барановичи"/>
    <s v="Ягоды"/>
    <s v="Черешня"/>
    <n v="1760"/>
    <n v="100"/>
    <n v="176"/>
    <x v="11"/>
  </r>
  <r>
    <x v="600"/>
    <s v="Соседи"/>
    <s v="Жодино"/>
    <s v="Овощи"/>
    <s v="Баклажаны"/>
    <n v="890"/>
    <n v="54"/>
    <n v="48.06"/>
    <x v="11"/>
  </r>
  <r>
    <x v="600"/>
    <s v="Соседи"/>
    <s v="Жодино"/>
    <s v="Фрукты"/>
    <s v="Апельсины"/>
    <n v="2540"/>
    <n v="42"/>
    <n v="106.68"/>
    <x v="11"/>
  </r>
  <r>
    <x v="600"/>
    <s v="Соседи"/>
    <s v="Жодино"/>
    <s v="Ягоды"/>
    <s v="Смородина черная"/>
    <n v="1505"/>
    <n v="40"/>
    <n v="60.2"/>
    <x v="11"/>
  </r>
  <r>
    <x v="600"/>
    <s v="Виталюр"/>
    <s v="Минск"/>
    <s v="Овощи"/>
    <s v="Баклажаны"/>
    <n v="890"/>
    <n v="95"/>
    <n v="84.55"/>
    <x v="11"/>
  </r>
  <r>
    <x v="600"/>
    <s v="Виталюр"/>
    <s v="Минск"/>
    <s v="Овощи"/>
    <s v="Баклажаны"/>
    <n v="890"/>
    <n v="52"/>
    <n v="46.28"/>
    <x v="11"/>
  </r>
  <r>
    <x v="600"/>
    <s v="Соседи"/>
    <s v="Минск"/>
    <s v="Фрукты"/>
    <s v="Абрикосы"/>
    <n v="1320"/>
    <n v="77"/>
    <n v="101.64"/>
    <x v="11"/>
  </r>
  <r>
    <x v="600"/>
    <s v="Копеечка"/>
    <s v="Столбцы"/>
    <s v="Овощи"/>
    <s v="Капуста"/>
    <n v="460"/>
    <n v="78"/>
    <n v="35.880000000000003"/>
    <x v="11"/>
  </r>
  <r>
    <x v="600"/>
    <s v="Соседи"/>
    <s v="Столбцы"/>
    <s v="Овощи"/>
    <s v="Капуста"/>
    <n v="460"/>
    <n v="98"/>
    <n v="45.08"/>
    <x v="11"/>
  </r>
  <r>
    <x v="600"/>
    <s v="Евроопт"/>
    <s v="Столбцы"/>
    <s v="Фрукты"/>
    <s v="Сливы"/>
    <n v="930"/>
    <n v="12"/>
    <n v="11.16"/>
    <x v="11"/>
  </r>
  <r>
    <x v="600"/>
    <s v="Соседи"/>
    <s v="Столбцы"/>
    <s v="Фрукты"/>
    <s v="Яблоки"/>
    <n v="1230"/>
    <n v="59"/>
    <n v="72.569999999999993"/>
    <x v="11"/>
  </r>
  <r>
    <x v="600"/>
    <s v="Евроопт"/>
    <s v="Столбцы"/>
    <s v="Ягоды"/>
    <s v="Смородина черная"/>
    <n v="1505"/>
    <n v="63"/>
    <n v="94.814999999999998"/>
    <x v="11"/>
  </r>
  <r>
    <x v="600"/>
    <s v="Виталюр"/>
    <s v="Фаниполь"/>
    <s v="Зелень"/>
    <s v="Салат айсберг"/>
    <n v="1380"/>
    <n v="30"/>
    <n v="41.4"/>
    <x v="11"/>
  </r>
  <r>
    <x v="601"/>
    <m/>
    <m/>
    <m/>
    <m/>
    <m/>
    <m/>
    <n v="1135.19"/>
    <x v="11"/>
  </r>
  <r>
    <x v="602"/>
    <s v="Виталюр"/>
    <s v="Барановичи"/>
    <s v="Овощи"/>
    <s v="Свекла"/>
    <n v="450"/>
    <n v="88"/>
    <n v="39.6"/>
    <x v="11"/>
  </r>
  <r>
    <x v="602"/>
    <s v="Копеечка"/>
    <s v="Барановичи"/>
    <s v="Овощи"/>
    <s v="Баклажаны"/>
    <n v="890"/>
    <n v="22"/>
    <n v="19.579999999999998"/>
    <x v="11"/>
  </r>
  <r>
    <x v="602"/>
    <s v="Евроопт"/>
    <s v="Борисов"/>
    <s v="Овощи"/>
    <s v="Картофель"/>
    <n v="690"/>
    <n v="35"/>
    <n v="24.15"/>
    <x v="11"/>
  </r>
  <r>
    <x v="602"/>
    <s v="Евроопт"/>
    <s v="Жодино"/>
    <s v="Овощи"/>
    <s v="Кабачки"/>
    <n v="325"/>
    <n v="70"/>
    <n v="22.75"/>
    <x v="11"/>
  </r>
  <r>
    <x v="602"/>
    <s v="Евроопт"/>
    <s v="Жодино"/>
    <s v="Овощи"/>
    <s v="Морковь"/>
    <n v="715"/>
    <n v="31"/>
    <n v="22.164999999999999"/>
    <x v="11"/>
  </r>
  <r>
    <x v="602"/>
    <s v="Копеечка"/>
    <s v="Жодино"/>
    <s v="Ягоды"/>
    <s v="Голубика"/>
    <n v="3205"/>
    <n v="8"/>
    <n v="25.64"/>
    <x v="11"/>
  </r>
  <r>
    <x v="602"/>
    <s v="Евроопт"/>
    <s v="Минск"/>
    <s v="Зелень"/>
    <s v="Кинза"/>
    <n v="650"/>
    <n v="24"/>
    <n v="15.6"/>
    <x v="11"/>
  </r>
  <r>
    <x v="602"/>
    <s v="Копеечка"/>
    <s v="Минск"/>
    <s v="Зелень"/>
    <s v="Петрушка"/>
    <n v="640"/>
    <n v="12"/>
    <n v="7.68"/>
    <x v="11"/>
  </r>
  <r>
    <x v="602"/>
    <s v="Виталюр"/>
    <s v="Минск"/>
    <s v="Фрукты"/>
    <s v="Груши"/>
    <n v="1420"/>
    <n v="7"/>
    <n v="9.94"/>
    <x v="11"/>
  </r>
  <r>
    <x v="602"/>
    <s v="Копеечка"/>
    <s v="Столбцы"/>
    <s v="Ягоды"/>
    <s v="Клубника"/>
    <n v="2460"/>
    <n v="10"/>
    <n v="24.6"/>
    <x v="11"/>
  </r>
  <r>
    <x v="602"/>
    <s v="Соседи"/>
    <s v="Фаниполь"/>
    <s v="Овощи"/>
    <s v="Свекла"/>
    <n v="450"/>
    <n v="99"/>
    <n v="44.55"/>
    <x v="11"/>
  </r>
  <r>
    <x v="603"/>
    <m/>
    <m/>
    <m/>
    <m/>
    <m/>
    <m/>
    <n v="256.255"/>
    <x v="11"/>
  </r>
  <r>
    <x v="604"/>
    <s v="Копеечка"/>
    <s v="Жодино"/>
    <s v="Ягоды"/>
    <s v="Смородина черная"/>
    <n v="1505"/>
    <n v="54"/>
    <n v="81.27"/>
    <x v="11"/>
  </r>
  <r>
    <x v="604"/>
    <s v="Копеечка"/>
    <s v="Минск"/>
    <s v="Овощи"/>
    <s v="Картофель"/>
    <n v="690"/>
    <n v="7"/>
    <n v="4.83"/>
    <x v="11"/>
  </r>
  <r>
    <x v="604"/>
    <s v="Евроопт"/>
    <s v="Минск"/>
    <s v="Фрукты"/>
    <s v="Апельсины"/>
    <n v="2540"/>
    <n v="28"/>
    <n v="71.12"/>
    <x v="11"/>
  </r>
  <r>
    <x v="604"/>
    <s v="Евроопт"/>
    <s v="Столбцы"/>
    <s v="Зелень"/>
    <s v="Петрушка"/>
    <n v="640"/>
    <n v="87"/>
    <n v="55.68"/>
    <x v="11"/>
  </r>
  <r>
    <x v="604"/>
    <s v="Евроопт"/>
    <s v="Столбцы"/>
    <s v="Зелень"/>
    <s v="Лук зеленый"/>
    <n v="705"/>
    <n v="65"/>
    <n v="45.825000000000003"/>
    <x v="11"/>
  </r>
  <r>
    <x v="604"/>
    <s v="Евроопт"/>
    <s v="Столбцы"/>
    <s v="Ягоды"/>
    <s v="Брусника"/>
    <n v="1670"/>
    <n v="81"/>
    <n v="135.27000000000001"/>
    <x v="11"/>
  </r>
  <r>
    <x v="604"/>
    <s v="Соседи"/>
    <s v="Столбцы"/>
    <s v="Ягоды"/>
    <s v="Брусника"/>
    <n v="1670"/>
    <n v="60"/>
    <n v="100.2"/>
    <x v="11"/>
  </r>
  <r>
    <x v="604"/>
    <s v="Соседи"/>
    <s v="Фаниполь"/>
    <s v="Фрукты"/>
    <s v="Сливы"/>
    <n v="930"/>
    <n v="52"/>
    <n v="48.36"/>
    <x v="11"/>
  </r>
  <r>
    <x v="605"/>
    <m/>
    <m/>
    <m/>
    <m/>
    <m/>
    <m/>
    <n v="542.55499999999995"/>
    <x v="11"/>
  </r>
  <r>
    <x v="606"/>
    <s v="Виталюр"/>
    <s v="Барановичи"/>
    <s v="Ягоды"/>
    <s v="Клубника"/>
    <n v="2460"/>
    <n v="96"/>
    <n v="236.16"/>
    <x v="11"/>
  </r>
  <r>
    <x v="606"/>
    <s v="Виталюр"/>
    <s v="Барановичи"/>
    <s v="Ягоды"/>
    <s v="Черешня"/>
    <n v="1760"/>
    <n v="18"/>
    <n v="31.68"/>
    <x v="11"/>
  </r>
  <r>
    <x v="606"/>
    <s v="Соседи"/>
    <s v="Борисов"/>
    <s v="Ягоды"/>
    <s v="Клубника"/>
    <n v="2460"/>
    <n v="69"/>
    <n v="169.74"/>
    <x v="11"/>
  </r>
  <r>
    <x v="606"/>
    <s v="Соседи"/>
    <s v="Жодино"/>
    <s v="Овощи"/>
    <s v="Картофель"/>
    <n v="690"/>
    <n v="63"/>
    <n v="43.47"/>
    <x v="11"/>
  </r>
  <r>
    <x v="606"/>
    <s v="Копеечка"/>
    <s v="Жодино"/>
    <s v="Ягоды"/>
    <s v="Брусника"/>
    <n v="1670"/>
    <n v="72"/>
    <n v="120.24"/>
    <x v="11"/>
  </r>
  <r>
    <x v="606"/>
    <s v="Евроопт"/>
    <s v="Столбцы"/>
    <s v="Фрукты"/>
    <s v="Груши"/>
    <n v="1420"/>
    <n v="36"/>
    <n v="51.12"/>
    <x v="11"/>
  </r>
  <r>
    <x v="606"/>
    <s v="Копеечка"/>
    <s v="Столбцы"/>
    <s v="Ягоды"/>
    <s v="Смородина черная"/>
    <n v="1505"/>
    <n v="56"/>
    <n v="84.28"/>
    <x v="11"/>
  </r>
  <r>
    <x v="606"/>
    <s v="Виталюр"/>
    <s v="Столбцы"/>
    <s v="Ягоды"/>
    <s v="Малина"/>
    <n v="2970"/>
    <n v="31"/>
    <n v="92.07"/>
    <x v="11"/>
  </r>
  <r>
    <x v="607"/>
    <m/>
    <m/>
    <m/>
    <m/>
    <m/>
    <m/>
    <n v="828.76"/>
    <x v="1"/>
  </r>
  <r>
    <x v="608"/>
    <s v="Копеечка"/>
    <s v="Барановичи"/>
    <s v="Ягоды"/>
    <s v="Голубика"/>
    <n v="3205"/>
    <n v="67"/>
    <n v="214.73500000000001"/>
    <x v="12"/>
  </r>
  <r>
    <x v="608"/>
    <s v="Евроопт"/>
    <s v="Барановичи"/>
    <s v="Ягоды"/>
    <s v="Голубика"/>
    <n v="3205"/>
    <n v="84"/>
    <n v="269.22000000000003"/>
    <x v="12"/>
  </r>
  <r>
    <x v="608"/>
    <s v="Соседи"/>
    <s v="Жодино"/>
    <s v="Зелень"/>
    <s v="Укроп"/>
    <n v="650"/>
    <n v="79"/>
    <n v="51.35"/>
    <x v="12"/>
  </r>
  <r>
    <x v="608"/>
    <s v="Виталюр"/>
    <s v="Жодино"/>
    <s v="Овощи"/>
    <s v="Баклажаны"/>
    <n v="890"/>
    <n v="67"/>
    <n v="59.63"/>
    <x v="12"/>
  </r>
  <r>
    <x v="608"/>
    <s v="Копеечка"/>
    <s v="Жодино"/>
    <s v="Фрукты"/>
    <s v="Груши"/>
    <n v="1420"/>
    <n v="98"/>
    <n v="139.16"/>
    <x v="12"/>
  </r>
  <r>
    <x v="608"/>
    <s v="Соседи"/>
    <s v="Жодино"/>
    <s v="Ягоды"/>
    <s v="Смородина черная"/>
    <n v="1505"/>
    <n v="33"/>
    <n v="49.664999999999999"/>
    <x v="12"/>
  </r>
  <r>
    <x v="608"/>
    <s v="Виталюр"/>
    <s v="Минск"/>
    <s v="Фрукты"/>
    <s v="Груши"/>
    <n v="1420"/>
    <n v="13"/>
    <n v="18.46"/>
    <x v="12"/>
  </r>
  <r>
    <x v="608"/>
    <s v="Виталюр"/>
    <s v="Фаниполь"/>
    <s v="Зелень"/>
    <s v="Лук зеленый"/>
    <n v="705"/>
    <n v="22"/>
    <n v="15.51"/>
    <x v="12"/>
  </r>
  <r>
    <x v="608"/>
    <s v="Копеечка"/>
    <s v="Фаниполь"/>
    <s v="Ягоды"/>
    <s v="Клубника"/>
    <n v="2460"/>
    <n v="11"/>
    <n v="27.06"/>
    <x v="12"/>
  </r>
  <r>
    <x v="609"/>
    <m/>
    <m/>
    <m/>
    <m/>
    <m/>
    <m/>
    <n v="844.79"/>
    <x v="12"/>
  </r>
  <r>
    <x v="610"/>
    <s v="Евроопт"/>
    <s v="Барановичи"/>
    <s v="Овощи"/>
    <s v="Морковь"/>
    <n v="715"/>
    <n v="45"/>
    <n v="32.174999999999997"/>
    <x v="12"/>
  </r>
  <r>
    <x v="610"/>
    <s v="Евроопт"/>
    <s v="Барановичи"/>
    <s v="Овощи"/>
    <s v="Картофель"/>
    <n v="690"/>
    <n v="50"/>
    <n v="34.5"/>
    <x v="12"/>
  </r>
  <r>
    <x v="610"/>
    <s v="Виталюр"/>
    <s v="Борисов"/>
    <s v="Зелень"/>
    <s v="Лук зеленый"/>
    <n v="705"/>
    <n v="70"/>
    <n v="49.35"/>
    <x v="12"/>
  </r>
  <r>
    <x v="610"/>
    <s v="Копеечка"/>
    <s v="Борисов"/>
    <s v="Овощи"/>
    <s v="Свекла"/>
    <n v="450"/>
    <n v="40"/>
    <n v="18"/>
    <x v="12"/>
  </r>
  <r>
    <x v="610"/>
    <s v="Соседи"/>
    <s v="Борисов"/>
    <s v="Фрукты"/>
    <s v="Бананы"/>
    <n v="2400"/>
    <n v="57"/>
    <n v="136.80000000000001"/>
    <x v="12"/>
  </r>
  <r>
    <x v="610"/>
    <s v="Копеечка"/>
    <s v="Борисов"/>
    <s v="Ягоды"/>
    <s v="Брусника"/>
    <n v="1670"/>
    <n v="76"/>
    <n v="126.92"/>
    <x v="12"/>
  </r>
  <r>
    <x v="610"/>
    <s v="Соседи"/>
    <s v="Борисов"/>
    <s v="Ягоды"/>
    <s v="Малина"/>
    <n v="2970"/>
    <n v="12"/>
    <n v="35.64"/>
    <x v="12"/>
  </r>
  <r>
    <x v="610"/>
    <s v="Евроопт"/>
    <s v="Жодино"/>
    <s v="Фрукты"/>
    <s v="Бананы"/>
    <n v="2400"/>
    <n v="90"/>
    <n v="216"/>
    <x v="12"/>
  </r>
  <r>
    <x v="610"/>
    <s v="Виталюр"/>
    <s v="Минск"/>
    <s v="Овощи"/>
    <s v="Кабачки"/>
    <n v="325"/>
    <n v="29"/>
    <n v="9.4250000000000007"/>
    <x v="12"/>
  </r>
  <r>
    <x v="610"/>
    <s v="Виталюр"/>
    <s v="Минск"/>
    <s v="Ягоды"/>
    <s v="Брусника"/>
    <n v="1670"/>
    <n v="72"/>
    <n v="120.24"/>
    <x v="12"/>
  </r>
  <r>
    <x v="610"/>
    <s v="Евроопт"/>
    <s v="Столбцы"/>
    <s v="Овощи"/>
    <s v="Свекла"/>
    <n v="450"/>
    <n v="53"/>
    <n v="23.85"/>
    <x v="12"/>
  </r>
  <r>
    <x v="610"/>
    <s v="Копеечка"/>
    <s v="Столбцы"/>
    <s v="Фрукты"/>
    <s v="Груши"/>
    <n v="1420"/>
    <n v="27"/>
    <n v="38.340000000000003"/>
    <x v="12"/>
  </r>
  <r>
    <x v="610"/>
    <s v="Соседи"/>
    <s v="Фаниполь"/>
    <s v="Овощи"/>
    <s v="Кабачки"/>
    <n v="325"/>
    <n v="86"/>
    <n v="27.95"/>
    <x v="12"/>
  </r>
  <r>
    <x v="611"/>
    <m/>
    <m/>
    <m/>
    <m/>
    <m/>
    <m/>
    <n v="869.19"/>
    <x v="12"/>
  </r>
  <r>
    <x v="612"/>
    <s v="Копеечка"/>
    <s v="Барановичи"/>
    <s v="Зелень"/>
    <s v="Салат римский"/>
    <n v="540"/>
    <n v="52"/>
    <n v="28.08"/>
    <x v="12"/>
  </r>
  <r>
    <x v="612"/>
    <s v="Копеечка"/>
    <s v="Столбцы"/>
    <s v="Ягоды"/>
    <s v="Голубика"/>
    <n v="3205"/>
    <n v="64"/>
    <n v="205.12"/>
    <x v="12"/>
  </r>
  <r>
    <x v="613"/>
    <m/>
    <m/>
    <m/>
    <m/>
    <m/>
    <m/>
    <n v="233.2"/>
    <x v="12"/>
  </r>
  <r>
    <x v="614"/>
    <s v="Виталюр"/>
    <s v="Барановичи"/>
    <s v="Зелень"/>
    <s v="Салат айсберг"/>
    <n v="1380"/>
    <n v="22"/>
    <n v="30.36"/>
    <x v="12"/>
  </r>
  <r>
    <x v="614"/>
    <s v="Евроопт"/>
    <s v="Борисов"/>
    <s v="Зелень"/>
    <s v="Петрушка"/>
    <n v="640"/>
    <n v="37"/>
    <n v="23.68"/>
    <x v="12"/>
  </r>
  <r>
    <x v="614"/>
    <s v="Евроопт"/>
    <s v="Жодино"/>
    <s v="Зелень"/>
    <s v="Кинза"/>
    <n v="650"/>
    <n v="26"/>
    <n v="16.899999999999999"/>
    <x v="12"/>
  </r>
  <r>
    <x v="614"/>
    <s v="Соседи"/>
    <s v="Минск"/>
    <s v="Овощи"/>
    <s v="Свекла"/>
    <n v="450"/>
    <n v="47"/>
    <n v="21.15"/>
    <x v="12"/>
  </r>
  <r>
    <x v="614"/>
    <s v="Соседи"/>
    <s v="Минск"/>
    <s v="Ягоды"/>
    <s v="Малина"/>
    <n v="2970"/>
    <n v="46"/>
    <n v="136.62"/>
    <x v="12"/>
  </r>
  <r>
    <x v="614"/>
    <s v="Копеечка"/>
    <s v="Минск"/>
    <s v="Ягоды"/>
    <s v="Малина"/>
    <n v="2970"/>
    <n v="24"/>
    <n v="71.28"/>
    <x v="12"/>
  </r>
  <r>
    <x v="614"/>
    <s v="Виталюр"/>
    <s v="Столбцы"/>
    <s v="Овощи"/>
    <s v="Свекла"/>
    <n v="450"/>
    <n v="95"/>
    <n v="42.75"/>
    <x v="12"/>
  </r>
  <r>
    <x v="614"/>
    <s v="Соседи"/>
    <s v="Столбцы"/>
    <s v="Овощи"/>
    <s v="Кабачки"/>
    <n v="325"/>
    <n v="42"/>
    <n v="13.65"/>
    <x v="12"/>
  </r>
  <r>
    <x v="614"/>
    <s v="Виталюр"/>
    <s v="Столбцы"/>
    <s v="Ягоды"/>
    <s v="Голубика"/>
    <n v="3205"/>
    <n v="83"/>
    <n v="266.01499999999999"/>
    <x v="12"/>
  </r>
  <r>
    <x v="614"/>
    <s v="Копеечка"/>
    <s v="Фаниполь"/>
    <s v="Зелень"/>
    <s v="Петрушка"/>
    <n v="640"/>
    <n v="68"/>
    <n v="43.52"/>
    <x v="12"/>
  </r>
  <r>
    <x v="614"/>
    <s v="Копеечка"/>
    <s v="Фаниполь"/>
    <s v="Зелень"/>
    <s v="Укроп"/>
    <n v="650"/>
    <n v="39"/>
    <n v="25.35"/>
    <x v="12"/>
  </r>
  <r>
    <x v="614"/>
    <s v="Евроопт"/>
    <s v="Фаниполь"/>
    <s v="Овощи"/>
    <s v="Баклажаны"/>
    <n v="890"/>
    <n v="20"/>
    <n v="17.8"/>
    <x v="12"/>
  </r>
  <r>
    <x v="615"/>
    <m/>
    <m/>
    <m/>
    <m/>
    <m/>
    <m/>
    <n v="709.07499999999993"/>
    <x v="12"/>
  </r>
  <r>
    <x v="616"/>
    <s v="Виталюр"/>
    <s v="Барановичи"/>
    <s v="Ягоды"/>
    <s v="Черешня"/>
    <n v="1760"/>
    <n v="13"/>
    <n v="22.88"/>
    <x v="12"/>
  </r>
  <r>
    <x v="616"/>
    <s v="Соседи"/>
    <s v="Барановичи"/>
    <s v="Ягоды"/>
    <s v="Клубника"/>
    <n v="2460"/>
    <n v="16"/>
    <n v="39.36"/>
    <x v="12"/>
  </r>
  <r>
    <x v="616"/>
    <s v="Соседи"/>
    <s v="Борисов"/>
    <s v="Зелень"/>
    <s v="Укроп"/>
    <n v="650"/>
    <n v="93"/>
    <n v="60.45"/>
    <x v="12"/>
  </r>
  <r>
    <x v="616"/>
    <s v="Соседи"/>
    <s v="Борисов"/>
    <s v="Зелень"/>
    <s v="Кинза"/>
    <n v="650"/>
    <n v="25"/>
    <n v="16.25"/>
    <x v="12"/>
  </r>
  <r>
    <x v="616"/>
    <s v="Копеечка"/>
    <s v="Борисов"/>
    <s v="Фрукты"/>
    <s v="Абрикосы"/>
    <n v="1320"/>
    <n v="50"/>
    <n v="66"/>
    <x v="12"/>
  </r>
  <r>
    <x v="616"/>
    <s v="Евроопт"/>
    <s v="Жодино"/>
    <s v="Зелень"/>
    <s v="Укроп"/>
    <n v="650"/>
    <n v="55"/>
    <n v="35.75"/>
    <x v="12"/>
  </r>
  <r>
    <x v="616"/>
    <s v="Евроопт"/>
    <s v="Жодино"/>
    <s v="Фрукты"/>
    <s v="Бананы"/>
    <n v="2400"/>
    <n v="29"/>
    <n v="69.599999999999994"/>
    <x v="12"/>
  </r>
  <r>
    <x v="616"/>
    <s v="Копеечка"/>
    <s v="Жодино"/>
    <s v="Фрукты"/>
    <s v="Бананы"/>
    <n v="2400"/>
    <n v="99"/>
    <n v="237.6"/>
    <x v="12"/>
  </r>
  <r>
    <x v="616"/>
    <s v="Евроопт"/>
    <s v="Минск"/>
    <s v="Зелень"/>
    <s v="Салат римский"/>
    <n v="540"/>
    <n v="39"/>
    <n v="21.06"/>
    <x v="12"/>
  </r>
  <r>
    <x v="616"/>
    <s v="Соседи"/>
    <s v="Минск"/>
    <s v="Ягоды"/>
    <s v="Голубика"/>
    <n v="3205"/>
    <n v="95"/>
    <n v="304.47500000000002"/>
    <x v="12"/>
  </r>
  <r>
    <x v="616"/>
    <s v="Соседи"/>
    <s v="Столбцы"/>
    <s v="Овощи"/>
    <s v="Свекла"/>
    <n v="450"/>
    <n v="52"/>
    <n v="23.4"/>
    <x v="12"/>
  </r>
  <r>
    <x v="616"/>
    <s v="Евроопт"/>
    <s v="Фаниполь"/>
    <s v="Ягоды"/>
    <s v="Малина"/>
    <n v="2970"/>
    <n v="62"/>
    <n v="184.14"/>
    <x v="12"/>
  </r>
  <r>
    <x v="616"/>
    <s v="Соседи"/>
    <s v="Фаниполь"/>
    <s v="Ягоды"/>
    <s v="Черешня"/>
    <n v="1760"/>
    <n v="66"/>
    <n v="116.16"/>
    <x v="12"/>
  </r>
  <r>
    <x v="617"/>
    <m/>
    <m/>
    <m/>
    <m/>
    <m/>
    <m/>
    <n v="1197.125"/>
    <x v="12"/>
  </r>
  <r>
    <x v="618"/>
    <s v="Виталюр"/>
    <s v="Барановичи"/>
    <s v="Овощи"/>
    <s v="Кабачки"/>
    <n v="325"/>
    <n v="58"/>
    <n v="18.850000000000001"/>
    <x v="12"/>
  </r>
  <r>
    <x v="618"/>
    <s v="Копеечка"/>
    <s v="Барановичи"/>
    <s v="Овощи"/>
    <s v="Капуста"/>
    <n v="460"/>
    <n v="33"/>
    <n v="15.18"/>
    <x v="12"/>
  </r>
  <r>
    <x v="618"/>
    <s v="Соседи"/>
    <s v="Барановичи"/>
    <s v="Ягоды"/>
    <s v="Клубника"/>
    <n v="2460"/>
    <n v="58"/>
    <n v="142.68"/>
    <x v="12"/>
  </r>
  <r>
    <x v="618"/>
    <s v="Виталюр"/>
    <s v="Борисов"/>
    <s v="Фрукты"/>
    <s v="Груши"/>
    <n v="1420"/>
    <n v="87"/>
    <n v="123.54"/>
    <x v="12"/>
  </r>
  <r>
    <x v="618"/>
    <s v="Копеечка"/>
    <s v="Минск"/>
    <s v="Ягоды"/>
    <s v="Клубника"/>
    <n v="2460"/>
    <n v="77"/>
    <n v="189.42"/>
    <x v="12"/>
  </r>
  <r>
    <x v="618"/>
    <s v="Евроопт"/>
    <s v="Минск"/>
    <s v="Ягоды"/>
    <s v="Черешня"/>
    <n v="1760"/>
    <n v="18"/>
    <n v="31.68"/>
    <x v="12"/>
  </r>
  <r>
    <x v="618"/>
    <s v="Виталюр"/>
    <s v="Минск"/>
    <s v="Ягоды"/>
    <s v="Клубника"/>
    <n v="2460"/>
    <n v="19"/>
    <n v="46.74"/>
    <x v="12"/>
  </r>
  <r>
    <x v="618"/>
    <s v="Евроопт"/>
    <s v="Столбцы"/>
    <s v="Овощи"/>
    <s v="Картофель"/>
    <n v="690"/>
    <n v="11"/>
    <n v="7.59"/>
    <x v="12"/>
  </r>
  <r>
    <x v="618"/>
    <s v="Евроопт"/>
    <s v="Столбцы"/>
    <s v="Овощи"/>
    <s v="Кабачки"/>
    <n v="325"/>
    <n v="26"/>
    <n v="8.4499999999999993"/>
    <x v="12"/>
  </r>
  <r>
    <x v="618"/>
    <s v="Виталюр"/>
    <s v="Столбцы"/>
    <s v="Овощи"/>
    <s v="Кабачки"/>
    <n v="325"/>
    <n v="12"/>
    <n v="3.9"/>
    <x v="12"/>
  </r>
  <r>
    <x v="618"/>
    <s v="Соседи"/>
    <s v="Столбцы"/>
    <s v="Фрукты"/>
    <s v="Абрикосы"/>
    <n v="1320"/>
    <n v="83"/>
    <n v="109.56"/>
    <x v="12"/>
  </r>
  <r>
    <x v="618"/>
    <s v="Евроопт"/>
    <s v="Столбцы"/>
    <s v="Ягоды"/>
    <s v="Брусника"/>
    <n v="1670"/>
    <n v="85"/>
    <n v="141.94999999999999"/>
    <x v="12"/>
  </r>
  <r>
    <x v="619"/>
    <m/>
    <m/>
    <m/>
    <m/>
    <m/>
    <m/>
    <n v="839.54"/>
    <x v="12"/>
  </r>
  <r>
    <x v="620"/>
    <s v="Соседи"/>
    <s v="Барановичи"/>
    <s v="Овощи"/>
    <s v="Свекла"/>
    <n v="450"/>
    <n v="8"/>
    <n v="3.6"/>
    <x v="12"/>
  </r>
  <r>
    <x v="620"/>
    <s v="Евроопт"/>
    <s v="Борисов"/>
    <s v="Овощи"/>
    <s v="Свекла"/>
    <n v="450"/>
    <n v="97"/>
    <n v="43.65"/>
    <x v="12"/>
  </r>
  <r>
    <x v="620"/>
    <s v="Копеечка"/>
    <s v="Борисов"/>
    <s v="Овощи"/>
    <s v="Баклажаны"/>
    <n v="890"/>
    <n v="5"/>
    <n v="4.45"/>
    <x v="12"/>
  </r>
  <r>
    <x v="620"/>
    <s v="Евроопт"/>
    <s v="Борисов"/>
    <s v="Овощи"/>
    <s v="Свекла"/>
    <n v="450"/>
    <n v="60"/>
    <n v="27"/>
    <x v="12"/>
  </r>
  <r>
    <x v="620"/>
    <s v="Соседи"/>
    <s v="Жодино"/>
    <s v="Ягоды"/>
    <s v="Малина"/>
    <n v="2970"/>
    <n v="15"/>
    <n v="44.55"/>
    <x v="12"/>
  </r>
  <r>
    <x v="620"/>
    <s v="Евроопт"/>
    <s v="Минск"/>
    <s v="Овощи"/>
    <s v="Картофель"/>
    <n v="690"/>
    <n v="47"/>
    <n v="32.43"/>
    <x v="12"/>
  </r>
  <r>
    <x v="620"/>
    <s v="Копеечка"/>
    <s v="Столбцы"/>
    <s v="Фрукты"/>
    <s v="Груши"/>
    <n v="1420"/>
    <n v="6"/>
    <n v="8.52"/>
    <x v="12"/>
  </r>
  <r>
    <x v="620"/>
    <s v="Евроопт"/>
    <s v="Фаниполь"/>
    <s v="Зелень"/>
    <s v="Петрушка"/>
    <n v="640"/>
    <n v="40"/>
    <n v="25.6"/>
    <x v="12"/>
  </r>
  <r>
    <x v="620"/>
    <s v="Соседи"/>
    <s v="Фаниполь"/>
    <s v="Фрукты"/>
    <s v="Бананы"/>
    <n v="2400"/>
    <n v="70"/>
    <n v="168"/>
    <x v="12"/>
  </r>
  <r>
    <x v="620"/>
    <s v="Соседи"/>
    <s v="Фаниполь"/>
    <s v="Фрукты"/>
    <s v="Апельсины"/>
    <n v="2540"/>
    <n v="62"/>
    <n v="157.47999999999999"/>
    <x v="12"/>
  </r>
  <r>
    <x v="621"/>
    <m/>
    <m/>
    <m/>
    <m/>
    <m/>
    <m/>
    <n v="515.28"/>
    <x v="12"/>
  </r>
  <r>
    <x v="622"/>
    <s v="Евроопт"/>
    <s v="Барановичи"/>
    <s v="Овощи"/>
    <s v="Баклажаны"/>
    <n v="890"/>
    <n v="87"/>
    <n v="77.430000000000007"/>
    <x v="12"/>
  </r>
  <r>
    <x v="622"/>
    <s v="Евроопт"/>
    <s v="Барановичи"/>
    <s v="Фрукты"/>
    <s v="Бананы"/>
    <n v="2400"/>
    <n v="22"/>
    <n v="52.8"/>
    <x v="12"/>
  </r>
  <r>
    <x v="622"/>
    <s v="Виталюр"/>
    <s v="Барановичи"/>
    <s v="Фрукты"/>
    <s v="Апельсины"/>
    <n v="2540"/>
    <n v="52"/>
    <n v="132.08000000000001"/>
    <x v="12"/>
  </r>
  <r>
    <x v="622"/>
    <s v="Виталюр"/>
    <s v="Борисов"/>
    <s v="Фрукты"/>
    <s v="Сливы"/>
    <n v="930"/>
    <n v="19"/>
    <n v="17.670000000000002"/>
    <x v="12"/>
  </r>
  <r>
    <x v="622"/>
    <s v="Соседи"/>
    <s v="Борисов"/>
    <s v="Ягоды"/>
    <s v="Малина"/>
    <n v="2970"/>
    <n v="34"/>
    <n v="100.98"/>
    <x v="12"/>
  </r>
  <r>
    <x v="622"/>
    <s v="Копеечка"/>
    <s v="Жодино"/>
    <s v="Зелень"/>
    <s v="Укроп"/>
    <n v="650"/>
    <n v="91"/>
    <n v="59.15"/>
    <x v="12"/>
  </r>
  <r>
    <x v="622"/>
    <s v="Соседи"/>
    <s v="Жодино"/>
    <s v="Зелень"/>
    <s v="Укроп"/>
    <n v="650"/>
    <n v="30"/>
    <n v="19.5"/>
    <x v="12"/>
  </r>
  <r>
    <x v="622"/>
    <s v="Виталюр"/>
    <s v="Жодино"/>
    <s v="Овощи"/>
    <s v="Кабачки"/>
    <n v="325"/>
    <n v="78"/>
    <n v="25.35"/>
    <x v="12"/>
  </r>
  <r>
    <x v="622"/>
    <s v="Копеечка"/>
    <s v="Жодино"/>
    <s v="Овощи"/>
    <s v="Картофель"/>
    <n v="690"/>
    <n v="72"/>
    <n v="49.68"/>
    <x v="12"/>
  </r>
  <r>
    <x v="622"/>
    <s v="Евроопт"/>
    <s v="Жодино"/>
    <s v="Ягоды"/>
    <s v="Смородина черная"/>
    <n v="1505"/>
    <n v="77"/>
    <n v="115.88500000000001"/>
    <x v="12"/>
  </r>
  <r>
    <x v="622"/>
    <s v="Копеечка"/>
    <s v="Минск"/>
    <s v="Зелень"/>
    <s v="Укроп"/>
    <n v="650"/>
    <n v="36"/>
    <n v="23.4"/>
    <x v="12"/>
  </r>
  <r>
    <x v="622"/>
    <s v="Соседи"/>
    <s v="Минск"/>
    <s v="Зелень"/>
    <s v="Салат римский"/>
    <n v="540"/>
    <n v="40"/>
    <n v="21.6"/>
    <x v="12"/>
  </r>
  <r>
    <x v="622"/>
    <s v="Соседи"/>
    <s v="Минск"/>
    <s v="Фрукты"/>
    <s v="Яблоки"/>
    <n v="1230"/>
    <n v="14"/>
    <n v="17.22"/>
    <x v="12"/>
  </r>
  <r>
    <x v="622"/>
    <s v="Виталюр"/>
    <s v="Столбцы"/>
    <s v="Овощи"/>
    <s v="Морковь"/>
    <n v="715"/>
    <n v="33"/>
    <n v="23.594999999999999"/>
    <x v="12"/>
  </r>
  <r>
    <x v="622"/>
    <s v="Копеечка"/>
    <s v="Столбцы"/>
    <s v="Ягоды"/>
    <s v="Брусника"/>
    <n v="1670"/>
    <n v="14"/>
    <n v="23.38"/>
    <x v="12"/>
  </r>
  <r>
    <x v="622"/>
    <s v="Копеечка"/>
    <s v="Фаниполь"/>
    <s v="Фрукты"/>
    <s v="Абрикосы"/>
    <n v="1320"/>
    <n v="9"/>
    <n v="11.88"/>
    <x v="12"/>
  </r>
  <r>
    <x v="622"/>
    <s v="Копеечка"/>
    <s v="Фаниполь"/>
    <s v="Ягоды"/>
    <s v="Черешня"/>
    <n v="1760"/>
    <n v="24"/>
    <n v="42.24"/>
    <x v="12"/>
  </r>
  <r>
    <x v="623"/>
    <m/>
    <m/>
    <m/>
    <m/>
    <m/>
    <m/>
    <n v="813.84000000000015"/>
    <x v="12"/>
  </r>
  <r>
    <x v="624"/>
    <s v="Виталюр"/>
    <s v="Барановичи"/>
    <s v="Ягоды"/>
    <s v="Брусника"/>
    <n v="1670"/>
    <n v="6"/>
    <n v="10.02"/>
    <x v="12"/>
  </r>
  <r>
    <x v="624"/>
    <s v="Копеечка"/>
    <s v="Жодино"/>
    <s v="Зелень"/>
    <s v="Кинза"/>
    <n v="650"/>
    <n v="46"/>
    <n v="29.9"/>
    <x v="12"/>
  </r>
  <r>
    <x v="624"/>
    <s v="Соседи"/>
    <s v="Жодино"/>
    <s v="Фрукты"/>
    <s v="Абрикосы"/>
    <n v="1320"/>
    <n v="17"/>
    <n v="22.44"/>
    <x v="12"/>
  </r>
  <r>
    <x v="624"/>
    <s v="Виталюр"/>
    <s v="Жодино"/>
    <s v="Ягоды"/>
    <s v="Клубника"/>
    <n v="2460"/>
    <n v="5"/>
    <n v="12.3"/>
    <x v="12"/>
  </r>
  <r>
    <x v="624"/>
    <s v="Евроопт"/>
    <s v="Минск"/>
    <s v="Фрукты"/>
    <s v="Яблоки"/>
    <n v="1230"/>
    <n v="90"/>
    <n v="110.7"/>
    <x v="12"/>
  </r>
  <r>
    <x v="624"/>
    <s v="Евроопт"/>
    <s v="Фаниполь"/>
    <s v="Овощи"/>
    <s v="Морковь"/>
    <n v="715"/>
    <n v="28"/>
    <n v="20.02"/>
    <x v="12"/>
  </r>
  <r>
    <x v="625"/>
    <m/>
    <m/>
    <m/>
    <m/>
    <m/>
    <m/>
    <n v="205.38000000000002"/>
    <x v="12"/>
  </r>
  <r>
    <x v="626"/>
    <s v="Копеечка"/>
    <s v="Барановичи"/>
    <s v="Овощи"/>
    <s v="Баклажаны"/>
    <n v="890"/>
    <n v="29"/>
    <n v="25.81"/>
    <x v="12"/>
  </r>
  <r>
    <x v="626"/>
    <s v="Копеечка"/>
    <s v="Барановичи"/>
    <s v="Овощи"/>
    <s v="Морковь"/>
    <n v="715"/>
    <n v="51"/>
    <n v="36.465000000000003"/>
    <x v="12"/>
  </r>
  <r>
    <x v="626"/>
    <s v="Копеечка"/>
    <s v="Барановичи"/>
    <s v="Ягоды"/>
    <s v="Черешня"/>
    <n v="1760"/>
    <n v="86"/>
    <n v="151.36000000000001"/>
    <x v="12"/>
  </r>
  <r>
    <x v="626"/>
    <s v="Виталюр"/>
    <s v="Борисов"/>
    <s v="Овощи"/>
    <s v="Картофель"/>
    <n v="690"/>
    <n v="97"/>
    <n v="66.930000000000007"/>
    <x v="12"/>
  </r>
  <r>
    <x v="626"/>
    <s v="Виталюр"/>
    <s v="Жодино"/>
    <s v="Овощи"/>
    <s v="Картофель"/>
    <n v="690"/>
    <n v="27"/>
    <n v="18.63"/>
    <x v="12"/>
  </r>
  <r>
    <x v="626"/>
    <s v="Евроопт"/>
    <s v="Жодино"/>
    <s v="Овощи"/>
    <s v="Баклажаны"/>
    <n v="890"/>
    <n v="68"/>
    <n v="60.52"/>
    <x v="12"/>
  </r>
  <r>
    <x v="626"/>
    <s v="Копеечка"/>
    <s v="Минск"/>
    <s v="Зелень"/>
    <s v="Кинза"/>
    <n v="650"/>
    <n v="34"/>
    <n v="22.1"/>
    <x v="12"/>
  </r>
  <r>
    <x v="626"/>
    <s v="Копеечка"/>
    <s v="Минск"/>
    <s v="Фрукты"/>
    <s v="Сливы"/>
    <n v="930"/>
    <n v="33"/>
    <n v="30.69"/>
    <x v="12"/>
  </r>
  <r>
    <x v="626"/>
    <s v="Евроопт"/>
    <s v="Минск"/>
    <s v="Ягоды"/>
    <s v="Черешня"/>
    <n v="1760"/>
    <n v="9"/>
    <n v="15.84"/>
    <x v="12"/>
  </r>
  <r>
    <x v="626"/>
    <s v="Копеечка"/>
    <s v="Столбцы"/>
    <s v="Ягоды"/>
    <s v="Смородина черная"/>
    <n v="1505"/>
    <n v="15"/>
    <n v="22.574999999999999"/>
    <x v="12"/>
  </r>
  <r>
    <x v="626"/>
    <s v="Виталюр"/>
    <s v="Фаниполь"/>
    <s v="Зелень"/>
    <s v="Салат айсберг"/>
    <n v="1380"/>
    <n v="65"/>
    <n v="89.7"/>
    <x v="12"/>
  </r>
  <r>
    <x v="626"/>
    <s v="Копеечка"/>
    <s v="Фаниполь"/>
    <s v="Овощи"/>
    <s v="Морковь"/>
    <n v="715"/>
    <n v="35"/>
    <n v="25.024999999999999"/>
    <x v="12"/>
  </r>
  <r>
    <x v="626"/>
    <s v="Соседи"/>
    <s v="Фаниполь"/>
    <s v="Фрукты"/>
    <s v="Груши"/>
    <n v="1420"/>
    <n v="69"/>
    <n v="97.98"/>
    <x v="12"/>
  </r>
  <r>
    <x v="627"/>
    <m/>
    <m/>
    <m/>
    <m/>
    <m/>
    <m/>
    <n v="663.625"/>
    <x v="12"/>
  </r>
  <r>
    <x v="628"/>
    <s v="Евроопт"/>
    <s v="Барановичи"/>
    <s v="Овощи"/>
    <s v="Кабачки"/>
    <n v="325"/>
    <n v="75"/>
    <n v="24.375"/>
    <x v="12"/>
  </r>
  <r>
    <x v="628"/>
    <s v="Соседи"/>
    <s v="Барановичи"/>
    <s v="Овощи"/>
    <s v="Кабачки"/>
    <n v="325"/>
    <n v="87"/>
    <n v="28.274999999999999"/>
    <x v="12"/>
  </r>
  <r>
    <x v="628"/>
    <s v="Копеечка"/>
    <s v="Фаниполь"/>
    <s v="Зелень"/>
    <s v="Петрушка"/>
    <n v="640"/>
    <n v="80"/>
    <n v="51.2"/>
    <x v="12"/>
  </r>
  <r>
    <x v="628"/>
    <s v="Виталюр"/>
    <s v="Фаниполь"/>
    <s v="Зелень"/>
    <s v="Петрушка"/>
    <n v="640"/>
    <n v="78"/>
    <n v="49.92"/>
    <x v="12"/>
  </r>
  <r>
    <x v="628"/>
    <s v="Виталюр"/>
    <s v="Фаниполь"/>
    <s v="Фрукты"/>
    <s v="Апельсины"/>
    <n v="2540"/>
    <n v="24"/>
    <n v="60.96"/>
    <x v="12"/>
  </r>
  <r>
    <x v="629"/>
    <m/>
    <m/>
    <m/>
    <m/>
    <m/>
    <m/>
    <n v="214.73"/>
    <x v="12"/>
  </r>
  <r>
    <x v="630"/>
    <s v="Виталюр"/>
    <s v="Барановичи"/>
    <s v="Ягоды"/>
    <s v="Голубика"/>
    <n v="3205"/>
    <n v="10"/>
    <n v="32.049999999999997"/>
    <x v="12"/>
  </r>
  <r>
    <x v="630"/>
    <s v="Виталюр"/>
    <s v="Борисов"/>
    <s v="Зелень"/>
    <s v="Лук зеленый"/>
    <n v="705"/>
    <n v="78"/>
    <n v="54.99"/>
    <x v="12"/>
  </r>
  <r>
    <x v="630"/>
    <s v="Копеечка"/>
    <s v="Жодино"/>
    <s v="Зелень"/>
    <s v="Укроп"/>
    <n v="650"/>
    <n v="69"/>
    <n v="44.85"/>
    <x v="12"/>
  </r>
  <r>
    <x v="630"/>
    <s v="Копеечка"/>
    <s v="Минск"/>
    <s v="Фрукты"/>
    <s v="Бананы"/>
    <n v="2400"/>
    <n v="28"/>
    <n v="67.2"/>
    <x v="12"/>
  </r>
  <r>
    <x v="630"/>
    <s v="Копеечка"/>
    <s v="Минск"/>
    <s v="Ягоды"/>
    <s v="Черешня"/>
    <n v="1760"/>
    <n v="82"/>
    <n v="144.32"/>
    <x v="12"/>
  </r>
  <r>
    <x v="630"/>
    <s v="Соседи"/>
    <s v="Минск"/>
    <s v="Ягоды"/>
    <s v="Малина"/>
    <n v="2970"/>
    <n v="5"/>
    <n v="14.85"/>
    <x v="12"/>
  </r>
  <r>
    <x v="630"/>
    <s v="Соседи"/>
    <s v="Столбцы"/>
    <s v="Фрукты"/>
    <s v="Груши"/>
    <n v="1420"/>
    <n v="34"/>
    <n v="48.28"/>
    <x v="12"/>
  </r>
  <r>
    <x v="630"/>
    <s v="Виталюр"/>
    <s v="Столбцы"/>
    <s v="Ягоды"/>
    <s v="Голубика"/>
    <n v="3205"/>
    <n v="34"/>
    <n v="108.97"/>
    <x v="12"/>
  </r>
  <r>
    <x v="631"/>
    <m/>
    <m/>
    <m/>
    <m/>
    <m/>
    <m/>
    <n v="515.51"/>
    <x v="12"/>
  </r>
  <r>
    <x v="632"/>
    <s v="Соседи"/>
    <s v="Барановичи"/>
    <s v="Овощи"/>
    <s v="Картофель"/>
    <n v="690"/>
    <n v="24"/>
    <n v="16.559999999999999"/>
    <x v="12"/>
  </r>
  <r>
    <x v="632"/>
    <s v="Копеечка"/>
    <s v="Барановичи"/>
    <s v="Ягоды"/>
    <s v="Смородина черная"/>
    <n v="1505"/>
    <n v="9"/>
    <n v="13.545"/>
    <x v="12"/>
  </r>
  <r>
    <x v="632"/>
    <s v="Виталюр"/>
    <s v="Борисов"/>
    <s v="Фрукты"/>
    <s v="Груши"/>
    <n v="1420"/>
    <n v="29"/>
    <n v="41.18"/>
    <x v="12"/>
  </r>
  <r>
    <x v="632"/>
    <s v="Копеечка"/>
    <s v="Жодино"/>
    <s v="Зелень"/>
    <s v="Салат айсберг"/>
    <n v="1380"/>
    <n v="45"/>
    <n v="62.1"/>
    <x v="12"/>
  </r>
  <r>
    <x v="632"/>
    <s v="Евроопт"/>
    <s v="Столбцы"/>
    <s v="Ягоды"/>
    <s v="Брусника"/>
    <n v="1670"/>
    <n v="84"/>
    <n v="140.28"/>
    <x v="12"/>
  </r>
  <r>
    <x v="633"/>
    <m/>
    <m/>
    <m/>
    <m/>
    <m/>
    <m/>
    <n v="273.66499999999996"/>
    <x v="12"/>
  </r>
  <r>
    <x v="634"/>
    <s v="Евроопт"/>
    <s v="Барановичи"/>
    <s v="Зелень"/>
    <s v="Кинза"/>
    <n v="650"/>
    <n v="33"/>
    <n v="21.45"/>
    <x v="12"/>
  </r>
  <r>
    <x v="634"/>
    <s v="Евроопт"/>
    <s v="Барановичи"/>
    <s v="Овощи"/>
    <s v="Капуста"/>
    <n v="460"/>
    <n v="32"/>
    <n v="14.72"/>
    <x v="12"/>
  </r>
  <r>
    <x v="634"/>
    <s v="Копеечка"/>
    <s v="Барановичи"/>
    <s v="Овощи"/>
    <s v="Морковь"/>
    <n v="715"/>
    <n v="22"/>
    <n v="15.73"/>
    <x v="12"/>
  </r>
  <r>
    <x v="634"/>
    <s v="Виталюр"/>
    <s v="Барановичи"/>
    <s v="Фрукты"/>
    <s v="Яблоки"/>
    <n v="1230"/>
    <n v="17"/>
    <n v="20.91"/>
    <x v="12"/>
  </r>
  <r>
    <x v="634"/>
    <s v="Копеечка"/>
    <s v="Барановичи"/>
    <s v="Фрукты"/>
    <s v="Яблоки"/>
    <n v="1230"/>
    <n v="36"/>
    <n v="44.28"/>
    <x v="12"/>
  </r>
  <r>
    <x v="634"/>
    <s v="Копеечка"/>
    <s v="Барановичи"/>
    <s v="Фрукты"/>
    <s v="Апельсины"/>
    <n v="2540"/>
    <n v="7"/>
    <n v="17.78"/>
    <x v="12"/>
  </r>
  <r>
    <x v="634"/>
    <s v="Виталюр"/>
    <s v="Борисов"/>
    <s v="Зелень"/>
    <s v="Лук зеленый"/>
    <n v="705"/>
    <n v="76"/>
    <n v="53.58"/>
    <x v="12"/>
  </r>
  <r>
    <x v="634"/>
    <s v="Евроопт"/>
    <s v="Борисов"/>
    <s v="Ягоды"/>
    <s v="Голубика"/>
    <n v="3205"/>
    <n v="89"/>
    <n v="285.245"/>
    <x v="12"/>
  </r>
  <r>
    <x v="634"/>
    <s v="Евроопт"/>
    <s v="Жодино"/>
    <s v="Ягоды"/>
    <s v="Смородина черная"/>
    <n v="1505"/>
    <n v="97"/>
    <n v="145.98500000000001"/>
    <x v="12"/>
  </r>
  <r>
    <x v="634"/>
    <s v="Соседи"/>
    <s v="Фаниполь"/>
    <s v="Фрукты"/>
    <s v="Яблоки"/>
    <n v="1230"/>
    <n v="64"/>
    <n v="78.72"/>
    <x v="12"/>
  </r>
  <r>
    <x v="635"/>
    <m/>
    <m/>
    <m/>
    <m/>
    <m/>
    <m/>
    <n v="698.40000000000009"/>
    <x v="12"/>
  </r>
  <r>
    <x v="636"/>
    <s v="Виталюр"/>
    <s v="Барановичи"/>
    <s v="Ягоды"/>
    <s v="Смородина черная"/>
    <n v="1505"/>
    <n v="69"/>
    <n v="103.845"/>
    <x v="12"/>
  </r>
  <r>
    <x v="636"/>
    <s v="Копеечка"/>
    <s v="Борисов"/>
    <s v="Зелень"/>
    <s v="Укроп"/>
    <n v="650"/>
    <n v="48"/>
    <n v="31.2"/>
    <x v="12"/>
  </r>
  <r>
    <x v="636"/>
    <s v="Виталюр"/>
    <s v="Борисов"/>
    <s v="Овощи"/>
    <s v="Свекла"/>
    <n v="450"/>
    <n v="98"/>
    <n v="44.1"/>
    <x v="12"/>
  </r>
  <r>
    <x v="636"/>
    <s v="Копеечка"/>
    <s v="Борисов"/>
    <s v="Фрукты"/>
    <s v="Абрикосы"/>
    <n v="1320"/>
    <n v="49"/>
    <n v="64.680000000000007"/>
    <x v="12"/>
  </r>
  <r>
    <x v="636"/>
    <s v="Соседи"/>
    <s v="Борисов"/>
    <s v="Ягоды"/>
    <s v="Клубника"/>
    <n v="2460"/>
    <n v="85"/>
    <n v="209.1"/>
    <x v="12"/>
  </r>
  <r>
    <x v="636"/>
    <s v="Копеечка"/>
    <s v="Жодино"/>
    <s v="Ягоды"/>
    <s v="Клубника"/>
    <n v="2460"/>
    <n v="74"/>
    <n v="182.04"/>
    <x v="12"/>
  </r>
  <r>
    <x v="636"/>
    <s v="Копеечка"/>
    <s v="Жодино"/>
    <s v="Ягоды"/>
    <s v="Смородина черная"/>
    <n v="1505"/>
    <n v="82"/>
    <n v="123.41"/>
    <x v="12"/>
  </r>
  <r>
    <x v="636"/>
    <s v="Копеечка"/>
    <s v="Минск"/>
    <s v="Фрукты"/>
    <s v="Яблоки"/>
    <n v="1230"/>
    <n v="49"/>
    <n v="60.27"/>
    <x v="12"/>
  </r>
  <r>
    <x v="636"/>
    <s v="Евроопт"/>
    <s v="Столбцы"/>
    <s v="Овощи"/>
    <s v="Капуста"/>
    <n v="460"/>
    <n v="23"/>
    <n v="10.58"/>
    <x v="12"/>
  </r>
  <r>
    <x v="636"/>
    <s v="Виталюр"/>
    <s v="Фаниполь"/>
    <s v="Овощи"/>
    <s v="Кабачки"/>
    <n v="325"/>
    <n v="68"/>
    <n v="22.1"/>
    <x v="12"/>
  </r>
  <r>
    <x v="636"/>
    <s v="Соседи"/>
    <s v="Фаниполь"/>
    <s v="Фрукты"/>
    <s v="Бананы"/>
    <n v="2400"/>
    <n v="24"/>
    <n v="57.6"/>
    <x v="12"/>
  </r>
  <r>
    <x v="637"/>
    <m/>
    <m/>
    <m/>
    <m/>
    <m/>
    <m/>
    <n v="908.92499999999995"/>
    <x v="12"/>
  </r>
  <r>
    <x v="638"/>
    <s v="Соседи"/>
    <s v="Барановичи"/>
    <s v="Овощи"/>
    <s v="Капуста"/>
    <n v="460"/>
    <n v="12"/>
    <n v="5.52"/>
    <x v="12"/>
  </r>
  <r>
    <x v="638"/>
    <s v="Евроопт"/>
    <s v="Барановичи"/>
    <s v="Ягоды"/>
    <s v="Черешня"/>
    <n v="1760"/>
    <n v="58"/>
    <n v="102.08"/>
    <x v="12"/>
  </r>
  <r>
    <x v="638"/>
    <s v="Евроопт"/>
    <s v="Борисов"/>
    <s v="Зелень"/>
    <s v="Петрушка"/>
    <n v="640"/>
    <n v="40"/>
    <n v="25.6"/>
    <x v="12"/>
  </r>
  <r>
    <x v="638"/>
    <s v="Виталюр"/>
    <s v="Минск"/>
    <s v="Зелень"/>
    <s v="Салат римский"/>
    <n v="540"/>
    <n v="65"/>
    <n v="35.1"/>
    <x v="12"/>
  </r>
  <r>
    <x v="638"/>
    <s v="Виталюр"/>
    <s v="Фаниполь"/>
    <s v="Зелень"/>
    <s v="Салат айсберг"/>
    <n v="1380"/>
    <n v="44"/>
    <n v="60.72"/>
    <x v="12"/>
  </r>
  <r>
    <x v="638"/>
    <s v="Евроопт"/>
    <s v="Фаниполь"/>
    <s v="Овощи"/>
    <s v="Баклажаны"/>
    <n v="890"/>
    <n v="63"/>
    <n v="56.07"/>
    <x v="12"/>
  </r>
  <r>
    <x v="638"/>
    <s v="Соседи"/>
    <s v="Фаниполь"/>
    <s v="Фрукты"/>
    <s v="Абрикосы"/>
    <n v="1320"/>
    <n v="54"/>
    <n v="71.28"/>
    <x v="12"/>
  </r>
  <r>
    <x v="639"/>
    <m/>
    <m/>
    <m/>
    <m/>
    <m/>
    <m/>
    <n v="356.37"/>
    <x v="12"/>
  </r>
  <r>
    <x v="640"/>
    <s v="Соседи"/>
    <s v="Барановичи"/>
    <s v="Зелень"/>
    <s v="Укроп"/>
    <n v="650"/>
    <n v="44"/>
    <n v="28.6"/>
    <x v="12"/>
  </r>
  <r>
    <x v="640"/>
    <s v="Соседи"/>
    <s v="Барановичи"/>
    <s v="Зелень"/>
    <s v="Кинза"/>
    <n v="650"/>
    <n v="26"/>
    <n v="16.899999999999999"/>
    <x v="12"/>
  </r>
  <r>
    <x v="640"/>
    <s v="Евроопт"/>
    <s v="Борисов"/>
    <s v="Фрукты"/>
    <s v="Сливы"/>
    <n v="930"/>
    <n v="87"/>
    <n v="80.91"/>
    <x v="12"/>
  </r>
  <r>
    <x v="640"/>
    <s v="Соседи"/>
    <s v="Борисов"/>
    <s v="Фрукты"/>
    <s v="Яблоки"/>
    <n v="1230"/>
    <n v="61"/>
    <n v="75.03"/>
    <x v="12"/>
  </r>
  <r>
    <x v="640"/>
    <s v="Соседи"/>
    <s v="Борисов"/>
    <s v="Фрукты"/>
    <s v="Яблоки"/>
    <n v="1230"/>
    <n v="17"/>
    <n v="20.91"/>
    <x v="12"/>
  </r>
  <r>
    <x v="640"/>
    <s v="Виталюр"/>
    <s v="Жодино"/>
    <s v="Фрукты"/>
    <s v="Апельсины"/>
    <n v="2540"/>
    <n v="88"/>
    <n v="223.52"/>
    <x v="12"/>
  </r>
  <r>
    <x v="640"/>
    <s v="Соседи"/>
    <s v="Жодино"/>
    <s v="Фрукты"/>
    <s v="Сливы"/>
    <n v="930"/>
    <n v="66"/>
    <n v="61.38"/>
    <x v="12"/>
  </r>
  <r>
    <x v="640"/>
    <s v="Соседи"/>
    <s v="Жодино"/>
    <s v="Фрукты"/>
    <s v="Абрикосы"/>
    <n v="1320"/>
    <n v="94"/>
    <n v="124.08"/>
    <x v="12"/>
  </r>
  <r>
    <x v="640"/>
    <s v="Виталюр"/>
    <s v="Минск"/>
    <s v="Ягоды"/>
    <s v="Черешня"/>
    <n v="1760"/>
    <n v="20"/>
    <n v="35.200000000000003"/>
    <x v="12"/>
  </r>
  <r>
    <x v="640"/>
    <s v="Виталюр"/>
    <s v="Фаниполь"/>
    <s v="Зелень"/>
    <s v="Салат айсберг"/>
    <n v="1380"/>
    <n v="22"/>
    <n v="30.36"/>
    <x v="12"/>
  </r>
  <r>
    <x v="640"/>
    <s v="Копеечка"/>
    <s v="Фаниполь"/>
    <s v="Овощи"/>
    <s v="Баклажаны"/>
    <n v="890"/>
    <n v="95"/>
    <n v="84.55"/>
    <x v="12"/>
  </r>
  <r>
    <x v="641"/>
    <m/>
    <m/>
    <m/>
    <m/>
    <m/>
    <m/>
    <n v="781.44"/>
    <x v="12"/>
  </r>
  <r>
    <x v="642"/>
    <s v="Соседи"/>
    <s v="Барановичи"/>
    <s v="Зелень"/>
    <s v="Петрушка"/>
    <n v="640"/>
    <n v="62"/>
    <n v="39.68"/>
    <x v="12"/>
  </r>
  <r>
    <x v="642"/>
    <s v="Евроопт"/>
    <s v="Барановичи"/>
    <s v="Фрукты"/>
    <s v="Сливы"/>
    <n v="930"/>
    <n v="35"/>
    <n v="32.549999999999997"/>
    <x v="12"/>
  </r>
  <r>
    <x v="642"/>
    <s v="Соседи"/>
    <s v="Борисов"/>
    <s v="Овощи"/>
    <s v="Морковь"/>
    <n v="715"/>
    <n v="46"/>
    <n v="32.89"/>
    <x v="12"/>
  </r>
  <r>
    <x v="642"/>
    <s v="Виталюр"/>
    <s v="Жодино"/>
    <s v="Овощи"/>
    <s v="Морковь"/>
    <n v="715"/>
    <n v="60"/>
    <n v="42.9"/>
    <x v="12"/>
  </r>
  <r>
    <x v="642"/>
    <s v="Соседи"/>
    <s v="Жодино"/>
    <s v="Ягоды"/>
    <s v="Малина"/>
    <n v="2970"/>
    <n v="76"/>
    <n v="225.72"/>
    <x v="12"/>
  </r>
  <r>
    <x v="642"/>
    <s v="Копеечка"/>
    <s v="Минск"/>
    <s v="Зелень"/>
    <s v="Салат римский"/>
    <n v="540"/>
    <n v="19"/>
    <n v="10.26"/>
    <x v="12"/>
  </r>
  <r>
    <x v="642"/>
    <s v="Соседи"/>
    <s v="Столбцы"/>
    <s v="Овощи"/>
    <s v="Капуста"/>
    <n v="460"/>
    <n v="26"/>
    <n v="11.96"/>
    <x v="12"/>
  </r>
  <r>
    <x v="642"/>
    <s v="Евроопт"/>
    <s v="Столбцы"/>
    <s v="Фрукты"/>
    <s v="Сливы"/>
    <n v="930"/>
    <n v="66"/>
    <n v="61.38"/>
    <x v="12"/>
  </r>
  <r>
    <x v="642"/>
    <s v="Евроопт"/>
    <s v="Столбцы"/>
    <s v="Ягоды"/>
    <s v="Смородина черная"/>
    <n v="1505"/>
    <n v="36"/>
    <n v="54.18"/>
    <x v="12"/>
  </r>
  <r>
    <x v="643"/>
    <m/>
    <m/>
    <m/>
    <m/>
    <m/>
    <m/>
    <n v="511.52"/>
    <x v="12"/>
  </r>
  <r>
    <x v="644"/>
    <s v="Соседи"/>
    <s v="Барановичи"/>
    <s v="Зелень"/>
    <s v="Салат римский"/>
    <n v="540"/>
    <n v="65"/>
    <n v="35.1"/>
    <x v="12"/>
  </r>
  <r>
    <x v="644"/>
    <s v="Соседи"/>
    <s v="Барановичи"/>
    <s v="Фрукты"/>
    <s v="Яблоки"/>
    <n v="1230"/>
    <n v="16"/>
    <n v="19.68"/>
    <x v="12"/>
  </r>
  <r>
    <x v="644"/>
    <s v="Евроопт"/>
    <s v="Барановичи"/>
    <s v="Ягоды"/>
    <s v="Малина"/>
    <n v="2970"/>
    <n v="52"/>
    <n v="154.44"/>
    <x v="12"/>
  </r>
  <r>
    <x v="644"/>
    <s v="Копеечка"/>
    <s v="Барановичи"/>
    <s v="Ягоды"/>
    <s v="Клубника"/>
    <n v="2460"/>
    <n v="79"/>
    <n v="194.34"/>
    <x v="12"/>
  </r>
  <r>
    <x v="644"/>
    <s v="Копеечка"/>
    <s v="Борисов"/>
    <s v="Ягоды"/>
    <s v="Черешня"/>
    <n v="1760"/>
    <n v="68"/>
    <n v="119.68"/>
    <x v="12"/>
  </r>
  <r>
    <x v="644"/>
    <s v="Копеечка"/>
    <s v="Минск"/>
    <s v="Овощи"/>
    <s v="Капуста"/>
    <n v="460"/>
    <n v="57"/>
    <n v="26.22"/>
    <x v="12"/>
  </r>
  <r>
    <x v="644"/>
    <s v="Виталюр"/>
    <s v="Минск"/>
    <s v="Овощи"/>
    <s v="Кабачки"/>
    <n v="325"/>
    <n v="5"/>
    <n v="1.625"/>
    <x v="12"/>
  </r>
  <r>
    <x v="644"/>
    <s v="Соседи"/>
    <s v="Минск"/>
    <s v="Фрукты"/>
    <s v="Абрикосы"/>
    <n v="1320"/>
    <n v="82"/>
    <n v="108.24"/>
    <x v="12"/>
  </r>
  <r>
    <x v="644"/>
    <s v="Виталюр"/>
    <s v="Столбцы"/>
    <s v="Зелень"/>
    <s v="Петрушка"/>
    <n v="640"/>
    <n v="45"/>
    <n v="28.8"/>
    <x v="12"/>
  </r>
  <r>
    <x v="644"/>
    <s v="Евроопт"/>
    <s v="Фаниполь"/>
    <s v="Зелень"/>
    <s v="Салат айсберг"/>
    <n v="1380"/>
    <n v="82"/>
    <n v="113.16"/>
    <x v="12"/>
  </r>
  <r>
    <x v="644"/>
    <s v="Соседи"/>
    <s v="Фаниполь"/>
    <s v="Зелень"/>
    <s v="Салат римский"/>
    <n v="540"/>
    <n v="70"/>
    <n v="37.799999999999997"/>
    <x v="12"/>
  </r>
  <r>
    <x v="644"/>
    <s v="Соседи"/>
    <s v="Фаниполь"/>
    <s v="Фрукты"/>
    <s v="Апельсины"/>
    <n v="2540"/>
    <n v="54"/>
    <n v="137.16"/>
    <x v="12"/>
  </r>
  <r>
    <x v="645"/>
    <m/>
    <m/>
    <m/>
    <m/>
    <m/>
    <m/>
    <n v="976.24499999999989"/>
    <x v="12"/>
  </r>
  <r>
    <x v="646"/>
    <s v="Евроопт"/>
    <s v="Борисов"/>
    <s v="Овощи"/>
    <s v="Картофель"/>
    <n v="690"/>
    <n v="51"/>
    <n v="35.19"/>
    <x v="12"/>
  </r>
  <r>
    <x v="646"/>
    <s v="Соседи"/>
    <s v="Борисов"/>
    <s v="Фрукты"/>
    <s v="Абрикосы"/>
    <n v="1320"/>
    <n v="84"/>
    <n v="110.88"/>
    <x v="12"/>
  </r>
  <r>
    <x v="646"/>
    <s v="Копеечка"/>
    <s v="Жодино"/>
    <s v="Ягоды"/>
    <s v="Смородина черная"/>
    <n v="1505"/>
    <n v="45"/>
    <n v="67.724999999999994"/>
    <x v="12"/>
  </r>
  <r>
    <x v="646"/>
    <s v="Евроопт"/>
    <s v="Минск"/>
    <s v="Овощи"/>
    <s v="Кабачки"/>
    <n v="325"/>
    <n v="15"/>
    <n v="4.875"/>
    <x v="12"/>
  </r>
  <r>
    <x v="646"/>
    <s v="Соседи"/>
    <s v="Минск"/>
    <s v="Фрукты"/>
    <s v="Груши"/>
    <n v="1420"/>
    <n v="38"/>
    <n v="53.96"/>
    <x v="12"/>
  </r>
  <r>
    <x v="646"/>
    <s v="Виталюр"/>
    <s v="Столбцы"/>
    <s v="Зелень"/>
    <s v="Петрушка"/>
    <n v="640"/>
    <n v="45"/>
    <n v="28.8"/>
    <x v="12"/>
  </r>
  <r>
    <x v="646"/>
    <s v="Виталюр"/>
    <s v="Столбцы"/>
    <s v="Овощи"/>
    <s v="Картофель"/>
    <n v="690"/>
    <n v="27"/>
    <n v="18.63"/>
    <x v="12"/>
  </r>
  <r>
    <x v="646"/>
    <s v="Евроопт"/>
    <s v="Столбцы"/>
    <s v="Овощи"/>
    <s v="Кабачки"/>
    <n v="325"/>
    <n v="52"/>
    <n v="16.899999999999999"/>
    <x v="12"/>
  </r>
  <r>
    <x v="646"/>
    <s v="Евроопт"/>
    <s v="Столбцы"/>
    <s v="Фрукты"/>
    <s v="Абрикосы"/>
    <n v="1320"/>
    <n v="42"/>
    <n v="55.44"/>
    <x v="12"/>
  </r>
  <r>
    <x v="646"/>
    <s v="Евроопт"/>
    <s v="Столбцы"/>
    <s v="Ягоды"/>
    <s v="Смородина черная"/>
    <n v="1505"/>
    <n v="30"/>
    <n v="45.15"/>
    <x v="12"/>
  </r>
  <r>
    <x v="646"/>
    <s v="Евроопт"/>
    <s v="Фаниполь"/>
    <s v="Овощи"/>
    <s v="Морковь"/>
    <n v="715"/>
    <n v="62"/>
    <n v="44.33"/>
    <x v="12"/>
  </r>
  <r>
    <x v="646"/>
    <s v="Копеечка"/>
    <s v="Фаниполь"/>
    <s v="Овощи"/>
    <s v="Картофель"/>
    <n v="690"/>
    <n v="71"/>
    <n v="48.99"/>
    <x v="12"/>
  </r>
  <r>
    <x v="646"/>
    <s v="Соседи"/>
    <s v="Фаниполь"/>
    <s v="Овощи"/>
    <s v="Баклажаны"/>
    <n v="890"/>
    <n v="27"/>
    <n v="24.03"/>
    <x v="12"/>
  </r>
  <r>
    <x v="647"/>
    <m/>
    <m/>
    <m/>
    <m/>
    <m/>
    <m/>
    <n v="554.89999999999986"/>
    <x v="12"/>
  </r>
  <r>
    <x v="648"/>
    <s v="Виталюр"/>
    <s v="Жодино"/>
    <s v="Зелень"/>
    <s v="Лук зеленый"/>
    <n v="705"/>
    <n v="93"/>
    <n v="65.564999999999998"/>
    <x v="12"/>
  </r>
  <r>
    <x v="648"/>
    <s v="Виталюр"/>
    <s v="Жодино"/>
    <s v="Ягоды"/>
    <s v="Смородина черная"/>
    <n v="1505"/>
    <n v="67"/>
    <n v="100.83499999999999"/>
    <x v="12"/>
  </r>
  <r>
    <x v="648"/>
    <s v="Копеечка"/>
    <s v="Минск"/>
    <s v="Фрукты"/>
    <s v="Яблоки"/>
    <n v="1230"/>
    <n v="40"/>
    <n v="49.2"/>
    <x v="12"/>
  </r>
  <r>
    <x v="648"/>
    <s v="Копеечка"/>
    <s v="Фаниполь"/>
    <s v="Зелень"/>
    <s v="Салат айсберг"/>
    <n v="1380"/>
    <n v="34"/>
    <n v="46.92"/>
    <x v="12"/>
  </r>
  <r>
    <x v="648"/>
    <s v="Соседи"/>
    <s v="Фаниполь"/>
    <s v="Овощи"/>
    <s v="Кабачки"/>
    <n v="325"/>
    <n v="35"/>
    <n v="11.375"/>
    <x v="12"/>
  </r>
  <r>
    <x v="648"/>
    <s v="Евроопт"/>
    <s v="Фаниполь"/>
    <s v="Овощи"/>
    <s v="Морковь"/>
    <n v="715"/>
    <n v="12"/>
    <n v="8.58"/>
    <x v="12"/>
  </r>
  <r>
    <x v="649"/>
    <m/>
    <m/>
    <m/>
    <m/>
    <m/>
    <m/>
    <n v="282.47499999999997"/>
    <x v="12"/>
  </r>
  <r>
    <x v="650"/>
    <s v="Копеечка"/>
    <s v="Барановичи"/>
    <s v="Овощи"/>
    <s v="Капуста"/>
    <n v="460"/>
    <n v="60"/>
    <n v="27.6"/>
    <x v="12"/>
  </r>
  <r>
    <x v="650"/>
    <s v="Копеечка"/>
    <s v="Борисов"/>
    <s v="Овощи"/>
    <s v="Свекла"/>
    <n v="450"/>
    <n v="14"/>
    <n v="6.3"/>
    <x v="12"/>
  </r>
  <r>
    <x v="650"/>
    <s v="Копеечка"/>
    <s v="Жодино"/>
    <s v="Овощи"/>
    <s v="Капуста"/>
    <n v="460"/>
    <n v="23"/>
    <n v="10.58"/>
    <x v="12"/>
  </r>
  <r>
    <x v="650"/>
    <s v="Соседи"/>
    <s v="Жодино"/>
    <s v="Ягоды"/>
    <s v="Голубика"/>
    <n v="3205"/>
    <n v="85"/>
    <n v="272.42500000000001"/>
    <x v="12"/>
  </r>
  <r>
    <x v="650"/>
    <s v="Евроопт"/>
    <s v="Столбцы"/>
    <s v="Зелень"/>
    <s v="Петрушка"/>
    <n v="640"/>
    <n v="22"/>
    <n v="14.08"/>
    <x v="12"/>
  </r>
  <r>
    <x v="650"/>
    <s v="Евроопт"/>
    <s v="Столбцы"/>
    <s v="Зелень"/>
    <s v="Кинза"/>
    <n v="650"/>
    <n v="54"/>
    <n v="35.1"/>
    <x v="12"/>
  </r>
  <r>
    <x v="650"/>
    <s v="Соседи"/>
    <s v="Столбцы"/>
    <s v="Фрукты"/>
    <s v="Сливы"/>
    <n v="930"/>
    <n v="93"/>
    <n v="86.49"/>
    <x v="12"/>
  </r>
  <r>
    <x v="650"/>
    <s v="Копеечка"/>
    <s v="Фаниполь"/>
    <s v="Зелень"/>
    <s v="Укроп"/>
    <n v="650"/>
    <n v="66"/>
    <n v="42.9"/>
    <x v="12"/>
  </r>
  <r>
    <x v="650"/>
    <s v="Копеечка"/>
    <s v="Фаниполь"/>
    <s v="Зелень"/>
    <s v="Кинза"/>
    <n v="650"/>
    <n v="50"/>
    <n v="32.5"/>
    <x v="12"/>
  </r>
  <r>
    <x v="650"/>
    <s v="Евроопт"/>
    <s v="Фаниполь"/>
    <s v="Овощи"/>
    <s v="Морковь"/>
    <n v="715"/>
    <n v="66"/>
    <n v="47.19"/>
    <x v="12"/>
  </r>
  <r>
    <x v="650"/>
    <s v="Евроопт"/>
    <s v="Фаниполь"/>
    <s v="Ягоды"/>
    <s v="Голубика"/>
    <n v="3205"/>
    <n v="71"/>
    <n v="227.55500000000001"/>
    <x v="12"/>
  </r>
  <r>
    <x v="651"/>
    <m/>
    <m/>
    <m/>
    <m/>
    <m/>
    <m/>
    <n v="802.72"/>
    <x v="12"/>
  </r>
  <r>
    <x v="652"/>
    <s v="Евроопт"/>
    <s v="Барановичи"/>
    <s v="Фрукты"/>
    <s v="Яблоки"/>
    <n v="1230"/>
    <n v="37"/>
    <n v="45.51"/>
    <x v="12"/>
  </r>
  <r>
    <x v="652"/>
    <s v="Соседи"/>
    <s v="Борисов"/>
    <s v="Зелень"/>
    <s v="Кинза"/>
    <n v="650"/>
    <n v="65"/>
    <n v="42.25"/>
    <x v="12"/>
  </r>
  <r>
    <x v="652"/>
    <s v="Соседи"/>
    <s v="Борисов"/>
    <s v="Овощи"/>
    <s v="Морковь"/>
    <n v="715"/>
    <n v="53"/>
    <n v="37.895000000000003"/>
    <x v="12"/>
  </r>
  <r>
    <x v="652"/>
    <s v="Евроопт"/>
    <s v="Борисов"/>
    <s v="Ягоды"/>
    <s v="Клубника"/>
    <n v="2460"/>
    <n v="24"/>
    <n v="59.04"/>
    <x v="12"/>
  </r>
  <r>
    <x v="652"/>
    <s v="Копеечка"/>
    <s v="Жодино"/>
    <s v="Овощи"/>
    <s v="Морковь"/>
    <n v="715"/>
    <n v="84"/>
    <n v="60.06"/>
    <x v="12"/>
  </r>
  <r>
    <x v="652"/>
    <s v="Виталюр"/>
    <s v="Жодино"/>
    <s v="Фрукты"/>
    <s v="Бананы"/>
    <n v="2400"/>
    <n v="87"/>
    <n v="208.8"/>
    <x v="12"/>
  </r>
  <r>
    <x v="652"/>
    <s v="Соседи"/>
    <s v="Столбцы"/>
    <s v="Зелень"/>
    <s v="Лук зеленый"/>
    <n v="705"/>
    <n v="15"/>
    <n v="10.574999999999999"/>
    <x v="12"/>
  </r>
  <r>
    <x v="652"/>
    <s v="Копеечка"/>
    <s v="Столбцы"/>
    <s v="Овощи"/>
    <s v="Капуста"/>
    <n v="460"/>
    <n v="85"/>
    <n v="39.1"/>
    <x v="12"/>
  </r>
  <r>
    <x v="652"/>
    <s v="Евроопт"/>
    <s v="Столбцы"/>
    <s v="Овощи"/>
    <s v="Морковь"/>
    <n v="715"/>
    <n v="32"/>
    <n v="22.88"/>
    <x v="12"/>
  </r>
  <r>
    <x v="652"/>
    <s v="Копеечка"/>
    <s v="Столбцы"/>
    <s v="Фрукты"/>
    <s v="Груши"/>
    <n v="1420"/>
    <n v="97"/>
    <n v="137.74"/>
    <x v="12"/>
  </r>
  <r>
    <x v="653"/>
    <m/>
    <m/>
    <m/>
    <m/>
    <m/>
    <m/>
    <n v="663.85"/>
    <x v="12"/>
  </r>
  <r>
    <x v="654"/>
    <s v="Соседи"/>
    <s v="Барановичи"/>
    <s v="Овощи"/>
    <s v="Капуста"/>
    <n v="460"/>
    <n v="69"/>
    <n v="31.74"/>
    <x v="12"/>
  </r>
  <r>
    <x v="654"/>
    <s v="Соседи"/>
    <s v="Борисов"/>
    <s v="Зелень"/>
    <s v="Петрушка"/>
    <n v="640"/>
    <n v="24"/>
    <n v="15.36"/>
    <x v="12"/>
  </r>
  <r>
    <x v="654"/>
    <s v="Евроопт"/>
    <s v="Борисов"/>
    <s v="Зелень"/>
    <s v="Салат айсберг"/>
    <n v="1380"/>
    <n v="61"/>
    <n v="84.18"/>
    <x v="12"/>
  </r>
  <r>
    <x v="654"/>
    <s v="Соседи"/>
    <s v="Борисов"/>
    <s v="Ягоды"/>
    <s v="Малина"/>
    <n v="2970"/>
    <n v="42"/>
    <n v="124.74"/>
    <x v="12"/>
  </r>
  <r>
    <x v="654"/>
    <s v="Соседи"/>
    <s v="Жодино"/>
    <s v="Фрукты"/>
    <s v="Сливы"/>
    <n v="930"/>
    <n v="38"/>
    <n v="35.340000000000003"/>
    <x v="12"/>
  </r>
  <r>
    <x v="654"/>
    <s v="Виталюр"/>
    <s v="Минск"/>
    <s v="Овощи"/>
    <s v="Кабачки"/>
    <n v="325"/>
    <n v="81"/>
    <n v="26.324999999999999"/>
    <x v="12"/>
  </r>
  <r>
    <x v="654"/>
    <s v="Копеечка"/>
    <s v="Столбцы"/>
    <s v="Фрукты"/>
    <s v="Апельсины"/>
    <n v="2540"/>
    <n v="43"/>
    <n v="109.22"/>
    <x v="12"/>
  </r>
  <r>
    <x v="654"/>
    <s v="Соседи"/>
    <s v="Столбцы"/>
    <s v="Ягоды"/>
    <s v="Брусника"/>
    <n v="1670"/>
    <n v="6"/>
    <n v="10.02"/>
    <x v="12"/>
  </r>
  <r>
    <x v="654"/>
    <s v="Соседи"/>
    <s v="Фаниполь"/>
    <s v="Овощи"/>
    <s v="Баклажаны"/>
    <n v="890"/>
    <n v="97"/>
    <n v="86.33"/>
    <x v="12"/>
  </r>
  <r>
    <x v="654"/>
    <s v="Копеечка"/>
    <s v="Фаниполь"/>
    <s v="Овощи"/>
    <s v="Морковь"/>
    <n v="715"/>
    <n v="51"/>
    <n v="36.465000000000003"/>
    <x v="12"/>
  </r>
  <r>
    <x v="654"/>
    <s v="Копеечка"/>
    <s v="Фаниполь"/>
    <s v="Овощи"/>
    <s v="Баклажаны"/>
    <n v="890"/>
    <n v="40"/>
    <n v="35.6"/>
    <x v="12"/>
  </r>
  <r>
    <x v="655"/>
    <m/>
    <m/>
    <m/>
    <m/>
    <m/>
    <m/>
    <n v="595.32000000000005"/>
    <x v="12"/>
  </r>
  <r>
    <x v="656"/>
    <s v="Виталюр"/>
    <s v="Барановичи"/>
    <s v="Зелень"/>
    <s v="Кинза"/>
    <n v="650"/>
    <n v="20"/>
    <n v="13"/>
    <x v="12"/>
  </r>
  <r>
    <x v="656"/>
    <s v="Евроопт"/>
    <s v="Барановичи"/>
    <s v="Зелень"/>
    <s v="Петрушка"/>
    <n v="640"/>
    <n v="96"/>
    <n v="61.44"/>
    <x v="12"/>
  </r>
  <r>
    <x v="656"/>
    <s v="Виталюр"/>
    <s v="Барановичи"/>
    <s v="Овощи"/>
    <s v="Баклажаны"/>
    <n v="890"/>
    <n v="98"/>
    <n v="87.22"/>
    <x v="12"/>
  </r>
  <r>
    <x v="656"/>
    <s v="Виталюр"/>
    <s v="Барановичи"/>
    <s v="Овощи"/>
    <s v="Свекла"/>
    <n v="450"/>
    <n v="40"/>
    <n v="18"/>
    <x v="12"/>
  </r>
  <r>
    <x v="656"/>
    <s v="Евроопт"/>
    <s v="Борисов"/>
    <s v="Овощи"/>
    <s v="Капуста"/>
    <n v="460"/>
    <n v="81"/>
    <n v="37.26"/>
    <x v="12"/>
  </r>
  <r>
    <x v="656"/>
    <s v="Копеечка"/>
    <s v="Жодино"/>
    <s v="Фрукты"/>
    <s v="Яблоки"/>
    <n v="1230"/>
    <n v="81"/>
    <n v="99.63"/>
    <x v="12"/>
  </r>
  <r>
    <x v="656"/>
    <s v="Соседи"/>
    <s v="Фаниполь"/>
    <s v="Овощи"/>
    <s v="Картофель"/>
    <n v="690"/>
    <n v="13"/>
    <n v="8.9700000000000006"/>
    <x v="12"/>
  </r>
  <r>
    <x v="657"/>
    <m/>
    <m/>
    <m/>
    <m/>
    <m/>
    <m/>
    <n v="325.52"/>
    <x v="12"/>
  </r>
  <r>
    <x v="658"/>
    <s v="Евроопт"/>
    <s v="Барановичи"/>
    <s v="Овощи"/>
    <s v="Кабачки"/>
    <n v="325"/>
    <n v="85"/>
    <n v="27.625"/>
    <x v="12"/>
  </r>
  <r>
    <x v="658"/>
    <s v="Соседи"/>
    <s v="Барановичи"/>
    <s v="Овощи"/>
    <s v="Кабачки"/>
    <n v="325"/>
    <n v="5"/>
    <n v="1.625"/>
    <x v="12"/>
  </r>
  <r>
    <x v="658"/>
    <s v="Евроопт"/>
    <s v="Барановичи"/>
    <s v="Фрукты"/>
    <s v="Апельсины"/>
    <n v="2540"/>
    <n v="93"/>
    <n v="236.22"/>
    <x v="12"/>
  </r>
  <r>
    <x v="658"/>
    <s v="Соседи"/>
    <s v="Барановичи"/>
    <s v="Ягоды"/>
    <s v="Малина"/>
    <n v="2970"/>
    <n v="94"/>
    <n v="279.18"/>
    <x v="12"/>
  </r>
  <r>
    <x v="658"/>
    <s v="Евроопт"/>
    <s v="Барановичи"/>
    <s v="Ягоды"/>
    <s v="Брусника"/>
    <n v="1670"/>
    <n v="93"/>
    <n v="155.31"/>
    <x v="12"/>
  </r>
  <r>
    <x v="658"/>
    <s v="Евроопт"/>
    <s v="Борисов"/>
    <s v="Овощи"/>
    <s v="Морковь"/>
    <n v="715"/>
    <n v="57"/>
    <n v="40.755000000000003"/>
    <x v="12"/>
  </r>
  <r>
    <x v="658"/>
    <s v="Виталюр"/>
    <s v="Борисов"/>
    <s v="Овощи"/>
    <s v="Картофель"/>
    <n v="690"/>
    <n v="61"/>
    <n v="42.09"/>
    <x v="12"/>
  </r>
  <r>
    <x v="658"/>
    <s v="Копеечка"/>
    <s v="Борисов"/>
    <s v="Овощи"/>
    <s v="Картофель"/>
    <n v="690"/>
    <n v="81"/>
    <n v="55.89"/>
    <x v="12"/>
  </r>
  <r>
    <x v="658"/>
    <s v="Соседи"/>
    <s v="Жодино"/>
    <s v="Фрукты"/>
    <s v="Апельсины"/>
    <n v="2540"/>
    <n v="28"/>
    <n v="71.12"/>
    <x v="12"/>
  </r>
  <r>
    <x v="658"/>
    <s v="Виталюр"/>
    <s v="Столбцы"/>
    <s v="Зелень"/>
    <s v="Петрушка"/>
    <n v="640"/>
    <n v="47"/>
    <n v="30.08"/>
    <x v="12"/>
  </r>
  <r>
    <x v="658"/>
    <s v="Виталюр"/>
    <s v="Столбцы"/>
    <s v="Зелень"/>
    <s v="Салат айсберг"/>
    <n v="1380"/>
    <n v="19"/>
    <n v="26.22"/>
    <x v="12"/>
  </r>
  <r>
    <x v="658"/>
    <s v="Евроопт"/>
    <s v="Столбцы"/>
    <s v="Фрукты"/>
    <s v="Бананы"/>
    <n v="2400"/>
    <n v="17"/>
    <n v="40.799999999999997"/>
    <x v="12"/>
  </r>
  <r>
    <x v="658"/>
    <s v="Копеечка"/>
    <s v="Фаниполь"/>
    <s v="Овощи"/>
    <s v="Свекла"/>
    <n v="450"/>
    <n v="90"/>
    <n v="40.5"/>
    <x v="12"/>
  </r>
  <r>
    <x v="658"/>
    <s v="Соседи"/>
    <s v="Фаниполь"/>
    <s v="Ягоды"/>
    <s v="Брусника"/>
    <n v="1670"/>
    <n v="37"/>
    <n v="61.79"/>
    <x v="12"/>
  </r>
  <r>
    <x v="659"/>
    <m/>
    <m/>
    <m/>
    <m/>
    <m/>
    <m/>
    <n v="1109.2049999999999"/>
    <x v="12"/>
  </r>
  <r>
    <x v="660"/>
    <s v="Копеечка"/>
    <s v="Барановичи"/>
    <s v="Овощи"/>
    <s v="Кабачки"/>
    <n v="325"/>
    <n v="17"/>
    <n v="5.5250000000000004"/>
    <x v="12"/>
  </r>
  <r>
    <x v="660"/>
    <s v="Соседи"/>
    <s v="Барановичи"/>
    <s v="Фрукты"/>
    <s v="Абрикосы"/>
    <n v="1320"/>
    <n v="88"/>
    <n v="116.16"/>
    <x v="12"/>
  </r>
  <r>
    <x v="660"/>
    <s v="Соседи"/>
    <s v="Борисов"/>
    <s v="Ягоды"/>
    <s v="Брусника"/>
    <n v="1670"/>
    <n v="99"/>
    <n v="165.33"/>
    <x v="12"/>
  </r>
  <r>
    <x v="660"/>
    <s v="Евроопт"/>
    <s v="Жодино"/>
    <s v="Овощи"/>
    <s v="Кабачки"/>
    <n v="325"/>
    <n v="55"/>
    <n v="17.875"/>
    <x v="12"/>
  </r>
  <r>
    <x v="660"/>
    <s v="Евроопт"/>
    <s v="Жодино"/>
    <s v="Ягоды"/>
    <s v="Смородина черная"/>
    <n v="1505"/>
    <n v="92"/>
    <n v="138.46"/>
    <x v="12"/>
  </r>
  <r>
    <x v="660"/>
    <s v="Виталюр"/>
    <s v="Столбцы"/>
    <s v="Зелень"/>
    <s v="Укроп"/>
    <n v="650"/>
    <n v="88"/>
    <n v="57.2"/>
    <x v="12"/>
  </r>
  <r>
    <x v="660"/>
    <s v="Евроопт"/>
    <s v="Столбцы"/>
    <s v="Зелень"/>
    <s v="Салат айсберг"/>
    <n v="1380"/>
    <n v="66"/>
    <n v="91.08"/>
    <x v="12"/>
  </r>
  <r>
    <x v="660"/>
    <s v="Соседи"/>
    <s v="Столбцы"/>
    <s v="Фрукты"/>
    <s v="Груши"/>
    <n v="1420"/>
    <n v="22"/>
    <n v="31.24"/>
    <x v="12"/>
  </r>
  <r>
    <x v="660"/>
    <s v="Копеечка"/>
    <s v="Фаниполь"/>
    <s v="Фрукты"/>
    <s v="Груши"/>
    <n v="1420"/>
    <n v="6"/>
    <n v="8.52"/>
    <x v="12"/>
  </r>
  <r>
    <x v="660"/>
    <s v="Виталюр"/>
    <s v="Фаниполь"/>
    <s v="Ягоды"/>
    <s v="Малина"/>
    <n v="2970"/>
    <n v="94"/>
    <n v="279.18"/>
    <x v="12"/>
  </r>
  <r>
    <x v="661"/>
    <m/>
    <m/>
    <m/>
    <m/>
    <m/>
    <m/>
    <n v="910.56999999999994"/>
    <x v="12"/>
  </r>
  <r>
    <x v="662"/>
    <s v="Копеечка"/>
    <s v="Барановичи"/>
    <s v="Зелень"/>
    <s v="Салат римский"/>
    <n v="540"/>
    <n v="56"/>
    <n v="30.24"/>
    <x v="12"/>
  </r>
  <r>
    <x v="662"/>
    <s v="Копеечка"/>
    <s v="Борисов"/>
    <s v="Зелень"/>
    <s v="Салат айсберг"/>
    <n v="1380"/>
    <n v="61"/>
    <n v="84.18"/>
    <x v="12"/>
  </r>
  <r>
    <x v="662"/>
    <s v="Копеечка"/>
    <s v="Жодино"/>
    <s v="Зелень"/>
    <s v="Салат римский"/>
    <n v="540"/>
    <n v="5"/>
    <n v="2.7"/>
    <x v="12"/>
  </r>
  <r>
    <x v="662"/>
    <s v="Виталюр"/>
    <s v="Минск"/>
    <s v="Овощи"/>
    <s v="Капуста"/>
    <n v="460"/>
    <n v="34"/>
    <n v="15.64"/>
    <x v="12"/>
  </r>
  <r>
    <x v="662"/>
    <s v="Виталюр"/>
    <s v="Минск"/>
    <s v="Овощи"/>
    <s v="Картофель"/>
    <n v="690"/>
    <n v="56"/>
    <n v="38.64"/>
    <x v="12"/>
  </r>
  <r>
    <x v="662"/>
    <s v="Евроопт"/>
    <s v="Минск"/>
    <s v="Овощи"/>
    <s v="Свекла"/>
    <n v="450"/>
    <n v="50"/>
    <n v="22.5"/>
    <x v="12"/>
  </r>
  <r>
    <x v="662"/>
    <s v="Соседи"/>
    <s v="Минск"/>
    <s v="Фрукты"/>
    <s v="Яблоки"/>
    <n v="1230"/>
    <n v="33"/>
    <n v="40.590000000000003"/>
    <x v="12"/>
  </r>
  <r>
    <x v="662"/>
    <s v="Виталюр"/>
    <s v="Минск"/>
    <s v="Ягоды"/>
    <s v="Клубника"/>
    <n v="2460"/>
    <n v="12"/>
    <n v="29.52"/>
    <x v="12"/>
  </r>
  <r>
    <x v="662"/>
    <s v="Евроопт"/>
    <s v="Столбцы"/>
    <s v="Зелень"/>
    <s v="Кинза"/>
    <n v="650"/>
    <n v="72"/>
    <n v="46.8"/>
    <x v="12"/>
  </r>
  <r>
    <x v="662"/>
    <s v="Виталюр"/>
    <s v="Столбцы"/>
    <s v="Овощи"/>
    <s v="Свекла"/>
    <n v="450"/>
    <n v="41"/>
    <n v="18.45"/>
    <x v="12"/>
  </r>
  <r>
    <x v="662"/>
    <s v="Виталюр"/>
    <s v="Столбцы"/>
    <s v="Фрукты"/>
    <s v="Яблоки"/>
    <n v="1230"/>
    <n v="80"/>
    <n v="98.4"/>
    <x v="12"/>
  </r>
  <r>
    <x v="662"/>
    <s v="Соседи"/>
    <s v="Столбцы"/>
    <s v="Фрукты"/>
    <s v="Бананы"/>
    <n v="2400"/>
    <n v="71"/>
    <n v="170.4"/>
    <x v="12"/>
  </r>
  <r>
    <x v="662"/>
    <s v="Виталюр"/>
    <s v="Столбцы"/>
    <s v="Ягоды"/>
    <s v="Черешня"/>
    <n v="1760"/>
    <n v="54"/>
    <n v="95.04"/>
    <x v="12"/>
  </r>
  <r>
    <x v="662"/>
    <s v="Соседи"/>
    <s v="Фаниполь"/>
    <s v="Зелень"/>
    <s v="Лук зеленый"/>
    <n v="705"/>
    <n v="95"/>
    <n v="66.974999999999994"/>
    <x v="12"/>
  </r>
  <r>
    <x v="662"/>
    <s v="Виталюр"/>
    <s v="Фаниполь"/>
    <s v="Фрукты"/>
    <s v="Абрикосы"/>
    <n v="1320"/>
    <n v="74"/>
    <n v="97.68"/>
    <x v="12"/>
  </r>
  <r>
    <x v="663"/>
    <m/>
    <m/>
    <m/>
    <m/>
    <m/>
    <m/>
    <n v="857.75499999999988"/>
    <x v="12"/>
  </r>
  <r>
    <x v="664"/>
    <s v="Соседи"/>
    <s v="Борисов"/>
    <s v="Зелень"/>
    <s v="Кинза"/>
    <n v="650"/>
    <n v="6"/>
    <n v="3.9"/>
    <x v="12"/>
  </r>
  <r>
    <x v="664"/>
    <s v="Копеечка"/>
    <s v="Борисов"/>
    <s v="Зелень"/>
    <s v="Салат римский"/>
    <n v="540"/>
    <n v="97"/>
    <n v="52.38"/>
    <x v="12"/>
  </r>
  <r>
    <x v="664"/>
    <s v="Копеечка"/>
    <s v="Борисов"/>
    <s v="Овощи"/>
    <s v="Морковь"/>
    <n v="715"/>
    <n v="91"/>
    <n v="65.064999999999998"/>
    <x v="12"/>
  </r>
  <r>
    <x v="664"/>
    <s v="Евроопт"/>
    <s v="Борисов"/>
    <s v="Овощи"/>
    <s v="Свекла"/>
    <n v="450"/>
    <n v="14"/>
    <n v="6.3"/>
    <x v="12"/>
  </r>
  <r>
    <x v="664"/>
    <s v="Виталюр"/>
    <s v="Жодино"/>
    <s v="Зелень"/>
    <s v="Петрушка"/>
    <n v="640"/>
    <n v="46"/>
    <n v="29.44"/>
    <x v="12"/>
  </r>
  <r>
    <x v="664"/>
    <s v="Соседи"/>
    <s v="Жодино"/>
    <s v="Ягоды"/>
    <s v="Голубика"/>
    <n v="3205"/>
    <n v="7"/>
    <n v="22.434999999999999"/>
    <x v="12"/>
  </r>
  <r>
    <x v="664"/>
    <s v="Виталюр"/>
    <s v="Минск"/>
    <s v="Овощи"/>
    <s v="Баклажаны"/>
    <n v="890"/>
    <n v="76"/>
    <n v="67.64"/>
    <x v="12"/>
  </r>
  <r>
    <x v="664"/>
    <s v="Соседи"/>
    <s v="Минск"/>
    <s v="Фрукты"/>
    <s v="Сливы"/>
    <n v="930"/>
    <n v="36"/>
    <n v="33.479999999999997"/>
    <x v="12"/>
  </r>
  <r>
    <x v="664"/>
    <s v="Евроопт"/>
    <s v="Столбцы"/>
    <s v="Овощи"/>
    <s v="Картофель"/>
    <n v="690"/>
    <n v="15"/>
    <n v="10.35"/>
    <x v="12"/>
  </r>
  <r>
    <x v="664"/>
    <s v="Евроопт"/>
    <s v="Столбцы"/>
    <s v="Ягоды"/>
    <s v="Голубика"/>
    <n v="3205"/>
    <n v="37"/>
    <n v="118.58499999999999"/>
    <x v="12"/>
  </r>
  <r>
    <x v="664"/>
    <s v="Евроопт"/>
    <s v="Столбцы"/>
    <s v="Ягоды"/>
    <s v="Малина"/>
    <n v="2970"/>
    <n v="21"/>
    <n v="62.37"/>
    <x v="12"/>
  </r>
  <r>
    <x v="664"/>
    <s v="Соседи"/>
    <s v="Фаниполь"/>
    <s v="Фрукты"/>
    <s v="Бананы"/>
    <n v="2400"/>
    <n v="29"/>
    <n v="69.599999999999994"/>
    <x v="12"/>
  </r>
  <r>
    <x v="665"/>
    <m/>
    <m/>
    <m/>
    <m/>
    <m/>
    <m/>
    <n v="541.54500000000007"/>
    <x v="12"/>
  </r>
  <r>
    <x v="666"/>
    <s v="Соседи"/>
    <s v="Барановичи"/>
    <s v="Фрукты"/>
    <s v="Яблоки"/>
    <n v="1230"/>
    <n v="8"/>
    <n v="9.84"/>
    <x v="12"/>
  </r>
  <r>
    <x v="666"/>
    <s v="Виталюр"/>
    <s v="Барановичи"/>
    <s v="Ягоды"/>
    <s v="Смородина черная"/>
    <n v="1505"/>
    <n v="67"/>
    <n v="100.83499999999999"/>
    <x v="12"/>
  </r>
  <r>
    <x v="666"/>
    <s v="Евроопт"/>
    <s v="Борисов"/>
    <s v="Фрукты"/>
    <s v="Груши"/>
    <n v="1420"/>
    <n v="46"/>
    <n v="65.319999999999993"/>
    <x v="12"/>
  </r>
  <r>
    <x v="666"/>
    <s v="Соседи"/>
    <s v="Борисов"/>
    <s v="Фрукты"/>
    <s v="Абрикосы"/>
    <n v="1320"/>
    <n v="67"/>
    <n v="88.44"/>
    <x v="12"/>
  </r>
  <r>
    <x v="666"/>
    <s v="Евроопт"/>
    <s v="Жодино"/>
    <s v="Зелень"/>
    <s v="Салат айсберг"/>
    <n v="1380"/>
    <n v="85"/>
    <n v="117.3"/>
    <x v="12"/>
  </r>
  <r>
    <x v="666"/>
    <s v="Виталюр"/>
    <s v="Жодино"/>
    <s v="Овощи"/>
    <s v="Картофель"/>
    <n v="690"/>
    <n v="34"/>
    <n v="23.46"/>
    <x v="12"/>
  </r>
  <r>
    <x v="666"/>
    <s v="Соседи"/>
    <s v="Жодино"/>
    <s v="Фрукты"/>
    <s v="Яблоки"/>
    <n v="1230"/>
    <n v="30"/>
    <n v="36.9"/>
    <x v="12"/>
  </r>
  <r>
    <x v="666"/>
    <s v="Копеечка"/>
    <s v="Минск"/>
    <s v="Зелень"/>
    <s v="Лук зеленый"/>
    <n v="705"/>
    <n v="93"/>
    <n v="65.564999999999998"/>
    <x v="12"/>
  </r>
  <r>
    <x v="666"/>
    <s v="Копеечка"/>
    <s v="Столбцы"/>
    <s v="Фрукты"/>
    <s v="Апельсины"/>
    <n v="2540"/>
    <n v="94"/>
    <n v="238.76"/>
    <x v="12"/>
  </r>
  <r>
    <x v="666"/>
    <s v="Соседи"/>
    <s v="Столбцы"/>
    <s v="Ягоды"/>
    <s v="Клубника"/>
    <n v="2460"/>
    <n v="16"/>
    <n v="39.36"/>
    <x v="12"/>
  </r>
  <r>
    <x v="667"/>
    <m/>
    <m/>
    <m/>
    <m/>
    <m/>
    <m/>
    <n v="785.78"/>
    <x v="12"/>
  </r>
  <r>
    <x v="668"/>
    <s v="Копеечка"/>
    <s v="Барановичи"/>
    <s v="Фрукты"/>
    <s v="Яблоки"/>
    <n v="1230"/>
    <n v="29"/>
    <n v="35.67"/>
    <x v="12"/>
  </r>
  <r>
    <x v="668"/>
    <s v="Копеечка"/>
    <s v="Борисов"/>
    <s v="Зелень"/>
    <s v="Укроп"/>
    <n v="650"/>
    <n v="56"/>
    <n v="36.4"/>
    <x v="12"/>
  </r>
  <r>
    <x v="668"/>
    <s v="Копеечка"/>
    <s v="Минск"/>
    <s v="Ягоды"/>
    <s v="Клубника"/>
    <n v="2460"/>
    <n v="19"/>
    <n v="46.74"/>
    <x v="12"/>
  </r>
  <r>
    <x v="668"/>
    <s v="Копеечка"/>
    <s v="Столбцы"/>
    <s v="Ягоды"/>
    <s v="Клубника"/>
    <n v="2460"/>
    <n v="8"/>
    <n v="19.68"/>
    <x v="12"/>
  </r>
  <r>
    <x v="668"/>
    <s v="Евроопт"/>
    <s v="Фаниполь"/>
    <s v="Зелень"/>
    <s v="Петрушка"/>
    <n v="640"/>
    <n v="30"/>
    <n v="19.2"/>
    <x v="12"/>
  </r>
  <r>
    <x v="669"/>
    <m/>
    <m/>
    <m/>
    <m/>
    <m/>
    <m/>
    <n v="157.69"/>
    <x v="12"/>
  </r>
  <r>
    <x v="670"/>
    <s v="Санта"/>
    <s v="Борисов"/>
    <s v="Зелень"/>
    <s v="Лук зеленый"/>
    <n v="7050"/>
    <n v="588"/>
    <n v="4145.3999999999996"/>
    <x v="10"/>
  </r>
  <r>
    <x v="671"/>
    <m/>
    <m/>
    <m/>
    <m/>
    <m/>
    <m/>
    <n v="4145.3999999999996"/>
    <x v="1"/>
  </r>
  <r>
    <x v="672"/>
    <m/>
    <m/>
    <m/>
    <m/>
    <m/>
    <m/>
    <n v="241608.38499999995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6">
  <r>
    <d v="2023-01-01T00:00:00"/>
    <x v="0"/>
    <x v="0"/>
    <x v="0"/>
    <x v="0"/>
    <n v="1320"/>
    <n v="189"/>
    <x v="0"/>
    <x v="0"/>
  </r>
  <r>
    <d v="2023-01-01T00:00:00"/>
    <x v="1"/>
    <x v="1"/>
    <x v="1"/>
    <x v="1"/>
    <n v="1380"/>
    <n v="27"/>
    <x v="1"/>
    <x v="0"/>
  </r>
  <r>
    <d v="2023-01-01T00:00:00"/>
    <x v="2"/>
    <x v="1"/>
    <x v="2"/>
    <x v="2"/>
    <n v="3250"/>
    <n v="20"/>
    <x v="2"/>
    <x v="0"/>
  </r>
  <r>
    <s v="01.01.2023 Итого"/>
    <x v="3"/>
    <x v="2"/>
    <x v="3"/>
    <x v="3"/>
    <m/>
    <m/>
    <x v="3"/>
    <x v="0"/>
  </r>
  <r>
    <d v="2023-02-01T00:00:00"/>
    <x v="0"/>
    <x v="3"/>
    <x v="2"/>
    <x v="4"/>
    <n v="450"/>
    <n v="44"/>
    <x v="4"/>
    <x v="0"/>
  </r>
  <r>
    <d v="2023-02-01T00:00:00"/>
    <x v="4"/>
    <x v="3"/>
    <x v="0"/>
    <x v="5"/>
    <n v="930"/>
    <n v="86"/>
    <x v="5"/>
    <x v="0"/>
  </r>
  <r>
    <d v="2023-02-01T00:00:00"/>
    <x v="4"/>
    <x v="0"/>
    <x v="1"/>
    <x v="6"/>
    <n v="640"/>
    <n v="72"/>
    <x v="6"/>
    <x v="0"/>
  </r>
  <r>
    <d v="2023-02-01T00:00:00"/>
    <x v="1"/>
    <x v="0"/>
    <x v="4"/>
    <x v="7"/>
    <n v="1760"/>
    <n v="84"/>
    <x v="7"/>
    <x v="0"/>
  </r>
  <r>
    <d v="2023-02-01T00:00:00"/>
    <x v="4"/>
    <x v="4"/>
    <x v="2"/>
    <x v="8"/>
    <n v="460"/>
    <n v="83"/>
    <x v="8"/>
    <x v="0"/>
  </r>
  <r>
    <d v="2023-02-01T00:00:00"/>
    <x v="4"/>
    <x v="4"/>
    <x v="2"/>
    <x v="9"/>
    <n v="690"/>
    <n v="15"/>
    <x v="9"/>
    <x v="0"/>
  </r>
  <r>
    <d v="2023-02-01T00:00:00"/>
    <x v="4"/>
    <x v="4"/>
    <x v="0"/>
    <x v="10"/>
    <n v="1230"/>
    <n v="39"/>
    <x v="10"/>
    <x v="0"/>
  </r>
  <r>
    <d v="2023-02-01T00:00:00"/>
    <x v="4"/>
    <x v="4"/>
    <x v="0"/>
    <x v="0"/>
    <n v="1320"/>
    <n v="32"/>
    <x v="11"/>
    <x v="0"/>
  </r>
  <r>
    <d v="2023-02-01T00:00:00"/>
    <x v="2"/>
    <x v="4"/>
    <x v="4"/>
    <x v="11"/>
    <n v="2970"/>
    <n v="20"/>
    <x v="12"/>
    <x v="0"/>
  </r>
  <r>
    <d v="2023-02-01T00:00:00"/>
    <x v="2"/>
    <x v="1"/>
    <x v="2"/>
    <x v="12"/>
    <n v="715"/>
    <n v="14"/>
    <x v="13"/>
    <x v="0"/>
  </r>
  <r>
    <d v="2023-02-01T00:00:00"/>
    <x v="0"/>
    <x v="1"/>
    <x v="4"/>
    <x v="13"/>
    <n v="1505"/>
    <n v="6"/>
    <x v="14"/>
    <x v="0"/>
  </r>
  <r>
    <d v="2023-02-01T00:00:00"/>
    <x v="0"/>
    <x v="5"/>
    <x v="1"/>
    <x v="6"/>
    <n v="640"/>
    <n v="65"/>
    <x v="15"/>
    <x v="0"/>
  </r>
  <r>
    <d v="2023-02-01T00:00:00"/>
    <x v="1"/>
    <x v="5"/>
    <x v="4"/>
    <x v="14"/>
    <n v="1670"/>
    <n v="49"/>
    <x v="16"/>
    <x v="0"/>
  </r>
  <r>
    <d v="2023-02-01T00:00:00"/>
    <x v="1"/>
    <x v="6"/>
    <x v="2"/>
    <x v="9"/>
    <n v="690"/>
    <n v="45"/>
    <x v="17"/>
    <x v="0"/>
  </r>
  <r>
    <d v="2023-02-01T00:00:00"/>
    <x v="2"/>
    <x v="6"/>
    <x v="4"/>
    <x v="15"/>
    <n v="2460"/>
    <n v="58"/>
    <x v="18"/>
    <x v="0"/>
  </r>
  <r>
    <s v="01.02.2023 Итого"/>
    <x v="3"/>
    <x v="2"/>
    <x v="3"/>
    <x v="3"/>
    <m/>
    <m/>
    <x v="19"/>
    <x v="0"/>
  </r>
  <r>
    <d v="2023-02-02T00:00:00"/>
    <x v="4"/>
    <x v="3"/>
    <x v="2"/>
    <x v="4"/>
    <n v="450"/>
    <n v="96"/>
    <x v="20"/>
    <x v="0"/>
  </r>
  <r>
    <d v="2023-02-02T00:00:00"/>
    <x v="0"/>
    <x v="3"/>
    <x v="2"/>
    <x v="12"/>
    <n v="715"/>
    <n v="94"/>
    <x v="21"/>
    <x v="0"/>
  </r>
  <r>
    <d v="2023-02-02T00:00:00"/>
    <x v="2"/>
    <x v="3"/>
    <x v="2"/>
    <x v="9"/>
    <n v="690"/>
    <n v="35"/>
    <x v="22"/>
    <x v="0"/>
  </r>
  <r>
    <d v="2023-02-02T00:00:00"/>
    <x v="4"/>
    <x v="3"/>
    <x v="2"/>
    <x v="12"/>
    <n v="715"/>
    <n v="67"/>
    <x v="23"/>
    <x v="0"/>
  </r>
  <r>
    <d v="2023-02-02T00:00:00"/>
    <x v="1"/>
    <x v="0"/>
    <x v="2"/>
    <x v="9"/>
    <n v="690"/>
    <n v="9"/>
    <x v="24"/>
    <x v="0"/>
  </r>
  <r>
    <d v="2023-02-02T00:00:00"/>
    <x v="2"/>
    <x v="4"/>
    <x v="2"/>
    <x v="2"/>
    <n v="325"/>
    <n v="21"/>
    <x v="25"/>
    <x v="0"/>
  </r>
  <r>
    <d v="2023-02-02T00:00:00"/>
    <x v="1"/>
    <x v="4"/>
    <x v="0"/>
    <x v="0"/>
    <n v="1320"/>
    <n v="54"/>
    <x v="26"/>
    <x v="0"/>
  </r>
  <r>
    <d v="2023-02-02T00:00:00"/>
    <x v="4"/>
    <x v="4"/>
    <x v="4"/>
    <x v="13"/>
    <n v="1505"/>
    <n v="21"/>
    <x v="27"/>
    <x v="0"/>
  </r>
  <r>
    <d v="2023-02-02T00:00:00"/>
    <x v="1"/>
    <x v="5"/>
    <x v="2"/>
    <x v="12"/>
    <n v="715"/>
    <n v="15"/>
    <x v="28"/>
    <x v="0"/>
  </r>
  <r>
    <d v="2023-02-02T00:00:00"/>
    <x v="2"/>
    <x v="6"/>
    <x v="2"/>
    <x v="16"/>
    <n v="890"/>
    <n v="26"/>
    <x v="29"/>
    <x v="0"/>
  </r>
  <r>
    <d v="2023-02-02T00:00:00"/>
    <x v="0"/>
    <x v="6"/>
    <x v="0"/>
    <x v="17"/>
    <n v="2400"/>
    <n v="33"/>
    <x v="30"/>
    <x v="0"/>
  </r>
  <r>
    <s v="02.02.2023 Итог"/>
    <x v="3"/>
    <x v="2"/>
    <x v="3"/>
    <x v="3"/>
    <m/>
    <m/>
    <x v="31"/>
    <x v="0"/>
  </r>
  <r>
    <d v="2023-02-03T00:00:00"/>
    <x v="4"/>
    <x v="3"/>
    <x v="4"/>
    <x v="7"/>
    <n v="1760"/>
    <n v="59"/>
    <x v="32"/>
    <x v="0"/>
  </r>
  <r>
    <d v="2023-02-03T00:00:00"/>
    <x v="1"/>
    <x v="0"/>
    <x v="2"/>
    <x v="12"/>
    <n v="715"/>
    <n v="39"/>
    <x v="33"/>
    <x v="0"/>
  </r>
  <r>
    <d v="2023-02-03T00:00:00"/>
    <x v="2"/>
    <x v="0"/>
    <x v="4"/>
    <x v="15"/>
    <n v="2460"/>
    <n v="67"/>
    <x v="34"/>
    <x v="0"/>
  </r>
  <r>
    <d v="2023-02-03T00:00:00"/>
    <x v="2"/>
    <x v="4"/>
    <x v="2"/>
    <x v="9"/>
    <n v="690"/>
    <n v="79"/>
    <x v="35"/>
    <x v="0"/>
  </r>
  <r>
    <d v="2023-02-03T00:00:00"/>
    <x v="4"/>
    <x v="4"/>
    <x v="0"/>
    <x v="5"/>
    <n v="930"/>
    <n v="44"/>
    <x v="36"/>
    <x v="0"/>
  </r>
  <r>
    <d v="2023-02-03T00:00:00"/>
    <x v="0"/>
    <x v="1"/>
    <x v="2"/>
    <x v="12"/>
    <n v="715"/>
    <n v="75"/>
    <x v="37"/>
    <x v="0"/>
  </r>
  <r>
    <d v="2023-02-03T00:00:00"/>
    <x v="2"/>
    <x v="1"/>
    <x v="2"/>
    <x v="2"/>
    <n v="325"/>
    <n v="17"/>
    <x v="38"/>
    <x v="0"/>
  </r>
  <r>
    <d v="2023-02-03T00:00:00"/>
    <x v="2"/>
    <x v="5"/>
    <x v="1"/>
    <x v="18"/>
    <n v="650"/>
    <n v="85"/>
    <x v="39"/>
    <x v="0"/>
  </r>
  <r>
    <d v="2023-02-03T00:00:00"/>
    <x v="2"/>
    <x v="5"/>
    <x v="0"/>
    <x v="5"/>
    <n v="930"/>
    <n v="97"/>
    <x v="40"/>
    <x v="0"/>
  </r>
  <r>
    <d v="2023-02-03T00:00:00"/>
    <x v="1"/>
    <x v="5"/>
    <x v="4"/>
    <x v="11"/>
    <n v="2970"/>
    <n v="80"/>
    <x v="41"/>
    <x v="0"/>
  </r>
  <r>
    <d v="2023-02-03T00:00:00"/>
    <x v="4"/>
    <x v="6"/>
    <x v="2"/>
    <x v="12"/>
    <n v="715"/>
    <n v="62"/>
    <x v="42"/>
    <x v="0"/>
  </r>
  <r>
    <s v="03.02.2023 Итог"/>
    <x v="3"/>
    <x v="2"/>
    <x v="3"/>
    <x v="3"/>
    <m/>
    <m/>
    <x v="43"/>
    <x v="0"/>
  </r>
  <r>
    <d v="2023-02-04T00:00:00"/>
    <x v="2"/>
    <x v="3"/>
    <x v="1"/>
    <x v="19"/>
    <n v="540"/>
    <n v="73"/>
    <x v="44"/>
    <x v="0"/>
  </r>
  <r>
    <d v="2023-02-04T00:00:00"/>
    <x v="2"/>
    <x v="3"/>
    <x v="2"/>
    <x v="2"/>
    <n v="325"/>
    <n v="50"/>
    <x v="45"/>
    <x v="0"/>
  </r>
  <r>
    <d v="2023-02-04T00:00:00"/>
    <x v="1"/>
    <x v="4"/>
    <x v="1"/>
    <x v="20"/>
    <n v="650"/>
    <n v="29"/>
    <x v="46"/>
    <x v="0"/>
  </r>
  <r>
    <d v="2023-02-04T00:00:00"/>
    <x v="2"/>
    <x v="4"/>
    <x v="2"/>
    <x v="12"/>
    <n v="715"/>
    <n v="39"/>
    <x v="33"/>
    <x v="0"/>
  </r>
  <r>
    <s v="04.02.2023 Итог"/>
    <x v="3"/>
    <x v="2"/>
    <x v="3"/>
    <x v="3"/>
    <m/>
    <m/>
    <x v="47"/>
    <x v="0"/>
  </r>
  <r>
    <d v="2023-02-05T00:00:00"/>
    <x v="2"/>
    <x v="0"/>
    <x v="2"/>
    <x v="16"/>
    <n v="890"/>
    <n v="25"/>
    <x v="48"/>
    <x v="0"/>
  </r>
  <r>
    <d v="2023-02-05T00:00:00"/>
    <x v="0"/>
    <x v="0"/>
    <x v="0"/>
    <x v="17"/>
    <n v="2400"/>
    <n v="35"/>
    <x v="49"/>
    <x v="0"/>
  </r>
  <r>
    <d v="2023-02-05T00:00:00"/>
    <x v="1"/>
    <x v="0"/>
    <x v="4"/>
    <x v="21"/>
    <n v="3205"/>
    <n v="96"/>
    <x v="50"/>
    <x v="0"/>
  </r>
  <r>
    <d v="2023-02-05T00:00:00"/>
    <x v="2"/>
    <x v="4"/>
    <x v="2"/>
    <x v="8"/>
    <n v="460"/>
    <n v="24"/>
    <x v="51"/>
    <x v="0"/>
  </r>
  <r>
    <d v="2023-02-05T00:00:00"/>
    <x v="2"/>
    <x v="1"/>
    <x v="1"/>
    <x v="19"/>
    <n v="540"/>
    <n v="77"/>
    <x v="52"/>
    <x v="0"/>
  </r>
  <r>
    <d v="2023-02-05T00:00:00"/>
    <x v="2"/>
    <x v="1"/>
    <x v="1"/>
    <x v="19"/>
    <n v="540"/>
    <n v="11"/>
    <x v="53"/>
    <x v="0"/>
  </r>
  <r>
    <d v="2023-02-05T00:00:00"/>
    <x v="4"/>
    <x v="1"/>
    <x v="2"/>
    <x v="16"/>
    <n v="890"/>
    <n v="75"/>
    <x v="54"/>
    <x v="0"/>
  </r>
  <r>
    <d v="2023-02-05T00:00:00"/>
    <x v="4"/>
    <x v="1"/>
    <x v="4"/>
    <x v="15"/>
    <n v="2460"/>
    <n v="100"/>
    <x v="55"/>
    <x v="0"/>
  </r>
  <r>
    <d v="2023-02-05T00:00:00"/>
    <x v="1"/>
    <x v="5"/>
    <x v="0"/>
    <x v="22"/>
    <n v="1420"/>
    <n v="76"/>
    <x v="56"/>
    <x v="0"/>
  </r>
  <r>
    <s v="05.02.2023 Итог"/>
    <x v="3"/>
    <x v="2"/>
    <x v="3"/>
    <x v="3"/>
    <m/>
    <m/>
    <x v="57"/>
    <x v="0"/>
  </r>
  <r>
    <d v="2023-02-06T00:00:00"/>
    <x v="4"/>
    <x v="3"/>
    <x v="1"/>
    <x v="23"/>
    <n v="705"/>
    <n v="33"/>
    <x v="58"/>
    <x v="0"/>
  </r>
  <r>
    <d v="2023-02-06T00:00:00"/>
    <x v="4"/>
    <x v="3"/>
    <x v="0"/>
    <x v="17"/>
    <n v="2400"/>
    <n v="67"/>
    <x v="59"/>
    <x v="0"/>
  </r>
  <r>
    <d v="2023-02-06T00:00:00"/>
    <x v="4"/>
    <x v="0"/>
    <x v="1"/>
    <x v="19"/>
    <n v="540"/>
    <n v="68"/>
    <x v="60"/>
    <x v="0"/>
  </r>
  <r>
    <d v="2023-02-06T00:00:00"/>
    <x v="0"/>
    <x v="4"/>
    <x v="2"/>
    <x v="4"/>
    <n v="450"/>
    <n v="20"/>
    <x v="61"/>
    <x v="0"/>
  </r>
  <r>
    <d v="2023-02-06T00:00:00"/>
    <x v="2"/>
    <x v="5"/>
    <x v="1"/>
    <x v="19"/>
    <n v="540"/>
    <n v="79"/>
    <x v="62"/>
    <x v="0"/>
  </r>
  <r>
    <d v="2023-02-06T00:00:00"/>
    <x v="4"/>
    <x v="5"/>
    <x v="4"/>
    <x v="7"/>
    <n v="1760"/>
    <n v="5"/>
    <x v="63"/>
    <x v="0"/>
  </r>
  <r>
    <d v="2023-02-06T00:00:00"/>
    <x v="4"/>
    <x v="6"/>
    <x v="2"/>
    <x v="2"/>
    <n v="325"/>
    <n v="67"/>
    <x v="64"/>
    <x v="0"/>
  </r>
  <r>
    <d v="2023-02-06T00:00:00"/>
    <x v="2"/>
    <x v="6"/>
    <x v="0"/>
    <x v="5"/>
    <n v="930"/>
    <n v="26"/>
    <x v="65"/>
    <x v="0"/>
  </r>
  <r>
    <s v="06.02.2023 Итог"/>
    <x v="3"/>
    <x v="2"/>
    <x v="3"/>
    <x v="3"/>
    <m/>
    <m/>
    <x v="66"/>
    <x v="0"/>
  </r>
  <r>
    <d v="2023-02-07T00:00:00"/>
    <x v="1"/>
    <x v="3"/>
    <x v="1"/>
    <x v="6"/>
    <n v="640"/>
    <n v="52"/>
    <x v="67"/>
    <x v="0"/>
  </r>
  <r>
    <d v="2023-02-07T00:00:00"/>
    <x v="2"/>
    <x v="0"/>
    <x v="4"/>
    <x v="7"/>
    <n v="1760"/>
    <n v="40"/>
    <x v="68"/>
    <x v="0"/>
  </r>
  <r>
    <d v="2023-02-07T00:00:00"/>
    <x v="2"/>
    <x v="4"/>
    <x v="2"/>
    <x v="9"/>
    <n v="690"/>
    <n v="84"/>
    <x v="69"/>
    <x v="0"/>
  </r>
  <r>
    <d v="2023-02-07T00:00:00"/>
    <x v="4"/>
    <x v="4"/>
    <x v="0"/>
    <x v="22"/>
    <n v="1420"/>
    <n v="97"/>
    <x v="70"/>
    <x v="0"/>
  </r>
  <r>
    <d v="2023-02-07T00:00:00"/>
    <x v="2"/>
    <x v="4"/>
    <x v="4"/>
    <x v="14"/>
    <n v="1670"/>
    <n v="84"/>
    <x v="71"/>
    <x v="0"/>
  </r>
  <r>
    <d v="2023-02-07T00:00:00"/>
    <x v="0"/>
    <x v="4"/>
    <x v="4"/>
    <x v="13"/>
    <n v="1505"/>
    <n v="20"/>
    <x v="72"/>
    <x v="0"/>
  </r>
  <r>
    <d v="2023-02-07T00:00:00"/>
    <x v="1"/>
    <x v="1"/>
    <x v="1"/>
    <x v="20"/>
    <n v="650"/>
    <n v="11"/>
    <x v="73"/>
    <x v="0"/>
  </r>
  <r>
    <d v="2023-02-07T00:00:00"/>
    <x v="4"/>
    <x v="1"/>
    <x v="4"/>
    <x v="15"/>
    <n v="2460"/>
    <n v="70"/>
    <x v="74"/>
    <x v="0"/>
  </r>
  <r>
    <d v="2023-02-07T00:00:00"/>
    <x v="2"/>
    <x v="5"/>
    <x v="2"/>
    <x v="9"/>
    <n v="690"/>
    <n v="14"/>
    <x v="75"/>
    <x v="0"/>
  </r>
  <r>
    <d v="2023-02-07T00:00:00"/>
    <x v="0"/>
    <x v="5"/>
    <x v="0"/>
    <x v="0"/>
    <n v="1320"/>
    <n v="90"/>
    <x v="76"/>
    <x v="0"/>
  </r>
  <r>
    <d v="2023-02-07T00:00:00"/>
    <x v="4"/>
    <x v="5"/>
    <x v="0"/>
    <x v="17"/>
    <n v="2400"/>
    <n v="20"/>
    <x v="77"/>
    <x v="0"/>
  </r>
  <r>
    <d v="2023-02-07T00:00:00"/>
    <x v="0"/>
    <x v="5"/>
    <x v="4"/>
    <x v="11"/>
    <n v="2970"/>
    <n v="7"/>
    <x v="78"/>
    <x v="0"/>
  </r>
  <r>
    <d v="2023-02-07T00:00:00"/>
    <x v="2"/>
    <x v="6"/>
    <x v="2"/>
    <x v="12"/>
    <n v="715"/>
    <n v="87"/>
    <x v="79"/>
    <x v="0"/>
  </r>
  <r>
    <s v="07.02.2023 Итог"/>
    <x v="3"/>
    <x v="2"/>
    <x v="3"/>
    <x v="3"/>
    <m/>
    <m/>
    <x v="80"/>
    <x v="0"/>
  </r>
  <r>
    <d v="2023-02-08T00:00:00"/>
    <x v="2"/>
    <x v="3"/>
    <x v="0"/>
    <x v="0"/>
    <n v="1320"/>
    <n v="25"/>
    <x v="81"/>
    <x v="0"/>
  </r>
  <r>
    <d v="2023-02-08T00:00:00"/>
    <x v="1"/>
    <x v="3"/>
    <x v="4"/>
    <x v="13"/>
    <n v="1505"/>
    <n v="89"/>
    <x v="82"/>
    <x v="0"/>
  </r>
  <r>
    <d v="2023-02-08T00:00:00"/>
    <x v="2"/>
    <x v="0"/>
    <x v="1"/>
    <x v="20"/>
    <n v="650"/>
    <n v="88"/>
    <x v="83"/>
    <x v="0"/>
  </r>
  <r>
    <d v="2023-02-08T00:00:00"/>
    <x v="4"/>
    <x v="1"/>
    <x v="0"/>
    <x v="0"/>
    <n v="1320"/>
    <n v="11"/>
    <x v="84"/>
    <x v="0"/>
  </r>
  <r>
    <d v="2023-02-08T00:00:00"/>
    <x v="2"/>
    <x v="5"/>
    <x v="1"/>
    <x v="23"/>
    <n v="705"/>
    <n v="90"/>
    <x v="85"/>
    <x v="0"/>
  </r>
  <r>
    <d v="2023-02-08T00:00:00"/>
    <x v="1"/>
    <x v="5"/>
    <x v="2"/>
    <x v="8"/>
    <n v="460"/>
    <n v="43"/>
    <x v="86"/>
    <x v="0"/>
  </r>
  <r>
    <d v="2023-02-08T00:00:00"/>
    <x v="1"/>
    <x v="5"/>
    <x v="0"/>
    <x v="24"/>
    <n v="2540"/>
    <n v="70"/>
    <x v="87"/>
    <x v="0"/>
  </r>
  <r>
    <d v="2023-02-08T00:00:00"/>
    <x v="2"/>
    <x v="6"/>
    <x v="0"/>
    <x v="22"/>
    <n v="1420"/>
    <n v="54"/>
    <x v="88"/>
    <x v="0"/>
  </r>
  <r>
    <s v="08.02.2023 Итог"/>
    <x v="3"/>
    <x v="2"/>
    <x v="3"/>
    <x v="3"/>
    <m/>
    <m/>
    <x v="89"/>
    <x v="0"/>
  </r>
  <r>
    <d v="2023-02-09T00:00:00"/>
    <x v="4"/>
    <x v="3"/>
    <x v="1"/>
    <x v="23"/>
    <n v="705"/>
    <n v="95"/>
    <x v="90"/>
    <x v="0"/>
  </r>
  <r>
    <d v="2023-02-09T00:00:00"/>
    <x v="0"/>
    <x v="3"/>
    <x v="4"/>
    <x v="13"/>
    <n v="1505"/>
    <n v="58"/>
    <x v="91"/>
    <x v="0"/>
  </r>
  <r>
    <d v="2023-02-09T00:00:00"/>
    <x v="2"/>
    <x v="0"/>
    <x v="1"/>
    <x v="1"/>
    <n v="1380"/>
    <n v="71"/>
    <x v="92"/>
    <x v="0"/>
  </r>
  <r>
    <d v="2023-02-09T00:00:00"/>
    <x v="1"/>
    <x v="4"/>
    <x v="1"/>
    <x v="19"/>
    <n v="540"/>
    <n v="15"/>
    <x v="93"/>
    <x v="0"/>
  </r>
  <r>
    <d v="2023-02-09T00:00:00"/>
    <x v="0"/>
    <x v="5"/>
    <x v="0"/>
    <x v="0"/>
    <n v="1320"/>
    <n v="40"/>
    <x v="94"/>
    <x v="0"/>
  </r>
  <r>
    <d v="2023-02-09T00:00:00"/>
    <x v="1"/>
    <x v="5"/>
    <x v="4"/>
    <x v="7"/>
    <n v="1760"/>
    <n v="63"/>
    <x v="95"/>
    <x v="0"/>
  </r>
  <r>
    <d v="2023-02-09T00:00:00"/>
    <x v="0"/>
    <x v="5"/>
    <x v="4"/>
    <x v="7"/>
    <n v="1760"/>
    <n v="97"/>
    <x v="96"/>
    <x v="0"/>
  </r>
  <r>
    <d v="2023-02-09T00:00:00"/>
    <x v="2"/>
    <x v="5"/>
    <x v="4"/>
    <x v="14"/>
    <n v="1670"/>
    <n v="27"/>
    <x v="97"/>
    <x v="0"/>
  </r>
  <r>
    <d v="2023-02-09T00:00:00"/>
    <x v="2"/>
    <x v="6"/>
    <x v="0"/>
    <x v="24"/>
    <n v="2540"/>
    <n v="75"/>
    <x v="98"/>
    <x v="0"/>
  </r>
  <r>
    <d v="2023-02-09T00:00:00"/>
    <x v="1"/>
    <x v="6"/>
    <x v="0"/>
    <x v="5"/>
    <n v="930"/>
    <n v="60"/>
    <x v="99"/>
    <x v="0"/>
  </r>
  <r>
    <s v="09.02.2023 Итог"/>
    <x v="3"/>
    <x v="2"/>
    <x v="3"/>
    <x v="3"/>
    <m/>
    <m/>
    <x v="100"/>
    <x v="0"/>
  </r>
  <r>
    <d v="2023-02-10T00:00:00"/>
    <x v="2"/>
    <x v="3"/>
    <x v="1"/>
    <x v="23"/>
    <n v="705"/>
    <n v="71"/>
    <x v="101"/>
    <x v="0"/>
  </r>
  <r>
    <d v="2023-02-10T00:00:00"/>
    <x v="1"/>
    <x v="3"/>
    <x v="4"/>
    <x v="14"/>
    <n v="1670"/>
    <n v="70"/>
    <x v="102"/>
    <x v="0"/>
  </r>
  <r>
    <d v="2023-02-10T00:00:00"/>
    <x v="4"/>
    <x v="0"/>
    <x v="1"/>
    <x v="6"/>
    <n v="640"/>
    <n v="70"/>
    <x v="103"/>
    <x v="0"/>
  </r>
  <r>
    <d v="2023-02-10T00:00:00"/>
    <x v="1"/>
    <x v="0"/>
    <x v="2"/>
    <x v="12"/>
    <n v="715"/>
    <n v="34"/>
    <x v="104"/>
    <x v="0"/>
  </r>
  <r>
    <d v="2023-02-10T00:00:00"/>
    <x v="1"/>
    <x v="4"/>
    <x v="4"/>
    <x v="13"/>
    <n v="1505"/>
    <n v="60"/>
    <x v="105"/>
    <x v="0"/>
  </r>
  <r>
    <d v="2023-02-10T00:00:00"/>
    <x v="1"/>
    <x v="1"/>
    <x v="2"/>
    <x v="4"/>
    <n v="450"/>
    <n v="50"/>
    <x v="106"/>
    <x v="0"/>
  </r>
  <r>
    <d v="2023-02-10T00:00:00"/>
    <x v="0"/>
    <x v="5"/>
    <x v="0"/>
    <x v="0"/>
    <n v="1320"/>
    <n v="96"/>
    <x v="107"/>
    <x v="0"/>
  </r>
  <r>
    <d v="2023-02-10T00:00:00"/>
    <x v="1"/>
    <x v="6"/>
    <x v="4"/>
    <x v="15"/>
    <n v="2460"/>
    <n v="13"/>
    <x v="108"/>
    <x v="0"/>
  </r>
  <r>
    <d v="2023-02-10T00:00:00"/>
    <x v="0"/>
    <x v="6"/>
    <x v="4"/>
    <x v="21"/>
    <n v="3205"/>
    <n v="59"/>
    <x v="109"/>
    <x v="0"/>
  </r>
  <r>
    <s v="10.02.2023 Итог"/>
    <x v="3"/>
    <x v="2"/>
    <x v="3"/>
    <x v="3"/>
    <m/>
    <m/>
    <x v="110"/>
    <x v="0"/>
  </r>
  <r>
    <d v="2023-02-11T00:00:00"/>
    <x v="0"/>
    <x v="3"/>
    <x v="0"/>
    <x v="5"/>
    <n v="930"/>
    <n v="26"/>
    <x v="65"/>
    <x v="0"/>
  </r>
  <r>
    <d v="2023-02-11T00:00:00"/>
    <x v="0"/>
    <x v="0"/>
    <x v="0"/>
    <x v="17"/>
    <n v="2400"/>
    <n v="34"/>
    <x v="111"/>
    <x v="0"/>
  </r>
  <r>
    <d v="2023-02-11T00:00:00"/>
    <x v="1"/>
    <x v="0"/>
    <x v="4"/>
    <x v="7"/>
    <n v="1760"/>
    <n v="38"/>
    <x v="112"/>
    <x v="0"/>
  </r>
  <r>
    <d v="2023-02-11T00:00:00"/>
    <x v="0"/>
    <x v="4"/>
    <x v="0"/>
    <x v="17"/>
    <n v="2400"/>
    <n v="91"/>
    <x v="113"/>
    <x v="0"/>
  </r>
  <r>
    <d v="2023-02-11T00:00:00"/>
    <x v="4"/>
    <x v="1"/>
    <x v="2"/>
    <x v="8"/>
    <n v="460"/>
    <n v="26"/>
    <x v="114"/>
    <x v="0"/>
  </r>
  <r>
    <d v="2023-02-11T00:00:00"/>
    <x v="4"/>
    <x v="1"/>
    <x v="0"/>
    <x v="0"/>
    <n v="1320"/>
    <n v="71"/>
    <x v="115"/>
    <x v="0"/>
  </r>
  <r>
    <d v="2023-02-11T00:00:00"/>
    <x v="1"/>
    <x v="1"/>
    <x v="4"/>
    <x v="14"/>
    <n v="1670"/>
    <n v="70"/>
    <x v="102"/>
    <x v="0"/>
  </r>
  <r>
    <d v="2023-02-11T00:00:00"/>
    <x v="0"/>
    <x v="5"/>
    <x v="2"/>
    <x v="2"/>
    <n v="325"/>
    <n v="25"/>
    <x v="116"/>
    <x v="0"/>
  </r>
  <r>
    <d v="2023-02-11T00:00:00"/>
    <x v="1"/>
    <x v="5"/>
    <x v="2"/>
    <x v="16"/>
    <n v="890"/>
    <n v="31"/>
    <x v="117"/>
    <x v="0"/>
  </r>
  <r>
    <d v="2023-02-11T00:00:00"/>
    <x v="4"/>
    <x v="5"/>
    <x v="2"/>
    <x v="16"/>
    <n v="890"/>
    <n v="7"/>
    <x v="118"/>
    <x v="0"/>
  </r>
  <r>
    <s v="11.02.2023 Итог"/>
    <x v="3"/>
    <x v="2"/>
    <x v="3"/>
    <x v="3"/>
    <m/>
    <m/>
    <x v="119"/>
    <x v="0"/>
  </r>
  <r>
    <d v="2023-02-12T00:00:00"/>
    <x v="0"/>
    <x v="3"/>
    <x v="0"/>
    <x v="5"/>
    <n v="930"/>
    <n v="22"/>
    <x v="120"/>
    <x v="0"/>
  </r>
  <r>
    <d v="2023-02-12T00:00:00"/>
    <x v="0"/>
    <x v="3"/>
    <x v="0"/>
    <x v="0"/>
    <n v="1320"/>
    <n v="93"/>
    <x v="121"/>
    <x v="0"/>
  </r>
  <r>
    <d v="2023-02-12T00:00:00"/>
    <x v="4"/>
    <x v="3"/>
    <x v="4"/>
    <x v="14"/>
    <n v="1670"/>
    <n v="97"/>
    <x v="122"/>
    <x v="0"/>
  </r>
  <r>
    <d v="2023-02-12T00:00:00"/>
    <x v="0"/>
    <x v="3"/>
    <x v="4"/>
    <x v="14"/>
    <n v="1670"/>
    <n v="27"/>
    <x v="97"/>
    <x v="0"/>
  </r>
  <r>
    <d v="2023-02-12T00:00:00"/>
    <x v="1"/>
    <x v="0"/>
    <x v="4"/>
    <x v="11"/>
    <n v="2970"/>
    <n v="55"/>
    <x v="123"/>
    <x v="0"/>
  </r>
  <r>
    <d v="2023-02-12T00:00:00"/>
    <x v="1"/>
    <x v="5"/>
    <x v="2"/>
    <x v="4"/>
    <n v="450"/>
    <n v="74"/>
    <x v="124"/>
    <x v="0"/>
  </r>
  <r>
    <d v="2023-02-12T00:00:00"/>
    <x v="0"/>
    <x v="5"/>
    <x v="0"/>
    <x v="0"/>
    <n v="1320"/>
    <n v="7"/>
    <x v="125"/>
    <x v="0"/>
  </r>
  <r>
    <d v="2023-02-12T00:00:00"/>
    <x v="4"/>
    <x v="5"/>
    <x v="4"/>
    <x v="21"/>
    <n v="3205"/>
    <n v="56"/>
    <x v="126"/>
    <x v="0"/>
  </r>
  <r>
    <d v="2023-02-12T00:00:00"/>
    <x v="4"/>
    <x v="6"/>
    <x v="0"/>
    <x v="24"/>
    <n v="2540"/>
    <n v="56"/>
    <x v="127"/>
    <x v="0"/>
  </r>
  <r>
    <d v="2023-02-12T00:00:00"/>
    <x v="1"/>
    <x v="0"/>
    <x v="2"/>
    <x v="9"/>
    <n v="690"/>
    <n v="29"/>
    <x v="128"/>
    <x v="0"/>
  </r>
  <r>
    <s v="12.02.2023 Итог"/>
    <x v="3"/>
    <x v="2"/>
    <x v="3"/>
    <x v="3"/>
    <m/>
    <m/>
    <x v="129"/>
    <x v="0"/>
  </r>
  <r>
    <d v="2023-02-13T00:00:00"/>
    <x v="2"/>
    <x v="1"/>
    <x v="1"/>
    <x v="23"/>
    <n v="705"/>
    <n v="21"/>
    <x v="130"/>
    <x v="0"/>
  </r>
  <r>
    <d v="2023-02-13T00:00:00"/>
    <x v="2"/>
    <x v="1"/>
    <x v="0"/>
    <x v="10"/>
    <n v="1230"/>
    <n v="22"/>
    <x v="131"/>
    <x v="0"/>
  </r>
  <r>
    <d v="2023-02-13T00:00:00"/>
    <x v="2"/>
    <x v="1"/>
    <x v="0"/>
    <x v="24"/>
    <n v="2540"/>
    <n v="60"/>
    <x v="132"/>
    <x v="0"/>
  </r>
  <r>
    <d v="2023-02-13T00:00:00"/>
    <x v="0"/>
    <x v="5"/>
    <x v="4"/>
    <x v="21"/>
    <n v="3205"/>
    <n v="54"/>
    <x v="133"/>
    <x v="0"/>
  </r>
  <r>
    <d v="2023-02-13T00:00:00"/>
    <x v="0"/>
    <x v="0"/>
    <x v="0"/>
    <x v="22"/>
    <n v="1420"/>
    <n v="12"/>
    <x v="134"/>
    <x v="0"/>
  </r>
  <r>
    <s v="13.02.2023 Итог"/>
    <x v="3"/>
    <x v="2"/>
    <x v="3"/>
    <x v="3"/>
    <m/>
    <m/>
    <x v="135"/>
    <x v="0"/>
  </r>
  <r>
    <d v="2023-02-14T00:00:00"/>
    <x v="0"/>
    <x v="3"/>
    <x v="1"/>
    <x v="19"/>
    <n v="540"/>
    <n v="98"/>
    <x v="136"/>
    <x v="0"/>
  </r>
  <r>
    <d v="2023-02-14T00:00:00"/>
    <x v="4"/>
    <x v="0"/>
    <x v="2"/>
    <x v="16"/>
    <n v="890"/>
    <n v="74"/>
    <x v="137"/>
    <x v="0"/>
  </r>
  <r>
    <d v="2023-02-14T00:00:00"/>
    <x v="2"/>
    <x v="0"/>
    <x v="2"/>
    <x v="16"/>
    <n v="890"/>
    <n v="88"/>
    <x v="138"/>
    <x v="0"/>
  </r>
  <r>
    <d v="2023-02-14T00:00:00"/>
    <x v="1"/>
    <x v="0"/>
    <x v="4"/>
    <x v="21"/>
    <n v="3205"/>
    <n v="94"/>
    <x v="139"/>
    <x v="0"/>
  </r>
  <r>
    <d v="2023-02-14T00:00:00"/>
    <x v="4"/>
    <x v="0"/>
    <x v="4"/>
    <x v="14"/>
    <n v="1670"/>
    <n v="26"/>
    <x v="140"/>
    <x v="0"/>
  </r>
  <r>
    <d v="2023-02-14T00:00:00"/>
    <x v="0"/>
    <x v="4"/>
    <x v="2"/>
    <x v="12"/>
    <n v="715"/>
    <n v="22"/>
    <x v="141"/>
    <x v="0"/>
  </r>
  <r>
    <d v="2023-02-14T00:00:00"/>
    <x v="4"/>
    <x v="4"/>
    <x v="0"/>
    <x v="0"/>
    <n v="1320"/>
    <n v="41"/>
    <x v="142"/>
    <x v="0"/>
  </r>
  <r>
    <d v="2023-02-14T00:00:00"/>
    <x v="4"/>
    <x v="4"/>
    <x v="0"/>
    <x v="5"/>
    <n v="930"/>
    <n v="50"/>
    <x v="143"/>
    <x v="0"/>
  </r>
  <r>
    <d v="2023-02-14T00:00:00"/>
    <x v="1"/>
    <x v="4"/>
    <x v="4"/>
    <x v="13"/>
    <n v="1505"/>
    <n v="85"/>
    <x v="144"/>
    <x v="0"/>
  </r>
  <r>
    <d v="2023-02-14T00:00:00"/>
    <x v="1"/>
    <x v="1"/>
    <x v="2"/>
    <x v="12"/>
    <n v="715"/>
    <n v="14"/>
    <x v="13"/>
    <x v="0"/>
  </r>
  <r>
    <d v="2023-02-14T00:00:00"/>
    <x v="2"/>
    <x v="1"/>
    <x v="0"/>
    <x v="17"/>
    <n v="2400"/>
    <n v="33"/>
    <x v="30"/>
    <x v="0"/>
  </r>
  <r>
    <d v="2023-02-14T00:00:00"/>
    <x v="1"/>
    <x v="1"/>
    <x v="0"/>
    <x v="24"/>
    <n v="2540"/>
    <n v="12"/>
    <x v="145"/>
    <x v="0"/>
  </r>
  <r>
    <d v="2023-02-14T00:00:00"/>
    <x v="0"/>
    <x v="1"/>
    <x v="0"/>
    <x v="5"/>
    <n v="930"/>
    <n v="88"/>
    <x v="146"/>
    <x v="0"/>
  </r>
  <r>
    <d v="2023-02-14T00:00:00"/>
    <x v="2"/>
    <x v="5"/>
    <x v="1"/>
    <x v="1"/>
    <n v="1380"/>
    <n v="43"/>
    <x v="147"/>
    <x v="0"/>
  </r>
  <r>
    <d v="2023-02-14T00:00:00"/>
    <x v="1"/>
    <x v="5"/>
    <x v="4"/>
    <x v="21"/>
    <n v="3205"/>
    <n v="54"/>
    <x v="133"/>
    <x v="0"/>
  </r>
  <r>
    <d v="2023-02-14T00:00:00"/>
    <x v="0"/>
    <x v="6"/>
    <x v="1"/>
    <x v="19"/>
    <n v="540"/>
    <n v="10"/>
    <x v="148"/>
    <x v="0"/>
  </r>
  <r>
    <d v="2023-02-14T00:00:00"/>
    <x v="4"/>
    <x v="6"/>
    <x v="2"/>
    <x v="2"/>
    <n v="325"/>
    <n v="55"/>
    <x v="149"/>
    <x v="0"/>
  </r>
  <r>
    <d v="2023-02-14T00:00:00"/>
    <x v="4"/>
    <x v="6"/>
    <x v="0"/>
    <x v="24"/>
    <n v="2540"/>
    <n v="41"/>
    <x v="150"/>
    <x v="0"/>
  </r>
  <r>
    <d v="2023-02-14T00:00:00"/>
    <x v="1"/>
    <x v="0"/>
    <x v="0"/>
    <x v="0"/>
    <n v="1320"/>
    <n v="31"/>
    <x v="36"/>
    <x v="0"/>
  </r>
  <r>
    <s v="14.02.2023 Итог"/>
    <x v="3"/>
    <x v="2"/>
    <x v="3"/>
    <x v="3"/>
    <m/>
    <m/>
    <x v="151"/>
    <x v="0"/>
  </r>
  <r>
    <d v="2023-02-15T00:00:00"/>
    <x v="1"/>
    <x v="3"/>
    <x v="1"/>
    <x v="18"/>
    <n v="650"/>
    <n v="88"/>
    <x v="83"/>
    <x v="0"/>
  </r>
  <r>
    <d v="2023-02-15T00:00:00"/>
    <x v="0"/>
    <x v="3"/>
    <x v="0"/>
    <x v="17"/>
    <n v="2400"/>
    <n v="51"/>
    <x v="152"/>
    <x v="0"/>
  </r>
  <r>
    <d v="2023-02-15T00:00:00"/>
    <x v="2"/>
    <x v="3"/>
    <x v="4"/>
    <x v="15"/>
    <n v="2460"/>
    <n v="90"/>
    <x v="153"/>
    <x v="0"/>
  </r>
  <r>
    <d v="2023-02-15T00:00:00"/>
    <x v="4"/>
    <x v="3"/>
    <x v="4"/>
    <x v="15"/>
    <n v="2460"/>
    <n v="6"/>
    <x v="154"/>
    <x v="0"/>
  </r>
  <r>
    <d v="2023-02-15T00:00:00"/>
    <x v="2"/>
    <x v="0"/>
    <x v="1"/>
    <x v="19"/>
    <n v="540"/>
    <n v="26"/>
    <x v="155"/>
    <x v="0"/>
  </r>
  <r>
    <d v="2023-02-15T00:00:00"/>
    <x v="2"/>
    <x v="0"/>
    <x v="2"/>
    <x v="9"/>
    <n v="690"/>
    <n v="87"/>
    <x v="156"/>
    <x v="0"/>
  </r>
  <r>
    <d v="2023-02-15T00:00:00"/>
    <x v="0"/>
    <x v="4"/>
    <x v="1"/>
    <x v="6"/>
    <n v="640"/>
    <n v="26"/>
    <x v="157"/>
    <x v="0"/>
  </r>
  <r>
    <d v="2023-02-15T00:00:00"/>
    <x v="2"/>
    <x v="4"/>
    <x v="1"/>
    <x v="18"/>
    <n v="650"/>
    <n v="54"/>
    <x v="158"/>
    <x v="0"/>
  </r>
  <r>
    <d v="2023-02-15T00:00:00"/>
    <x v="4"/>
    <x v="4"/>
    <x v="4"/>
    <x v="15"/>
    <n v="2460"/>
    <n v="56"/>
    <x v="159"/>
    <x v="0"/>
  </r>
  <r>
    <d v="2023-02-15T00:00:00"/>
    <x v="4"/>
    <x v="1"/>
    <x v="2"/>
    <x v="9"/>
    <n v="690"/>
    <n v="24"/>
    <x v="160"/>
    <x v="0"/>
  </r>
  <r>
    <d v="2023-02-15T00:00:00"/>
    <x v="4"/>
    <x v="5"/>
    <x v="1"/>
    <x v="18"/>
    <n v="650"/>
    <n v="71"/>
    <x v="161"/>
    <x v="0"/>
  </r>
  <r>
    <d v="2023-02-15T00:00:00"/>
    <x v="1"/>
    <x v="5"/>
    <x v="2"/>
    <x v="4"/>
    <n v="450"/>
    <n v="22"/>
    <x v="162"/>
    <x v="0"/>
  </r>
  <r>
    <d v="2023-02-15T00:00:00"/>
    <x v="2"/>
    <x v="5"/>
    <x v="2"/>
    <x v="2"/>
    <n v="325"/>
    <n v="98"/>
    <x v="163"/>
    <x v="0"/>
  </r>
  <r>
    <d v="2023-02-15T00:00:00"/>
    <x v="2"/>
    <x v="5"/>
    <x v="4"/>
    <x v="21"/>
    <n v="3205"/>
    <n v="86"/>
    <x v="164"/>
    <x v="0"/>
  </r>
  <r>
    <d v="2023-02-15T00:00:00"/>
    <x v="2"/>
    <x v="5"/>
    <x v="4"/>
    <x v="21"/>
    <n v="3205"/>
    <n v="47"/>
    <x v="165"/>
    <x v="0"/>
  </r>
  <r>
    <d v="2023-02-15T00:00:00"/>
    <x v="4"/>
    <x v="5"/>
    <x v="4"/>
    <x v="11"/>
    <n v="2970"/>
    <n v="28"/>
    <x v="166"/>
    <x v="0"/>
  </r>
  <r>
    <d v="2023-02-15T00:00:00"/>
    <x v="4"/>
    <x v="6"/>
    <x v="1"/>
    <x v="19"/>
    <n v="540"/>
    <n v="34"/>
    <x v="167"/>
    <x v="0"/>
  </r>
  <r>
    <d v="2023-02-15T00:00:00"/>
    <x v="2"/>
    <x v="6"/>
    <x v="4"/>
    <x v="15"/>
    <n v="2460"/>
    <n v="28"/>
    <x v="168"/>
    <x v="0"/>
  </r>
  <r>
    <d v="2023-02-15T00:00:00"/>
    <x v="2"/>
    <x v="6"/>
    <x v="4"/>
    <x v="21"/>
    <n v="3205"/>
    <n v="90"/>
    <x v="169"/>
    <x v="0"/>
  </r>
  <r>
    <d v="2023-02-15T00:00:00"/>
    <x v="2"/>
    <x v="4"/>
    <x v="1"/>
    <x v="23"/>
    <n v="705"/>
    <n v="12"/>
    <x v="170"/>
    <x v="0"/>
  </r>
  <r>
    <s v="15.02.2023 Итог"/>
    <x v="3"/>
    <x v="2"/>
    <x v="3"/>
    <x v="3"/>
    <m/>
    <m/>
    <x v="171"/>
    <x v="0"/>
  </r>
  <r>
    <d v="2023-02-16T00:00:00"/>
    <x v="1"/>
    <x v="3"/>
    <x v="1"/>
    <x v="6"/>
    <n v="640"/>
    <n v="23"/>
    <x v="172"/>
    <x v="0"/>
  </r>
  <r>
    <d v="2023-02-16T00:00:00"/>
    <x v="2"/>
    <x v="3"/>
    <x v="2"/>
    <x v="4"/>
    <n v="450"/>
    <n v="78"/>
    <x v="158"/>
    <x v="0"/>
  </r>
  <r>
    <d v="2023-02-16T00:00:00"/>
    <x v="2"/>
    <x v="0"/>
    <x v="1"/>
    <x v="18"/>
    <n v="650"/>
    <n v="58"/>
    <x v="173"/>
    <x v="0"/>
  </r>
  <r>
    <d v="2023-02-16T00:00:00"/>
    <x v="4"/>
    <x v="0"/>
    <x v="1"/>
    <x v="18"/>
    <n v="650"/>
    <n v="92"/>
    <x v="174"/>
    <x v="0"/>
  </r>
  <r>
    <d v="2023-02-16T00:00:00"/>
    <x v="1"/>
    <x v="0"/>
    <x v="2"/>
    <x v="4"/>
    <n v="450"/>
    <n v="91"/>
    <x v="175"/>
    <x v="0"/>
  </r>
  <r>
    <d v="2023-02-16T00:00:00"/>
    <x v="4"/>
    <x v="0"/>
    <x v="4"/>
    <x v="7"/>
    <n v="1760"/>
    <n v="92"/>
    <x v="176"/>
    <x v="0"/>
  </r>
  <r>
    <d v="2023-02-16T00:00:00"/>
    <x v="2"/>
    <x v="0"/>
    <x v="4"/>
    <x v="13"/>
    <n v="1505"/>
    <n v="14"/>
    <x v="177"/>
    <x v="0"/>
  </r>
  <r>
    <d v="2023-02-16T00:00:00"/>
    <x v="2"/>
    <x v="0"/>
    <x v="4"/>
    <x v="14"/>
    <n v="1670"/>
    <n v="5"/>
    <x v="178"/>
    <x v="0"/>
  </r>
  <r>
    <d v="2023-02-16T00:00:00"/>
    <x v="2"/>
    <x v="4"/>
    <x v="1"/>
    <x v="23"/>
    <n v="705"/>
    <n v="81"/>
    <x v="179"/>
    <x v="0"/>
  </r>
  <r>
    <d v="2023-02-16T00:00:00"/>
    <x v="0"/>
    <x v="4"/>
    <x v="1"/>
    <x v="1"/>
    <n v="1380"/>
    <n v="34"/>
    <x v="180"/>
    <x v="0"/>
  </r>
  <r>
    <d v="2023-02-16T00:00:00"/>
    <x v="2"/>
    <x v="4"/>
    <x v="2"/>
    <x v="4"/>
    <n v="450"/>
    <n v="9"/>
    <x v="181"/>
    <x v="0"/>
  </r>
  <r>
    <d v="2023-02-16T00:00:00"/>
    <x v="1"/>
    <x v="4"/>
    <x v="0"/>
    <x v="0"/>
    <n v="1320"/>
    <n v="5"/>
    <x v="182"/>
    <x v="0"/>
  </r>
  <r>
    <d v="2023-02-16T00:00:00"/>
    <x v="1"/>
    <x v="4"/>
    <x v="4"/>
    <x v="14"/>
    <n v="1670"/>
    <n v="63"/>
    <x v="183"/>
    <x v="0"/>
  </r>
  <r>
    <d v="2023-02-16T00:00:00"/>
    <x v="1"/>
    <x v="4"/>
    <x v="4"/>
    <x v="7"/>
    <n v="1760"/>
    <n v="12"/>
    <x v="184"/>
    <x v="0"/>
  </r>
  <r>
    <d v="2023-02-16T00:00:00"/>
    <x v="0"/>
    <x v="1"/>
    <x v="2"/>
    <x v="12"/>
    <n v="715"/>
    <n v="64"/>
    <x v="185"/>
    <x v="0"/>
  </r>
  <r>
    <d v="2023-02-16T00:00:00"/>
    <x v="4"/>
    <x v="1"/>
    <x v="2"/>
    <x v="16"/>
    <n v="890"/>
    <n v="84"/>
    <x v="186"/>
    <x v="0"/>
  </r>
  <r>
    <d v="2023-02-16T00:00:00"/>
    <x v="1"/>
    <x v="1"/>
    <x v="0"/>
    <x v="10"/>
    <n v="1230"/>
    <n v="34"/>
    <x v="187"/>
    <x v="0"/>
  </r>
  <r>
    <d v="2023-02-16T00:00:00"/>
    <x v="4"/>
    <x v="1"/>
    <x v="4"/>
    <x v="11"/>
    <n v="2970"/>
    <n v="74"/>
    <x v="188"/>
    <x v="0"/>
  </r>
  <r>
    <d v="2023-02-16T00:00:00"/>
    <x v="2"/>
    <x v="5"/>
    <x v="1"/>
    <x v="18"/>
    <n v="650"/>
    <n v="42"/>
    <x v="189"/>
    <x v="0"/>
  </r>
  <r>
    <d v="2023-02-16T00:00:00"/>
    <x v="2"/>
    <x v="5"/>
    <x v="2"/>
    <x v="2"/>
    <n v="325"/>
    <n v="81"/>
    <x v="190"/>
    <x v="0"/>
  </r>
  <r>
    <d v="2023-02-16T00:00:00"/>
    <x v="2"/>
    <x v="5"/>
    <x v="0"/>
    <x v="17"/>
    <n v="2400"/>
    <n v="8"/>
    <x v="191"/>
    <x v="0"/>
  </r>
  <r>
    <d v="2023-02-16T00:00:00"/>
    <x v="4"/>
    <x v="5"/>
    <x v="4"/>
    <x v="11"/>
    <n v="2970"/>
    <n v="28"/>
    <x v="166"/>
    <x v="0"/>
  </r>
  <r>
    <d v="2023-02-16T00:00:00"/>
    <x v="0"/>
    <x v="5"/>
    <x v="4"/>
    <x v="21"/>
    <n v="3205"/>
    <n v="53"/>
    <x v="192"/>
    <x v="0"/>
  </r>
  <r>
    <d v="2023-02-16T00:00:00"/>
    <x v="1"/>
    <x v="6"/>
    <x v="0"/>
    <x v="17"/>
    <n v="2400"/>
    <n v="16"/>
    <x v="193"/>
    <x v="0"/>
  </r>
  <r>
    <d v="2023-02-16T00:00:00"/>
    <x v="4"/>
    <x v="6"/>
    <x v="0"/>
    <x v="10"/>
    <n v="1230"/>
    <n v="66"/>
    <x v="194"/>
    <x v="0"/>
  </r>
  <r>
    <d v="2023-02-16T00:00:00"/>
    <x v="0"/>
    <x v="6"/>
    <x v="4"/>
    <x v="14"/>
    <n v="1670"/>
    <n v="72"/>
    <x v="195"/>
    <x v="0"/>
  </r>
  <r>
    <d v="2023-02-16T00:00:00"/>
    <x v="1"/>
    <x v="6"/>
    <x v="4"/>
    <x v="11"/>
    <n v="2970"/>
    <n v="81"/>
    <x v="196"/>
    <x v="0"/>
  </r>
  <r>
    <d v="2023-02-16T00:00:00"/>
    <x v="1"/>
    <x v="4"/>
    <x v="2"/>
    <x v="9"/>
    <n v="690"/>
    <n v="78"/>
    <x v="197"/>
    <x v="0"/>
  </r>
  <r>
    <s v="16.02.2023 Итог"/>
    <x v="3"/>
    <x v="2"/>
    <x v="3"/>
    <x v="3"/>
    <m/>
    <m/>
    <x v="198"/>
    <x v="0"/>
  </r>
  <r>
    <d v="2023-02-17T00:00:00"/>
    <x v="2"/>
    <x v="0"/>
    <x v="1"/>
    <x v="20"/>
    <n v="650"/>
    <n v="34"/>
    <x v="199"/>
    <x v="0"/>
  </r>
  <r>
    <d v="2023-02-17T00:00:00"/>
    <x v="2"/>
    <x v="0"/>
    <x v="1"/>
    <x v="19"/>
    <n v="540"/>
    <n v="46"/>
    <x v="200"/>
    <x v="0"/>
  </r>
  <r>
    <d v="2023-02-17T00:00:00"/>
    <x v="0"/>
    <x v="0"/>
    <x v="4"/>
    <x v="21"/>
    <n v="3205"/>
    <n v="38"/>
    <x v="201"/>
    <x v="0"/>
  </r>
  <r>
    <d v="2023-02-17T00:00:00"/>
    <x v="1"/>
    <x v="4"/>
    <x v="1"/>
    <x v="19"/>
    <n v="540"/>
    <n v="32"/>
    <x v="202"/>
    <x v="0"/>
  </r>
  <r>
    <d v="2023-02-17T00:00:00"/>
    <x v="0"/>
    <x v="4"/>
    <x v="4"/>
    <x v="7"/>
    <n v="1760"/>
    <n v="36"/>
    <x v="203"/>
    <x v="0"/>
  </r>
  <r>
    <d v="2023-02-17T00:00:00"/>
    <x v="4"/>
    <x v="4"/>
    <x v="4"/>
    <x v="15"/>
    <n v="2460"/>
    <n v="95"/>
    <x v="204"/>
    <x v="0"/>
  </r>
  <r>
    <d v="2023-02-17T00:00:00"/>
    <x v="4"/>
    <x v="1"/>
    <x v="1"/>
    <x v="23"/>
    <n v="705"/>
    <n v="57"/>
    <x v="205"/>
    <x v="0"/>
  </r>
  <r>
    <d v="2023-02-17T00:00:00"/>
    <x v="1"/>
    <x v="1"/>
    <x v="0"/>
    <x v="5"/>
    <n v="930"/>
    <n v="36"/>
    <x v="206"/>
    <x v="0"/>
  </r>
  <r>
    <d v="2023-02-17T00:00:00"/>
    <x v="4"/>
    <x v="5"/>
    <x v="0"/>
    <x v="24"/>
    <n v="2540"/>
    <n v="55"/>
    <x v="207"/>
    <x v="0"/>
  </r>
  <r>
    <d v="2023-02-17T00:00:00"/>
    <x v="2"/>
    <x v="5"/>
    <x v="0"/>
    <x v="24"/>
    <n v="2540"/>
    <n v="7"/>
    <x v="208"/>
    <x v="0"/>
  </r>
  <r>
    <d v="2023-02-17T00:00:00"/>
    <x v="4"/>
    <x v="5"/>
    <x v="4"/>
    <x v="13"/>
    <n v="1505"/>
    <n v="90"/>
    <x v="209"/>
    <x v="0"/>
  </r>
  <r>
    <d v="2023-02-17T00:00:00"/>
    <x v="4"/>
    <x v="6"/>
    <x v="2"/>
    <x v="9"/>
    <n v="690"/>
    <n v="96"/>
    <x v="210"/>
    <x v="0"/>
  </r>
  <r>
    <d v="2023-02-17T00:00:00"/>
    <x v="2"/>
    <x v="6"/>
    <x v="2"/>
    <x v="12"/>
    <n v="715"/>
    <n v="73"/>
    <x v="211"/>
    <x v="0"/>
  </r>
  <r>
    <d v="2023-02-17T00:00:00"/>
    <x v="0"/>
    <x v="6"/>
    <x v="0"/>
    <x v="5"/>
    <n v="930"/>
    <n v="25"/>
    <x v="212"/>
    <x v="0"/>
  </r>
  <r>
    <d v="2023-02-17T00:00:00"/>
    <x v="2"/>
    <x v="4"/>
    <x v="4"/>
    <x v="13"/>
    <n v="1505"/>
    <n v="25"/>
    <x v="213"/>
    <x v="0"/>
  </r>
  <r>
    <s v="17.02.2023 Итог"/>
    <x v="3"/>
    <x v="2"/>
    <x v="3"/>
    <x v="3"/>
    <m/>
    <m/>
    <x v="214"/>
    <x v="0"/>
  </r>
  <r>
    <d v="2023-02-18T00:00:00"/>
    <x v="1"/>
    <x v="3"/>
    <x v="1"/>
    <x v="1"/>
    <n v="1380"/>
    <n v="29"/>
    <x v="215"/>
    <x v="0"/>
  </r>
  <r>
    <d v="2023-02-18T00:00:00"/>
    <x v="4"/>
    <x v="3"/>
    <x v="0"/>
    <x v="22"/>
    <n v="1420"/>
    <n v="84"/>
    <x v="216"/>
    <x v="0"/>
  </r>
  <r>
    <d v="2023-02-18T00:00:00"/>
    <x v="0"/>
    <x v="0"/>
    <x v="1"/>
    <x v="1"/>
    <n v="1380"/>
    <n v="19"/>
    <x v="217"/>
    <x v="0"/>
  </r>
  <r>
    <d v="2023-02-18T00:00:00"/>
    <x v="4"/>
    <x v="0"/>
    <x v="2"/>
    <x v="16"/>
    <n v="890"/>
    <n v="65"/>
    <x v="218"/>
    <x v="0"/>
  </r>
  <r>
    <d v="2023-02-18T00:00:00"/>
    <x v="2"/>
    <x v="0"/>
    <x v="0"/>
    <x v="22"/>
    <n v="1420"/>
    <n v="55"/>
    <x v="219"/>
    <x v="0"/>
  </r>
  <r>
    <d v="2023-02-18T00:00:00"/>
    <x v="2"/>
    <x v="0"/>
    <x v="4"/>
    <x v="21"/>
    <n v="3205"/>
    <n v="5"/>
    <x v="220"/>
    <x v="0"/>
  </r>
  <r>
    <d v="2023-02-18T00:00:00"/>
    <x v="1"/>
    <x v="4"/>
    <x v="1"/>
    <x v="18"/>
    <n v="650"/>
    <n v="29"/>
    <x v="46"/>
    <x v="0"/>
  </r>
  <r>
    <d v="2023-02-18T00:00:00"/>
    <x v="2"/>
    <x v="4"/>
    <x v="1"/>
    <x v="19"/>
    <n v="540"/>
    <n v="79"/>
    <x v="62"/>
    <x v="0"/>
  </r>
  <r>
    <d v="2023-02-18T00:00:00"/>
    <x v="1"/>
    <x v="4"/>
    <x v="1"/>
    <x v="18"/>
    <n v="650"/>
    <n v="99"/>
    <x v="221"/>
    <x v="0"/>
  </r>
  <r>
    <d v="2023-02-18T00:00:00"/>
    <x v="1"/>
    <x v="4"/>
    <x v="1"/>
    <x v="6"/>
    <n v="640"/>
    <n v="79"/>
    <x v="222"/>
    <x v="0"/>
  </r>
  <r>
    <d v="2023-02-18T00:00:00"/>
    <x v="2"/>
    <x v="4"/>
    <x v="2"/>
    <x v="12"/>
    <n v="715"/>
    <n v="16"/>
    <x v="223"/>
    <x v="0"/>
  </r>
  <r>
    <d v="2023-02-18T00:00:00"/>
    <x v="2"/>
    <x v="4"/>
    <x v="0"/>
    <x v="5"/>
    <n v="930"/>
    <n v="46"/>
    <x v="224"/>
    <x v="0"/>
  </r>
  <r>
    <d v="2023-02-18T00:00:00"/>
    <x v="0"/>
    <x v="4"/>
    <x v="4"/>
    <x v="14"/>
    <n v="1670"/>
    <n v="13"/>
    <x v="225"/>
    <x v="0"/>
  </r>
  <r>
    <d v="2023-02-18T00:00:00"/>
    <x v="1"/>
    <x v="1"/>
    <x v="1"/>
    <x v="18"/>
    <n v="650"/>
    <n v="90"/>
    <x v="226"/>
    <x v="0"/>
  </r>
  <r>
    <d v="2023-02-18T00:00:00"/>
    <x v="0"/>
    <x v="1"/>
    <x v="1"/>
    <x v="19"/>
    <n v="540"/>
    <n v="55"/>
    <x v="227"/>
    <x v="0"/>
  </r>
  <r>
    <d v="2023-02-18T00:00:00"/>
    <x v="1"/>
    <x v="1"/>
    <x v="2"/>
    <x v="9"/>
    <n v="690"/>
    <n v="51"/>
    <x v="228"/>
    <x v="0"/>
  </r>
  <r>
    <d v="2023-02-18T00:00:00"/>
    <x v="2"/>
    <x v="1"/>
    <x v="2"/>
    <x v="2"/>
    <n v="325"/>
    <n v="59"/>
    <x v="229"/>
    <x v="0"/>
  </r>
  <r>
    <d v="2023-02-18T00:00:00"/>
    <x v="2"/>
    <x v="5"/>
    <x v="2"/>
    <x v="4"/>
    <n v="450"/>
    <n v="47"/>
    <x v="230"/>
    <x v="0"/>
  </r>
  <r>
    <d v="2023-02-18T00:00:00"/>
    <x v="2"/>
    <x v="5"/>
    <x v="4"/>
    <x v="21"/>
    <n v="3205"/>
    <n v="82"/>
    <x v="231"/>
    <x v="0"/>
  </r>
  <r>
    <d v="2023-02-18T00:00:00"/>
    <x v="0"/>
    <x v="6"/>
    <x v="1"/>
    <x v="6"/>
    <n v="640"/>
    <n v="33"/>
    <x v="184"/>
    <x v="0"/>
  </r>
  <r>
    <d v="2023-02-18T00:00:00"/>
    <x v="1"/>
    <x v="6"/>
    <x v="1"/>
    <x v="1"/>
    <n v="1380"/>
    <n v="34"/>
    <x v="180"/>
    <x v="0"/>
  </r>
  <r>
    <d v="2023-02-18T00:00:00"/>
    <x v="4"/>
    <x v="6"/>
    <x v="0"/>
    <x v="5"/>
    <n v="930"/>
    <n v="46"/>
    <x v="224"/>
    <x v="0"/>
  </r>
  <r>
    <d v="2023-02-18T00:00:00"/>
    <x v="2"/>
    <x v="6"/>
    <x v="0"/>
    <x v="22"/>
    <n v="1420"/>
    <n v="75"/>
    <x v="232"/>
    <x v="0"/>
  </r>
  <r>
    <d v="2023-02-18T00:00:00"/>
    <x v="2"/>
    <x v="6"/>
    <x v="0"/>
    <x v="0"/>
    <n v="1320"/>
    <n v="90"/>
    <x v="76"/>
    <x v="0"/>
  </r>
  <r>
    <d v="2023-02-18T00:00:00"/>
    <x v="1"/>
    <x v="6"/>
    <x v="0"/>
    <x v="10"/>
    <n v="1230"/>
    <n v="33"/>
    <x v="233"/>
    <x v="0"/>
  </r>
  <r>
    <d v="2023-02-18T00:00:00"/>
    <x v="0"/>
    <x v="6"/>
    <x v="4"/>
    <x v="7"/>
    <n v="1760"/>
    <n v="80"/>
    <x v="234"/>
    <x v="0"/>
  </r>
  <r>
    <d v="2023-02-18T00:00:00"/>
    <x v="0"/>
    <x v="4"/>
    <x v="4"/>
    <x v="13"/>
    <n v="1505"/>
    <n v="53"/>
    <x v="235"/>
    <x v="0"/>
  </r>
  <r>
    <s v="18.02.2023 Итог"/>
    <x v="3"/>
    <x v="2"/>
    <x v="3"/>
    <x v="3"/>
    <m/>
    <m/>
    <x v="236"/>
    <x v="0"/>
  </r>
  <r>
    <d v="2023-02-19T00:00:00"/>
    <x v="2"/>
    <x v="3"/>
    <x v="1"/>
    <x v="20"/>
    <n v="650"/>
    <n v="32"/>
    <x v="237"/>
    <x v="0"/>
  </r>
  <r>
    <d v="2023-02-19T00:00:00"/>
    <x v="4"/>
    <x v="0"/>
    <x v="4"/>
    <x v="13"/>
    <n v="1505"/>
    <n v="55"/>
    <x v="238"/>
    <x v="0"/>
  </r>
  <r>
    <d v="2023-02-19T00:00:00"/>
    <x v="0"/>
    <x v="4"/>
    <x v="2"/>
    <x v="8"/>
    <n v="460"/>
    <n v="58"/>
    <x v="239"/>
    <x v="0"/>
  </r>
  <r>
    <d v="2023-02-19T00:00:00"/>
    <x v="0"/>
    <x v="1"/>
    <x v="2"/>
    <x v="12"/>
    <n v="715"/>
    <n v="79"/>
    <x v="240"/>
    <x v="0"/>
  </r>
  <r>
    <d v="2023-02-19T00:00:00"/>
    <x v="4"/>
    <x v="1"/>
    <x v="2"/>
    <x v="8"/>
    <n v="460"/>
    <n v="12"/>
    <x v="241"/>
    <x v="0"/>
  </r>
  <r>
    <d v="2023-02-19T00:00:00"/>
    <x v="1"/>
    <x v="1"/>
    <x v="0"/>
    <x v="17"/>
    <n v="2400"/>
    <n v="12"/>
    <x v="242"/>
    <x v="0"/>
  </r>
  <r>
    <d v="2023-02-19T00:00:00"/>
    <x v="1"/>
    <x v="1"/>
    <x v="4"/>
    <x v="11"/>
    <n v="2970"/>
    <n v="56"/>
    <x v="243"/>
    <x v="0"/>
  </r>
  <r>
    <d v="2023-02-19T00:00:00"/>
    <x v="2"/>
    <x v="5"/>
    <x v="2"/>
    <x v="9"/>
    <n v="690"/>
    <n v="12"/>
    <x v="244"/>
    <x v="0"/>
  </r>
  <r>
    <d v="2023-02-19T00:00:00"/>
    <x v="4"/>
    <x v="5"/>
    <x v="2"/>
    <x v="4"/>
    <n v="450"/>
    <n v="36"/>
    <x v="245"/>
    <x v="0"/>
  </r>
  <r>
    <d v="2023-02-19T00:00:00"/>
    <x v="1"/>
    <x v="5"/>
    <x v="4"/>
    <x v="11"/>
    <n v="2970"/>
    <n v="53"/>
    <x v="246"/>
    <x v="0"/>
  </r>
  <r>
    <d v="2023-02-19T00:00:00"/>
    <x v="1"/>
    <x v="6"/>
    <x v="1"/>
    <x v="18"/>
    <n v="650"/>
    <n v="90"/>
    <x v="226"/>
    <x v="0"/>
  </r>
  <r>
    <d v="2023-02-19T00:00:00"/>
    <x v="4"/>
    <x v="6"/>
    <x v="0"/>
    <x v="10"/>
    <n v="1230"/>
    <n v="54"/>
    <x v="247"/>
    <x v="0"/>
  </r>
  <r>
    <d v="2023-02-19T00:00:00"/>
    <x v="4"/>
    <x v="0"/>
    <x v="1"/>
    <x v="23"/>
    <n v="705"/>
    <n v="54"/>
    <x v="248"/>
    <x v="0"/>
  </r>
  <r>
    <d v="2023-02-19T00:00:00"/>
    <x v="0"/>
    <x v="4"/>
    <x v="4"/>
    <x v="11"/>
    <n v="2970"/>
    <n v="17"/>
    <x v="249"/>
    <x v="0"/>
  </r>
  <r>
    <s v="19.02.2023 Итог"/>
    <x v="3"/>
    <x v="2"/>
    <x v="3"/>
    <x v="3"/>
    <m/>
    <m/>
    <x v="250"/>
    <x v="0"/>
  </r>
  <r>
    <d v="2023-02-20T00:00:00"/>
    <x v="0"/>
    <x v="3"/>
    <x v="1"/>
    <x v="23"/>
    <n v="705"/>
    <n v="89"/>
    <x v="251"/>
    <x v="0"/>
  </r>
  <r>
    <d v="2023-02-20T00:00:00"/>
    <x v="2"/>
    <x v="3"/>
    <x v="0"/>
    <x v="22"/>
    <n v="1420"/>
    <n v="81"/>
    <x v="252"/>
    <x v="0"/>
  </r>
  <r>
    <d v="2023-02-20T00:00:00"/>
    <x v="4"/>
    <x v="3"/>
    <x v="0"/>
    <x v="0"/>
    <n v="1320"/>
    <n v="5"/>
    <x v="182"/>
    <x v="0"/>
  </r>
  <r>
    <d v="2023-02-20T00:00:00"/>
    <x v="0"/>
    <x v="0"/>
    <x v="1"/>
    <x v="19"/>
    <n v="540"/>
    <n v="46"/>
    <x v="200"/>
    <x v="0"/>
  </r>
  <r>
    <d v="2023-02-20T00:00:00"/>
    <x v="4"/>
    <x v="0"/>
    <x v="2"/>
    <x v="8"/>
    <n v="460"/>
    <n v="48"/>
    <x v="253"/>
    <x v="0"/>
  </r>
  <r>
    <d v="2023-02-20T00:00:00"/>
    <x v="0"/>
    <x v="0"/>
    <x v="0"/>
    <x v="10"/>
    <n v="1230"/>
    <n v="16"/>
    <x v="254"/>
    <x v="0"/>
  </r>
  <r>
    <d v="2023-02-20T00:00:00"/>
    <x v="4"/>
    <x v="0"/>
    <x v="4"/>
    <x v="21"/>
    <n v="3205"/>
    <n v="30"/>
    <x v="255"/>
    <x v="0"/>
  </r>
  <r>
    <d v="2023-02-20T00:00:00"/>
    <x v="0"/>
    <x v="4"/>
    <x v="2"/>
    <x v="9"/>
    <n v="690"/>
    <n v="49"/>
    <x v="256"/>
    <x v="0"/>
  </r>
  <r>
    <d v="2023-02-20T00:00:00"/>
    <x v="2"/>
    <x v="4"/>
    <x v="0"/>
    <x v="17"/>
    <n v="2400"/>
    <n v="11"/>
    <x v="257"/>
    <x v="0"/>
  </r>
  <r>
    <d v="2023-02-20T00:00:00"/>
    <x v="1"/>
    <x v="4"/>
    <x v="4"/>
    <x v="11"/>
    <n v="2970"/>
    <n v="70"/>
    <x v="258"/>
    <x v="0"/>
  </r>
  <r>
    <d v="2023-02-20T00:00:00"/>
    <x v="2"/>
    <x v="1"/>
    <x v="4"/>
    <x v="21"/>
    <n v="3205"/>
    <n v="97"/>
    <x v="259"/>
    <x v="0"/>
  </r>
  <r>
    <d v="2023-02-20T00:00:00"/>
    <x v="4"/>
    <x v="5"/>
    <x v="1"/>
    <x v="23"/>
    <n v="705"/>
    <n v="90"/>
    <x v="85"/>
    <x v="0"/>
  </r>
  <r>
    <d v="2023-02-20T00:00:00"/>
    <x v="1"/>
    <x v="5"/>
    <x v="2"/>
    <x v="2"/>
    <n v="325"/>
    <n v="37"/>
    <x v="260"/>
    <x v="0"/>
  </r>
  <r>
    <d v="2023-02-20T00:00:00"/>
    <x v="2"/>
    <x v="5"/>
    <x v="4"/>
    <x v="13"/>
    <n v="1505"/>
    <n v="43"/>
    <x v="261"/>
    <x v="0"/>
  </r>
  <r>
    <d v="2023-02-20T00:00:00"/>
    <x v="2"/>
    <x v="6"/>
    <x v="0"/>
    <x v="5"/>
    <n v="930"/>
    <n v="55"/>
    <x v="262"/>
    <x v="0"/>
  </r>
  <r>
    <d v="2023-02-20T00:00:00"/>
    <x v="1"/>
    <x v="6"/>
    <x v="0"/>
    <x v="24"/>
    <n v="2540"/>
    <n v="82"/>
    <x v="263"/>
    <x v="0"/>
  </r>
  <r>
    <d v="2023-02-20T00:00:00"/>
    <x v="2"/>
    <x v="6"/>
    <x v="4"/>
    <x v="14"/>
    <n v="1670"/>
    <n v="8"/>
    <x v="264"/>
    <x v="0"/>
  </r>
  <r>
    <d v="2023-02-20T00:00:00"/>
    <x v="4"/>
    <x v="3"/>
    <x v="4"/>
    <x v="14"/>
    <n v="1670"/>
    <n v="37"/>
    <x v="265"/>
    <x v="0"/>
  </r>
  <r>
    <d v="2023-02-20T00:00:00"/>
    <x v="1"/>
    <x v="0"/>
    <x v="2"/>
    <x v="2"/>
    <n v="325"/>
    <n v="89"/>
    <x v="266"/>
    <x v="0"/>
  </r>
  <r>
    <d v="2023-02-20T00:00:00"/>
    <x v="2"/>
    <x v="1"/>
    <x v="1"/>
    <x v="18"/>
    <n v="650"/>
    <n v="68"/>
    <x v="267"/>
    <x v="0"/>
  </r>
  <r>
    <s v="20.02.2023 Итог"/>
    <x v="3"/>
    <x v="2"/>
    <x v="3"/>
    <x v="3"/>
    <m/>
    <m/>
    <x v="268"/>
    <x v="0"/>
  </r>
  <r>
    <d v="2023-02-21T00:00:00"/>
    <x v="4"/>
    <x v="3"/>
    <x v="1"/>
    <x v="19"/>
    <n v="540"/>
    <n v="80"/>
    <x v="20"/>
    <x v="0"/>
  </r>
  <r>
    <d v="2023-02-21T00:00:00"/>
    <x v="2"/>
    <x v="3"/>
    <x v="2"/>
    <x v="4"/>
    <n v="450"/>
    <n v="54"/>
    <x v="269"/>
    <x v="0"/>
  </r>
  <r>
    <d v="2023-02-21T00:00:00"/>
    <x v="2"/>
    <x v="0"/>
    <x v="1"/>
    <x v="1"/>
    <n v="1380"/>
    <n v="37"/>
    <x v="270"/>
    <x v="0"/>
  </r>
  <r>
    <d v="2023-02-21T00:00:00"/>
    <x v="2"/>
    <x v="0"/>
    <x v="2"/>
    <x v="12"/>
    <n v="715"/>
    <n v="5"/>
    <x v="271"/>
    <x v="0"/>
  </r>
  <r>
    <d v="2023-02-21T00:00:00"/>
    <x v="1"/>
    <x v="0"/>
    <x v="4"/>
    <x v="15"/>
    <n v="2460"/>
    <n v="36"/>
    <x v="272"/>
    <x v="0"/>
  </r>
  <r>
    <d v="2023-02-21T00:00:00"/>
    <x v="0"/>
    <x v="0"/>
    <x v="4"/>
    <x v="21"/>
    <n v="3205"/>
    <n v="15"/>
    <x v="273"/>
    <x v="0"/>
  </r>
  <r>
    <d v="2023-02-21T00:00:00"/>
    <x v="0"/>
    <x v="4"/>
    <x v="2"/>
    <x v="16"/>
    <n v="890"/>
    <n v="16"/>
    <x v="274"/>
    <x v="0"/>
  </r>
  <r>
    <d v="2023-02-21T00:00:00"/>
    <x v="4"/>
    <x v="4"/>
    <x v="2"/>
    <x v="8"/>
    <n v="460"/>
    <n v="39"/>
    <x v="275"/>
    <x v="0"/>
  </r>
  <r>
    <d v="2023-02-21T00:00:00"/>
    <x v="0"/>
    <x v="5"/>
    <x v="2"/>
    <x v="16"/>
    <n v="890"/>
    <n v="84"/>
    <x v="186"/>
    <x v="0"/>
  </r>
  <r>
    <d v="2023-02-21T00:00:00"/>
    <x v="1"/>
    <x v="5"/>
    <x v="0"/>
    <x v="22"/>
    <n v="1420"/>
    <n v="37"/>
    <x v="276"/>
    <x v="0"/>
  </r>
  <r>
    <d v="2023-02-21T00:00:00"/>
    <x v="0"/>
    <x v="6"/>
    <x v="1"/>
    <x v="6"/>
    <n v="640"/>
    <n v="19"/>
    <x v="277"/>
    <x v="0"/>
  </r>
  <r>
    <d v="2023-02-21T00:00:00"/>
    <x v="2"/>
    <x v="6"/>
    <x v="2"/>
    <x v="8"/>
    <n v="460"/>
    <n v="7"/>
    <x v="278"/>
    <x v="0"/>
  </r>
  <r>
    <d v="2023-02-21T00:00:00"/>
    <x v="1"/>
    <x v="6"/>
    <x v="0"/>
    <x v="5"/>
    <n v="930"/>
    <n v="6"/>
    <x v="279"/>
    <x v="0"/>
  </r>
  <r>
    <d v="2023-02-21T00:00:00"/>
    <x v="4"/>
    <x v="6"/>
    <x v="0"/>
    <x v="0"/>
    <n v="1320"/>
    <n v="48"/>
    <x v="203"/>
    <x v="0"/>
  </r>
  <r>
    <d v="2023-02-21T00:00:00"/>
    <x v="4"/>
    <x v="6"/>
    <x v="0"/>
    <x v="5"/>
    <n v="930"/>
    <n v="38"/>
    <x v="280"/>
    <x v="0"/>
  </r>
  <r>
    <d v="2023-02-21T00:00:00"/>
    <x v="4"/>
    <x v="6"/>
    <x v="4"/>
    <x v="15"/>
    <n v="2460"/>
    <n v="34"/>
    <x v="281"/>
    <x v="0"/>
  </r>
  <r>
    <d v="2023-02-21T00:00:00"/>
    <x v="1"/>
    <x v="3"/>
    <x v="4"/>
    <x v="15"/>
    <n v="2460"/>
    <n v="11"/>
    <x v="131"/>
    <x v="0"/>
  </r>
  <r>
    <d v="2023-02-21T00:00:00"/>
    <x v="0"/>
    <x v="1"/>
    <x v="1"/>
    <x v="19"/>
    <n v="540"/>
    <n v="97"/>
    <x v="282"/>
    <x v="0"/>
  </r>
  <r>
    <s v="21.02.2023 Итог"/>
    <x v="3"/>
    <x v="2"/>
    <x v="3"/>
    <x v="3"/>
    <m/>
    <m/>
    <x v="283"/>
    <x v="0"/>
  </r>
  <r>
    <d v="2023-02-22T00:00:00"/>
    <x v="2"/>
    <x v="3"/>
    <x v="1"/>
    <x v="1"/>
    <n v="1380"/>
    <n v="12"/>
    <x v="160"/>
    <x v="0"/>
  </r>
  <r>
    <d v="2023-02-22T00:00:00"/>
    <x v="4"/>
    <x v="3"/>
    <x v="1"/>
    <x v="1"/>
    <n v="1380"/>
    <n v="39"/>
    <x v="197"/>
    <x v="0"/>
  </r>
  <r>
    <d v="2023-02-22T00:00:00"/>
    <x v="1"/>
    <x v="0"/>
    <x v="2"/>
    <x v="9"/>
    <n v="690"/>
    <n v="26"/>
    <x v="275"/>
    <x v="0"/>
  </r>
  <r>
    <d v="2023-02-22T00:00:00"/>
    <x v="4"/>
    <x v="0"/>
    <x v="4"/>
    <x v="15"/>
    <n v="2460"/>
    <n v="50"/>
    <x v="284"/>
    <x v="0"/>
  </r>
  <r>
    <d v="2023-02-22T00:00:00"/>
    <x v="4"/>
    <x v="4"/>
    <x v="1"/>
    <x v="23"/>
    <n v="705"/>
    <n v="79"/>
    <x v="285"/>
    <x v="0"/>
  </r>
  <r>
    <d v="2023-02-22T00:00:00"/>
    <x v="1"/>
    <x v="4"/>
    <x v="1"/>
    <x v="19"/>
    <n v="540"/>
    <n v="21"/>
    <x v="286"/>
    <x v="0"/>
  </r>
  <r>
    <d v="2023-02-22T00:00:00"/>
    <x v="1"/>
    <x v="4"/>
    <x v="2"/>
    <x v="16"/>
    <n v="890"/>
    <n v="27"/>
    <x v="287"/>
    <x v="0"/>
  </r>
  <r>
    <d v="2023-02-22T00:00:00"/>
    <x v="0"/>
    <x v="4"/>
    <x v="0"/>
    <x v="5"/>
    <n v="930"/>
    <n v="79"/>
    <x v="288"/>
    <x v="0"/>
  </r>
  <r>
    <d v="2023-02-22T00:00:00"/>
    <x v="0"/>
    <x v="4"/>
    <x v="0"/>
    <x v="0"/>
    <n v="1320"/>
    <n v="97"/>
    <x v="289"/>
    <x v="0"/>
  </r>
  <r>
    <d v="2023-02-22T00:00:00"/>
    <x v="0"/>
    <x v="4"/>
    <x v="4"/>
    <x v="14"/>
    <n v="1670"/>
    <n v="93"/>
    <x v="290"/>
    <x v="0"/>
  </r>
  <r>
    <d v="2023-02-22T00:00:00"/>
    <x v="4"/>
    <x v="1"/>
    <x v="2"/>
    <x v="2"/>
    <n v="325"/>
    <n v="43"/>
    <x v="291"/>
    <x v="0"/>
  </r>
  <r>
    <d v="2023-02-22T00:00:00"/>
    <x v="4"/>
    <x v="1"/>
    <x v="0"/>
    <x v="24"/>
    <n v="2540"/>
    <n v="65"/>
    <x v="292"/>
    <x v="0"/>
  </r>
  <r>
    <d v="2023-02-22T00:00:00"/>
    <x v="2"/>
    <x v="1"/>
    <x v="4"/>
    <x v="14"/>
    <n v="1670"/>
    <n v="99"/>
    <x v="293"/>
    <x v="0"/>
  </r>
  <r>
    <d v="2023-02-22T00:00:00"/>
    <x v="2"/>
    <x v="5"/>
    <x v="1"/>
    <x v="6"/>
    <n v="640"/>
    <n v="20"/>
    <x v="294"/>
    <x v="0"/>
  </r>
  <r>
    <d v="2023-02-22T00:00:00"/>
    <x v="1"/>
    <x v="5"/>
    <x v="4"/>
    <x v="15"/>
    <n v="2460"/>
    <n v="51"/>
    <x v="295"/>
    <x v="0"/>
  </r>
  <r>
    <d v="2023-02-22T00:00:00"/>
    <x v="4"/>
    <x v="5"/>
    <x v="4"/>
    <x v="11"/>
    <n v="2970"/>
    <n v="48"/>
    <x v="296"/>
    <x v="0"/>
  </r>
  <r>
    <d v="2023-02-22T00:00:00"/>
    <x v="0"/>
    <x v="6"/>
    <x v="1"/>
    <x v="6"/>
    <n v="640"/>
    <n v="77"/>
    <x v="297"/>
    <x v="0"/>
  </r>
  <r>
    <d v="2023-02-22T00:00:00"/>
    <x v="4"/>
    <x v="6"/>
    <x v="2"/>
    <x v="12"/>
    <n v="715"/>
    <n v="91"/>
    <x v="298"/>
    <x v="0"/>
  </r>
  <r>
    <d v="2023-02-22T00:00:00"/>
    <x v="4"/>
    <x v="6"/>
    <x v="4"/>
    <x v="21"/>
    <n v="3205"/>
    <n v="85"/>
    <x v="299"/>
    <x v="0"/>
  </r>
  <r>
    <d v="2023-02-22T00:00:00"/>
    <x v="1"/>
    <x v="1"/>
    <x v="0"/>
    <x v="24"/>
    <n v="2540"/>
    <n v="37"/>
    <x v="300"/>
    <x v="0"/>
  </r>
  <r>
    <s v="22.02.2023 Итог"/>
    <x v="3"/>
    <x v="2"/>
    <x v="3"/>
    <x v="3"/>
    <m/>
    <m/>
    <x v="301"/>
    <x v="0"/>
  </r>
  <r>
    <d v="2023-02-23T00:00:00"/>
    <x v="4"/>
    <x v="3"/>
    <x v="1"/>
    <x v="18"/>
    <n v="650"/>
    <n v="25"/>
    <x v="45"/>
    <x v="0"/>
  </r>
  <r>
    <d v="2023-02-23T00:00:00"/>
    <x v="1"/>
    <x v="3"/>
    <x v="0"/>
    <x v="5"/>
    <n v="930"/>
    <n v="39"/>
    <x v="302"/>
    <x v="0"/>
  </r>
  <r>
    <d v="2023-02-23T00:00:00"/>
    <x v="0"/>
    <x v="0"/>
    <x v="1"/>
    <x v="6"/>
    <n v="640"/>
    <n v="11"/>
    <x v="303"/>
    <x v="0"/>
  </r>
  <r>
    <d v="2023-02-23T00:00:00"/>
    <x v="4"/>
    <x v="0"/>
    <x v="0"/>
    <x v="24"/>
    <n v="2540"/>
    <n v="99"/>
    <x v="304"/>
    <x v="0"/>
  </r>
  <r>
    <d v="2023-02-23T00:00:00"/>
    <x v="1"/>
    <x v="0"/>
    <x v="0"/>
    <x v="22"/>
    <n v="1420"/>
    <n v="79"/>
    <x v="305"/>
    <x v="0"/>
  </r>
  <r>
    <d v="2023-02-23T00:00:00"/>
    <x v="4"/>
    <x v="4"/>
    <x v="2"/>
    <x v="2"/>
    <n v="325"/>
    <n v="62"/>
    <x v="306"/>
    <x v="0"/>
  </r>
  <r>
    <d v="2023-02-23T00:00:00"/>
    <x v="2"/>
    <x v="4"/>
    <x v="0"/>
    <x v="0"/>
    <n v="1320"/>
    <n v="96"/>
    <x v="107"/>
    <x v="0"/>
  </r>
  <r>
    <d v="2023-02-23T00:00:00"/>
    <x v="4"/>
    <x v="1"/>
    <x v="1"/>
    <x v="1"/>
    <n v="1380"/>
    <n v="76"/>
    <x v="307"/>
    <x v="0"/>
  </r>
  <r>
    <d v="2023-02-23T00:00:00"/>
    <x v="4"/>
    <x v="1"/>
    <x v="2"/>
    <x v="8"/>
    <n v="460"/>
    <n v="22"/>
    <x v="308"/>
    <x v="0"/>
  </r>
  <r>
    <d v="2023-02-23T00:00:00"/>
    <x v="1"/>
    <x v="1"/>
    <x v="0"/>
    <x v="22"/>
    <n v="1420"/>
    <n v="11"/>
    <x v="309"/>
    <x v="0"/>
  </r>
  <r>
    <d v="2023-02-23T00:00:00"/>
    <x v="1"/>
    <x v="1"/>
    <x v="0"/>
    <x v="22"/>
    <n v="1420"/>
    <n v="10"/>
    <x v="310"/>
    <x v="0"/>
  </r>
  <r>
    <d v="2023-02-23T00:00:00"/>
    <x v="1"/>
    <x v="1"/>
    <x v="4"/>
    <x v="21"/>
    <n v="3205"/>
    <n v="22"/>
    <x v="311"/>
    <x v="0"/>
  </r>
  <r>
    <d v="2023-02-23T00:00:00"/>
    <x v="2"/>
    <x v="5"/>
    <x v="1"/>
    <x v="20"/>
    <n v="650"/>
    <n v="100"/>
    <x v="2"/>
    <x v="0"/>
  </r>
  <r>
    <d v="2023-02-23T00:00:00"/>
    <x v="2"/>
    <x v="5"/>
    <x v="0"/>
    <x v="0"/>
    <n v="1320"/>
    <n v="97"/>
    <x v="289"/>
    <x v="0"/>
  </r>
  <r>
    <d v="2023-02-23T00:00:00"/>
    <x v="0"/>
    <x v="5"/>
    <x v="0"/>
    <x v="17"/>
    <n v="2400"/>
    <n v="67"/>
    <x v="59"/>
    <x v="0"/>
  </r>
  <r>
    <d v="2023-02-23T00:00:00"/>
    <x v="4"/>
    <x v="5"/>
    <x v="4"/>
    <x v="11"/>
    <n v="2970"/>
    <n v="60"/>
    <x v="312"/>
    <x v="0"/>
  </r>
  <r>
    <d v="2023-02-23T00:00:00"/>
    <x v="2"/>
    <x v="6"/>
    <x v="1"/>
    <x v="6"/>
    <n v="640"/>
    <n v="31"/>
    <x v="313"/>
    <x v="0"/>
  </r>
  <r>
    <d v="2023-02-23T00:00:00"/>
    <x v="0"/>
    <x v="3"/>
    <x v="0"/>
    <x v="24"/>
    <n v="2540"/>
    <n v="88"/>
    <x v="314"/>
    <x v="0"/>
  </r>
  <r>
    <d v="2023-02-23T00:00:00"/>
    <x v="4"/>
    <x v="1"/>
    <x v="4"/>
    <x v="11"/>
    <n v="2970"/>
    <n v="29"/>
    <x v="315"/>
    <x v="0"/>
  </r>
  <r>
    <s v="23.02.2023 Итог"/>
    <x v="3"/>
    <x v="2"/>
    <x v="3"/>
    <x v="3"/>
    <m/>
    <m/>
    <x v="316"/>
    <x v="0"/>
  </r>
  <r>
    <d v="2023-02-24T00:00:00"/>
    <x v="1"/>
    <x v="3"/>
    <x v="1"/>
    <x v="18"/>
    <n v="650"/>
    <n v="69"/>
    <x v="317"/>
    <x v="0"/>
  </r>
  <r>
    <d v="2023-02-24T00:00:00"/>
    <x v="0"/>
    <x v="3"/>
    <x v="1"/>
    <x v="23"/>
    <n v="705"/>
    <n v="67"/>
    <x v="318"/>
    <x v="0"/>
  </r>
  <r>
    <d v="2023-02-24T00:00:00"/>
    <x v="2"/>
    <x v="3"/>
    <x v="2"/>
    <x v="12"/>
    <n v="715"/>
    <n v="56"/>
    <x v="319"/>
    <x v="0"/>
  </r>
  <r>
    <d v="2023-02-24T00:00:00"/>
    <x v="1"/>
    <x v="3"/>
    <x v="4"/>
    <x v="21"/>
    <n v="3205"/>
    <n v="21"/>
    <x v="320"/>
    <x v="0"/>
  </r>
  <r>
    <d v="2023-02-24T00:00:00"/>
    <x v="0"/>
    <x v="0"/>
    <x v="1"/>
    <x v="1"/>
    <n v="1380"/>
    <n v="42"/>
    <x v="69"/>
    <x v="0"/>
  </r>
  <r>
    <d v="2023-02-24T00:00:00"/>
    <x v="2"/>
    <x v="0"/>
    <x v="2"/>
    <x v="4"/>
    <n v="450"/>
    <n v="97"/>
    <x v="321"/>
    <x v="0"/>
  </r>
  <r>
    <d v="2023-02-24T00:00:00"/>
    <x v="4"/>
    <x v="0"/>
    <x v="0"/>
    <x v="24"/>
    <n v="2540"/>
    <n v="91"/>
    <x v="322"/>
    <x v="0"/>
  </r>
  <r>
    <d v="2023-02-24T00:00:00"/>
    <x v="0"/>
    <x v="4"/>
    <x v="2"/>
    <x v="9"/>
    <n v="690"/>
    <n v="9"/>
    <x v="24"/>
    <x v="0"/>
  </r>
  <r>
    <d v="2023-02-24T00:00:00"/>
    <x v="0"/>
    <x v="4"/>
    <x v="4"/>
    <x v="15"/>
    <n v="2460"/>
    <n v="75"/>
    <x v="323"/>
    <x v="0"/>
  </r>
  <r>
    <d v="2023-02-24T00:00:00"/>
    <x v="4"/>
    <x v="1"/>
    <x v="2"/>
    <x v="16"/>
    <n v="890"/>
    <n v="18"/>
    <x v="324"/>
    <x v="0"/>
  </r>
  <r>
    <d v="2023-02-24T00:00:00"/>
    <x v="2"/>
    <x v="6"/>
    <x v="2"/>
    <x v="4"/>
    <n v="450"/>
    <n v="37"/>
    <x v="325"/>
    <x v="0"/>
  </r>
  <r>
    <d v="2023-02-24T00:00:00"/>
    <x v="4"/>
    <x v="6"/>
    <x v="0"/>
    <x v="10"/>
    <n v="1230"/>
    <n v="99"/>
    <x v="326"/>
    <x v="0"/>
  </r>
  <r>
    <d v="2023-02-24T00:00:00"/>
    <x v="4"/>
    <x v="5"/>
    <x v="1"/>
    <x v="18"/>
    <n v="650"/>
    <n v="21"/>
    <x v="327"/>
    <x v="0"/>
  </r>
  <r>
    <s v="24.02.2023 Итог"/>
    <x v="3"/>
    <x v="2"/>
    <x v="3"/>
    <x v="3"/>
    <m/>
    <m/>
    <x v="328"/>
    <x v="0"/>
  </r>
  <r>
    <d v="2023-02-25T00:00:00"/>
    <x v="1"/>
    <x v="3"/>
    <x v="1"/>
    <x v="1"/>
    <n v="1380"/>
    <n v="63"/>
    <x v="329"/>
    <x v="0"/>
  </r>
  <r>
    <d v="2023-02-25T00:00:00"/>
    <x v="1"/>
    <x v="3"/>
    <x v="1"/>
    <x v="18"/>
    <n v="650"/>
    <n v="21"/>
    <x v="327"/>
    <x v="0"/>
  </r>
  <r>
    <d v="2023-02-25T00:00:00"/>
    <x v="0"/>
    <x v="3"/>
    <x v="0"/>
    <x v="17"/>
    <n v="2400"/>
    <n v="70"/>
    <x v="330"/>
    <x v="0"/>
  </r>
  <r>
    <d v="2023-02-25T00:00:00"/>
    <x v="0"/>
    <x v="3"/>
    <x v="0"/>
    <x v="24"/>
    <n v="2540"/>
    <n v="89"/>
    <x v="331"/>
    <x v="0"/>
  </r>
  <r>
    <d v="2023-02-25T00:00:00"/>
    <x v="1"/>
    <x v="3"/>
    <x v="4"/>
    <x v="13"/>
    <n v="1505"/>
    <n v="53"/>
    <x v="235"/>
    <x v="0"/>
  </r>
  <r>
    <d v="2023-02-25T00:00:00"/>
    <x v="0"/>
    <x v="0"/>
    <x v="1"/>
    <x v="23"/>
    <n v="705"/>
    <n v="49"/>
    <x v="332"/>
    <x v="0"/>
  </r>
  <r>
    <d v="2023-02-25T00:00:00"/>
    <x v="1"/>
    <x v="4"/>
    <x v="1"/>
    <x v="19"/>
    <n v="540"/>
    <n v="27"/>
    <x v="333"/>
    <x v="0"/>
  </r>
  <r>
    <d v="2023-02-25T00:00:00"/>
    <x v="4"/>
    <x v="4"/>
    <x v="0"/>
    <x v="5"/>
    <n v="930"/>
    <n v="46"/>
    <x v="224"/>
    <x v="0"/>
  </r>
  <r>
    <d v="2023-02-25T00:00:00"/>
    <x v="1"/>
    <x v="4"/>
    <x v="4"/>
    <x v="13"/>
    <n v="1505"/>
    <n v="39"/>
    <x v="334"/>
    <x v="0"/>
  </r>
  <r>
    <d v="2023-02-25T00:00:00"/>
    <x v="1"/>
    <x v="1"/>
    <x v="2"/>
    <x v="2"/>
    <n v="325"/>
    <n v="98"/>
    <x v="163"/>
    <x v="0"/>
  </r>
  <r>
    <d v="2023-02-25T00:00:00"/>
    <x v="0"/>
    <x v="1"/>
    <x v="4"/>
    <x v="11"/>
    <n v="2970"/>
    <n v="82"/>
    <x v="335"/>
    <x v="0"/>
  </r>
  <r>
    <d v="2023-02-25T00:00:00"/>
    <x v="0"/>
    <x v="1"/>
    <x v="4"/>
    <x v="7"/>
    <n v="1760"/>
    <n v="51"/>
    <x v="336"/>
    <x v="0"/>
  </r>
  <r>
    <d v="2023-02-25T00:00:00"/>
    <x v="4"/>
    <x v="5"/>
    <x v="2"/>
    <x v="2"/>
    <n v="325"/>
    <n v="48"/>
    <x v="337"/>
    <x v="0"/>
  </r>
  <r>
    <d v="2023-02-25T00:00:00"/>
    <x v="2"/>
    <x v="6"/>
    <x v="1"/>
    <x v="1"/>
    <n v="1380"/>
    <n v="84"/>
    <x v="338"/>
    <x v="0"/>
  </r>
  <r>
    <d v="2023-02-25T00:00:00"/>
    <x v="1"/>
    <x v="6"/>
    <x v="4"/>
    <x v="14"/>
    <n v="1670"/>
    <n v="67"/>
    <x v="339"/>
    <x v="0"/>
  </r>
  <r>
    <d v="2023-02-25T00:00:00"/>
    <x v="1"/>
    <x v="6"/>
    <x v="4"/>
    <x v="21"/>
    <n v="3205"/>
    <n v="38"/>
    <x v="201"/>
    <x v="0"/>
  </r>
  <r>
    <d v="2023-02-25T00:00:00"/>
    <x v="1"/>
    <x v="5"/>
    <x v="4"/>
    <x v="21"/>
    <n v="3205"/>
    <n v="27"/>
    <x v="340"/>
    <x v="0"/>
  </r>
  <r>
    <s v="25.02.2023 Итог"/>
    <x v="3"/>
    <x v="2"/>
    <x v="3"/>
    <x v="3"/>
    <m/>
    <m/>
    <x v="341"/>
    <x v="0"/>
  </r>
  <r>
    <d v="2023-02-26T00:00:00"/>
    <x v="1"/>
    <x v="3"/>
    <x v="2"/>
    <x v="2"/>
    <n v="325"/>
    <n v="12"/>
    <x v="342"/>
    <x v="0"/>
  </r>
  <r>
    <d v="2023-02-26T00:00:00"/>
    <x v="1"/>
    <x v="3"/>
    <x v="4"/>
    <x v="21"/>
    <n v="3205"/>
    <n v="69"/>
    <x v="343"/>
    <x v="0"/>
  </r>
  <r>
    <d v="2023-02-26T00:00:00"/>
    <x v="0"/>
    <x v="4"/>
    <x v="0"/>
    <x v="0"/>
    <n v="1320"/>
    <n v="60"/>
    <x v="30"/>
    <x v="0"/>
  </r>
  <r>
    <d v="2023-02-26T00:00:00"/>
    <x v="4"/>
    <x v="4"/>
    <x v="4"/>
    <x v="11"/>
    <n v="2970"/>
    <n v="76"/>
    <x v="344"/>
    <x v="0"/>
  </r>
  <r>
    <d v="2023-02-26T00:00:00"/>
    <x v="0"/>
    <x v="1"/>
    <x v="2"/>
    <x v="8"/>
    <n v="460"/>
    <n v="24"/>
    <x v="51"/>
    <x v="0"/>
  </r>
  <r>
    <d v="2023-02-26T00:00:00"/>
    <x v="0"/>
    <x v="1"/>
    <x v="0"/>
    <x v="5"/>
    <n v="930"/>
    <n v="92"/>
    <x v="345"/>
    <x v="0"/>
  </r>
  <r>
    <d v="2023-02-26T00:00:00"/>
    <x v="2"/>
    <x v="1"/>
    <x v="4"/>
    <x v="7"/>
    <n v="1760"/>
    <n v="88"/>
    <x v="346"/>
    <x v="0"/>
  </r>
  <r>
    <d v="2023-02-26T00:00:00"/>
    <x v="4"/>
    <x v="5"/>
    <x v="0"/>
    <x v="22"/>
    <n v="1420"/>
    <n v="63"/>
    <x v="347"/>
    <x v="0"/>
  </r>
  <r>
    <d v="2023-02-26T00:00:00"/>
    <x v="2"/>
    <x v="5"/>
    <x v="4"/>
    <x v="11"/>
    <n v="2970"/>
    <n v="79"/>
    <x v="348"/>
    <x v="0"/>
  </r>
  <r>
    <d v="2023-02-26T00:00:00"/>
    <x v="1"/>
    <x v="6"/>
    <x v="1"/>
    <x v="6"/>
    <n v="640"/>
    <n v="57"/>
    <x v="349"/>
    <x v="0"/>
  </r>
  <r>
    <d v="2023-02-26T00:00:00"/>
    <x v="0"/>
    <x v="6"/>
    <x v="2"/>
    <x v="12"/>
    <n v="715"/>
    <n v="32"/>
    <x v="350"/>
    <x v="0"/>
  </r>
  <r>
    <d v="2023-02-26T00:00:00"/>
    <x v="0"/>
    <x v="6"/>
    <x v="0"/>
    <x v="0"/>
    <n v="1320"/>
    <n v="43"/>
    <x v="351"/>
    <x v="0"/>
  </r>
  <r>
    <d v="2023-02-26T00:00:00"/>
    <x v="2"/>
    <x v="6"/>
    <x v="0"/>
    <x v="22"/>
    <n v="1420"/>
    <n v="54"/>
    <x v="88"/>
    <x v="0"/>
  </r>
  <r>
    <d v="2023-02-26T00:00:00"/>
    <x v="2"/>
    <x v="3"/>
    <x v="0"/>
    <x v="22"/>
    <n v="1420"/>
    <n v="31"/>
    <x v="352"/>
    <x v="0"/>
  </r>
  <r>
    <d v="2023-02-26T00:00:00"/>
    <x v="1"/>
    <x v="0"/>
    <x v="2"/>
    <x v="12"/>
    <n v="715"/>
    <n v="60"/>
    <x v="353"/>
    <x v="0"/>
  </r>
  <r>
    <d v="2023-02-26T00:00:00"/>
    <x v="0"/>
    <x v="5"/>
    <x v="4"/>
    <x v="11"/>
    <n v="2970"/>
    <n v="37"/>
    <x v="354"/>
    <x v="0"/>
  </r>
  <r>
    <s v="26.02.2023 Итог"/>
    <x v="3"/>
    <x v="2"/>
    <x v="3"/>
    <x v="3"/>
    <m/>
    <m/>
    <x v="355"/>
    <x v="0"/>
  </r>
  <r>
    <d v="2023-02-27T00:00:00"/>
    <x v="4"/>
    <x v="3"/>
    <x v="2"/>
    <x v="8"/>
    <n v="460"/>
    <n v="90"/>
    <x v="356"/>
    <x v="0"/>
  </r>
  <r>
    <d v="2023-02-27T00:00:00"/>
    <x v="0"/>
    <x v="0"/>
    <x v="2"/>
    <x v="2"/>
    <n v="325"/>
    <n v="49"/>
    <x v="357"/>
    <x v="0"/>
  </r>
  <r>
    <d v="2023-02-27T00:00:00"/>
    <x v="0"/>
    <x v="0"/>
    <x v="0"/>
    <x v="24"/>
    <n v="2540"/>
    <n v="29"/>
    <x v="358"/>
    <x v="0"/>
  </r>
  <r>
    <d v="2023-02-27T00:00:00"/>
    <x v="4"/>
    <x v="4"/>
    <x v="1"/>
    <x v="20"/>
    <n v="650"/>
    <n v="75"/>
    <x v="359"/>
    <x v="0"/>
  </r>
  <r>
    <d v="2023-02-27T00:00:00"/>
    <x v="4"/>
    <x v="4"/>
    <x v="1"/>
    <x v="20"/>
    <n v="650"/>
    <n v="33"/>
    <x v="360"/>
    <x v="0"/>
  </r>
  <r>
    <d v="2023-02-27T00:00:00"/>
    <x v="0"/>
    <x v="4"/>
    <x v="1"/>
    <x v="1"/>
    <n v="1380"/>
    <n v="6"/>
    <x v="244"/>
    <x v="0"/>
  </r>
  <r>
    <d v="2023-02-27T00:00:00"/>
    <x v="4"/>
    <x v="4"/>
    <x v="2"/>
    <x v="8"/>
    <n v="460"/>
    <n v="41"/>
    <x v="361"/>
    <x v="0"/>
  </r>
  <r>
    <d v="2023-02-27T00:00:00"/>
    <x v="4"/>
    <x v="4"/>
    <x v="4"/>
    <x v="7"/>
    <n v="1760"/>
    <n v="50"/>
    <x v="362"/>
    <x v="0"/>
  </r>
  <r>
    <d v="2023-02-27T00:00:00"/>
    <x v="4"/>
    <x v="4"/>
    <x v="4"/>
    <x v="7"/>
    <n v="1760"/>
    <n v="41"/>
    <x v="363"/>
    <x v="0"/>
  </r>
  <r>
    <d v="2023-02-27T00:00:00"/>
    <x v="4"/>
    <x v="1"/>
    <x v="1"/>
    <x v="19"/>
    <n v="540"/>
    <n v="48"/>
    <x v="364"/>
    <x v="0"/>
  </r>
  <r>
    <d v="2023-02-27T00:00:00"/>
    <x v="0"/>
    <x v="1"/>
    <x v="2"/>
    <x v="2"/>
    <n v="325"/>
    <n v="12"/>
    <x v="342"/>
    <x v="0"/>
  </r>
  <r>
    <d v="2023-02-27T00:00:00"/>
    <x v="1"/>
    <x v="5"/>
    <x v="2"/>
    <x v="4"/>
    <n v="450"/>
    <n v="69"/>
    <x v="17"/>
    <x v="0"/>
  </r>
  <r>
    <d v="2023-02-27T00:00:00"/>
    <x v="0"/>
    <x v="5"/>
    <x v="2"/>
    <x v="16"/>
    <n v="890"/>
    <n v="36"/>
    <x v="365"/>
    <x v="0"/>
  </r>
  <r>
    <d v="2023-02-27T00:00:00"/>
    <x v="0"/>
    <x v="6"/>
    <x v="0"/>
    <x v="22"/>
    <n v="1420"/>
    <n v="95"/>
    <x v="366"/>
    <x v="0"/>
  </r>
  <r>
    <d v="2023-02-27T00:00:00"/>
    <x v="0"/>
    <x v="5"/>
    <x v="4"/>
    <x v="11"/>
    <n v="2970"/>
    <n v="55"/>
    <x v="123"/>
    <x v="0"/>
  </r>
  <r>
    <s v="27.02.2023 Итог"/>
    <x v="3"/>
    <x v="2"/>
    <x v="3"/>
    <x v="3"/>
    <m/>
    <m/>
    <x v="367"/>
    <x v="0"/>
  </r>
  <r>
    <d v="2023-02-28T00:00:00"/>
    <x v="0"/>
    <x v="3"/>
    <x v="2"/>
    <x v="2"/>
    <n v="325"/>
    <n v="41"/>
    <x v="368"/>
    <x v="0"/>
  </r>
  <r>
    <d v="2023-02-28T00:00:00"/>
    <x v="0"/>
    <x v="3"/>
    <x v="0"/>
    <x v="10"/>
    <n v="1230"/>
    <n v="40"/>
    <x v="369"/>
    <x v="0"/>
  </r>
  <r>
    <d v="2023-02-28T00:00:00"/>
    <x v="2"/>
    <x v="0"/>
    <x v="1"/>
    <x v="23"/>
    <n v="705"/>
    <n v="23"/>
    <x v="370"/>
    <x v="0"/>
  </r>
  <r>
    <d v="2023-02-28T00:00:00"/>
    <x v="4"/>
    <x v="0"/>
    <x v="1"/>
    <x v="19"/>
    <n v="540"/>
    <n v="46"/>
    <x v="200"/>
    <x v="0"/>
  </r>
  <r>
    <d v="2023-02-28T00:00:00"/>
    <x v="4"/>
    <x v="0"/>
    <x v="2"/>
    <x v="8"/>
    <n v="460"/>
    <n v="21"/>
    <x v="75"/>
    <x v="0"/>
  </r>
  <r>
    <d v="2023-02-28T00:00:00"/>
    <x v="2"/>
    <x v="0"/>
    <x v="4"/>
    <x v="21"/>
    <n v="3205"/>
    <n v="46"/>
    <x v="371"/>
    <x v="0"/>
  </r>
  <r>
    <d v="2023-02-28T00:00:00"/>
    <x v="2"/>
    <x v="4"/>
    <x v="0"/>
    <x v="5"/>
    <n v="930"/>
    <n v="40"/>
    <x v="372"/>
    <x v="0"/>
  </r>
  <r>
    <d v="2023-02-28T00:00:00"/>
    <x v="2"/>
    <x v="4"/>
    <x v="0"/>
    <x v="10"/>
    <n v="1230"/>
    <n v="81"/>
    <x v="373"/>
    <x v="0"/>
  </r>
  <r>
    <d v="2023-02-28T00:00:00"/>
    <x v="4"/>
    <x v="4"/>
    <x v="4"/>
    <x v="13"/>
    <n v="1505"/>
    <n v="31"/>
    <x v="374"/>
    <x v="0"/>
  </r>
  <r>
    <d v="2023-02-28T00:00:00"/>
    <x v="4"/>
    <x v="1"/>
    <x v="1"/>
    <x v="20"/>
    <n v="650"/>
    <n v="13"/>
    <x v="375"/>
    <x v="0"/>
  </r>
  <r>
    <d v="2023-02-28T00:00:00"/>
    <x v="1"/>
    <x v="1"/>
    <x v="2"/>
    <x v="2"/>
    <n v="325"/>
    <n v="80"/>
    <x v="376"/>
    <x v="0"/>
  </r>
  <r>
    <d v="2023-02-28T00:00:00"/>
    <x v="4"/>
    <x v="1"/>
    <x v="4"/>
    <x v="7"/>
    <n v="1760"/>
    <n v="46"/>
    <x v="377"/>
    <x v="0"/>
  </r>
  <r>
    <d v="2023-02-28T00:00:00"/>
    <x v="0"/>
    <x v="5"/>
    <x v="0"/>
    <x v="5"/>
    <n v="930"/>
    <n v="18"/>
    <x v="378"/>
    <x v="0"/>
  </r>
  <r>
    <d v="2023-02-28T00:00:00"/>
    <x v="0"/>
    <x v="5"/>
    <x v="4"/>
    <x v="14"/>
    <n v="1670"/>
    <n v="97"/>
    <x v="122"/>
    <x v="0"/>
  </r>
  <r>
    <d v="2023-02-28T00:00:00"/>
    <x v="1"/>
    <x v="5"/>
    <x v="4"/>
    <x v="11"/>
    <n v="2970"/>
    <n v="9"/>
    <x v="379"/>
    <x v="0"/>
  </r>
  <r>
    <d v="2023-02-28T00:00:00"/>
    <x v="4"/>
    <x v="5"/>
    <x v="4"/>
    <x v="15"/>
    <n v="2460"/>
    <n v="78"/>
    <x v="380"/>
    <x v="0"/>
  </r>
  <r>
    <d v="2023-02-28T00:00:00"/>
    <x v="2"/>
    <x v="6"/>
    <x v="0"/>
    <x v="5"/>
    <n v="930"/>
    <n v="100"/>
    <x v="381"/>
    <x v="0"/>
  </r>
  <r>
    <d v="2023-02-28T00:00:00"/>
    <x v="0"/>
    <x v="6"/>
    <x v="1"/>
    <x v="19"/>
    <n v="540"/>
    <n v="98"/>
    <x v="136"/>
    <x v="0"/>
  </r>
  <r>
    <d v="2023-02-28T00:00:00"/>
    <x v="0"/>
    <x v="6"/>
    <x v="1"/>
    <x v="23"/>
    <n v="705"/>
    <n v="19"/>
    <x v="382"/>
    <x v="0"/>
  </r>
  <r>
    <d v="2023-02-28T00:00:00"/>
    <x v="0"/>
    <x v="6"/>
    <x v="2"/>
    <x v="9"/>
    <n v="690"/>
    <n v="27"/>
    <x v="383"/>
    <x v="0"/>
  </r>
  <r>
    <d v="2023-02-28T00:00:00"/>
    <x v="2"/>
    <x v="6"/>
    <x v="0"/>
    <x v="22"/>
    <n v="1420"/>
    <n v="74"/>
    <x v="384"/>
    <x v="0"/>
  </r>
  <r>
    <d v="2023-02-28T00:00:00"/>
    <x v="2"/>
    <x v="6"/>
    <x v="0"/>
    <x v="10"/>
    <n v="1230"/>
    <n v="25"/>
    <x v="385"/>
    <x v="0"/>
  </r>
  <r>
    <d v="2023-02-28T00:00:00"/>
    <x v="1"/>
    <x v="6"/>
    <x v="4"/>
    <x v="7"/>
    <n v="1760"/>
    <n v="99"/>
    <x v="386"/>
    <x v="0"/>
  </r>
  <r>
    <d v="2023-02-28T00:00:00"/>
    <x v="1"/>
    <x v="6"/>
    <x v="4"/>
    <x v="21"/>
    <n v="3205"/>
    <n v="53"/>
    <x v="192"/>
    <x v="0"/>
  </r>
  <r>
    <d v="2023-02-28T00:00:00"/>
    <x v="2"/>
    <x v="3"/>
    <x v="2"/>
    <x v="4"/>
    <n v="450"/>
    <n v="48"/>
    <x v="387"/>
    <x v="0"/>
  </r>
  <r>
    <d v="2023-02-28T00:00:00"/>
    <x v="4"/>
    <x v="3"/>
    <x v="0"/>
    <x v="24"/>
    <n v="2540"/>
    <n v="96"/>
    <x v="388"/>
    <x v="0"/>
  </r>
  <r>
    <s v="28.02.2023 Итог"/>
    <x v="3"/>
    <x v="2"/>
    <x v="3"/>
    <x v="3"/>
    <m/>
    <m/>
    <x v="389"/>
    <x v="0"/>
  </r>
  <r>
    <d v="2023-03-01T00:00:00"/>
    <x v="1"/>
    <x v="3"/>
    <x v="1"/>
    <x v="1"/>
    <n v="1380"/>
    <n v="61"/>
    <x v="390"/>
    <x v="0"/>
  </r>
  <r>
    <d v="2023-03-01T00:00:00"/>
    <x v="0"/>
    <x v="0"/>
    <x v="1"/>
    <x v="20"/>
    <n v="650"/>
    <n v="97"/>
    <x v="391"/>
    <x v="0"/>
  </r>
  <r>
    <d v="2023-03-01T00:00:00"/>
    <x v="0"/>
    <x v="0"/>
    <x v="2"/>
    <x v="2"/>
    <n v="325"/>
    <n v="100"/>
    <x v="392"/>
    <x v="0"/>
  </r>
  <r>
    <d v="2023-03-01T00:00:00"/>
    <x v="1"/>
    <x v="0"/>
    <x v="2"/>
    <x v="9"/>
    <n v="690"/>
    <n v="68"/>
    <x v="180"/>
    <x v="0"/>
  </r>
  <r>
    <d v="2023-03-01T00:00:00"/>
    <x v="1"/>
    <x v="0"/>
    <x v="2"/>
    <x v="4"/>
    <n v="450"/>
    <n v="79"/>
    <x v="393"/>
    <x v="0"/>
  </r>
  <r>
    <d v="2023-03-01T00:00:00"/>
    <x v="1"/>
    <x v="0"/>
    <x v="4"/>
    <x v="14"/>
    <n v="1670"/>
    <n v="96"/>
    <x v="394"/>
    <x v="0"/>
  </r>
  <r>
    <d v="2023-03-01T00:00:00"/>
    <x v="0"/>
    <x v="4"/>
    <x v="1"/>
    <x v="18"/>
    <n v="650"/>
    <n v="64"/>
    <x v="15"/>
    <x v="0"/>
  </r>
  <r>
    <d v="2023-03-01T00:00:00"/>
    <x v="1"/>
    <x v="4"/>
    <x v="2"/>
    <x v="12"/>
    <n v="715"/>
    <n v="51"/>
    <x v="395"/>
    <x v="0"/>
  </r>
  <r>
    <d v="2023-03-01T00:00:00"/>
    <x v="2"/>
    <x v="4"/>
    <x v="4"/>
    <x v="14"/>
    <n v="1670"/>
    <n v="77"/>
    <x v="396"/>
    <x v="0"/>
  </r>
  <r>
    <d v="2023-03-01T00:00:00"/>
    <x v="2"/>
    <x v="1"/>
    <x v="2"/>
    <x v="16"/>
    <n v="890"/>
    <n v="22"/>
    <x v="397"/>
    <x v="0"/>
  </r>
  <r>
    <d v="2023-03-01T00:00:00"/>
    <x v="0"/>
    <x v="1"/>
    <x v="2"/>
    <x v="12"/>
    <n v="715"/>
    <n v="8"/>
    <x v="398"/>
    <x v="0"/>
  </r>
  <r>
    <d v="2023-03-01T00:00:00"/>
    <x v="2"/>
    <x v="1"/>
    <x v="2"/>
    <x v="4"/>
    <n v="450"/>
    <n v="12"/>
    <x v="148"/>
    <x v="0"/>
  </r>
  <r>
    <d v="2023-03-01T00:00:00"/>
    <x v="4"/>
    <x v="1"/>
    <x v="4"/>
    <x v="7"/>
    <n v="1760"/>
    <n v="49"/>
    <x v="399"/>
    <x v="0"/>
  </r>
  <r>
    <d v="2023-03-01T00:00:00"/>
    <x v="4"/>
    <x v="1"/>
    <x v="4"/>
    <x v="7"/>
    <n v="1760"/>
    <n v="99"/>
    <x v="386"/>
    <x v="0"/>
  </r>
  <r>
    <d v="2023-03-01T00:00:00"/>
    <x v="1"/>
    <x v="1"/>
    <x v="4"/>
    <x v="13"/>
    <n v="1505"/>
    <n v="96"/>
    <x v="400"/>
    <x v="0"/>
  </r>
  <r>
    <d v="2023-03-01T00:00:00"/>
    <x v="4"/>
    <x v="5"/>
    <x v="1"/>
    <x v="6"/>
    <n v="640"/>
    <n v="25"/>
    <x v="401"/>
    <x v="0"/>
  </r>
  <r>
    <d v="2023-03-01T00:00:00"/>
    <x v="0"/>
    <x v="5"/>
    <x v="2"/>
    <x v="4"/>
    <n v="450"/>
    <n v="12"/>
    <x v="148"/>
    <x v="0"/>
  </r>
  <r>
    <d v="2023-03-01T00:00:00"/>
    <x v="1"/>
    <x v="5"/>
    <x v="2"/>
    <x v="8"/>
    <n v="460"/>
    <n v="89"/>
    <x v="402"/>
    <x v="0"/>
  </r>
  <r>
    <d v="2023-03-01T00:00:00"/>
    <x v="2"/>
    <x v="5"/>
    <x v="0"/>
    <x v="0"/>
    <n v="1320"/>
    <n v="11"/>
    <x v="84"/>
    <x v="0"/>
  </r>
  <r>
    <d v="2023-03-01T00:00:00"/>
    <x v="4"/>
    <x v="6"/>
    <x v="1"/>
    <x v="1"/>
    <n v="1380"/>
    <n v="31"/>
    <x v="224"/>
    <x v="0"/>
  </r>
  <r>
    <d v="2023-03-01T00:00:00"/>
    <x v="2"/>
    <x v="6"/>
    <x v="1"/>
    <x v="1"/>
    <n v="1380"/>
    <n v="92"/>
    <x v="403"/>
    <x v="0"/>
  </r>
  <r>
    <s v="01.03.2023 Итог"/>
    <x v="3"/>
    <x v="2"/>
    <x v="3"/>
    <x v="3"/>
    <m/>
    <m/>
    <x v="404"/>
    <x v="0"/>
  </r>
  <r>
    <d v="2023-03-02T00:00:00"/>
    <x v="0"/>
    <x v="3"/>
    <x v="1"/>
    <x v="19"/>
    <n v="540"/>
    <n v="21"/>
    <x v="286"/>
    <x v="0"/>
  </r>
  <r>
    <d v="2023-03-02T00:00:00"/>
    <x v="0"/>
    <x v="3"/>
    <x v="1"/>
    <x v="1"/>
    <n v="1380"/>
    <n v="70"/>
    <x v="405"/>
    <x v="0"/>
  </r>
  <r>
    <d v="2023-03-02T00:00:00"/>
    <x v="4"/>
    <x v="3"/>
    <x v="2"/>
    <x v="12"/>
    <n v="715"/>
    <n v="48"/>
    <x v="406"/>
    <x v="0"/>
  </r>
  <r>
    <d v="2023-03-02T00:00:00"/>
    <x v="0"/>
    <x v="0"/>
    <x v="1"/>
    <x v="18"/>
    <n v="650"/>
    <n v="49"/>
    <x v="163"/>
    <x v="0"/>
  </r>
  <r>
    <d v="2023-03-02T00:00:00"/>
    <x v="2"/>
    <x v="0"/>
    <x v="2"/>
    <x v="16"/>
    <n v="890"/>
    <n v="5"/>
    <x v="407"/>
    <x v="0"/>
  </r>
  <r>
    <d v="2023-03-02T00:00:00"/>
    <x v="2"/>
    <x v="0"/>
    <x v="2"/>
    <x v="8"/>
    <n v="460"/>
    <n v="71"/>
    <x v="408"/>
    <x v="0"/>
  </r>
  <r>
    <d v="2023-03-02T00:00:00"/>
    <x v="2"/>
    <x v="0"/>
    <x v="2"/>
    <x v="12"/>
    <n v="715"/>
    <n v="59"/>
    <x v="409"/>
    <x v="0"/>
  </r>
  <r>
    <d v="2023-03-02T00:00:00"/>
    <x v="2"/>
    <x v="0"/>
    <x v="0"/>
    <x v="17"/>
    <n v="2400"/>
    <n v="57"/>
    <x v="410"/>
    <x v="0"/>
  </r>
  <r>
    <d v="2023-03-02T00:00:00"/>
    <x v="2"/>
    <x v="0"/>
    <x v="0"/>
    <x v="22"/>
    <n v="1420"/>
    <n v="53"/>
    <x v="411"/>
    <x v="0"/>
  </r>
  <r>
    <d v="2023-03-02T00:00:00"/>
    <x v="2"/>
    <x v="1"/>
    <x v="1"/>
    <x v="19"/>
    <n v="540"/>
    <n v="5"/>
    <x v="412"/>
    <x v="0"/>
  </r>
  <r>
    <d v="2023-03-02T00:00:00"/>
    <x v="2"/>
    <x v="1"/>
    <x v="0"/>
    <x v="0"/>
    <n v="1320"/>
    <n v="36"/>
    <x v="413"/>
    <x v="0"/>
  </r>
  <r>
    <d v="2023-03-02T00:00:00"/>
    <x v="4"/>
    <x v="1"/>
    <x v="4"/>
    <x v="11"/>
    <n v="2970"/>
    <n v="15"/>
    <x v="414"/>
    <x v="0"/>
  </r>
  <r>
    <d v="2023-03-02T00:00:00"/>
    <x v="0"/>
    <x v="5"/>
    <x v="1"/>
    <x v="6"/>
    <n v="640"/>
    <n v="57"/>
    <x v="349"/>
    <x v="0"/>
  </r>
  <r>
    <d v="2023-03-02T00:00:00"/>
    <x v="1"/>
    <x v="5"/>
    <x v="2"/>
    <x v="2"/>
    <n v="325"/>
    <n v="21"/>
    <x v="25"/>
    <x v="0"/>
  </r>
  <r>
    <d v="2023-03-02T00:00:00"/>
    <x v="1"/>
    <x v="5"/>
    <x v="4"/>
    <x v="14"/>
    <n v="1670"/>
    <n v="70"/>
    <x v="102"/>
    <x v="0"/>
  </r>
  <r>
    <d v="2023-03-02T00:00:00"/>
    <x v="2"/>
    <x v="5"/>
    <x v="4"/>
    <x v="15"/>
    <n v="2460"/>
    <n v="45"/>
    <x v="415"/>
    <x v="0"/>
  </r>
  <r>
    <d v="2023-03-02T00:00:00"/>
    <x v="4"/>
    <x v="6"/>
    <x v="1"/>
    <x v="23"/>
    <n v="705"/>
    <n v="51"/>
    <x v="416"/>
    <x v="0"/>
  </r>
  <r>
    <d v="2023-03-02T00:00:00"/>
    <x v="2"/>
    <x v="6"/>
    <x v="1"/>
    <x v="23"/>
    <n v="705"/>
    <n v="59"/>
    <x v="417"/>
    <x v="0"/>
  </r>
  <r>
    <d v="2023-03-02T00:00:00"/>
    <x v="4"/>
    <x v="6"/>
    <x v="2"/>
    <x v="4"/>
    <n v="450"/>
    <n v="55"/>
    <x v="418"/>
    <x v="0"/>
  </r>
  <r>
    <d v="2023-03-02T00:00:00"/>
    <x v="0"/>
    <x v="6"/>
    <x v="0"/>
    <x v="24"/>
    <n v="2540"/>
    <n v="93"/>
    <x v="419"/>
    <x v="0"/>
  </r>
  <r>
    <s v="02.03.2023 Итог"/>
    <x v="3"/>
    <x v="2"/>
    <x v="3"/>
    <x v="3"/>
    <m/>
    <m/>
    <x v="420"/>
    <x v="0"/>
  </r>
  <r>
    <d v="2023-03-03T00:00:00"/>
    <x v="1"/>
    <x v="3"/>
    <x v="1"/>
    <x v="18"/>
    <n v="650"/>
    <n v="34"/>
    <x v="199"/>
    <x v="0"/>
  </r>
  <r>
    <d v="2023-03-03T00:00:00"/>
    <x v="1"/>
    <x v="3"/>
    <x v="2"/>
    <x v="4"/>
    <n v="450"/>
    <n v="15"/>
    <x v="421"/>
    <x v="0"/>
  </r>
  <r>
    <d v="2023-03-03T00:00:00"/>
    <x v="0"/>
    <x v="3"/>
    <x v="2"/>
    <x v="9"/>
    <n v="690"/>
    <n v="69"/>
    <x v="422"/>
    <x v="0"/>
  </r>
  <r>
    <d v="2023-03-03T00:00:00"/>
    <x v="2"/>
    <x v="3"/>
    <x v="2"/>
    <x v="4"/>
    <n v="450"/>
    <n v="44"/>
    <x v="4"/>
    <x v="0"/>
  </r>
  <r>
    <d v="2023-03-03T00:00:00"/>
    <x v="4"/>
    <x v="3"/>
    <x v="0"/>
    <x v="17"/>
    <n v="2400"/>
    <n v="26"/>
    <x v="423"/>
    <x v="0"/>
  </r>
  <r>
    <d v="2023-03-03T00:00:00"/>
    <x v="4"/>
    <x v="3"/>
    <x v="4"/>
    <x v="15"/>
    <n v="2460"/>
    <n v="32"/>
    <x v="424"/>
    <x v="0"/>
  </r>
  <r>
    <d v="2023-03-03T00:00:00"/>
    <x v="0"/>
    <x v="0"/>
    <x v="2"/>
    <x v="4"/>
    <n v="450"/>
    <n v="88"/>
    <x v="425"/>
    <x v="0"/>
  </r>
  <r>
    <d v="2023-03-03T00:00:00"/>
    <x v="1"/>
    <x v="0"/>
    <x v="2"/>
    <x v="2"/>
    <n v="325"/>
    <n v="21"/>
    <x v="25"/>
    <x v="0"/>
  </r>
  <r>
    <d v="2023-03-03T00:00:00"/>
    <x v="4"/>
    <x v="0"/>
    <x v="2"/>
    <x v="16"/>
    <n v="890"/>
    <n v="32"/>
    <x v="426"/>
    <x v="0"/>
  </r>
  <r>
    <d v="2023-03-03T00:00:00"/>
    <x v="0"/>
    <x v="0"/>
    <x v="4"/>
    <x v="21"/>
    <n v="3205"/>
    <n v="8"/>
    <x v="427"/>
    <x v="0"/>
  </r>
  <r>
    <d v="2023-03-03T00:00:00"/>
    <x v="0"/>
    <x v="0"/>
    <x v="4"/>
    <x v="15"/>
    <n v="2460"/>
    <n v="77"/>
    <x v="428"/>
    <x v="0"/>
  </r>
  <r>
    <d v="2023-03-03T00:00:00"/>
    <x v="4"/>
    <x v="0"/>
    <x v="4"/>
    <x v="7"/>
    <n v="1760"/>
    <n v="32"/>
    <x v="429"/>
    <x v="0"/>
  </r>
  <r>
    <d v="2023-03-03T00:00:00"/>
    <x v="4"/>
    <x v="4"/>
    <x v="1"/>
    <x v="1"/>
    <n v="1380"/>
    <n v="70"/>
    <x v="405"/>
    <x v="0"/>
  </r>
  <r>
    <d v="2023-03-03T00:00:00"/>
    <x v="0"/>
    <x v="4"/>
    <x v="1"/>
    <x v="6"/>
    <n v="640"/>
    <n v="74"/>
    <x v="430"/>
    <x v="0"/>
  </r>
  <r>
    <d v="2023-03-03T00:00:00"/>
    <x v="1"/>
    <x v="1"/>
    <x v="1"/>
    <x v="19"/>
    <n v="540"/>
    <n v="16"/>
    <x v="431"/>
    <x v="0"/>
  </r>
  <r>
    <d v="2023-03-03T00:00:00"/>
    <x v="2"/>
    <x v="1"/>
    <x v="4"/>
    <x v="7"/>
    <n v="1760"/>
    <n v="48"/>
    <x v="432"/>
    <x v="0"/>
  </r>
  <r>
    <d v="2023-03-03T00:00:00"/>
    <x v="4"/>
    <x v="5"/>
    <x v="1"/>
    <x v="19"/>
    <n v="540"/>
    <n v="86"/>
    <x v="433"/>
    <x v="0"/>
  </r>
  <r>
    <d v="2023-03-03T00:00:00"/>
    <x v="4"/>
    <x v="5"/>
    <x v="0"/>
    <x v="22"/>
    <n v="1420"/>
    <n v="27"/>
    <x v="434"/>
    <x v="0"/>
  </r>
  <r>
    <d v="2023-03-03T00:00:00"/>
    <x v="0"/>
    <x v="5"/>
    <x v="0"/>
    <x v="10"/>
    <n v="1230"/>
    <n v="64"/>
    <x v="424"/>
    <x v="0"/>
  </r>
  <r>
    <d v="2023-03-03T00:00:00"/>
    <x v="1"/>
    <x v="5"/>
    <x v="0"/>
    <x v="17"/>
    <n v="2400"/>
    <n v="90"/>
    <x v="435"/>
    <x v="0"/>
  </r>
  <r>
    <d v="2023-03-03T00:00:00"/>
    <x v="2"/>
    <x v="6"/>
    <x v="2"/>
    <x v="4"/>
    <n v="450"/>
    <n v="12"/>
    <x v="148"/>
    <x v="0"/>
  </r>
  <r>
    <d v="2023-03-03T00:00:00"/>
    <x v="4"/>
    <x v="6"/>
    <x v="4"/>
    <x v="13"/>
    <n v="1505"/>
    <n v="25"/>
    <x v="213"/>
    <x v="0"/>
  </r>
  <r>
    <d v="2023-03-03T00:00:00"/>
    <x v="2"/>
    <x v="6"/>
    <x v="4"/>
    <x v="11"/>
    <n v="2970"/>
    <n v="62"/>
    <x v="436"/>
    <x v="0"/>
  </r>
  <r>
    <s v="03.03.2023 Итог"/>
    <x v="3"/>
    <x v="2"/>
    <x v="3"/>
    <x v="3"/>
    <m/>
    <m/>
    <x v="437"/>
    <x v="0"/>
  </r>
  <r>
    <d v="2023-03-04T00:00:00"/>
    <x v="1"/>
    <x v="3"/>
    <x v="1"/>
    <x v="6"/>
    <n v="640"/>
    <n v="57"/>
    <x v="349"/>
    <x v="0"/>
  </r>
  <r>
    <d v="2023-03-04T00:00:00"/>
    <x v="1"/>
    <x v="3"/>
    <x v="1"/>
    <x v="19"/>
    <n v="540"/>
    <n v="6"/>
    <x v="438"/>
    <x v="0"/>
  </r>
  <r>
    <d v="2023-03-04T00:00:00"/>
    <x v="4"/>
    <x v="3"/>
    <x v="4"/>
    <x v="14"/>
    <n v="1670"/>
    <n v="65"/>
    <x v="439"/>
    <x v="0"/>
  </r>
  <r>
    <d v="2023-03-04T00:00:00"/>
    <x v="2"/>
    <x v="3"/>
    <x v="4"/>
    <x v="11"/>
    <n v="2970"/>
    <n v="38"/>
    <x v="440"/>
    <x v="0"/>
  </r>
  <r>
    <d v="2023-03-04T00:00:00"/>
    <x v="2"/>
    <x v="0"/>
    <x v="1"/>
    <x v="1"/>
    <n v="1380"/>
    <n v="24"/>
    <x v="441"/>
    <x v="0"/>
  </r>
  <r>
    <d v="2023-03-04T00:00:00"/>
    <x v="2"/>
    <x v="0"/>
    <x v="1"/>
    <x v="20"/>
    <n v="650"/>
    <n v="83"/>
    <x v="442"/>
    <x v="0"/>
  </r>
  <r>
    <d v="2023-03-04T00:00:00"/>
    <x v="2"/>
    <x v="0"/>
    <x v="0"/>
    <x v="22"/>
    <n v="1420"/>
    <n v="68"/>
    <x v="443"/>
    <x v="0"/>
  </r>
  <r>
    <d v="2023-03-04T00:00:00"/>
    <x v="4"/>
    <x v="0"/>
    <x v="0"/>
    <x v="22"/>
    <n v="1420"/>
    <n v="88"/>
    <x v="444"/>
    <x v="0"/>
  </r>
  <r>
    <d v="2023-03-04T00:00:00"/>
    <x v="4"/>
    <x v="4"/>
    <x v="2"/>
    <x v="16"/>
    <n v="890"/>
    <n v="10"/>
    <x v="445"/>
    <x v="0"/>
  </r>
  <r>
    <d v="2023-03-04T00:00:00"/>
    <x v="1"/>
    <x v="4"/>
    <x v="0"/>
    <x v="22"/>
    <n v="1420"/>
    <n v="59"/>
    <x v="446"/>
    <x v="0"/>
  </r>
  <r>
    <d v="2023-03-04T00:00:00"/>
    <x v="4"/>
    <x v="5"/>
    <x v="1"/>
    <x v="20"/>
    <n v="650"/>
    <n v="48"/>
    <x v="447"/>
    <x v="0"/>
  </r>
  <r>
    <d v="2023-03-04T00:00:00"/>
    <x v="4"/>
    <x v="5"/>
    <x v="0"/>
    <x v="22"/>
    <n v="1420"/>
    <n v="73"/>
    <x v="448"/>
    <x v="0"/>
  </r>
  <r>
    <d v="2023-03-04T00:00:00"/>
    <x v="0"/>
    <x v="5"/>
    <x v="0"/>
    <x v="22"/>
    <n v="1420"/>
    <n v="75"/>
    <x v="232"/>
    <x v="0"/>
  </r>
  <r>
    <d v="2023-03-04T00:00:00"/>
    <x v="2"/>
    <x v="6"/>
    <x v="1"/>
    <x v="19"/>
    <n v="540"/>
    <n v="59"/>
    <x v="449"/>
    <x v="0"/>
  </r>
  <r>
    <d v="2023-03-04T00:00:00"/>
    <x v="2"/>
    <x v="6"/>
    <x v="2"/>
    <x v="8"/>
    <n v="460"/>
    <n v="51"/>
    <x v="450"/>
    <x v="0"/>
  </r>
  <r>
    <d v="2023-03-04T00:00:00"/>
    <x v="2"/>
    <x v="6"/>
    <x v="0"/>
    <x v="0"/>
    <n v="1320"/>
    <n v="33"/>
    <x v="451"/>
    <x v="0"/>
  </r>
  <r>
    <d v="2023-03-04T00:00:00"/>
    <x v="0"/>
    <x v="6"/>
    <x v="4"/>
    <x v="11"/>
    <n v="2970"/>
    <n v="50"/>
    <x v="452"/>
    <x v="0"/>
  </r>
  <r>
    <d v="2023-03-04T00:00:00"/>
    <x v="2"/>
    <x v="6"/>
    <x v="4"/>
    <x v="15"/>
    <n v="2460"/>
    <n v="63"/>
    <x v="453"/>
    <x v="0"/>
  </r>
  <r>
    <s v="04.03.2023 Итог"/>
    <x v="3"/>
    <x v="2"/>
    <x v="3"/>
    <x v="3"/>
    <m/>
    <m/>
    <x v="454"/>
    <x v="0"/>
  </r>
  <r>
    <d v="2023-03-05T00:00:00"/>
    <x v="2"/>
    <x v="3"/>
    <x v="1"/>
    <x v="1"/>
    <n v="1380"/>
    <n v="35"/>
    <x v="455"/>
    <x v="0"/>
  </r>
  <r>
    <d v="2023-03-05T00:00:00"/>
    <x v="4"/>
    <x v="3"/>
    <x v="0"/>
    <x v="10"/>
    <n v="1230"/>
    <n v="88"/>
    <x v="456"/>
    <x v="0"/>
  </r>
  <r>
    <d v="2023-03-05T00:00:00"/>
    <x v="1"/>
    <x v="3"/>
    <x v="0"/>
    <x v="5"/>
    <n v="930"/>
    <n v="64"/>
    <x v="457"/>
    <x v="0"/>
  </r>
  <r>
    <d v="2023-03-05T00:00:00"/>
    <x v="1"/>
    <x v="0"/>
    <x v="2"/>
    <x v="4"/>
    <n v="450"/>
    <n v="51"/>
    <x v="458"/>
    <x v="0"/>
  </r>
  <r>
    <d v="2023-03-05T00:00:00"/>
    <x v="0"/>
    <x v="0"/>
    <x v="2"/>
    <x v="16"/>
    <n v="890"/>
    <n v="8"/>
    <x v="459"/>
    <x v="0"/>
  </r>
  <r>
    <d v="2023-03-05T00:00:00"/>
    <x v="1"/>
    <x v="4"/>
    <x v="1"/>
    <x v="6"/>
    <n v="640"/>
    <n v="17"/>
    <x v="460"/>
    <x v="0"/>
  </r>
  <r>
    <d v="2023-03-05T00:00:00"/>
    <x v="0"/>
    <x v="4"/>
    <x v="2"/>
    <x v="16"/>
    <n v="890"/>
    <n v="16"/>
    <x v="274"/>
    <x v="0"/>
  </r>
  <r>
    <d v="2023-03-05T00:00:00"/>
    <x v="2"/>
    <x v="1"/>
    <x v="1"/>
    <x v="19"/>
    <n v="540"/>
    <n v="98"/>
    <x v="136"/>
    <x v="0"/>
  </r>
  <r>
    <d v="2023-03-05T00:00:00"/>
    <x v="2"/>
    <x v="1"/>
    <x v="1"/>
    <x v="1"/>
    <n v="1380"/>
    <n v="35"/>
    <x v="455"/>
    <x v="0"/>
  </r>
  <r>
    <d v="2023-03-05T00:00:00"/>
    <x v="2"/>
    <x v="5"/>
    <x v="1"/>
    <x v="18"/>
    <n v="650"/>
    <n v="99"/>
    <x v="221"/>
    <x v="0"/>
  </r>
  <r>
    <d v="2023-03-05T00:00:00"/>
    <x v="0"/>
    <x v="5"/>
    <x v="0"/>
    <x v="24"/>
    <n v="2540"/>
    <n v="46"/>
    <x v="461"/>
    <x v="0"/>
  </r>
  <r>
    <d v="2023-03-05T00:00:00"/>
    <x v="0"/>
    <x v="5"/>
    <x v="0"/>
    <x v="17"/>
    <n v="2400"/>
    <n v="58"/>
    <x v="462"/>
    <x v="0"/>
  </r>
  <r>
    <d v="2023-03-05T00:00:00"/>
    <x v="4"/>
    <x v="5"/>
    <x v="0"/>
    <x v="0"/>
    <n v="1320"/>
    <n v="83"/>
    <x v="463"/>
    <x v="0"/>
  </r>
  <r>
    <d v="2023-03-05T00:00:00"/>
    <x v="4"/>
    <x v="5"/>
    <x v="0"/>
    <x v="0"/>
    <n v="1320"/>
    <n v="57"/>
    <x v="464"/>
    <x v="0"/>
  </r>
  <r>
    <d v="2023-03-05T00:00:00"/>
    <x v="0"/>
    <x v="5"/>
    <x v="4"/>
    <x v="15"/>
    <n v="2460"/>
    <n v="43"/>
    <x v="465"/>
    <x v="0"/>
  </r>
  <r>
    <d v="2023-03-05T00:00:00"/>
    <x v="2"/>
    <x v="6"/>
    <x v="1"/>
    <x v="18"/>
    <n v="650"/>
    <n v="71"/>
    <x v="161"/>
    <x v="0"/>
  </r>
  <r>
    <d v="2023-03-05T00:00:00"/>
    <x v="4"/>
    <x v="6"/>
    <x v="2"/>
    <x v="16"/>
    <n v="890"/>
    <n v="39"/>
    <x v="466"/>
    <x v="0"/>
  </r>
  <r>
    <d v="2023-03-05T00:00:00"/>
    <x v="2"/>
    <x v="6"/>
    <x v="2"/>
    <x v="8"/>
    <n v="460"/>
    <n v="80"/>
    <x v="467"/>
    <x v="0"/>
  </r>
  <r>
    <d v="2023-03-05T00:00:00"/>
    <x v="2"/>
    <x v="6"/>
    <x v="4"/>
    <x v="21"/>
    <n v="3205"/>
    <n v="46"/>
    <x v="371"/>
    <x v="0"/>
  </r>
  <r>
    <s v="05.03.2023 Итог"/>
    <x v="3"/>
    <x v="2"/>
    <x v="3"/>
    <x v="3"/>
    <m/>
    <m/>
    <x v="468"/>
    <x v="0"/>
  </r>
  <r>
    <d v="2023-03-06T00:00:00"/>
    <x v="2"/>
    <x v="3"/>
    <x v="1"/>
    <x v="20"/>
    <n v="650"/>
    <n v="30"/>
    <x v="469"/>
    <x v="0"/>
  </r>
  <r>
    <d v="2023-03-06T00:00:00"/>
    <x v="2"/>
    <x v="3"/>
    <x v="2"/>
    <x v="4"/>
    <n v="450"/>
    <n v="21"/>
    <x v="470"/>
    <x v="0"/>
  </r>
  <r>
    <d v="2023-03-06T00:00:00"/>
    <x v="2"/>
    <x v="0"/>
    <x v="1"/>
    <x v="18"/>
    <n v="650"/>
    <n v="48"/>
    <x v="447"/>
    <x v="0"/>
  </r>
  <r>
    <d v="2023-03-06T00:00:00"/>
    <x v="4"/>
    <x v="0"/>
    <x v="1"/>
    <x v="1"/>
    <n v="1380"/>
    <n v="28"/>
    <x v="471"/>
    <x v="0"/>
  </r>
  <r>
    <d v="2023-03-06T00:00:00"/>
    <x v="0"/>
    <x v="0"/>
    <x v="2"/>
    <x v="4"/>
    <n v="450"/>
    <n v="55"/>
    <x v="418"/>
    <x v="0"/>
  </r>
  <r>
    <d v="2023-03-06T00:00:00"/>
    <x v="2"/>
    <x v="0"/>
    <x v="2"/>
    <x v="16"/>
    <n v="890"/>
    <n v="34"/>
    <x v="472"/>
    <x v="0"/>
  </r>
  <r>
    <d v="2023-03-06T00:00:00"/>
    <x v="1"/>
    <x v="0"/>
    <x v="0"/>
    <x v="0"/>
    <n v="1320"/>
    <n v="62"/>
    <x v="146"/>
    <x v="0"/>
  </r>
  <r>
    <d v="2023-03-06T00:00:00"/>
    <x v="1"/>
    <x v="0"/>
    <x v="0"/>
    <x v="5"/>
    <n v="930"/>
    <n v="97"/>
    <x v="40"/>
    <x v="0"/>
  </r>
  <r>
    <d v="2023-03-06T00:00:00"/>
    <x v="1"/>
    <x v="0"/>
    <x v="0"/>
    <x v="22"/>
    <n v="1420"/>
    <n v="84"/>
    <x v="216"/>
    <x v="0"/>
  </r>
  <r>
    <d v="2023-03-06T00:00:00"/>
    <x v="0"/>
    <x v="0"/>
    <x v="0"/>
    <x v="0"/>
    <n v="1320"/>
    <n v="77"/>
    <x v="473"/>
    <x v="0"/>
  </r>
  <r>
    <d v="2023-03-06T00:00:00"/>
    <x v="4"/>
    <x v="0"/>
    <x v="0"/>
    <x v="17"/>
    <n v="2400"/>
    <n v="30"/>
    <x v="474"/>
    <x v="0"/>
  </r>
  <r>
    <d v="2023-03-06T00:00:00"/>
    <x v="2"/>
    <x v="0"/>
    <x v="4"/>
    <x v="14"/>
    <n v="1670"/>
    <n v="80"/>
    <x v="475"/>
    <x v="0"/>
  </r>
  <r>
    <d v="2023-03-06T00:00:00"/>
    <x v="2"/>
    <x v="0"/>
    <x v="4"/>
    <x v="14"/>
    <n v="1670"/>
    <n v="57"/>
    <x v="476"/>
    <x v="0"/>
  </r>
  <r>
    <d v="2023-03-06T00:00:00"/>
    <x v="1"/>
    <x v="4"/>
    <x v="0"/>
    <x v="22"/>
    <n v="1420"/>
    <n v="28"/>
    <x v="477"/>
    <x v="0"/>
  </r>
  <r>
    <d v="2023-03-06T00:00:00"/>
    <x v="4"/>
    <x v="4"/>
    <x v="4"/>
    <x v="14"/>
    <n v="1670"/>
    <n v="46"/>
    <x v="478"/>
    <x v="0"/>
  </r>
  <r>
    <d v="2023-03-06T00:00:00"/>
    <x v="2"/>
    <x v="4"/>
    <x v="4"/>
    <x v="15"/>
    <n v="2460"/>
    <n v="64"/>
    <x v="479"/>
    <x v="0"/>
  </r>
  <r>
    <d v="2023-03-06T00:00:00"/>
    <x v="0"/>
    <x v="5"/>
    <x v="1"/>
    <x v="1"/>
    <n v="1380"/>
    <n v="7"/>
    <x v="75"/>
    <x v="0"/>
  </r>
  <r>
    <d v="2023-03-06T00:00:00"/>
    <x v="1"/>
    <x v="5"/>
    <x v="2"/>
    <x v="4"/>
    <n v="450"/>
    <n v="26"/>
    <x v="480"/>
    <x v="0"/>
  </r>
  <r>
    <d v="2023-03-06T00:00:00"/>
    <x v="4"/>
    <x v="5"/>
    <x v="4"/>
    <x v="15"/>
    <n v="2460"/>
    <n v="5"/>
    <x v="481"/>
    <x v="0"/>
  </r>
  <r>
    <d v="2023-03-06T00:00:00"/>
    <x v="1"/>
    <x v="6"/>
    <x v="1"/>
    <x v="20"/>
    <n v="650"/>
    <n v="13"/>
    <x v="375"/>
    <x v="0"/>
  </r>
  <r>
    <d v="2023-03-06T00:00:00"/>
    <x v="0"/>
    <x v="6"/>
    <x v="2"/>
    <x v="4"/>
    <n v="450"/>
    <n v="35"/>
    <x v="482"/>
    <x v="0"/>
  </r>
  <r>
    <d v="2023-03-06T00:00:00"/>
    <x v="0"/>
    <x v="6"/>
    <x v="0"/>
    <x v="17"/>
    <n v="2400"/>
    <n v="13"/>
    <x v="447"/>
    <x v="0"/>
  </r>
  <r>
    <d v="2023-03-06T00:00:00"/>
    <x v="4"/>
    <x v="6"/>
    <x v="4"/>
    <x v="13"/>
    <n v="1505"/>
    <n v="36"/>
    <x v="483"/>
    <x v="0"/>
  </r>
  <r>
    <d v="2023-03-06T00:00:00"/>
    <x v="4"/>
    <x v="6"/>
    <x v="4"/>
    <x v="13"/>
    <n v="1505"/>
    <n v="87"/>
    <x v="484"/>
    <x v="0"/>
  </r>
  <r>
    <d v="2023-03-06T00:00:00"/>
    <x v="1"/>
    <x v="6"/>
    <x v="4"/>
    <x v="15"/>
    <n v="2460"/>
    <n v="38"/>
    <x v="485"/>
    <x v="0"/>
  </r>
  <r>
    <s v="06.03.2023 Итог"/>
    <x v="3"/>
    <x v="2"/>
    <x v="3"/>
    <x v="3"/>
    <m/>
    <m/>
    <x v="486"/>
    <x v="0"/>
  </r>
  <r>
    <d v="2023-03-07T00:00:00"/>
    <x v="2"/>
    <x v="3"/>
    <x v="1"/>
    <x v="6"/>
    <n v="640"/>
    <n v="71"/>
    <x v="487"/>
    <x v="0"/>
  </r>
  <r>
    <d v="2023-03-07T00:00:00"/>
    <x v="0"/>
    <x v="3"/>
    <x v="0"/>
    <x v="5"/>
    <n v="930"/>
    <n v="42"/>
    <x v="488"/>
    <x v="0"/>
  </r>
  <r>
    <d v="2023-03-07T00:00:00"/>
    <x v="1"/>
    <x v="3"/>
    <x v="4"/>
    <x v="21"/>
    <n v="3205"/>
    <n v="76"/>
    <x v="489"/>
    <x v="0"/>
  </r>
  <r>
    <d v="2023-03-07T00:00:00"/>
    <x v="2"/>
    <x v="0"/>
    <x v="1"/>
    <x v="20"/>
    <n v="650"/>
    <n v="66"/>
    <x v="353"/>
    <x v="0"/>
  </r>
  <r>
    <d v="2023-03-07T00:00:00"/>
    <x v="4"/>
    <x v="0"/>
    <x v="2"/>
    <x v="9"/>
    <n v="690"/>
    <n v="37"/>
    <x v="490"/>
    <x v="0"/>
  </r>
  <r>
    <d v="2023-03-07T00:00:00"/>
    <x v="4"/>
    <x v="0"/>
    <x v="4"/>
    <x v="15"/>
    <n v="2460"/>
    <n v="48"/>
    <x v="491"/>
    <x v="0"/>
  </r>
  <r>
    <d v="2023-03-07T00:00:00"/>
    <x v="4"/>
    <x v="4"/>
    <x v="4"/>
    <x v="15"/>
    <n v="2460"/>
    <n v="17"/>
    <x v="187"/>
    <x v="0"/>
  </r>
  <r>
    <d v="2023-03-07T00:00:00"/>
    <x v="0"/>
    <x v="4"/>
    <x v="4"/>
    <x v="11"/>
    <n v="2970"/>
    <n v="72"/>
    <x v="492"/>
    <x v="0"/>
  </r>
  <r>
    <d v="2023-03-07T00:00:00"/>
    <x v="4"/>
    <x v="1"/>
    <x v="1"/>
    <x v="6"/>
    <n v="640"/>
    <n v="95"/>
    <x v="493"/>
    <x v="0"/>
  </r>
  <r>
    <d v="2023-03-07T00:00:00"/>
    <x v="4"/>
    <x v="1"/>
    <x v="1"/>
    <x v="23"/>
    <n v="705"/>
    <n v="23"/>
    <x v="370"/>
    <x v="0"/>
  </r>
  <r>
    <d v="2023-03-07T00:00:00"/>
    <x v="2"/>
    <x v="1"/>
    <x v="1"/>
    <x v="23"/>
    <n v="705"/>
    <n v="69"/>
    <x v="494"/>
    <x v="0"/>
  </r>
  <r>
    <d v="2023-03-07T00:00:00"/>
    <x v="0"/>
    <x v="1"/>
    <x v="1"/>
    <x v="20"/>
    <n v="650"/>
    <n v="24"/>
    <x v="337"/>
    <x v="0"/>
  </r>
  <r>
    <d v="2023-03-07T00:00:00"/>
    <x v="1"/>
    <x v="1"/>
    <x v="2"/>
    <x v="12"/>
    <n v="715"/>
    <n v="48"/>
    <x v="406"/>
    <x v="0"/>
  </r>
  <r>
    <d v="2023-03-07T00:00:00"/>
    <x v="4"/>
    <x v="1"/>
    <x v="4"/>
    <x v="21"/>
    <n v="3205"/>
    <n v="21"/>
    <x v="320"/>
    <x v="0"/>
  </r>
  <r>
    <d v="2023-03-07T00:00:00"/>
    <x v="2"/>
    <x v="5"/>
    <x v="2"/>
    <x v="9"/>
    <n v="690"/>
    <n v="7"/>
    <x v="495"/>
    <x v="0"/>
  </r>
  <r>
    <d v="2023-03-07T00:00:00"/>
    <x v="4"/>
    <x v="5"/>
    <x v="0"/>
    <x v="5"/>
    <n v="930"/>
    <n v="15"/>
    <x v="496"/>
    <x v="0"/>
  </r>
  <r>
    <d v="2023-03-07T00:00:00"/>
    <x v="4"/>
    <x v="5"/>
    <x v="0"/>
    <x v="24"/>
    <n v="2540"/>
    <n v="65"/>
    <x v="292"/>
    <x v="0"/>
  </r>
  <r>
    <d v="2023-03-07T00:00:00"/>
    <x v="0"/>
    <x v="6"/>
    <x v="2"/>
    <x v="4"/>
    <n v="450"/>
    <n v="47"/>
    <x v="230"/>
    <x v="0"/>
  </r>
  <r>
    <d v="2023-03-07T00:00:00"/>
    <x v="2"/>
    <x v="6"/>
    <x v="2"/>
    <x v="8"/>
    <n v="460"/>
    <n v="12"/>
    <x v="241"/>
    <x v="0"/>
  </r>
  <r>
    <d v="2023-03-07T00:00:00"/>
    <x v="2"/>
    <x v="6"/>
    <x v="0"/>
    <x v="22"/>
    <n v="1420"/>
    <n v="55"/>
    <x v="219"/>
    <x v="0"/>
  </r>
  <r>
    <s v="07.03.2023 Итог"/>
    <x v="3"/>
    <x v="2"/>
    <x v="3"/>
    <x v="3"/>
    <m/>
    <m/>
    <x v="497"/>
    <x v="0"/>
  </r>
  <r>
    <d v="2023-03-08T00:00:00"/>
    <x v="2"/>
    <x v="3"/>
    <x v="1"/>
    <x v="18"/>
    <n v="650"/>
    <n v="67"/>
    <x v="498"/>
    <x v="0"/>
  </r>
  <r>
    <d v="2023-03-08T00:00:00"/>
    <x v="1"/>
    <x v="3"/>
    <x v="1"/>
    <x v="1"/>
    <n v="1380"/>
    <n v="84"/>
    <x v="338"/>
    <x v="0"/>
  </r>
  <r>
    <d v="2023-03-08T00:00:00"/>
    <x v="2"/>
    <x v="0"/>
    <x v="4"/>
    <x v="7"/>
    <n v="1760"/>
    <n v="44"/>
    <x v="499"/>
    <x v="0"/>
  </r>
  <r>
    <d v="2023-03-08T00:00:00"/>
    <x v="4"/>
    <x v="0"/>
    <x v="4"/>
    <x v="14"/>
    <n v="1670"/>
    <n v="36"/>
    <x v="500"/>
    <x v="0"/>
  </r>
  <r>
    <d v="2023-03-08T00:00:00"/>
    <x v="0"/>
    <x v="4"/>
    <x v="2"/>
    <x v="4"/>
    <n v="450"/>
    <n v="96"/>
    <x v="20"/>
    <x v="0"/>
  </r>
  <r>
    <d v="2023-03-08T00:00:00"/>
    <x v="0"/>
    <x v="4"/>
    <x v="4"/>
    <x v="14"/>
    <n v="1670"/>
    <n v="52"/>
    <x v="501"/>
    <x v="0"/>
  </r>
  <r>
    <d v="2023-03-08T00:00:00"/>
    <x v="4"/>
    <x v="4"/>
    <x v="4"/>
    <x v="14"/>
    <n v="1670"/>
    <n v="27"/>
    <x v="97"/>
    <x v="0"/>
  </r>
  <r>
    <d v="2023-03-08T00:00:00"/>
    <x v="4"/>
    <x v="4"/>
    <x v="4"/>
    <x v="21"/>
    <n v="3205"/>
    <n v="56"/>
    <x v="126"/>
    <x v="0"/>
  </r>
  <r>
    <d v="2023-03-08T00:00:00"/>
    <x v="4"/>
    <x v="5"/>
    <x v="1"/>
    <x v="18"/>
    <n v="650"/>
    <n v="90"/>
    <x v="226"/>
    <x v="0"/>
  </r>
  <r>
    <d v="2023-03-08T00:00:00"/>
    <x v="4"/>
    <x v="5"/>
    <x v="4"/>
    <x v="15"/>
    <n v="2460"/>
    <n v="61"/>
    <x v="502"/>
    <x v="0"/>
  </r>
  <r>
    <d v="2023-03-08T00:00:00"/>
    <x v="2"/>
    <x v="6"/>
    <x v="1"/>
    <x v="20"/>
    <n v="650"/>
    <n v="34"/>
    <x v="199"/>
    <x v="0"/>
  </r>
  <r>
    <s v="08.03.2023 Итог"/>
    <x v="3"/>
    <x v="2"/>
    <x v="3"/>
    <x v="3"/>
    <m/>
    <m/>
    <x v="503"/>
    <x v="0"/>
  </r>
  <r>
    <d v="2023-03-09T00:00:00"/>
    <x v="2"/>
    <x v="3"/>
    <x v="1"/>
    <x v="23"/>
    <n v="705"/>
    <n v="61"/>
    <x v="504"/>
    <x v="0"/>
  </r>
  <r>
    <d v="2023-03-09T00:00:00"/>
    <x v="4"/>
    <x v="3"/>
    <x v="2"/>
    <x v="8"/>
    <n v="460"/>
    <n v="30"/>
    <x v="505"/>
    <x v="0"/>
  </r>
  <r>
    <d v="2023-03-09T00:00:00"/>
    <x v="1"/>
    <x v="3"/>
    <x v="0"/>
    <x v="5"/>
    <n v="930"/>
    <n v="23"/>
    <x v="506"/>
    <x v="0"/>
  </r>
  <r>
    <d v="2023-03-09T00:00:00"/>
    <x v="2"/>
    <x v="3"/>
    <x v="0"/>
    <x v="17"/>
    <n v="2400"/>
    <n v="89"/>
    <x v="507"/>
    <x v="0"/>
  </r>
  <r>
    <d v="2023-03-09T00:00:00"/>
    <x v="0"/>
    <x v="3"/>
    <x v="0"/>
    <x v="22"/>
    <n v="1420"/>
    <n v="92"/>
    <x v="508"/>
    <x v="0"/>
  </r>
  <r>
    <d v="2023-03-09T00:00:00"/>
    <x v="2"/>
    <x v="3"/>
    <x v="4"/>
    <x v="13"/>
    <n v="1505"/>
    <n v="8"/>
    <x v="509"/>
    <x v="0"/>
  </r>
  <r>
    <d v="2023-03-09T00:00:00"/>
    <x v="4"/>
    <x v="0"/>
    <x v="0"/>
    <x v="24"/>
    <n v="2540"/>
    <n v="49"/>
    <x v="510"/>
    <x v="0"/>
  </r>
  <r>
    <d v="2023-03-09T00:00:00"/>
    <x v="2"/>
    <x v="0"/>
    <x v="4"/>
    <x v="15"/>
    <n v="2460"/>
    <n v="70"/>
    <x v="74"/>
    <x v="0"/>
  </r>
  <r>
    <d v="2023-03-09T00:00:00"/>
    <x v="1"/>
    <x v="1"/>
    <x v="1"/>
    <x v="6"/>
    <n v="640"/>
    <n v="59"/>
    <x v="511"/>
    <x v="0"/>
  </r>
  <r>
    <d v="2023-03-09T00:00:00"/>
    <x v="4"/>
    <x v="1"/>
    <x v="1"/>
    <x v="6"/>
    <n v="640"/>
    <n v="36"/>
    <x v="512"/>
    <x v="0"/>
  </r>
  <r>
    <d v="2023-03-09T00:00:00"/>
    <x v="4"/>
    <x v="1"/>
    <x v="0"/>
    <x v="5"/>
    <n v="930"/>
    <n v="8"/>
    <x v="513"/>
    <x v="0"/>
  </r>
  <r>
    <d v="2023-03-09T00:00:00"/>
    <x v="4"/>
    <x v="5"/>
    <x v="0"/>
    <x v="24"/>
    <n v="2540"/>
    <n v="47"/>
    <x v="514"/>
    <x v="0"/>
  </r>
  <r>
    <d v="2023-03-09T00:00:00"/>
    <x v="2"/>
    <x v="5"/>
    <x v="0"/>
    <x v="24"/>
    <n v="2540"/>
    <n v="90"/>
    <x v="515"/>
    <x v="0"/>
  </r>
  <r>
    <d v="2023-03-09T00:00:00"/>
    <x v="0"/>
    <x v="6"/>
    <x v="1"/>
    <x v="20"/>
    <n v="650"/>
    <n v="51"/>
    <x v="516"/>
    <x v="0"/>
  </r>
  <r>
    <s v="09.03.2023 Итог"/>
    <x v="3"/>
    <x v="2"/>
    <x v="3"/>
    <x v="3"/>
    <m/>
    <m/>
    <x v="517"/>
    <x v="0"/>
  </r>
  <r>
    <d v="2023-03-10T00:00:00"/>
    <x v="2"/>
    <x v="3"/>
    <x v="0"/>
    <x v="24"/>
    <n v="2540"/>
    <n v="95"/>
    <x v="518"/>
    <x v="0"/>
  </r>
  <r>
    <d v="2023-03-10T00:00:00"/>
    <x v="0"/>
    <x v="0"/>
    <x v="1"/>
    <x v="1"/>
    <n v="1380"/>
    <n v="30"/>
    <x v="356"/>
    <x v="0"/>
  </r>
  <r>
    <d v="2023-03-10T00:00:00"/>
    <x v="4"/>
    <x v="0"/>
    <x v="2"/>
    <x v="4"/>
    <n v="450"/>
    <n v="81"/>
    <x v="519"/>
    <x v="0"/>
  </r>
  <r>
    <d v="2023-03-10T00:00:00"/>
    <x v="0"/>
    <x v="0"/>
    <x v="0"/>
    <x v="5"/>
    <n v="930"/>
    <n v="98"/>
    <x v="520"/>
    <x v="0"/>
  </r>
  <r>
    <d v="2023-03-10T00:00:00"/>
    <x v="2"/>
    <x v="0"/>
    <x v="0"/>
    <x v="0"/>
    <n v="1320"/>
    <n v="91"/>
    <x v="521"/>
    <x v="0"/>
  </r>
  <r>
    <d v="2023-03-10T00:00:00"/>
    <x v="2"/>
    <x v="4"/>
    <x v="1"/>
    <x v="20"/>
    <n v="650"/>
    <n v="23"/>
    <x v="522"/>
    <x v="0"/>
  </r>
  <r>
    <d v="2023-03-10T00:00:00"/>
    <x v="4"/>
    <x v="4"/>
    <x v="2"/>
    <x v="12"/>
    <n v="715"/>
    <n v="83"/>
    <x v="523"/>
    <x v="0"/>
  </r>
  <r>
    <d v="2023-03-10T00:00:00"/>
    <x v="4"/>
    <x v="4"/>
    <x v="0"/>
    <x v="0"/>
    <n v="1320"/>
    <n v="100"/>
    <x v="524"/>
    <x v="0"/>
  </r>
  <r>
    <d v="2023-03-10T00:00:00"/>
    <x v="4"/>
    <x v="4"/>
    <x v="0"/>
    <x v="0"/>
    <n v="1320"/>
    <n v="87"/>
    <x v="525"/>
    <x v="0"/>
  </r>
  <r>
    <d v="2023-03-10T00:00:00"/>
    <x v="2"/>
    <x v="4"/>
    <x v="4"/>
    <x v="15"/>
    <n v="2460"/>
    <n v="48"/>
    <x v="491"/>
    <x v="0"/>
  </r>
  <r>
    <d v="2023-03-10T00:00:00"/>
    <x v="2"/>
    <x v="5"/>
    <x v="1"/>
    <x v="6"/>
    <n v="640"/>
    <n v="83"/>
    <x v="526"/>
    <x v="0"/>
  </r>
  <r>
    <d v="2023-03-10T00:00:00"/>
    <x v="2"/>
    <x v="5"/>
    <x v="1"/>
    <x v="6"/>
    <n v="640"/>
    <n v="26"/>
    <x v="157"/>
    <x v="0"/>
  </r>
  <r>
    <d v="2023-03-10T00:00:00"/>
    <x v="2"/>
    <x v="5"/>
    <x v="2"/>
    <x v="16"/>
    <n v="890"/>
    <n v="87"/>
    <x v="527"/>
    <x v="0"/>
  </r>
  <r>
    <d v="2023-03-10T00:00:00"/>
    <x v="0"/>
    <x v="5"/>
    <x v="2"/>
    <x v="4"/>
    <n v="450"/>
    <n v="19"/>
    <x v="528"/>
    <x v="0"/>
  </r>
  <r>
    <d v="2023-03-10T00:00:00"/>
    <x v="0"/>
    <x v="5"/>
    <x v="2"/>
    <x v="4"/>
    <n v="450"/>
    <n v="19"/>
    <x v="528"/>
    <x v="0"/>
  </r>
  <r>
    <d v="2023-03-10T00:00:00"/>
    <x v="1"/>
    <x v="5"/>
    <x v="0"/>
    <x v="17"/>
    <n v="2400"/>
    <n v="67"/>
    <x v="59"/>
    <x v="0"/>
  </r>
  <r>
    <d v="2023-03-10T00:00:00"/>
    <x v="2"/>
    <x v="6"/>
    <x v="1"/>
    <x v="23"/>
    <n v="705"/>
    <n v="13"/>
    <x v="529"/>
    <x v="0"/>
  </r>
  <r>
    <d v="2023-03-10T00:00:00"/>
    <x v="2"/>
    <x v="6"/>
    <x v="1"/>
    <x v="6"/>
    <n v="640"/>
    <n v="68"/>
    <x v="530"/>
    <x v="0"/>
  </r>
  <r>
    <d v="2023-03-10T00:00:00"/>
    <x v="2"/>
    <x v="6"/>
    <x v="2"/>
    <x v="2"/>
    <n v="325"/>
    <n v="12"/>
    <x v="342"/>
    <x v="0"/>
  </r>
  <r>
    <d v="2023-03-10T00:00:00"/>
    <x v="0"/>
    <x v="6"/>
    <x v="2"/>
    <x v="4"/>
    <n v="450"/>
    <n v="5"/>
    <x v="531"/>
    <x v="0"/>
  </r>
  <r>
    <d v="2023-03-10T00:00:00"/>
    <x v="0"/>
    <x v="6"/>
    <x v="0"/>
    <x v="17"/>
    <n v="2400"/>
    <n v="97"/>
    <x v="532"/>
    <x v="0"/>
  </r>
  <r>
    <d v="2023-03-10T00:00:00"/>
    <x v="4"/>
    <x v="6"/>
    <x v="4"/>
    <x v="15"/>
    <n v="2460"/>
    <n v="9"/>
    <x v="533"/>
    <x v="0"/>
  </r>
  <r>
    <s v="10.03.2023 Итог"/>
    <x v="3"/>
    <x v="2"/>
    <x v="3"/>
    <x v="3"/>
    <m/>
    <m/>
    <x v="534"/>
    <x v="0"/>
  </r>
  <r>
    <d v="2023-03-11T00:00:00"/>
    <x v="1"/>
    <x v="3"/>
    <x v="0"/>
    <x v="17"/>
    <n v="2400"/>
    <n v="35"/>
    <x v="49"/>
    <x v="0"/>
  </r>
  <r>
    <d v="2023-03-11T00:00:00"/>
    <x v="1"/>
    <x v="3"/>
    <x v="0"/>
    <x v="5"/>
    <n v="930"/>
    <n v="14"/>
    <x v="535"/>
    <x v="0"/>
  </r>
  <r>
    <d v="2023-03-11T00:00:00"/>
    <x v="4"/>
    <x v="3"/>
    <x v="4"/>
    <x v="7"/>
    <n v="1760"/>
    <n v="98"/>
    <x v="536"/>
    <x v="0"/>
  </r>
  <r>
    <d v="2023-03-11T00:00:00"/>
    <x v="1"/>
    <x v="3"/>
    <x v="4"/>
    <x v="14"/>
    <n v="1670"/>
    <n v="34"/>
    <x v="537"/>
    <x v="0"/>
  </r>
  <r>
    <d v="2023-03-11T00:00:00"/>
    <x v="2"/>
    <x v="0"/>
    <x v="2"/>
    <x v="9"/>
    <n v="690"/>
    <n v="97"/>
    <x v="538"/>
    <x v="0"/>
  </r>
  <r>
    <d v="2023-03-11T00:00:00"/>
    <x v="0"/>
    <x v="0"/>
    <x v="4"/>
    <x v="7"/>
    <n v="1760"/>
    <n v="23"/>
    <x v="539"/>
    <x v="0"/>
  </r>
  <r>
    <d v="2023-03-11T00:00:00"/>
    <x v="2"/>
    <x v="0"/>
    <x v="4"/>
    <x v="21"/>
    <n v="3205"/>
    <n v="81"/>
    <x v="540"/>
    <x v="0"/>
  </r>
  <r>
    <d v="2023-03-11T00:00:00"/>
    <x v="1"/>
    <x v="4"/>
    <x v="1"/>
    <x v="23"/>
    <n v="705"/>
    <n v="88"/>
    <x v="541"/>
    <x v="0"/>
  </r>
  <r>
    <d v="2023-03-11T00:00:00"/>
    <x v="2"/>
    <x v="1"/>
    <x v="1"/>
    <x v="18"/>
    <n v="650"/>
    <n v="58"/>
    <x v="173"/>
    <x v="0"/>
  </r>
  <r>
    <d v="2023-03-11T00:00:00"/>
    <x v="4"/>
    <x v="1"/>
    <x v="2"/>
    <x v="16"/>
    <n v="890"/>
    <n v="14"/>
    <x v="542"/>
    <x v="0"/>
  </r>
  <r>
    <d v="2023-03-11T00:00:00"/>
    <x v="4"/>
    <x v="1"/>
    <x v="0"/>
    <x v="5"/>
    <n v="930"/>
    <n v="24"/>
    <x v="543"/>
    <x v="0"/>
  </r>
  <r>
    <d v="2023-03-11T00:00:00"/>
    <x v="1"/>
    <x v="1"/>
    <x v="4"/>
    <x v="14"/>
    <n v="1670"/>
    <n v="45"/>
    <x v="544"/>
    <x v="0"/>
  </r>
  <r>
    <d v="2023-03-11T00:00:00"/>
    <x v="1"/>
    <x v="1"/>
    <x v="4"/>
    <x v="21"/>
    <n v="3205"/>
    <n v="80"/>
    <x v="545"/>
    <x v="0"/>
  </r>
  <r>
    <d v="2023-03-11T00:00:00"/>
    <x v="1"/>
    <x v="5"/>
    <x v="2"/>
    <x v="16"/>
    <n v="890"/>
    <n v="28"/>
    <x v="546"/>
    <x v="0"/>
  </r>
  <r>
    <d v="2023-03-11T00:00:00"/>
    <x v="2"/>
    <x v="5"/>
    <x v="0"/>
    <x v="22"/>
    <n v="1420"/>
    <n v="73"/>
    <x v="448"/>
    <x v="0"/>
  </r>
  <r>
    <d v="2023-03-11T00:00:00"/>
    <x v="4"/>
    <x v="6"/>
    <x v="1"/>
    <x v="23"/>
    <n v="705"/>
    <n v="52"/>
    <x v="547"/>
    <x v="0"/>
  </r>
  <r>
    <d v="2023-03-11T00:00:00"/>
    <x v="1"/>
    <x v="6"/>
    <x v="2"/>
    <x v="12"/>
    <n v="715"/>
    <n v="33"/>
    <x v="548"/>
    <x v="0"/>
  </r>
  <r>
    <d v="2023-03-11T00:00:00"/>
    <x v="2"/>
    <x v="6"/>
    <x v="0"/>
    <x v="17"/>
    <n v="2400"/>
    <n v="41"/>
    <x v="549"/>
    <x v="0"/>
  </r>
  <r>
    <d v="2023-03-11T00:00:00"/>
    <x v="0"/>
    <x v="6"/>
    <x v="0"/>
    <x v="24"/>
    <n v="2540"/>
    <n v="23"/>
    <x v="550"/>
    <x v="0"/>
  </r>
  <r>
    <d v="2023-03-11T00:00:00"/>
    <x v="1"/>
    <x v="6"/>
    <x v="0"/>
    <x v="10"/>
    <n v="1230"/>
    <n v="12"/>
    <x v="154"/>
    <x v="0"/>
  </r>
  <r>
    <d v="2023-03-11T00:00:00"/>
    <x v="0"/>
    <x v="6"/>
    <x v="0"/>
    <x v="5"/>
    <n v="930"/>
    <n v="22"/>
    <x v="120"/>
    <x v="0"/>
  </r>
  <r>
    <d v="2023-03-11T00:00:00"/>
    <x v="1"/>
    <x v="6"/>
    <x v="0"/>
    <x v="10"/>
    <n v="1230"/>
    <n v="88"/>
    <x v="456"/>
    <x v="0"/>
  </r>
  <r>
    <d v="2023-03-11T00:00:00"/>
    <x v="2"/>
    <x v="6"/>
    <x v="4"/>
    <x v="15"/>
    <n v="2460"/>
    <n v="55"/>
    <x v="551"/>
    <x v="0"/>
  </r>
  <r>
    <d v="2023-03-11T00:00:00"/>
    <x v="4"/>
    <x v="6"/>
    <x v="4"/>
    <x v="21"/>
    <n v="3205"/>
    <n v="58"/>
    <x v="552"/>
    <x v="0"/>
  </r>
  <r>
    <s v="11.03.2023 Итог"/>
    <x v="3"/>
    <x v="2"/>
    <x v="3"/>
    <x v="3"/>
    <m/>
    <m/>
    <x v="553"/>
    <x v="0"/>
  </r>
  <r>
    <d v="2023-03-12T00:00:00"/>
    <x v="4"/>
    <x v="3"/>
    <x v="1"/>
    <x v="6"/>
    <n v="640"/>
    <n v="74"/>
    <x v="430"/>
    <x v="0"/>
  </r>
  <r>
    <d v="2023-03-12T00:00:00"/>
    <x v="4"/>
    <x v="3"/>
    <x v="2"/>
    <x v="8"/>
    <n v="460"/>
    <n v="63"/>
    <x v="554"/>
    <x v="0"/>
  </r>
  <r>
    <d v="2023-03-12T00:00:00"/>
    <x v="1"/>
    <x v="3"/>
    <x v="0"/>
    <x v="10"/>
    <n v="1230"/>
    <n v="28"/>
    <x v="555"/>
    <x v="0"/>
  </r>
  <r>
    <d v="2023-03-12T00:00:00"/>
    <x v="1"/>
    <x v="3"/>
    <x v="4"/>
    <x v="15"/>
    <n v="2460"/>
    <n v="23"/>
    <x v="556"/>
    <x v="0"/>
  </r>
  <r>
    <d v="2023-03-12T00:00:00"/>
    <x v="1"/>
    <x v="3"/>
    <x v="4"/>
    <x v="21"/>
    <n v="3205"/>
    <n v="74"/>
    <x v="557"/>
    <x v="0"/>
  </r>
  <r>
    <d v="2023-03-12T00:00:00"/>
    <x v="4"/>
    <x v="0"/>
    <x v="2"/>
    <x v="2"/>
    <n v="325"/>
    <n v="31"/>
    <x v="558"/>
    <x v="0"/>
  </r>
  <r>
    <d v="2023-03-12T00:00:00"/>
    <x v="0"/>
    <x v="0"/>
    <x v="2"/>
    <x v="8"/>
    <n v="460"/>
    <n v="100"/>
    <x v="559"/>
    <x v="0"/>
  </r>
  <r>
    <d v="2023-03-12T00:00:00"/>
    <x v="0"/>
    <x v="4"/>
    <x v="1"/>
    <x v="6"/>
    <n v="640"/>
    <n v="10"/>
    <x v="560"/>
    <x v="0"/>
  </r>
  <r>
    <d v="2023-03-12T00:00:00"/>
    <x v="0"/>
    <x v="1"/>
    <x v="1"/>
    <x v="19"/>
    <n v="540"/>
    <n v="59"/>
    <x v="449"/>
    <x v="0"/>
  </r>
  <r>
    <d v="2023-03-12T00:00:00"/>
    <x v="4"/>
    <x v="1"/>
    <x v="1"/>
    <x v="6"/>
    <n v="640"/>
    <n v="18"/>
    <x v="561"/>
    <x v="0"/>
  </r>
  <r>
    <d v="2023-03-12T00:00:00"/>
    <x v="1"/>
    <x v="1"/>
    <x v="2"/>
    <x v="2"/>
    <n v="325"/>
    <n v="62"/>
    <x v="306"/>
    <x v="0"/>
  </r>
  <r>
    <d v="2023-03-12T00:00:00"/>
    <x v="0"/>
    <x v="5"/>
    <x v="1"/>
    <x v="20"/>
    <n v="650"/>
    <n v="10"/>
    <x v="562"/>
    <x v="0"/>
  </r>
  <r>
    <d v="2023-03-12T00:00:00"/>
    <x v="4"/>
    <x v="5"/>
    <x v="1"/>
    <x v="1"/>
    <n v="1380"/>
    <n v="96"/>
    <x v="563"/>
    <x v="0"/>
  </r>
  <r>
    <d v="2023-03-12T00:00:00"/>
    <x v="0"/>
    <x v="5"/>
    <x v="2"/>
    <x v="16"/>
    <n v="890"/>
    <n v="87"/>
    <x v="527"/>
    <x v="0"/>
  </r>
  <r>
    <d v="2023-03-12T00:00:00"/>
    <x v="1"/>
    <x v="5"/>
    <x v="2"/>
    <x v="9"/>
    <n v="690"/>
    <n v="20"/>
    <x v="505"/>
    <x v="0"/>
  </r>
  <r>
    <d v="2023-03-12T00:00:00"/>
    <x v="1"/>
    <x v="5"/>
    <x v="0"/>
    <x v="17"/>
    <n v="2400"/>
    <n v="86"/>
    <x v="564"/>
    <x v="0"/>
  </r>
  <r>
    <d v="2023-03-12T00:00:00"/>
    <x v="1"/>
    <x v="5"/>
    <x v="0"/>
    <x v="17"/>
    <n v="2400"/>
    <n v="25"/>
    <x v="565"/>
    <x v="0"/>
  </r>
  <r>
    <d v="2023-03-12T00:00:00"/>
    <x v="2"/>
    <x v="5"/>
    <x v="4"/>
    <x v="11"/>
    <n v="2970"/>
    <n v="44"/>
    <x v="566"/>
    <x v="0"/>
  </r>
  <r>
    <d v="2023-03-12T00:00:00"/>
    <x v="4"/>
    <x v="6"/>
    <x v="2"/>
    <x v="4"/>
    <n v="450"/>
    <n v="36"/>
    <x v="245"/>
    <x v="0"/>
  </r>
  <r>
    <d v="2023-03-12T00:00:00"/>
    <x v="2"/>
    <x v="6"/>
    <x v="2"/>
    <x v="9"/>
    <n v="690"/>
    <n v="81"/>
    <x v="567"/>
    <x v="0"/>
  </r>
  <r>
    <d v="2023-03-12T00:00:00"/>
    <x v="1"/>
    <x v="6"/>
    <x v="2"/>
    <x v="12"/>
    <n v="715"/>
    <n v="94"/>
    <x v="21"/>
    <x v="0"/>
  </r>
  <r>
    <d v="2023-03-12T00:00:00"/>
    <x v="2"/>
    <x v="6"/>
    <x v="2"/>
    <x v="2"/>
    <n v="325"/>
    <n v="56"/>
    <x v="568"/>
    <x v="0"/>
  </r>
  <r>
    <d v="2023-03-12T00:00:00"/>
    <x v="0"/>
    <x v="6"/>
    <x v="4"/>
    <x v="15"/>
    <n v="2460"/>
    <n v="63"/>
    <x v="453"/>
    <x v="0"/>
  </r>
  <r>
    <s v="12.03.2023 Итог"/>
    <x v="3"/>
    <x v="2"/>
    <x v="3"/>
    <x v="3"/>
    <m/>
    <m/>
    <x v="569"/>
    <x v="0"/>
  </r>
  <r>
    <d v="2023-03-13T00:00:00"/>
    <x v="2"/>
    <x v="3"/>
    <x v="2"/>
    <x v="4"/>
    <n v="450"/>
    <n v="76"/>
    <x v="570"/>
    <x v="0"/>
  </r>
  <r>
    <d v="2023-03-13T00:00:00"/>
    <x v="1"/>
    <x v="3"/>
    <x v="0"/>
    <x v="22"/>
    <n v="1420"/>
    <n v="51"/>
    <x v="571"/>
    <x v="0"/>
  </r>
  <r>
    <d v="2023-03-13T00:00:00"/>
    <x v="2"/>
    <x v="3"/>
    <x v="0"/>
    <x v="22"/>
    <n v="1420"/>
    <n v="94"/>
    <x v="572"/>
    <x v="0"/>
  </r>
  <r>
    <d v="2023-03-13T00:00:00"/>
    <x v="0"/>
    <x v="3"/>
    <x v="4"/>
    <x v="14"/>
    <n v="1670"/>
    <n v="36"/>
    <x v="500"/>
    <x v="0"/>
  </r>
  <r>
    <d v="2023-03-13T00:00:00"/>
    <x v="2"/>
    <x v="0"/>
    <x v="1"/>
    <x v="20"/>
    <n v="650"/>
    <n v="38"/>
    <x v="573"/>
    <x v="0"/>
  </r>
  <r>
    <d v="2023-03-13T00:00:00"/>
    <x v="2"/>
    <x v="0"/>
    <x v="2"/>
    <x v="2"/>
    <n v="325"/>
    <n v="7"/>
    <x v="574"/>
    <x v="0"/>
  </r>
  <r>
    <d v="2023-03-13T00:00:00"/>
    <x v="4"/>
    <x v="0"/>
    <x v="0"/>
    <x v="17"/>
    <n v="2400"/>
    <n v="31"/>
    <x v="575"/>
    <x v="0"/>
  </r>
  <r>
    <d v="2023-03-13T00:00:00"/>
    <x v="4"/>
    <x v="0"/>
    <x v="4"/>
    <x v="11"/>
    <n v="2970"/>
    <n v="27"/>
    <x v="576"/>
    <x v="0"/>
  </r>
  <r>
    <d v="2023-03-13T00:00:00"/>
    <x v="2"/>
    <x v="0"/>
    <x v="4"/>
    <x v="11"/>
    <n v="2970"/>
    <n v="62"/>
    <x v="436"/>
    <x v="0"/>
  </r>
  <r>
    <d v="2023-03-13T00:00:00"/>
    <x v="4"/>
    <x v="0"/>
    <x v="4"/>
    <x v="11"/>
    <n v="2970"/>
    <n v="12"/>
    <x v="577"/>
    <x v="0"/>
  </r>
  <r>
    <d v="2023-03-13T00:00:00"/>
    <x v="1"/>
    <x v="4"/>
    <x v="2"/>
    <x v="16"/>
    <n v="890"/>
    <n v="70"/>
    <x v="578"/>
    <x v="0"/>
  </r>
  <r>
    <d v="2023-03-13T00:00:00"/>
    <x v="4"/>
    <x v="4"/>
    <x v="4"/>
    <x v="11"/>
    <n v="2970"/>
    <n v="31"/>
    <x v="579"/>
    <x v="0"/>
  </r>
  <r>
    <d v="2023-03-13T00:00:00"/>
    <x v="2"/>
    <x v="4"/>
    <x v="4"/>
    <x v="11"/>
    <n v="2970"/>
    <n v="42"/>
    <x v="580"/>
    <x v="0"/>
  </r>
  <r>
    <d v="2023-03-13T00:00:00"/>
    <x v="1"/>
    <x v="1"/>
    <x v="0"/>
    <x v="10"/>
    <n v="1230"/>
    <n v="32"/>
    <x v="581"/>
    <x v="0"/>
  </r>
  <r>
    <d v="2023-03-13T00:00:00"/>
    <x v="1"/>
    <x v="5"/>
    <x v="1"/>
    <x v="6"/>
    <n v="640"/>
    <n v="46"/>
    <x v="582"/>
    <x v="0"/>
  </r>
  <r>
    <d v="2023-03-13T00:00:00"/>
    <x v="0"/>
    <x v="6"/>
    <x v="1"/>
    <x v="1"/>
    <n v="1380"/>
    <n v="90"/>
    <x v="583"/>
    <x v="0"/>
  </r>
  <r>
    <d v="2023-03-13T00:00:00"/>
    <x v="2"/>
    <x v="6"/>
    <x v="2"/>
    <x v="9"/>
    <n v="690"/>
    <n v="49"/>
    <x v="256"/>
    <x v="0"/>
  </r>
  <r>
    <s v="13.03.2023 Итог"/>
    <x v="3"/>
    <x v="2"/>
    <x v="3"/>
    <x v="3"/>
    <m/>
    <m/>
    <x v="584"/>
    <x v="0"/>
  </r>
  <r>
    <d v="2023-03-14T00:00:00"/>
    <x v="4"/>
    <x v="3"/>
    <x v="1"/>
    <x v="19"/>
    <n v="540"/>
    <n v="34"/>
    <x v="167"/>
    <x v="0"/>
  </r>
  <r>
    <d v="2023-03-14T00:00:00"/>
    <x v="2"/>
    <x v="0"/>
    <x v="0"/>
    <x v="5"/>
    <n v="930"/>
    <n v="8"/>
    <x v="513"/>
    <x v="0"/>
  </r>
  <r>
    <d v="2023-03-14T00:00:00"/>
    <x v="4"/>
    <x v="0"/>
    <x v="4"/>
    <x v="13"/>
    <n v="1505"/>
    <n v="84"/>
    <x v="585"/>
    <x v="0"/>
  </r>
  <r>
    <d v="2023-03-14T00:00:00"/>
    <x v="2"/>
    <x v="4"/>
    <x v="1"/>
    <x v="23"/>
    <n v="705"/>
    <n v="86"/>
    <x v="586"/>
    <x v="0"/>
  </r>
  <r>
    <d v="2023-03-14T00:00:00"/>
    <x v="4"/>
    <x v="4"/>
    <x v="2"/>
    <x v="8"/>
    <n v="460"/>
    <n v="44"/>
    <x v="587"/>
    <x v="0"/>
  </r>
  <r>
    <d v="2023-03-14T00:00:00"/>
    <x v="2"/>
    <x v="4"/>
    <x v="2"/>
    <x v="4"/>
    <n v="450"/>
    <n v="85"/>
    <x v="588"/>
    <x v="0"/>
  </r>
  <r>
    <d v="2023-03-14T00:00:00"/>
    <x v="0"/>
    <x v="4"/>
    <x v="0"/>
    <x v="17"/>
    <n v="2400"/>
    <n v="81"/>
    <x v="589"/>
    <x v="0"/>
  </r>
  <r>
    <d v="2023-03-14T00:00:00"/>
    <x v="0"/>
    <x v="1"/>
    <x v="1"/>
    <x v="19"/>
    <n v="540"/>
    <n v="45"/>
    <x v="269"/>
    <x v="0"/>
  </r>
  <r>
    <d v="2023-03-14T00:00:00"/>
    <x v="0"/>
    <x v="1"/>
    <x v="0"/>
    <x v="10"/>
    <n v="1230"/>
    <n v="13"/>
    <x v="590"/>
    <x v="0"/>
  </r>
  <r>
    <d v="2023-03-14T00:00:00"/>
    <x v="1"/>
    <x v="5"/>
    <x v="4"/>
    <x v="13"/>
    <n v="1505"/>
    <n v="70"/>
    <x v="591"/>
    <x v="0"/>
  </r>
  <r>
    <d v="2023-03-14T00:00:00"/>
    <x v="1"/>
    <x v="6"/>
    <x v="4"/>
    <x v="13"/>
    <n v="1505"/>
    <n v="75"/>
    <x v="592"/>
    <x v="0"/>
  </r>
  <r>
    <s v="14.03.2023 Итог"/>
    <x v="3"/>
    <x v="2"/>
    <x v="3"/>
    <x v="3"/>
    <m/>
    <m/>
    <x v="593"/>
    <x v="0"/>
  </r>
  <r>
    <d v="2023-03-15T00:00:00"/>
    <x v="4"/>
    <x v="3"/>
    <x v="2"/>
    <x v="16"/>
    <n v="890"/>
    <n v="48"/>
    <x v="594"/>
    <x v="0"/>
  </r>
  <r>
    <d v="2023-03-15T00:00:00"/>
    <x v="1"/>
    <x v="3"/>
    <x v="2"/>
    <x v="16"/>
    <n v="890"/>
    <n v="92"/>
    <x v="595"/>
    <x v="0"/>
  </r>
  <r>
    <d v="2023-03-15T00:00:00"/>
    <x v="2"/>
    <x v="3"/>
    <x v="0"/>
    <x v="10"/>
    <n v="1230"/>
    <n v="73"/>
    <x v="596"/>
    <x v="0"/>
  </r>
  <r>
    <d v="2023-03-15T00:00:00"/>
    <x v="0"/>
    <x v="0"/>
    <x v="0"/>
    <x v="0"/>
    <n v="1320"/>
    <n v="28"/>
    <x v="597"/>
    <x v="0"/>
  </r>
  <r>
    <d v="2023-03-15T00:00:00"/>
    <x v="4"/>
    <x v="0"/>
    <x v="4"/>
    <x v="11"/>
    <n v="2970"/>
    <n v="59"/>
    <x v="598"/>
    <x v="0"/>
  </r>
  <r>
    <d v="2023-03-15T00:00:00"/>
    <x v="1"/>
    <x v="4"/>
    <x v="2"/>
    <x v="16"/>
    <n v="890"/>
    <n v="73"/>
    <x v="599"/>
    <x v="0"/>
  </r>
  <r>
    <d v="2023-03-15T00:00:00"/>
    <x v="4"/>
    <x v="4"/>
    <x v="4"/>
    <x v="15"/>
    <n v="2460"/>
    <n v="12"/>
    <x v="600"/>
    <x v="0"/>
  </r>
  <r>
    <d v="2023-03-15T00:00:00"/>
    <x v="4"/>
    <x v="1"/>
    <x v="2"/>
    <x v="12"/>
    <n v="715"/>
    <n v="51"/>
    <x v="395"/>
    <x v="0"/>
  </r>
  <r>
    <s v="15.03.2023 Итог"/>
    <x v="3"/>
    <x v="2"/>
    <x v="3"/>
    <x v="3"/>
    <m/>
    <m/>
    <x v="601"/>
    <x v="0"/>
  </r>
  <r>
    <d v="2023-03-16T00:00:00"/>
    <x v="4"/>
    <x v="3"/>
    <x v="1"/>
    <x v="1"/>
    <n v="1380"/>
    <n v="74"/>
    <x v="602"/>
    <x v="0"/>
  </r>
  <r>
    <d v="2023-03-16T00:00:00"/>
    <x v="1"/>
    <x v="3"/>
    <x v="4"/>
    <x v="11"/>
    <n v="2970"/>
    <n v="13"/>
    <x v="603"/>
    <x v="0"/>
  </r>
  <r>
    <d v="2023-03-16T00:00:00"/>
    <x v="1"/>
    <x v="0"/>
    <x v="2"/>
    <x v="16"/>
    <n v="890"/>
    <n v="100"/>
    <x v="604"/>
    <x v="0"/>
  </r>
  <r>
    <d v="2023-03-16T00:00:00"/>
    <x v="4"/>
    <x v="0"/>
    <x v="4"/>
    <x v="7"/>
    <n v="1760"/>
    <n v="21"/>
    <x v="597"/>
    <x v="0"/>
  </r>
  <r>
    <d v="2023-03-16T00:00:00"/>
    <x v="0"/>
    <x v="4"/>
    <x v="4"/>
    <x v="11"/>
    <n v="2970"/>
    <n v="7"/>
    <x v="78"/>
    <x v="0"/>
  </r>
  <r>
    <d v="2023-03-16T00:00:00"/>
    <x v="0"/>
    <x v="1"/>
    <x v="0"/>
    <x v="17"/>
    <n v="2400"/>
    <n v="24"/>
    <x v="605"/>
    <x v="0"/>
  </r>
  <r>
    <d v="2023-03-16T00:00:00"/>
    <x v="1"/>
    <x v="1"/>
    <x v="4"/>
    <x v="11"/>
    <n v="2970"/>
    <n v="89"/>
    <x v="606"/>
    <x v="0"/>
  </r>
  <r>
    <d v="2023-03-16T00:00:00"/>
    <x v="1"/>
    <x v="5"/>
    <x v="1"/>
    <x v="19"/>
    <n v="540"/>
    <n v="89"/>
    <x v="607"/>
    <x v="0"/>
  </r>
  <r>
    <d v="2023-03-16T00:00:00"/>
    <x v="4"/>
    <x v="6"/>
    <x v="2"/>
    <x v="12"/>
    <n v="715"/>
    <n v="79"/>
    <x v="240"/>
    <x v="0"/>
  </r>
  <r>
    <d v="2023-03-16T00:00:00"/>
    <x v="1"/>
    <x v="6"/>
    <x v="4"/>
    <x v="21"/>
    <n v="3205"/>
    <n v="17"/>
    <x v="608"/>
    <x v="0"/>
  </r>
  <r>
    <s v="16.03.2023 Итог"/>
    <x v="3"/>
    <x v="2"/>
    <x v="3"/>
    <x v="3"/>
    <m/>
    <m/>
    <x v="609"/>
    <x v="0"/>
  </r>
  <r>
    <d v="2023-03-17T00:00:00"/>
    <x v="0"/>
    <x v="3"/>
    <x v="1"/>
    <x v="19"/>
    <n v="540"/>
    <n v="89"/>
    <x v="607"/>
    <x v="0"/>
  </r>
  <r>
    <d v="2023-03-17T00:00:00"/>
    <x v="2"/>
    <x v="3"/>
    <x v="2"/>
    <x v="9"/>
    <n v="690"/>
    <n v="46"/>
    <x v="610"/>
    <x v="0"/>
  </r>
  <r>
    <d v="2023-03-17T00:00:00"/>
    <x v="0"/>
    <x v="3"/>
    <x v="2"/>
    <x v="2"/>
    <n v="325"/>
    <n v="5"/>
    <x v="611"/>
    <x v="0"/>
  </r>
  <r>
    <d v="2023-03-17T00:00:00"/>
    <x v="0"/>
    <x v="3"/>
    <x v="2"/>
    <x v="4"/>
    <n v="450"/>
    <n v="33"/>
    <x v="612"/>
    <x v="0"/>
  </r>
  <r>
    <d v="2023-03-17T00:00:00"/>
    <x v="2"/>
    <x v="0"/>
    <x v="0"/>
    <x v="10"/>
    <n v="1230"/>
    <n v="58"/>
    <x v="613"/>
    <x v="0"/>
  </r>
  <r>
    <d v="2023-03-17T00:00:00"/>
    <x v="4"/>
    <x v="4"/>
    <x v="1"/>
    <x v="20"/>
    <n v="650"/>
    <n v="87"/>
    <x v="614"/>
    <x v="0"/>
  </r>
  <r>
    <d v="2023-03-17T00:00:00"/>
    <x v="4"/>
    <x v="4"/>
    <x v="2"/>
    <x v="12"/>
    <n v="715"/>
    <n v="31"/>
    <x v="615"/>
    <x v="0"/>
  </r>
  <r>
    <d v="2023-03-17T00:00:00"/>
    <x v="2"/>
    <x v="1"/>
    <x v="1"/>
    <x v="20"/>
    <n v="650"/>
    <n v="48"/>
    <x v="447"/>
    <x v="0"/>
  </r>
  <r>
    <d v="2023-03-17T00:00:00"/>
    <x v="1"/>
    <x v="1"/>
    <x v="1"/>
    <x v="18"/>
    <n v="650"/>
    <n v="13"/>
    <x v="375"/>
    <x v="0"/>
  </r>
  <r>
    <d v="2023-03-17T00:00:00"/>
    <x v="1"/>
    <x v="6"/>
    <x v="1"/>
    <x v="1"/>
    <n v="1380"/>
    <n v="31"/>
    <x v="224"/>
    <x v="0"/>
  </r>
  <r>
    <s v="17.03.2023 Итог"/>
    <x v="3"/>
    <x v="2"/>
    <x v="3"/>
    <x v="3"/>
    <m/>
    <m/>
    <x v="616"/>
    <x v="0"/>
  </r>
  <r>
    <d v="2023-03-18T00:00:00"/>
    <x v="2"/>
    <x v="0"/>
    <x v="4"/>
    <x v="13"/>
    <n v="1505"/>
    <n v="56"/>
    <x v="617"/>
    <x v="0"/>
  </r>
  <r>
    <d v="2023-03-18T00:00:00"/>
    <x v="4"/>
    <x v="4"/>
    <x v="1"/>
    <x v="1"/>
    <n v="1380"/>
    <n v="58"/>
    <x v="618"/>
    <x v="0"/>
  </r>
  <r>
    <d v="2023-03-18T00:00:00"/>
    <x v="4"/>
    <x v="4"/>
    <x v="1"/>
    <x v="20"/>
    <n v="650"/>
    <n v="26"/>
    <x v="619"/>
    <x v="0"/>
  </r>
  <r>
    <d v="2023-03-18T00:00:00"/>
    <x v="0"/>
    <x v="4"/>
    <x v="2"/>
    <x v="4"/>
    <n v="450"/>
    <n v="58"/>
    <x v="620"/>
    <x v="0"/>
  </r>
  <r>
    <d v="2023-03-18T00:00:00"/>
    <x v="4"/>
    <x v="1"/>
    <x v="2"/>
    <x v="9"/>
    <n v="690"/>
    <n v="69"/>
    <x v="422"/>
    <x v="0"/>
  </r>
  <r>
    <d v="2023-03-18T00:00:00"/>
    <x v="0"/>
    <x v="1"/>
    <x v="0"/>
    <x v="10"/>
    <n v="1230"/>
    <n v="60"/>
    <x v="621"/>
    <x v="0"/>
  </r>
  <r>
    <d v="2023-03-18T00:00:00"/>
    <x v="1"/>
    <x v="1"/>
    <x v="0"/>
    <x v="5"/>
    <n v="930"/>
    <n v="6"/>
    <x v="279"/>
    <x v="0"/>
  </r>
  <r>
    <d v="2023-03-18T00:00:00"/>
    <x v="0"/>
    <x v="1"/>
    <x v="0"/>
    <x v="24"/>
    <n v="2540"/>
    <n v="13"/>
    <x v="622"/>
    <x v="0"/>
  </r>
  <r>
    <d v="2023-03-18T00:00:00"/>
    <x v="1"/>
    <x v="1"/>
    <x v="0"/>
    <x v="0"/>
    <n v="1320"/>
    <n v="39"/>
    <x v="623"/>
    <x v="0"/>
  </r>
  <r>
    <d v="2023-03-18T00:00:00"/>
    <x v="2"/>
    <x v="6"/>
    <x v="1"/>
    <x v="23"/>
    <n v="705"/>
    <n v="55"/>
    <x v="624"/>
    <x v="0"/>
  </r>
  <r>
    <d v="2023-03-18T00:00:00"/>
    <x v="1"/>
    <x v="6"/>
    <x v="1"/>
    <x v="20"/>
    <n v="650"/>
    <n v="12"/>
    <x v="625"/>
    <x v="0"/>
  </r>
  <r>
    <d v="2023-03-18T00:00:00"/>
    <x v="2"/>
    <x v="6"/>
    <x v="1"/>
    <x v="18"/>
    <n v="650"/>
    <n v="18"/>
    <x v="480"/>
    <x v="0"/>
  </r>
  <r>
    <s v="18.03.2023 Итог"/>
    <x v="3"/>
    <x v="2"/>
    <x v="3"/>
    <x v="3"/>
    <m/>
    <m/>
    <x v="626"/>
    <x v="0"/>
  </r>
  <r>
    <d v="2023-03-19T00:00:00"/>
    <x v="2"/>
    <x v="3"/>
    <x v="2"/>
    <x v="9"/>
    <n v="690"/>
    <n v="85"/>
    <x v="627"/>
    <x v="0"/>
  </r>
  <r>
    <d v="2023-03-19T00:00:00"/>
    <x v="2"/>
    <x v="3"/>
    <x v="0"/>
    <x v="22"/>
    <n v="1420"/>
    <n v="81"/>
    <x v="252"/>
    <x v="0"/>
  </r>
  <r>
    <d v="2023-03-19T00:00:00"/>
    <x v="4"/>
    <x v="0"/>
    <x v="1"/>
    <x v="6"/>
    <n v="640"/>
    <n v="77"/>
    <x v="297"/>
    <x v="0"/>
  </r>
  <r>
    <d v="2023-03-19T00:00:00"/>
    <x v="1"/>
    <x v="0"/>
    <x v="2"/>
    <x v="8"/>
    <n v="460"/>
    <n v="33"/>
    <x v="628"/>
    <x v="0"/>
  </r>
  <r>
    <d v="2023-03-19T00:00:00"/>
    <x v="4"/>
    <x v="4"/>
    <x v="1"/>
    <x v="19"/>
    <n v="540"/>
    <n v="83"/>
    <x v="629"/>
    <x v="0"/>
  </r>
  <r>
    <d v="2023-03-19T00:00:00"/>
    <x v="2"/>
    <x v="4"/>
    <x v="2"/>
    <x v="16"/>
    <n v="890"/>
    <n v="72"/>
    <x v="630"/>
    <x v="0"/>
  </r>
  <r>
    <d v="2023-03-19T00:00:00"/>
    <x v="1"/>
    <x v="4"/>
    <x v="0"/>
    <x v="17"/>
    <n v="2400"/>
    <n v="9"/>
    <x v="387"/>
    <x v="0"/>
  </r>
  <r>
    <d v="2023-03-19T00:00:00"/>
    <x v="4"/>
    <x v="1"/>
    <x v="2"/>
    <x v="8"/>
    <n v="460"/>
    <n v="44"/>
    <x v="587"/>
    <x v="0"/>
  </r>
  <r>
    <d v="2023-03-19T00:00:00"/>
    <x v="4"/>
    <x v="1"/>
    <x v="2"/>
    <x v="4"/>
    <n v="450"/>
    <n v="61"/>
    <x v="631"/>
    <x v="0"/>
  </r>
  <r>
    <d v="2023-03-19T00:00:00"/>
    <x v="2"/>
    <x v="1"/>
    <x v="0"/>
    <x v="22"/>
    <n v="1420"/>
    <n v="82"/>
    <x v="632"/>
    <x v="0"/>
  </r>
  <r>
    <d v="2023-03-19T00:00:00"/>
    <x v="4"/>
    <x v="5"/>
    <x v="1"/>
    <x v="1"/>
    <n v="1380"/>
    <n v="43"/>
    <x v="147"/>
    <x v="0"/>
  </r>
  <r>
    <d v="2023-03-19T00:00:00"/>
    <x v="2"/>
    <x v="5"/>
    <x v="2"/>
    <x v="16"/>
    <n v="890"/>
    <n v="33"/>
    <x v="633"/>
    <x v="0"/>
  </r>
  <r>
    <d v="2023-03-19T00:00:00"/>
    <x v="0"/>
    <x v="5"/>
    <x v="2"/>
    <x v="2"/>
    <n v="325"/>
    <n v="48"/>
    <x v="337"/>
    <x v="0"/>
  </r>
  <r>
    <d v="2023-03-19T00:00:00"/>
    <x v="1"/>
    <x v="5"/>
    <x v="0"/>
    <x v="0"/>
    <n v="1320"/>
    <n v="27"/>
    <x v="577"/>
    <x v="0"/>
  </r>
  <r>
    <d v="2023-03-19T00:00:00"/>
    <x v="0"/>
    <x v="5"/>
    <x v="0"/>
    <x v="10"/>
    <n v="1230"/>
    <n v="71"/>
    <x v="634"/>
    <x v="0"/>
  </r>
  <r>
    <s v="19.03.2023 Итог"/>
    <x v="3"/>
    <x v="2"/>
    <x v="3"/>
    <x v="3"/>
    <m/>
    <m/>
    <x v="635"/>
    <x v="0"/>
  </r>
  <r>
    <d v="2023-03-20T00:00:00"/>
    <x v="4"/>
    <x v="3"/>
    <x v="1"/>
    <x v="19"/>
    <n v="540"/>
    <n v="86"/>
    <x v="433"/>
    <x v="0"/>
  </r>
  <r>
    <d v="2023-03-20T00:00:00"/>
    <x v="4"/>
    <x v="3"/>
    <x v="0"/>
    <x v="0"/>
    <n v="1320"/>
    <n v="84"/>
    <x v="95"/>
    <x v="0"/>
  </r>
  <r>
    <d v="2023-03-20T00:00:00"/>
    <x v="4"/>
    <x v="4"/>
    <x v="1"/>
    <x v="18"/>
    <n v="650"/>
    <n v="89"/>
    <x v="218"/>
    <x v="0"/>
  </r>
  <r>
    <d v="2023-03-20T00:00:00"/>
    <x v="0"/>
    <x v="1"/>
    <x v="2"/>
    <x v="12"/>
    <n v="715"/>
    <n v="5"/>
    <x v="271"/>
    <x v="0"/>
  </r>
  <r>
    <d v="2023-03-20T00:00:00"/>
    <x v="2"/>
    <x v="1"/>
    <x v="4"/>
    <x v="14"/>
    <n v="1670"/>
    <n v="52"/>
    <x v="501"/>
    <x v="0"/>
  </r>
  <r>
    <d v="2023-03-20T00:00:00"/>
    <x v="1"/>
    <x v="5"/>
    <x v="2"/>
    <x v="8"/>
    <n v="460"/>
    <n v="48"/>
    <x v="253"/>
    <x v="0"/>
  </r>
  <r>
    <d v="2023-03-20T00:00:00"/>
    <x v="0"/>
    <x v="5"/>
    <x v="2"/>
    <x v="16"/>
    <n v="890"/>
    <n v="38"/>
    <x v="636"/>
    <x v="0"/>
  </r>
  <r>
    <d v="2023-03-20T00:00:00"/>
    <x v="4"/>
    <x v="5"/>
    <x v="2"/>
    <x v="4"/>
    <n v="450"/>
    <n v="77"/>
    <x v="637"/>
    <x v="0"/>
  </r>
  <r>
    <d v="2023-03-20T00:00:00"/>
    <x v="0"/>
    <x v="5"/>
    <x v="0"/>
    <x v="5"/>
    <n v="930"/>
    <n v="29"/>
    <x v="638"/>
    <x v="0"/>
  </r>
  <r>
    <d v="2023-03-20T00:00:00"/>
    <x v="2"/>
    <x v="5"/>
    <x v="0"/>
    <x v="22"/>
    <n v="1420"/>
    <n v="37"/>
    <x v="276"/>
    <x v="0"/>
  </r>
  <r>
    <d v="2023-03-20T00:00:00"/>
    <x v="0"/>
    <x v="5"/>
    <x v="4"/>
    <x v="13"/>
    <n v="1505"/>
    <n v="6"/>
    <x v="14"/>
    <x v="0"/>
  </r>
  <r>
    <d v="2023-03-20T00:00:00"/>
    <x v="0"/>
    <x v="6"/>
    <x v="1"/>
    <x v="20"/>
    <n v="650"/>
    <n v="71"/>
    <x v="161"/>
    <x v="0"/>
  </r>
  <r>
    <d v="2023-03-20T00:00:00"/>
    <x v="4"/>
    <x v="6"/>
    <x v="4"/>
    <x v="7"/>
    <n v="1760"/>
    <n v="27"/>
    <x v="413"/>
    <x v="0"/>
  </r>
  <r>
    <s v="20.03.2023 Итог"/>
    <x v="3"/>
    <x v="2"/>
    <x v="3"/>
    <x v="3"/>
    <m/>
    <m/>
    <x v="639"/>
    <x v="0"/>
  </r>
  <r>
    <d v="2023-03-21T00:00:00"/>
    <x v="2"/>
    <x v="3"/>
    <x v="1"/>
    <x v="1"/>
    <n v="1380"/>
    <n v="75"/>
    <x v="640"/>
    <x v="0"/>
  </r>
  <r>
    <d v="2023-03-21T00:00:00"/>
    <x v="4"/>
    <x v="3"/>
    <x v="1"/>
    <x v="19"/>
    <n v="540"/>
    <n v="47"/>
    <x v="641"/>
    <x v="0"/>
  </r>
  <r>
    <d v="2023-03-21T00:00:00"/>
    <x v="0"/>
    <x v="3"/>
    <x v="2"/>
    <x v="9"/>
    <n v="690"/>
    <n v="84"/>
    <x v="69"/>
    <x v="0"/>
  </r>
  <r>
    <d v="2023-03-21T00:00:00"/>
    <x v="0"/>
    <x v="3"/>
    <x v="4"/>
    <x v="21"/>
    <n v="3205"/>
    <n v="42"/>
    <x v="642"/>
    <x v="0"/>
  </r>
  <r>
    <d v="2023-03-21T00:00:00"/>
    <x v="2"/>
    <x v="3"/>
    <x v="4"/>
    <x v="14"/>
    <n v="1670"/>
    <n v="95"/>
    <x v="643"/>
    <x v="0"/>
  </r>
  <r>
    <d v="2023-03-21T00:00:00"/>
    <x v="2"/>
    <x v="0"/>
    <x v="1"/>
    <x v="20"/>
    <n v="650"/>
    <n v="73"/>
    <x v="644"/>
    <x v="0"/>
  </r>
  <r>
    <d v="2023-03-21T00:00:00"/>
    <x v="4"/>
    <x v="4"/>
    <x v="1"/>
    <x v="19"/>
    <n v="540"/>
    <n v="10"/>
    <x v="148"/>
    <x v="0"/>
  </r>
  <r>
    <d v="2023-03-21T00:00:00"/>
    <x v="0"/>
    <x v="4"/>
    <x v="0"/>
    <x v="22"/>
    <n v="1420"/>
    <n v="97"/>
    <x v="70"/>
    <x v="0"/>
  </r>
  <r>
    <d v="2023-03-21T00:00:00"/>
    <x v="1"/>
    <x v="1"/>
    <x v="1"/>
    <x v="20"/>
    <n v="650"/>
    <n v="41"/>
    <x v="645"/>
    <x v="0"/>
  </r>
  <r>
    <d v="2023-03-21T00:00:00"/>
    <x v="2"/>
    <x v="1"/>
    <x v="2"/>
    <x v="2"/>
    <n v="325"/>
    <n v="80"/>
    <x v="376"/>
    <x v="0"/>
  </r>
  <r>
    <d v="2023-03-21T00:00:00"/>
    <x v="1"/>
    <x v="1"/>
    <x v="4"/>
    <x v="11"/>
    <n v="2970"/>
    <n v="85"/>
    <x v="646"/>
    <x v="0"/>
  </r>
  <r>
    <d v="2023-03-21T00:00:00"/>
    <x v="2"/>
    <x v="5"/>
    <x v="1"/>
    <x v="1"/>
    <n v="1380"/>
    <n v="73"/>
    <x v="647"/>
    <x v="0"/>
  </r>
  <r>
    <d v="2023-03-21T00:00:00"/>
    <x v="4"/>
    <x v="6"/>
    <x v="1"/>
    <x v="18"/>
    <n v="650"/>
    <n v="63"/>
    <x v="175"/>
    <x v="0"/>
  </r>
  <r>
    <s v="21.03.2023 Итог"/>
    <x v="3"/>
    <x v="2"/>
    <x v="3"/>
    <x v="3"/>
    <m/>
    <m/>
    <x v="648"/>
    <x v="0"/>
  </r>
  <r>
    <d v="2023-03-22T00:00:00"/>
    <x v="4"/>
    <x v="3"/>
    <x v="1"/>
    <x v="6"/>
    <n v="640"/>
    <n v="98"/>
    <x v="649"/>
    <x v="0"/>
  </r>
  <r>
    <d v="2023-03-22T00:00:00"/>
    <x v="2"/>
    <x v="0"/>
    <x v="2"/>
    <x v="8"/>
    <n v="460"/>
    <n v="61"/>
    <x v="650"/>
    <x v="0"/>
  </r>
  <r>
    <d v="2023-03-22T00:00:00"/>
    <x v="2"/>
    <x v="0"/>
    <x v="4"/>
    <x v="13"/>
    <n v="1505"/>
    <n v="51"/>
    <x v="651"/>
    <x v="0"/>
  </r>
  <r>
    <d v="2023-03-22T00:00:00"/>
    <x v="1"/>
    <x v="4"/>
    <x v="1"/>
    <x v="6"/>
    <n v="640"/>
    <n v="78"/>
    <x v="652"/>
    <x v="0"/>
  </r>
  <r>
    <d v="2023-03-22T00:00:00"/>
    <x v="1"/>
    <x v="4"/>
    <x v="0"/>
    <x v="5"/>
    <n v="930"/>
    <n v="34"/>
    <x v="653"/>
    <x v="0"/>
  </r>
  <r>
    <d v="2023-03-22T00:00:00"/>
    <x v="1"/>
    <x v="1"/>
    <x v="0"/>
    <x v="24"/>
    <n v="2540"/>
    <n v="91"/>
    <x v="322"/>
    <x v="0"/>
  </r>
  <r>
    <d v="2023-03-22T00:00:00"/>
    <x v="1"/>
    <x v="1"/>
    <x v="0"/>
    <x v="10"/>
    <n v="1230"/>
    <n v="40"/>
    <x v="369"/>
    <x v="0"/>
  </r>
  <r>
    <d v="2023-03-22T00:00:00"/>
    <x v="4"/>
    <x v="5"/>
    <x v="1"/>
    <x v="19"/>
    <n v="540"/>
    <n v="52"/>
    <x v="654"/>
    <x v="0"/>
  </r>
  <r>
    <d v="2023-03-22T00:00:00"/>
    <x v="0"/>
    <x v="5"/>
    <x v="0"/>
    <x v="22"/>
    <n v="1420"/>
    <n v="89"/>
    <x v="655"/>
    <x v="0"/>
  </r>
  <r>
    <s v="22.03.2023 Итог"/>
    <x v="3"/>
    <x v="2"/>
    <x v="3"/>
    <x v="3"/>
    <m/>
    <m/>
    <x v="656"/>
    <x v="0"/>
  </r>
  <r>
    <d v="2023-03-23T00:00:00"/>
    <x v="4"/>
    <x v="3"/>
    <x v="0"/>
    <x v="22"/>
    <n v="1420"/>
    <n v="20"/>
    <x v="657"/>
    <x v="0"/>
  </r>
  <r>
    <d v="2023-03-23T00:00:00"/>
    <x v="4"/>
    <x v="3"/>
    <x v="0"/>
    <x v="24"/>
    <n v="2540"/>
    <n v="21"/>
    <x v="658"/>
    <x v="0"/>
  </r>
  <r>
    <d v="2023-03-23T00:00:00"/>
    <x v="2"/>
    <x v="0"/>
    <x v="1"/>
    <x v="19"/>
    <n v="540"/>
    <n v="6"/>
    <x v="438"/>
    <x v="0"/>
  </r>
  <r>
    <d v="2023-03-23T00:00:00"/>
    <x v="2"/>
    <x v="0"/>
    <x v="2"/>
    <x v="4"/>
    <n v="450"/>
    <n v="33"/>
    <x v="612"/>
    <x v="0"/>
  </r>
  <r>
    <d v="2023-03-23T00:00:00"/>
    <x v="1"/>
    <x v="4"/>
    <x v="2"/>
    <x v="8"/>
    <n v="460"/>
    <n v="83"/>
    <x v="8"/>
    <x v="0"/>
  </r>
  <r>
    <d v="2023-03-23T00:00:00"/>
    <x v="0"/>
    <x v="1"/>
    <x v="0"/>
    <x v="0"/>
    <n v="1320"/>
    <n v="17"/>
    <x v="659"/>
    <x v="0"/>
  </r>
  <r>
    <d v="2023-03-23T00:00:00"/>
    <x v="2"/>
    <x v="5"/>
    <x v="4"/>
    <x v="7"/>
    <n v="1760"/>
    <n v="33"/>
    <x v="660"/>
    <x v="0"/>
  </r>
  <r>
    <d v="2023-03-23T00:00:00"/>
    <x v="0"/>
    <x v="5"/>
    <x v="4"/>
    <x v="21"/>
    <n v="3205"/>
    <n v="11"/>
    <x v="661"/>
    <x v="0"/>
  </r>
  <r>
    <d v="2023-03-23T00:00:00"/>
    <x v="4"/>
    <x v="6"/>
    <x v="4"/>
    <x v="21"/>
    <n v="3205"/>
    <n v="41"/>
    <x v="662"/>
    <x v="0"/>
  </r>
  <r>
    <s v="23.03.2023 Итог"/>
    <x v="3"/>
    <x v="2"/>
    <x v="3"/>
    <x v="3"/>
    <m/>
    <m/>
    <x v="663"/>
    <x v="0"/>
  </r>
  <r>
    <d v="2023-03-24T00:00:00"/>
    <x v="0"/>
    <x v="4"/>
    <x v="1"/>
    <x v="18"/>
    <n v="650"/>
    <n v="71"/>
    <x v="161"/>
    <x v="0"/>
  </r>
  <r>
    <d v="2023-03-24T00:00:00"/>
    <x v="4"/>
    <x v="4"/>
    <x v="2"/>
    <x v="4"/>
    <n v="450"/>
    <n v="27"/>
    <x v="664"/>
    <x v="0"/>
  </r>
  <r>
    <d v="2023-03-24T00:00:00"/>
    <x v="2"/>
    <x v="4"/>
    <x v="2"/>
    <x v="9"/>
    <n v="690"/>
    <n v="27"/>
    <x v="383"/>
    <x v="0"/>
  </r>
  <r>
    <d v="2023-03-24T00:00:00"/>
    <x v="2"/>
    <x v="5"/>
    <x v="1"/>
    <x v="20"/>
    <n v="650"/>
    <n v="14"/>
    <x v="665"/>
    <x v="0"/>
  </r>
  <r>
    <d v="2023-03-24T00:00:00"/>
    <x v="0"/>
    <x v="6"/>
    <x v="2"/>
    <x v="4"/>
    <n v="450"/>
    <n v="78"/>
    <x v="158"/>
    <x v="0"/>
  </r>
  <r>
    <s v="24.03.2023 Итог"/>
    <x v="3"/>
    <x v="2"/>
    <x v="3"/>
    <x v="3"/>
    <m/>
    <m/>
    <x v="666"/>
    <x v="0"/>
  </r>
  <r>
    <d v="2023-03-25T00:00:00"/>
    <x v="1"/>
    <x v="0"/>
    <x v="2"/>
    <x v="9"/>
    <n v="690"/>
    <n v="32"/>
    <x v="253"/>
    <x v="0"/>
  </r>
  <r>
    <d v="2023-03-25T00:00:00"/>
    <x v="4"/>
    <x v="1"/>
    <x v="1"/>
    <x v="18"/>
    <n v="650"/>
    <n v="46"/>
    <x v="667"/>
    <x v="0"/>
  </r>
  <r>
    <d v="2023-03-25T00:00:00"/>
    <x v="4"/>
    <x v="1"/>
    <x v="4"/>
    <x v="7"/>
    <n v="1760"/>
    <n v="75"/>
    <x v="524"/>
    <x v="0"/>
  </r>
  <r>
    <d v="2023-03-25T00:00:00"/>
    <x v="1"/>
    <x v="5"/>
    <x v="0"/>
    <x v="5"/>
    <n v="930"/>
    <n v="67"/>
    <x v="668"/>
    <x v="0"/>
  </r>
  <r>
    <d v="2023-03-25T00:00:00"/>
    <x v="0"/>
    <x v="5"/>
    <x v="0"/>
    <x v="10"/>
    <n v="1230"/>
    <n v="95"/>
    <x v="669"/>
    <x v="0"/>
  </r>
  <r>
    <s v="25.03.2023 Итог"/>
    <x v="3"/>
    <x v="2"/>
    <x v="3"/>
    <x v="3"/>
    <m/>
    <m/>
    <x v="670"/>
    <x v="0"/>
  </r>
  <r>
    <d v="2023-03-26T00:00:00"/>
    <x v="4"/>
    <x v="3"/>
    <x v="1"/>
    <x v="23"/>
    <n v="705"/>
    <n v="22"/>
    <x v="671"/>
    <x v="0"/>
  </r>
  <r>
    <d v="2023-03-26T00:00:00"/>
    <x v="0"/>
    <x v="3"/>
    <x v="1"/>
    <x v="20"/>
    <n v="650"/>
    <n v="8"/>
    <x v="672"/>
    <x v="0"/>
  </r>
  <r>
    <d v="2023-03-26T00:00:00"/>
    <x v="1"/>
    <x v="0"/>
    <x v="2"/>
    <x v="9"/>
    <n v="690"/>
    <n v="97"/>
    <x v="538"/>
    <x v="0"/>
  </r>
  <r>
    <d v="2023-03-26T00:00:00"/>
    <x v="4"/>
    <x v="0"/>
    <x v="2"/>
    <x v="2"/>
    <n v="325"/>
    <n v="32"/>
    <x v="673"/>
    <x v="0"/>
  </r>
  <r>
    <d v="2023-03-26T00:00:00"/>
    <x v="1"/>
    <x v="0"/>
    <x v="4"/>
    <x v="13"/>
    <n v="1505"/>
    <n v="34"/>
    <x v="674"/>
    <x v="0"/>
  </r>
  <r>
    <d v="2023-03-26T00:00:00"/>
    <x v="4"/>
    <x v="0"/>
    <x v="4"/>
    <x v="11"/>
    <n v="2970"/>
    <n v="92"/>
    <x v="675"/>
    <x v="0"/>
  </r>
  <r>
    <d v="2023-03-26T00:00:00"/>
    <x v="0"/>
    <x v="4"/>
    <x v="0"/>
    <x v="24"/>
    <n v="2540"/>
    <n v="65"/>
    <x v="292"/>
    <x v="0"/>
  </r>
  <r>
    <d v="2023-03-26T00:00:00"/>
    <x v="4"/>
    <x v="1"/>
    <x v="1"/>
    <x v="6"/>
    <n v="640"/>
    <n v="40"/>
    <x v="676"/>
    <x v="0"/>
  </r>
  <r>
    <d v="2023-03-26T00:00:00"/>
    <x v="0"/>
    <x v="1"/>
    <x v="2"/>
    <x v="12"/>
    <n v="715"/>
    <n v="50"/>
    <x v="677"/>
    <x v="0"/>
  </r>
  <r>
    <d v="2023-03-26T00:00:00"/>
    <x v="0"/>
    <x v="1"/>
    <x v="2"/>
    <x v="16"/>
    <n v="890"/>
    <n v="89"/>
    <x v="678"/>
    <x v="0"/>
  </r>
  <r>
    <d v="2023-03-26T00:00:00"/>
    <x v="2"/>
    <x v="6"/>
    <x v="2"/>
    <x v="16"/>
    <n v="890"/>
    <n v="99"/>
    <x v="679"/>
    <x v="0"/>
  </r>
  <r>
    <s v="26.03.2023 Итог"/>
    <x v="3"/>
    <x v="2"/>
    <x v="3"/>
    <x v="3"/>
    <m/>
    <m/>
    <x v="680"/>
    <x v="0"/>
  </r>
  <r>
    <d v="2023-03-27T00:00:00"/>
    <x v="4"/>
    <x v="3"/>
    <x v="2"/>
    <x v="8"/>
    <n v="460"/>
    <n v="34"/>
    <x v="681"/>
    <x v="0"/>
  </r>
  <r>
    <d v="2023-03-27T00:00:00"/>
    <x v="2"/>
    <x v="0"/>
    <x v="1"/>
    <x v="19"/>
    <n v="540"/>
    <n v="55"/>
    <x v="227"/>
    <x v="0"/>
  </r>
  <r>
    <d v="2023-03-27T00:00:00"/>
    <x v="2"/>
    <x v="4"/>
    <x v="1"/>
    <x v="18"/>
    <n v="650"/>
    <n v="67"/>
    <x v="498"/>
    <x v="0"/>
  </r>
  <r>
    <d v="2023-03-27T00:00:00"/>
    <x v="4"/>
    <x v="4"/>
    <x v="2"/>
    <x v="2"/>
    <n v="325"/>
    <n v="37"/>
    <x v="260"/>
    <x v="0"/>
  </r>
  <r>
    <d v="2023-03-27T00:00:00"/>
    <x v="1"/>
    <x v="4"/>
    <x v="4"/>
    <x v="21"/>
    <n v="3205"/>
    <n v="90"/>
    <x v="169"/>
    <x v="0"/>
  </r>
  <r>
    <d v="2023-03-27T00:00:00"/>
    <x v="4"/>
    <x v="1"/>
    <x v="0"/>
    <x v="17"/>
    <n v="2400"/>
    <n v="8"/>
    <x v="191"/>
    <x v="0"/>
  </r>
  <r>
    <d v="2023-03-27T00:00:00"/>
    <x v="0"/>
    <x v="1"/>
    <x v="0"/>
    <x v="5"/>
    <n v="930"/>
    <n v="38"/>
    <x v="280"/>
    <x v="0"/>
  </r>
  <r>
    <d v="2023-03-27T00:00:00"/>
    <x v="4"/>
    <x v="1"/>
    <x v="0"/>
    <x v="24"/>
    <n v="2540"/>
    <n v="51"/>
    <x v="682"/>
    <x v="0"/>
  </r>
  <r>
    <d v="2023-03-27T00:00:00"/>
    <x v="0"/>
    <x v="5"/>
    <x v="1"/>
    <x v="20"/>
    <n v="650"/>
    <n v="9"/>
    <x v="683"/>
    <x v="0"/>
  </r>
  <r>
    <d v="2023-03-27T00:00:00"/>
    <x v="2"/>
    <x v="5"/>
    <x v="1"/>
    <x v="23"/>
    <n v="705"/>
    <n v="17"/>
    <x v="684"/>
    <x v="0"/>
  </r>
  <r>
    <d v="2023-03-27T00:00:00"/>
    <x v="4"/>
    <x v="5"/>
    <x v="2"/>
    <x v="12"/>
    <n v="715"/>
    <n v="54"/>
    <x v="603"/>
    <x v="0"/>
  </r>
  <r>
    <d v="2023-03-27T00:00:00"/>
    <x v="1"/>
    <x v="5"/>
    <x v="0"/>
    <x v="10"/>
    <n v="1230"/>
    <n v="58"/>
    <x v="613"/>
    <x v="0"/>
  </r>
  <r>
    <d v="2023-03-27T00:00:00"/>
    <x v="1"/>
    <x v="6"/>
    <x v="4"/>
    <x v="11"/>
    <n v="2970"/>
    <n v="49"/>
    <x v="685"/>
    <x v="0"/>
  </r>
  <r>
    <d v="2023-03-27T00:00:00"/>
    <x v="4"/>
    <x v="6"/>
    <x v="4"/>
    <x v="21"/>
    <n v="3205"/>
    <n v="80"/>
    <x v="545"/>
    <x v="0"/>
  </r>
  <r>
    <s v="27.03.2023 Итог"/>
    <x v="3"/>
    <x v="2"/>
    <x v="3"/>
    <x v="3"/>
    <m/>
    <m/>
    <x v="686"/>
    <x v="0"/>
  </r>
  <r>
    <d v="2023-03-28T00:00:00"/>
    <x v="4"/>
    <x v="3"/>
    <x v="1"/>
    <x v="18"/>
    <n v="650"/>
    <n v="54"/>
    <x v="158"/>
    <x v="0"/>
  </r>
  <r>
    <d v="2023-03-28T00:00:00"/>
    <x v="1"/>
    <x v="3"/>
    <x v="0"/>
    <x v="5"/>
    <n v="930"/>
    <n v="90"/>
    <x v="687"/>
    <x v="0"/>
  </r>
  <r>
    <d v="2023-03-28T00:00:00"/>
    <x v="1"/>
    <x v="0"/>
    <x v="4"/>
    <x v="21"/>
    <n v="3205"/>
    <n v="74"/>
    <x v="557"/>
    <x v="0"/>
  </r>
  <r>
    <d v="2023-03-28T00:00:00"/>
    <x v="2"/>
    <x v="4"/>
    <x v="4"/>
    <x v="21"/>
    <n v="3205"/>
    <n v="18"/>
    <x v="688"/>
    <x v="0"/>
  </r>
  <r>
    <d v="2023-03-28T00:00:00"/>
    <x v="1"/>
    <x v="1"/>
    <x v="1"/>
    <x v="20"/>
    <n v="650"/>
    <n v="27"/>
    <x v="689"/>
    <x v="0"/>
  </r>
  <r>
    <d v="2023-03-28T00:00:00"/>
    <x v="0"/>
    <x v="1"/>
    <x v="2"/>
    <x v="9"/>
    <n v="690"/>
    <n v="52"/>
    <x v="690"/>
    <x v="0"/>
  </r>
  <r>
    <d v="2023-03-28T00:00:00"/>
    <x v="0"/>
    <x v="5"/>
    <x v="2"/>
    <x v="12"/>
    <n v="715"/>
    <n v="79"/>
    <x v="240"/>
    <x v="0"/>
  </r>
  <r>
    <d v="2023-03-28T00:00:00"/>
    <x v="4"/>
    <x v="5"/>
    <x v="2"/>
    <x v="9"/>
    <n v="690"/>
    <n v="98"/>
    <x v="691"/>
    <x v="0"/>
  </r>
  <r>
    <d v="2023-03-28T00:00:00"/>
    <x v="2"/>
    <x v="5"/>
    <x v="0"/>
    <x v="10"/>
    <n v="1230"/>
    <n v="32"/>
    <x v="581"/>
    <x v="0"/>
  </r>
  <r>
    <d v="2023-03-28T00:00:00"/>
    <x v="0"/>
    <x v="6"/>
    <x v="1"/>
    <x v="6"/>
    <n v="640"/>
    <n v="51"/>
    <x v="692"/>
    <x v="0"/>
  </r>
  <r>
    <d v="2023-03-28T00:00:00"/>
    <x v="2"/>
    <x v="6"/>
    <x v="0"/>
    <x v="22"/>
    <n v="1420"/>
    <n v="99"/>
    <x v="693"/>
    <x v="0"/>
  </r>
  <r>
    <s v="28.03.2023 Итог"/>
    <x v="3"/>
    <x v="2"/>
    <x v="3"/>
    <x v="3"/>
    <m/>
    <m/>
    <x v="694"/>
    <x v="0"/>
  </r>
  <r>
    <d v="2023-03-29T00:00:00"/>
    <x v="1"/>
    <x v="4"/>
    <x v="4"/>
    <x v="14"/>
    <n v="1670"/>
    <n v="11"/>
    <x v="695"/>
    <x v="0"/>
  </r>
  <r>
    <d v="2023-03-29T00:00:00"/>
    <x v="0"/>
    <x v="1"/>
    <x v="1"/>
    <x v="1"/>
    <n v="1380"/>
    <n v="23"/>
    <x v="610"/>
    <x v="0"/>
  </r>
  <r>
    <d v="2023-03-29T00:00:00"/>
    <x v="4"/>
    <x v="1"/>
    <x v="4"/>
    <x v="14"/>
    <n v="1670"/>
    <n v="77"/>
    <x v="396"/>
    <x v="0"/>
  </r>
  <r>
    <d v="2023-03-29T00:00:00"/>
    <x v="0"/>
    <x v="5"/>
    <x v="1"/>
    <x v="1"/>
    <n v="1380"/>
    <n v="81"/>
    <x v="696"/>
    <x v="0"/>
  </r>
  <r>
    <d v="2023-03-29T00:00:00"/>
    <x v="1"/>
    <x v="5"/>
    <x v="1"/>
    <x v="18"/>
    <n v="650"/>
    <n v="58"/>
    <x v="173"/>
    <x v="0"/>
  </r>
  <r>
    <d v="2023-03-29T00:00:00"/>
    <x v="4"/>
    <x v="5"/>
    <x v="4"/>
    <x v="11"/>
    <n v="2970"/>
    <n v="78"/>
    <x v="697"/>
    <x v="0"/>
  </r>
  <r>
    <s v="29.03.2023 Итог"/>
    <x v="3"/>
    <x v="2"/>
    <x v="3"/>
    <x v="3"/>
    <m/>
    <m/>
    <x v="698"/>
    <x v="0"/>
  </r>
  <r>
    <d v="2023-03-30T00:00:00"/>
    <x v="0"/>
    <x v="3"/>
    <x v="1"/>
    <x v="18"/>
    <n v="650"/>
    <n v="62"/>
    <x v="699"/>
    <x v="0"/>
  </r>
  <r>
    <d v="2023-03-30T00:00:00"/>
    <x v="4"/>
    <x v="3"/>
    <x v="0"/>
    <x v="10"/>
    <n v="1230"/>
    <n v="47"/>
    <x v="700"/>
    <x v="0"/>
  </r>
  <r>
    <d v="2023-03-30T00:00:00"/>
    <x v="1"/>
    <x v="3"/>
    <x v="0"/>
    <x v="22"/>
    <n v="1420"/>
    <n v="83"/>
    <x v="701"/>
    <x v="0"/>
  </r>
  <r>
    <d v="2023-03-30T00:00:00"/>
    <x v="1"/>
    <x v="0"/>
    <x v="2"/>
    <x v="9"/>
    <n v="690"/>
    <n v="82"/>
    <x v="556"/>
    <x v="0"/>
  </r>
  <r>
    <d v="2023-03-30T00:00:00"/>
    <x v="4"/>
    <x v="0"/>
    <x v="0"/>
    <x v="0"/>
    <n v="1320"/>
    <n v="47"/>
    <x v="541"/>
    <x v="0"/>
  </r>
  <r>
    <d v="2023-03-30T00:00:00"/>
    <x v="1"/>
    <x v="4"/>
    <x v="4"/>
    <x v="13"/>
    <n v="1505"/>
    <n v="78"/>
    <x v="702"/>
    <x v="0"/>
  </r>
  <r>
    <d v="2023-03-30T00:00:00"/>
    <x v="0"/>
    <x v="1"/>
    <x v="4"/>
    <x v="7"/>
    <n v="1760"/>
    <n v="91"/>
    <x v="703"/>
    <x v="0"/>
  </r>
  <r>
    <d v="2023-03-30T00:00:00"/>
    <x v="4"/>
    <x v="5"/>
    <x v="1"/>
    <x v="19"/>
    <n v="540"/>
    <n v="18"/>
    <x v="704"/>
    <x v="0"/>
  </r>
  <r>
    <d v="2023-03-30T00:00:00"/>
    <x v="2"/>
    <x v="5"/>
    <x v="1"/>
    <x v="23"/>
    <n v="705"/>
    <n v="90"/>
    <x v="85"/>
    <x v="0"/>
  </r>
  <r>
    <s v="30.03.2023 Итог"/>
    <x v="3"/>
    <x v="2"/>
    <x v="3"/>
    <x v="3"/>
    <m/>
    <m/>
    <x v="705"/>
    <x v="0"/>
  </r>
  <r>
    <d v="2023-03-31T00:00:00"/>
    <x v="0"/>
    <x v="3"/>
    <x v="0"/>
    <x v="24"/>
    <n v="2540"/>
    <n v="48"/>
    <x v="706"/>
    <x v="0"/>
  </r>
  <r>
    <d v="2023-03-31T00:00:00"/>
    <x v="2"/>
    <x v="3"/>
    <x v="4"/>
    <x v="7"/>
    <n v="1760"/>
    <n v="84"/>
    <x v="7"/>
    <x v="0"/>
  </r>
  <r>
    <d v="2023-03-31T00:00:00"/>
    <x v="1"/>
    <x v="0"/>
    <x v="4"/>
    <x v="13"/>
    <n v="1505"/>
    <n v="46"/>
    <x v="707"/>
    <x v="0"/>
  </r>
  <r>
    <d v="2023-03-31T00:00:00"/>
    <x v="4"/>
    <x v="1"/>
    <x v="1"/>
    <x v="23"/>
    <n v="705"/>
    <n v="5"/>
    <x v="708"/>
    <x v="0"/>
  </r>
  <r>
    <d v="2023-03-31T00:00:00"/>
    <x v="0"/>
    <x v="1"/>
    <x v="1"/>
    <x v="19"/>
    <n v="540"/>
    <n v="76"/>
    <x v="709"/>
    <x v="0"/>
  </r>
  <r>
    <d v="2023-03-31T00:00:00"/>
    <x v="1"/>
    <x v="1"/>
    <x v="1"/>
    <x v="18"/>
    <n v="650"/>
    <n v="90"/>
    <x v="226"/>
    <x v="0"/>
  </r>
  <r>
    <d v="2023-03-31T00:00:00"/>
    <x v="1"/>
    <x v="1"/>
    <x v="0"/>
    <x v="22"/>
    <n v="1420"/>
    <n v="98"/>
    <x v="710"/>
    <x v="0"/>
  </r>
  <r>
    <d v="2023-03-31T00:00:00"/>
    <x v="1"/>
    <x v="5"/>
    <x v="1"/>
    <x v="1"/>
    <n v="1380"/>
    <n v="43"/>
    <x v="147"/>
    <x v="0"/>
  </r>
  <r>
    <d v="2023-03-31T00:00:00"/>
    <x v="1"/>
    <x v="6"/>
    <x v="1"/>
    <x v="1"/>
    <n v="1380"/>
    <n v="74"/>
    <x v="602"/>
    <x v="0"/>
  </r>
  <r>
    <d v="2023-03-31T00:00:00"/>
    <x v="2"/>
    <x v="6"/>
    <x v="1"/>
    <x v="6"/>
    <n v="640"/>
    <n v="53"/>
    <x v="711"/>
    <x v="0"/>
  </r>
  <r>
    <s v="31.03.2023 Итог"/>
    <x v="3"/>
    <x v="2"/>
    <x v="3"/>
    <x v="3"/>
    <m/>
    <m/>
    <x v="712"/>
    <x v="0"/>
  </r>
  <r>
    <d v="2023-04-01T00:00:00"/>
    <x v="2"/>
    <x v="0"/>
    <x v="0"/>
    <x v="5"/>
    <n v="930"/>
    <n v="47"/>
    <x v="713"/>
    <x v="1"/>
  </r>
  <r>
    <d v="2023-04-01T00:00:00"/>
    <x v="2"/>
    <x v="4"/>
    <x v="1"/>
    <x v="18"/>
    <n v="650"/>
    <n v="52"/>
    <x v="714"/>
    <x v="1"/>
  </r>
  <r>
    <d v="2023-04-01T00:00:00"/>
    <x v="2"/>
    <x v="4"/>
    <x v="1"/>
    <x v="23"/>
    <n v="705"/>
    <n v="5"/>
    <x v="708"/>
    <x v="1"/>
  </r>
  <r>
    <d v="2023-04-01T00:00:00"/>
    <x v="1"/>
    <x v="4"/>
    <x v="2"/>
    <x v="4"/>
    <n v="450"/>
    <n v="56"/>
    <x v="715"/>
    <x v="1"/>
  </r>
  <r>
    <d v="2023-04-01T00:00:00"/>
    <x v="2"/>
    <x v="1"/>
    <x v="1"/>
    <x v="1"/>
    <n v="1380"/>
    <n v="34"/>
    <x v="180"/>
    <x v="1"/>
  </r>
  <r>
    <d v="2023-04-01T00:00:00"/>
    <x v="0"/>
    <x v="1"/>
    <x v="2"/>
    <x v="2"/>
    <n v="325"/>
    <n v="18"/>
    <x v="683"/>
    <x v="1"/>
  </r>
  <r>
    <d v="2023-04-01T00:00:00"/>
    <x v="1"/>
    <x v="1"/>
    <x v="2"/>
    <x v="2"/>
    <n v="325"/>
    <n v="23"/>
    <x v="716"/>
    <x v="1"/>
  </r>
  <r>
    <d v="2023-04-01T00:00:00"/>
    <x v="4"/>
    <x v="5"/>
    <x v="1"/>
    <x v="23"/>
    <n v="705"/>
    <n v="78"/>
    <x v="717"/>
    <x v="1"/>
  </r>
  <r>
    <s v="01.04.2023 Итог"/>
    <x v="3"/>
    <x v="2"/>
    <x v="3"/>
    <x v="3"/>
    <m/>
    <m/>
    <x v="718"/>
    <x v="1"/>
  </r>
  <r>
    <d v="2023-04-02T00:00:00"/>
    <x v="0"/>
    <x v="3"/>
    <x v="0"/>
    <x v="10"/>
    <n v="1230"/>
    <n v="29"/>
    <x v="719"/>
    <x v="1"/>
  </r>
  <r>
    <d v="2023-04-02T00:00:00"/>
    <x v="4"/>
    <x v="3"/>
    <x v="4"/>
    <x v="14"/>
    <n v="1670"/>
    <n v="78"/>
    <x v="720"/>
    <x v="1"/>
  </r>
  <r>
    <d v="2023-04-02T00:00:00"/>
    <x v="1"/>
    <x v="1"/>
    <x v="4"/>
    <x v="7"/>
    <n v="1760"/>
    <n v="92"/>
    <x v="176"/>
    <x v="1"/>
  </r>
  <r>
    <d v="2023-04-02T00:00:00"/>
    <x v="4"/>
    <x v="5"/>
    <x v="1"/>
    <x v="1"/>
    <n v="1380"/>
    <n v="68"/>
    <x v="721"/>
    <x v="1"/>
  </r>
  <r>
    <d v="2023-04-02T00:00:00"/>
    <x v="0"/>
    <x v="6"/>
    <x v="2"/>
    <x v="2"/>
    <n v="325"/>
    <n v="5"/>
    <x v="611"/>
    <x v="1"/>
  </r>
  <r>
    <d v="2023-04-02T00:00:00"/>
    <x v="2"/>
    <x v="6"/>
    <x v="0"/>
    <x v="17"/>
    <n v="2400"/>
    <n v="76"/>
    <x v="722"/>
    <x v="1"/>
  </r>
  <r>
    <d v="2023-04-02T00:00:00"/>
    <x v="2"/>
    <x v="6"/>
    <x v="4"/>
    <x v="13"/>
    <n v="1505"/>
    <n v="34"/>
    <x v="674"/>
    <x v="1"/>
  </r>
  <r>
    <s v="02.04.2023 Итог"/>
    <x v="3"/>
    <x v="2"/>
    <x v="3"/>
    <x v="3"/>
    <m/>
    <m/>
    <x v="723"/>
    <x v="1"/>
  </r>
  <r>
    <d v="2023-04-03T00:00:00"/>
    <x v="4"/>
    <x v="3"/>
    <x v="0"/>
    <x v="17"/>
    <n v="2400"/>
    <n v="21"/>
    <x v="724"/>
    <x v="1"/>
  </r>
  <r>
    <d v="2023-04-03T00:00:00"/>
    <x v="0"/>
    <x v="0"/>
    <x v="0"/>
    <x v="17"/>
    <n v="2400"/>
    <n v="27"/>
    <x v="725"/>
    <x v="1"/>
  </r>
  <r>
    <d v="2023-04-03T00:00:00"/>
    <x v="2"/>
    <x v="0"/>
    <x v="4"/>
    <x v="21"/>
    <n v="3205"/>
    <n v="81"/>
    <x v="540"/>
    <x v="1"/>
  </r>
  <r>
    <d v="2023-04-03T00:00:00"/>
    <x v="4"/>
    <x v="4"/>
    <x v="2"/>
    <x v="9"/>
    <n v="690"/>
    <n v="10"/>
    <x v="726"/>
    <x v="1"/>
  </r>
  <r>
    <d v="2023-04-03T00:00:00"/>
    <x v="2"/>
    <x v="4"/>
    <x v="2"/>
    <x v="4"/>
    <n v="450"/>
    <n v="74"/>
    <x v="124"/>
    <x v="1"/>
  </r>
  <r>
    <d v="2023-04-03T00:00:00"/>
    <x v="4"/>
    <x v="4"/>
    <x v="0"/>
    <x v="17"/>
    <n v="2400"/>
    <n v="72"/>
    <x v="727"/>
    <x v="1"/>
  </r>
  <r>
    <d v="2023-04-03T00:00:00"/>
    <x v="0"/>
    <x v="4"/>
    <x v="0"/>
    <x v="24"/>
    <n v="2540"/>
    <n v="79"/>
    <x v="728"/>
    <x v="1"/>
  </r>
  <r>
    <d v="2023-04-03T00:00:00"/>
    <x v="1"/>
    <x v="1"/>
    <x v="2"/>
    <x v="2"/>
    <n v="325"/>
    <n v="81"/>
    <x v="190"/>
    <x v="1"/>
  </r>
  <r>
    <d v="2023-04-03T00:00:00"/>
    <x v="4"/>
    <x v="1"/>
    <x v="0"/>
    <x v="5"/>
    <n v="930"/>
    <n v="89"/>
    <x v="729"/>
    <x v="1"/>
  </r>
  <r>
    <d v="2023-04-03T00:00:00"/>
    <x v="0"/>
    <x v="5"/>
    <x v="2"/>
    <x v="16"/>
    <n v="890"/>
    <n v="8"/>
    <x v="459"/>
    <x v="1"/>
  </r>
  <r>
    <s v="03.04.2023 Итог"/>
    <x v="3"/>
    <x v="2"/>
    <x v="3"/>
    <x v="3"/>
    <m/>
    <m/>
    <x v="730"/>
    <x v="1"/>
  </r>
  <r>
    <d v="2023-04-04T00:00:00"/>
    <x v="2"/>
    <x v="3"/>
    <x v="0"/>
    <x v="5"/>
    <n v="930"/>
    <n v="40"/>
    <x v="372"/>
    <x v="1"/>
  </r>
  <r>
    <d v="2023-04-04T00:00:00"/>
    <x v="4"/>
    <x v="3"/>
    <x v="0"/>
    <x v="10"/>
    <n v="1230"/>
    <n v="33"/>
    <x v="233"/>
    <x v="1"/>
  </r>
  <r>
    <d v="2023-04-04T00:00:00"/>
    <x v="1"/>
    <x v="3"/>
    <x v="4"/>
    <x v="13"/>
    <n v="1505"/>
    <n v="74"/>
    <x v="731"/>
    <x v="1"/>
  </r>
  <r>
    <d v="2023-04-04T00:00:00"/>
    <x v="2"/>
    <x v="4"/>
    <x v="2"/>
    <x v="4"/>
    <n v="450"/>
    <n v="99"/>
    <x v="414"/>
    <x v="1"/>
  </r>
  <r>
    <d v="2023-04-04T00:00:00"/>
    <x v="1"/>
    <x v="4"/>
    <x v="0"/>
    <x v="5"/>
    <n v="930"/>
    <n v="22"/>
    <x v="120"/>
    <x v="1"/>
  </r>
  <r>
    <d v="2023-04-04T00:00:00"/>
    <x v="4"/>
    <x v="1"/>
    <x v="0"/>
    <x v="0"/>
    <n v="1320"/>
    <n v="17"/>
    <x v="659"/>
    <x v="1"/>
  </r>
  <r>
    <d v="2023-04-04T00:00:00"/>
    <x v="2"/>
    <x v="1"/>
    <x v="0"/>
    <x v="10"/>
    <n v="1230"/>
    <n v="94"/>
    <x v="732"/>
    <x v="1"/>
  </r>
  <r>
    <d v="2023-04-04T00:00:00"/>
    <x v="1"/>
    <x v="5"/>
    <x v="4"/>
    <x v="14"/>
    <n v="1670"/>
    <n v="51"/>
    <x v="733"/>
    <x v="1"/>
  </r>
  <r>
    <d v="2023-04-04T00:00:00"/>
    <x v="1"/>
    <x v="6"/>
    <x v="1"/>
    <x v="1"/>
    <n v="1380"/>
    <n v="53"/>
    <x v="734"/>
    <x v="1"/>
  </r>
  <r>
    <d v="2023-04-04T00:00:00"/>
    <x v="1"/>
    <x v="6"/>
    <x v="2"/>
    <x v="8"/>
    <n v="460"/>
    <n v="28"/>
    <x v="735"/>
    <x v="1"/>
  </r>
  <r>
    <d v="2023-04-04T00:00:00"/>
    <x v="2"/>
    <x v="6"/>
    <x v="2"/>
    <x v="16"/>
    <n v="890"/>
    <n v="18"/>
    <x v="324"/>
    <x v="1"/>
  </r>
  <r>
    <d v="2023-04-04T00:00:00"/>
    <x v="2"/>
    <x v="6"/>
    <x v="0"/>
    <x v="22"/>
    <n v="1420"/>
    <n v="90"/>
    <x v="736"/>
    <x v="1"/>
  </r>
  <r>
    <s v="04.04.2023 Итог"/>
    <x v="3"/>
    <x v="2"/>
    <x v="3"/>
    <x v="3"/>
    <m/>
    <m/>
    <x v="737"/>
    <x v="1"/>
  </r>
  <r>
    <d v="2023-04-05T00:00:00"/>
    <x v="0"/>
    <x v="3"/>
    <x v="2"/>
    <x v="9"/>
    <n v="690"/>
    <n v="41"/>
    <x v="738"/>
    <x v="1"/>
  </r>
  <r>
    <d v="2023-04-05T00:00:00"/>
    <x v="2"/>
    <x v="0"/>
    <x v="2"/>
    <x v="8"/>
    <n v="460"/>
    <n v="12"/>
    <x v="241"/>
    <x v="1"/>
  </r>
  <r>
    <d v="2023-04-05T00:00:00"/>
    <x v="0"/>
    <x v="4"/>
    <x v="0"/>
    <x v="0"/>
    <n v="1320"/>
    <n v="94"/>
    <x v="739"/>
    <x v="1"/>
  </r>
  <r>
    <d v="2023-04-05T00:00:00"/>
    <x v="0"/>
    <x v="1"/>
    <x v="1"/>
    <x v="1"/>
    <n v="1380"/>
    <n v="69"/>
    <x v="740"/>
    <x v="1"/>
  </r>
  <r>
    <d v="2023-04-05T00:00:00"/>
    <x v="2"/>
    <x v="6"/>
    <x v="1"/>
    <x v="1"/>
    <n v="1380"/>
    <n v="95"/>
    <x v="741"/>
    <x v="1"/>
  </r>
  <r>
    <d v="2023-04-05T00:00:00"/>
    <x v="2"/>
    <x v="6"/>
    <x v="1"/>
    <x v="18"/>
    <n v="650"/>
    <n v="73"/>
    <x v="644"/>
    <x v="1"/>
  </r>
  <r>
    <s v="05.04.2023 Итог"/>
    <x v="3"/>
    <x v="2"/>
    <x v="3"/>
    <x v="3"/>
    <m/>
    <m/>
    <x v="742"/>
    <x v="1"/>
  </r>
  <r>
    <d v="2023-04-06T00:00:00"/>
    <x v="2"/>
    <x v="3"/>
    <x v="2"/>
    <x v="4"/>
    <n v="450"/>
    <n v="38"/>
    <x v="743"/>
    <x v="1"/>
  </r>
  <r>
    <d v="2023-04-06T00:00:00"/>
    <x v="0"/>
    <x v="3"/>
    <x v="2"/>
    <x v="9"/>
    <n v="690"/>
    <n v="66"/>
    <x v="744"/>
    <x v="1"/>
  </r>
  <r>
    <d v="2023-04-06T00:00:00"/>
    <x v="1"/>
    <x v="3"/>
    <x v="2"/>
    <x v="2"/>
    <n v="325"/>
    <n v="64"/>
    <x v="237"/>
    <x v="1"/>
  </r>
  <r>
    <d v="2023-04-06T00:00:00"/>
    <x v="2"/>
    <x v="0"/>
    <x v="2"/>
    <x v="4"/>
    <n v="450"/>
    <n v="48"/>
    <x v="387"/>
    <x v="1"/>
  </r>
  <r>
    <d v="2023-04-06T00:00:00"/>
    <x v="0"/>
    <x v="0"/>
    <x v="4"/>
    <x v="7"/>
    <n v="1760"/>
    <n v="49"/>
    <x v="399"/>
    <x v="1"/>
  </r>
  <r>
    <d v="2023-04-06T00:00:00"/>
    <x v="2"/>
    <x v="4"/>
    <x v="2"/>
    <x v="9"/>
    <n v="690"/>
    <n v="40"/>
    <x v="745"/>
    <x v="1"/>
  </r>
  <r>
    <d v="2023-04-06T00:00:00"/>
    <x v="1"/>
    <x v="4"/>
    <x v="0"/>
    <x v="10"/>
    <n v="1230"/>
    <n v="28"/>
    <x v="555"/>
    <x v="1"/>
  </r>
  <r>
    <d v="2023-04-06T00:00:00"/>
    <x v="0"/>
    <x v="4"/>
    <x v="4"/>
    <x v="15"/>
    <n v="2460"/>
    <n v="67"/>
    <x v="34"/>
    <x v="1"/>
  </r>
  <r>
    <d v="2023-04-06T00:00:00"/>
    <x v="4"/>
    <x v="1"/>
    <x v="2"/>
    <x v="8"/>
    <n v="460"/>
    <n v="71"/>
    <x v="408"/>
    <x v="1"/>
  </r>
  <r>
    <d v="2023-04-06T00:00:00"/>
    <x v="0"/>
    <x v="1"/>
    <x v="2"/>
    <x v="12"/>
    <n v="715"/>
    <n v="44"/>
    <x v="746"/>
    <x v="1"/>
  </r>
  <r>
    <d v="2023-04-06T00:00:00"/>
    <x v="4"/>
    <x v="5"/>
    <x v="1"/>
    <x v="18"/>
    <n v="650"/>
    <n v="84"/>
    <x v="747"/>
    <x v="1"/>
  </r>
  <r>
    <d v="2023-04-06T00:00:00"/>
    <x v="4"/>
    <x v="6"/>
    <x v="1"/>
    <x v="6"/>
    <n v="640"/>
    <n v="88"/>
    <x v="429"/>
    <x v="1"/>
  </r>
  <r>
    <d v="2023-04-06T00:00:00"/>
    <x v="2"/>
    <x v="6"/>
    <x v="0"/>
    <x v="17"/>
    <n v="2400"/>
    <n v="29"/>
    <x v="748"/>
    <x v="1"/>
  </r>
  <r>
    <s v="06.04.2023 Итог"/>
    <x v="3"/>
    <x v="2"/>
    <x v="3"/>
    <x v="3"/>
    <m/>
    <m/>
    <x v="749"/>
    <x v="1"/>
  </r>
  <r>
    <d v="2023-04-07T00:00:00"/>
    <x v="4"/>
    <x v="3"/>
    <x v="2"/>
    <x v="4"/>
    <n v="450"/>
    <n v="27"/>
    <x v="664"/>
    <x v="1"/>
  </r>
  <r>
    <d v="2023-04-07T00:00:00"/>
    <x v="4"/>
    <x v="3"/>
    <x v="2"/>
    <x v="8"/>
    <n v="460"/>
    <n v="55"/>
    <x v="750"/>
    <x v="1"/>
  </r>
  <r>
    <d v="2023-04-07T00:00:00"/>
    <x v="2"/>
    <x v="3"/>
    <x v="4"/>
    <x v="21"/>
    <n v="3205"/>
    <n v="89"/>
    <x v="751"/>
    <x v="1"/>
  </r>
  <r>
    <d v="2023-04-07T00:00:00"/>
    <x v="0"/>
    <x v="0"/>
    <x v="1"/>
    <x v="23"/>
    <n v="705"/>
    <n v="92"/>
    <x v="752"/>
    <x v="1"/>
  </r>
  <r>
    <d v="2023-04-07T00:00:00"/>
    <x v="2"/>
    <x v="0"/>
    <x v="2"/>
    <x v="9"/>
    <n v="690"/>
    <n v="52"/>
    <x v="690"/>
    <x v="1"/>
  </r>
  <r>
    <d v="2023-04-07T00:00:00"/>
    <x v="1"/>
    <x v="0"/>
    <x v="4"/>
    <x v="11"/>
    <n v="2970"/>
    <n v="85"/>
    <x v="646"/>
    <x v="1"/>
  </r>
  <r>
    <d v="2023-04-07T00:00:00"/>
    <x v="2"/>
    <x v="1"/>
    <x v="2"/>
    <x v="12"/>
    <n v="715"/>
    <n v="73"/>
    <x v="211"/>
    <x v="1"/>
  </r>
  <r>
    <d v="2023-04-07T00:00:00"/>
    <x v="0"/>
    <x v="1"/>
    <x v="2"/>
    <x v="2"/>
    <n v="325"/>
    <n v="29"/>
    <x v="753"/>
    <x v="1"/>
  </r>
  <r>
    <d v="2023-04-07T00:00:00"/>
    <x v="4"/>
    <x v="1"/>
    <x v="4"/>
    <x v="13"/>
    <n v="1505"/>
    <n v="59"/>
    <x v="754"/>
    <x v="1"/>
  </r>
  <r>
    <d v="2023-04-07T00:00:00"/>
    <x v="2"/>
    <x v="5"/>
    <x v="0"/>
    <x v="24"/>
    <n v="2540"/>
    <n v="40"/>
    <x v="755"/>
    <x v="1"/>
  </r>
  <r>
    <d v="2023-04-07T00:00:00"/>
    <x v="1"/>
    <x v="6"/>
    <x v="2"/>
    <x v="8"/>
    <n v="460"/>
    <n v="93"/>
    <x v="224"/>
    <x v="1"/>
  </r>
  <r>
    <d v="2023-04-07T00:00:00"/>
    <x v="0"/>
    <x v="6"/>
    <x v="2"/>
    <x v="2"/>
    <n v="325"/>
    <n v="72"/>
    <x v="756"/>
    <x v="1"/>
  </r>
  <r>
    <d v="2023-04-07T00:00:00"/>
    <x v="4"/>
    <x v="6"/>
    <x v="0"/>
    <x v="0"/>
    <n v="1320"/>
    <n v="51"/>
    <x v="757"/>
    <x v="1"/>
  </r>
  <r>
    <s v="07.04.2023 Итог"/>
    <x v="3"/>
    <x v="2"/>
    <x v="3"/>
    <x v="3"/>
    <m/>
    <m/>
    <x v="758"/>
    <x v="1"/>
  </r>
  <r>
    <d v="2023-04-08T00:00:00"/>
    <x v="1"/>
    <x v="3"/>
    <x v="4"/>
    <x v="7"/>
    <n v="1760"/>
    <n v="57"/>
    <x v="759"/>
    <x v="1"/>
  </r>
  <r>
    <d v="2023-04-08T00:00:00"/>
    <x v="0"/>
    <x v="0"/>
    <x v="1"/>
    <x v="20"/>
    <n v="650"/>
    <n v="99"/>
    <x v="221"/>
    <x v="1"/>
  </r>
  <r>
    <d v="2023-04-08T00:00:00"/>
    <x v="2"/>
    <x v="0"/>
    <x v="1"/>
    <x v="23"/>
    <n v="705"/>
    <n v="76"/>
    <x v="760"/>
    <x v="1"/>
  </r>
  <r>
    <d v="2023-04-08T00:00:00"/>
    <x v="1"/>
    <x v="4"/>
    <x v="0"/>
    <x v="24"/>
    <n v="2540"/>
    <n v="91"/>
    <x v="322"/>
    <x v="1"/>
  </r>
  <r>
    <d v="2023-04-08T00:00:00"/>
    <x v="1"/>
    <x v="5"/>
    <x v="2"/>
    <x v="12"/>
    <n v="715"/>
    <n v="25"/>
    <x v="149"/>
    <x v="1"/>
  </r>
  <r>
    <s v="08.04.2023 Итог"/>
    <x v="3"/>
    <x v="2"/>
    <x v="3"/>
    <x v="3"/>
    <m/>
    <m/>
    <x v="761"/>
    <x v="1"/>
  </r>
  <r>
    <d v="2023-04-09T00:00:00"/>
    <x v="0"/>
    <x v="3"/>
    <x v="2"/>
    <x v="2"/>
    <n v="325"/>
    <n v="81"/>
    <x v="190"/>
    <x v="1"/>
  </r>
  <r>
    <d v="2023-04-09T00:00:00"/>
    <x v="4"/>
    <x v="3"/>
    <x v="2"/>
    <x v="16"/>
    <n v="890"/>
    <n v="27"/>
    <x v="287"/>
    <x v="1"/>
  </r>
  <r>
    <d v="2023-04-09T00:00:00"/>
    <x v="4"/>
    <x v="0"/>
    <x v="2"/>
    <x v="2"/>
    <n v="325"/>
    <n v="85"/>
    <x v="762"/>
    <x v="1"/>
  </r>
  <r>
    <d v="2023-04-09T00:00:00"/>
    <x v="4"/>
    <x v="0"/>
    <x v="0"/>
    <x v="5"/>
    <n v="930"/>
    <n v="6"/>
    <x v="279"/>
    <x v="1"/>
  </r>
  <r>
    <d v="2023-04-09T00:00:00"/>
    <x v="0"/>
    <x v="0"/>
    <x v="4"/>
    <x v="11"/>
    <n v="2970"/>
    <n v="12"/>
    <x v="577"/>
    <x v="1"/>
  </r>
  <r>
    <d v="2023-04-09T00:00:00"/>
    <x v="4"/>
    <x v="4"/>
    <x v="1"/>
    <x v="20"/>
    <n v="650"/>
    <n v="52"/>
    <x v="714"/>
    <x v="1"/>
  </r>
  <r>
    <d v="2023-04-09T00:00:00"/>
    <x v="0"/>
    <x v="4"/>
    <x v="0"/>
    <x v="0"/>
    <n v="1320"/>
    <n v="100"/>
    <x v="524"/>
    <x v="1"/>
  </r>
  <r>
    <d v="2023-04-09T00:00:00"/>
    <x v="4"/>
    <x v="1"/>
    <x v="2"/>
    <x v="12"/>
    <n v="715"/>
    <n v="61"/>
    <x v="763"/>
    <x v="1"/>
  </r>
  <r>
    <d v="2023-04-09T00:00:00"/>
    <x v="2"/>
    <x v="1"/>
    <x v="4"/>
    <x v="21"/>
    <n v="3205"/>
    <n v="80"/>
    <x v="545"/>
    <x v="1"/>
  </r>
  <r>
    <d v="2023-04-09T00:00:00"/>
    <x v="1"/>
    <x v="5"/>
    <x v="4"/>
    <x v="14"/>
    <n v="1670"/>
    <n v="79"/>
    <x v="764"/>
    <x v="1"/>
  </r>
  <r>
    <s v="09.04.2023 Итог"/>
    <x v="3"/>
    <x v="2"/>
    <x v="3"/>
    <x v="3"/>
    <m/>
    <m/>
    <x v="765"/>
    <x v="1"/>
  </r>
  <r>
    <d v="2023-04-10T00:00:00"/>
    <x v="4"/>
    <x v="3"/>
    <x v="2"/>
    <x v="8"/>
    <n v="460"/>
    <n v="55"/>
    <x v="750"/>
    <x v="1"/>
  </r>
  <r>
    <d v="2023-04-10T00:00:00"/>
    <x v="2"/>
    <x v="3"/>
    <x v="0"/>
    <x v="22"/>
    <n v="1420"/>
    <n v="39"/>
    <x v="766"/>
    <x v="1"/>
  </r>
  <r>
    <d v="2023-04-10T00:00:00"/>
    <x v="1"/>
    <x v="0"/>
    <x v="2"/>
    <x v="9"/>
    <n v="690"/>
    <n v="16"/>
    <x v="51"/>
    <x v="1"/>
  </r>
  <r>
    <d v="2023-04-10T00:00:00"/>
    <x v="1"/>
    <x v="0"/>
    <x v="0"/>
    <x v="22"/>
    <n v="1420"/>
    <n v="33"/>
    <x v="767"/>
    <x v="1"/>
  </r>
  <r>
    <d v="2023-04-10T00:00:00"/>
    <x v="2"/>
    <x v="4"/>
    <x v="2"/>
    <x v="2"/>
    <n v="325"/>
    <n v="77"/>
    <x v="768"/>
    <x v="1"/>
  </r>
  <r>
    <d v="2023-04-10T00:00:00"/>
    <x v="1"/>
    <x v="1"/>
    <x v="0"/>
    <x v="0"/>
    <n v="1320"/>
    <n v="80"/>
    <x v="769"/>
    <x v="1"/>
  </r>
  <r>
    <d v="2023-04-10T00:00:00"/>
    <x v="1"/>
    <x v="1"/>
    <x v="0"/>
    <x v="17"/>
    <n v="2400"/>
    <n v="15"/>
    <x v="770"/>
    <x v="1"/>
  </r>
  <r>
    <d v="2023-04-10T00:00:00"/>
    <x v="4"/>
    <x v="1"/>
    <x v="4"/>
    <x v="14"/>
    <n v="1670"/>
    <n v="8"/>
    <x v="264"/>
    <x v="1"/>
  </r>
  <r>
    <d v="2023-04-10T00:00:00"/>
    <x v="1"/>
    <x v="5"/>
    <x v="2"/>
    <x v="16"/>
    <n v="890"/>
    <n v="86"/>
    <x v="771"/>
    <x v="1"/>
  </r>
  <r>
    <d v="2023-04-10T00:00:00"/>
    <x v="1"/>
    <x v="5"/>
    <x v="0"/>
    <x v="10"/>
    <n v="1230"/>
    <n v="15"/>
    <x v="772"/>
    <x v="1"/>
  </r>
  <r>
    <d v="2023-04-10T00:00:00"/>
    <x v="4"/>
    <x v="5"/>
    <x v="4"/>
    <x v="11"/>
    <n v="2970"/>
    <n v="12"/>
    <x v="577"/>
    <x v="1"/>
  </r>
  <r>
    <d v="2023-04-10T00:00:00"/>
    <x v="0"/>
    <x v="6"/>
    <x v="2"/>
    <x v="16"/>
    <n v="890"/>
    <n v="51"/>
    <x v="773"/>
    <x v="1"/>
  </r>
  <r>
    <d v="2023-04-10T00:00:00"/>
    <x v="1"/>
    <x v="6"/>
    <x v="0"/>
    <x v="0"/>
    <n v="1320"/>
    <n v="55"/>
    <x v="774"/>
    <x v="1"/>
  </r>
  <r>
    <s v="10.04.2023 Итог"/>
    <x v="3"/>
    <x v="2"/>
    <x v="3"/>
    <x v="3"/>
    <m/>
    <m/>
    <x v="775"/>
    <x v="1"/>
  </r>
  <r>
    <d v="2023-04-11T00:00:00"/>
    <x v="2"/>
    <x v="3"/>
    <x v="4"/>
    <x v="11"/>
    <n v="2970"/>
    <n v="48"/>
    <x v="296"/>
    <x v="1"/>
  </r>
  <r>
    <d v="2023-04-11T00:00:00"/>
    <x v="2"/>
    <x v="0"/>
    <x v="4"/>
    <x v="7"/>
    <n v="1760"/>
    <n v="34"/>
    <x v="776"/>
    <x v="1"/>
  </r>
  <r>
    <d v="2023-04-11T00:00:00"/>
    <x v="0"/>
    <x v="4"/>
    <x v="0"/>
    <x v="10"/>
    <n v="1230"/>
    <n v="26"/>
    <x v="108"/>
    <x v="1"/>
  </r>
  <r>
    <d v="2023-04-11T00:00:00"/>
    <x v="4"/>
    <x v="1"/>
    <x v="0"/>
    <x v="22"/>
    <n v="1420"/>
    <n v="43"/>
    <x v="777"/>
    <x v="1"/>
  </r>
  <r>
    <d v="2023-04-11T00:00:00"/>
    <x v="4"/>
    <x v="1"/>
    <x v="0"/>
    <x v="17"/>
    <n v="2400"/>
    <n v="48"/>
    <x v="778"/>
    <x v="1"/>
  </r>
  <r>
    <d v="2023-04-11T00:00:00"/>
    <x v="0"/>
    <x v="5"/>
    <x v="0"/>
    <x v="0"/>
    <n v="1320"/>
    <n v="89"/>
    <x v="779"/>
    <x v="1"/>
  </r>
  <r>
    <d v="2023-04-11T00:00:00"/>
    <x v="2"/>
    <x v="6"/>
    <x v="1"/>
    <x v="18"/>
    <n v="650"/>
    <n v="64"/>
    <x v="15"/>
    <x v="1"/>
  </r>
  <r>
    <d v="2023-04-11T00:00:00"/>
    <x v="4"/>
    <x v="6"/>
    <x v="2"/>
    <x v="2"/>
    <n v="325"/>
    <n v="58"/>
    <x v="46"/>
    <x v="1"/>
  </r>
  <r>
    <s v="11.04.2023 Итог"/>
    <x v="3"/>
    <x v="2"/>
    <x v="3"/>
    <x v="3"/>
    <m/>
    <m/>
    <x v="780"/>
    <x v="1"/>
  </r>
  <r>
    <d v="2023-04-12T00:00:00"/>
    <x v="1"/>
    <x v="3"/>
    <x v="4"/>
    <x v="11"/>
    <n v="2970"/>
    <n v="66"/>
    <x v="781"/>
    <x v="1"/>
  </r>
  <r>
    <d v="2023-04-12T00:00:00"/>
    <x v="1"/>
    <x v="0"/>
    <x v="1"/>
    <x v="18"/>
    <n v="650"/>
    <n v="53"/>
    <x v="782"/>
    <x v="1"/>
  </r>
  <r>
    <d v="2023-04-12T00:00:00"/>
    <x v="2"/>
    <x v="0"/>
    <x v="2"/>
    <x v="4"/>
    <n v="450"/>
    <n v="92"/>
    <x v="356"/>
    <x v="1"/>
  </r>
  <r>
    <d v="2023-04-12T00:00:00"/>
    <x v="2"/>
    <x v="0"/>
    <x v="0"/>
    <x v="17"/>
    <n v="2400"/>
    <n v="42"/>
    <x v="783"/>
    <x v="1"/>
  </r>
  <r>
    <d v="2023-04-12T00:00:00"/>
    <x v="2"/>
    <x v="4"/>
    <x v="4"/>
    <x v="11"/>
    <n v="2970"/>
    <n v="45"/>
    <x v="784"/>
    <x v="1"/>
  </r>
  <r>
    <d v="2023-04-12T00:00:00"/>
    <x v="0"/>
    <x v="1"/>
    <x v="0"/>
    <x v="22"/>
    <n v="1420"/>
    <n v="37"/>
    <x v="276"/>
    <x v="1"/>
  </r>
  <r>
    <d v="2023-04-12T00:00:00"/>
    <x v="4"/>
    <x v="1"/>
    <x v="4"/>
    <x v="21"/>
    <n v="3205"/>
    <n v="54"/>
    <x v="133"/>
    <x v="1"/>
  </r>
  <r>
    <d v="2023-04-12T00:00:00"/>
    <x v="0"/>
    <x v="5"/>
    <x v="2"/>
    <x v="2"/>
    <n v="325"/>
    <n v="97"/>
    <x v="785"/>
    <x v="1"/>
  </r>
  <r>
    <d v="2023-04-12T00:00:00"/>
    <x v="0"/>
    <x v="5"/>
    <x v="2"/>
    <x v="9"/>
    <n v="690"/>
    <n v="98"/>
    <x v="691"/>
    <x v="1"/>
  </r>
  <r>
    <d v="2023-04-12T00:00:00"/>
    <x v="0"/>
    <x v="5"/>
    <x v="2"/>
    <x v="8"/>
    <n v="460"/>
    <n v="84"/>
    <x v="471"/>
    <x v="1"/>
  </r>
  <r>
    <d v="2023-04-12T00:00:00"/>
    <x v="1"/>
    <x v="5"/>
    <x v="4"/>
    <x v="14"/>
    <n v="1670"/>
    <n v="47"/>
    <x v="786"/>
    <x v="1"/>
  </r>
  <r>
    <d v="2023-04-12T00:00:00"/>
    <x v="1"/>
    <x v="6"/>
    <x v="4"/>
    <x v="14"/>
    <n v="1670"/>
    <n v="20"/>
    <x v="787"/>
    <x v="1"/>
  </r>
  <r>
    <s v="12.04.2023 Итог"/>
    <x v="3"/>
    <x v="2"/>
    <x v="3"/>
    <x v="3"/>
    <m/>
    <m/>
    <x v="788"/>
    <x v="1"/>
  </r>
  <r>
    <d v="2023-04-13T00:00:00"/>
    <x v="4"/>
    <x v="1"/>
    <x v="1"/>
    <x v="19"/>
    <n v="540"/>
    <n v="54"/>
    <x v="789"/>
    <x v="1"/>
  </r>
  <r>
    <d v="2023-04-13T00:00:00"/>
    <x v="2"/>
    <x v="1"/>
    <x v="4"/>
    <x v="11"/>
    <n v="2970"/>
    <n v="98"/>
    <x v="790"/>
    <x v="1"/>
  </r>
  <r>
    <d v="2023-04-13T00:00:00"/>
    <x v="4"/>
    <x v="5"/>
    <x v="2"/>
    <x v="9"/>
    <n v="690"/>
    <n v="11"/>
    <x v="791"/>
    <x v="1"/>
  </r>
  <r>
    <d v="2023-04-13T00:00:00"/>
    <x v="1"/>
    <x v="5"/>
    <x v="2"/>
    <x v="9"/>
    <n v="690"/>
    <n v="32"/>
    <x v="253"/>
    <x v="1"/>
  </r>
  <r>
    <d v="2023-04-13T00:00:00"/>
    <x v="0"/>
    <x v="5"/>
    <x v="0"/>
    <x v="10"/>
    <n v="1230"/>
    <n v="85"/>
    <x v="792"/>
    <x v="1"/>
  </r>
  <r>
    <d v="2023-04-13T00:00:00"/>
    <x v="0"/>
    <x v="5"/>
    <x v="4"/>
    <x v="21"/>
    <n v="3205"/>
    <n v="63"/>
    <x v="793"/>
    <x v="1"/>
  </r>
  <r>
    <d v="2023-04-13T00:00:00"/>
    <x v="0"/>
    <x v="6"/>
    <x v="1"/>
    <x v="6"/>
    <n v="640"/>
    <n v="74"/>
    <x v="430"/>
    <x v="1"/>
  </r>
  <r>
    <d v="2023-04-13T00:00:00"/>
    <x v="2"/>
    <x v="6"/>
    <x v="2"/>
    <x v="2"/>
    <n v="325"/>
    <n v="82"/>
    <x v="645"/>
    <x v="1"/>
  </r>
  <r>
    <d v="2023-04-13T00:00:00"/>
    <x v="4"/>
    <x v="6"/>
    <x v="0"/>
    <x v="22"/>
    <n v="1420"/>
    <n v="69"/>
    <x v="92"/>
    <x v="1"/>
  </r>
  <r>
    <s v="13.04.2023 Итог"/>
    <x v="3"/>
    <x v="2"/>
    <x v="3"/>
    <x v="3"/>
    <m/>
    <m/>
    <x v="794"/>
    <x v="1"/>
  </r>
  <r>
    <d v="2023-04-14T00:00:00"/>
    <x v="0"/>
    <x v="3"/>
    <x v="1"/>
    <x v="20"/>
    <n v="650"/>
    <n v="61"/>
    <x v="795"/>
    <x v="1"/>
  </r>
  <r>
    <d v="2023-04-14T00:00:00"/>
    <x v="1"/>
    <x v="3"/>
    <x v="0"/>
    <x v="17"/>
    <n v="2400"/>
    <n v="72"/>
    <x v="727"/>
    <x v="1"/>
  </r>
  <r>
    <d v="2023-04-14T00:00:00"/>
    <x v="0"/>
    <x v="3"/>
    <x v="0"/>
    <x v="0"/>
    <n v="1320"/>
    <n v="55"/>
    <x v="774"/>
    <x v="1"/>
  </r>
  <r>
    <d v="2023-04-14T00:00:00"/>
    <x v="2"/>
    <x v="1"/>
    <x v="1"/>
    <x v="6"/>
    <n v="640"/>
    <n v="65"/>
    <x v="15"/>
    <x v="1"/>
  </r>
  <r>
    <d v="2023-04-14T00:00:00"/>
    <x v="2"/>
    <x v="1"/>
    <x v="0"/>
    <x v="24"/>
    <n v="2540"/>
    <n v="29"/>
    <x v="358"/>
    <x v="1"/>
  </r>
  <r>
    <d v="2023-04-14T00:00:00"/>
    <x v="1"/>
    <x v="1"/>
    <x v="0"/>
    <x v="5"/>
    <n v="930"/>
    <n v="41"/>
    <x v="796"/>
    <x v="1"/>
  </r>
  <r>
    <d v="2023-04-14T00:00:00"/>
    <x v="0"/>
    <x v="5"/>
    <x v="4"/>
    <x v="15"/>
    <n v="2460"/>
    <n v="45"/>
    <x v="415"/>
    <x v="1"/>
  </r>
  <r>
    <d v="2023-04-14T00:00:00"/>
    <x v="0"/>
    <x v="6"/>
    <x v="2"/>
    <x v="8"/>
    <n v="460"/>
    <n v="96"/>
    <x v="797"/>
    <x v="1"/>
  </r>
  <r>
    <s v="14.04.2023 Итог"/>
    <x v="3"/>
    <x v="2"/>
    <x v="3"/>
    <x v="3"/>
    <m/>
    <m/>
    <x v="798"/>
    <x v="1"/>
  </r>
  <r>
    <d v="2023-04-15T00:00:00"/>
    <x v="1"/>
    <x v="3"/>
    <x v="1"/>
    <x v="23"/>
    <n v="705"/>
    <n v="29"/>
    <x v="799"/>
    <x v="1"/>
  </r>
  <r>
    <d v="2023-04-15T00:00:00"/>
    <x v="2"/>
    <x v="0"/>
    <x v="1"/>
    <x v="1"/>
    <n v="1380"/>
    <n v="73"/>
    <x v="647"/>
    <x v="1"/>
  </r>
  <r>
    <d v="2023-04-15T00:00:00"/>
    <x v="1"/>
    <x v="0"/>
    <x v="1"/>
    <x v="6"/>
    <n v="640"/>
    <n v="34"/>
    <x v="800"/>
    <x v="1"/>
  </r>
  <r>
    <d v="2023-04-15T00:00:00"/>
    <x v="2"/>
    <x v="0"/>
    <x v="0"/>
    <x v="10"/>
    <n v="1230"/>
    <n v="33"/>
    <x v="233"/>
    <x v="1"/>
  </r>
  <r>
    <d v="2023-04-15T00:00:00"/>
    <x v="2"/>
    <x v="4"/>
    <x v="0"/>
    <x v="5"/>
    <n v="930"/>
    <n v="42"/>
    <x v="488"/>
    <x v="1"/>
  </r>
  <r>
    <d v="2023-04-15T00:00:00"/>
    <x v="1"/>
    <x v="5"/>
    <x v="4"/>
    <x v="15"/>
    <n v="2460"/>
    <n v="8"/>
    <x v="254"/>
    <x v="1"/>
  </r>
  <r>
    <d v="2023-04-15T00:00:00"/>
    <x v="1"/>
    <x v="6"/>
    <x v="1"/>
    <x v="23"/>
    <n v="705"/>
    <n v="100"/>
    <x v="801"/>
    <x v="1"/>
  </r>
  <r>
    <d v="2023-04-15T00:00:00"/>
    <x v="2"/>
    <x v="6"/>
    <x v="4"/>
    <x v="15"/>
    <n v="2460"/>
    <n v="60"/>
    <x v="802"/>
    <x v="1"/>
  </r>
  <r>
    <s v="15.04.2023 Итог"/>
    <x v="3"/>
    <x v="2"/>
    <x v="3"/>
    <x v="3"/>
    <m/>
    <m/>
    <x v="803"/>
    <x v="1"/>
  </r>
  <r>
    <d v="2023-04-16T00:00:00"/>
    <x v="1"/>
    <x v="3"/>
    <x v="1"/>
    <x v="19"/>
    <n v="540"/>
    <n v="99"/>
    <x v="804"/>
    <x v="1"/>
  </r>
  <r>
    <d v="2023-04-16T00:00:00"/>
    <x v="2"/>
    <x v="3"/>
    <x v="1"/>
    <x v="6"/>
    <n v="640"/>
    <n v="80"/>
    <x v="805"/>
    <x v="1"/>
  </r>
  <r>
    <d v="2023-04-16T00:00:00"/>
    <x v="1"/>
    <x v="0"/>
    <x v="4"/>
    <x v="7"/>
    <n v="1760"/>
    <n v="57"/>
    <x v="759"/>
    <x v="1"/>
  </r>
  <r>
    <d v="2023-04-16T00:00:00"/>
    <x v="0"/>
    <x v="4"/>
    <x v="4"/>
    <x v="13"/>
    <n v="1505"/>
    <n v="6"/>
    <x v="14"/>
    <x v="1"/>
  </r>
  <r>
    <d v="2023-04-16T00:00:00"/>
    <x v="0"/>
    <x v="1"/>
    <x v="1"/>
    <x v="1"/>
    <n v="1380"/>
    <n v="85"/>
    <x v="806"/>
    <x v="1"/>
  </r>
  <r>
    <d v="2023-04-16T00:00:00"/>
    <x v="0"/>
    <x v="1"/>
    <x v="2"/>
    <x v="16"/>
    <n v="890"/>
    <n v="33"/>
    <x v="633"/>
    <x v="1"/>
  </r>
  <r>
    <d v="2023-04-16T00:00:00"/>
    <x v="0"/>
    <x v="6"/>
    <x v="2"/>
    <x v="12"/>
    <n v="715"/>
    <n v="45"/>
    <x v="807"/>
    <x v="1"/>
  </r>
  <r>
    <d v="2023-04-16T00:00:00"/>
    <x v="0"/>
    <x v="6"/>
    <x v="0"/>
    <x v="10"/>
    <n v="1230"/>
    <n v="79"/>
    <x v="808"/>
    <x v="1"/>
  </r>
  <r>
    <d v="2023-04-16T00:00:00"/>
    <x v="4"/>
    <x v="6"/>
    <x v="0"/>
    <x v="5"/>
    <n v="930"/>
    <n v="67"/>
    <x v="668"/>
    <x v="1"/>
  </r>
  <r>
    <d v="2023-04-16T00:00:00"/>
    <x v="0"/>
    <x v="6"/>
    <x v="4"/>
    <x v="11"/>
    <n v="2970"/>
    <n v="62"/>
    <x v="436"/>
    <x v="1"/>
  </r>
  <r>
    <s v="16.04.2023 Итог"/>
    <x v="3"/>
    <x v="2"/>
    <x v="3"/>
    <x v="3"/>
    <m/>
    <m/>
    <x v="809"/>
    <x v="1"/>
  </r>
  <r>
    <d v="2023-04-17T00:00:00"/>
    <x v="4"/>
    <x v="4"/>
    <x v="0"/>
    <x v="5"/>
    <n v="930"/>
    <n v="53"/>
    <x v="810"/>
    <x v="1"/>
  </r>
  <r>
    <d v="2023-04-17T00:00:00"/>
    <x v="4"/>
    <x v="1"/>
    <x v="1"/>
    <x v="19"/>
    <n v="540"/>
    <n v="10"/>
    <x v="148"/>
    <x v="1"/>
  </r>
  <r>
    <d v="2023-04-17T00:00:00"/>
    <x v="2"/>
    <x v="5"/>
    <x v="1"/>
    <x v="1"/>
    <n v="1380"/>
    <n v="92"/>
    <x v="403"/>
    <x v="1"/>
  </r>
  <r>
    <d v="2023-04-17T00:00:00"/>
    <x v="2"/>
    <x v="5"/>
    <x v="4"/>
    <x v="14"/>
    <n v="1670"/>
    <n v="71"/>
    <x v="811"/>
    <x v="1"/>
  </r>
  <r>
    <d v="2023-04-17T00:00:00"/>
    <x v="2"/>
    <x v="6"/>
    <x v="2"/>
    <x v="9"/>
    <n v="690"/>
    <n v="30"/>
    <x v="812"/>
    <x v="1"/>
  </r>
  <r>
    <s v="17.04.2023 Итог"/>
    <x v="3"/>
    <x v="2"/>
    <x v="3"/>
    <x v="3"/>
    <m/>
    <m/>
    <x v="813"/>
    <x v="1"/>
  </r>
  <r>
    <d v="2023-04-18T00:00:00"/>
    <x v="4"/>
    <x v="3"/>
    <x v="1"/>
    <x v="19"/>
    <n v="540"/>
    <n v="8"/>
    <x v="814"/>
    <x v="1"/>
  </r>
  <r>
    <d v="2023-04-18T00:00:00"/>
    <x v="2"/>
    <x v="3"/>
    <x v="1"/>
    <x v="18"/>
    <n v="650"/>
    <n v="23"/>
    <x v="522"/>
    <x v="1"/>
  </r>
  <r>
    <d v="2023-04-18T00:00:00"/>
    <x v="1"/>
    <x v="3"/>
    <x v="4"/>
    <x v="14"/>
    <n v="1670"/>
    <n v="98"/>
    <x v="815"/>
    <x v="1"/>
  </r>
  <r>
    <d v="2023-04-18T00:00:00"/>
    <x v="4"/>
    <x v="0"/>
    <x v="1"/>
    <x v="23"/>
    <n v="705"/>
    <n v="46"/>
    <x v="816"/>
    <x v="1"/>
  </r>
  <r>
    <d v="2023-04-18T00:00:00"/>
    <x v="4"/>
    <x v="4"/>
    <x v="2"/>
    <x v="8"/>
    <n v="460"/>
    <n v="87"/>
    <x v="215"/>
    <x v="1"/>
  </r>
  <r>
    <d v="2023-04-18T00:00:00"/>
    <x v="4"/>
    <x v="4"/>
    <x v="0"/>
    <x v="5"/>
    <n v="930"/>
    <n v="20"/>
    <x v="817"/>
    <x v="1"/>
  </r>
  <r>
    <d v="2023-04-18T00:00:00"/>
    <x v="4"/>
    <x v="1"/>
    <x v="2"/>
    <x v="9"/>
    <n v="690"/>
    <n v="55"/>
    <x v="818"/>
    <x v="1"/>
  </r>
  <r>
    <d v="2023-04-18T00:00:00"/>
    <x v="4"/>
    <x v="1"/>
    <x v="0"/>
    <x v="0"/>
    <n v="1320"/>
    <n v="61"/>
    <x v="819"/>
    <x v="1"/>
  </r>
  <r>
    <d v="2023-04-18T00:00:00"/>
    <x v="0"/>
    <x v="1"/>
    <x v="0"/>
    <x v="5"/>
    <n v="930"/>
    <n v="45"/>
    <x v="820"/>
    <x v="1"/>
  </r>
  <r>
    <d v="2023-04-18T00:00:00"/>
    <x v="2"/>
    <x v="6"/>
    <x v="2"/>
    <x v="16"/>
    <n v="890"/>
    <n v="80"/>
    <x v="821"/>
    <x v="1"/>
  </r>
  <r>
    <s v="18.04.2023 Итог"/>
    <x v="3"/>
    <x v="2"/>
    <x v="3"/>
    <x v="3"/>
    <m/>
    <m/>
    <x v="822"/>
    <x v="1"/>
  </r>
  <r>
    <d v="2023-04-19T00:00:00"/>
    <x v="4"/>
    <x v="3"/>
    <x v="1"/>
    <x v="18"/>
    <n v="650"/>
    <n v="75"/>
    <x v="359"/>
    <x v="1"/>
  </r>
  <r>
    <d v="2023-04-19T00:00:00"/>
    <x v="0"/>
    <x v="3"/>
    <x v="0"/>
    <x v="17"/>
    <n v="2400"/>
    <n v="74"/>
    <x v="823"/>
    <x v="1"/>
  </r>
  <r>
    <d v="2023-04-19T00:00:00"/>
    <x v="0"/>
    <x v="0"/>
    <x v="0"/>
    <x v="22"/>
    <n v="1420"/>
    <n v="81"/>
    <x v="252"/>
    <x v="1"/>
  </r>
  <r>
    <d v="2023-04-19T00:00:00"/>
    <x v="0"/>
    <x v="4"/>
    <x v="1"/>
    <x v="6"/>
    <n v="640"/>
    <n v="46"/>
    <x v="582"/>
    <x v="1"/>
  </r>
  <r>
    <d v="2023-04-19T00:00:00"/>
    <x v="1"/>
    <x v="4"/>
    <x v="2"/>
    <x v="12"/>
    <n v="715"/>
    <n v="92"/>
    <x v="824"/>
    <x v="1"/>
  </r>
  <r>
    <d v="2023-04-19T00:00:00"/>
    <x v="0"/>
    <x v="4"/>
    <x v="0"/>
    <x v="0"/>
    <n v="1320"/>
    <n v="49"/>
    <x v="825"/>
    <x v="1"/>
  </r>
  <r>
    <d v="2023-04-19T00:00:00"/>
    <x v="1"/>
    <x v="4"/>
    <x v="4"/>
    <x v="15"/>
    <n v="2460"/>
    <n v="36"/>
    <x v="272"/>
    <x v="1"/>
  </r>
  <r>
    <d v="2023-04-19T00:00:00"/>
    <x v="2"/>
    <x v="1"/>
    <x v="1"/>
    <x v="18"/>
    <n v="650"/>
    <n v="96"/>
    <x v="423"/>
    <x v="1"/>
  </r>
  <r>
    <d v="2023-04-19T00:00:00"/>
    <x v="0"/>
    <x v="1"/>
    <x v="0"/>
    <x v="22"/>
    <n v="1420"/>
    <n v="80"/>
    <x v="826"/>
    <x v="1"/>
  </r>
  <r>
    <d v="2023-04-19T00:00:00"/>
    <x v="2"/>
    <x v="5"/>
    <x v="2"/>
    <x v="12"/>
    <n v="715"/>
    <n v="23"/>
    <x v="827"/>
    <x v="1"/>
  </r>
  <r>
    <s v="19.04.2023 Итог"/>
    <x v="3"/>
    <x v="2"/>
    <x v="3"/>
    <x v="3"/>
    <m/>
    <m/>
    <x v="828"/>
    <x v="1"/>
  </r>
  <r>
    <d v="2023-04-20T00:00:00"/>
    <x v="1"/>
    <x v="3"/>
    <x v="0"/>
    <x v="24"/>
    <n v="2540"/>
    <n v="24"/>
    <x v="829"/>
    <x v="1"/>
  </r>
  <r>
    <d v="2023-04-20T00:00:00"/>
    <x v="1"/>
    <x v="3"/>
    <x v="4"/>
    <x v="11"/>
    <n v="2970"/>
    <n v="37"/>
    <x v="354"/>
    <x v="1"/>
  </r>
  <r>
    <d v="2023-04-20T00:00:00"/>
    <x v="1"/>
    <x v="0"/>
    <x v="1"/>
    <x v="1"/>
    <n v="1380"/>
    <n v="5"/>
    <x v="726"/>
    <x v="1"/>
  </r>
  <r>
    <d v="2023-04-20T00:00:00"/>
    <x v="4"/>
    <x v="0"/>
    <x v="1"/>
    <x v="18"/>
    <n v="650"/>
    <n v="39"/>
    <x v="830"/>
    <x v="1"/>
  </r>
  <r>
    <d v="2023-04-20T00:00:00"/>
    <x v="4"/>
    <x v="0"/>
    <x v="0"/>
    <x v="10"/>
    <n v="1230"/>
    <n v="82"/>
    <x v="831"/>
    <x v="1"/>
  </r>
  <r>
    <d v="2023-04-20T00:00:00"/>
    <x v="4"/>
    <x v="4"/>
    <x v="0"/>
    <x v="24"/>
    <n v="2540"/>
    <n v="68"/>
    <x v="832"/>
    <x v="1"/>
  </r>
  <r>
    <d v="2023-04-20T00:00:00"/>
    <x v="0"/>
    <x v="5"/>
    <x v="1"/>
    <x v="18"/>
    <n v="650"/>
    <n v="98"/>
    <x v="833"/>
    <x v="1"/>
  </r>
  <r>
    <d v="2023-04-20T00:00:00"/>
    <x v="1"/>
    <x v="5"/>
    <x v="2"/>
    <x v="9"/>
    <n v="690"/>
    <n v="99"/>
    <x v="834"/>
    <x v="1"/>
  </r>
  <r>
    <d v="2023-04-20T00:00:00"/>
    <x v="1"/>
    <x v="5"/>
    <x v="2"/>
    <x v="9"/>
    <n v="690"/>
    <n v="68"/>
    <x v="180"/>
    <x v="1"/>
  </r>
  <r>
    <d v="2023-04-20T00:00:00"/>
    <x v="0"/>
    <x v="5"/>
    <x v="4"/>
    <x v="11"/>
    <n v="2970"/>
    <n v="78"/>
    <x v="697"/>
    <x v="1"/>
  </r>
  <r>
    <s v="20.04.2023 Итог"/>
    <x v="3"/>
    <x v="2"/>
    <x v="3"/>
    <x v="3"/>
    <m/>
    <m/>
    <x v="835"/>
    <x v="1"/>
  </r>
  <r>
    <d v="2023-04-21T00:00:00"/>
    <x v="1"/>
    <x v="3"/>
    <x v="0"/>
    <x v="0"/>
    <n v="1320"/>
    <n v="17"/>
    <x v="659"/>
    <x v="1"/>
  </r>
  <r>
    <d v="2023-04-21T00:00:00"/>
    <x v="2"/>
    <x v="3"/>
    <x v="4"/>
    <x v="14"/>
    <n v="1670"/>
    <n v="11"/>
    <x v="695"/>
    <x v="1"/>
  </r>
  <r>
    <d v="2023-04-21T00:00:00"/>
    <x v="2"/>
    <x v="3"/>
    <x v="4"/>
    <x v="21"/>
    <n v="3205"/>
    <n v="25"/>
    <x v="836"/>
    <x v="1"/>
  </r>
  <r>
    <d v="2023-04-21T00:00:00"/>
    <x v="4"/>
    <x v="0"/>
    <x v="2"/>
    <x v="4"/>
    <n v="450"/>
    <n v="96"/>
    <x v="20"/>
    <x v="1"/>
  </r>
  <r>
    <d v="2023-04-21T00:00:00"/>
    <x v="2"/>
    <x v="0"/>
    <x v="2"/>
    <x v="2"/>
    <n v="325"/>
    <n v="46"/>
    <x v="522"/>
    <x v="1"/>
  </r>
  <r>
    <d v="2023-04-21T00:00:00"/>
    <x v="1"/>
    <x v="4"/>
    <x v="1"/>
    <x v="6"/>
    <n v="640"/>
    <n v="28"/>
    <x v="837"/>
    <x v="1"/>
  </r>
  <r>
    <d v="2023-04-21T00:00:00"/>
    <x v="2"/>
    <x v="1"/>
    <x v="1"/>
    <x v="18"/>
    <n v="650"/>
    <n v="73"/>
    <x v="644"/>
    <x v="1"/>
  </r>
  <r>
    <d v="2023-04-21T00:00:00"/>
    <x v="2"/>
    <x v="1"/>
    <x v="2"/>
    <x v="8"/>
    <n v="460"/>
    <n v="91"/>
    <x v="838"/>
    <x v="1"/>
  </r>
  <r>
    <d v="2023-04-21T00:00:00"/>
    <x v="1"/>
    <x v="5"/>
    <x v="2"/>
    <x v="12"/>
    <n v="715"/>
    <n v="7"/>
    <x v="839"/>
    <x v="1"/>
  </r>
  <r>
    <d v="2023-04-21T00:00:00"/>
    <x v="2"/>
    <x v="5"/>
    <x v="2"/>
    <x v="8"/>
    <n v="460"/>
    <n v="59"/>
    <x v="840"/>
    <x v="1"/>
  </r>
  <r>
    <d v="2023-04-21T00:00:00"/>
    <x v="2"/>
    <x v="6"/>
    <x v="2"/>
    <x v="12"/>
    <n v="715"/>
    <n v="45"/>
    <x v="807"/>
    <x v="1"/>
  </r>
  <r>
    <s v="21.04.2023 Итог"/>
    <x v="3"/>
    <x v="2"/>
    <x v="3"/>
    <x v="3"/>
    <m/>
    <m/>
    <x v="841"/>
    <x v="1"/>
  </r>
  <r>
    <d v="2023-04-22T00:00:00"/>
    <x v="2"/>
    <x v="3"/>
    <x v="1"/>
    <x v="23"/>
    <n v="705"/>
    <n v="17"/>
    <x v="684"/>
    <x v="1"/>
  </r>
  <r>
    <d v="2023-04-22T00:00:00"/>
    <x v="0"/>
    <x v="0"/>
    <x v="2"/>
    <x v="12"/>
    <n v="715"/>
    <n v="82"/>
    <x v="842"/>
    <x v="1"/>
  </r>
  <r>
    <d v="2023-04-22T00:00:00"/>
    <x v="2"/>
    <x v="0"/>
    <x v="4"/>
    <x v="7"/>
    <n v="1760"/>
    <n v="37"/>
    <x v="843"/>
    <x v="1"/>
  </r>
  <r>
    <d v="2023-04-22T00:00:00"/>
    <x v="4"/>
    <x v="0"/>
    <x v="4"/>
    <x v="11"/>
    <n v="2970"/>
    <n v="19"/>
    <x v="844"/>
    <x v="1"/>
  </r>
  <r>
    <d v="2023-04-22T00:00:00"/>
    <x v="2"/>
    <x v="4"/>
    <x v="0"/>
    <x v="22"/>
    <n v="1420"/>
    <n v="64"/>
    <x v="845"/>
    <x v="1"/>
  </r>
  <r>
    <d v="2023-04-22T00:00:00"/>
    <x v="0"/>
    <x v="4"/>
    <x v="4"/>
    <x v="11"/>
    <n v="2970"/>
    <n v="51"/>
    <x v="846"/>
    <x v="1"/>
  </r>
  <r>
    <d v="2023-04-22T00:00:00"/>
    <x v="2"/>
    <x v="4"/>
    <x v="4"/>
    <x v="13"/>
    <n v="1505"/>
    <n v="17"/>
    <x v="847"/>
    <x v="1"/>
  </r>
  <r>
    <d v="2023-04-22T00:00:00"/>
    <x v="2"/>
    <x v="4"/>
    <x v="4"/>
    <x v="15"/>
    <n v="2460"/>
    <n v="77"/>
    <x v="428"/>
    <x v="1"/>
  </r>
  <r>
    <d v="2023-04-22T00:00:00"/>
    <x v="1"/>
    <x v="1"/>
    <x v="2"/>
    <x v="4"/>
    <n v="450"/>
    <n v="9"/>
    <x v="181"/>
    <x v="1"/>
  </r>
  <r>
    <d v="2023-04-22T00:00:00"/>
    <x v="0"/>
    <x v="1"/>
    <x v="0"/>
    <x v="17"/>
    <n v="2400"/>
    <n v="75"/>
    <x v="848"/>
    <x v="1"/>
  </r>
  <r>
    <d v="2023-04-22T00:00:00"/>
    <x v="2"/>
    <x v="5"/>
    <x v="2"/>
    <x v="4"/>
    <n v="450"/>
    <n v="93"/>
    <x v="820"/>
    <x v="1"/>
  </r>
  <r>
    <d v="2023-04-22T00:00:00"/>
    <x v="2"/>
    <x v="5"/>
    <x v="0"/>
    <x v="22"/>
    <n v="1420"/>
    <n v="29"/>
    <x v="849"/>
    <x v="1"/>
  </r>
  <r>
    <s v="22.04.2023 Итог"/>
    <x v="3"/>
    <x v="2"/>
    <x v="3"/>
    <x v="3"/>
    <m/>
    <m/>
    <x v="850"/>
    <x v="1"/>
  </r>
  <r>
    <d v="2023-04-23T00:00:00"/>
    <x v="4"/>
    <x v="3"/>
    <x v="2"/>
    <x v="2"/>
    <n v="325"/>
    <n v="84"/>
    <x v="189"/>
    <x v="1"/>
  </r>
  <r>
    <d v="2023-04-23T00:00:00"/>
    <x v="2"/>
    <x v="0"/>
    <x v="2"/>
    <x v="9"/>
    <n v="690"/>
    <n v="43"/>
    <x v="851"/>
    <x v="1"/>
  </r>
  <r>
    <d v="2023-04-23T00:00:00"/>
    <x v="4"/>
    <x v="0"/>
    <x v="4"/>
    <x v="7"/>
    <n v="1760"/>
    <n v="82"/>
    <x v="852"/>
    <x v="1"/>
  </r>
  <r>
    <d v="2023-04-23T00:00:00"/>
    <x v="1"/>
    <x v="4"/>
    <x v="1"/>
    <x v="20"/>
    <n v="650"/>
    <n v="44"/>
    <x v="853"/>
    <x v="1"/>
  </r>
  <r>
    <d v="2023-04-23T00:00:00"/>
    <x v="4"/>
    <x v="4"/>
    <x v="4"/>
    <x v="21"/>
    <n v="3205"/>
    <n v="32"/>
    <x v="854"/>
    <x v="1"/>
  </r>
  <r>
    <d v="2023-04-23T00:00:00"/>
    <x v="0"/>
    <x v="4"/>
    <x v="4"/>
    <x v="13"/>
    <n v="1505"/>
    <n v="63"/>
    <x v="855"/>
    <x v="1"/>
  </r>
  <r>
    <d v="2023-04-23T00:00:00"/>
    <x v="2"/>
    <x v="1"/>
    <x v="0"/>
    <x v="22"/>
    <n v="1420"/>
    <n v="98"/>
    <x v="710"/>
    <x v="1"/>
  </r>
  <r>
    <d v="2023-04-23T00:00:00"/>
    <x v="4"/>
    <x v="1"/>
    <x v="4"/>
    <x v="13"/>
    <n v="1505"/>
    <n v="9"/>
    <x v="856"/>
    <x v="1"/>
  </r>
  <r>
    <d v="2023-04-23T00:00:00"/>
    <x v="1"/>
    <x v="5"/>
    <x v="2"/>
    <x v="2"/>
    <n v="325"/>
    <n v="30"/>
    <x v="857"/>
    <x v="1"/>
  </r>
  <r>
    <d v="2023-04-23T00:00:00"/>
    <x v="2"/>
    <x v="6"/>
    <x v="4"/>
    <x v="15"/>
    <n v="2460"/>
    <n v="78"/>
    <x v="380"/>
    <x v="1"/>
  </r>
  <r>
    <s v="23.04.2023 Итог"/>
    <x v="3"/>
    <x v="2"/>
    <x v="3"/>
    <x v="3"/>
    <m/>
    <m/>
    <x v="858"/>
    <x v="1"/>
  </r>
  <r>
    <d v="2023-04-24T00:00:00"/>
    <x v="1"/>
    <x v="3"/>
    <x v="1"/>
    <x v="6"/>
    <n v="640"/>
    <n v="79"/>
    <x v="222"/>
    <x v="1"/>
  </r>
  <r>
    <d v="2023-04-24T00:00:00"/>
    <x v="1"/>
    <x v="3"/>
    <x v="2"/>
    <x v="16"/>
    <n v="890"/>
    <n v="100"/>
    <x v="604"/>
    <x v="1"/>
  </r>
  <r>
    <d v="2023-04-24T00:00:00"/>
    <x v="4"/>
    <x v="0"/>
    <x v="4"/>
    <x v="21"/>
    <n v="3205"/>
    <n v="48"/>
    <x v="859"/>
    <x v="1"/>
  </r>
  <r>
    <d v="2023-04-24T00:00:00"/>
    <x v="0"/>
    <x v="4"/>
    <x v="1"/>
    <x v="1"/>
    <n v="1380"/>
    <n v="19"/>
    <x v="217"/>
    <x v="1"/>
  </r>
  <r>
    <d v="2023-04-24T00:00:00"/>
    <x v="4"/>
    <x v="4"/>
    <x v="4"/>
    <x v="14"/>
    <n v="1670"/>
    <n v="72"/>
    <x v="195"/>
    <x v="1"/>
  </r>
  <r>
    <d v="2023-04-24T00:00:00"/>
    <x v="4"/>
    <x v="4"/>
    <x v="4"/>
    <x v="14"/>
    <n v="1670"/>
    <n v="56"/>
    <x v="860"/>
    <x v="1"/>
  </r>
  <r>
    <d v="2023-04-24T00:00:00"/>
    <x v="0"/>
    <x v="1"/>
    <x v="0"/>
    <x v="22"/>
    <n v="1420"/>
    <n v="70"/>
    <x v="861"/>
    <x v="1"/>
  </r>
  <r>
    <d v="2023-04-24T00:00:00"/>
    <x v="4"/>
    <x v="1"/>
    <x v="4"/>
    <x v="15"/>
    <n v="2460"/>
    <n v="44"/>
    <x v="456"/>
    <x v="1"/>
  </r>
  <r>
    <d v="2023-04-24T00:00:00"/>
    <x v="0"/>
    <x v="1"/>
    <x v="4"/>
    <x v="11"/>
    <n v="2970"/>
    <n v="17"/>
    <x v="249"/>
    <x v="1"/>
  </r>
  <r>
    <d v="2023-04-24T00:00:00"/>
    <x v="4"/>
    <x v="5"/>
    <x v="2"/>
    <x v="4"/>
    <n v="450"/>
    <n v="10"/>
    <x v="862"/>
    <x v="1"/>
  </r>
  <r>
    <d v="2023-04-24T00:00:00"/>
    <x v="2"/>
    <x v="6"/>
    <x v="1"/>
    <x v="19"/>
    <n v="540"/>
    <n v="76"/>
    <x v="709"/>
    <x v="1"/>
  </r>
  <r>
    <s v="24.04.2023 Итог"/>
    <x v="3"/>
    <x v="2"/>
    <x v="3"/>
    <x v="3"/>
    <m/>
    <m/>
    <x v="863"/>
    <x v="1"/>
  </r>
  <r>
    <d v="2023-04-25T00:00:00"/>
    <x v="2"/>
    <x v="3"/>
    <x v="2"/>
    <x v="16"/>
    <n v="890"/>
    <n v="73"/>
    <x v="599"/>
    <x v="1"/>
  </r>
  <r>
    <d v="2023-04-25T00:00:00"/>
    <x v="2"/>
    <x v="0"/>
    <x v="1"/>
    <x v="6"/>
    <n v="640"/>
    <n v="68"/>
    <x v="530"/>
    <x v="1"/>
  </r>
  <r>
    <d v="2023-04-25T00:00:00"/>
    <x v="1"/>
    <x v="0"/>
    <x v="0"/>
    <x v="10"/>
    <n v="1230"/>
    <n v="20"/>
    <x v="864"/>
    <x v="1"/>
  </r>
  <r>
    <d v="2023-04-25T00:00:00"/>
    <x v="1"/>
    <x v="0"/>
    <x v="4"/>
    <x v="7"/>
    <n v="1760"/>
    <n v="53"/>
    <x v="865"/>
    <x v="1"/>
  </r>
  <r>
    <d v="2023-04-25T00:00:00"/>
    <x v="0"/>
    <x v="4"/>
    <x v="2"/>
    <x v="16"/>
    <n v="890"/>
    <n v="68"/>
    <x v="866"/>
    <x v="1"/>
  </r>
  <r>
    <d v="2023-04-25T00:00:00"/>
    <x v="1"/>
    <x v="1"/>
    <x v="4"/>
    <x v="21"/>
    <n v="3205"/>
    <n v="24"/>
    <x v="867"/>
    <x v="1"/>
  </r>
  <r>
    <d v="2023-04-25T00:00:00"/>
    <x v="1"/>
    <x v="5"/>
    <x v="2"/>
    <x v="8"/>
    <n v="460"/>
    <n v="73"/>
    <x v="868"/>
    <x v="1"/>
  </r>
  <r>
    <d v="2023-04-25T00:00:00"/>
    <x v="0"/>
    <x v="5"/>
    <x v="0"/>
    <x v="22"/>
    <n v="1420"/>
    <n v="12"/>
    <x v="134"/>
    <x v="1"/>
  </r>
  <r>
    <d v="2023-04-25T00:00:00"/>
    <x v="1"/>
    <x v="5"/>
    <x v="4"/>
    <x v="15"/>
    <n v="2460"/>
    <n v="92"/>
    <x v="869"/>
    <x v="1"/>
  </r>
  <r>
    <d v="2023-04-25T00:00:00"/>
    <x v="1"/>
    <x v="6"/>
    <x v="4"/>
    <x v="15"/>
    <n v="2460"/>
    <n v="14"/>
    <x v="555"/>
    <x v="1"/>
  </r>
  <r>
    <s v="25.04.2023 Итог"/>
    <x v="3"/>
    <x v="2"/>
    <x v="3"/>
    <x v="3"/>
    <m/>
    <m/>
    <x v="870"/>
    <x v="1"/>
  </r>
  <r>
    <d v="2023-04-26T00:00:00"/>
    <x v="4"/>
    <x v="0"/>
    <x v="4"/>
    <x v="13"/>
    <n v="1505"/>
    <n v="43"/>
    <x v="261"/>
    <x v="1"/>
  </r>
  <r>
    <d v="2023-04-26T00:00:00"/>
    <x v="4"/>
    <x v="4"/>
    <x v="4"/>
    <x v="21"/>
    <n v="3205"/>
    <n v="44"/>
    <x v="871"/>
    <x v="1"/>
  </r>
  <r>
    <d v="2023-04-26T00:00:00"/>
    <x v="0"/>
    <x v="4"/>
    <x v="4"/>
    <x v="11"/>
    <n v="2970"/>
    <n v="49"/>
    <x v="685"/>
    <x v="1"/>
  </r>
  <r>
    <d v="2023-04-26T00:00:00"/>
    <x v="0"/>
    <x v="5"/>
    <x v="1"/>
    <x v="20"/>
    <n v="650"/>
    <n v="32"/>
    <x v="237"/>
    <x v="1"/>
  </r>
  <r>
    <d v="2023-04-26T00:00:00"/>
    <x v="0"/>
    <x v="6"/>
    <x v="0"/>
    <x v="24"/>
    <n v="2540"/>
    <n v="60"/>
    <x v="132"/>
    <x v="1"/>
  </r>
  <r>
    <d v="2023-04-26T00:00:00"/>
    <x v="2"/>
    <x v="6"/>
    <x v="0"/>
    <x v="17"/>
    <n v="2400"/>
    <n v="16"/>
    <x v="193"/>
    <x v="1"/>
  </r>
  <r>
    <d v="2023-04-26T00:00:00"/>
    <x v="2"/>
    <x v="6"/>
    <x v="0"/>
    <x v="5"/>
    <n v="930"/>
    <n v="95"/>
    <x v="872"/>
    <x v="1"/>
  </r>
  <r>
    <s v="26.04.2023 Итог"/>
    <x v="3"/>
    <x v="2"/>
    <x v="3"/>
    <x v="3"/>
    <m/>
    <m/>
    <x v="873"/>
    <x v="1"/>
  </r>
  <r>
    <d v="2023-04-27T00:00:00"/>
    <x v="1"/>
    <x v="4"/>
    <x v="4"/>
    <x v="14"/>
    <n v="1670"/>
    <n v="8"/>
    <x v="264"/>
    <x v="1"/>
  </r>
  <r>
    <d v="2023-04-27T00:00:00"/>
    <x v="4"/>
    <x v="4"/>
    <x v="4"/>
    <x v="13"/>
    <n v="1505"/>
    <n v="48"/>
    <x v="874"/>
    <x v="1"/>
  </r>
  <r>
    <d v="2023-04-27T00:00:00"/>
    <x v="0"/>
    <x v="1"/>
    <x v="2"/>
    <x v="2"/>
    <n v="325"/>
    <n v="59"/>
    <x v="229"/>
    <x v="1"/>
  </r>
  <r>
    <d v="2023-04-27T00:00:00"/>
    <x v="2"/>
    <x v="5"/>
    <x v="1"/>
    <x v="18"/>
    <n v="650"/>
    <n v="44"/>
    <x v="853"/>
    <x v="1"/>
  </r>
  <r>
    <d v="2023-04-27T00:00:00"/>
    <x v="1"/>
    <x v="6"/>
    <x v="1"/>
    <x v="1"/>
    <n v="1380"/>
    <n v="92"/>
    <x v="403"/>
    <x v="1"/>
  </r>
  <r>
    <d v="2023-04-27T00:00:00"/>
    <x v="1"/>
    <x v="6"/>
    <x v="0"/>
    <x v="5"/>
    <n v="930"/>
    <n v="65"/>
    <x v="875"/>
    <x v="1"/>
  </r>
  <r>
    <d v="2023-04-27T00:00:00"/>
    <x v="1"/>
    <x v="6"/>
    <x v="4"/>
    <x v="11"/>
    <n v="2970"/>
    <n v="38"/>
    <x v="440"/>
    <x v="1"/>
  </r>
  <r>
    <s v="27.04.2023 Итог"/>
    <x v="3"/>
    <x v="2"/>
    <x v="3"/>
    <x v="3"/>
    <m/>
    <m/>
    <x v="876"/>
    <x v="1"/>
  </r>
  <r>
    <d v="2023-04-28T00:00:00"/>
    <x v="2"/>
    <x v="3"/>
    <x v="2"/>
    <x v="16"/>
    <n v="890"/>
    <n v="40"/>
    <x v="877"/>
    <x v="1"/>
  </r>
  <r>
    <d v="2023-04-28T00:00:00"/>
    <x v="4"/>
    <x v="3"/>
    <x v="4"/>
    <x v="11"/>
    <n v="2970"/>
    <n v="11"/>
    <x v="878"/>
    <x v="1"/>
  </r>
  <r>
    <s v="28.04.2023 Итог"/>
    <x v="3"/>
    <x v="2"/>
    <x v="3"/>
    <x v="3"/>
    <m/>
    <m/>
    <x v="879"/>
    <x v="1"/>
  </r>
  <r>
    <d v="2023-04-29T00:00:00"/>
    <x v="4"/>
    <x v="3"/>
    <x v="1"/>
    <x v="20"/>
    <n v="650"/>
    <n v="23"/>
    <x v="522"/>
    <x v="1"/>
  </r>
  <r>
    <d v="2023-04-29T00:00:00"/>
    <x v="2"/>
    <x v="0"/>
    <x v="1"/>
    <x v="6"/>
    <n v="640"/>
    <n v="57"/>
    <x v="349"/>
    <x v="1"/>
  </r>
  <r>
    <d v="2023-04-29T00:00:00"/>
    <x v="1"/>
    <x v="0"/>
    <x v="1"/>
    <x v="6"/>
    <n v="640"/>
    <n v="89"/>
    <x v="880"/>
    <x v="1"/>
  </r>
  <r>
    <d v="2023-04-29T00:00:00"/>
    <x v="0"/>
    <x v="0"/>
    <x v="2"/>
    <x v="8"/>
    <n v="460"/>
    <n v="6"/>
    <x v="881"/>
    <x v="1"/>
  </r>
  <r>
    <d v="2023-04-29T00:00:00"/>
    <x v="4"/>
    <x v="0"/>
    <x v="0"/>
    <x v="10"/>
    <n v="1230"/>
    <n v="45"/>
    <x v="882"/>
    <x v="1"/>
  </r>
  <r>
    <d v="2023-04-29T00:00:00"/>
    <x v="0"/>
    <x v="0"/>
    <x v="4"/>
    <x v="11"/>
    <n v="2970"/>
    <n v="96"/>
    <x v="883"/>
    <x v="1"/>
  </r>
  <r>
    <d v="2023-04-29T00:00:00"/>
    <x v="0"/>
    <x v="4"/>
    <x v="0"/>
    <x v="24"/>
    <n v="2540"/>
    <n v="42"/>
    <x v="884"/>
    <x v="1"/>
  </r>
  <r>
    <d v="2023-04-29T00:00:00"/>
    <x v="0"/>
    <x v="4"/>
    <x v="4"/>
    <x v="21"/>
    <n v="3205"/>
    <n v="85"/>
    <x v="299"/>
    <x v="1"/>
  </r>
  <r>
    <d v="2023-04-29T00:00:00"/>
    <x v="0"/>
    <x v="5"/>
    <x v="1"/>
    <x v="1"/>
    <n v="1380"/>
    <n v="69"/>
    <x v="740"/>
    <x v="1"/>
  </r>
  <r>
    <d v="2023-04-29T00:00:00"/>
    <x v="2"/>
    <x v="6"/>
    <x v="1"/>
    <x v="20"/>
    <n v="650"/>
    <n v="51"/>
    <x v="516"/>
    <x v="1"/>
  </r>
  <r>
    <d v="2023-04-29T00:00:00"/>
    <x v="0"/>
    <x v="6"/>
    <x v="1"/>
    <x v="18"/>
    <n v="650"/>
    <n v="30"/>
    <x v="469"/>
    <x v="1"/>
  </r>
  <r>
    <d v="2023-04-29T00:00:00"/>
    <x v="0"/>
    <x v="6"/>
    <x v="1"/>
    <x v="19"/>
    <n v="540"/>
    <n v="49"/>
    <x v="885"/>
    <x v="1"/>
  </r>
  <r>
    <d v="2023-04-29T00:00:00"/>
    <x v="1"/>
    <x v="6"/>
    <x v="4"/>
    <x v="13"/>
    <n v="1505"/>
    <n v="49"/>
    <x v="886"/>
    <x v="1"/>
  </r>
  <r>
    <s v="29.04.2023 Итог"/>
    <x v="3"/>
    <x v="2"/>
    <x v="3"/>
    <x v="3"/>
    <m/>
    <m/>
    <x v="887"/>
    <x v="1"/>
  </r>
  <r>
    <d v="2023-04-30T00:00:00"/>
    <x v="0"/>
    <x v="3"/>
    <x v="1"/>
    <x v="19"/>
    <n v="540"/>
    <n v="15"/>
    <x v="93"/>
    <x v="1"/>
  </r>
  <r>
    <d v="2023-04-30T00:00:00"/>
    <x v="2"/>
    <x v="3"/>
    <x v="0"/>
    <x v="22"/>
    <n v="1420"/>
    <n v="58"/>
    <x v="888"/>
    <x v="1"/>
  </r>
  <r>
    <d v="2023-04-30T00:00:00"/>
    <x v="1"/>
    <x v="3"/>
    <x v="4"/>
    <x v="7"/>
    <n v="1760"/>
    <n v="61"/>
    <x v="889"/>
    <x v="1"/>
  </r>
  <r>
    <d v="2023-04-30T00:00:00"/>
    <x v="1"/>
    <x v="0"/>
    <x v="1"/>
    <x v="1"/>
    <n v="1380"/>
    <n v="57"/>
    <x v="890"/>
    <x v="1"/>
  </r>
  <r>
    <d v="2023-04-30T00:00:00"/>
    <x v="4"/>
    <x v="0"/>
    <x v="2"/>
    <x v="4"/>
    <n v="450"/>
    <n v="6"/>
    <x v="412"/>
    <x v="1"/>
  </r>
  <r>
    <d v="2023-04-30T00:00:00"/>
    <x v="4"/>
    <x v="4"/>
    <x v="1"/>
    <x v="1"/>
    <n v="1380"/>
    <n v="6"/>
    <x v="244"/>
    <x v="1"/>
  </r>
  <r>
    <d v="2023-04-30T00:00:00"/>
    <x v="1"/>
    <x v="4"/>
    <x v="1"/>
    <x v="1"/>
    <n v="1380"/>
    <n v="69"/>
    <x v="740"/>
    <x v="1"/>
  </r>
  <r>
    <d v="2023-04-30T00:00:00"/>
    <x v="0"/>
    <x v="4"/>
    <x v="0"/>
    <x v="10"/>
    <n v="1230"/>
    <n v="55"/>
    <x v="891"/>
    <x v="1"/>
  </r>
  <r>
    <d v="2023-04-30T00:00:00"/>
    <x v="2"/>
    <x v="4"/>
    <x v="0"/>
    <x v="24"/>
    <n v="2540"/>
    <n v="65"/>
    <x v="292"/>
    <x v="1"/>
  </r>
  <r>
    <d v="2023-04-30T00:00:00"/>
    <x v="1"/>
    <x v="1"/>
    <x v="1"/>
    <x v="1"/>
    <n v="1380"/>
    <n v="16"/>
    <x v="253"/>
    <x v="1"/>
  </r>
  <r>
    <d v="2023-04-30T00:00:00"/>
    <x v="0"/>
    <x v="1"/>
    <x v="4"/>
    <x v="11"/>
    <n v="2970"/>
    <n v="26"/>
    <x v="892"/>
    <x v="1"/>
  </r>
  <r>
    <d v="2023-04-30T00:00:00"/>
    <x v="0"/>
    <x v="5"/>
    <x v="1"/>
    <x v="23"/>
    <n v="705"/>
    <n v="15"/>
    <x v="893"/>
    <x v="1"/>
  </r>
  <r>
    <d v="2023-04-30T00:00:00"/>
    <x v="4"/>
    <x v="5"/>
    <x v="2"/>
    <x v="9"/>
    <n v="690"/>
    <n v="32"/>
    <x v="253"/>
    <x v="1"/>
  </r>
  <r>
    <d v="2023-04-30T00:00:00"/>
    <x v="2"/>
    <x v="5"/>
    <x v="0"/>
    <x v="24"/>
    <n v="2540"/>
    <n v="52"/>
    <x v="894"/>
    <x v="1"/>
  </r>
  <r>
    <s v="30.04.2023 Итог"/>
    <x v="3"/>
    <x v="2"/>
    <x v="3"/>
    <x v="3"/>
    <m/>
    <m/>
    <x v="895"/>
    <x v="1"/>
  </r>
  <r>
    <d v="2023-05-01T00:00:00"/>
    <x v="2"/>
    <x v="3"/>
    <x v="1"/>
    <x v="23"/>
    <n v="705"/>
    <n v="23"/>
    <x v="370"/>
    <x v="1"/>
  </r>
  <r>
    <d v="2023-05-01T00:00:00"/>
    <x v="4"/>
    <x v="3"/>
    <x v="0"/>
    <x v="22"/>
    <n v="1420"/>
    <n v="63"/>
    <x v="347"/>
    <x v="1"/>
  </r>
  <r>
    <d v="2023-05-01T00:00:00"/>
    <x v="0"/>
    <x v="3"/>
    <x v="4"/>
    <x v="13"/>
    <n v="1505"/>
    <n v="97"/>
    <x v="896"/>
    <x v="1"/>
  </r>
  <r>
    <d v="2023-05-01T00:00:00"/>
    <x v="4"/>
    <x v="0"/>
    <x v="1"/>
    <x v="18"/>
    <n v="650"/>
    <n v="12"/>
    <x v="625"/>
    <x v="1"/>
  </r>
  <r>
    <d v="2023-05-01T00:00:00"/>
    <x v="0"/>
    <x v="4"/>
    <x v="1"/>
    <x v="19"/>
    <n v="540"/>
    <n v="98"/>
    <x v="136"/>
    <x v="1"/>
  </r>
  <r>
    <d v="2023-05-01T00:00:00"/>
    <x v="1"/>
    <x v="4"/>
    <x v="4"/>
    <x v="15"/>
    <n v="2460"/>
    <n v="73"/>
    <x v="897"/>
    <x v="1"/>
  </r>
  <r>
    <d v="2023-05-01T00:00:00"/>
    <x v="1"/>
    <x v="1"/>
    <x v="1"/>
    <x v="6"/>
    <n v="640"/>
    <n v="25"/>
    <x v="401"/>
    <x v="1"/>
  </r>
  <r>
    <d v="2023-05-01T00:00:00"/>
    <x v="4"/>
    <x v="5"/>
    <x v="1"/>
    <x v="18"/>
    <n v="650"/>
    <n v="61"/>
    <x v="795"/>
    <x v="1"/>
  </r>
  <r>
    <d v="2023-05-01T00:00:00"/>
    <x v="4"/>
    <x v="5"/>
    <x v="0"/>
    <x v="22"/>
    <n v="1420"/>
    <n v="78"/>
    <x v="898"/>
    <x v="1"/>
  </r>
  <r>
    <d v="2023-05-01T00:00:00"/>
    <x v="1"/>
    <x v="6"/>
    <x v="0"/>
    <x v="5"/>
    <n v="930"/>
    <n v="49"/>
    <x v="899"/>
    <x v="1"/>
  </r>
  <r>
    <d v="2023-05-01T00:00:00"/>
    <x v="0"/>
    <x v="6"/>
    <x v="0"/>
    <x v="22"/>
    <n v="1420"/>
    <n v="86"/>
    <x v="900"/>
    <x v="1"/>
  </r>
  <r>
    <s v="01.05.2023 Итог"/>
    <x v="3"/>
    <x v="2"/>
    <x v="3"/>
    <x v="3"/>
    <m/>
    <m/>
    <x v="901"/>
    <x v="1"/>
  </r>
  <r>
    <d v="2023-05-02T00:00:00"/>
    <x v="0"/>
    <x v="3"/>
    <x v="1"/>
    <x v="1"/>
    <n v="1380"/>
    <n v="93"/>
    <x v="902"/>
    <x v="1"/>
  </r>
  <r>
    <d v="2023-05-02T00:00:00"/>
    <x v="0"/>
    <x v="4"/>
    <x v="2"/>
    <x v="8"/>
    <n v="460"/>
    <n v="55"/>
    <x v="750"/>
    <x v="1"/>
  </r>
  <r>
    <d v="2023-05-02T00:00:00"/>
    <x v="1"/>
    <x v="4"/>
    <x v="2"/>
    <x v="4"/>
    <n v="450"/>
    <n v="87"/>
    <x v="903"/>
    <x v="1"/>
  </r>
  <r>
    <d v="2023-05-02T00:00:00"/>
    <x v="1"/>
    <x v="4"/>
    <x v="4"/>
    <x v="7"/>
    <n v="1760"/>
    <n v="8"/>
    <x v="904"/>
    <x v="1"/>
  </r>
  <r>
    <d v="2023-05-02T00:00:00"/>
    <x v="4"/>
    <x v="4"/>
    <x v="4"/>
    <x v="13"/>
    <n v="1505"/>
    <n v="61"/>
    <x v="905"/>
    <x v="1"/>
  </r>
  <r>
    <d v="2023-05-02T00:00:00"/>
    <x v="0"/>
    <x v="1"/>
    <x v="4"/>
    <x v="15"/>
    <n v="2460"/>
    <n v="39"/>
    <x v="906"/>
    <x v="1"/>
  </r>
  <r>
    <d v="2023-05-02T00:00:00"/>
    <x v="1"/>
    <x v="5"/>
    <x v="4"/>
    <x v="11"/>
    <n v="2970"/>
    <n v="56"/>
    <x v="243"/>
    <x v="1"/>
  </r>
  <r>
    <d v="2023-05-02T00:00:00"/>
    <x v="0"/>
    <x v="6"/>
    <x v="0"/>
    <x v="0"/>
    <n v="1320"/>
    <n v="29"/>
    <x v="907"/>
    <x v="1"/>
  </r>
  <r>
    <s v="02.05.2023 Итог"/>
    <x v="3"/>
    <x v="2"/>
    <x v="3"/>
    <x v="3"/>
    <m/>
    <m/>
    <x v="908"/>
    <x v="1"/>
  </r>
  <r>
    <d v="2023-05-03T00:00:00"/>
    <x v="1"/>
    <x v="3"/>
    <x v="0"/>
    <x v="5"/>
    <n v="930"/>
    <n v="84"/>
    <x v="909"/>
    <x v="1"/>
  </r>
  <r>
    <d v="2023-05-03T00:00:00"/>
    <x v="1"/>
    <x v="3"/>
    <x v="0"/>
    <x v="10"/>
    <n v="1230"/>
    <n v="96"/>
    <x v="491"/>
    <x v="1"/>
  </r>
  <r>
    <d v="2023-05-03T00:00:00"/>
    <x v="2"/>
    <x v="3"/>
    <x v="4"/>
    <x v="13"/>
    <n v="1505"/>
    <n v="80"/>
    <x v="910"/>
    <x v="1"/>
  </r>
  <r>
    <d v="2023-05-03T00:00:00"/>
    <x v="0"/>
    <x v="0"/>
    <x v="1"/>
    <x v="20"/>
    <n v="650"/>
    <n v="34"/>
    <x v="199"/>
    <x v="1"/>
  </r>
  <r>
    <d v="2023-05-03T00:00:00"/>
    <x v="4"/>
    <x v="0"/>
    <x v="4"/>
    <x v="14"/>
    <n v="1670"/>
    <n v="49"/>
    <x v="16"/>
    <x v="1"/>
  </r>
  <r>
    <d v="2023-05-03T00:00:00"/>
    <x v="0"/>
    <x v="5"/>
    <x v="0"/>
    <x v="0"/>
    <n v="1320"/>
    <n v="32"/>
    <x v="11"/>
    <x v="1"/>
  </r>
  <r>
    <d v="2023-05-03T00:00:00"/>
    <x v="4"/>
    <x v="5"/>
    <x v="4"/>
    <x v="13"/>
    <n v="1505"/>
    <n v="65"/>
    <x v="911"/>
    <x v="1"/>
  </r>
  <r>
    <d v="2023-05-03T00:00:00"/>
    <x v="2"/>
    <x v="6"/>
    <x v="0"/>
    <x v="5"/>
    <n v="930"/>
    <n v="71"/>
    <x v="912"/>
    <x v="1"/>
  </r>
  <r>
    <s v="03.05.2023 Итог"/>
    <x v="3"/>
    <x v="2"/>
    <x v="3"/>
    <x v="3"/>
    <m/>
    <m/>
    <x v="913"/>
    <x v="1"/>
  </r>
  <r>
    <d v="2023-05-04T00:00:00"/>
    <x v="4"/>
    <x v="3"/>
    <x v="4"/>
    <x v="15"/>
    <n v="2460"/>
    <n v="83"/>
    <x v="914"/>
    <x v="1"/>
  </r>
  <r>
    <d v="2023-05-04T00:00:00"/>
    <x v="1"/>
    <x v="4"/>
    <x v="1"/>
    <x v="19"/>
    <n v="540"/>
    <n v="81"/>
    <x v="915"/>
    <x v="1"/>
  </r>
  <r>
    <d v="2023-05-04T00:00:00"/>
    <x v="1"/>
    <x v="5"/>
    <x v="2"/>
    <x v="16"/>
    <n v="890"/>
    <n v="50"/>
    <x v="916"/>
    <x v="1"/>
  </r>
  <r>
    <d v="2023-05-04T00:00:00"/>
    <x v="2"/>
    <x v="5"/>
    <x v="2"/>
    <x v="12"/>
    <n v="715"/>
    <n v="49"/>
    <x v="917"/>
    <x v="1"/>
  </r>
  <r>
    <d v="2023-05-04T00:00:00"/>
    <x v="1"/>
    <x v="5"/>
    <x v="0"/>
    <x v="0"/>
    <n v="1320"/>
    <n v="70"/>
    <x v="918"/>
    <x v="1"/>
  </r>
  <r>
    <d v="2023-05-04T00:00:00"/>
    <x v="0"/>
    <x v="5"/>
    <x v="4"/>
    <x v="13"/>
    <n v="1505"/>
    <n v="27"/>
    <x v="919"/>
    <x v="1"/>
  </r>
  <r>
    <d v="2023-05-04T00:00:00"/>
    <x v="1"/>
    <x v="5"/>
    <x v="4"/>
    <x v="13"/>
    <n v="1505"/>
    <n v="100"/>
    <x v="920"/>
    <x v="1"/>
  </r>
  <r>
    <d v="2023-05-04T00:00:00"/>
    <x v="0"/>
    <x v="6"/>
    <x v="0"/>
    <x v="0"/>
    <n v="1320"/>
    <n v="86"/>
    <x v="921"/>
    <x v="1"/>
  </r>
  <r>
    <d v="2023-05-04T00:00:00"/>
    <x v="4"/>
    <x v="6"/>
    <x v="0"/>
    <x v="24"/>
    <n v="2540"/>
    <n v="19"/>
    <x v="922"/>
    <x v="1"/>
  </r>
  <r>
    <s v="04.05.2023 Итог"/>
    <x v="3"/>
    <x v="2"/>
    <x v="3"/>
    <x v="3"/>
    <m/>
    <m/>
    <x v="923"/>
    <x v="1"/>
  </r>
  <r>
    <d v="2023-05-05T00:00:00"/>
    <x v="0"/>
    <x v="0"/>
    <x v="2"/>
    <x v="9"/>
    <n v="690"/>
    <n v="34"/>
    <x v="450"/>
    <x v="1"/>
  </r>
  <r>
    <d v="2023-05-05T00:00:00"/>
    <x v="2"/>
    <x v="0"/>
    <x v="4"/>
    <x v="11"/>
    <n v="2970"/>
    <n v="6"/>
    <x v="924"/>
    <x v="1"/>
  </r>
  <r>
    <d v="2023-05-05T00:00:00"/>
    <x v="2"/>
    <x v="4"/>
    <x v="1"/>
    <x v="20"/>
    <n v="650"/>
    <n v="72"/>
    <x v="925"/>
    <x v="1"/>
  </r>
  <r>
    <d v="2023-05-05T00:00:00"/>
    <x v="2"/>
    <x v="4"/>
    <x v="0"/>
    <x v="10"/>
    <n v="1230"/>
    <n v="84"/>
    <x v="926"/>
    <x v="1"/>
  </r>
  <r>
    <d v="2023-05-05T00:00:00"/>
    <x v="4"/>
    <x v="1"/>
    <x v="2"/>
    <x v="9"/>
    <n v="690"/>
    <n v="60"/>
    <x v="356"/>
    <x v="1"/>
  </r>
  <r>
    <d v="2023-05-05T00:00:00"/>
    <x v="0"/>
    <x v="6"/>
    <x v="1"/>
    <x v="18"/>
    <n v="650"/>
    <n v="42"/>
    <x v="189"/>
    <x v="1"/>
  </r>
  <r>
    <d v="2023-05-05T00:00:00"/>
    <x v="2"/>
    <x v="6"/>
    <x v="0"/>
    <x v="5"/>
    <n v="930"/>
    <n v="39"/>
    <x v="302"/>
    <x v="1"/>
  </r>
  <r>
    <d v="2023-05-05T00:00:00"/>
    <x v="0"/>
    <x v="6"/>
    <x v="4"/>
    <x v="13"/>
    <n v="1505"/>
    <n v="9"/>
    <x v="856"/>
    <x v="1"/>
  </r>
  <r>
    <s v="05.05.2023 Итог"/>
    <x v="3"/>
    <x v="2"/>
    <x v="3"/>
    <x v="3"/>
    <m/>
    <m/>
    <x v="927"/>
    <x v="1"/>
  </r>
  <r>
    <d v="2023-05-06T00:00:00"/>
    <x v="0"/>
    <x v="3"/>
    <x v="2"/>
    <x v="2"/>
    <n v="325"/>
    <n v="14"/>
    <x v="928"/>
    <x v="1"/>
  </r>
  <r>
    <d v="2023-05-06T00:00:00"/>
    <x v="0"/>
    <x v="0"/>
    <x v="1"/>
    <x v="20"/>
    <n v="650"/>
    <n v="73"/>
    <x v="644"/>
    <x v="1"/>
  </r>
  <r>
    <d v="2023-05-06T00:00:00"/>
    <x v="1"/>
    <x v="0"/>
    <x v="2"/>
    <x v="4"/>
    <n v="450"/>
    <n v="98"/>
    <x v="929"/>
    <x v="1"/>
  </r>
  <r>
    <d v="2023-05-06T00:00:00"/>
    <x v="0"/>
    <x v="0"/>
    <x v="4"/>
    <x v="15"/>
    <n v="2460"/>
    <n v="21"/>
    <x v="930"/>
    <x v="1"/>
  </r>
  <r>
    <d v="2023-05-06T00:00:00"/>
    <x v="0"/>
    <x v="4"/>
    <x v="1"/>
    <x v="20"/>
    <n v="650"/>
    <n v="88"/>
    <x v="83"/>
    <x v="1"/>
  </r>
  <r>
    <d v="2023-05-06T00:00:00"/>
    <x v="4"/>
    <x v="4"/>
    <x v="0"/>
    <x v="22"/>
    <n v="1420"/>
    <n v="89"/>
    <x v="655"/>
    <x v="1"/>
  </r>
  <r>
    <d v="2023-05-06T00:00:00"/>
    <x v="1"/>
    <x v="4"/>
    <x v="4"/>
    <x v="14"/>
    <n v="1670"/>
    <n v="64"/>
    <x v="931"/>
    <x v="1"/>
  </r>
  <r>
    <d v="2023-05-06T00:00:00"/>
    <x v="2"/>
    <x v="1"/>
    <x v="1"/>
    <x v="18"/>
    <n v="650"/>
    <n v="100"/>
    <x v="2"/>
    <x v="1"/>
  </r>
  <r>
    <d v="2023-05-06T00:00:00"/>
    <x v="1"/>
    <x v="5"/>
    <x v="1"/>
    <x v="1"/>
    <n v="1380"/>
    <n v="86"/>
    <x v="932"/>
    <x v="1"/>
  </r>
  <r>
    <d v="2023-05-06T00:00:00"/>
    <x v="1"/>
    <x v="5"/>
    <x v="2"/>
    <x v="8"/>
    <n v="460"/>
    <n v="51"/>
    <x v="450"/>
    <x v="1"/>
  </r>
  <r>
    <d v="2023-05-06T00:00:00"/>
    <x v="4"/>
    <x v="5"/>
    <x v="4"/>
    <x v="7"/>
    <n v="1760"/>
    <n v="82"/>
    <x v="852"/>
    <x v="1"/>
  </r>
  <r>
    <d v="2023-05-06T00:00:00"/>
    <x v="1"/>
    <x v="5"/>
    <x v="4"/>
    <x v="14"/>
    <n v="1670"/>
    <n v="76"/>
    <x v="933"/>
    <x v="1"/>
  </r>
  <r>
    <s v="06.05.2023 Итог"/>
    <x v="3"/>
    <x v="2"/>
    <x v="3"/>
    <x v="3"/>
    <m/>
    <m/>
    <x v="934"/>
    <x v="1"/>
  </r>
  <r>
    <d v="2023-05-07T00:00:00"/>
    <x v="4"/>
    <x v="0"/>
    <x v="0"/>
    <x v="5"/>
    <n v="930"/>
    <n v="38"/>
    <x v="280"/>
    <x v="1"/>
  </r>
  <r>
    <d v="2023-05-07T00:00:00"/>
    <x v="1"/>
    <x v="0"/>
    <x v="4"/>
    <x v="15"/>
    <n v="2460"/>
    <n v="50"/>
    <x v="284"/>
    <x v="1"/>
  </r>
  <r>
    <d v="2023-05-07T00:00:00"/>
    <x v="1"/>
    <x v="5"/>
    <x v="4"/>
    <x v="7"/>
    <n v="1760"/>
    <n v="69"/>
    <x v="935"/>
    <x v="1"/>
  </r>
  <r>
    <d v="2023-05-07T00:00:00"/>
    <x v="4"/>
    <x v="6"/>
    <x v="1"/>
    <x v="20"/>
    <n v="650"/>
    <n v="12"/>
    <x v="625"/>
    <x v="1"/>
  </r>
  <r>
    <d v="2023-05-07T00:00:00"/>
    <x v="4"/>
    <x v="6"/>
    <x v="4"/>
    <x v="13"/>
    <n v="1505"/>
    <n v="42"/>
    <x v="936"/>
    <x v="1"/>
  </r>
  <r>
    <s v="07.05.2023 Итог"/>
    <x v="3"/>
    <x v="2"/>
    <x v="3"/>
    <x v="3"/>
    <m/>
    <m/>
    <x v="937"/>
    <x v="1"/>
  </r>
  <r>
    <d v="2023-05-08T00:00:00"/>
    <x v="1"/>
    <x v="3"/>
    <x v="1"/>
    <x v="23"/>
    <n v="705"/>
    <n v="43"/>
    <x v="938"/>
    <x v="1"/>
  </r>
  <r>
    <d v="2023-05-08T00:00:00"/>
    <x v="4"/>
    <x v="1"/>
    <x v="1"/>
    <x v="1"/>
    <n v="1380"/>
    <n v="83"/>
    <x v="939"/>
    <x v="1"/>
  </r>
  <r>
    <d v="2023-05-08T00:00:00"/>
    <x v="0"/>
    <x v="1"/>
    <x v="2"/>
    <x v="8"/>
    <n v="460"/>
    <n v="49"/>
    <x v="940"/>
    <x v="1"/>
  </r>
  <r>
    <d v="2023-05-08T00:00:00"/>
    <x v="1"/>
    <x v="5"/>
    <x v="0"/>
    <x v="5"/>
    <n v="930"/>
    <n v="49"/>
    <x v="899"/>
    <x v="1"/>
  </r>
  <r>
    <d v="2023-05-08T00:00:00"/>
    <x v="4"/>
    <x v="6"/>
    <x v="1"/>
    <x v="18"/>
    <n v="650"/>
    <n v="12"/>
    <x v="625"/>
    <x v="1"/>
  </r>
  <r>
    <d v="2023-05-08T00:00:00"/>
    <x v="2"/>
    <x v="6"/>
    <x v="2"/>
    <x v="9"/>
    <n v="690"/>
    <n v="61"/>
    <x v="941"/>
    <x v="1"/>
  </r>
  <r>
    <d v="2023-05-08T00:00:00"/>
    <x v="4"/>
    <x v="6"/>
    <x v="0"/>
    <x v="22"/>
    <n v="1420"/>
    <n v="57"/>
    <x v="942"/>
    <x v="1"/>
  </r>
  <r>
    <s v="08.05.2023 Итог"/>
    <x v="3"/>
    <x v="2"/>
    <x v="3"/>
    <x v="3"/>
    <m/>
    <m/>
    <x v="943"/>
    <x v="1"/>
  </r>
  <r>
    <d v="2023-05-09T00:00:00"/>
    <x v="0"/>
    <x v="3"/>
    <x v="4"/>
    <x v="21"/>
    <n v="3205"/>
    <n v="63"/>
    <x v="793"/>
    <x v="1"/>
  </r>
  <r>
    <d v="2023-05-09T00:00:00"/>
    <x v="1"/>
    <x v="0"/>
    <x v="0"/>
    <x v="24"/>
    <n v="2540"/>
    <n v="78"/>
    <x v="944"/>
    <x v="1"/>
  </r>
  <r>
    <d v="2023-05-09T00:00:00"/>
    <x v="2"/>
    <x v="1"/>
    <x v="1"/>
    <x v="6"/>
    <n v="640"/>
    <n v="93"/>
    <x v="457"/>
    <x v="1"/>
  </r>
  <r>
    <d v="2023-05-09T00:00:00"/>
    <x v="0"/>
    <x v="1"/>
    <x v="1"/>
    <x v="20"/>
    <n v="650"/>
    <n v="84"/>
    <x v="747"/>
    <x v="1"/>
  </r>
  <r>
    <d v="2023-05-09T00:00:00"/>
    <x v="4"/>
    <x v="1"/>
    <x v="4"/>
    <x v="13"/>
    <n v="1505"/>
    <n v="19"/>
    <x v="945"/>
    <x v="1"/>
  </r>
  <r>
    <d v="2023-05-09T00:00:00"/>
    <x v="2"/>
    <x v="1"/>
    <x v="4"/>
    <x v="21"/>
    <n v="3205"/>
    <n v="27"/>
    <x v="340"/>
    <x v="1"/>
  </r>
  <r>
    <d v="2023-05-09T00:00:00"/>
    <x v="0"/>
    <x v="5"/>
    <x v="4"/>
    <x v="21"/>
    <n v="3205"/>
    <n v="81"/>
    <x v="540"/>
    <x v="1"/>
  </r>
  <r>
    <d v="2023-05-09T00:00:00"/>
    <x v="1"/>
    <x v="6"/>
    <x v="1"/>
    <x v="6"/>
    <n v="640"/>
    <n v="85"/>
    <x v="946"/>
    <x v="1"/>
  </r>
  <r>
    <d v="2023-05-09T00:00:00"/>
    <x v="2"/>
    <x v="6"/>
    <x v="0"/>
    <x v="22"/>
    <n v="1420"/>
    <n v="14"/>
    <x v="947"/>
    <x v="1"/>
  </r>
  <r>
    <s v="09.05.2023 Итог"/>
    <x v="3"/>
    <x v="2"/>
    <x v="3"/>
    <x v="3"/>
    <m/>
    <m/>
    <x v="948"/>
    <x v="1"/>
  </r>
  <r>
    <d v="2023-05-10T00:00:00"/>
    <x v="1"/>
    <x v="3"/>
    <x v="4"/>
    <x v="21"/>
    <n v="3205"/>
    <n v="43"/>
    <x v="949"/>
    <x v="1"/>
  </r>
  <r>
    <d v="2023-05-10T00:00:00"/>
    <x v="0"/>
    <x v="5"/>
    <x v="1"/>
    <x v="18"/>
    <n v="650"/>
    <n v="31"/>
    <x v="306"/>
    <x v="1"/>
  </r>
  <r>
    <d v="2023-05-10T00:00:00"/>
    <x v="0"/>
    <x v="5"/>
    <x v="2"/>
    <x v="9"/>
    <n v="690"/>
    <n v="82"/>
    <x v="556"/>
    <x v="1"/>
  </r>
  <r>
    <d v="2023-05-10T00:00:00"/>
    <x v="4"/>
    <x v="5"/>
    <x v="0"/>
    <x v="10"/>
    <n v="1230"/>
    <n v="84"/>
    <x v="926"/>
    <x v="1"/>
  </r>
  <r>
    <d v="2023-05-10T00:00:00"/>
    <x v="0"/>
    <x v="6"/>
    <x v="1"/>
    <x v="20"/>
    <n v="650"/>
    <n v="89"/>
    <x v="218"/>
    <x v="1"/>
  </r>
  <r>
    <s v="10.05.2023 Итог"/>
    <x v="3"/>
    <x v="2"/>
    <x v="3"/>
    <x v="3"/>
    <m/>
    <m/>
    <x v="950"/>
    <x v="1"/>
  </r>
  <r>
    <d v="2023-05-11T00:00:00"/>
    <x v="0"/>
    <x v="3"/>
    <x v="2"/>
    <x v="9"/>
    <n v="690"/>
    <n v="15"/>
    <x v="9"/>
    <x v="1"/>
  </r>
  <r>
    <d v="2023-05-11T00:00:00"/>
    <x v="0"/>
    <x v="3"/>
    <x v="0"/>
    <x v="0"/>
    <n v="1320"/>
    <n v="17"/>
    <x v="659"/>
    <x v="1"/>
  </r>
  <r>
    <d v="2023-05-11T00:00:00"/>
    <x v="0"/>
    <x v="0"/>
    <x v="0"/>
    <x v="22"/>
    <n v="1420"/>
    <n v="19"/>
    <x v="951"/>
    <x v="1"/>
  </r>
  <r>
    <d v="2023-05-11T00:00:00"/>
    <x v="4"/>
    <x v="6"/>
    <x v="2"/>
    <x v="4"/>
    <n v="450"/>
    <n v="56"/>
    <x v="715"/>
    <x v="1"/>
  </r>
  <r>
    <d v="2023-05-11T00:00:00"/>
    <x v="1"/>
    <x v="6"/>
    <x v="0"/>
    <x v="17"/>
    <n v="2400"/>
    <n v="95"/>
    <x v="952"/>
    <x v="1"/>
  </r>
  <r>
    <d v="2023-05-11T00:00:00"/>
    <x v="2"/>
    <x v="6"/>
    <x v="4"/>
    <x v="21"/>
    <n v="3205"/>
    <n v="45"/>
    <x v="953"/>
    <x v="1"/>
  </r>
  <r>
    <s v="11.05.2023 Итог"/>
    <x v="3"/>
    <x v="2"/>
    <x v="3"/>
    <x v="3"/>
    <m/>
    <m/>
    <x v="954"/>
    <x v="1"/>
  </r>
  <r>
    <d v="2023-05-12T00:00:00"/>
    <x v="0"/>
    <x v="3"/>
    <x v="4"/>
    <x v="21"/>
    <n v="3205"/>
    <n v="43"/>
    <x v="949"/>
    <x v="1"/>
  </r>
  <r>
    <d v="2023-05-12T00:00:00"/>
    <x v="1"/>
    <x v="0"/>
    <x v="1"/>
    <x v="19"/>
    <n v="540"/>
    <n v="93"/>
    <x v="955"/>
    <x v="1"/>
  </r>
  <r>
    <d v="2023-05-12T00:00:00"/>
    <x v="4"/>
    <x v="4"/>
    <x v="2"/>
    <x v="8"/>
    <n v="460"/>
    <n v="20"/>
    <x v="956"/>
    <x v="1"/>
  </r>
  <r>
    <d v="2023-05-12T00:00:00"/>
    <x v="0"/>
    <x v="1"/>
    <x v="2"/>
    <x v="4"/>
    <n v="450"/>
    <n v="29"/>
    <x v="957"/>
    <x v="1"/>
  </r>
  <r>
    <d v="2023-05-12T00:00:00"/>
    <x v="0"/>
    <x v="5"/>
    <x v="1"/>
    <x v="1"/>
    <n v="1380"/>
    <n v="32"/>
    <x v="797"/>
    <x v="1"/>
  </r>
  <r>
    <d v="2023-05-12T00:00:00"/>
    <x v="1"/>
    <x v="6"/>
    <x v="4"/>
    <x v="7"/>
    <n v="1760"/>
    <n v="52"/>
    <x v="958"/>
    <x v="1"/>
  </r>
  <r>
    <s v="12.05.2023 Итог"/>
    <x v="3"/>
    <x v="2"/>
    <x v="3"/>
    <x v="3"/>
    <m/>
    <m/>
    <x v="959"/>
    <x v="1"/>
  </r>
  <r>
    <d v="2023-05-13T00:00:00"/>
    <x v="1"/>
    <x v="3"/>
    <x v="0"/>
    <x v="17"/>
    <n v="2400"/>
    <n v="90"/>
    <x v="435"/>
    <x v="1"/>
  </r>
  <r>
    <d v="2023-05-13T00:00:00"/>
    <x v="0"/>
    <x v="0"/>
    <x v="1"/>
    <x v="23"/>
    <n v="705"/>
    <n v="54"/>
    <x v="248"/>
    <x v="1"/>
  </r>
  <r>
    <d v="2023-05-13T00:00:00"/>
    <x v="1"/>
    <x v="0"/>
    <x v="2"/>
    <x v="16"/>
    <n v="890"/>
    <n v="51"/>
    <x v="773"/>
    <x v="1"/>
  </r>
  <r>
    <d v="2023-05-13T00:00:00"/>
    <x v="4"/>
    <x v="4"/>
    <x v="2"/>
    <x v="12"/>
    <n v="715"/>
    <n v="39"/>
    <x v="33"/>
    <x v="1"/>
  </r>
  <r>
    <d v="2023-05-13T00:00:00"/>
    <x v="4"/>
    <x v="1"/>
    <x v="1"/>
    <x v="6"/>
    <n v="640"/>
    <n v="82"/>
    <x v="960"/>
    <x v="1"/>
  </r>
  <r>
    <d v="2023-05-13T00:00:00"/>
    <x v="2"/>
    <x v="1"/>
    <x v="1"/>
    <x v="1"/>
    <n v="1380"/>
    <n v="41"/>
    <x v="556"/>
    <x v="1"/>
  </r>
  <r>
    <d v="2023-05-13T00:00:00"/>
    <x v="2"/>
    <x v="1"/>
    <x v="1"/>
    <x v="6"/>
    <n v="640"/>
    <n v="42"/>
    <x v="961"/>
    <x v="1"/>
  </r>
  <r>
    <d v="2023-05-13T00:00:00"/>
    <x v="2"/>
    <x v="1"/>
    <x v="0"/>
    <x v="24"/>
    <n v="2540"/>
    <n v="87"/>
    <x v="962"/>
    <x v="1"/>
  </r>
  <r>
    <d v="2023-05-13T00:00:00"/>
    <x v="1"/>
    <x v="1"/>
    <x v="4"/>
    <x v="13"/>
    <n v="1505"/>
    <n v="46"/>
    <x v="707"/>
    <x v="1"/>
  </r>
  <r>
    <d v="2023-05-13T00:00:00"/>
    <x v="1"/>
    <x v="5"/>
    <x v="0"/>
    <x v="22"/>
    <n v="1420"/>
    <n v="40"/>
    <x v="963"/>
    <x v="1"/>
  </r>
  <r>
    <d v="2023-05-13T00:00:00"/>
    <x v="2"/>
    <x v="6"/>
    <x v="1"/>
    <x v="20"/>
    <n v="650"/>
    <n v="23"/>
    <x v="522"/>
    <x v="1"/>
  </r>
  <r>
    <d v="2023-05-13T00:00:00"/>
    <x v="4"/>
    <x v="6"/>
    <x v="2"/>
    <x v="9"/>
    <n v="690"/>
    <n v="66"/>
    <x v="744"/>
    <x v="1"/>
  </r>
  <r>
    <s v="13.05.2023 Итог"/>
    <x v="3"/>
    <x v="2"/>
    <x v="3"/>
    <x v="3"/>
    <m/>
    <m/>
    <x v="964"/>
    <x v="1"/>
  </r>
  <r>
    <d v="2023-05-14T00:00:00"/>
    <x v="1"/>
    <x v="3"/>
    <x v="1"/>
    <x v="20"/>
    <n v="650"/>
    <n v="96"/>
    <x v="423"/>
    <x v="1"/>
  </r>
  <r>
    <d v="2023-05-14T00:00:00"/>
    <x v="4"/>
    <x v="0"/>
    <x v="1"/>
    <x v="20"/>
    <n v="650"/>
    <n v="32"/>
    <x v="237"/>
    <x v="1"/>
  </r>
  <r>
    <d v="2023-05-14T00:00:00"/>
    <x v="4"/>
    <x v="4"/>
    <x v="2"/>
    <x v="16"/>
    <n v="890"/>
    <n v="38"/>
    <x v="636"/>
    <x v="1"/>
  </r>
  <r>
    <d v="2023-05-14T00:00:00"/>
    <x v="1"/>
    <x v="1"/>
    <x v="1"/>
    <x v="19"/>
    <n v="540"/>
    <n v="73"/>
    <x v="44"/>
    <x v="1"/>
  </r>
  <r>
    <d v="2023-05-14T00:00:00"/>
    <x v="4"/>
    <x v="5"/>
    <x v="1"/>
    <x v="19"/>
    <n v="540"/>
    <n v="81"/>
    <x v="915"/>
    <x v="1"/>
  </r>
  <r>
    <d v="2023-05-14T00:00:00"/>
    <x v="0"/>
    <x v="5"/>
    <x v="1"/>
    <x v="19"/>
    <n v="540"/>
    <n v="36"/>
    <x v="965"/>
    <x v="1"/>
  </r>
  <r>
    <d v="2023-05-14T00:00:00"/>
    <x v="0"/>
    <x v="5"/>
    <x v="0"/>
    <x v="17"/>
    <n v="2400"/>
    <n v="22"/>
    <x v="94"/>
    <x v="1"/>
  </r>
  <r>
    <s v="14.05.2023 Итог"/>
    <x v="3"/>
    <x v="2"/>
    <x v="3"/>
    <x v="3"/>
    <m/>
    <m/>
    <x v="966"/>
    <x v="1"/>
  </r>
  <r>
    <d v="2023-05-15T00:00:00"/>
    <x v="4"/>
    <x v="3"/>
    <x v="2"/>
    <x v="16"/>
    <n v="890"/>
    <n v="50"/>
    <x v="916"/>
    <x v="1"/>
  </r>
  <r>
    <d v="2023-05-15T00:00:00"/>
    <x v="2"/>
    <x v="3"/>
    <x v="0"/>
    <x v="0"/>
    <n v="1320"/>
    <n v="91"/>
    <x v="521"/>
    <x v="1"/>
  </r>
  <r>
    <d v="2023-05-15T00:00:00"/>
    <x v="1"/>
    <x v="0"/>
    <x v="0"/>
    <x v="10"/>
    <n v="1230"/>
    <n v="20"/>
    <x v="864"/>
    <x v="1"/>
  </r>
  <r>
    <d v="2023-05-15T00:00:00"/>
    <x v="4"/>
    <x v="0"/>
    <x v="4"/>
    <x v="7"/>
    <n v="1760"/>
    <n v="44"/>
    <x v="499"/>
    <x v="1"/>
  </r>
  <r>
    <d v="2023-05-15T00:00:00"/>
    <x v="4"/>
    <x v="4"/>
    <x v="2"/>
    <x v="12"/>
    <n v="715"/>
    <n v="31"/>
    <x v="615"/>
    <x v="1"/>
  </r>
  <r>
    <d v="2023-05-15T00:00:00"/>
    <x v="2"/>
    <x v="4"/>
    <x v="4"/>
    <x v="14"/>
    <n v="1670"/>
    <n v="69"/>
    <x v="967"/>
    <x v="1"/>
  </r>
  <r>
    <d v="2023-05-15T00:00:00"/>
    <x v="1"/>
    <x v="1"/>
    <x v="2"/>
    <x v="16"/>
    <n v="890"/>
    <n v="46"/>
    <x v="402"/>
    <x v="1"/>
  </r>
  <r>
    <d v="2023-05-15T00:00:00"/>
    <x v="1"/>
    <x v="5"/>
    <x v="4"/>
    <x v="14"/>
    <n v="1670"/>
    <n v="18"/>
    <x v="968"/>
    <x v="1"/>
  </r>
  <r>
    <s v="15.05.2023 Итог"/>
    <x v="3"/>
    <x v="2"/>
    <x v="3"/>
    <x v="3"/>
    <m/>
    <m/>
    <x v="969"/>
    <x v="1"/>
  </r>
  <r>
    <d v="2023-05-16T00:00:00"/>
    <x v="1"/>
    <x v="3"/>
    <x v="1"/>
    <x v="1"/>
    <n v="1380"/>
    <n v="43"/>
    <x v="147"/>
    <x v="1"/>
  </r>
  <r>
    <d v="2023-05-16T00:00:00"/>
    <x v="2"/>
    <x v="3"/>
    <x v="0"/>
    <x v="24"/>
    <n v="2540"/>
    <n v="21"/>
    <x v="658"/>
    <x v="1"/>
  </r>
  <r>
    <d v="2023-05-16T00:00:00"/>
    <x v="2"/>
    <x v="3"/>
    <x v="4"/>
    <x v="15"/>
    <n v="2460"/>
    <n v="72"/>
    <x v="970"/>
    <x v="1"/>
  </r>
  <r>
    <d v="2023-05-16T00:00:00"/>
    <x v="0"/>
    <x v="0"/>
    <x v="1"/>
    <x v="1"/>
    <n v="1380"/>
    <n v="79"/>
    <x v="971"/>
    <x v="1"/>
  </r>
  <r>
    <d v="2023-05-16T00:00:00"/>
    <x v="1"/>
    <x v="0"/>
    <x v="1"/>
    <x v="23"/>
    <n v="705"/>
    <n v="74"/>
    <x v="972"/>
    <x v="1"/>
  </r>
  <r>
    <d v="2023-05-16T00:00:00"/>
    <x v="4"/>
    <x v="4"/>
    <x v="1"/>
    <x v="6"/>
    <n v="640"/>
    <n v="98"/>
    <x v="649"/>
    <x v="1"/>
  </r>
  <r>
    <d v="2023-05-16T00:00:00"/>
    <x v="4"/>
    <x v="1"/>
    <x v="4"/>
    <x v="21"/>
    <n v="3205"/>
    <n v="38"/>
    <x v="201"/>
    <x v="1"/>
  </r>
  <r>
    <d v="2023-05-16T00:00:00"/>
    <x v="1"/>
    <x v="5"/>
    <x v="2"/>
    <x v="9"/>
    <n v="690"/>
    <n v="19"/>
    <x v="973"/>
    <x v="1"/>
  </r>
  <r>
    <d v="2023-05-16T00:00:00"/>
    <x v="1"/>
    <x v="6"/>
    <x v="1"/>
    <x v="18"/>
    <n v="650"/>
    <n v="34"/>
    <x v="199"/>
    <x v="1"/>
  </r>
  <r>
    <d v="2023-05-16T00:00:00"/>
    <x v="2"/>
    <x v="6"/>
    <x v="1"/>
    <x v="6"/>
    <n v="640"/>
    <n v="21"/>
    <x v="974"/>
    <x v="1"/>
  </r>
  <r>
    <s v="16.05.2023 Итог"/>
    <x v="3"/>
    <x v="2"/>
    <x v="3"/>
    <x v="3"/>
    <m/>
    <m/>
    <x v="975"/>
    <x v="1"/>
  </r>
  <r>
    <d v="2023-05-17T00:00:00"/>
    <x v="1"/>
    <x v="3"/>
    <x v="1"/>
    <x v="18"/>
    <n v="650"/>
    <n v="27"/>
    <x v="689"/>
    <x v="1"/>
  </r>
  <r>
    <d v="2023-05-17T00:00:00"/>
    <x v="2"/>
    <x v="3"/>
    <x v="1"/>
    <x v="23"/>
    <n v="705"/>
    <n v="57"/>
    <x v="205"/>
    <x v="1"/>
  </r>
  <r>
    <d v="2023-05-17T00:00:00"/>
    <x v="0"/>
    <x v="3"/>
    <x v="0"/>
    <x v="22"/>
    <n v="1420"/>
    <n v="100"/>
    <x v="976"/>
    <x v="1"/>
  </r>
  <r>
    <d v="2023-05-17T00:00:00"/>
    <x v="2"/>
    <x v="3"/>
    <x v="0"/>
    <x v="17"/>
    <n v="2400"/>
    <n v="41"/>
    <x v="549"/>
    <x v="1"/>
  </r>
  <r>
    <d v="2023-05-17T00:00:00"/>
    <x v="4"/>
    <x v="3"/>
    <x v="4"/>
    <x v="21"/>
    <n v="3205"/>
    <n v="78"/>
    <x v="977"/>
    <x v="1"/>
  </r>
  <r>
    <d v="2023-05-17T00:00:00"/>
    <x v="2"/>
    <x v="0"/>
    <x v="2"/>
    <x v="16"/>
    <n v="890"/>
    <n v="75"/>
    <x v="54"/>
    <x v="1"/>
  </r>
  <r>
    <d v="2023-05-17T00:00:00"/>
    <x v="0"/>
    <x v="4"/>
    <x v="0"/>
    <x v="17"/>
    <n v="2400"/>
    <n v="43"/>
    <x v="978"/>
    <x v="1"/>
  </r>
  <r>
    <d v="2023-05-17T00:00:00"/>
    <x v="1"/>
    <x v="4"/>
    <x v="4"/>
    <x v="11"/>
    <n v="2970"/>
    <n v="27"/>
    <x v="576"/>
    <x v="1"/>
  </r>
  <r>
    <d v="2023-05-17T00:00:00"/>
    <x v="0"/>
    <x v="1"/>
    <x v="2"/>
    <x v="8"/>
    <n v="460"/>
    <n v="59"/>
    <x v="840"/>
    <x v="1"/>
  </r>
  <r>
    <d v="2023-05-17T00:00:00"/>
    <x v="0"/>
    <x v="1"/>
    <x v="4"/>
    <x v="13"/>
    <n v="1505"/>
    <n v="98"/>
    <x v="979"/>
    <x v="1"/>
  </r>
  <r>
    <s v="17.05.2023 Итог"/>
    <x v="3"/>
    <x v="2"/>
    <x v="3"/>
    <x v="3"/>
    <m/>
    <m/>
    <x v="980"/>
    <x v="1"/>
  </r>
  <r>
    <d v="2023-05-18T00:00:00"/>
    <x v="1"/>
    <x v="3"/>
    <x v="2"/>
    <x v="16"/>
    <n v="890"/>
    <n v="21"/>
    <x v="981"/>
    <x v="1"/>
  </r>
  <r>
    <d v="2023-05-18T00:00:00"/>
    <x v="2"/>
    <x v="0"/>
    <x v="1"/>
    <x v="1"/>
    <n v="1380"/>
    <n v="18"/>
    <x v="200"/>
    <x v="1"/>
  </r>
  <r>
    <d v="2023-05-18T00:00:00"/>
    <x v="0"/>
    <x v="0"/>
    <x v="2"/>
    <x v="4"/>
    <n v="450"/>
    <n v="97"/>
    <x v="321"/>
    <x v="1"/>
  </r>
  <r>
    <d v="2023-05-18T00:00:00"/>
    <x v="4"/>
    <x v="0"/>
    <x v="2"/>
    <x v="12"/>
    <n v="715"/>
    <n v="89"/>
    <x v="982"/>
    <x v="1"/>
  </r>
  <r>
    <d v="2023-05-18T00:00:00"/>
    <x v="1"/>
    <x v="1"/>
    <x v="1"/>
    <x v="6"/>
    <n v="640"/>
    <n v="40"/>
    <x v="676"/>
    <x v="1"/>
  </r>
  <r>
    <d v="2023-05-18T00:00:00"/>
    <x v="2"/>
    <x v="1"/>
    <x v="1"/>
    <x v="6"/>
    <n v="640"/>
    <n v="75"/>
    <x v="77"/>
    <x v="1"/>
  </r>
  <r>
    <d v="2023-05-18T00:00:00"/>
    <x v="1"/>
    <x v="1"/>
    <x v="4"/>
    <x v="11"/>
    <n v="2970"/>
    <n v="59"/>
    <x v="598"/>
    <x v="1"/>
  </r>
  <r>
    <d v="2023-05-18T00:00:00"/>
    <x v="2"/>
    <x v="5"/>
    <x v="4"/>
    <x v="7"/>
    <n v="1760"/>
    <n v="24"/>
    <x v="11"/>
    <x v="1"/>
  </r>
  <r>
    <d v="2023-05-18T00:00:00"/>
    <x v="2"/>
    <x v="6"/>
    <x v="4"/>
    <x v="15"/>
    <n v="2460"/>
    <n v="5"/>
    <x v="481"/>
    <x v="1"/>
  </r>
  <r>
    <s v="18.05.2023 Итог"/>
    <x v="3"/>
    <x v="2"/>
    <x v="3"/>
    <x v="3"/>
    <m/>
    <m/>
    <x v="983"/>
    <x v="1"/>
  </r>
  <r>
    <d v="2023-05-19T00:00:00"/>
    <x v="4"/>
    <x v="3"/>
    <x v="1"/>
    <x v="6"/>
    <n v="640"/>
    <n v="60"/>
    <x v="193"/>
    <x v="1"/>
  </r>
  <r>
    <d v="2023-05-19T00:00:00"/>
    <x v="1"/>
    <x v="3"/>
    <x v="2"/>
    <x v="4"/>
    <n v="450"/>
    <n v="86"/>
    <x v="984"/>
    <x v="1"/>
  </r>
  <r>
    <d v="2023-05-19T00:00:00"/>
    <x v="4"/>
    <x v="3"/>
    <x v="0"/>
    <x v="17"/>
    <n v="2400"/>
    <n v="23"/>
    <x v="985"/>
    <x v="1"/>
  </r>
  <r>
    <d v="2023-05-19T00:00:00"/>
    <x v="1"/>
    <x v="0"/>
    <x v="2"/>
    <x v="2"/>
    <n v="325"/>
    <n v="48"/>
    <x v="337"/>
    <x v="1"/>
  </r>
  <r>
    <d v="2023-05-19T00:00:00"/>
    <x v="0"/>
    <x v="4"/>
    <x v="4"/>
    <x v="11"/>
    <n v="2970"/>
    <n v="59"/>
    <x v="598"/>
    <x v="1"/>
  </r>
  <r>
    <d v="2023-05-19T00:00:00"/>
    <x v="4"/>
    <x v="4"/>
    <x v="4"/>
    <x v="7"/>
    <n v="1760"/>
    <n v="30"/>
    <x v="94"/>
    <x v="1"/>
  </r>
  <r>
    <d v="2023-05-19T00:00:00"/>
    <x v="0"/>
    <x v="1"/>
    <x v="2"/>
    <x v="8"/>
    <n v="460"/>
    <n v="23"/>
    <x v="986"/>
    <x v="1"/>
  </r>
  <r>
    <d v="2023-05-19T00:00:00"/>
    <x v="2"/>
    <x v="5"/>
    <x v="2"/>
    <x v="16"/>
    <n v="890"/>
    <n v="27"/>
    <x v="287"/>
    <x v="1"/>
  </r>
  <r>
    <d v="2023-05-19T00:00:00"/>
    <x v="4"/>
    <x v="5"/>
    <x v="4"/>
    <x v="14"/>
    <n v="1670"/>
    <n v="32"/>
    <x v="987"/>
    <x v="1"/>
  </r>
  <r>
    <d v="2023-05-19T00:00:00"/>
    <x v="0"/>
    <x v="6"/>
    <x v="0"/>
    <x v="0"/>
    <n v="1320"/>
    <n v="15"/>
    <x v="4"/>
    <x v="1"/>
  </r>
  <r>
    <d v="2023-05-19T00:00:00"/>
    <x v="4"/>
    <x v="6"/>
    <x v="4"/>
    <x v="21"/>
    <n v="3205"/>
    <n v="46"/>
    <x v="371"/>
    <x v="1"/>
  </r>
  <r>
    <s v="19.05.2023 Итог"/>
    <x v="3"/>
    <x v="2"/>
    <x v="3"/>
    <x v="3"/>
    <m/>
    <m/>
    <x v="988"/>
    <x v="1"/>
  </r>
  <r>
    <d v="2023-05-20T00:00:00"/>
    <x v="0"/>
    <x v="3"/>
    <x v="0"/>
    <x v="22"/>
    <n v="1420"/>
    <n v="74"/>
    <x v="384"/>
    <x v="1"/>
  </r>
  <r>
    <d v="2023-05-20T00:00:00"/>
    <x v="4"/>
    <x v="0"/>
    <x v="4"/>
    <x v="13"/>
    <n v="1505"/>
    <n v="49"/>
    <x v="886"/>
    <x v="1"/>
  </r>
  <r>
    <d v="2023-05-20T00:00:00"/>
    <x v="4"/>
    <x v="4"/>
    <x v="0"/>
    <x v="0"/>
    <n v="1320"/>
    <n v="45"/>
    <x v="12"/>
    <x v="1"/>
  </r>
  <r>
    <d v="2023-05-20T00:00:00"/>
    <x v="4"/>
    <x v="1"/>
    <x v="2"/>
    <x v="2"/>
    <n v="325"/>
    <n v="46"/>
    <x v="522"/>
    <x v="1"/>
  </r>
  <r>
    <d v="2023-05-20T00:00:00"/>
    <x v="0"/>
    <x v="5"/>
    <x v="2"/>
    <x v="9"/>
    <n v="690"/>
    <n v="37"/>
    <x v="490"/>
    <x v="1"/>
  </r>
  <r>
    <d v="2023-05-20T00:00:00"/>
    <x v="1"/>
    <x v="5"/>
    <x v="0"/>
    <x v="5"/>
    <n v="930"/>
    <n v="18"/>
    <x v="378"/>
    <x v="1"/>
  </r>
  <r>
    <d v="2023-05-20T00:00:00"/>
    <x v="4"/>
    <x v="6"/>
    <x v="1"/>
    <x v="20"/>
    <n v="650"/>
    <n v="98"/>
    <x v="833"/>
    <x v="1"/>
  </r>
  <r>
    <d v="2023-05-20T00:00:00"/>
    <x v="2"/>
    <x v="6"/>
    <x v="2"/>
    <x v="9"/>
    <n v="690"/>
    <n v="16"/>
    <x v="51"/>
    <x v="1"/>
  </r>
  <r>
    <d v="2023-05-20T00:00:00"/>
    <x v="2"/>
    <x v="6"/>
    <x v="4"/>
    <x v="7"/>
    <n v="1760"/>
    <n v="24"/>
    <x v="11"/>
    <x v="1"/>
  </r>
  <r>
    <s v="20.05.2023 Итог"/>
    <x v="3"/>
    <x v="2"/>
    <x v="3"/>
    <x v="3"/>
    <m/>
    <m/>
    <x v="989"/>
    <x v="1"/>
  </r>
  <r>
    <d v="2023-05-21T00:00:00"/>
    <x v="1"/>
    <x v="3"/>
    <x v="0"/>
    <x v="24"/>
    <n v="2540"/>
    <n v="61"/>
    <x v="990"/>
    <x v="1"/>
  </r>
  <r>
    <d v="2023-05-21T00:00:00"/>
    <x v="4"/>
    <x v="0"/>
    <x v="1"/>
    <x v="1"/>
    <n v="1380"/>
    <n v="54"/>
    <x v="991"/>
    <x v="1"/>
  </r>
  <r>
    <d v="2023-05-21T00:00:00"/>
    <x v="1"/>
    <x v="0"/>
    <x v="2"/>
    <x v="12"/>
    <n v="715"/>
    <n v="17"/>
    <x v="992"/>
    <x v="1"/>
  </r>
  <r>
    <d v="2023-05-21T00:00:00"/>
    <x v="0"/>
    <x v="0"/>
    <x v="0"/>
    <x v="5"/>
    <n v="930"/>
    <n v="35"/>
    <x v="993"/>
    <x v="1"/>
  </r>
  <r>
    <d v="2023-05-21T00:00:00"/>
    <x v="4"/>
    <x v="0"/>
    <x v="0"/>
    <x v="24"/>
    <n v="2540"/>
    <n v="7"/>
    <x v="208"/>
    <x v="1"/>
  </r>
  <r>
    <d v="2023-05-21T00:00:00"/>
    <x v="1"/>
    <x v="4"/>
    <x v="2"/>
    <x v="12"/>
    <n v="715"/>
    <n v="20"/>
    <x v="994"/>
    <x v="1"/>
  </r>
  <r>
    <d v="2023-05-21T00:00:00"/>
    <x v="4"/>
    <x v="4"/>
    <x v="4"/>
    <x v="11"/>
    <n v="2970"/>
    <n v="72"/>
    <x v="492"/>
    <x v="1"/>
  </r>
  <r>
    <d v="2023-05-21T00:00:00"/>
    <x v="2"/>
    <x v="1"/>
    <x v="1"/>
    <x v="19"/>
    <n v="540"/>
    <n v="100"/>
    <x v="995"/>
    <x v="1"/>
  </r>
  <r>
    <d v="2023-05-21T00:00:00"/>
    <x v="1"/>
    <x v="1"/>
    <x v="1"/>
    <x v="18"/>
    <n v="650"/>
    <n v="27"/>
    <x v="689"/>
    <x v="1"/>
  </r>
  <r>
    <d v="2023-05-21T00:00:00"/>
    <x v="1"/>
    <x v="6"/>
    <x v="1"/>
    <x v="18"/>
    <n v="650"/>
    <n v="62"/>
    <x v="699"/>
    <x v="1"/>
  </r>
  <r>
    <d v="2023-05-21T00:00:00"/>
    <x v="4"/>
    <x v="6"/>
    <x v="0"/>
    <x v="24"/>
    <n v="2540"/>
    <n v="94"/>
    <x v="996"/>
    <x v="1"/>
  </r>
  <r>
    <d v="2023-05-21T00:00:00"/>
    <x v="1"/>
    <x v="6"/>
    <x v="4"/>
    <x v="15"/>
    <n v="2460"/>
    <n v="31"/>
    <x v="997"/>
    <x v="1"/>
  </r>
  <r>
    <s v="21.05.2023 Итог"/>
    <x v="3"/>
    <x v="2"/>
    <x v="3"/>
    <x v="3"/>
    <m/>
    <m/>
    <x v="998"/>
    <x v="1"/>
  </r>
  <r>
    <d v="2023-05-22T00:00:00"/>
    <x v="0"/>
    <x v="3"/>
    <x v="1"/>
    <x v="19"/>
    <n v="540"/>
    <n v="59"/>
    <x v="449"/>
    <x v="1"/>
  </r>
  <r>
    <d v="2023-05-22T00:00:00"/>
    <x v="4"/>
    <x v="4"/>
    <x v="2"/>
    <x v="8"/>
    <n v="460"/>
    <n v="52"/>
    <x v="999"/>
    <x v="1"/>
  </r>
  <r>
    <d v="2023-05-22T00:00:00"/>
    <x v="0"/>
    <x v="1"/>
    <x v="1"/>
    <x v="23"/>
    <n v="705"/>
    <n v="25"/>
    <x v="1000"/>
    <x v="1"/>
  </r>
  <r>
    <d v="2023-05-22T00:00:00"/>
    <x v="2"/>
    <x v="5"/>
    <x v="0"/>
    <x v="24"/>
    <n v="2540"/>
    <n v="87"/>
    <x v="962"/>
    <x v="1"/>
  </r>
  <r>
    <d v="2023-05-22T00:00:00"/>
    <x v="4"/>
    <x v="6"/>
    <x v="4"/>
    <x v="21"/>
    <n v="3205"/>
    <n v="90"/>
    <x v="169"/>
    <x v="1"/>
  </r>
  <r>
    <s v="22.05.2023 Итог"/>
    <x v="3"/>
    <x v="2"/>
    <x v="3"/>
    <x v="3"/>
    <m/>
    <m/>
    <x v="1001"/>
    <x v="1"/>
  </r>
  <r>
    <d v="2023-05-23T00:00:00"/>
    <x v="2"/>
    <x v="3"/>
    <x v="0"/>
    <x v="24"/>
    <n v="2540"/>
    <n v="57"/>
    <x v="1002"/>
    <x v="1"/>
  </r>
  <r>
    <d v="2023-05-23T00:00:00"/>
    <x v="0"/>
    <x v="0"/>
    <x v="1"/>
    <x v="20"/>
    <n v="650"/>
    <n v="8"/>
    <x v="672"/>
    <x v="1"/>
  </r>
  <r>
    <d v="2023-05-23T00:00:00"/>
    <x v="4"/>
    <x v="0"/>
    <x v="2"/>
    <x v="8"/>
    <n v="460"/>
    <n v="39"/>
    <x v="275"/>
    <x v="1"/>
  </r>
  <r>
    <d v="2023-05-23T00:00:00"/>
    <x v="1"/>
    <x v="4"/>
    <x v="1"/>
    <x v="20"/>
    <n v="650"/>
    <n v="55"/>
    <x v="677"/>
    <x v="1"/>
  </r>
  <r>
    <d v="2023-05-23T00:00:00"/>
    <x v="1"/>
    <x v="1"/>
    <x v="2"/>
    <x v="4"/>
    <n v="450"/>
    <n v="86"/>
    <x v="984"/>
    <x v="1"/>
  </r>
  <r>
    <d v="2023-05-23T00:00:00"/>
    <x v="4"/>
    <x v="5"/>
    <x v="0"/>
    <x v="5"/>
    <n v="930"/>
    <n v="45"/>
    <x v="820"/>
    <x v="1"/>
  </r>
  <r>
    <d v="2023-05-23T00:00:00"/>
    <x v="1"/>
    <x v="5"/>
    <x v="0"/>
    <x v="0"/>
    <n v="1320"/>
    <n v="82"/>
    <x v="456"/>
    <x v="1"/>
  </r>
  <r>
    <d v="2023-05-23T00:00:00"/>
    <x v="4"/>
    <x v="6"/>
    <x v="0"/>
    <x v="24"/>
    <n v="2540"/>
    <n v="97"/>
    <x v="1003"/>
    <x v="1"/>
  </r>
  <r>
    <d v="2023-05-23T00:00:00"/>
    <x v="4"/>
    <x v="6"/>
    <x v="4"/>
    <x v="13"/>
    <n v="1505"/>
    <n v="32"/>
    <x v="1004"/>
    <x v="1"/>
  </r>
  <r>
    <s v="23.05.2023 Итог"/>
    <x v="3"/>
    <x v="2"/>
    <x v="3"/>
    <x v="3"/>
    <m/>
    <m/>
    <x v="1005"/>
    <x v="1"/>
  </r>
  <r>
    <d v="2023-05-24T00:00:00"/>
    <x v="2"/>
    <x v="3"/>
    <x v="2"/>
    <x v="8"/>
    <n v="460"/>
    <n v="8"/>
    <x v="1006"/>
    <x v="1"/>
  </r>
  <r>
    <d v="2023-05-24T00:00:00"/>
    <x v="4"/>
    <x v="3"/>
    <x v="4"/>
    <x v="15"/>
    <n v="2460"/>
    <n v="8"/>
    <x v="254"/>
    <x v="1"/>
  </r>
  <r>
    <d v="2023-05-24T00:00:00"/>
    <x v="4"/>
    <x v="4"/>
    <x v="4"/>
    <x v="11"/>
    <n v="2970"/>
    <n v="27"/>
    <x v="576"/>
    <x v="1"/>
  </r>
  <r>
    <d v="2023-05-24T00:00:00"/>
    <x v="2"/>
    <x v="1"/>
    <x v="1"/>
    <x v="19"/>
    <n v="540"/>
    <n v="60"/>
    <x v="1007"/>
    <x v="1"/>
  </r>
  <r>
    <d v="2023-05-24T00:00:00"/>
    <x v="2"/>
    <x v="1"/>
    <x v="2"/>
    <x v="2"/>
    <n v="325"/>
    <n v="12"/>
    <x v="342"/>
    <x v="1"/>
  </r>
  <r>
    <d v="2023-05-24T00:00:00"/>
    <x v="0"/>
    <x v="1"/>
    <x v="2"/>
    <x v="2"/>
    <n v="325"/>
    <n v="17"/>
    <x v="38"/>
    <x v="1"/>
  </r>
  <r>
    <d v="2023-05-24T00:00:00"/>
    <x v="1"/>
    <x v="1"/>
    <x v="0"/>
    <x v="17"/>
    <n v="2400"/>
    <n v="36"/>
    <x v="1008"/>
    <x v="1"/>
  </r>
  <r>
    <d v="2023-05-24T00:00:00"/>
    <x v="2"/>
    <x v="5"/>
    <x v="1"/>
    <x v="19"/>
    <n v="540"/>
    <n v="19"/>
    <x v="1009"/>
    <x v="1"/>
  </r>
  <r>
    <d v="2023-05-24T00:00:00"/>
    <x v="0"/>
    <x v="5"/>
    <x v="2"/>
    <x v="9"/>
    <n v="690"/>
    <n v="20"/>
    <x v="505"/>
    <x v="1"/>
  </r>
  <r>
    <d v="2023-05-24T00:00:00"/>
    <x v="1"/>
    <x v="5"/>
    <x v="4"/>
    <x v="7"/>
    <n v="1760"/>
    <n v="48"/>
    <x v="432"/>
    <x v="1"/>
  </r>
  <r>
    <s v="24.05.2023 Итог"/>
    <x v="3"/>
    <x v="2"/>
    <x v="3"/>
    <x v="3"/>
    <m/>
    <m/>
    <x v="1010"/>
    <x v="1"/>
  </r>
  <r>
    <d v="2023-05-25T00:00:00"/>
    <x v="2"/>
    <x v="3"/>
    <x v="1"/>
    <x v="1"/>
    <n v="1380"/>
    <n v="83"/>
    <x v="939"/>
    <x v="1"/>
  </r>
  <r>
    <d v="2023-05-25T00:00:00"/>
    <x v="0"/>
    <x v="3"/>
    <x v="4"/>
    <x v="13"/>
    <n v="1505"/>
    <n v="63"/>
    <x v="855"/>
    <x v="1"/>
  </r>
  <r>
    <d v="2023-05-25T00:00:00"/>
    <x v="0"/>
    <x v="0"/>
    <x v="2"/>
    <x v="9"/>
    <n v="690"/>
    <n v="13"/>
    <x v="1011"/>
    <x v="1"/>
  </r>
  <r>
    <d v="2023-05-25T00:00:00"/>
    <x v="1"/>
    <x v="0"/>
    <x v="2"/>
    <x v="16"/>
    <n v="890"/>
    <n v="69"/>
    <x v="1012"/>
    <x v="1"/>
  </r>
  <r>
    <d v="2023-05-25T00:00:00"/>
    <x v="2"/>
    <x v="0"/>
    <x v="2"/>
    <x v="16"/>
    <n v="890"/>
    <n v="86"/>
    <x v="771"/>
    <x v="1"/>
  </r>
  <r>
    <d v="2023-05-25T00:00:00"/>
    <x v="0"/>
    <x v="0"/>
    <x v="2"/>
    <x v="12"/>
    <n v="715"/>
    <n v="88"/>
    <x v="1013"/>
    <x v="1"/>
  </r>
  <r>
    <d v="2023-05-25T00:00:00"/>
    <x v="1"/>
    <x v="0"/>
    <x v="4"/>
    <x v="14"/>
    <n v="1670"/>
    <n v="44"/>
    <x v="1014"/>
    <x v="1"/>
  </r>
  <r>
    <d v="2023-05-25T00:00:00"/>
    <x v="0"/>
    <x v="4"/>
    <x v="1"/>
    <x v="20"/>
    <n v="650"/>
    <n v="72"/>
    <x v="925"/>
    <x v="1"/>
  </r>
  <r>
    <d v="2023-05-25T00:00:00"/>
    <x v="1"/>
    <x v="4"/>
    <x v="1"/>
    <x v="19"/>
    <n v="540"/>
    <n v="91"/>
    <x v="1015"/>
    <x v="1"/>
  </r>
  <r>
    <d v="2023-05-25T00:00:00"/>
    <x v="4"/>
    <x v="5"/>
    <x v="2"/>
    <x v="2"/>
    <n v="325"/>
    <n v="61"/>
    <x v="1016"/>
    <x v="1"/>
  </r>
  <r>
    <d v="2023-05-25T00:00:00"/>
    <x v="4"/>
    <x v="5"/>
    <x v="0"/>
    <x v="22"/>
    <n v="1420"/>
    <n v="82"/>
    <x v="632"/>
    <x v="1"/>
  </r>
  <r>
    <d v="2023-05-25T00:00:00"/>
    <x v="4"/>
    <x v="5"/>
    <x v="4"/>
    <x v="13"/>
    <n v="1505"/>
    <n v="59"/>
    <x v="754"/>
    <x v="1"/>
  </r>
  <r>
    <d v="2023-05-25T00:00:00"/>
    <x v="2"/>
    <x v="6"/>
    <x v="1"/>
    <x v="23"/>
    <n v="705"/>
    <n v="50"/>
    <x v="1017"/>
    <x v="1"/>
  </r>
  <r>
    <s v="25.05.2023 Итог"/>
    <x v="3"/>
    <x v="2"/>
    <x v="3"/>
    <x v="3"/>
    <m/>
    <m/>
    <x v="1018"/>
    <x v="1"/>
  </r>
  <r>
    <d v="2023-05-26T00:00:00"/>
    <x v="1"/>
    <x v="3"/>
    <x v="2"/>
    <x v="4"/>
    <n v="450"/>
    <n v="89"/>
    <x v="1019"/>
    <x v="1"/>
  </r>
  <r>
    <d v="2023-05-26T00:00:00"/>
    <x v="4"/>
    <x v="3"/>
    <x v="2"/>
    <x v="16"/>
    <n v="890"/>
    <n v="97"/>
    <x v="1020"/>
    <x v="1"/>
  </r>
  <r>
    <d v="2023-05-26T00:00:00"/>
    <x v="4"/>
    <x v="3"/>
    <x v="2"/>
    <x v="9"/>
    <n v="690"/>
    <n v="95"/>
    <x v="1021"/>
    <x v="1"/>
  </r>
  <r>
    <d v="2023-05-26T00:00:00"/>
    <x v="0"/>
    <x v="3"/>
    <x v="2"/>
    <x v="8"/>
    <n v="460"/>
    <n v="21"/>
    <x v="75"/>
    <x v="1"/>
  </r>
  <r>
    <d v="2023-05-26T00:00:00"/>
    <x v="1"/>
    <x v="3"/>
    <x v="2"/>
    <x v="16"/>
    <n v="890"/>
    <n v="9"/>
    <x v="1022"/>
    <x v="1"/>
  </r>
  <r>
    <d v="2023-05-26T00:00:00"/>
    <x v="1"/>
    <x v="3"/>
    <x v="0"/>
    <x v="0"/>
    <n v="1320"/>
    <n v="22"/>
    <x v="1023"/>
    <x v="1"/>
  </r>
  <r>
    <d v="2023-05-26T00:00:00"/>
    <x v="4"/>
    <x v="3"/>
    <x v="4"/>
    <x v="14"/>
    <n v="1670"/>
    <n v="90"/>
    <x v="1024"/>
    <x v="1"/>
  </r>
  <r>
    <d v="2023-05-26T00:00:00"/>
    <x v="0"/>
    <x v="4"/>
    <x v="0"/>
    <x v="24"/>
    <n v="2540"/>
    <n v="97"/>
    <x v="1003"/>
    <x v="1"/>
  </r>
  <r>
    <d v="2023-05-26T00:00:00"/>
    <x v="1"/>
    <x v="4"/>
    <x v="4"/>
    <x v="14"/>
    <n v="1670"/>
    <n v="14"/>
    <x v="1025"/>
    <x v="1"/>
  </r>
  <r>
    <d v="2023-05-26T00:00:00"/>
    <x v="2"/>
    <x v="1"/>
    <x v="1"/>
    <x v="20"/>
    <n v="650"/>
    <n v="30"/>
    <x v="469"/>
    <x v="1"/>
  </r>
  <r>
    <d v="2023-05-26T00:00:00"/>
    <x v="0"/>
    <x v="1"/>
    <x v="2"/>
    <x v="4"/>
    <n v="450"/>
    <n v="52"/>
    <x v="756"/>
    <x v="1"/>
  </r>
  <r>
    <d v="2023-05-26T00:00:00"/>
    <x v="0"/>
    <x v="6"/>
    <x v="2"/>
    <x v="4"/>
    <n v="450"/>
    <n v="61"/>
    <x v="631"/>
    <x v="1"/>
  </r>
  <r>
    <s v="26.05.2023 Итог"/>
    <x v="3"/>
    <x v="2"/>
    <x v="3"/>
    <x v="3"/>
    <m/>
    <m/>
    <x v="1026"/>
    <x v="1"/>
  </r>
  <r>
    <d v="2023-05-27T00:00:00"/>
    <x v="4"/>
    <x v="3"/>
    <x v="1"/>
    <x v="1"/>
    <n v="1380"/>
    <n v="10"/>
    <x v="505"/>
    <x v="1"/>
  </r>
  <r>
    <d v="2023-05-27T00:00:00"/>
    <x v="4"/>
    <x v="3"/>
    <x v="4"/>
    <x v="14"/>
    <n v="1670"/>
    <n v="85"/>
    <x v="1027"/>
    <x v="1"/>
  </r>
  <r>
    <d v="2023-05-27T00:00:00"/>
    <x v="0"/>
    <x v="4"/>
    <x v="1"/>
    <x v="20"/>
    <n v="650"/>
    <n v="58"/>
    <x v="173"/>
    <x v="1"/>
  </r>
  <r>
    <d v="2023-05-27T00:00:00"/>
    <x v="0"/>
    <x v="4"/>
    <x v="0"/>
    <x v="0"/>
    <n v="1320"/>
    <n v="61"/>
    <x v="819"/>
    <x v="1"/>
  </r>
  <r>
    <d v="2023-05-27T00:00:00"/>
    <x v="1"/>
    <x v="5"/>
    <x v="4"/>
    <x v="7"/>
    <n v="1760"/>
    <n v="45"/>
    <x v="30"/>
    <x v="1"/>
  </r>
  <r>
    <d v="2023-05-27T00:00:00"/>
    <x v="0"/>
    <x v="5"/>
    <x v="4"/>
    <x v="15"/>
    <n v="2460"/>
    <n v="5"/>
    <x v="481"/>
    <x v="1"/>
  </r>
  <r>
    <s v="27.05.2023 Итог"/>
    <x v="3"/>
    <x v="2"/>
    <x v="3"/>
    <x v="3"/>
    <m/>
    <m/>
    <x v="1028"/>
    <x v="1"/>
  </r>
  <r>
    <d v="2023-05-28T00:00:00"/>
    <x v="1"/>
    <x v="0"/>
    <x v="2"/>
    <x v="12"/>
    <n v="715"/>
    <n v="75"/>
    <x v="37"/>
    <x v="1"/>
  </r>
  <r>
    <d v="2023-05-28T00:00:00"/>
    <x v="1"/>
    <x v="4"/>
    <x v="4"/>
    <x v="14"/>
    <n v="1670"/>
    <n v="37"/>
    <x v="265"/>
    <x v="1"/>
  </r>
  <r>
    <d v="2023-05-28T00:00:00"/>
    <x v="4"/>
    <x v="5"/>
    <x v="0"/>
    <x v="5"/>
    <n v="930"/>
    <n v="56"/>
    <x v="1029"/>
    <x v="1"/>
  </r>
  <r>
    <d v="2023-05-28T00:00:00"/>
    <x v="4"/>
    <x v="6"/>
    <x v="2"/>
    <x v="16"/>
    <n v="890"/>
    <n v="25"/>
    <x v="48"/>
    <x v="1"/>
  </r>
  <r>
    <d v="2023-05-28T00:00:00"/>
    <x v="2"/>
    <x v="6"/>
    <x v="0"/>
    <x v="17"/>
    <n v="2400"/>
    <n v="67"/>
    <x v="59"/>
    <x v="1"/>
  </r>
  <r>
    <s v="28.05.2023 Итог"/>
    <x v="3"/>
    <x v="2"/>
    <x v="3"/>
    <x v="3"/>
    <m/>
    <m/>
    <x v="1030"/>
    <x v="1"/>
  </r>
  <r>
    <d v="2023-05-29T00:00:00"/>
    <x v="4"/>
    <x v="3"/>
    <x v="1"/>
    <x v="6"/>
    <n v="640"/>
    <n v="7"/>
    <x v="1031"/>
    <x v="1"/>
  </r>
  <r>
    <d v="2023-05-29T00:00:00"/>
    <x v="1"/>
    <x v="0"/>
    <x v="1"/>
    <x v="6"/>
    <n v="640"/>
    <n v="52"/>
    <x v="67"/>
    <x v="1"/>
  </r>
  <r>
    <d v="2023-05-29T00:00:00"/>
    <x v="0"/>
    <x v="0"/>
    <x v="0"/>
    <x v="22"/>
    <n v="1420"/>
    <n v="93"/>
    <x v="1032"/>
    <x v="1"/>
  </r>
  <r>
    <d v="2023-05-29T00:00:00"/>
    <x v="2"/>
    <x v="0"/>
    <x v="4"/>
    <x v="14"/>
    <n v="1670"/>
    <n v="6"/>
    <x v="1033"/>
    <x v="1"/>
  </r>
  <r>
    <d v="2023-05-29T00:00:00"/>
    <x v="0"/>
    <x v="4"/>
    <x v="2"/>
    <x v="4"/>
    <n v="450"/>
    <n v="18"/>
    <x v="93"/>
    <x v="1"/>
  </r>
  <r>
    <d v="2023-05-29T00:00:00"/>
    <x v="0"/>
    <x v="4"/>
    <x v="2"/>
    <x v="8"/>
    <n v="460"/>
    <n v="17"/>
    <x v="1034"/>
    <x v="1"/>
  </r>
  <r>
    <d v="2023-05-29T00:00:00"/>
    <x v="4"/>
    <x v="4"/>
    <x v="0"/>
    <x v="17"/>
    <n v="2400"/>
    <n v="88"/>
    <x v="1035"/>
    <x v="1"/>
  </r>
  <r>
    <d v="2023-05-29T00:00:00"/>
    <x v="0"/>
    <x v="4"/>
    <x v="4"/>
    <x v="11"/>
    <n v="2970"/>
    <n v="68"/>
    <x v="1036"/>
    <x v="1"/>
  </r>
  <r>
    <d v="2023-05-29T00:00:00"/>
    <x v="1"/>
    <x v="1"/>
    <x v="2"/>
    <x v="16"/>
    <n v="890"/>
    <n v="95"/>
    <x v="1037"/>
    <x v="1"/>
  </r>
  <r>
    <d v="2023-05-29T00:00:00"/>
    <x v="4"/>
    <x v="1"/>
    <x v="4"/>
    <x v="21"/>
    <n v="3205"/>
    <n v="94"/>
    <x v="139"/>
    <x v="1"/>
  </r>
  <r>
    <d v="2023-05-29T00:00:00"/>
    <x v="4"/>
    <x v="5"/>
    <x v="2"/>
    <x v="9"/>
    <n v="690"/>
    <n v="30"/>
    <x v="812"/>
    <x v="1"/>
  </r>
  <r>
    <d v="2023-05-29T00:00:00"/>
    <x v="4"/>
    <x v="5"/>
    <x v="0"/>
    <x v="10"/>
    <n v="1230"/>
    <n v="68"/>
    <x v="281"/>
    <x v="1"/>
  </r>
  <r>
    <d v="2023-05-29T00:00:00"/>
    <x v="1"/>
    <x v="5"/>
    <x v="0"/>
    <x v="10"/>
    <n v="1230"/>
    <n v="32"/>
    <x v="581"/>
    <x v="1"/>
  </r>
  <r>
    <d v="2023-05-29T00:00:00"/>
    <x v="2"/>
    <x v="6"/>
    <x v="1"/>
    <x v="18"/>
    <n v="650"/>
    <n v="17"/>
    <x v="1038"/>
    <x v="1"/>
  </r>
  <r>
    <s v="29.05.2023 Итог"/>
    <x v="3"/>
    <x v="2"/>
    <x v="3"/>
    <x v="3"/>
    <m/>
    <m/>
    <x v="1039"/>
    <x v="1"/>
  </r>
  <r>
    <d v="2023-05-30T00:00:00"/>
    <x v="4"/>
    <x v="0"/>
    <x v="2"/>
    <x v="12"/>
    <n v="715"/>
    <n v="91"/>
    <x v="298"/>
    <x v="1"/>
  </r>
  <r>
    <d v="2023-05-30T00:00:00"/>
    <x v="4"/>
    <x v="0"/>
    <x v="4"/>
    <x v="13"/>
    <n v="1505"/>
    <n v="35"/>
    <x v="1040"/>
    <x v="1"/>
  </r>
  <r>
    <d v="2023-05-30T00:00:00"/>
    <x v="1"/>
    <x v="1"/>
    <x v="2"/>
    <x v="12"/>
    <n v="715"/>
    <n v="8"/>
    <x v="398"/>
    <x v="1"/>
  </r>
  <r>
    <d v="2023-05-30T00:00:00"/>
    <x v="2"/>
    <x v="1"/>
    <x v="2"/>
    <x v="9"/>
    <n v="690"/>
    <n v="42"/>
    <x v="554"/>
    <x v="1"/>
  </r>
  <r>
    <d v="2023-05-30T00:00:00"/>
    <x v="4"/>
    <x v="1"/>
    <x v="4"/>
    <x v="15"/>
    <n v="2460"/>
    <n v="11"/>
    <x v="131"/>
    <x v="1"/>
  </r>
  <r>
    <d v="2023-05-30T00:00:00"/>
    <x v="4"/>
    <x v="5"/>
    <x v="4"/>
    <x v="7"/>
    <n v="1760"/>
    <n v="63"/>
    <x v="95"/>
    <x v="1"/>
  </r>
  <r>
    <d v="2023-05-30T00:00:00"/>
    <x v="2"/>
    <x v="6"/>
    <x v="2"/>
    <x v="12"/>
    <n v="715"/>
    <n v="12"/>
    <x v="1041"/>
    <x v="1"/>
  </r>
  <r>
    <d v="2023-05-30T00:00:00"/>
    <x v="4"/>
    <x v="6"/>
    <x v="0"/>
    <x v="0"/>
    <n v="1320"/>
    <n v="24"/>
    <x v="1042"/>
    <x v="1"/>
  </r>
  <r>
    <s v="30.05.2023 Итог"/>
    <x v="3"/>
    <x v="2"/>
    <x v="3"/>
    <x v="3"/>
    <m/>
    <m/>
    <x v="1043"/>
    <x v="1"/>
  </r>
  <r>
    <d v="2023-05-31T00:00:00"/>
    <x v="0"/>
    <x v="3"/>
    <x v="0"/>
    <x v="0"/>
    <n v="1320"/>
    <n v="36"/>
    <x v="413"/>
    <x v="1"/>
  </r>
  <r>
    <d v="2023-05-31T00:00:00"/>
    <x v="1"/>
    <x v="3"/>
    <x v="0"/>
    <x v="10"/>
    <n v="1230"/>
    <n v="36"/>
    <x v="1044"/>
    <x v="1"/>
  </r>
  <r>
    <d v="2023-05-31T00:00:00"/>
    <x v="0"/>
    <x v="0"/>
    <x v="1"/>
    <x v="23"/>
    <n v="705"/>
    <n v="70"/>
    <x v="1045"/>
    <x v="1"/>
  </r>
  <r>
    <d v="2023-05-31T00:00:00"/>
    <x v="4"/>
    <x v="0"/>
    <x v="2"/>
    <x v="9"/>
    <n v="690"/>
    <n v="94"/>
    <x v="752"/>
    <x v="1"/>
  </r>
  <r>
    <d v="2023-05-31T00:00:00"/>
    <x v="4"/>
    <x v="0"/>
    <x v="4"/>
    <x v="11"/>
    <n v="2970"/>
    <n v="38"/>
    <x v="440"/>
    <x v="1"/>
  </r>
  <r>
    <d v="2023-05-31T00:00:00"/>
    <x v="1"/>
    <x v="4"/>
    <x v="2"/>
    <x v="4"/>
    <n v="450"/>
    <n v="62"/>
    <x v="1046"/>
    <x v="1"/>
  </r>
  <r>
    <d v="2023-05-31T00:00:00"/>
    <x v="4"/>
    <x v="1"/>
    <x v="1"/>
    <x v="6"/>
    <n v="640"/>
    <n v="73"/>
    <x v="1047"/>
    <x v="1"/>
  </r>
  <r>
    <d v="2023-05-31T00:00:00"/>
    <x v="2"/>
    <x v="5"/>
    <x v="1"/>
    <x v="23"/>
    <n v="705"/>
    <n v="26"/>
    <x v="1048"/>
    <x v="1"/>
  </r>
  <r>
    <d v="2023-05-31T00:00:00"/>
    <x v="2"/>
    <x v="5"/>
    <x v="2"/>
    <x v="8"/>
    <n v="460"/>
    <n v="48"/>
    <x v="253"/>
    <x v="1"/>
  </r>
  <r>
    <d v="2023-05-31T00:00:00"/>
    <x v="1"/>
    <x v="6"/>
    <x v="2"/>
    <x v="8"/>
    <n v="460"/>
    <n v="63"/>
    <x v="554"/>
    <x v="1"/>
  </r>
  <r>
    <d v="2023-05-31T00:00:00"/>
    <x v="0"/>
    <x v="6"/>
    <x v="4"/>
    <x v="21"/>
    <n v="3205"/>
    <n v="99"/>
    <x v="1049"/>
    <x v="1"/>
  </r>
  <r>
    <s v="31.05.2023 Итог"/>
    <x v="3"/>
    <x v="2"/>
    <x v="3"/>
    <x v="3"/>
    <m/>
    <m/>
    <x v="1050"/>
    <x v="1"/>
  </r>
  <r>
    <d v="2023-06-01T00:00:00"/>
    <x v="2"/>
    <x v="3"/>
    <x v="1"/>
    <x v="19"/>
    <n v="540"/>
    <n v="28"/>
    <x v="1051"/>
    <x v="1"/>
  </r>
  <r>
    <d v="2023-06-01T00:00:00"/>
    <x v="1"/>
    <x v="3"/>
    <x v="4"/>
    <x v="15"/>
    <n v="2460"/>
    <n v="73"/>
    <x v="897"/>
    <x v="1"/>
  </r>
  <r>
    <d v="2023-06-01T00:00:00"/>
    <x v="4"/>
    <x v="3"/>
    <x v="4"/>
    <x v="14"/>
    <n v="1670"/>
    <n v="30"/>
    <x v="1052"/>
    <x v="1"/>
  </r>
  <r>
    <d v="2023-06-01T00:00:00"/>
    <x v="4"/>
    <x v="0"/>
    <x v="2"/>
    <x v="4"/>
    <n v="450"/>
    <n v="9"/>
    <x v="181"/>
    <x v="1"/>
  </r>
  <r>
    <d v="2023-06-01T00:00:00"/>
    <x v="1"/>
    <x v="1"/>
    <x v="1"/>
    <x v="18"/>
    <n v="650"/>
    <n v="28"/>
    <x v="568"/>
    <x v="1"/>
  </r>
  <r>
    <d v="2023-06-01T00:00:00"/>
    <x v="2"/>
    <x v="1"/>
    <x v="0"/>
    <x v="24"/>
    <n v="2540"/>
    <n v="44"/>
    <x v="1053"/>
    <x v="1"/>
  </r>
  <r>
    <d v="2023-06-01T00:00:00"/>
    <x v="4"/>
    <x v="1"/>
    <x v="4"/>
    <x v="7"/>
    <n v="1760"/>
    <n v="72"/>
    <x v="107"/>
    <x v="1"/>
  </r>
  <r>
    <d v="2023-06-01T00:00:00"/>
    <x v="4"/>
    <x v="1"/>
    <x v="4"/>
    <x v="11"/>
    <n v="2970"/>
    <n v="72"/>
    <x v="492"/>
    <x v="1"/>
  </r>
  <r>
    <d v="2023-06-01T00:00:00"/>
    <x v="2"/>
    <x v="5"/>
    <x v="1"/>
    <x v="1"/>
    <n v="1380"/>
    <n v="51"/>
    <x v="1054"/>
    <x v="1"/>
  </r>
  <r>
    <d v="2023-06-01T00:00:00"/>
    <x v="2"/>
    <x v="5"/>
    <x v="0"/>
    <x v="0"/>
    <n v="1320"/>
    <n v="73"/>
    <x v="1055"/>
    <x v="1"/>
  </r>
  <r>
    <d v="2023-06-01T00:00:00"/>
    <x v="4"/>
    <x v="6"/>
    <x v="0"/>
    <x v="22"/>
    <n v="1420"/>
    <n v="53"/>
    <x v="411"/>
    <x v="1"/>
  </r>
  <r>
    <d v="2023-06-01T00:00:00"/>
    <x v="4"/>
    <x v="6"/>
    <x v="0"/>
    <x v="0"/>
    <n v="1320"/>
    <n v="61"/>
    <x v="819"/>
    <x v="1"/>
  </r>
  <r>
    <s v="01.06.2023 Итог"/>
    <x v="3"/>
    <x v="2"/>
    <x v="3"/>
    <x v="3"/>
    <m/>
    <m/>
    <x v="1056"/>
    <x v="1"/>
  </r>
  <r>
    <d v="2023-06-02T00:00:00"/>
    <x v="2"/>
    <x v="0"/>
    <x v="2"/>
    <x v="9"/>
    <n v="690"/>
    <n v="50"/>
    <x v="1057"/>
    <x v="1"/>
  </r>
  <r>
    <d v="2023-06-02T00:00:00"/>
    <x v="0"/>
    <x v="0"/>
    <x v="2"/>
    <x v="9"/>
    <n v="690"/>
    <n v="82"/>
    <x v="556"/>
    <x v="1"/>
  </r>
  <r>
    <d v="2023-06-02T00:00:00"/>
    <x v="4"/>
    <x v="5"/>
    <x v="0"/>
    <x v="5"/>
    <n v="930"/>
    <n v="43"/>
    <x v="1058"/>
    <x v="1"/>
  </r>
  <r>
    <d v="2023-06-02T00:00:00"/>
    <x v="1"/>
    <x v="5"/>
    <x v="4"/>
    <x v="11"/>
    <n v="2970"/>
    <n v="61"/>
    <x v="1059"/>
    <x v="1"/>
  </r>
  <r>
    <d v="2023-06-02T00:00:00"/>
    <x v="2"/>
    <x v="6"/>
    <x v="1"/>
    <x v="23"/>
    <n v="705"/>
    <n v="70"/>
    <x v="1045"/>
    <x v="1"/>
  </r>
  <r>
    <d v="2023-06-02T00:00:00"/>
    <x v="2"/>
    <x v="6"/>
    <x v="1"/>
    <x v="19"/>
    <n v="540"/>
    <n v="76"/>
    <x v="709"/>
    <x v="1"/>
  </r>
  <r>
    <s v="02.06.2023 Итог"/>
    <x v="3"/>
    <x v="2"/>
    <x v="3"/>
    <x v="3"/>
    <m/>
    <m/>
    <x v="1060"/>
    <x v="1"/>
  </r>
  <r>
    <d v="2023-06-03T00:00:00"/>
    <x v="0"/>
    <x v="1"/>
    <x v="1"/>
    <x v="19"/>
    <n v="540"/>
    <n v="62"/>
    <x v="206"/>
    <x v="1"/>
  </r>
  <r>
    <d v="2023-06-03T00:00:00"/>
    <x v="4"/>
    <x v="5"/>
    <x v="1"/>
    <x v="20"/>
    <n v="650"/>
    <n v="12"/>
    <x v="625"/>
    <x v="1"/>
  </r>
  <r>
    <d v="2023-06-03T00:00:00"/>
    <x v="2"/>
    <x v="5"/>
    <x v="2"/>
    <x v="9"/>
    <n v="690"/>
    <n v="69"/>
    <x v="422"/>
    <x v="1"/>
  </r>
  <r>
    <d v="2023-06-03T00:00:00"/>
    <x v="2"/>
    <x v="6"/>
    <x v="1"/>
    <x v="18"/>
    <n v="650"/>
    <n v="69"/>
    <x v="317"/>
    <x v="1"/>
  </r>
  <r>
    <s v="03.06.2023 Итог"/>
    <x v="3"/>
    <x v="2"/>
    <x v="3"/>
    <x v="3"/>
    <m/>
    <m/>
    <x v="1061"/>
    <x v="1"/>
  </r>
  <r>
    <d v="2023-06-04T00:00:00"/>
    <x v="2"/>
    <x v="3"/>
    <x v="2"/>
    <x v="2"/>
    <n v="325"/>
    <n v="69"/>
    <x v="1062"/>
    <x v="1"/>
  </r>
  <r>
    <d v="2023-06-04T00:00:00"/>
    <x v="1"/>
    <x v="0"/>
    <x v="1"/>
    <x v="6"/>
    <n v="640"/>
    <n v="6"/>
    <x v="1063"/>
    <x v="1"/>
  </r>
  <r>
    <d v="2023-06-04T00:00:00"/>
    <x v="0"/>
    <x v="0"/>
    <x v="2"/>
    <x v="12"/>
    <n v="715"/>
    <n v="82"/>
    <x v="842"/>
    <x v="1"/>
  </r>
  <r>
    <d v="2023-06-04T00:00:00"/>
    <x v="4"/>
    <x v="4"/>
    <x v="1"/>
    <x v="18"/>
    <n v="650"/>
    <n v="31"/>
    <x v="306"/>
    <x v="1"/>
  </r>
  <r>
    <d v="2023-06-04T00:00:00"/>
    <x v="4"/>
    <x v="4"/>
    <x v="0"/>
    <x v="22"/>
    <n v="1420"/>
    <n v="61"/>
    <x v="1064"/>
    <x v="1"/>
  </r>
  <r>
    <d v="2023-06-04T00:00:00"/>
    <x v="2"/>
    <x v="1"/>
    <x v="4"/>
    <x v="13"/>
    <n v="1505"/>
    <n v="67"/>
    <x v="1065"/>
    <x v="1"/>
  </r>
  <r>
    <d v="2023-06-04T00:00:00"/>
    <x v="0"/>
    <x v="5"/>
    <x v="1"/>
    <x v="18"/>
    <n v="650"/>
    <n v="50"/>
    <x v="392"/>
    <x v="1"/>
  </r>
  <r>
    <d v="2023-06-04T00:00:00"/>
    <x v="2"/>
    <x v="5"/>
    <x v="1"/>
    <x v="18"/>
    <n v="650"/>
    <n v="27"/>
    <x v="689"/>
    <x v="1"/>
  </r>
  <r>
    <d v="2023-06-04T00:00:00"/>
    <x v="2"/>
    <x v="5"/>
    <x v="1"/>
    <x v="6"/>
    <n v="640"/>
    <n v="99"/>
    <x v="203"/>
    <x v="1"/>
  </r>
  <r>
    <d v="2023-06-04T00:00:00"/>
    <x v="2"/>
    <x v="5"/>
    <x v="4"/>
    <x v="21"/>
    <n v="3205"/>
    <n v="89"/>
    <x v="751"/>
    <x v="1"/>
  </r>
  <r>
    <d v="2023-06-04T00:00:00"/>
    <x v="4"/>
    <x v="6"/>
    <x v="1"/>
    <x v="19"/>
    <n v="540"/>
    <n v="38"/>
    <x v="1066"/>
    <x v="1"/>
  </r>
  <r>
    <s v="04.06.2023 Итог"/>
    <x v="3"/>
    <x v="2"/>
    <x v="3"/>
    <x v="3"/>
    <m/>
    <m/>
    <x v="1067"/>
    <x v="1"/>
  </r>
  <r>
    <d v="2023-06-05T00:00:00"/>
    <x v="4"/>
    <x v="3"/>
    <x v="1"/>
    <x v="19"/>
    <n v="540"/>
    <n v="81"/>
    <x v="915"/>
    <x v="1"/>
  </r>
  <r>
    <d v="2023-06-05T00:00:00"/>
    <x v="4"/>
    <x v="3"/>
    <x v="1"/>
    <x v="18"/>
    <n v="650"/>
    <n v="7"/>
    <x v="928"/>
    <x v="1"/>
  </r>
  <r>
    <d v="2023-06-05T00:00:00"/>
    <x v="2"/>
    <x v="3"/>
    <x v="0"/>
    <x v="22"/>
    <n v="1420"/>
    <n v="49"/>
    <x v="1068"/>
    <x v="1"/>
  </r>
  <r>
    <d v="2023-06-05T00:00:00"/>
    <x v="0"/>
    <x v="0"/>
    <x v="2"/>
    <x v="8"/>
    <n v="460"/>
    <n v="79"/>
    <x v="1069"/>
    <x v="1"/>
  </r>
  <r>
    <d v="2023-06-05T00:00:00"/>
    <x v="1"/>
    <x v="0"/>
    <x v="2"/>
    <x v="12"/>
    <n v="715"/>
    <n v="13"/>
    <x v="1070"/>
    <x v="1"/>
  </r>
  <r>
    <d v="2023-06-05T00:00:00"/>
    <x v="4"/>
    <x v="4"/>
    <x v="1"/>
    <x v="18"/>
    <n v="650"/>
    <n v="44"/>
    <x v="853"/>
    <x v="1"/>
  </r>
  <r>
    <d v="2023-06-05T00:00:00"/>
    <x v="0"/>
    <x v="4"/>
    <x v="2"/>
    <x v="9"/>
    <n v="690"/>
    <n v="6"/>
    <x v="1071"/>
    <x v="1"/>
  </r>
  <r>
    <d v="2023-06-05T00:00:00"/>
    <x v="0"/>
    <x v="5"/>
    <x v="1"/>
    <x v="18"/>
    <n v="650"/>
    <n v="98"/>
    <x v="833"/>
    <x v="1"/>
  </r>
  <r>
    <d v="2023-06-05T00:00:00"/>
    <x v="1"/>
    <x v="6"/>
    <x v="1"/>
    <x v="20"/>
    <n v="650"/>
    <n v="86"/>
    <x v="1072"/>
    <x v="1"/>
  </r>
  <r>
    <s v="05.06.2023 Итог"/>
    <x v="3"/>
    <x v="2"/>
    <x v="3"/>
    <x v="3"/>
    <m/>
    <m/>
    <x v="1073"/>
    <x v="1"/>
  </r>
  <r>
    <d v="2023-06-06T00:00:00"/>
    <x v="2"/>
    <x v="3"/>
    <x v="1"/>
    <x v="23"/>
    <n v="705"/>
    <n v="48"/>
    <x v="1074"/>
    <x v="1"/>
  </r>
  <r>
    <d v="2023-06-06T00:00:00"/>
    <x v="2"/>
    <x v="3"/>
    <x v="4"/>
    <x v="13"/>
    <n v="1505"/>
    <n v="57"/>
    <x v="1075"/>
    <x v="1"/>
  </r>
  <r>
    <d v="2023-06-06T00:00:00"/>
    <x v="1"/>
    <x v="0"/>
    <x v="0"/>
    <x v="10"/>
    <n v="1230"/>
    <n v="14"/>
    <x v="1076"/>
    <x v="1"/>
  </r>
  <r>
    <d v="2023-06-06T00:00:00"/>
    <x v="4"/>
    <x v="1"/>
    <x v="1"/>
    <x v="20"/>
    <n v="650"/>
    <n v="25"/>
    <x v="45"/>
    <x v="1"/>
  </r>
  <r>
    <d v="2023-06-06T00:00:00"/>
    <x v="2"/>
    <x v="5"/>
    <x v="2"/>
    <x v="8"/>
    <n v="460"/>
    <n v="37"/>
    <x v="1077"/>
    <x v="1"/>
  </r>
  <r>
    <d v="2023-06-06T00:00:00"/>
    <x v="0"/>
    <x v="5"/>
    <x v="2"/>
    <x v="4"/>
    <n v="450"/>
    <n v="7"/>
    <x v="1078"/>
    <x v="1"/>
  </r>
  <r>
    <d v="2023-06-06T00:00:00"/>
    <x v="4"/>
    <x v="5"/>
    <x v="4"/>
    <x v="7"/>
    <n v="1760"/>
    <n v="58"/>
    <x v="1079"/>
    <x v="1"/>
  </r>
  <r>
    <d v="2023-06-06T00:00:00"/>
    <x v="4"/>
    <x v="6"/>
    <x v="4"/>
    <x v="21"/>
    <n v="3205"/>
    <n v="57"/>
    <x v="1080"/>
    <x v="1"/>
  </r>
  <r>
    <s v="06.06.2023 Итог"/>
    <x v="3"/>
    <x v="2"/>
    <x v="3"/>
    <x v="3"/>
    <m/>
    <m/>
    <x v="1081"/>
    <x v="1"/>
  </r>
  <r>
    <d v="2023-06-07T00:00:00"/>
    <x v="4"/>
    <x v="3"/>
    <x v="1"/>
    <x v="6"/>
    <n v="640"/>
    <n v="23"/>
    <x v="172"/>
    <x v="1"/>
  </r>
  <r>
    <d v="2023-06-07T00:00:00"/>
    <x v="4"/>
    <x v="3"/>
    <x v="4"/>
    <x v="7"/>
    <n v="1760"/>
    <n v="62"/>
    <x v="1082"/>
    <x v="1"/>
  </r>
  <r>
    <d v="2023-06-07T00:00:00"/>
    <x v="1"/>
    <x v="0"/>
    <x v="4"/>
    <x v="13"/>
    <n v="1505"/>
    <n v="77"/>
    <x v="1083"/>
    <x v="1"/>
  </r>
  <r>
    <d v="2023-06-07T00:00:00"/>
    <x v="0"/>
    <x v="4"/>
    <x v="4"/>
    <x v="11"/>
    <n v="2970"/>
    <n v="23"/>
    <x v="834"/>
    <x v="1"/>
  </r>
  <r>
    <d v="2023-06-07T00:00:00"/>
    <x v="2"/>
    <x v="1"/>
    <x v="1"/>
    <x v="1"/>
    <n v="1380"/>
    <n v="90"/>
    <x v="583"/>
    <x v="1"/>
  </r>
  <r>
    <d v="2023-06-07T00:00:00"/>
    <x v="1"/>
    <x v="1"/>
    <x v="1"/>
    <x v="23"/>
    <n v="705"/>
    <n v="27"/>
    <x v="1084"/>
    <x v="1"/>
  </r>
  <r>
    <d v="2023-06-07T00:00:00"/>
    <x v="1"/>
    <x v="1"/>
    <x v="0"/>
    <x v="17"/>
    <n v="2400"/>
    <n v="44"/>
    <x v="769"/>
    <x v="1"/>
  </r>
  <r>
    <d v="2023-06-07T00:00:00"/>
    <x v="0"/>
    <x v="1"/>
    <x v="4"/>
    <x v="21"/>
    <n v="3205"/>
    <n v="70"/>
    <x v="1085"/>
    <x v="1"/>
  </r>
  <r>
    <d v="2023-06-07T00:00:00"/>
    <x v="2"/>
    <x v="5"/>
    <x v="1"/>
    <x v="23"/>
    <n v="705"/>
    <n v="58"/>
    <x v="1086"/>
    <x v="1"/>
  </r>
  <r>
    <d v="2023-06-07T00:00:00"/>
    <x v="4"/>
    <x v="5"/>
    <x v="1"/>
    <x v="20"/>
    <n v="650"/>
    <n v="46"/>
    <x v="667"/>
    <x v="1"/>
  </r>
  <r>
    <d v="2023-06-07T00:00:00"/>
    <x v="1"/>
    <x v="5"/>
    <x v="0"/>
    <x v="17"/>
    <n v="2400"/>
    <n v="90"/>
    <x v="435"/>
    <x v="1"/>
  </r>
  <r>
    <d v="2023-06-07T00:00:00"/>
    <x v="2"/>
    <x v="6"/>
    <x v="0"/>
    <x v="17"/>
    <n v="2400"/>
    <n v="46"/>
    <x v="1087"/>
    <x v="1"/>
  </r>
  <r>
    <s v="07.06.2023 Итог"/>
    <x v="3"/>
    <x v="2"/>
    <x v="3"/>
    <x v="3"/>
    <m/>
    <m/>
    <x v="1088"/>
    <x v="1"/>
  </r>
  <r>
    <d v="2023-06-08T00:00:00"/>
    <x v="1"/>
    <x v="3"/>
    <x v="2"/>
    <x v="2"/>
    <n v="325"/>
    <n v="61"/>
    <x v="1016"/>
    <x v="1"/>
  </r>
  <r>
    <d v="2023-06-08T00:00:00"/>
    <x v="4"/>
    <x v="3"/>
    <x v="4"/>
    <x v="14"/>
    <n v="1670"/>
    <n v="71"/>
    <x v="811"/>
    <x v="1"/>
  </r>
  <r>
    <d v="2023-06-08T00:00:00"/>
    <x v="1"/>
    <x v="3"/>
    <x v="4"/>
    <x v="13"/>
    <n v="1505"/>
    <n v="41"/>
    <x v="1089"/>
    <x v="1"/>
  </r>
  <r>
    <d v="2023-06-08T00:00:00"/>
    <x v="0"/>
    <x v="0"/>
    <x v="1"/>
    <x v="23"/>
    <n v="705"/>
    <n v="17"/>
    <x v="684"/>
    <x v="1"/>
  </r>
  <r>
    <d v="2023-06-08T00:00:00"/>
    <x v="0"/>
    <x v="0"/>
    <x v="0"/>
    <x v="0"/>
    <n v="1320"/>
    <n v="83"/>
    <x v="463"/>
    <x v="1"/>
  </r>
  <r>
    <d v="2023-06-08T00:00:00"/>
    <x v="1"/>
    <x v="4"/>
    <x v="0"/>
    <x v="10"/>
    <n v="1230"/>
    <n v="23"/>
    <x v="738"/>
    <x v="1"/>
  </r>
  <r>
    <d v="2023-06-08T00:00:00"/>
    <x v="1"/>
    <x v="4"/>
    <x v="4"/>
    <x v="21"/>
    <n v="3205"/>
    <n v="18"/>
    <x v="688"/>
    <x v="1"/>
  </r>
  <r>
    <d v="2023-06-08T00:00:00"/>
    <x v="0"/>
    <x v="5"/>
    <x v="1"/>
    <x v="6"/>
    <n v="640"/>
    <n v="97"/>
    <x v="1090"/>
    <x v="1"/>
  </r>
  <r>
    <d v="2023-06-08T00:00:00"/>
    <x v="2"/>
    <x v="5"/>
    <x v="1"/>
    <x v="20"/>
    <n v="650"/>
    <n v="47"/>
    <x v="1091"/>
    <x v="1"/>
  </r>
  <r>
    <d v="2023-06-08T00:00:00"/>
    <x v="1"/>
    <x v="5"/>
    <x v="2"/>
    <x v="2"/>
    <n v="325"/>
    <n v="35"/>
    <x v="1092"/>
    <x v="1"/>
  </r>
  <r>
    <d v="2023-06-08T00:00:00"/>
    <x v="4"/>
    <x v="6"/>
    <x v="1"/>
    <x v="18"/>
    <n v="650"/>
    <n v="45"/>
    <x v="1093"/>
    <x v="1"/>
  </r>
  <r>
    <d v="2023-06-08T00:00:00"/>
    <x v="4"/>
    <x v="6"/>
    <x v="0"/>
    <x v="10"/>
    <n v="1230"/>
    <n v="92"/>
    <x v="1094"/>
    <x v="1"/>
  </r>
  <r>
    <s v="08.06.2023 Итог"/>
    <x v="3"/>
    <x v="2"/>
    <x v="3"/>
    <x v="3"/>
    <m/>
    <m/>
    <x v="1095"/>
    <x v="1"/>
  </r>
  <r>
    <d v="2023-06-09T00:00:00"/>
    <x v="2"/>
    <x v="3"/>
    <x v="2"/>
    <x v="9"/>
    <n v="690"/>
    <n v="58"/>
    <x v="215"/>
    <x v="1"/>
  </r>
  <r>
    <d v="2023-06-09T00:00:00"/>
    <x v="1"/>
    <x v="3"/>
    <x v="0"/>
    <x v="17"/>
    <n v="2400"/>
    <n v="75"/>
    <x v="848"/>
    <x v="1"/>
  </r>
  <r>
    <d v="2023-06-09T00:00:00"/>
    <x v="4"/>
    <x v="3"/>
    <x v="0"/>
    <x v="22"/>
    <n v="1420"/>
    <n v="58"/>
    <x v="888"/>
    <x v="1"/>
  </r>
  <r>
    <d v="2023-06-09T00:00:00"/>
    <x v="1"/>
    <x v="3"/>
    <x v="4"/>
    <x v="11"/>
    <n v="2970"/>
    <n v="72"/>
    <x v="492"/>
    <x v="1"/>
  </r>
  <r>
    <d v="2023-06-09T00:00:00"/>
    <x v="2"/>
    <x v="4"/>
    <x v="1"/>
    <x v="20"/>
    <n v="650"/>
    <n v="91"/>
    <x v="1096"/>
    <x v="1"/>
  </r>
  <r>
    <d v="2023-06-09T00:00:00"/>
    <x v="4"/>
    <x v="4"/>
    <x v="1"/>
    <x v="19"/>
    <n v="540"/>
    <n v="77"/>
    <x v="52"/>
    <x v="1"/>
  </r>
  <r>
    <d v="2023-06-09T00:00:00"/>
    <x v="1"/>
    <x v="4"/>
    <x v="4"/>
    <x v="21"/>
    <n v="3205"/>
    <n v="43"/>
    <x v="949"/>
    <x v="1"/>
  </r>
  <r>
    <d v="2023-06-09T00:00:00"/>
    <x v="1"/>
    <x v="1"/>
    <x v="1"/>
    <x v="19"/>
    <n v="540"/>
    <n v="98"/>
    <x v="136"/>
    <x v="1"/>
  </r>
  <r>
    <d v="2023-06-09T00:00:00"/>
    <x v="0"/>
    <x v="1"/>
    <x v="4"/>
    <x v="11"/>
    <n v="2970"/>
    <n v="34"/>
    <x v="1097"/>
    <x v="1"/>
  </r>
  <r>
    <s v="09.06.2023 Итог"/>
    <x v="3"/>
    <x v="2"/>
    <x v="3"/>
    <x v="3"/>
    <m/>
    <m/>
    <x v="1098"/>
    <x v="1"/>
  </r>
  <r>
    <d v="2023-06-10T00:00:00"/>
    <x v="1"/>
    <x v="3"/>
    <x v="2"/>
    <x v="9"/>
    <n v="690"/>
    <n v="66"/>
    <x v="744"/>
    <x v="1"/>
  </r>
  <r>
    <d v="2023-06-10T00:00:00"/>
    <x v="0"/>
    <x v="3"/>
    <x v="2"/>
    <x v="4"/>
    <n v="450"/>
    <n v="39"/>
    <x v="689"/>
    <x v="1"/>
  </r>
  <r>
    <d v="2023-06-10T00:00:00"/>
    <x v="4"/>
    <x v="3"/>
    <x v="2"/>
    <x v="4"/>
    <n v="450"/>
    <n v="27"/>
    <x v="664"/>
    <x v="1"/>
  </r>
  <r>
    <d v="2023-06-10T00:00:00"/>
    <x v="4"/>
    <x v="3"/>
    <x v="2"/>
    <x v="8"/>
    <n v="460"/>
    <n v="56"/>
    <x v="1099"/>
    <x v="1"/>
  </r>
  <r>
    <d v="2023-06-10T00:00:00"/>
    <x v="2"/>
    <x v="3"/>
    <x v="4"/>
    <x v="13"/>
    <n v="1505"/>
    <n v="33"/>
    <x v="1100"/>
    <x v="1"/>
  </r>
  <r>
    <d v="2023-06-10T00:00:00"/>
    <x v="1"/>
    <x v="0"/>
    <x v="2"/>
    <x v="9"/>
    <n v="690"/>
    <n v="71"/>
    <x v="1101"/>
    <x v="1"/>
  </r>
  <r>
    <d v="2023-06-10T00:00:00"/>
    <x v="1"/>
    <x v="0"/>
    <x v="4"/>
    <x v="13"/>
    <n v="1505"/>
    <n v="7"/>
    <x v="1102"/>
    <x v="1"/>
  </r>
  <r>
    <d v="2023-06-10T00:00:00"/>
    <x v="2"/>
    <x v="4"/>
    <x v="2"/>
    <x v="9"/>
    <n v="690"/>
    <n v="20"/>
    <x v="505"/>
    <x v="1"/>
  </r>
  <r>
    <d v="2023-06-10T00:00:00"/>
    <x v="2"/>
    <x v="5"/>
    <x v="1"/>
    <x v="1"/>
    <n v="1380"/>
    <n v="44"/>
    <x v="1103"/>
    <x v="1"/>
  </r>
  <r>
    <d v="2023-06-10T00:00:00"/>
    <x v="1"/>
    <x v="5"/>
    <x v="4"/>
    <x v="13"/>
    <n v="1505"/>
    <n v="44"/>
    <x v="1104"/>
    <x v="1"/>
  </r>
  <r>
    <d v="2023-06-10T00:00:00"/>
    <x v="0"/>
    <x v="6"/>
    <x v="4"/>
    <x v="13"/>
    <n v="1505"/>
    <n v="42"/>
    <x v="936"/>
    <x v="1"/>
  </r>
  <r>
    <d v="2023-06-10T00:00:00"/>
    <x v="2"/>
    <x v="6"/>
    <x v="4"/>
    <x v="11"/>
    <n v="2970"/>
    <n v="51"/>
    <x v="846"/>
    <x v="1"/>
  </r>
  <r>
    <s v="10.06.2023 Итог"/>
    <x v="3"/>
    <x v="2"/>
    <x v="3"/>
    <x v="3"/>
    <m/>
    <m/>
    <x v="1105"/>
    <x v="1"/>
  </r>
  <r>
    <d v="2023-06-11T00:00:00"/>
    <x v="0"/>
    <x v="3"/>
    <x v="0"/>
    <x v="17"/>
    <n v="2400"/>
    <n v="99"/>
    <x v="41"/>
    <x v="1"/>
  </r>
  <r>
    <d v="2023-06-11T00:00:00"/>
    <x v="4"/>
    <x v="3"/>
    <x v="0"/>
    <x v="22"/>
    <n v="1420"/>
    <n v="32"/>
    <x v="487"/>
    <x v="1"/>
  </r>
  <r>
    <d v="2023-06-11T00:00:00"/>
    <x v="1"/>
    <x v="4"/>
    <x v="2"/>
    <x v="4"/>
    <n v="450"/>
    <n v="46"/>
    <x v="812"/>
    <x v="1"/>
  </r>
  <r>
    <d v="2023-06-11T00:00:00"/>
    <x v="0"/>
    <x v="1"/>
    <x v="1"/>
    <x v="6"/>
    <n v="640"/>
    <n v="24"/>
    <x v="1106"/>
    <x v="1"/>
  </r>
  <r>
    <d v="2023-06-11T00:00:00"/>
    <x v="4"/>
    <x v="1"/>
    <x v="4"/>
    <x v="15"/>
    <n v="2460"/>
    <n v="94"/>
    <x v="1107"/>
    <x v="1"/>
  </r>
  <r>
    <d v="2023-06-11T00:00:00"/>
    <x v="0"/>
    <x v="5"/>
    <x v="2"/>
    <x v="12"/>
    <n v="715"/>
    <n v="77"/>
    <x v="1108"/>
    <x v="1"/>
  </r>
  <r>
    <d v="2023-06-11T00:00:00"/>
    <x v="0"/>
    <x v="5"/>
    <x v="2"/>
    <x v="8"/>
    <n v="460"/>
    <n v="86"/>
    <x v="1109"/>
    <x v="1"/>
  </r>
  <r>
    <d v="2023-06-11T00:00:00"/>
    <x v="4"/>
    <x v="5"/>
    <x v="0"/>
    <x v="17"/>
    <n v="2400"/>
    <n v="64"/>
    <x v="1110"/>
    <x v="1"/>
  </r>
  <r>
    <d v="2023-06-11T00:00:00"/>
    <x v="2"/>
    <x v="6"/>
    <x v="1"/>
    <x v="1"/>
    <n v="1380"/>
    <n v="60"/>
    <x v="1111"/>
    <x v="1"/>
  </r>
  <r>
    <s v="11.06.2023 Итог"/>
    <x v="3"/>
    <x v="2"/>
    <x v="3"/>
    <x v="3"/>
    <m/>
    <m/>
    <x v="1112"/>
    <x v="1"/>
  </r>
  <r>
    <d v="2023-06-12T00:00:00"/>
    <x v="4"/>
    <x v="3"/>
    <x v="4"/>
    <x v="7"/>
    <n v="1760"/>
    <n v="84"/>
    <x v="7"/>
    <x v="1"/>
  </r>
  <r>
    <d v="2023-06-12T00:00:00"/>
    <x v="1"/>
    <x v="0"/>
    <x v="2"/>
    <x v="9"/>
    <n v="690"/>
    <n v="39"/>
    <x v="1113"/>
    <x v="1"/>
  </r>
  <r>
    <d v="2023-06-12T00:00:00"/>
    <x v="4"/>
    <x v="4"/>
    <x v="2"/>
    <x v="2"/>
    <n v="325"/>
    <n v="79"/>
    <x v="1114"/>
    <x v="1"/>
  </r>
  <r>
    <d v="2023-06-12T00:00:00"/>
    <x v="4"/>
    <x v="4"/>
    <x v="4"/>
    <x v="15"/>
    <n v="2460"/>
    <n v="43"/>
    <x v="465"/>
    <x v="1"/>
  </r>
  <r>
    <d v="2023-06-12T00:00:00"/>
    <x v="2"/>
    <x v="1"/>
    <x v="1"/>
    <x v="20"/>
    <n v="650"/>
    <n v="71"/>
    <x v="161"/>
    <x v="1"/>
  </r>
  <r>
    <d v="2023-06-12T00:00:00"/>
    <x v="0"/>
    <x v="6"/>
    <x v="1"/>
    <x v="23"/>
    <n v="705"/>
    <n v="15"/>
    <x v="893"/>
    <x v="1"/>
  </r>
  <r>
    <s v="12.06.2023 Итог"/>
    <x v="3"/>
    <x v="2"/>
    <x v="3"/>
    <x v="3"/>
    <m/>
    <m/>
    <x v="1115"/>
    <x v="1"/>
  </r>
  <r>
    <d v="2023-06-13T00:00:00"/>
    <x v="0"/>
    <x v="3"/>
    <x v="0"/>
    <x v="17"/>
    <n v="2400"/>
    <n v="50"/>
    <x v="1116"/>
    <x v="1"/>
  </r>
  <r>
    <d v="2023-06-13T00:00:00"/>
    <x v="2"/>
    <x v="0"/>
    <x v="1"/>
    <x v="1"/>
    <n v="1380"/>
    <n v="76"/>
    <x v="307"/>
    <x v="1"/>
  </r>
  <r>
    <d v="2023-06-13T00:00:00"/>
    <x v="4"/>
    <x v="0"/>
    <x v="0"/>
    <x v="0"/>
    <n v="1320"/>
    <n v="18"/>
    <x v="1117"/>
    <x v="1"/>
  </r>
  <r>
    <d v="2023-06-13T00:00:00"/>
    <x v="4"/>
    <x v="4"/>
    <x v="2"/>
    <x v="2"/>
    <n v="325"/>
    <n v="32"/>
    <x v="673"/>
    <x v="1"/>
  </r>
  <r>
    <d v="2023-06-13T00:00:00"/>
    <x v="1"/>
    <x v="4"/>
    <x v="0"/>
    <x v="5"/>
    <n v="930"/>
    <n v="45"/>
    <x v="820"/>
    <x v="1"/>
  </r>
  <r>
    <d v="2023-06-13T00:00:00"/>
    <x v="1"/>
    <x v="1"/>
    <x v="1"/>
    <x v="23"/>
    <n v="705"/>
    <n v="6"/>
    <x v="1118"/>
    <x v="1"/>
  </r>
  <r>
    <d v="2023-06-13T00:00:00"/>
    <x v="4"/>
    <x v="1"/>
    <x v="2"/>
    <x v="16"/>
    <n v="890"/>
    <n v="40"/>
    <x v="877"/>
    <x v="1"/>
  </r>
  <r>
    <d v="2023-06-13T00:00:00"/>
    <x v="1"/>
    <x v="1"/>
    <x v="0"/>
    <x v="22"/>
    <n v="1420"/>
    <n v="66"/>
    <x v="115"/>
    <x v="1"/>
  </r>
  <r>
    <d v="2023-06-13T00:00:00"/>
    <x v="0"/>
    <x v="6"/>
    <x v="1"/>
    <x v="1"/>
    <n v="1380"/>
    <n v="43"/>
    <x v="147"/>
    <x v="1"/>
  </r>
  <r>
    <d v="2023-06-13T00:00:00"/>
    <x v="2"/>
    <x v="6"/>
    <x v="0"/>
    <x v="24"/>
    <n v="2540"/>
    <n v="72"/>
    <x v="1119"/>
    <x v="1"/>
  </r>
  <r>
    <s v="13.06.2023 Итог"/>
    <x v="3"/>
    <x v="2"/>
    <x v="3"/>
    <x v="3"/>
    <m/>
    <m/>
    <x v="1120"/>
    <x v="1"/>
  </r>
  <r>
    <d v="2023-06-14T00:00:00"/>
    <x v="2"/>
    <x v="3"/>
    <x v="2"/>
    <x v="2"/>
    <n v="325"/>
    <n v="33"/>
    <x v="28"/>
    <x v="1"/>
  </r>
  <r>
    <d v="2023-06-14T00:00:00"/>
    <x v="0"/>
    <x v="3"/>
    <x v="0"/>
    <x v="5"/>
    <n v="930"/>
    <n v="43"/>
    <x v="1058"/>
    <x v="1"/>
  </r>
  <r>
    <d v="2023-06-14T00:00:00"/>
    <x v="4"/>
    <x v="0"/>
    <x v="1"/>
    <x v="23"/>
    <n v="705"/>
    <n v="40"/>
    <x v="1121"/>
    <x v="1"/>
  </r>
  <r>
    <d v="2023-06-14T00:00:00"/>
    <x v="4"/>
    <x v="0"/>
    <x v="0"/>
    <x v="17"/>
    <n v="2400"/>
    <n v="8"/>
    <x v="191"/>
    <x v="1"/>
  </r>
  <r>
    <d v="2023-06-14T00:00:00"/>
    <x v="1"/>
    <x v="0"/>
    <x v="0"/>
    <x v="22"/>
    <n v="1420"/>
    <n v="87"/>
    <x v="1122"/>
    <x v="1"/>
  </r>
  <r>
    <d v="2023-06-14T00:00:00"/>
    <x v="1"/>
    <x v="4"/>
    <x v="2"/>
    <x v="16"/>
    <n v="890"/>
    <n v="67"/>
    <x v="1123"/>
    <x v="1"/>
  </r>
  <r>
    <d v="2023-06-14T00:00:00"/>
    <x v="0"/>
    <x v="1"/>
    <x v="2"/>
    <x v="2"/>
    <n v="325"/>
    <n v="100"/>
    <x v="392"/>
    <x v="1"/>
  </r>
  <r>
    <d v="2023-06-14T00:00:00"/>
    <x v="2"/>
    <x v="1"/>
    <x v="0"/>
    <x v="22"/>
    <n v="1420"/>
    <n v="33"/>
    <x v="767"/>
    <x v="1"/>
  </r>
  <r>
    <d v="2023-06-14T00:00:00"/>
    <x v="1"/>
    <x v="5"/>
    <x v="0"/>
    <x v="5"/>
    <n v="930"/>
    <n v="67"/>
    <x v="668"/>
    <x v="1"/>
  </r>
  <r>
    <d v="2023-06-14T00:00:00"/>
    <x v="1"/>
    <x v="5"/>
    <x v="4"/>
    <x v="7"/>
    <n v="1760"/>
    <n v="62"/>
    <x v="1082"/>
    <x v="1"/>
  </r>
  <r>
    <d v="2023-06-14T00:00:00"/>
    <x v="0"/>
    <x v="5"/>
    <x v="4"/>
    <x v="7"/>
    <n v="1760"/>
    <n v="91"/>
    <x v="703"/>
    <x v="1"/>
  </r>
  <r>
    <d v="2023-06-14T00:00:00"/>
    <x v="1"/>
    <x v="6"/>
    <x v="4"/>
    <x v="11"/>
    <n v="2970"/>
    <n v="66"/>
    <x v="781"/>
    <x v="1"/>
  </r>
  <r>
    <d v="2023-06-14T00:00:00"/>
    <x v="1"/>
    <x v="6"/>
    <x v="4"/>
    <x v="21"/>
    <n v="3205"/>
    <n v="22"/>
    <x v="311"/>
    <x v="1"/>
  </r>
  <r>
    <s v="14.06.2023 Итог"/>
    <x v="3"/>
    <x v="2"/>
    <x v="3"/>
    <x v="3"/>
    <m/>
    <m/>
    <x v="1124"/>
    <x v="1"/>
  </r>
  <r>
    <d v="2023-06-15T00:00:00"/>
    <x v="2"/>
    <x v="3"/>
    <x v="1"/>
    <x v="23"/>
    <n v="705"/>
    <n v="42"/>
    <x v="1125"/>
    <x v="1"/>
  </r>
  <r>
    <d v="2023-06-15T00:00:00"/>
    <x v="0"/>
    <x v="0"/>
    <x v="4"/>
    <x v="21"/>
    <n v="3205"/>
    <n v="46"/>
    <x v="371"/>
    <x v="1"/>
  </r>
  <r>
    <d v="2023-06-15T00:00:00"/>
    <x v="0"/>
    <x v="4"/>
    <x v="4"/>
    <x v="14"/>
    <n v="1670"/>
    <n v="96"/>
    <x v="394"/>
    <x v="1"/>
  </r>
  <r>
    <d v="2023-06-15T00:00:00"/>
    <x v="0"/>
    <x v="1"/>
    <x v="4"/>
    <x v="11"/>
    <n v="2970"/>
    <n v="6"/>
    <x v="924"/>
    <x v="1"/>
  </r>
  <r>
    <d v="2023-06-15T00:00:00"/>
    <x v="4"/>
    <x v="1"/>
    <x v="4"/>
    <x v="15"/>
    <n v="2460"/>
    <n v="23"/>
    <x v="556"/>
    <x v="1"/>
  </r>
  <r>
    <s v="15.06.2023 Итог"/>
    <x v="3"/>
    <x v="2"/>
    <x v="3"/>
    <x v="3"/>
    <m/>
    <m/>
    <x v="1126"/>
    <x v="1"/>
  </r>
  <r>
    <d v="2023-06-16T00:00:00"/>
    <x v="0"/>
    <x v="3"/>
    <x v="2"/>
    <x v="9"/>
    <n v="690"/>
    <n v="45"/>
    <x v="17"/>
    <x v="1"/>
  </r>
  <r>
    <d v="2023-06-16T00:00:00"/>
    <x v="4"/>
    <x v="3"/>
    <x v="4"/>
    <x v="7"/>
    <n v="1760"/>
    <n v="43"/>
    <x v="1127"/>
    <x v="1"/>
  </r>
  <r>
    <d v="2023-06-16T00:00:00"/>
    <x v="1"/>
    <x v="0"/>
    <x v="4"/>
    <x v="11"/>
    <n v="2970"/>
    <n v="57"/>
    <x v="1128"/>
    <x v="1"/>
  </r>
  <r>
    <d v="2023-06-16T00:00:00"/>
    <x v="4"/>
    <x v="4"/>
    <x v="0"/>
    <x v="17"/>
    <n v="2400"/>
    <n v="90"/>
    <x v="435"/>
    <x v="1"/>
  </r>
  <r>
    <d v="2023-06-16T00:00:00"/>
    <x v="4"/>
    <x v="4"/>
    <x v="4"/>
    <x v="11"/>
    <n v="2970"/>
    <n v="47"/>
    <x v="1129"/>
    <x v="1"/>
  </r>
  <r>
    <d v="2023-06-16T00:00:00"/>
    <x v="4"/>
    <x v="1"/>
    <x v="4"/>
    <x v="14"/>
    <n v="1670"/>
    <n v="7"/>
    <x v="1130"/>
    <x v="1"/>
  </r>
  <r>
    <d v="2023-06-16T00:00:00"/>
    <x v="4"/>
    <x v="5"/>
    <x v="1"/>
    <x v="1"/>
    <n v="1380"/>
    <n v="33"/>
    <x v="744"/>
    <x v="1"/>
  </r>
  <r>
    <d v="2023-06-16T00:00:00"/>
    <x v="2"/>
    <x v="6"/>
    <x v="1"/>
    <x v="18"/>
    <n v="650"/>
    <n v="43"/>
    <x v="1131"/>
    <x v="1"/>
  </r>
  <r>
    <d v="2023-06-16T00:00:00"/>
    <x v="4"/>
    <x v="6"/>
    <x v="1"/>
    <x v="6"/>
    <n v="640"/>
    <n v="73"/>
    <x v="1047"/>
    <x v="1"/>
  </r>
  <r>
    <d v="2023-06-16T00:00:00"/>
    <x v="2"/>
    <x v="6"/>
    <x v="0"/>
    <x v="17"/>
    <n v="2400"/>
    <n v="18"/>
    <x v="20"/>
    <x v="1"/>
  </r>
  <r>
    <d v="2023-06-16T00:00:00"/>
    <x v="4"/>
    <x v="6"/>
    <x v="0"/>
    <x v="22"/>
    <n v="1420"/>
    <n v="53"/>
    <x v="411"/>
    <x v="1"/>
  </r>
  <r>
    <d v="2023-06-16T00:00:00"/>
    <x v="2"/>
    <x v="6"/>
    <x v="4"/>
    <x v="21"/>
    <n v="3205"/>
    <n v="40"/>
    <x v="1132"/>
    <x v="1"/>
  </r>
  <r>
    <s v="16.06.2023 Итог"/>
    <x v="3"/>
    <x v="2"/>
    <x v="3"/>
    <x v="3"/>
    <m/>
    <m/>
    <x v="1133"/>
    <x v="1"/>
  </r>
  <r>
    <d v="2023-06-17T00:00:00"/>
    <x v="0"/>
    <x v="3"/>
    <x v="2"/>
    <x v="8"/>
    <n v="460"/>
    <n v="41"/>
    <x v="361"/>
    <x v="1"/>
  </r>
  <r>
    <d v="2023-06-17T00:00:00"/>
    <x v="1"/>
    <x v="3"/>
    <x v="4"/>
    <x v="21"/>
    <n v="3205"/>
    <n v="13"/>
    <x v="1134"/>
    <x v="1"/>
  </r>
  <r>
    <d v="2023-06-17T00:00:00"/>
    <x v="1"/>
    <x v="0"/>
    <x v="1"/>
    <x v="18"/>
    <n v="650"/>
    <n v="50"/>
    <x v="392"/>
    <x v="1"/>
  </r>
  <r>
    <d v="2023-06-17T00:00:00"/>
    <x v="0"/>
    <x v="0"/>
    <x v="1"/>
    <x v="1"/>
    <n v="1380"/>
    <n v="70"/>
    <x v="405"/>
    <x v="1"/>
  </r>
  <r>
    <d v="2023-06-17T00:00:00"/>
    <x v="4"/>
    <x v="0"/>
    <x v="0"/>
    <x v="24"/>
    <n v="2540"/>
    <n v="76"/>
    <x v="1135"/>
    <x v="1"/>
  </r>
  <r>
    <d v="2023-06-17T00:00:00"/>
    <x v="0"/>
    <x v="4"/>
    <x v="0"/>
    <x v="24"/>
    <n v="2540"/>
    <n v="21"/>
    <x v="658"/>
    <x v="1"/>
  </r>
  <r>
    <d v="2023-06-17T00:00:00"/>
    <x v="1"/>
    <x v="4"/>
    <x v="0"/>
    <x v="10"/>
    <n v="1230"/>
    <n v="16"/>
    <x v="254"/>
    <x v="1"/>
  </r>
  <r>
    <d v="2023-06-17T00:00:00"/>
    <x v="1"/>
    <x v="1"/>
    <x v="1"/>
    <x v="1"/>
    <n v="1380"/>
    <n v="39"/>
    <x v="197"/>
    <x v="1"/>
  </r>
  <r>
    <d v="2023-06-17T00:00:00"/>
    <x v="0"/>
    <x v="1"/>
    <x v="2"/>
    <x v="16"/>
    <n v="890"/>
    <n v="97"/>
    <x v="1020"/>
    <x v="1"/>
  </r>
  <r>
    <d v="2023-06-17T00:00:00"/>
    <x v="2"/>
    <x v="1"/>
    <x v="0"/>
    <x v="5"/>
    <n v="930"/>
    <n v="76"/>
    <x v="1136"/>
    <x v="1"/>
  </r>
  <r>
    <d v="2023-06-17T00:00:00"/>
    <x v="2"/>
    <x v="5"/>
    <x v="0"/>
    <x v="0"/>
    <n v="1320"/>
    <n v="91"/>
    <x v="521"/>
    <x v="1"/>
  </r>
  <r>
    <d v="2023-06-17T00:00:00"/>
    <x v="2"/>
    <x v="5"/>
    <x v="0"/>
    <x v="5"/>
    <n v="930"/>
    <n v="69"/>
    <x v="1137"/>
    <x v="1"/>
  </r>
  <r>
    <d v="2023-06-17T00:00:00"/>
    <x v="2"/>
    <x v="5"/>
    <x v="4"/>
    <x v="21"/>
    <n v="3205"/>
    <n v="91"/>
    <x v="1138"/>
    <x v="1"/>
  </r>
  <r>
    <s v="17.06.2023 Итог"/>
    <x v="3"/>
    <x v="2"/>
    <x v="3"/>
    <x v="3"/>
    <m/>
    <m/>
    <x v="1139"/>
    <x v="1"/>
  </r>
  <r>
    <d v="2023-06-18T00:00:00"/>
    <x v="0"/>
    <x v="3"/>
    <x v="1"/>
    <x v="1"/>
    <n v="1380"/>
    <n v="15"/>
    <x v="812"/>
    <x v="1"/>
  </r>
  <r>
    <d v="2023-06-18T00:00:00"/>
    <x v="0"/>
    <x v="0"/>
    <x v="2"/>
    <x v="4"/>
    <n v="450"/>
    <n v="9"/>
    <x v="181"/>
    <x v="1"/>
  </r>
  <r>
    <d v="2023-06-18T00:00:00"/>
    <x v="2"/>
    <x v="4"/>
    <x v="0"/>
    <x v="0"/>
    <n v="1320"/>
    <n v="42"/>
    <x v="1140"/>
    <x v="1"/>
  </r>
  <r>
    <d v="2023-06-18T00:00:00"/>
    <x v="4"/>
    <x v="1"/>
    <x v="1"/>
    <x v="20"/>
    <n v="650"/>
    <n v="89"/>
    <x v="218"/>
    <x v="1"/>
  </r>
  <r>
    <d v="2023-06-18T00:00:00"/>
    <x v="2"/>
    <x v="1"/>
    <x v="2"/>
    <x v="16"/>
    <n v="890"/>
    <n v="71"/>
    <x v="1141"/>
    <x v="1"/>
  </r>
  <r>
    <d v="2023-06-18T00:00:00"/>
    <x v="4"/>
    <x v="1"/>
    <x v="0"/>
    <x v="0"/>
    <n v="1320"/>
    <n v="22"/>
    <x v="1023"/>
    <x v="1"/>
  </r>
  <r>
    <d v="2023-06-18T00:00:00"/>
    <x v="2"/>
    <x v="6"/>
    <x v="2"/>
    <x v="8"/>
    <n v="460"/>
    <n v="82"/>
    <x v="1142"/>
    <x v="1"/>
  </r>
  <r>
    <d v="2023-06-18T00:00:00"/>
    <x v="1"/>
    <x v="6"/>
    <x v="0"/>
    <x v="24"/>
    <n v="2540"/>
    <n v="30"/>
    <x v="1143"/>
    <x v="1"/>
  </r>
  <r>
    <s v="18.06.2023 Итог"/>
    <x v="3"/>
    <x v="2"/>
    <x v="3"/>
    <x v="3"/>
    <m/>
    <m/>
    <x v="1144"/>
    <x v="1"/>
  </r>
  <r>
    <d v="2023-06-19T00:00:00"/>
    <x v="1"/>
    <x v="3"/>
    <x v="2"/>
    <x v="9"/>
    <n v="690"/>
    <n v="67"/>
    <x v="1145"/>
    <x v="1"/>
  </r>
  <r>
    <d v="2023-06-19T00:00:00"/>
    <x v="1"/>
    <x v="0"/>
    <x v="0"/>
    <x v="0"/>
    <n v="1320"/>
    <n v="9"/>
    <x v="1146"/>
    <x v="1"/>
  </r>
  <r>
    <d v="2023-06-19T00:00:00"/>
    <x v="2"/>
    <x v="0"/>
    <x v="4"/>
    <x v="21"/>
    <n v="3205"/>
    <n v="63"/>
    <x v="793"/>
    <x v="1"/>
  </r>
  <r>
    <d v="2023-06-19T00:00:00"/>
    <x v="2"/>
    <x v="4"/>
    <x v="2"/>
    <x v="9"/>
    <n v="690"/>
    <n v="35"/>
    <x v="22"/>
    <x v="1"/>
  </r>
  <r>
    <d v="2023-06-19T00:00:00"/>
    <x v="1"/>
    <x v="1"/>
    <x v="0"/>
    <x v="5"/>
    <n v="930"/>
    <n v="50"/>
    <x v="143"/>
    <x v="1"/>
  </r>
  <r>
    <d v="2023-06-19T00:00:00"/>
    <x v="1"/>
    <x v="1"/>
    <x v="4"/>
    <x v="7"/>
    <n v="1760"/>
    <n v="65"/>
    <x v="1147"/>
    <x v="1"/>
  </r>
  <r>
    <d v="2023-06-19T00:00:00"/>
    <x v="4"/>
    <x v="5"/>
    <x v="2"/>
    <x v="4"/>
    <n v="450"/>
    <n v="26"/>
    <x v="480"/>
    <x v="1"/>
  </r>
  <r>
    <d v="2023-06-19T00:00:00"/>
    <x v="4"/>
    <x v="5"/>
    <x v="0"/>
    <x v="0"/>
    <n v="1320"/>
    <n v="66"/>
    <x v="1148"/>
    <x v="1"/>
  </r>
  <r>
    <d v="2023-06-19T00:00:00"/>
    <x v="0"/>
    <x v="5"/>
    <x v="4"/>
    <x v="11"/>
    <n v="2970"/>
    <n v="75"/>
    <x v="1149"/>
    <x v="1"/>
  </r>
  <r>
    <d v="2023-06-19T00:00:00"/>
    <x v="4"/>
    <x v="5"/>
    <x v="4"/>
    <x v="7"/>
    <n v="1760"/>
    <n v="49"/>
    <x v="399"/>
    <x v="1"/>
  </r>
  <r>
    <d v="2023-06-19T00:00:00"/>
    <x v="1"/>
    <x v="6"/>
    <x v="1"/>
    <x v="19"/>
    <n v="540"/>
    <n v="71"/>
    <x v="434"/>
    <x v="1"/>
  </r>
  <r>
    <s v="19.06.2023 Итог"/>
    <x v="3"/>
    <x v="2"/>
    <x v="3"/>
    <x v="3"/>
    <m/>
    <m/>
    <x v="1150"/>
    <x v="1"/>
  </r>
  <r>
    <d v="2023-06-20T00:00:00"/>
    <x v="4"/>
    <x v="3"/>
    <x v="2"/>
    <x v="8"/>
    <n v="460"/>
    <n v="14"/>
    <x v="1151"/>
    <x v="1"/>
  </r>
  <r>
    <d v="2023-06-20T00:00:00"/>
    <x v="0"/>
    <x v="0"/>
    <x v="0"/>
    <x v="24"/>
    <n v="2540"/>
    <n v="29"/>
    <x v="358"/>
    <x v="1"/>
  </r>
  <r>
    <d v="2023-06-20T00:00:00"/>
    <x v="2"/>
    <x v="0"/>
    <x v="0"/>
    <x v="0"/>
    <n v="1320"/>
    <n v="5"/>
    <x v="182"/>
    <x v="1"/>
  </r>
  <r>
    <d v="2023-06-20T00:00:00"/>
    <x v="1"/>
    <x v="1"/>
    <x v="1"/>
    <x v="6"/>
    <n v="640"/>
    <n v="91"/>
    <x v="1152"/>
    <x v="1"/>
  </r>
  <r>
    <d v="2023-06-20T00:00:00"/>
    <x v="2"/>
    <x v="1"/>
    <x v="1"/>
    <x v="6"/>
    <n v="640"/>
    <n v="79"/>
    <x v="222"/>
    <x v="1"/>
  </r>
  <r>
    <d v="2023-06-20T00:00:00"/>
    <x v="1"/>
    <x v="1"/>
    <x v="1"/>
    <x v="6"/>
    <n v="640"/>
    <n v="69"/>
    <x v="797"/>
    <x v="1"/>
  </r>
  <r>
    <d v="2023-06-20T00:00:00"/>
    <x v="4"/>
    <x v="5"/>
    <x v="2"/>
    <x v="4"/>
    <n v="450"/>
    <n v="42"/>
    <x v="1153"/>
    <x v="1"/>
  </r>
  <r>
    <d v="2023-06-20T00:00:00"/>
    <x v="4"/>
    <x v="5"/>
    <x v="4"/>
    <x v="11"/>
    <n v="2970"/>
    <n v="53"/>
    <x v="246"/>
    <x v="1"/>
  </r>
  <r>
    <d v="2023-06-20T00:00:00"/>
    <x v="2"/>
    <x v="5"/>
    <x v="4"/>
    <x v="15"/>
    <n v="2460"/>
    <n v="14"/>
    <x v="555"/>
    <x v="1"/>
  </r>
  <r>
    <d v="2023-06-20T00:00:00"/>
    <x v="0"/>
    <x v="6"/>
    <x v="0"/>
    <x v="22"/>
    <n v="1420"/>
    <n v="80"/>
    <x v="826"/>
    <x v="1"/>
  </r>
  <r>
    <d v="2023-06-20T00:00:00"/>
    <x v="2"/>
    <x v="6"/>
    <x v="0"/>
    <x v="17"/>
    <n v="2400"/>
    <n v="59"/>
    <x v="1154"/>
    <x v="1"/>
  </r>
  <r>
    <s v="20.06.2023 Итог"/>
    <x v="3"/>
    <x v="2"/>
    <x v="3"/>
    <x v="3"/>
    <m/>
    <m/>
    <x v="1155"/>
    <x v="1"/>
  </r>
  <r>
    <d v="2023-06-21T00:00:00"/>
    <x v="4"/>
    <x v="0"/>
    <x v="1"/>
    <x v="20"/>
    <n v="650"/>
    <n v="7"/>
    <x v="928"/>
    <x v="1"/>
  </r>
  <r>
    <d v="2023-06-21T00:00:00"/>
    <x v="0"/>
    <x v="4"/>
    <x v="0"/>
    <x v="10"/>
    <n v="1230"/>
    <n v="8"/>
    <x v="1156"/>
    <x v="1"/>
  </r>
  <r>
    <d v="2023-06-21T00:00:00"/>
    <x v="2"/>
    <x v="4"/>
    <x v="4"/>
    <x v="14"/>
    <n v="1670"/>
    <n v="25"/>
    <x v="1157"/>
    <x v="1"/>
  </r>
  <r>
    <d v="2023-06-21T00:00:00"/>
    <x v="4"/>
    <x v="4"/>
    <x v="4"/>
    <x v="14"/>
    <n v="1670"/>
    <n v="75"/>
    <x v="1158"/>
    <x v="1"/>
  </r>
  <r>
    <d v="2023-06-21T00:00:00"/>
    <x v="4"/>
    <x v="6"/>
    <x v="4"/>
    <x v="13"/>
    <n v="1505"/>
    <n v="49"/>
    <x v="886"/>
    <x v="1"/>
  </r>
  <r>
    <s v="21.06.2023 Итог"/>
    <x v="3"/>
    <x v="2"/>
    <x v="3"/>
    <x v="3"/>
    <m/>
    <m/>
    <x v="1159"/>
    <x v="1"/>
  </r>
  <r>
    <d v="2023-06-22T00:00:00"/>
    <x v="2"/>
    <x v="3"/>
    <x v="1"/>
    <x v="23"/>
    <n v="705"/>
    <n v="48"/>
    <x v="1074"/>
    <x v="1"/>
  </r>
  <r>
    <d v="2023-06-22T00:00:00"/>
    <x v="1"/>
    <x v="3"/>
    <x v="2"/>
    <x v="16"/>
    <n v="890"/>
    <n v="21"/>
    <x v="981"/>
    <x v="1"/>
  </r>
  <r>
    <d v="2023-06-22T00:00:00"/>
    <x v="1"/>
    <x v="3"/>
    <x v="4"/>
    <x v="21"/>
    <n v="3205"/>
    <n v="82"/>
    <x v="231"/>
    <x v="1"/>
  </r>
  <r>
    <d v="2023-06-22T00:00:00"/>
    <x v="2"/>
    <x v="0"/>
    <x v="4"/>
    <x v="21"/>
    <n v="3205"/>
    <n v="66"/>
    <x v="1160"/>
    <x v="1"/>
  </r>
  <r>
    <d v="2023-06-22T00:00:00"/>
    <x v="4"/>
    <x v="4"/>
    <x v="2"/>
    <x v="2"/>
    <n v="325"/>
    <n v="62"/>
    <x v="306"/>
    <x v="1"/>
  </r>
  <r>
    <d v="2023-06-22T00:00:00"/>
    <x v="1"/>
    <x v="4"/>
    <x v="0"/>
    <x v="24"/>
    <n v="2540"/>
    <n v="36"/>
    <x v="1161"/>
    <x v="1"/>
  </r>
  <r>
    <d v="2023-06-22T00:00:00"/>
    <x v="1"/>
    <x v="1"/>
    <x v="2"/>
    <x v="2"/>
    <n v="325"/>
    <n v="39"/>
    <x v="1162"/>
    <x v="1"/>
  </r>
  <r>
    <d v="2023-06-22T00:00:00"/>
    <x v="4"/>
    <x v="5"/>
    <x v="1"/>
    <x v="6"/>
    <n v="640"/>
    <n v="30"/>
    <x v="191"/>
    <x v="1"/>
  </r>
  <r>
    <d v="2023-06-22T00:00:00"/>
    <x v="1"/>
    <x v="5"/>
    <x v="2"/>
    <x v="4"/>
    <n v="450"/>
    <n v="28"/>
    <x v="1163"/>
    <x v="1"/>
  </r>
  <r>
    <d v="2023-06-22T00:00:00"/>
    <x v="4"/>
    <x v="6"/>
    <x v="1"/>
    <x v="1"/>
    <n v="1380"/>
    <n v="78"/>
    <x v="1164"/>
    <x v="1"/>
  </r>
  <r>
    <s v="22.06.2023 Итог"/>
    <x v="3"/>
    <x v="2"/>
    <x v="3"/>
    <x v="3"/>
    <m/>
    <m/>
    <x v="1165"/>
    <x v="1"/>
  </r>
  <r>
    <d v="2023-06-23T00:00:00"/>
    <x v="2"/>
    <x v="3"/>
    <x v="4"/>
    <x v="11"/>
    <n v="2970"/>
    <n v="70"/>
    <x v="258"/>
    <x v="1"/>
  </r>
  <r>
    <d v="2023-06-23T00:00:00"/>
    <x v="0"/>
    <x v="3"/>
    <x v="4"/>
    <x v="15"/>
    <n v="2460"/>
    <n v="11"/>
    <x v="131"/>
    <x v="1"/>
  </r>
  <r>
    <d v="2023-06-23T00:00:00"/>
    <x v="4"/>
    <x v="0"/>
    <x v="0"/>
    <x v="0"/>
    <n v="1320"/>
    <n v="95"/>
    <x v="1166"/>
    <x v="1"/>
  </r>
  <r>
    <d v="2023-06-23T00:00:00"/>
    <x v="4"/>
    <x v="4"/>
    <x v="2"/>
    <x v="12"/>
    <n v="715"/>
    <n v="67"/>
    <x v="23"/>
    <x v="1"/>
  </r>
  <r>
    <d v="2023-06-23T00:00:00"/>
    <x v="1"/>
    <x v="4"/>
    <x v="4"/>
    <x v="7"/>
    <n v="1760"/>
    <n v="31"/>
    <x v="1167"/>
    <x v="1"/>
  </r>
  <r>
    <d v="2023-06-23T00:00:00"/>
    <x v="4"/>
    <x v="1"/>
    <x v="1"/>
    <x v="19"/>
    <n v="540"/>
    <n v="24"/>
    <x v="1168"/>
    <x v="1"/>
  </r>
  <r>
    <d v="2023-06-23T00:00:00"/>
    <x v="4"/>
    <x v="5"/>
    <x v="1"/>
    <x v="1"/>
    <n v="1380"/>
    <n v="42"/>
    <x v="69"/>
    <x v="1"/>
  </r>
  <r>
    <d v="2023-06-23T00:00:00"/>
    <x v="1"/>
    <x v="6"/>
    <x v="4"/>
    <x v="15"/>
    <n v="2460"/>
    <n v="70"/>
    <x v="74"/>
    <x v="1"/>
  </r>
  <r>
    <s v="23.06.2023 Итог"/>
    <x v="3"/>
    <x v="2"/>
    <x v="3"/>
    <x v="3"/>
    <m/>
    <m/>
    <x v="1169"/>
    <x v="1"/>
  </r>
  <r>
    <d v="2023-06-24T00:00:00"/>
    <x v="4"/>
    <x v="3"/>
    <x v="1"/>
    <x v="23"/>
    <n v="705"/>
    <n v="47"/>
    <x v="1170"/>
    <x v="1"/>
  </r>
  <r>
    <d v="2023-06-24T00:00:00"/>
    <x v="2"/>
    <x v="0"/>
    <x v="0"/>
    <x v="0"/>
    <n v="1320"/>
    <n v="8"/>
    <x v="1171"/>
    <x v="1"/>
  </r>
  <r>
    <d v="2023-06-24T00:00:00"/>
    <x v="1"/>
    <x v="4"/>
    <x v="0"/>
    <x v="22"/>
    <n v="1420"/>
    <n v="46"/>
    <x v="1172"/>
    <x v="1"/>
  </r>
  <r>
    <d v="2023-06-24T00:00:00"/>
    <x v="4"/>
    <x v="4"/>
    <x v="0"/>
    <x v="10"/>
    <n v="1230"/>
    <n v="98"/>
    <x v="1173"/>
    <x v="1"/>
  </r>
  <r>
    <d v="2023-06-24T00:00:00"/>
    <x v="0"/>
    <x v="1"/>
    <x v="1"/>
    <x v="19"/>
    <n v="540"/>
    <n v="100"/>
    <x v="995"/>
    <x v="1"/>
  </r>
  <r>
    <d v="2023-06-24T00:00:00"/>
    <x v="2"/>
    <x v="1"/>
    <x v="2"/>
    <x v="9"/>
    <n v="690"/>
    <n v="91"/>
    <x v="1174"/>
    <x v="1"/>
  </r>
  <r>
    <d v="2023-06-24T00:00:00"/>
    <x v="0"/>
    <x v="5"/>
    <x v="1"/>
    <x v="20"/>
    <n v="650"/>
    <n v="48"/>
    <x v="447"/>
    <x v="1"/>
  </r>
  <r>
    <d v="2023-06-24T00:00:00"/>
    <x v="2"/>
    <x v="5"/>
    <x v="0"/>
    <x v="17"/>
    <n v="2400"/>
    <n v="6"/>
    <x v="1175"/>
    <x v="1"/>
  </r>
  <r>
    <s v="24.06.2023 Итог"/>
    <x v="3"/>
    <x v="2"/>
    <x v="3"/>
    <x v="3"/>
    <m/>
    <m/>
    <x v="1176"/>
    <x v="1"/>
  </r>
  <r>
    <d v="2023-06-25T00:00:00"/>
    <x v="1"/>
    <x v="3"/>
    <x v="1"/>
    <x v="1"/>
    <n v="1380"/>
    <n v="39"/>
    <x v="197"/>
    <x v="1"/>
  </r>
  <r>
    <d v="2023-06-25T00:00:00"/>
    <x v="4"/>
    <x v="3"/>
    <x v="2"/>
    <x v="8"/>
    <n v="460"/>
    <n v="25"/>
    <x v="1177"/>
    <x v="1"/>
  </r>
  <r>
    <d v="2023-06-25T00:00:00"/>
    <x v="2"/>
    <x v="3"/>
    <x v="0"/>
    <x v="24"/>
    <n v="2540"/>
    <n v="61"/>
    <x v="990"/>
    <x v="1"/>
  </r>
  <r>
    <d v="2023-06-25T00:00:00"/>
    <x v="4"/>
    <x v="3"/>
    <x v="4"/>
    <x v="11"/>
    <n v="2970"/>
    <n v="57"/>
    <x v="1128"/>
    <x v="1"/>
  </r>
  <r>
    <d v="2023-06-25T00:00:00"/>
    <x v="0"/>
    <x v="3"/>
    <x v="4"/>
    <x v="21"/>
    <n v="3205"/>
    <n v="88"/>
    <x v="1178"/>
    <x v="1"/>
  </r>
  <r>
    <d v="2023-06-25T00:00:00"/>
    <x v="1"/>
    <x v="1"/>
    <x v="1"/>
    <x v="1"/>
    <n v="1380"/>
    <n v="50"/>
    <x v="1179"/>
    <x v="1"/>
  </r>
  <r>
    <d v="2023-06-25T00:00:00"/>
    <x v="0"/>
    <x v="6"/>
    <x v="4"/>
    <x v="7"/>
    <n v="1760"/>
    <n v="47"/>
    <x v="1180"/>
    <x v="1"/>
  </r>
  <r>
    <s v="25.06.2023 Итог"/>
    <x v="3"/>
    <x v="2"/>
    <x v="3"/>
    <x v="3"/>
    <m/>
    <m/>
    <x v="1181"/>
    <x v="1"/>
  </r>
  <r>
    <d v="2023-06-26T00:00:00"/>
    <x v="1"/>
    <x v="3"/>
    <x v="1"/>
    <x v="23"/>
    <n v="705"/>
    <n v="43"/>
    <x v="938"/>
    <x v="1"/>
  </r>
  <r>
    <d v="2023-06-26T00:00:00"/>
    <x v="4"/>
    <x v="3"/>
    <x v="2"/>
    <x v="12"/>
    <n v="715"/>
    <n v="90"/>
    <x v="221"/>
    <x v="1"/>
  </r>
  <r>
    <d v="2023-06-26T00:00:00"/>
    <x v="2"/>
    <x v="3"/>
    <x v="2"/>
    <x v="8"/>
    <n v="460"/>
    <n v="65"/>
    <x v="667"/>
    <x v="1"/>
  </r>
  <r>
    <d v="2023-06-26T00:00:00"/>
    <x v="0"/>
    <x v="3"/>
    <x v="0"/>
    <x v="5"/>
    <n v="930"/>
    <n v="52"/>
    <x v="1182"/>
    <x v="1"/>
  </r>
  <r>
    <d v="2023-06-26T00:00:00"/>
    <x v="1"/>
    <x v="3"/>
    <x v="0"/>
    <x v="10"/>
    <n v="1230"/>
    <n v="36"/>
    <x v="1044"/>
    <x v="1"/>
  </r>
  <r>
    <d v="2023-06-26T00:00:00"/>
    <x v="1"/>
    <x v="3"/>
    <x v="4"/>
    <x v="7"/>
    <n v="1760"/>
    <n v="47"/>
    <x v="1180"/>
    <x v="1"/>
  </r>
  <r>
    <d v="2023-06-26T00:00:00"/>
    <x v="4"/>
    <x v="3"/>
    <x v="4"/>
    <x v="13"/>
    <n v="1505"/>
    <n v="63"/>
    <x v="855"/>
    <x v="1"/>
  </r>
  <r>
    <d v="2023-06-26T00:00:00"/>
    <x v="4"/>
    <x v="4"/>
    <x v="4"/>
    <x v="13"/>
    <n v="1505"/>
    <n v="69"/>
    <x v="1183"/>
    <x v="1"/>
  </r>
  <r>
    <d v="2023-06-26T00:00:00"/>
    <x v="2"/>
    <x v="5"/>
    <x v="4"/>
    <x v="21"/>
    <n v="3205"/>
    <n v="74"/>
    <x v="557"/>
    <x v="1"/>
  </r>
  <r>
    <d v="2023-06-26T00:00:00"/>
    <x v="4"/>
    <x v="5"/>
    <x v="4"/>
    <x v="14"/>
    <n v="1670"/>
    <n v="12"/>
    <x v="1184"/>
    <x v="1"/>
  </r>
  <r>
    <s v="26.06.2023 Итог"/>
    <x v="3"/>
    <x v="2"/>
    <x v="3"/>
    <x v="3"/>
    <m/>
    <m/>
    <x v="1185"/>
    <x v="1"/>
  </r>
  <r>
    <d v="2023-06-27T00:00:00"/>
    <x v="2"/>
    <x v="3"/>
    <x v="2"/>
    <x v="9"/>
    <n v="690"/>
    <n v="39"/>
    <x v="1113"/>
    <x v="1"/>
  </r>
  <r>
    <d v="2023-06-27T00:00:00"/>
    <x v="2"/>
    <x v="0"/>
    <x v="2"/>
    <x v="8"/>
    <n v="460"/>
    <n v="43"/>
    <x v="86"/>
    <x v="1"/>
  </r>
  <r>
    <d v="2023-06-27T00:00:00"/>
    <x v="2"/>
    <x v="0"/>
    <x v="0"/>
    <x v="17"/>
    <n v="2400"/>
    <n v="95"/>
    <x v="952"/>
    <x v="1"/>
  </r>
  <r>
    <d v="2023-06-27T00:00:00"/>
    <x v="4"/>
    <x v="4"/>
    <x v="1"/>
    <x v="1"/>
    <n v="1380"/>
    <n v="23"/>
    <x v="610"/>
    <x v="1"/>
  </r>
  <r>
    <d v="2023-06-27T00:00:00"/>
    <x v="2"/>
    <x v="4"/>
    <x v="1"/>
    <x v="6"/>
    <n v="640"/>
    <n v="95"/>
    <x v="493"/>
    <x v="1"/>
  </r>
  <r>
    <d v="2023-06-27T00:00:00"/>
    <x v="2"/>
    <x v="1"/>
    <x v="1"/>
    <x v="20"/>
    <n v="650"/>
    <n v="28"/>
    <x v="568"/>
    <x v="1"/>
  </r>
  <r>
    <d v="2023-06-27T00:00:00"/>
    <x v="1"/>
    <x v="5"/>
    <x v="2"/>
    <x v="8"/>
    <n v="460"/>
    <n v="69"/>
    <x v="610"/>
    <x v="1"/>
  </r>
  <r>
    <d v="2023-06-27T00:00:00"/>
    <x v="4"/>
    <x v="5"/>
    <x v="4"/>
    <x v="21"/>
    <n v="3205"/>
    <n v="27"/>
    <x v="340"/>
    <x v="1"/>
  </r>
  <r>
    <d v="2023-06-27T00:00:00"/>
    <x v="4"/>
    <x v="6"/>
    <x v="0"/>
    <x v="10"/>
    <n v="1230"/>
    <n v="76"/>
    <x v="485"/>
    <x v="1"/>
  </r>
  <r>
    <d v="2023-06-27T00:00:00"/>
    <x v="2"/>
    <x v="6"/>
    <x v="4"/>
    <x v="21"/>
    <n v="3205"/>
    <n v="86"/>
    <x v="164"/>
    <x v="1"/>
  </r>
  <r>
    <s v="27.06.2023 Итог"/>
    <x v="3"/>
    <x v="2"/>
    <x v="3"/>
    <x v="3"/>
    <m/>
    <m/>
    <x v="1186"/>
    <x v="1"/>
  </r>
  <r>
    <d v="2023-06-28T00:00:00"/>
    <x v="1"/>
    <x v="3"/>
    <x v="2"/>
    <x v="8"/>
    <n v="460"/>
    <n v="40"/>
    <x v="1187"/>
    <x v="1"/>
  </r>
  <r>
    <d v="2023-06-28T00:00:00"/>
    <x v="4"/>
    <x v="3"/>
    <x v="4"/>
    <x v="7"/>
    <n v="1760"/>
    <n v="49"/>
    <x v="399"/>
    <x v="1"/>
  </r>
  <r>
    <d v="2023-06-28T00:00:00"/>
    <x v="4"/>
    <x v="0"/>
    <x v="0"/>
    <x v="10"/>
    <n v="1230"/>
    <n v="13"/>
    <x v="590"/>
    <x v="1"/>
  </r>
  <r>
    <d v="2023-06-28T00:00:00"/>
    <x v="4"/>
    <x v="4"/>
    <x v="1"/>
    <x v="18"/>
    <n v="650"/>
    <n v="13"/>
    <x v="375"/>
    <x v="1"/>
  </r>
  <r>
    <d v="2023-06-28T00:00:00"/>
    <x v="4"/>
    <x v="4"/>
    <x v="0"/>
    <x v="17"/>
    <n v="2400"/>
    <n v="73"/>
    <x v="1188"/>
    <x v="1"/>
  </r>
  <r>
    <d v="2023-06-28T00:00:00"/>
    <x v="4"/>
    <x v="4"/>
    <x v="4"/>
    <x v="11"/>
    <n v="2970"/>
    <n v="95"/>
    <x v="1189"/>
    <x v="1"/>
  </r>
  <r>
    <d v="2023-06-28T00:00:00"/>
    <x v="1"/>
    <x v="1"/>
    <x v="1"/>
    <x v="18"/>
    <n v="650"/>
    <n v="58"/>
    <x v="173"/>
    <x v="1"/>
  </r>
  <r>
    <d v="2023-06-28T00:00:00"/>
    <x v="1"/>
    <x v="1"/>
    <x v="2"/>
    <x v="4"/>
    <n v="450"/>
    <n v="71"/>
    <x v="1190"/>
    <x v="1"/>
  </r>
  <r>
    <d v="2023-06-28T00:00:00"/>
    <x v="0"/>
    <x v="5"/>
    <x v="1"/>
    <x v="6"/>
    <n v="640"/>
    <n v="50"/>
    <x v="1191"/>
    <x v="1"/>
  </r>
  <r>
    <d v="2023-06-28T00:00:00"/>
    <x v="2"/>
    <x v="5"/>
    <x v="2"/>
    <x v="2"/>
    <n v="325"/>
    <n v="26"/>
    <x v="375"/>
    <x v="1"/>
  </r>
  <r>
    <d v="2023-06-28T00:00:00"/>
    <x v="0"/>
    <x v="6"/>
    <x v="2"/>
    <x v="2"/>
    <n v="325"/>
    <n v="96"/>
    <x v="447"/>
    <x v="1"/>
  </r>
  <r>
    <s v="28.06.2023 Итог"/>
    <x v="3"/>
    <x v="2"/>
    <x v="3"/>
    <x v="3"/>
    <m/>
    <m/>
    <x v="1192"/>
    <x v="1"/>
  </r>
  <r>
    <d v="2023-06-29T00:00:00"/>
    <x v="4"/>
    <x v="3"/>
    <x v="1"/>
    <x v="23"/>
    <n v="705"/>
    <n v="30"/>
    <x v="230"/>
    <x v="1"/>
  </r>
  <r>
    <d v="2023-06-29T00:00:00"/>
    <x v="4"/>
    <x v="1"/>
    <x v="0"/>
    <x v="10"/>
    <n v="1230"/>
    <n v="90"/>
    <x v="415"/>
    <x v="1"/>
  </r>
  <r>
    <d v="2023-06-29T00:00:00"/>
    <x v="1"/>
    <x v="6"/>
    <x v="2"/>
    <x v="9"/>
    <n v="690"/>
    <n v="90"/>
    <x v="1193"/>
    <x v="1"/>
  </r>
  <r>
    <d v="2023-06-29T00:00:00"/>
    <x v="2"/>
    <x v="6"/>
    <x v="4"/>
    <x v="21"/>
    <n v="3205"/>
    <n v="85"/>
    <x v="299"/>
    <x v="1"/>
  </r>
  <r>
    <s v="29.06.2023 Итог"/>
    <x v="3"/>
    <x v="2"/>
    <x v="3"/>
    <x v="3"/>
    <m/>
    <m/>
    <x v="1194"/>
    <x v="1"/>
  </r>
  <r>
    <d v="2023-06-30T00:00:00"/>
    <x v="1"/>
    <x v="3"/>
    <x v="1"/>
    <x v="18"/>
    <n v="650"/>
    <n v="84"/>
    <x v="747"/>
    <x v="1"/>
  </r>
  <r>
    <d v="2023-06-30T00:00:00"/>
    <x v="4"/>
    <x v="0"/>
    <x v="2"/>
    <x v="16"/>
    <n v="890"/>
    <n v="44"/>
    <x v="1195"/>
    <x v="1"/>
  </r>
  <r>
    <d v="2023-06-30T00:00:00"/>
    <x v="0"/>
    <x v="4"/>
    <x v="2"/>
    <x v="9"/>
    <n v="690"/>
    <n v="42"/>
    <x v="554"/>
    <x v="1"/>
  </r>
  <r>
    <d v="2023-06-30T00:00:00"/>
    <x v="4"/>
    <x v="5"/>
    <x v="1"/>
    <x v="19"/>
    <n v="540"/>
    <n v="10"/>
    <x v="148"/>
    <x v="1"/>
  </r>
  <r>
    <d v="2023-06-30T00:00:00"/>
    <x v="1"/>
    <x v="6"/>
    <x v="0"/>
    <x v="17"/>
    <n v="2400"/>
    <n v="17"/>
    <x v="1196"/>
    <x v="1"/>
  </r>
  <r>
    <s v="30.06.2023 Итог"/>
    <x v="3"/>
    <x v="2"/>
    <x v="3"/>
    <x v="3"/>
    <m/>
    <m/>
    <x v="1197"/>
    <x v="1"/>
  </r>
  <r>
    <d v="2023-07-01T00:00:00"/>
    <x v="1"/>
    <x v="3"/>
    <x v="1"/>
    <x v="20"/>
    <n v="650"/>
    <n v="88"/>
    <x v="83"/>
    <x v="2"/>
  </r>
  <r>
    <d v="2023-07-01T00:00:00"/>
    <x v="0"/>
    <x v="3"/>
    <x v="0"/>
    <x v="17"/>
    <n v="2400"/>
    <n v="38"/>
    <x v="1198"/>
    <x v="2"/>
  </r>
  <r>
    <d v="2023-07-01T00:00:00"/>
    <x v="2"/>
    <x v="0"/>
    <x v="1"/>
    <x v="18"/>
    <n v="650"/>
    <n v="68"/>
    <x v="267"/>
    <x v="2"/>
  </r>
  <r>
    <d v="2023-07-01T00:00:00"/>
    <x v="1"/>
    <x v="0"/>
    <x v="1"/>
    <x v="1"/>
    <n v="1380"/>
    <n v="92"/>
    <x v="403"/>
    <x v="2"/>
  </r>
  <r>
    <d v="2023-07-01T00:00:00"/>
    <x v="0"/>
    <x v="0"/>
    <x v="2"/>
    <x v="16"/>
    <n v="890"/>
    <n v="61"/>
    <x v="1199"/>
    <x v="2"/>
  </r>
  <r>
    <d v="2023-07-01T00:00:00"/>
    <x v="2"/>
    <x v="0"/>
    <x v="4"/>
    <x v="11"/>
    <n v="2970"/>
    <n v="30"/>
    <x v="1200"/>
    <x v="2"/>
  </r>
  <r>
    <d v="2023-07-01T00:00:00"/>
    <x v="4"/>
    <x v="0"/>
    <x v="4"/>
    <x v="13"/>
    <n v="1505"/>
    <n v="55"/>
    <x v="238"/>
    <x v="2"/>
  </r>
  <r>
    <d v="2023-07-01T00:00:00"/>
    <x v="2"/>
    <x v="4"/>
    <x v="2"/>
    <x v="16"/>
    <n v="890"/>
    <n v="46"/>
    <x v="402"/>
    <x v="2"/>
  </r>
  <r>
    <d v="2023-07-01T00:00:00"/>
    <x v="2"/>
    <x v="4"/>
    <x v="0"/>
    <x v="5"/>
    <n v="930"/>
    <n v="68"/>
    <x v="1201"/>
    <x v="2"/>
  </r>
  <r>
    <d v="2023-07-01T00:00:00"/>
    <x v="1"/>
    <x v="5"/>
    <x v="2"/>
    <x v="2"/>
    <n v="325"/>
    <n v="86"/>
    <x v="1131"/>
    <x v="2"/>
  </r>
  <r>
    <d v="2023-07-01T00:00:00"/>
    <x v="4"/>
    <x v="6"/>
    <x v="1"/>
    <x v="20"/>
    <n v="650"/>
    <n v="84"/>
    <x v="747"/>
    <x v="2"/>
  </r>
  <r>
    <d v="2023-07-01T00:00:00"/>
    <x v="4"/>
    <x v="6"/>
    <x v="4"/>
    <x v="15"/>
    <n v="2460"/>
    <n v="12"/>
    <x v="600"/>
    <x v="2"/>
  </r>
  <r>
    <s v="01.07.2023 Итог"/>
    <x v="3"/>
    <x v="2"/>
    <x v="3"/>
    <x v="3"/>
    <m/>
    <m/>
    <x v="1202"/>
    <x v="2"/>
  </r>
  <r>
    <d v="2023-07-02T00:00:00"/>
    <x v="2"/>
    <x v="3"/>
    <x v="1"/>
    <x v="19"/>
    <n v="540"/>
    <n v="48"/>
    <x v="364"/>
    <x v="2"/>
  </r>
  <r>
    <d v="2023-07-02T00:00:00"/>
    <x v="4"/>
    <x v="3"/>
    <x v="2"/>
    <x v="8"/>
    <n v="460"/>
    <n v="57"/>
    <x v="217"/>
    <x v="2"/>
  </r>
  <r>
    <d v="2023-07-02T00:00:00"/>
    <x v="1"/>
    <x v="3"/>
    <x v="2"/>
    <x v="8"/>
    <n v="460"/>
    <n v="72"/>
    <x v="441"/>
    <x v="2"/>
  </r>
  <r>
    <d v="2023-07-02T00:00:00"/>
    <x v="1"/>
    <x v="3"/>
    <x v="0"/>
    <x v="10"/>
    <n v="1230"/>
    <n v="76"/>
    <x v="485"/>
    <x v="2"/>
  </r>
  <r>
    <d v="2023-07-02T00:00:00"/>
    <x v="4"/>
    <x v="3"/>
    <x v="0"/>
    <x v="0"/>
    <n v="1320"/>
    <n v="42"/>
    <x v="1140"/>
    <x v="2"/>
  </r>
  <r>
    <d v="2023-07-02T00:00:00"/>
    <x v="2"/>
    <x v="0"/>
    <x v="0"/>
    <x v="10"/>
    <n v="1230"/>
    <n v="90"/>
    <x v="415"/>
    <x v="2"/>
  </r>
  <r>
    <d v="2023-07-02T00:00:00"/>
    <x v="2"/>
    <x v="4"/>
    <x v="1"/>
    <x v="1"/>
    <n v="1380"/>
    <n v="25"/>
    <x v="1057"/>
    <x v="2"/>
  </r>
  <r>
    <d v="2023-07-02T00:00:00"/>
    <x v="1"/>
    <x v="1"/>
    <x v="1"/>
    <x v="1"/>
    <n v="1380"/>
    <n v="54"/>
    <x v="991"/>
    <x v="2"/>
  </r>
  <r>
    <d v="2023-07-02T00:00:00"/>
    <x v="1"/>
    <x v="1"/>
    <x v="2"/>
    <x v="12"/>
    <n v="715"/>
    <n v="27"/>
    <x v="1203"/>
    <x v="2"/>
  </r>
  <r>
    <d v="2023-07-02T00:00:00"/>
    <x v="2"/>
    <x v="1"/>
    <x v="2"/>
    <x v="9"/>
    <n v="690"/>
    <n v="28"/>
    <x v="1204"/>
    <x v="2"/>
  </r>
  <r>
    <d v="2023-07-02T00:00:00"/>
    <x v="1"/>
    <x v="6"/>
    <x v="0"/>
    <x v="17"/>
    <n v="2400"/>
    <n v="72"/>
    <x v="727"/>
    <x v="2"/>
  </r>
  <r>
    <s v="02.07.2023 Итог"/>
    <x v="3"/>
    <x v="2"/>
    <x v="3"/>
    <x v="3"/>
    <m/>
    <m/>
    <x v="1205"/>
    <x v="2"/>
  </r>
  <r>
    <d v="2023-07-03T00:00:00"/>
    <x v="0"/>
    <x v="3"/>
    <x v="1"/>
    <x v="20"/>
    <n v="650"/>
    <n v="67"/>
    <x v="498"/>
    <x v="2"/>
  </r>
  <r>
    <d v="2023-07-03T00:00:00"/>
    <x v="1"/>
    <x v="3"/>
    <x v="2"/>
    <x v="12"/>
    <n v="715"/>
    <n v="34"/>
    <x v="104"/>
    <x v="2"/>
  </r>
  <r>
    <d v="2023-07-03T00:00:00"/>
    <x v="0"/>
    <x v="3"/>
    <x v="2"/>
    <x v="2"/>
    <n v="325"/>
    <n v="57"/>
    <x v="1206"/>
    <x v="2"/>
  </r>
  <r>
    <d v="2023-07-03T00:00:00"/>
    <x v="1"/>
    <x v="0"/>
    <x v="1"/>
    <x v="23"/>
    <n v="705"/>
    <n v="14"/>
    <x v="1207"/>
    <x v="2"/>
  </r>
  <r>
    <d v="2023-07-03T00:00:00"/>
    <x v="0"/>
    <x v="0"/>
    <x v="2"/>
    <x v="9"/>
    <n v="690"/>
    <n v="64"/>
    <x v="797"/>
    <x v="2"/>
  </r>
  <r>
    <d v="2023-07-03T00:00:00"/>
    <x v="1"/>
    <x v="1"/>
    <x v="2"/>
    <x v="4"/>
    <n v="450"/>
    <n v="87"/>
    <x v="903"/>
    <x v="2"/>
  </r>
  <r>
    <d v="2023-07-03T00:00:00"/>
    <x v="4"/>
    <x v="1"/>
    <x v="0"/>
    <x v="0"/>
    <n v="1320"/>
    <n v="61"/>
    <x v="819"/>
    <x v="2"/>
  </r>
  <r>
    <d v="2023-07-03T00:00:00"/>
    <x v="4"/>
    <x v="5"/>
    <x v="1"/>
    <x v="18"/>
    <n v="650"/>
    <n v="70"/>
    <x v="1208"/>
    <x v="2"/>
  </r>
  <r>
    <d v="2023-07-03T00:00:00"/>
    <x v="4"/>
    <x v="6"/>
    <x v="2"/>
    <x v="8"/>
    <n v="460"/>
    <n v="23"/>
    <x v="986"/>
    <x v="2"/>
  </r>
  <r>
    <d v="2023-07-03T00:00:00"/>
    <x v="0"/>
    <x v="6"/>
    <x v="4"/>
    <x v="13"/>
    <n v="1505"/>
    <n v="44"/>
    <x v="1104"/>
    <x v="2"/>
  </r>
  <r>
    <s v="03.07.2023 Итог"/>
    <x v="3"/>
    <x v="2"/>
    <x v="3"/>
    <x v="3"/>
    <m/>
    <m/>
    <x v="1209"/>
    <x v="2"/>
  </r>
  <r>
    <d v="2023-07-04T00:00:00"/>
    <x v="1"/>
    <x v="3"/>
    <x v="2"/>
    <x v="12"/>
    <n v="715"/>
    <n v="9"/>
    <x v="1210"/>
    <x v="2"/>
  </r>
  <r>
    <d v="2023-07-04T00:00:00"/>
    <x v="0"/>
    <x v="3"/>
    <x v="0"/>
    <x v="0"/>
    <n v="1320"/>
    <n v="27"/>
    <x v="577"/>
    <x v="2"/>
  </r>
  <r>
    <d v="2023-07-04T00:00:00"/>
    <x v="0"/>
    <x v="3"/>
    <x v="0"/>
    <x v="17"/>
    <n v="2400"/>
    <n v="81"/>
    <x v="589"/>
    <x v="2"/>
  </r>
  <r>
    <d v="2023-07-04T00:00:00"/>
    <x v="4"/>
    <x v="3"/>
    <x v="4"/>
    <x v="7"/>
    <n v="1760"/>
    <n v="95"/>
    <x v="1211"/>
    <x v="2"/>
  </r>
  <r>
    <d v="2023-07-04T00:00:00"/>
    <x v="4"/>
    <x v="0"/>
    <x v="1"/>
    <x v="1"/>
    <n v="1380"/>
    <n v="99"/>
    <x v="1212"/>
    <x v="2"/>
  </r>
  <r>
    <d v="2023-07-04T00:00:00"/>
    <x v="2"/>
    <x v="4"/>
    <x v="1"/>
    <x v="18"/>
    <n v="650"/>
    <n v="77"/>
    <x v="1213"/>
    <x v="2"/>
  </r>
  <r>
    <d v="2023-07-04T00:00:00"/>
    <x v="0"/>
    <x v="4"/>
    <x v="1"/>
    <x v="19"/>
    <n v="540"/>
    <n v="33"/>
    <x v="924"/>
    <x v="2"/>
  </r>
  <r>
    <d v="2023-07-04T00:00:00"/>
    <x v="0"/>
    <x v="4"/>
    <x v="2"/>
    <x v="9"/>
    <n v="690"/>
    <n v="71"/>
    <x v="1101"/>
    <x v="2"/>
  </r>
  <r>
    <d v="2023-07-04T00:00:00"/>
    <x v="0"/>
    <x v="1"/>
    <x v="1"/>
    <x v="20"/>
    <n v="650"/>
    <n v="33"/>
    <x v="360"/>
    <x v="2"/>
  </r>
  <r>
    <d v="2023-07-04T00:00:00"/>
    <x v="4"/>
    <x v="1"/>
    <x v="0"/>
    <x v="10"/>
    <n v="1230"/>
    <n v="30"/>
    <x v="1214"/>
    <x v="2"/>
  </r>
  <r>
    <d v="2023-07-04T00:00:00"/>
    <x v="4"/>
    <x v="6"/>
    <x v="2"/>
    <x v="8"/>
    <n v="460"/>
    <n v="7"/>
    <x v="278"/>
    <x v="2"/>
  </r>
  <r>
    <d v="2023-07-04T00:00:00"/>
    <x v="1"/>
    <x v="6"/>
    <x v="4"/>
    <x v="15"/>
    <n v="2460"/>
    <n v="70"/>
    <x v="74"/>
    <x v="2"/>
  </r>
  <r>
    <s v="04.07.2023 Итог"/>
    <x v="3"/>
    <x v="2"/>
    <x v="3"/>
    <x v="3"/>
    <m/>
    <m/>
    <x v="1215"/>
    <x v="2"/>
  </r>
  <r>
    <d v="2023-07-05T00:00:00"/>
    <x v="4"/>
    <x v="3"/>
    <x v="1"/>
    <x v="18"/>
    <n v="650"/>
    <n v="53"/>
    <x v="782"/>
    <x v="2"/>
  </r>
  <r>
    <d v="2023-07-05T00:00:00"/>
    <x v="1"/>
    <x v="3"/>
    <x v="0"/>
    <x v="5"/>
    <n v="930"/>
    <n v="43"/>
    <x v="1058"/>
    <x v="2"/>
  </r>
  <r>
    <d v="2023-07-05T00:00:00"/>
    <x v="0"/>
    <x v="0"/>
    <x v="1"/>
    <x v="19"/>
    <n v="540"/>
    <n v="23"/>
    <x v="1216"/>
    <x v="2"/>
  </r>
  <r>
    <d v="2023-07-05T00:00:00"/>
    <x v="4"/>
    <x v="0"/>
    <x v="2"/>
    <x v="8"/>
    <n v="460"/>
    <n v="26"/>
    <x v="114"/>
    <x v="2"/>
  </r>
  <r>
    <d v="2023-07-05T00:00:00"/>
    <x v="4"/>
    <x v="0"/>
    <x v="4"/>
    <x v="13"/>
    <n v="1505"/>
    <n v="63"/>
    <x v="855"/>
    <x v="2"/>
  </r>
  <r>
    <d v="2023-07-05T00:00:00"/>
    <x v="1"/>
    <x v="4"/>
    <x v="2"/>
    <x v="9"/>
    <n v="690"/>
    <n v="88"/>
    <x v="1103"/>
    <x v="2"/>
  </r>
  <r>
    <d v="2023-07-05T00:00:00"/>
    <x v="0"/>
    <x v="4"/>
    <x v="0"/>
    <x v="0"/>
    <n v="1320"/>
    <n v="18"/>
    <x v="1117"/>
    <x v="2"/>
  </r>
  <r>
    <d v="2023-07-05T00:00:00"/>
    <x v="2"/>
    <x v="1"/>
    <x v="4"/>
    <x v="11"/>
    <n v="2970"/>
    <n v="46"/>
    <x v="1212"/>
    <x v="2"/>
  </r>
  <r>
    <d v="2023-07-05T00:00:00"/>
    <x v="4"/>
    <x v="5"/>
    <x v="4"/>
    <x v="15"/>
    <n v="2460"/>
    <n v="25"/>
    <x v="1217"/>
    <x v="2"/>
  </r>
  <r>
    <d v="2023-07-05T00:00:00"/>
    <x v="0"/>
    <x v="6"/>
    <x v="0"/>
    <x v="0"/>
    <n v="1320"/>
    <n v="68"/>
    <x v="336"/>
    <x v="2"/>
  </r>
  <r>
    <s v="05.07.2023 Итог"/>
    <x v="3"/>
    <x v="2"/>
    <x v="3"/>
    <x v="3"/>
    <m/>
    <m/>
    <x v="1218"/>
    <x v="2"/>
  </r>
  <r>
    <d v="2023-07-06T00:00:00"/>
    <x v="0"/>
    <x v="3"/>
    <x v="1"/>
    <x v="6"/>
    <n v="640"/>
    <n v="17"/>
    <x v="460"/>
    <x v="2"/>
  </r>
  <r>
    <d v="2023-07-06T00:00:00"/>
    <x v="0"/>
    <x v="3"/>
    <x v="1"/>
    <x v="18"/>
    <n v="650"/>
    <n v="23"/>
    <x v="522"/>
    <x v="2"/>
  </r>
  <r>
    <d v="2023-07-06T00:00:00"/>
    <x v="2"/>
    <x v="3"/>
    <x v="4"/>
    <x v="7"/>
    <n v="1760"/>
    <n v="15"/>
    <x v="257"/>
    <x v="2"/>
  </r>
  <r>
    <d v="2023-07-06T00:00:00"/>
    <x v="4"/>
    <x v="0"/>
    <x v="1"/>
    <x v="23"/>
    <n v="705"/>
    <n v="27"/>
    <x v="1084"/>
    <x v="2"/>
  </r>
  <r>
    <d v="2023-07-06T00:00:00"/>
    <x v="0"/>
    <x v="4"/>
    <x v="1"/>
    <x v="1"/>
    <n v="1380"/>
    <n v="43"/>
    <x v="147"/>
    <x v="2"/>
  </r>
  <r>
    <d v="2023-07-06T00:00:00"/>
    <x v="2"/>
    <x v="5"/>
    <x v="2"/>
    <x v="4"/>
    <n v="450"/>
    <n v="8"/>
    <x v="1219"/>
    <x v="2"/>
  </r>
  <r>
    <d v="2023-07-06T00:00:00"/>
    <x v="2"/>
    <x v="5"/>
    <x v="2"/>
    <x v="8"/>
    <n v="460"/>
    <n v="15"/>
    <x v="726"/>
    <x v="2"/>
  </r>
  <r>
    <d v="2023-07-06T00:00:00"/>
    <x v="4"/>
    <x v="5"/>
    <x v="0"/>
    <x v="22"/>
    <n v="1420"/>
    <n v="71"/>
    <x v="1220"/>
    <x v="2"/>
  </r>
  <r>
    <d v="2023-07-06T00:00:00"/>
    <x v="2"/>
    <x v="6"/>
    <x v="1"/>
    <x v="23"/>
    <n v="705"/>
    <n v="83"/>
    <x v="1221"/>
    <x v="2"/>
  </r>
  <r>
    <s v="06.07.2023 Итог"/>
    <x v="3"/>
    <x v="2"/>
    <x v="3"/>
    <x v="3"/>
    <m/>
    <m/>
    <x v="1222"/>
    <x v="2"/>
  </r>
  <r>
    <d v="2023-07-07T00:00:00"/>
    <x v="1"/>
    <x v="0"/>
    <x v="1"/>
    <x v="19"/>
    <n v="540"/>
    <n v="19"/>
    <x v="1009"/>
    <x v="2"/>
  </r>
  <r>
    <d v="2023-07-07T00:00:00"/>
    <x v="0"/>
    <x v="0"/>
    <x v="4"/>
    <x v="21"/>
    <n v="3205"/>
    <n v="96"/>
    <x v="50"/>
    <x v="2"/>
  </r>
  <r>
    <d v="2023-07-07T00:00:00"/>
    <x v="2"/>
    <x v="4"/>
    <x v="1"/>
    <x v="23"/>
    <n v="705"/>
    <n v="83"/>
    <x v="1221"/>
    <x v="2"/>
  </r>
  <r>
    <d v="2023-07-07T00:00:00"/>
    <x v="0"/>
    <x v="1"/>
    <x v="2"/>
    <x v="2"/>
    <n v="325"/>
    <n v="32"/>
    <x v="673"/>
    <x v="2"/>
  </r>
  <r>
    <d v="2023-07-07T00:00:00"/>
    <x v="4"/>
    <x v="1"/>
    <x v="4"/>
    <x v="21"/>
    <n v="3205"/>
    <n v="88"/>
    <x v="1178"/>
    <x v="2"/>
  </r>
  <r>
    <d v="2023-07-07T00:00:00"/>
    <x v="1"/>
    <x v="5"/>
    <x v="1"/>
    <x v="1"/>
    <n v="1380"/>
    <n v="29"/>
    <x v="215"/>
    <x v="2"/>
  </r>
  <r>
    <d v="2023-07-07T00:00:00"/>
    <x v="1"/>
    <x v="5"/>
    <x v="0"/>
    <x v="5"/>
    <n v="930"/>
    <n v="18"/>
    <x v="378"/>
    <x v="2"/>
  </r>
  <r>
    <d v="2023-07-07T00:00:00"/>
    <x v="4"/>
    <x v="6"/>
    <x v="1"/>
    <x v="1"/>
    <n v="1380"/>
    <n v="63"/>
    <x v="329"/>
    <x v="2"/>
  </r>
  <r>
    <d v="2023-07-07T00:00:00"/>
    <x v="4"/>
    <x v="6"/>
    <x v="1"/>
    <x v="19"/>
    <n v="540"/>
    <n v="21"/>
    <x v="286"/>
    <x v="2"/>
  </r>
  <r>
    <d v="2023-07-07T00:00:00"/>
    <x v="4"/>
    <x v="6"/>
    <x v="0"/>
    <x v="5"/>
    <n v="930"/>
    <n v="70"/>
    <x v="1223"/>
    <x v="2"/>
  </r>
  <r>
    <s v="07.07.2023 Итог"/>
    <x v="3"/>
    <x v="2"/>
    <x v="3"/>
    <x v="3"/>
    <m/>
    <m/>
    <x v="1224"/>
    <x v="2"/>
  </r>
  <r>
    <d v="2023-07-08T00:00:00"/>
    <x v="4"/>
    <x v="3"/>
    <x v="1"/>
    <x v="19"/>
    <n v="540"/>
    <n v="12"/>
    <x v="1225"/>
    <x v="2"/>
  </r>
  <r>
    <d v="2023-07-08T00:00:00"/>
    <x v="2"/>
    <x v="3"/>
    <x v="4"/>
    <x v="13"/>
    <n v="1505"/>
    <n v="40"/>
    <x v="1226"/>
    <x v="2"/>
  </r>
  <r>
    <d v="2023-07-08T00:00:00"/>
    <x v="4"/>
    <x v="0"/>
    <x v="4"/>
    <x v="11"/>
    <n v="2970"/>
    <n v="85"/>
    <x v="646"/>
    <x v="2"/>
  </r>
  <r>
    <d v="2023-07-08T00:00:00"/>
    <x v="4"/>
    <x v="4"/>
    <x v="0"/>
    <x v="17"/>
    <n v="2400"/>
    <n v="47"/>
    <x v="1227"/>
    <x v="2"/>
  </r>
  <r>
    <d v="2023-07-08T00:00:00"/>
    <x v="2"/>
    <x v="1"/>
    <x v="0"/>
    <x v="0"/>
    <n v="1320"/>
    <n v="47"/>
    <x v="541"/>
    <x v="2"/>
  </r>
  <r>
    <d v="2023-07-08T00:00:00"/>
    <x v="1"/>
    <x v="5"/>
    <x v="2"/>
    <x v="9"/>
    <n v="690"/>
    <n v="12"/>
    <x v="244"/>
    <x v="2"/>
  </r>
  <r>
    <d v="2023-07-08T00:00:00"/>
    <x v="4"/>
    <x v="5"/>
    <x v="4"/>
    <x v="21"/>
    <n v="3205"/>
    <n v="50"/>
    <x v="1228"/>
    <x v="2"/>
  </r>
  <r>
    <d v="2023-07-08T00:00:00"/>
    <x v="1"/>
    <x v="6"/>
    <x v="2"/>
    <x v="8"/>
    <n v="460"/>
    <n v="82"/>
    <x v="1142"/>
    <x v="2"/>
  </r>
  <r>
    <d v="2023-07-08T00:00:00"/>
    <x v="2"/>
    <x v="6"/>
    <x v="4"/>
    <x v="11"/>
    <n v="2970"/>
    <n v="42"/>
    <x v="580"/>
    <x v="2"/>
  </r>
  <r>
    <s v="08.07.2023 Итог"/>
    <x v="3"/>
    <x v="2"/>
    <x v="3"/>
    <x v="3"/>
    <m/>
    <m/>
    <x v="1229"/>
    <x v="2"/>
  </r>
  <r>
    <d v="2023-07-09T00:00:00"/>
    <x v="0"/>
    <x v="3"/>
    <x v="0"/>
    <x v="0"/>
    <n v="1320"/>
    <n v="93"/>
    <x v="121"/>
    <x v="2"/>
  </r>
  <r>
    <d v="2023-07-09T00:00:00"/>
    <x v="0"/>
    <x v="3"/>
    <x v="0"/>
    <x v="17"/>
    <n v="2400"/>
    <n v="100"/>
    <x v="1230"/>
    <x v="2"/>
  </r>
  <r>
    <d v="2023-07-09T00:00:00"/>
    <x v="2"/>
    <x v="0"/>
    <x v="2"/>
    <x v="16"/>
    <n v="890"/>
    <n v="26"/>
    <x v="29"/>
    <x v="2"/>
  </r>
  <r>
    <d v="2023-07-09T00:00:00"/>
    <x v="4"/>
    <x v="4"/>
    <x v="0"/>
    <x v="24"/>
    <n v="2540"/>
    <n v="50"/>
    <x v="1231"/>
    <x v="2"/>
  </r>
  <r>
    <d v="2023-07-09T00:00:00"/>
    <x v="2"/>
    <x v="4"/>
    <x v="4"/>
    <x v="13"/>
    <n v="1505"/>
    <n v="13"/>
    <x v="1232"/>
    <x v="2"/>
  </r>
  <r>
    <d v="2023-07-09T00:00:00"/>
    <x v="2"/>
    <x v="1"/>
    <x v="1"/>
    <x v="20"/>
    <n v="650"/>
    <n v="79"/>
    <x v="1233"/>
    <x v="2"/>
  </r>
  <r>
    <d v="2023-07-09T00:00:00"/>
    <x v="1"/>
    <x v="1"/>
    <x v="0"/>
    <x v="0"/>
    <n v="1320"/>
    <n v="58"/>
    <x v="1234"/>
    <x v="2"/>
  </r>
  <r>
    <d v="2023-07-09T00:00:00"/>
    <x v="1"/>
    <x v="1"/>
    <x v="0"/>
    <x v="5"/>
    <n v="930"/>
    <n v="42"/>
    <x v="488"/>
    <x v="2"/>
  </r>
  <r>
    <d v="2023-07-09T00:00:00"/>
    <x v="4"/>
    <x v="6"/>
    <x v="1"/>
    <x v="18"/>
    <n v="650"/>
    <n v="54"/>
    <x v="158"/>
    <x v="2"/>
  </r>
  <r>
    <d v="2023-07-09T00:00:00"/>
    <x v="0"/>
    <x v="6"/>
    <x v="0"/>
    <x v="17"/>
    <n v="2400"/>
    <n v="81"/>
    <x v="589"/>
    <x v="2"/>
  </r>
  <r>
    <s v="09.07.2023 Итог"/>
    <x v="3"/>
    <x v="2"/>
    <x v="3"/>
    <x v="3"/>
    <m/>
    <m/>
    <x v="1235"/>
    <x v="2"/>
  </r>
  <r>
    <d v="2023-07-10T00:00:00"/>
    <x v="1"/>
    <x v="3"/>
    <x v="4"/>
    <x v="21"/>
    <n v="3205"/>
    <n v="35"/>
    <x v="1236"/>
    <x v="2"/>
  </r>
  <r>
    <d v="2023-07-10T00:00:00"/>
    <x v="2"/>
    <x v="4"/>
    <x v="2"/>
    <x v="8"/>
    <n v="460"/>
    <n v="14"/>
    <x v="1151"/>
    <x v="2"/>
  </r>
  <r>
    <d v="2023-07-10T00:00:00"/>
    <x v="0"/>
    <x v="1"/>
    <x v="2"/>
    <x v="4"/>
    <n v="450"/>
    <n v="87"/>
    <x v="903"/>
    <x v="2"/>
  </r>
  <r>
    <d v="2023-07-10T00:00:00"/>
    <x v="0"/>
    <x v="1"/>
    <x v="0"/>
    <x v="10"/>
    <n v="1230"/>
    <n v="66"/>
    <x v="194"/>
    <x v="2"/>
  </r>
  <r>
    <d v="2023-07-10T00:00:00"/>
    <x v="1"/>
    <x v="5"/>
    <x v="2"/>
    <x v="9"/>
    <n v="690"/>
    <n v="23"/>
    <x v="1237"/>
    <x v="2"/>
  </r>
  <r>
    <d v="2023-07-10T00:00:00"/>
    <x v="0"/>
    <x v="5"/>
    <x v="2"/>
    <x v="9"/>
    <n v="690"/>
    <n v="38"/>
    <x v="217"/>
    <x v="2"/>
  </r>
  <r>
    <d v="2023-07-10T00:00:00"/>
    <x v="2"/>
    <x v="5"/>
    <x v="0"/>
    <x v="0"/>
    <n v="1320"/>
    <n v="15"/>
    <x v="4"/>
    <x v="2"/>
  </r>
  <r>
    <d v="2023-07-10T00:00:00"/>
    <x v="1"/>
    <x v="6"/>
    <x v="1"/>
    <x v="23"/>
    <n v="705"/>
    <n v="46"/>
    <x v="816"/>
    <x v="2"/>
  </r>
  <r>
    <d v="2023-07-10T00:00:00"/>
    <x v="0"/>
    <x v="6"/>
    <x v="1"/>
    <x v="20"/>
    <n v="650"/>
    <n v="36"/>
    <x v="756"/>
    <x v="2"/>
  </r>
  <r>
    <d v="2023-07-10T00:00:00"/>
    <x v="1"/>
    <x v="6"/>
    <x v="2"/>
    <x v="2"/>
    <n v="325"/>
    <n v="38"/>
    <x v="1238"/>
    <x v="2"/>
  </r>
  <r>
    <d v="2023-07-10T00:00:00"/>
    <x v="4"/>
    <x v="6"/>
    <x v="2"/>
    <x v="16"/>
    <n v="890"/>
    <n v="66"/>
    <x v="1239"/>
    <x v="2"/>
  </r>
  <r>
    <s v="10.07.2023 Итог"/>
    <x v="3"/>
    <x v="2"/>
    <x v="3"/>
    <x v="3"/>
    <m/>
    <m/>
    <x v="1240"/>
    <x v="2"/>
  </r>
  <r>
    <d v="2023-07-11T00:00:00"/>
    <x v="1"/>
    <x v="3"/>
    <x v="4"/>
    <x v="11"/>
    <n v="2970"/>
    <n v="27"/>
    <x v="576"/>
    <x v="2"/>
  </r>
  <r>
    <d v="2023-07-11T00:00:00"/>
    <x v="1"/>
    <x v="0"/>
    <x v="1"/>
    <x v="18"/>
    <n v="650"/>
    <n v="68"/>
    <x v="267"/>
    <x v="2"/>
  </r>
  <r>
    <d v="2023-07-11T00:00:00"/>
    <x v="4"/>
    <x v="0"/>
    <x v="2"/>
    <x v="16"/>
    <n v="890"/>
    <n v="32"/>
    <x v="426"/>
    <x v="2"/>
  </r>
  <r>
    <d v="2023-07-11T00:00:00"/>
    <x v="2"/>
    <x v="1"/>
    <x v="1"/>
    <x v="18"/>
    <n v="650"/>
    <n v="13"/>
    <x v="375"/>
    <x v="2"/>
  </r>
  <r>
    <d v="2023-07-11T00:00:00"/>
    <x v="0"/>
    <x v="1"/>
    <x v="1"/>
    <x v="19"/>
    <n v="540"/>
    <n v="91"/>
    <x v="1015"/>
    <x v="2"/>
  </r>
  <r>
    <d v="2023-07-11T00:00:00"/>
    <x v="1"/>
    <x v="1"/>
    <x v="4"/>
    <x v="7"/>
    <n v="1760"/>
    <n v="67"/>
    <x v="1241"/>
    <x v="2"/>
  </r>
  <r>
    <d v="2023-07-11T00:00:00"/>
    <x v="1"/>
    <x v="5"/>
    <x v="1"/>
    <x v="20"/>
    <n v="650"/>
    <n v="42"/>
    <x v="189"/>
    <x v="2"/>
  </r>
  <r>
    <s v="11.07.2023 Итог"/>
    <x v="3"/>
    <x v="2"/>
    <x v="3"/>
    <x v="3"/>
    <m/>
    <m/>
    <x v="1242"/>
    <x v="2"/>
  </r>
  <r>
    <d v="2023-07-12T00:00:00"/>
    <x v="2"/>
    <x v="3"/>
    <x v="1"/>
    <x v="18"/>
    <n v="650"/>
    <n v="90"/>
    <x v="226"/>
    <x v="2"/>
  </r>
  <r>
    <d v="2023-07-12T00:00:00"/>
    <x v="2"/>
    <x v="0"/>
    <x v="1"/>
    <x v="18"/>
    <n v="650"/>
    <n v="41"/>
    <x v="645"/>
    <x v="2"/>
  </r>
  <r>
    <d v="2023-07-12T00:00:00"/>
    <x v="0"/>
    <x v="0"/>
    <x v="2"/>
    <x v="9"/>
    <n v="690"/>
    <n v="51"/>
    <x v="228"/>
    <x v="2"/>
  </r>
  <r>
    <d v="2023-07-12T00:00:00"/>
    <x v="4"/>
    <x v="4"/>
    <x v="4"/>
    <x v="14"/>
    <n v="1670"/>
    <n v="46"/>
    <x v="478"/>
    <x v="2"/>
  </r>
  <r>
    <d v="2023-07-12T00:00:00"/>
    <x v="1"/>
    <x v="1"/>
    <x v="0"/>
    <x v="24"/>
    <n v="2540"/>
    <n v="15"/>
    <x v="1243"/>
    <x v="2"/>
  </r>
  <r>
    <d v="2023-07-12T00:00:00"/>
    <x v="1"/>
    <x v="1"/>
    <x v="4"/>
    <x v="14"/>
    <n v="1670"/>
    <n v="53"/>
    <x v="1244"/>
    <x v="2"/>
  </r>
  <r>
    <d v="2023-07-12T00:00:00"/>
    <x v="0"/>
    <x v="6"/>
    <x v="2"/>
    <x v="4"/>
    <n v="450"/>
    <n v="40"/>
    <x v="1245"/>
    <x v="2"/>
  </r>
  <r>
    <d v="2023-07-12T00:00:00"/>
    <x v="1"/>
    <x v="6"/>
    <x v="4"/>
    <x v="11"/>
    <n v="2970"/>
    <n v="83"/>
    <x v="1246"/>
    <x v="2"/>
  </r>
  <r>
    <s v="12.07.2023 Итог"/>
    <x v="3"/>
    <x v="2"/>
    <x v="3"/>
    <x v="3"/>
    <m/>
    <m/>
    <x v="1247"/>
    <x v="2"/>
  </r>
  <r>
    <d v="2023-07-13T00:00:00"/>
    <x v="0"/>
    <x v="3"/>
    <x v="2"/>
    <x v="16"/>
    <n v="890"/>
    <n v="74"/>
    <x v="137"/>
    <x v="2"/>
  </r>
  <r>
    <d v="2023-07-13T00:00:00"/>
    <x v="1"/>
    <x v="3"/>
    <x v="2"/>
    <x v="16"/>
    <n v="890"/>
    <n v="38"/>
    <x v="636"/>
    <x v="2"/>
  </r>
  <r>
    <d v="2023-07-13T00:00:00"/>
    <x v="2"/>
    <x v="3"/>
    <x v="4"/>
    <x v="21"/>
    <n v="3205"/>
    <n v="83"/>
    <x v="1248"/>
    <x v="2"/>
  </r>
  <r>
    <d v="2023-07-13T00:00:00"/>
    <x v="4"/>
    <x v="5"/>
    <x v="1"/>
    <x v="6"/>
    <n v="640"/>
    <n v="42"/>
    <x v="961"/>
    <x v="2"/>
  </r>
  <r>
    <d v="2023-07-13T00:00:00"/>
    <x v="4"/>
    <x v="5"/>
    <x v="2"/>
    <x v="8"/>
    <n v="460"/>
    <n v="5"/>
    <x v="1249"/>
    <x v="2"/>
  </r>
  <r>
    <d v="2023-07-13T00:00:00"/>
    <x v="4"/>
    <x v="5"/>
    <x v="4"/>
    <x v="13"/>
    <n v="1505"/>
    <n v="22"/>
    <x v="1250"/>
    <x v="2"/>
  </r>
  <r>
    <d v="2023-07-13T00:00:00"/>
    <x v="4"/>
    <x v="6"/>
    <x v="2"/>
    <x v="2"/>
    <n v="325"/>
    <n v="72"/>
    <x v="756"/>
    <x v="2"/>
  </r>
  <r>
    <s v="13.07.2023 Итог"/>
    <x v="3"/>
    <x v="2"/>
    <x v="3"/>
    <x v="3"/>
    <m/>
    <m/>
    <x v="1251"/>
    <x v="2"/>
  </r>
  <r>
    <d v="2023-07-14T00:00:00"/>
    <x v="2"/>
    <x v="3"/>
    <x v="1"/>
    <x v="23"/>
    <n v="705"/>
    <n v="86"/>
    <x v="586"/>
    <x v="2"/>
  </r>
  <r>
    <d v="2023-07-14T00:00:00"/>
    <x v="1"/>
    <x v="3"/>
    <x v="2"/>
    <x v="2"/>
    <n v="325"/>
    <n v="35"/>
    <x v="1092"/>
    <x v="2"/>
  </r>
  <r>
    <d v="2023-07-14T00:00:00"/>
    <x v="1"/>
    <x v="3"/>
    <x v="4"/>
    <x v="15"/>
    <n v="2460"/>
    <n v="67"/>
    <x v="34"/>
    <x v="2"/>
  </r>
  <r>
    <d v="2023-07-14T00:00:00"/>
    <x v="4"/>
    <x v="0"/>
    <x v="4"/>
    <x v="15"/>
    <n v="2460"/>
    <n v="59"/>
    <x v="1252"/>
    <x v="2"/>
  </r>
  <r>
    <d v="2023-07-14T00:00:00"/>
    <x v="1"/>
    <x v="4"/>
    <x v="1"/>
    <x v="23"/>
    <n v="705"/>
    <n v="83"/>
    <x v="1221"/>
    <x v="2"/>
  </r>
  <r>
    <d v="2023-07-14T00:00:00"/>
    <x v="4"/>
    <x v="4"/>
    <x v="1"/>
    <x v="18"/>
    <n v="650"/>
    <n v="74"/>
    <x v="1253"/>
    <x v="2"/>
  </r>
  <r>
    <d v="2023-07-14T00:00:00"/>
    <x v="0"/>
    <x v="1"/>
    <x v="1"/>
    <x v="6"/>
    <n v="640"/>
    <n v="65"/>
    <x v="15"/>
    <x v="2"/>
  </r>
  <r>
    <d v="2023-07-14T00:00:00"/>
    <x v="1"/>
    <x v="1"/>
    <x v="2"/>
    <x v="16"/>
    <n v="890"/>
    <n v="64"/>
    <x v="880"/>
    <x v="2"/>
  </r>
  <r>
    <d v="2023-07-14T00:00:00"/>
    <x v="0"/>
    <x v="5"/>
    <x v="1"/>
    <x v="18"/>
    <n v="650"/>
    <n v="29"/>
    <x v="46"/>
    <x v="2"/>
  </r>
  <r>
    <d v="2023-07-14T00:00:00"/>
    <x v="4"/>
    <x v="6"/>
    <x v="2"/>
    <x v="16"/>
    <n v="890"/>
    <n v="93"/>
    <x v="729"/>
    <x v="2"/>
  </r>
  <r>
    <d v="2023-07-14T00:00:00"/>
    <x v="0"/>
    <x v="6"/>
    <x v="2"/>
    <x v="4"/>
    <n v="450"/>
    <n v="53"/>
    <x v="1254"/>
    <x v="2"/>
  </r>
  <r>
    <d v="2023-07-14T00:00:00"/>
    <x v="4"/>
    <x v="6"/>
    <x v="4"/>
    <x v="11"/>
    <n v="2970"/>
    <n v="72"/>
    <x v="492"/>
    <x v="2"/>
  </r>
  <r>
    <s v="14.07.2023 Итог"/>
    <x v="3"/>
    <x v="2"/>
    <x v="3"/>
    <x v="3"/>
    <m/>
    <m/>
    <x v="1255"/>
    <x v="2"/>
  </r>
  <r>
    <d v="2023-07-15T00:00:00"/>
    <x v="1"/>
    <x v="3"/>
    <x v="4"/>
    <x v="7"/>
    <n v="1760"/>
    <n v="33"/>
    <x v="660"/>
    <x v="2"/>
  </r>
  <r>
    <d v="2023-07-15T00:00:00"/>
    <x v="4"/>
    <x v="4"/>
    <x v="1"/>
    <x v="20"/>
    <n v="650"/>
    <n v="44"/>
    <x v="853"/>
    <x v="2"/>
  </r>
  <r>
    <d v="2023-07-15T00:00:00"/>
    <x v="0"/>
    <x v="1"/>
    <x v="2"/>
    <x v="9"/>
    <n v="690"/>
    <n v="33"/>
    <x v="1256"/>
    <x v="2"/>
  </r>
  <r>
    <d v="2023-07-15T00:00:00"/>
    <x v="1"/>
    <x v="1"/>
    <x v="0"/>
    <x v="10"/>
    <n v="1230"/>
    <n v="51"/>
    <x v="1257"/>
    <x v="2"/>
  </r>
  <r>
    <d v="2023-07-15T00:00:00"/>
    <x v="2"/>
    <x v="5"/>
    <x v="1"/>
    <x v="20"/>
    <n v="650"/>
    <n v="34"/>
    <x v="199"/>
    <x v="2"/>
  </r>
  <r>
    <d v="2023-07-15T00:00:00"/>
    <x v="0"/>
    <x v="5"/>
    <x v="4"/>
    <x v="7"/>
    <n v="1760"/>
    <n v="57"/>
    <x v="759"/>
    <x v="2"/>
  </r>
  <r>
    <d v="2023-07-15T00:00:00"/>
    <x v="1"/>
    <x v="6"/>
    <x v="1"/>
    <x v="23"/>
    <n v="705"/>
    <n v="38"/>
    <x v="1258"/>
    <x v="2"/>
  </r>
  <r>
    <d v="2023-07-15T00:00:00"/>
    <x v="2"/>
    <x v="6"/>
    <x v="0"/>
    <x v="17"/>
    <n v="2400"/>
    <n v="10"/>
    <x v="1259"/>
    <x v="2"/>
  </r>
  <r>
    <s v="15.07.2023 Итог"/>
    <x v="3"/>
    <x v="2"/>
    <x v="3"/>
    <x v="3"/>
    <m/>
    <m/>
    <x v="1260"/>
    <x v="2"/>
  </r>
  <r>
    <d v="2023-07-16T00:00:00"/>
    <x v="2"/>
    <x v="3"/>
    <x v="1"/>
    <x v="20"/>
    <n v="650"/>
    <n v="7"/>
    <x v="928"/>
    <x v="2"/>
  </r>
  <r>
    <d v="2023-07-16T00:00:00"/>
    <x v="1"/>
    <x v="3"/>
    <x v="2"/>
    <x v="16"/>
    <n v="890"/>
    <n v="19"/>
    <x v="1261"/>
    <x v="2"/>
  </r>
  <r>
    <d v="2023-07-16T00:00:00"/>
    <x v="4"/>
    <x v="3"/>
    <x v="4"/>
    <x v="7"/>
    <n v="1760"/>
    <n v="6"/>
    <x v="1171"/>
    <x v="2"/>
  </r>
  <r>
    <d v="2023-07-16T00:00:00"/>
    <x v="4"/>
    <x v="0"/>
    <x v="1"/>
    <x v="23"/>
    <n v="705"/>
    <n v="6"/>
    <x v="1118"/>
    <x v="2"/>
  </r>
  <r>
    <d v="2023-07-16T00:00:00"/>
    <x v="4"/>
    <x v="0"/>
    <x v="2"/>
    <x v="12"/>
    <n v="715"/>
    <n v="13"/>
    <x v="1070"/>
    <x v="2"/>
  </r>
  <r>
    <d v="2023-07-16T00:00:00"/>
    <x v="1"/>
    <x v="4"/>
    <x v="1"/>
    <x v="23"/>
    <n v="705"/>
    <n v="14"/>
    <x v="1207"/>
    <x v="2"/>
  </r>
  <r>
    <d v="2023-07-16T00:00:00"/>
    <x v="1"/>
    <x v="4"/>
    <x v="2"/>
    <x v="16"/>
    <n v="890"/>
    <n v="44"/>
    <x v="1195"/>
    <x v="2"/>
  </r>
  <r>
    <d v="2023-07-16T00:00:00"/>
    <x v="0"/>
    <x v="1"/>
    <x v="0"/>
    <x v="22"/>
    <n v="1420"/>
    <n v="34"/>
    <x v="1262"/>
    <x v="2"/>
  </r>
  <r>
    <d v="2023-07-16T00:00:00"/>
    <x v="1"/>
    <x v="5"/>
    <x v="1"/>
    <x v="6"/>
    <n v="640"/>
    <n v="85"/>
    <x v="946"/>
    <x v="2"/>
  </r>
  <r>
    <d v="2023-07-16T00:00:00"/>
    <x v="1"/>
    <x v="5"/>
    <x v="2"/>
    <x v="2"/>
    <n v="325"/>
    <n v="89"/>
    <x v="266"/>
    <x v="2"/>
  </r>
  <r>
    <d v="2023-07-16T00:00:00"/>
    <x v="2"/>
    <x v="5"/>
    <x v="4"/>
    <x v="13"/>
    <n v="1505"/>
    <n v="53"/>
    <x v="235"/>
    <x v="2"/>
  </r>
  <r>
    <d v="2023-07-16T00:00:00"/>
    <x v="4"/>
    <x v="6"/>
    <x v="1"/>
    <x v="6"/>
    <n v="640"/>
    <n v="66"/>
    <x v="11"/>
    <x v="2"/>
  </r>
  <r>
    <d v="2023-07-16T00:00:00"/>
    <x v="2"/>
    <x v="6"/>
    <x v="4"/>
    <x v="13"/>
    <n v="1505"/>
    <n v="41"/>
    <x v="1089"/>
    <x v="2"/>
  </r>
  <r>
    <s v="16.07.2023 Итог"/>
    <x v="3"/>
    <x v="2"/>
    <x v="3"/>
    <x v="3"/>
    <m/>
    <m/>
    <x v="1263"/>
    <x v="2"/>
  </r>
  <r>
    <d v="2023-07-17T00:00:00"/>
    <x v="4"/>
    <x v="3"/>
    <x v="1"/>
    <x v="1"/>
    <n v="1380"/>
    <n v="72"/>
    <x v="1264"/>
    <x v="2"/>
  </r>
  <r>
    <d v="2023-07-17T00:00:00"/>
    <x v="4"/>
    <x v="0"/>
    <x v="4"/>
    <x v="7"/>
    <n v="1760"/>
    <n v="39"/>
    <x v="1265"/>
    <x v="2"/>
  </r>
  <r>
    <d v="2023-07-17T00:00:00"/>
    <x v="1"/>
    <x v="4"/>
    <x v="1"/>
    <x v="1"/>
    <n v="1380"/>
    <n v="61"/>
    <x v="390"/>
    <x v="2"/>
  </r>
  <r>
    <d v="2023-07-17T00:00:00"/>
    <x v="2"/>
    <x v="4"/>
    <x v="1"/>
    <x v="1"/>
    <n v="1380"/>
    <n v="55"/>
    <x v="1266"/>
    <x v="2"/>
  </r>
  <r>
    <d v="2023-07-17T00:00:00"/>
    <x v="1"/>
    <x v="4"/>
    <x v="2"/>
    <x v="8"/>
    <n v="460"/>
    <n v="78"/>
    <x v="690"/>
    <x v="2"/>
  </r>
  <r>
    <d v="2023-07-17T00:00:00"/>
    <x v="1"/>
    <x v="4"/>
    <x v="0"/>
    <x v="5"/>
    <n v="930"/>
    <n v="87"/>
    <x v="1267"/>
    <x v="2"/>
  </r>
  <r>
    <d v="2023-07-17T00:00:00"/>
    <x v="0"/>
    <x v="4"/>
    <x v="0"/>
    <x v="24"/>
    <n v="2540"/>
    <n v="69"/>
    <x v="1268"/>
    <x v="2"/>
  </r>
  <r>
    <d v="2023-07-17T00:00:00"/>
    <x v="1"/>
    <x v="1"/>
    <x v="2"/>
    <x v="12"/>
    <n v="715"/>
    <n v="97"/>
    <x v="1269"/>
    <x v="2"/>
  </r>
  <r>
    <d v="2023-07-17T00:00:00"/>
    <x v="2"/>
    <x v="1"/>
    <x v="0"/>
    <x v="22"/>
    <n v="1420"/>
    <n v="44"/>
    <x v="1270"/>
    <x v="2"/>
  </r>
  <r>
    <d v="2023-07-17T00:00:00"/>
    <x v="4"/>
    <x v="1"/>
    <x v="0"/>
    <x v="10"/>
    <n v="1230"/>
    <n v="48"/>
    <x v="1271"/>
    <x v="2"/>
  </r>
  <r>
    <d v="2023-07-17T00:00:00"/>
    <x v="4"/>
    <x v="1"/>
    <x v="4"/>
    <x v="7"/>
    <n v="1760"/>
    <n v="14"/>
    <x v="1272"/>
    <x v="2"/>
  </r>
  <r>
    <d v="2023-07-17T00:00:00"/>
    <x v="0"/>
    <x v="5"/>
    <x v="2"/>
    <x v="12"/>
    <n v="715"/>
    <n v="76"/>
    <x v="1273"/>
    <x v="2"/>
  </r>
  <r>
    <d v="2023-07-17T00:00:00"/>
    <x v="4"/>
    <x v="6"/>
    <x v="2"/>
    <x v="4"/>
    <n v="450"/>
    <n v="27"/>
    <x v="664"/>
    <x v="2"/>
  </r>
  <r>
    <s v="17.07.2023 Итог"/>
    <x v="3"/>
    <x v="2"/>
    <x v="3"/>
    <x v="3"/>
    <m/>
    <m/>
    <x v="1274"/>
    <x v="2"/>
  </r>
  <r>
    <d v="2023-07-18T00:00:00"/>
    <x v="0"/>
    <x v="3"/>
    <x v="1"/>
    <x v="1"/>
    <n v="1380"/>
    <n v="46"/>
    <x v="1275"/>
    <x v="2"/>
  </r>
  <r>
    <d v="2023-07-18T00:00:00"/>
    <x v="1"/>
    <x v="3"/>
    <x v="0"/>
    <x v="22"/>
    <n v="1420"/>
    <n v="44"/>
    <x v="1270"/>
    <x v="2"/>
  </r>
  <r>
    <d v="2023-07-18T00:00:00"/>
    <x v="0"/>
    <x v="0"/>
    <x v="4"/>
    <x v="15"/>
    <n v="2460"/>
    <n v="78"/>
    <x v="380"/>
    <x v="2"/>
  </r>
  <r>
    <d v="2023-07-18T00:00:00"/>
    <x v="2"/>
    <x v="0"/>
    <x v="4"/>
    <x v="11"/>
    <n v="2970"/>
    <n v="26"/>
    <x v="892"/>
    <x v="2"/>
  </r>
  <r>
    <d v="2023-07-18T00:00:00"/>
    <x v="1"/>
    <x v="4"/>
    <x v="0"/>
    <x v="0"/>
    <n v="1320"/>
    <n v="88"/>
    <x v="1276"/>
    <x v="2"/>
  </r>
  <r>
    <d v="2023-07-18T00:00:00"/>
    <x v="0"/>
    <x v="4"/>
    <x v="4"/>
    <x v="15"/>
    <n v="2460"/>
    <n v="41"/>
    <x v="831"/>
    <x v="2"/>
  </r>
  <r>
    <d v="2023-07-18T00:00:00"/>
    <x v="4"/>
    <x v="1"/>
    <x v="1"/>
    <x v="18"/>
    <n v="650"/>
    <n v="74"/>
    <x v="1253"/>
    <x v="2"/>
  </r>
  <r>
    <d v="2023-07-18T00:00:00"/>
    <x v="4"/>
    <x v="1"/>
    <x v="1"/>
    <x v="18"/>
    <n v="650"/>
    <n v="75"/>
    <x v="359"/>
    <x v="2"/>
  </r>
  <r>
    <d v="2023-07-18T00:00:00"/>
    <x v="0"/>
    <x v="6"/>
    <x v="4"/>
    <x v="13"/>
    <n v="1505"/>
    <n v="100"/>
    <x v="920"/>
    <x v="2"/>
  </r>
  <r>
    <d v="2023-07-18T00:00:00"/>
    <x v="0"/>
    <x v="6"/>
    <x v="4"/>
    <x v="11"/>
    <n v="2970"/>
    <n v="47"/>
    <x v="1129"/>
    <x v="2"/>
  </r>
  <r>
    <d v="2023-07-18T00:00:00"/>
    <x v="1"/>
    <x v="6"/>
    <x v="4"/>
    <x v="21"/>
    <n v="3205"/>
    <n v="76"/>
    <x v="489"/>
    <x v="2"/>
  </r>
  <r>
    <s v="18.07.2023 Итог"/>
    <x v="3"/>
    <x v="2"/>
    <x v="3"/>
    <x v="3"/>
    <m/>
    <m/>
    <x v="1277"/>
    <x v="2"/>
  </r>
  <r>
    <d v="2023-07-19T00:00:00"/>
    <x v="4"/>
    <x v="3"/>
    <x v="2"/>
    <x v="9"/>
    <n v="690"/>
    <n v="57"/>
    <x v="1278"/>
    <x v="2"/>
  </r>
  <r>
    <d v="2023-07-19T00:00:00"/>
    <x v="1"/>
    <x v="3"/>
    <x v="2"/>
    <x v="16"/>
    <n v="890"/>
    <n v="82"/>
    <x v="1279"/>
    <x v="2"/>
  </r>
  <r>
    <d v="2023-07-19T00:00:00"/>
    <x v="0"/>
    <x v="3"/>
    <x v="0"/>
    <x v="10"/>
    <n v="1230"/>
    <n v="92"/>
    <x v="1094"/>
    <x v="2"/>
  </r>
  <r>
    <d v="2023-07-19T00:00:00"/>
    <x v="1"/>
    <x v="3"/>
    <x v="0"/>
    <x v="5"/>
    <n v="930"/>
    <n v="80"/>
    <x v="575"/>
    <x v="2"/>
  </r>
  <r>
    <d v="2023-07-19T00:00:00"/>
    <x v="1"/>
    <x v="0"/>
    <x v="0"/>
    <x v="0"/>
    <n v="1320"/>
    <n v="70"/>
    <x v="918"/>
    <x v="2"/>
  </r>
  <r>
    <d v="2023-07-19T00:00:00"/>
    <x v="4"/>
    <x v="4"/>
    <x v="1"/>
    <x v="18"/>
    <n v="650"/>
    <n v="48"/>
    <x v="447"/>
    <x v="2"/>
  </r>
  <r>
    <d v="2023-07-19T00:00:00"/>
    <x v="2"/>
    <x v="4"/>
    <x v="4"/>
    <x v="21"/>
    <n v="3205"/>
    <n v="70"/>
    <x v="1085"/>
    <x v="2"/>
  </r>
  <r>
    <d v="2023-07-19T00:00:00"/>
    <x v="2"/>
    <x v="4"/>
    <x v="4"/>
    <x v="7"/>
    <n v="1760"/>
    <n v="29"/>
    <x v="1280"/>
    <x v="2"/>
  </r>
  <r>
    <d v="2023-07-19T00:00:00"/>
    <x v="2"/>
    <x v="1"/>
    <x v="2"/>
    <x v="8"/>
    <n v="460"/>
    <n v="96"/>
    <x v="797"/>
    <x v="2"/>
  </r>
  <r>
    <d v="2023-07-19T00:00:00"/>
    <x v="0"/>
    <x v="1"/>
    <x v="0"/>
    <x v="17"/>
    <n v="2400"/>
    <n v="96"/>
    <x v="1281"/>
    <x v="2"/>
  </r>
  <r>
    <d v="2023-07-19T00:00:00"/>
    <x v="4"/>
    <x v="5"/>
    <x v="2"/>
    <x v="4"/>
    <n v="450"/>
    <n v="7"/>
    <x v="1078"/>
    <x v="2"/>
  </r>
  <r>
    <d v="2023-07-19T00:00:00"/>
    <x v="1"/>
    <x v="6"/>
    <x v="0"/>
    <x v="17"/>
    <n v="2400"/>
    <n v="32"/>
    <x v="1282"/>
    <x v="2"/>
  </r>
  <r>
    <s v="19.07.2023 Итог"/>
    <x v="3"/>
    <x v="2"/>
    <x v="3"/>
    <x v="3"/>
    <m/>
    <m/>
    <x v="1283"/>
    <x v="2"/>
  </r>
  <r>
    <d v="2023-07-20T00:00:00"/>
    <x v="4"/>
    <x v="3"/>
    <x v="1"/>
    <x v="23"/>
    <n v="705"/>
    <n v="26"/>
    <x v="1048"/>
    <x v="2"/>
  </r>
  <r>
    <d v="2023-07-20T00:00:00"/>
    <x v="4"/>
    <x v="3"/>
    <x v="2"/>
    <x v="9"/>
    <n v="690"/>
    <n v="21"/>
    <x v="1284"/>
    <x v="2"/>
  </r>
  <r>
    <d v="2023-07-20T00:00:00"/>
    <x v="4"/>
    <x v="3"/>
    <x v="0"/>
    <x v="17"/>
    <n v="2400"/>
    <n v="83"/>
    <x v="1285"/>
    <x v="2"/>
  </r>
  <r>
    <d v="2023-07-20T00:00:00"/>
    <x v="0"/>
    <x v="3"/>
    <x v="4"/>
    <x v="21"/>
    <n v="3205"/>
    <n v="55"/>
    <x v="1286"/>
    <x v="2"/>
  </r>
  <r>
    <d v="2023-07-20T00:00:00"/>
    <x v="0"/>
    <x v="0"/>
    <x v="2"/>
    <x v="2"/>
    <n v="325"/>
    <n v="85"/>
    <x v="762"/>
    <x v="2"/>
  </r>
  <r>
    <d v="2023-07-20T00:00:00"/>
    <x v="0"/>
    <x v="1"/>
    <x v="0"/>
    <x v="5"/>
    <n v="930"/>
    <n v="40"/>
    <x v="372"/>
    <x v="2"/>
  </r>
  <r>
    <d v="2023-07-20T00:00:00"/>
    <x v="1"/>
    <x v="1"/>
    <x v="0"/>
    <x v="17"/>
    <n v="2400"/>
    <n v="94"/>
    <x v="1287"/>
    <x v="2"/>
  </r>
  <r>
    <d v="2023-07-20T00:00:00"/>
    <x v="1"/>
    <x v="5"/>
    <x v="2"/>
    <x v="16"/>
    <n v="890"/>
    <n v="100"/>
    <x v="604"/>
    <x v="2"/>
  </r>
  <r>
    <d v="2023-07-20T00:00:00"/>
    <x v="0"/>
    <x v="6"/>
    <x v="1"/>
    <x v="19"/>
    <n v="540"/>
    <n v="53"/>
    <x v="1288"/>
    <x v="2"/>
  </r>
  <r>
    <d v="2023-07-20T00:00:00"/>
    <x v="1"/>
    <x v="6"/>
    <x v="1"/>
    <x v="23"/>
    <n v="705"/>
    <n v="29"/>
    <x v="799"/>
    <x v="2"/>
  </r>
  <r>
    <d v="2023-07-20T00:00:00"/>
    <x v="4"/>
    <x v="6"/>
    <x v="0"/>
    <x v="0"/>
    <n v="1320"/>
    <n v="42"/>
    <x v="1140"/>
    <x v="2"/>
  </r>
  <r>
    <d v="2023-07-20T00:00:00"/>
    <x v="2"/>
    <x v="6"/>
    <x v="4"/>
    <x v="14"/>
    <n v="1670"/>
    <n v="76"/>
    <x v="933"/>
    <x v="2"/>
  </r>
  <r>
    <s v="20.07.2023 Итог"/>
    <x v="3"/>
    <x v="2"/>
    <x v="3"/>
    <x v="3"/>
    <m/>
    <m/>
    <x v="1289"/>
    <x v="2"/>
  </r>
  <r>
    <d v="2023-07-21T00:00:00"/>
    <x v="1"/>
    <x v="3"/>
    <x v="2"/>
    <x v="16"/>
    <n v="890"/>
    <n v="28"/>
    <x v="546"/>
    <x v="2"/>
  </r>
  <r>
    <d v="2023-07-21T00:00:00"/>
    <x v="1"/>
    <x v="3"/>
    <x v="4"/>
    <x v="13"/>
    <n v="1505"/>
    <n v="75"/>
    <x v="592"/>
    <x v="2"/>
  </r>
  <r>
    <d v="2023-07-21T00:00:00"/>
    <x v="1"/>
    <x v="0"/>
    <x v="2"/>
    <x v="2"/>
    <n v="325"/>
    <n v="71"/>
    <x v="1290"/>
    <x v="2"/>
  </r>
  <r>
    <d v="2023-07-21T00:00:00"/>
    <x v="0"/>
    <x v="4"/>
    <x v="2"/>
    <x v="16"/>
    <n v="890"/>
    <n v="26"/>
    <x v="29"/>
    <x v="2"/>
  </r>
  <r>
    <d v="2023-07-21T00:00:00"/>
    <x v="2"/>
    <x v="4"/>
    <x v="4"/>
    <x v="14"/>
    <n v="1670"/>
    <n v="82"/>
    <x v="1291"/>
    <x v="2"/>
  </r>
  <r>
    <d v="2023-07-21T00:00:00"/>
    <x v="4"/>
    <x v="4"/>
    <x v="4"/>
    <x v="15"/>
    <n v="2460"/>
    <n v="74"/>
    <x v="1292"/>
    <x v="2"/>
  </r>
  <r>
    <d v="2023-07-21T00:00:00"/>
    <x v="1"/>
    <x v="1"/>
    <x v="2"/>
    <x v="9"/>
    <n v="690"/>
    <n v="66"/>
    <x v="744"/>
    <x v="2"/>
  </r>
  <r>
    <d v="2023-07-21T00:00:00"/>
    <x v="0"/>
    <x v="1"/>
    <x v="4"/>
    <x v="11"/>
    <n v="2970"/>
    <n v="68"/>
    <x v="1036"/>
    <x v="2"/>
  </r>
  <r>
    <d v="2023-07-21T00:00:00"/>
    <x v="1"/>
    <x v="5"/>
    <x v="1"/>
    <x v="19"/>
    <n v="540"/>
    <n v="23"/>
    <x v="1216"/>
    <x v="2"/>
  </r>
  <r>
    <d v="2023-07-21T00:00:00"/>
    <x v="2"/>
    <x v="5"/>
    <x v="2"/>
    <x v="4"/>
    <n v="450"/>
    <n v="62"/>
    <x v="1046"/>
    <x v="2"/>
  </r>
  <r>
    <d v="2023-07-21T00:00:00"/>
    <x v="1"/>
    <x v="5"/>
    <x v="0"/>
    <x v="0"/>
    <n v="1320"/>
    <n v="27"/>
    <x v="577"/>
    <x v="2"/>
  </r>
  <r>
    <d v="2023-07-21T00:00:00"/>
    <x v="0"/>
    <x v="5"/>
    <x v="4"/>
    <x v="13"/>
    <n v="1505"/>
    <n v="67"/>
    <x v="1065"/>
    <x v="2"/>
  </r>
  <r>
    <d v="2023-07-21T00:00:00"/>
    <x v="2"/>
    <x v="6"/>
    <x v="1"/>
    <x v="18"/>
    <n v="650"/>
    <n v="51"/>
    <x v="516"/>
    <x v="2"/>
  </r>
  <r>
    <s v="21.07.2023 Итог"/>
    <x v="3"/>
    <x v="2"/>
    <x v="3"/>
    <x v="3"/>
    <m/>
    <m/>
    <x v="1293"/>
    <x v="2"/>
  </r>
  <r>
    <d v="2023-07-22T00:00:00"/>
    <x v="0"/>
    <x v="3"/>
    <x v="1"/>
    <x v="1"/>
    <n v="1380"/>
    <n v="32"/>
    <x v="797"/>
    <x v="2"/>
  </r>
  <r>
    <d v="2023-07-22T00:00:00"/>
    <x v="0"/>
    <x v="3"/>
    <x v="4"/>
    <x v="11"/>
    <n v="2970"/>
    <n v="95"/>
    <x v="1189"/>
    <x v="2"/>
  </r>
  <r>
    <d v="2023-07-22T00:00:00"/>
    <x v="1"/>
    <x v="0"/>
    <x v="1"/>
    <x v="6"/>
    <n v="640"/>
    <n v="56"/>
    <x v="1294"/>
    <x v="2"/>
  </r>
  <r>
    <d v="2023-07-22T00:00:00"/>
    <x v="0"/>
    <x v="0"/>
    <x v="1"/>
    <x v="19"/>
    <n v="540"/>
    <n v="58"/>
    <x v="1295"/>
    <x v="2"/>
  </r>
  <r>
    <d v="2023-07-22T00:00:00"/>
    <x v="4"/>
    <x v="0"/>
    <x v="0"/>
    <x v="17"/>
    <n v="2400"/>
    <n v="17"/>
    <x v="1196"/>
    <x v="2"/>
  </r>
  <r>
    <d v="2023-07-22T00:00:00"/>
    <x v="2"/>
    <x v="1"/>
    <x v="0"/>
    <x v="24"/>
    <n v="2540"/>
    <n v="66"/>
    <x v="1296"/>
    <x v="2"/>
  </r>
  <r>
    <d v="2023-07-22T00:00:00"/>
    <x v="1"/>
    <x v="5"/>
    <x v="2"/>
    <x v="8"/>
    <n v="460"/>
    <n v="21"/>
    <x v="75"/>
    <x v="2"/>
  </r>
  <r>
    <d v="2023-07-22T00:00:00"/>
    <x v="2"/>
    <x v="5"/>
    <x v="2"/>
    <x v="9"/>
    <n v="690"/>
    <n v="39"/>
    <x v="1113"/>
    <x v="2"/>
  </r>
  <r>
    <d v="2023-07-22T00:00:00"/>
    <x v="2"/>
    <x v="6"/>
    <x v="0"/>
    <x v="24"/>
    <n v="2540"/>
    <n v="57"/>
    <x v="1002"/>
    <x v="2"/>
  </r>
  <r>
    <s v="22.07.2023 Итог"/>
    <x v="3"/>
    <x v="2"/>
    <x v="3"/>
    <x v="3"/>
    <m/>
    <m/>
    <x v="1297"/>
    <x v="2"/>
  </r>
  <r>
    <d v="2023-07-23T00:00:00"/>
    <x v="4"/>
    <x v="3"/>
    <x v="0"/>
    <x v="17"/>
    <n v="2400"/>
    <n v="89"/>
    <x v="507"/>
    <x v="2"/>
  </r>
  <r>
    <d v="2023-07-23T00:00:00"/>
    <x v="1"/>
    <x v="3"/>
    <x v="4"/>
    <x v="13"/>
    <n v="1505"/>
    <n v="33"/>
    <x v="1100"/>
    <x v="2"/>
  </r>
  <r>
    <d v="2023-07-23T00:00:00"/>
    <x v="2"/>
    <x v="4"/>
    <x v="2"/>
    <x v="8"/>
    <n v="460"/>
    <n v="88"/>
    <x v="539"/>
    <x v="2"/>
  </r>
  <r>
    <d v="2023-07-23T00:00:00"/>
    <x v="0"/>
    <x v="4"/>
    <x v="2"/>
    <x v="12"/>
    <n v="715"/>
    <n v="69"/>
    <x v="1298"/>
    <x v="2"/>
  </r>
  <r>
    <d v="2023-07-23T00:00:00"/>
    <x v="4"/>
    <x v="4"/>
    <x v="0"/>
    <x v="10"/>
    <n v="1230"/>
    <n v="90"/>
    <x v="415"/>
    <x v="2"/>
  </r>
  <r>
    <d v="2023-07-23T00:00:00"/>
    <x v="1"/>
    <x v="1"/>
    <x v="1"/>
    <x v="1"/>
    <n v="1380"/>
    <n v="58"/>
    <x v="618"/>
    <x v="2"/>
  </r>
  <r>
    <d v="2023-07-23T00:00:00"/>
    <x v="1"/>
    <x v="1"/>
    <x v="1"/>
    <x v="1"/>
    <n v="1380"/>
    <n v="66"/>
    <x v="1299"/>
    <x v="2"/>
  </r>
  <r>
    <d v="2023-07-23T00:00:00"/>
    <x v="0"/>
    <x v="1"/>
    <x v="1"/>
    <x v="18"/>
    <n v="650"/>
    <n v="8"/>
    <x v="672"/>
    <x v="2"/>
  </r>
  <r>
    <d v="2023-07-23T00:00:00"/>
    <x v="4"/>
    <x v="1"/>
    <x v="4"/>
    <x v="21"/>
    <n v="3205"/>
    <n v="85"/>
    <x v="299"/>
    <x v="2"/>
  </r>
  <r>
    <d v="2023-07-23T00:00:00"/>
    <x v="4"/>
    <x v="5"/>
    <x v="1"/>
    <x v="18"/>
    <n v="650"/>
    <n v="31"/>
    <x v="306"/>
    <x v="2"/>
  </r>
  <r>
    <d v="2023-07-23T00:00:00"/>
    <x v="0"/>
    <x v="6"/>
    <x v="4"/>
    <x v="11"/>
    <n v="2970"/>
    <n v="47"/>
    <x v="1129"/>
    <x v="2"/>
  </r>
  <r>
    <s v="23.07.2023 Итог"/>
    <x v="3"/>
    <x v="2"/>
    <x v="3"/>
    <x v="3"/>
    <m/>
    <m/>
    <x v="1300"/>
    <x v="2"/>
  </r>
  <r>
    <d v="2023-07-24T00:00:00"/>
    <x v="4"/>
    <x v="3"/>
    <x v="2"/>
    <x v="9"/>
    <n v="690"/>
    <n v="21"/>
    <x v="1284"/>
    <x v="2"/>
  </r>
  <r>
    <d v="2023-07-24T00:00:00"/>
    <x v="4"/>
    <x v="3"/>
    <x v="0"/>
    <x v="22"/>
    <n v="1420"/>
    <n v="51"/>
    <x v="571"/>
    <x v="2"/>
  </r>
  <r>
    <d v="2023-07-24T00:00:00"/>
    <x v="0"/>
    <x v="3"/>
    <x v="0"/>
    <x v="17"/>
    <n v="2400"/>
    <n v="40"/>
    <x v="1301"/>
    <x v="2"/>
  </r>
  <r>
    <d v="2023-07-24T00:00:00"/>
    <x v="2"/>
    <x v="3"/>
    <x v="0"/>
    <x v="22"/>
    <n v="1420"/>
    <n v="76"/>
    <x v="56"/>
    <x v="2"/>
  </r>
  <r>
    <d v="2023-07-24T00:00:00"/>
    <x v="2"/>
    <x v="4"/>
    <x v="2"/>
    <x v="12"/>
    <n v="715"/>
    <n v="7"/>
    <x v="839"/>
    <x v="2"/>
  </r>
  <r>
    <d v="2023-07-24T00:00:00"/>
    <x v="1"/>
    <x v="1"/>
    <x v="1"/>
    <x v="20"/>
    <n v="650"/>
    <n v="75"/>
    <x v="359"/>
    <x v="2"/>
  </r>
  <r>
    <d v="2023-07-24T00:00:00"/>
    <x v="2"/>
    <x v="1"/>
    <x v="1"/>
    <x v="19"/>
    <n v="540"/>
    <n v="5"/>
    <x v="412"/>
    <x v="2"/>
  </r>
  <r>
    <d v="2023-07-24T00:00:00"/>
    <x v="0"/>
    <x v="1"/>
    <x v="2"/>
    <x v="4"/>
    <n v="450"/>
    <n v="56"/>
    <x v="715"/>
    <x v="2"/>
  </r>
  <r>
    <d v="2023-07-24T00:00:00"/>
    <x v="4"/>
    <x v="5"/>
    <x v="1"/>
    <x v="18"/>
    <n v="650"/>
    <n v="23"/>
    <x v="522"/>
    <x v="2"/>
  </r>
  <r>
    <d v="2023-07-24T00:00:00"/>
    <x v="4"/>
    <x v="5"/>
    <x v="0"/>
    <x v="22"/>
    <n v="1420"/>
    <n v="7"/>
    <x v="1302"/>
    <x v="2"/>
  </r>
  <r>
    <d v="2023-07-24T00:00:00"/>
    <x v="0"/>
    <x v="6"/>
    <x v="2"/>
    <x v="2"/>
    <n v="325"/>
    <n v="61"/>
    <x v="1016"/>
    <x v="2"/>
  </r>
  <r>
    <s v="24.07.2023 Итог"/>
    <x v="3"/>
    <x v="2"/>
    <x v="3"/>
    <x v="3"/>
    <m/>
    <m/>
    <x v="1303"/>
    <x v="2"/>
  </r>
  <r>
    <d v="2023-07-25T00:00:00"/>
    <x v="4"/>
    <x v="3"/>
    <x v="1"/>
    <x v="6"/>
    <n v="640"/>
    <n v="17"/>
    <x v="460"/>
    <x v="2"/>
  </r>
  <r>
    <d v="2023-07-25T00:00:00"/>
    <x v="0"/>
    <x v="3"/>
    <x v="1"/>
    <x v="23"/>
    <n v="705"/>
    <n v="40"/>
    <x v="1121"/>
    <x v="2"/>
  </r>
  <r>
    <d v="2023-07-25T00:00:00"/>
    <x v="1"/>
    <x v="3"/>
    <x v="2"/>
    <x v="12"/>
    <n v="715"/>
    <n v="58"/>
    <x v="1304"/>
    <x v="2"/>
  </r>
  <r>
    <d v="2023-07-25T00:00:00"/>
    <x v="0"/>
    <x v="0"/>
    <x v="1"/>
    <x v="19"/>
    <n v="540"/>
    <n v="11"/>
    <x v="53"/>
    <x v="2"/>
  </r>
  <r>
    <d v="2023-07-25T00:00:00"/>
    <x v="0"/>
    <x v="0"/>
    <x v="0"/>
    <x v="24"/>
    <n v="2540"/>
    <n v="21"/>
    <x v="658"/>
    <x v="2"/>
  </r>
  <r>
    <d v="2023-07-25T00:00:00"/>
    <x v="0"/>
    <x v="1"/>
    <x v="2"/>
    <x v="4"/>
    <n v="450"/>
    <n v="66"/>
    <x v="227"/>
    <x v="2"/>
  </r>
  <r>
    <d v="2023-07-25T00:00:00"/>
    <x v="2"/>
    <x v="1"/>
    <x v="0"/>
    <x v="5"/>
    <n v="930"/>
    <n v="96"/>
    <x v="1305"/>
    <x v="2"/>
  </r>
  <r>
    <d v="2023-07-25T00:00:00"/>
    <x v="2"/>
    <x v="6"/>
    <x v="2"/>
    <x v="4"/>
    <n v="450"/>
    <n v="48"/>
    <x v="387"/>
    <x v="2"/>
  </r>
  <r>
    <s v="25.07.2023 Итог"/>
    <x v="3"/>
    <x v="2"/>
    <x v="3"/>
    <x v="3"/>
    <m/>
    <m/>
    <x v="1306"/>
    <x v="2"/>
  </r>
  <r>
    <d v="2023-07-26T00:00:00"/>
    <x v="4"/>
    <x v="3"/>
    <x v="1"/>
    <x v="6"/>
    <n v="640"/>
    <n v="72"/>
    <x v="6"/>
    <x v="2"/>
  </r>
  <r>
    <d v="2023-07-26T00:00:00"/>
    <x v="4"/>
    <x v="3"/>
    <x v="1"/>
    <x v="19"/>
    <n v="540"/>
    <n v="51"/>
    <x v="1307"/>
    <x v="2"/>
  </r>
  <r>
    <d v="2023-07-26T00:00:00"/>
    <x v="2"/>
    <x v="0"/>
    <x v="2"/>
    <x v="16"/>
    <n v="890"/>
    <n v="38"/>
    <x v="636"/>
    <x v="2"/>
  </r>
  <r>
    <d v="2023-07-26T00:00:00"/>
    <x v="0"/>
    <x v="4"/>
    <x v="0"/>
    <x v="22"/>
    <n v="1420"/>
    <n v="91"/>
    <x v="1308"/>
    <x v="2"/>
  </r>
  <r>
    <d v="2023-07-26T00:00:00"/>
    <x v="0"/>
    <x v="6"/>
    <x v="1"/>
    <x v="19"/>
    <n v="540"/>
    <n v="56"/>
    <x v="1309"/>
    <x v="2"/>
  </r>
  <r>
    <d v="2023-07-26T00:00:00"/>
    <x v="4"/>
    <x v="6"/>
    <x v="1"/>
    <x v="1"/>
    <n v="1380"/>
    <n v="53"/>
    <x v="734"/>
    <x v="2"/>
  </r>
  <r>
    <d v="2023-07-26T00:00:00"/>
    <x v="4"/>
    <x v="6"/>
    <x v="2"/>
    <x v="16"/>
    <n v="890"/>
    <n v="67"/>
    <x v="1123"/>
    <x v="2"/>
  </r>
  <r>
    <d v="2023-07-26T00:00:00"/>
    <x v="0"/>
    <x v="6"/>
    <x v="4"/>
    <x v="11"/>
    <n v="2970"/>
    <n v="29"/>
    <x v="315"/>
    <x v="2"/>
  </r>
  <r>
    <s v="26.07.2023 Итог"/>
    <x v="3"/>
    <x v="2"/>
    <x v="3"/>
    <x v="3"/>
    <m/>
    <m/>
    <x v="1310"/>
    <x v="2"/>
  </r>
  <r>
    <d v="2023-07-27T00:00:00"/>
    <x v="1"/>
    <x v="0"/>
    <x v="0"/>
    <x v="10"/>
    <n v="1230"/>
    <n v="93"/>
    <x v="1311"/>
    <x v="2"/>
  </r>
  <r>
    <d v="2023-07-27T00:00:00"/>
    <x v="4"/>
    <x v="1"/>
    <x v="2"/>
    <x v="16"/>
    <n v="890"/>
    <n v="26"/>
    <x v="29"/>
    <x v="2"/>
  </r>
  <r>
    <d v="2023-07-27T00:00:00"/>
    <x v="1"/>
    <x v="1"/>
    <x v="0"/>
    <x v="24"/>
    <n v="2540"/>
    <n v="97"/>
    <x v="1003"/>
    <x v="2"/>
  </r>
  <r>
    <d v="2023-07-27T00:00:00"/>
    <x v="2"/>
    <x v="1"/>
    <x v="0"/>
    <x v="22"/>
    <n v="1420"/>
    <n v="45"/>
    <x v="1312"/>
    <x v="2"/>
  </r>
  <r>
    <d v="2023-07-27T00:00:00"/>
    <x v="2"/>
    <x v="5"/>
    <x v="1"/>
    <x v="18"/>
    <n v="650"/>
    <n v="30"/>
    <x v="469"/>
    <x v="2"/>
  </r>
  <r>
    <d v="2023-07-27T00:00:00"/>
    <x v="1"/>
    <x v="6"/>
    <x v="4"/>
    <x v="15"/>
    <n v="2460"/>
    <n v="84"/>
    <x v="1313"/>
    <x v="2"/>
  </r>
  <r>
    <s v="27.07.2023 Итог"/>
    <x v="3"/>
    <x v="2"/>
    <x v="3"/>
    <x v="3"/>
    <m/>
    <m/>
    <x v="1314"/>
    <x v="2"/>
  </r>
  <r>
    <d v="2023-07-28T00:00:00"/>
    <x v="0"/>
    <x v="3"/>
    <x v="4"/>
    <x v="21"/>
    <n v="3205"/>
    <n v="82"/>
    <x v="231"/>
    <x v="2"/>
  </r>
  <r>
    <d v="2023-07-28T00:00:00"/>
    <x v="0"/>
    <x v="4"/>
    <x v="1"/>
    <x v="18"/>
    <n v="650"/>
    <n v="9"/>
    <x v="683"/>
    <x v="2"/>
  </r>
  <r>
    <d v="2023-07-28T00:00:00"/>
    <x v="4"/>
    <x v="1"/>
    <x v="0"/>
    <x v="10"/>
    <n v="1230"/>
    <n v="36"/>
    <x v="1044"/>
    <x v="2"/>
  </r>
  <r>
    <d v="2023-07-28T00:00:00"/>
    <x v="2"/>
    <x v="5"/>
    <x v="1"/>
    <x v="20"/>
    <n v="650"/>
    <n v="15"/>
    <x v="857"/>
    <x v="2"/>
  </r>
  <r>
    <d v="2023-07-28T00:00:00"/>
    <x v="4"/>
    <x v="5"/>
    <x v="0"/>
    <x v="22"/>
    <n v="1420"/>
    <n v="54"/>
    <x v="88"/>
    <x v="2"/>
  </r>
  <r>
    <d v="2023-07-28T00:00:00"/>
    <x v="1"/>
    <x v="6"/>
    <x v="2"/>
    <x v="8"/>
    <n v="460"/>
    <n v="8"/>
    <x v="1006"/>
    <x v="2"/>
  </r>
  <r>
    <s v="28.07.2023 Итог"/>
    <x v="3"/>
    <x v="2"/>
    <x v="3"/>
    <x v="3"/>
    <m/>
    <m/>
    <x v="1315"/>
    <x v="2"/>
  </r>
  <r>
    <d v="2023-07-29T00:00:00"/>
    <x v="1"/>
    <x v="3"/>
    <x v="2"/>
    <x v="9"/>
    <n v="690"/>
    <n v="68"/>
    <x v="180"/>
    <x v="2"/>
  </r>
  <r>
    <d v="2023-07-29T00:00:00"/>
    <x v="2"/>
    <x v="3"/>
    <x v="0"/>
    <x v="24"/>
    <n v="2540"/>
    <n v="81"/>
    <x v="1316"/>
    <x v="2"/>
  </r>
  <r>
    <d v="2023-07-29T00:00:00"/>
    <x v="1"/>
    <x v="4"/>
    <x v="1"/>
    <x v="20"/>
    <n v="650"/>
    <n v="84"/>
    <x v="747"/>
    <x v="2"/>
  </r>
  <r>
    <d v="2023-07-29T00:00:00"/>
    <x v="1"/>
    <x v="4"/>
    <x v="0"/>
    <x v="17"/>
    <n v="2400"/>
    <n v="54"/>
    <x v="1317"/>
    <x v="2"/>
  </r>
  <r>
    <d v="2023-07-29T00:00:00"/>
    <x v="2"/>
    <x v="4"/>
    <x v="0"/>
    <x v="10"/>
    <n v="1230"/>
    <n v="27"/>
    <x v="1318"/>
    <x v="2"/>
  </r>
  <r>
    <d v="2023-07-29T00:00:00"/>
    <x v="0"/>
    <x v="1"/>
    <x v="1"/>
    <x v="23"/>
    <n v="705"/>
    <n v="85"/>
    <x v="1319"/>
    <x v="2"/>
  </r>
  <r>
    <d v="2023-07-29T00:00:00"/>
    <x v="0"/>
    <x v="1"/>
    <x v="4"/>
    <x v="21"/>
    <n v="3205"/>
    <n v="41"/>
    <x v="662"/>
    <x v="2"/>
  </r>
  <r>
    <d v="2023-07-29T00:00:00"/>
    <x v="1"/>
    <x v="1"/>
    <x v="4"/>
    <x v="11"/>
    <n v="2970"/>
    <n v="8"/>
    <x v="1117"/>
    <x v="2"/>
  </r>
  <r>
    <d v="2023-07-29T00:00:00"/>
    <x v="1"/>
    <x v="5"/>
    <x v="2"/>
    <x v="4"/>
    <n v="450"/>
    <n v="86"/>
    <x v="984"/>
    <x v="2"/>
  </r>
  <r>
    <s v="29.07.2023 Итог"/>
    <x v="3"/>
    <x v="2"/>
    <x v="3"/>
    <x v="3"/>
    <m/>
    <m/>
    <x v="1320"/>
    <x v="2"/>
  </r>
  <r>
    <d v="2023-07-30T00:00:00"/>
    <x v="0"/>
    <x v="3"/>
    <x v="2"/>
    <x v="2"/>
    <n v="325"/>
    <n v="99"/>
    <x v="807"/>
    <x v="2"/>
  </r>
  <r>
    <d v="2023-07-30T00:00:00"/>
    <x v="0"/>
    <x v="0"/>
    <x v="0"/>
    <x v="17"/>
    <n v="2400"/>
    <n v="91"/>
    <x v="113"/>
    <x v="2"/>
  </r>
  <r>
    <d v="2023-07-30T00:00:00"/>
    <x v="2"/>
    <x v="0"/>
    <x v="4"/>
    <x v="13"/>
    <n v="1505"/>
    <n v="86"/>
    <x v="1321"/>
    <x v="2"/>
  </r>
  <r>
    <d v="2023-07-30T00:00:00"/>
    <x v="2"/>
    <x v="4"/>
    <x v="1"/>
    <x v="23"/>
    <n v="705"/>
    <n v="25"/>
    <x v="1000"/>
    <x v="2"/>
  </r>
  <r>
    <d v="2023-07-30T00:00:00"/>
    <x v="0"/>
    <x v="4"/>
    <x v="2"/>
    <x v="16"/>
    <n v="890"/>
    <n v="63"/>
    <x v="1322"/>
    <x v="2"/>
  </r>
  <r>
    <d v="2023-07-30T00:00:00"/>
    <x v="1"/>
    <x v="1"/>
    <x v="2"/>
    <x v="2"/>
    <n v="325"/>
    <n v="18"/>
    <x v="683"/>
    <x v="2"/>
  </r>
  <r>
    <d v="2023-07-30T00:00:00"/>
    <x v="0"/>
    <x v="1"/>
    <x v="2"/>
    <x v="4"/>
    <n v="450"/>
    <n v="56"/>
    <x v="715"/>
    <x v="2"/>
  </r>
  <r>
    <d v="2023-07-30T00:00:00"/>
    <x v="0"/>
    <x v="1"/>
    <x v="0"/>
    <x v="5"/>
    <n v="930"/>
    <n v="30"/>
    <x v="1046"/>
    <x v="2"/>
  </r>
  <r>
    <d v="2023-07-30T00:00:00"/>
    <x v="0"/>
    <x v="1"/>
    <x v="4"/>
    <x v="7"/>
    <n v="1760"/>
    <n v="25"/>
    <x v="1323"/>
    <x v="2"/>
  </r>
  <r>
    <d v="2023-07-30T00:00:00"/>
    <x v="4"/>
    <x v="5"/>
    <x v="2"/>
    <x v="2"/>
    <n v="325"/>
    <n v="26"/>
    <x v="375"/>
    <x v="2"/>
  </r>
  <r>
    <d v="2023-07-30T00:00:00"/>
    <x v="4"/>
    <x v="6"/>
    <x v="4"/>
    <x v="15"/>
    <n v="2460"/>
    <n v="22"/>
    <x v="142"/>
    <x v="2"/>
  </r>
  <r>
    <s v="30.07.2023 Итог"/>
    <x v="3"/>
    <x v="2"/>
    <x v="3"/>
    <x v="3"/>
    <m/>
    <m/>
    <x v="1324"/>
    <x v="2"/>
  </r>
  <r>
    <d v="2023-07-31T00:00:00"/>
    <x v="0"/>
    <x v="3"/>
    <x v="1"/>
    <x v="20"/>
    <n v="650"/>
    <n v="33"/>
    <x v="360"/>
    <x v="2"/>
  </r>
  <r>
    <d v="2023-07-31T00:00:00"/>
    <x v="1"/>
    <x v="3"/>
    <x v="2"/>
    <x v="2"/>
    <n v="325"/>
    <n v="31"/>
    <x v="558"/>
    <x v="2"/>
  </r>
  <r>
    <d v="2023-07-31T00:00:00"/>
    <x v="1"/>
    <x v="3"/>
    <x v="0"/>
    <x v="22"/>
    <n v="1420"/>
    <n v="19"/>
    <x v="951"/>
    <x v="2"/>
  </r>
  <r>
    <d v="2023-07-31T00:00:00"/>
    <x v="0"/>
    <x v="4"/>
    <x v="0"/>
    <x v="22"/>
    <n v="1420"/>
    <n v="40"/>
    <x v="963"/>
    <x v="2"/>
  </r>
  <r>
    <d v="2023-07-31T00:00:00"/>
    <x v="4"/>
    <x v="5"/>
    <x v="2"/>
    <x v="8"/>
    <n v="460"/>
    <n v="36"/>
    <x v="160"/>
    <x v="2"/>
  </r>
  <r>
    <s v="31.07.2023 Итог"/>
    <x v="3"/>
    <x v="2"/>
    <x v="3"/>
    <x v="3"/>
    <m/>
    <m/>
    <x v="1325"/>
    <x v="2"/>
  </r>
  <r>
    <d v="2023-08-01T00:00:00"/>
    <x v="0"/>
    <x v="3"/>
    <x v="2"/>
    <x v="8"/>
    <n v="460"/>
    <n v="70"/>
    <x v="1326"/>
    <x v="2"/>
  </r>
  <r>
    <d v="2023-08-01T00:00:00"/>
    <x v="2"/>
    <x v="3"/>
    <x v="0"/>
    <x v="10"/>
    <n v="1230"/>
    <n v="94"/>
    <x v="732"/>
    <x v="2"/>
  </r>
  <r>
    <d v="2023-08-01T00:00:00"/>
    <x v="2"/>
    <x v="4"/>
    <x v="4"/>
    <x v="14"/>
    <n v="1670"/>
    <n v="73"/>
    <x v="1327"/>
    <x v="2"/>
  </r>
  <r>
    <d v="2023-08-01T00:00:00"/>
    <x v="0"/>
    <x v="1"/>
    <x v="0"/>
    <x v="24"/>
    <n v="2540"/>
    <n v="92"/>
    <x v="1328"/>
    <x v="2"/>
  </r>
  <r>
    <d v="2023-08-01T00:00:00"/>
    <x v="2"/>
    <x v="1"/>
    <x v="4"/>
    <x v="21"/>
    <n v="3205"/>
    <n v="57"/>
    <x v="1080"/>
    <x v="2"/>
  </r>
  <r>
    <d v="2023-08-01T00:00:00"/>
    <x v="2"/>
    <x v="5"/>
    <x v="1"/>
    <x v="20"/>
    <n v="650"/>
    <n v="31"/>
    <x v="306"/>
    <x v="2"/>
  </r>
  <r>
    <d v="2023-08-01T00:00:00"/>
    <x v="2"/>
    <x v="5"/>
    <x v="0"/>
    <x v="5"/>
    <n v="930"/>
    <n v="47"/>
    <x v="713"/>
    <x v="2"/>
  </r>
  <r>
    <d v="2023-08-01T00:00:00"/>
    <x v="4"/>
    <x v="5"/>
    <x v="0"/>
    <x v="10"/>
    <n v="1230"/>
    <n v="17"/>
    <x v="1329"/>
    <x v="2"/>
  </r>
  <r>
    <d v="2023-08-01T00:00:00"/>
    <x v="4"/>
    <x v="6"/>
    <x v="2"/>
    <x v="2"/>
    <n v="325"/>
    <n v="15"/>
    <x v="1330"/>
    <x v="2"/>
  </r>
  <r>
    <s v="01.08.2023 Итог"/>
    <x v="3"/>
    <x v="2"/>
    <x v="3"/>
    <x v="3"/>
    <m/>
    <m/>
    <x v="1331"/>
    <x v="2"/>
  </r>
  <r>
    <d v="2023-08-02T00:00:00"/>
    <x v="0"/>
    <x v="3"/>
    <x v="1"/>
    <x v="1"/>
    <n v="1380"/>
    <n v="68"/>
    <x v="721"/>
    <x v="2"/>
  </r>
  <r>
    <d v="2023-08-02T00:00:00"/>
    <x v="0"/>
    <x v="3"/>
    <x v="2"/>
    <x v="16"/>
    <n v="890"/>
    <n v="26"/>
    <x v="29"/>
    <x v="2"/>
  </r>
  <r>
    <d v="2023-08-02T00:00:00"/>
    <x v="2"/>
    <x v="3"/>
    <x v="0"/>
    <x v="10"/>
    <n v="1230"/>
    <n v="37"/>
    <x v="1332"/>
    <x v="2"/>
  </r>
  <r>
    <d v="2023-08-02T00:00:00"/>
    <x v="1"/>
    <x v="3"/>
    <x v="4"/>
    <x v="11"/>
    <n v="2970"/>
    <n v="16"/>
    <x v="413"/>
    <x v="2"/>
  </r>
  <r>
    <d v="2023-08-02T00:00:00"/>
    <x v="2"/>
    <x v="3"/>
    <x v="4"/>
    <x v="13"/>
    <n v="1505"/>
    <n v="78"/>
    <x v="702"/>
    <x v="2"/>
  </r>
  <r>
    <d v="2023-08-02T00:00:00"/>
    <x v="2"/>
    <x v="0"/>
    <x v="2"/>
    <x v="16"/>
    <n v="890"/>
    <n v="86"/>
    <x v="771"/>
    <x v="2"/>
  </r>
  <r>
    <d v="2023-08-02T00:00:00"/>
    <x v="1"/>
    <x v="0"/>
    <x v="4"/>
    <x v="11"/>
    <n v="2970"/>
    <n v="97"/>
    <x v="1333"/>
    <x v="2"/>
  </r>
  <r>
    <d v="2023-08-02T00:00:00"/>
    <x v="0"/>
    <x v="0"/>
    <x v="4"/>
    <x v="11"/>
    <n v="2970"/>
    <n v="87"/>
    <x v="1334"/>
    <x v="2"/>
  </r>
  <r>
    <d v="2023-08-02T00:00:00"/>
    <x v="0"/>
    <x v="4"/>
    <x v="4"/>
    <x v="11"/>
    <n v="2970"/>
    <n v="86"/>
    <x v="1335"/>
    <x v="2"/>
  </r>
  <r>
    <d v="2023-08-02T00:00:00"/>
    <x v="2"/>
    <x v="5"/>
    <x v="1"/>
    <x v="6"/>
    <n v="640"/>
    <n v="48"/>
    <x v="1336"/>
    <x v="2"/>
  </r>
  <r>
    <s v="02.08.2023 Итог"/>
    <x v="3"/>
    <x v="2"/>
    <x v="3"/>
    <x v="3"/>
    <m/>
    <m/>
    <x v="1337"/>
    <x v="2"/>
  </r>
  <r>
    <d v="2023-08-03T00:00:00"/>
    <x v="0"/>
    <x v="3"/>
    <x v="2"/>
    <x v="9"/>
    <n v="690"/>
    <n v="61"/>
    <x v="941"/>
    <x v="2"/>
  </r>
  <r>
    <d v="2023-08-03T00:00:00"/>
    <x v="1"/>
    <x v="3"/>
    <x v="0"/>
    <x v="24"/>
    <n v="2540"/>
    <n v="56"/>
    <x v="127"/>
    <x v="2"/>
  </r>
  <r>
    <d v="2023-08-03T00:00:00"/>
    <x v="4"/>
    <x v="3"/>
    <x v="0"/>
    <x v="10"/>
    <n v="1230"/>
    <n v="20"/>
    <x v="864"/>
    <x v="2"/>
  </r>
  <r>
    <d v="2023-08-03T00:00:00"/>
    <x v="2"/>
    <x v="0"/>
    <x v="2"/>
    <x v="12"/>
    <n v="715"/>
    <n v="70"/>
    <x v="1213"/>
    <x v="2"/>
  </r>
  <r>
    <d v="2023-08-03T00:00:00"/>
    <x v="4"/>
    <x v="0"/>
    <x v="2"/>
    <x v="8"/>
    <n v="460"/>
    <n v="90"/>
    <x v="356"/>
    <x v="2"/>
  </r>
  <r>
    <d v="2023-08-03T00:00:00"/>
    <x v="4"/>
    <x v="0"/>
    <x v="0"/>
    <x v="5"/>
    <n v="930"/>
    <n v="11"/>
    <x v="1338"/>
    <x v="2"/>
  </r>
  <r>
    <d v="2023-08-03T00:00:00"/>
    <x v="0"/>
    <x v="0"/>
    <x v="4"/>
    <x v="13"/>
    <n v="1505"/>
    <n v="52"/>
    <x v="1339"/>
    <x v="2"/>
  </r>
  <r>
    <d v="2023-08-03T00:00:00"/>
    <x v="1"/>
    <x v="1"/>
    <x v="2"/>
    <x v="2"/>
    <n v="325"/>
    <n v="87"/>
    <x v="1340"/>
    <x v="2"/>
  </r>
  <r>
    <d v="2023-08-03T00:00:00"/>
    <x v="1"/>
    <x v="5"/>
    <x v="2"/>
    <x v="12"/>
    <n v="715"/>
    <n v="82"/>
    <x v="842"/>
    <x v="2"/>
  </r>
  <r>
    <d v="2023-08-03T00:00:00"/>
    <x v="1"/>
    <x v="6"/>
    <x v="0"/>
    <x v="10"/>
    <n v="1230"/>
    <n v="81"/>
    <x v="373"/>
    <x v="2"/>
  </r>
  <r>
    <s v="03.08.2023 Итог"/>
    <x v="3"/>
    <x v="2"/>
    <x v="3"/>
    <x v="3"/>
    <m/>
    <m/>
    <x v="1341"/>
    <x v="2"/>
  </r>
  <r>
    <d v="2023-08-04T00:00:00"/>
    <x v="2"/>
    <x v="3"/>
    <x v="1"/>
    <x v="19"/>
    <n v="540"/>
    <n v="56"/>
    <x v="1309"/>
    <x v="2"/>
  </r>
  <r>
    <d v="2023-08-04T00:00:00"/>
    <x v="4"/>
    <x v="3"/>
    <x v="0"/>
    <x v="22"/>
    <n v="1420"/>
    <n v="52"/>
    <x v="1342"/>
    <x v="2"/>
  </r>
  <r>
    <d v="2023-08-04T00:00:00"/>
    <x v="4"/>
    <x v="3"/>
    <x v="4"/>
    <x v="13"/>
    <n v="1505"/>
    <n v="7"/>
    <x v="1102"/>
    <x v="2"/>
  </r>
  <r>
    <d v="2023-08-04T00:00:00"/>
    <x v="2"/>
    <x v="3"/>
    <x v="4"/>
    <x v="7"/>
    <n v="1760"/>
    <n v="94"/>
    <x v="1343"/>
    <x v="2"/>
  </r>
  <r>
    <d v="2023-08-04T00:00:00"/>
    <x v="1"/>
    <x v="0"/>
    <x v="1"/>
    <x v="23"/>
    <n v="705"/>
    <n v="97"/>
    <x v="1344"/>
    <x v="2"/>
  </r>
  <r>
    <d v="2023-08-04T00:00:00"/>
    <x v="0"/>
    <x v="0"/>
    <x v="4"/>
    <x v="13"/>
    <n v="1505"/>
    <n v="45"/>
    <x v="1345"/>
    <x v="2"/>
  </r>
  <r>
    <d v="2023-08-04T00:00:00"/>
    <x v="4"/>
    <x v="0"/>
    <x v="4"/>
    <x v="15"/>
    <n v="2460"/>
    <n v="73"/>
    <x v="897"/>
    <x v="2"/>
  </r>
  <r>
    <d v="2023-08-04T00:00:00"/>
    <x v="1"/>
    <x v="1"/>
    <x v="2"/>
    <x v="12"/>
    <n v="715"/>
    <n v="47"/>
    <x v="1346"/>
    <x v="2"/>
  </r>
  <r>
    <d v="2023-08-04T00:00:00"/>
    <x v="0"/>
    <x v="1"/>
    <x v="0"/>
    <x v="24"/>
    <n v="2540"/>
    <n v="32"/>
    <x v="1347"/>
    <x v="2"/>
  </r>
  <r>
    <d v="2023-08-04T00:00:00"/>
    <x v="0"/>
    <x v="5"/>
    <x v="1"/>
    <x v="1"/>
    <n v="1380"/>
    <n v="54"/>
    <x v="991"/>
    <x v="2"/>
  </r>
  <r>
    <d v="2023-08-04T00:00:00"/>
    <x v="4"/>
    <x v="6"/>
    <x v="2"/>
    <x v="12"/>
    <n v="715"/>
    <n v="69"/>
    <x v="1298"/>
    <x v="2"/>
  </r>
  <r>
    <s v="04.08.2023 Итог"/>
    <x v="3"/>
    <x v="2"/>
    <x v="3"/>
    <x v="3"/>
    <m/>
    <m/>
    <x v="1348"/>
    <x v="2"/>
  </r>
  <r>
    <d v="2023-08-05T00:00:00"/>
    <x v="1"/>
    <x v="1"/>
    <x v="1"/>
    <x v="6"/>
    <n v="640"/>
    <n v="34"/>
    <x v="800"/>
    <x v="2"/>
  </r>
  <r>
    <d v="2023-08-05T00:00:00"/>
    <x v="2"/>
    <x v="6"/>
    <x v="0"/>
    <x v="5"/>
    <n v="930"/>
    <n v="63"/>
    <x v="1349"/>
    <x v="2"/>
  </r>
  <r>
    <s v="05.08.2023 Итог"/>
    <x v="3"/>
    <x v="2"/>
    <x v="3"/>
    <x v="3"/>
    <m/>
    <m/>
    <x v="1350"/>
    <x v="2"/>
  </r>
  <r>
    <d v="2023-08-06T00:00:00"/>
    <x v="1"/>
    <x v="0"/>
    <x v="1"/>
    <x v="23"/>
    <n v="705"/>
    <n v="65"/>
    <x v="1351"/>
    <x v="2"/>
  </r>
  <r>
    <d v="2023-08-06T00:00:00"/>
    <x v="1"/>
    <x v="0"/>
    <x v="2"/>
    <x v="2"/>
    <n v="325"/>
    <n v="46"/>
    <x v="522"/>
    <x v="2"/>
  </r>
  <r>
    <d v="2023-08-06T00:00:00"/>
    <x v="1"/>
    <x v="4"/>
    <x v="2"/>
    <x v="16"/>
    <n v="890"/>
    <n v="68"/>
    <x v="866"/>
    <x v="2"/>
  </r>
  <r>
    <d v="2023-08-06T00:00:00"/>
    <x v="0"/>
    <x v="1"/>
    <x v="1"/>
    <x v="23"/>
    <n v="705"/>
    <n v="36"/>
    <x v="641"/>
    <x v="2"/>
  </r>
  <r>
    <d v="2023-08-06T00:00:00"/>
    <x v="0"/>
    <x v="1"/>
    <x v="4"/>
    <x v="7"/>
    <n v="1760"/>
    <n v="36"/>
    <x v="203"/>
    <x v="2"/>
  </r>
  <r>
    <d v="2023-08-06T00:00:00"/>
    <x v="0"/>
    <x v="1"/>
    <x v="4"/>
    <x v="11"/>
    <n v="2970"/>
    <n v="76"/>
    <x v="344"/>
    <x v="2"/>
  </r>
  <r>
    <d v="2023-08-06T00:00:00"/>
    <x v="2"/>
    <x v="5"/>
    <x v="1"/>
    <x v="19"/>
    <n v="540"/>
    <n v="100"/>
    <x v="995"/>
    <x v="2"/>
  </r>
  <r>
    <d v="2023-08-06T00:00:00"/>
    <x v="0"/>
    <x v="5"/>
    <x v="0"/>
    <x v="5"/>
    <n v="930"/>
    <n v="58"/>
    <x v="1352"/>
    <x v="2"/>
  </r>
  <r>
    <s v="06.08.2023 Итог"/>
    <x v="3"/>
    <x v="2"/>
    <x v="3"/>
    <x v="3"/>
    <m/>
    <m/>
    <x v="1353"/>
    <x v="2"/>
  </r>
  <r>
    <d v="2023-08-07T00:00:00"/>
    <x v="1"/>
    <x v="3"/>
    <x v="2"/>
    <x v="9"/>
    <n v="690"/>
    <n v="30"/>
    <x v="812"/>
    <x v="2"/>
  </r>
  <r>
    <d v="2023-08-07T00:00:00"/>
    <x v="2"/>
    <x v="3"/>
    <x v="2"/>
    <x v="4"/>
    <n v="450"/>
    <n v="43"/>
    <x v="1354"/>
    <x v="2"/>
  </r>
  <r>
    <d v="2023-08-07T00:00:00"/>
    <x v="0"/>
    <x v="3"/>
    <x v="0"/>
    <x v="17"/>
    <n v="2400"/>
    <n v="69"/>
    <x v="1355"/>
    <x v="2"/>
  </r>
  <r>
    <d v="2023-08-07T00:00:00"/>
    <x v="1"/>
    <x v="0"/>
    <x v="1"/>
    <x v="1"/>
    <n v="1380"/>
    <n v="57"/>
    <x v="890"/>
    <x v="2"/>
  </r>
  <r>
    <d v="2023-08-07T00:00:00"/>
    <x v="1"/>
    <x v="0"/>
    <x v="2"/>
    <x v="4"/>
    <n v="450"/>
    <n v="80"/>
    <x v="770"/>
    <x v="2"/>
  </r>
  <r>
    <d v="2023-08-07T00:00:00"/>
    <x v="0"/>
    <x v="4"/>
    <x v="0"/>
    <x v="17"/>
    <n v="2400"/>
    <n v="45"/>
    <x v="1356"/>
    <x v="2"/>
  </r>
  <r>
    <d v="2023-08-07T00:00:00"/>
    <x v="2"/>
    <x v="1"/>
    <x v="2"/>
    <x v="12"/>
    <n v="715"/>
    <n v="73"/>
    <x v="211"/>
    <x v="2"/>
  </r>
  <r>
    <d v="2023-08-07T00:00:00"/>
    <x v="1"/>
    <x v="1"/>
    <x v="0"/>
    <x v="17"/>
    <n v="2400"/>
    <n v="43"/>
    <x v="978"/>
    <x v="2"/>
  </r>
  <r>
    <d v="2023-08-07T00:00:00"/>
    <x v="0"/>
    <x v="5"/>
    <x v="2"/>
    <x v="16"/>
    <n v="890"/>
    <n v="50"/>
    <x v="916"/>
    <x v="2"/>
  </r>
  <r>
    <d v="2023-08-07T00:00:00"/>
    <x v="1"/>
    <x v="5"/>
    <x v="4"/>
    <x v="11"/>
    <n v="2970"/>
    <n v="95"/>
    <x v="1189"/>
    <x v="2"/>
  </r>
  <r>
    <s v="07.08.2023 Итог"/>
    <x v="3"/>
    <x v="2"/>
    <x v="3"/>
    <x v="3"/>
    <m/>
    <m/>
    <x v="1357"/>
    <x v="2"/>
  </r>
  <r>
    <d v="2023-08-08T00:00:00"/>
    <x v="4"/>
    <x v="3"/>
    <x v="1"/>
    <x v="19"/>
    <n v="540"/>
    <n v="68"/>
    <x v="60"/>
    <x v="2"/>
  </r>
  <r>
    <d v="2023-08-08T00:00:00"/>
    <x v="4"/>
    <x v="3"/>
    <x v="4"/>
    <x v="15"/>
    <n v="2460"/>
    <n v="21"/>
    <x v="930"/>
    <x v="2"/>
  </r>
  <r>
    <d v="2023-08-08T00:00:00"/>
    <x v="0"/>
    <x v="4"/>
    <x v="1"/>
    <x v="19"/>
    <n v="540"/>
    <n v="21"/>
    <x v="286"/>
    <x v="2"/>
  </r>
  <r>
    <d v="2023-08-08T00:00:00"/>
    <x v="2"/>
    <x v="4"/>
    <x v="1"/>
    <x v="1"/>
    <n v="1380"/>
    <n v="96"/>
    <x v="563"/>
    <x v="2"/>
  </r>
  <r>
    <d v="2023-08-08T00:00:00"/>
    <x v="4"/>
    <x v="4"/>
    <x v="0"/>
    <x v="22"/>
    <n v="1420"/>
    <n v="66"/>
    <x v="115"/>
    <x v="2"/>
  </r>
  <r>
    <d v="2023-08-08T00:00:00"/>
    <x v="4"/>
    <x v="4"/>
    <x v="4"/>
    <x v="15"/>
    <n v="2460"/>
    <n v="38"/>
    <x v="485"/>
    <x v="2"/>
  </r>
  <r>
    <d v="2023-08-08T00:00:00"/>
    <x v="1"/>
    <x v="1"/>
    <x v="0"/>
    <x v="10"/>
    <n v="1230"/>
    <n v="35"/>
    <x v="1358"/>
    <x v="2"/>
  </r>
  <r>
    <d v="2023-08-08T00:00:00"/>
    <x v="1"/>
    <x v="1"/>
    <x v="4"/>
    <x v="21"/>
    <n v="3205"/>
    <n v="38"/>
    <x v="201"/>
    <x v="2"/>
  </r>
  <r>
    <d v="2023-08-08T00:00:00"/>
    <x v="2"/>
    <x v="5"/>
    <x v="0"/>
    <x v="17"/>
    <n v="2400"/>
    <n v="88"/>
    <x v="1035"/>
    <x v="2"/>
  </r>
  <r>
    <d v="2023-08-08T00:00:00"/>
    <x v="0"/>
    <x v="5"/>
    <x v="4"/>
    <x v="7"/>
    <n v="1760"/>
    <n v="39"/>
    <x v="1265"/>
    <x v="2"/>
  </r>
  <r>
    <d v="2023-08-08T00:00:00"/>
    <x v="2"/>
    <x v="6"/>
    <x v="0"/>
    <x v="5"/>
    <n v="930"/>
    <n v="76"/>
    <x v="1136"/>
    <x v="2"/>
  </r>
  <r>
    <d v="2023-08-08T00:00:00"/>
    <x v="4"/>
    <x v="6"/>
    <x v="0"/>
    <x v="17"/>
    <n v="2400"/>
    <n v="65"/>
    <x v="1359"/>
    <x v="2"/>
  </r>
  <r>
    <s v="08.08.2023 Итог"/>
    <x v="3"/>
    <x v="2"/>
    <x v="3"/>
    <x v="3"/>
    <m/>
    <m/>
    <x v="1360"/>
    <x v="2"/>
  </r>
  <r>
    <d v="2023-08-09T00:00:00"/>
    <x v="0"/>
    <x v="3"/>
    <x v="2"/>
    <x v="4"/>
    <n v="450"/>
    <n v="43"/>
    <x v="1354"/>
    <x v="2"/>
  </r>
  <r>
    <d v="2023-08-09T00:00:00"/>
    <x v="2"/>
    <x v="0"/>
    <x v="1"/>
    <x v="23"/>
    <n v="705"/>
    <n v="80"/>
    <x v="1361"/>
    <x v="2"/>
  </r>
  <r>
    <d v="2023-08-09T00:00:00"/>
    <x v="1"/>
    <x v="0"/>
    <x v="1"/>
    <x v="18"/>
    <n v="650"/>
    <n v="69"/>
    <x v="317"/>
    <x v="2"/>
  </r>
  <r>
    <d v="2023-08-09T00:00:00"/>
    <x v="4"/>
    <x v="0"/>
    <x v="1"/>
    <x v="6"/>
    <n v="640"/>
    <n v="81"/>
    <x v="1362"/>
    <x v="2"/>
  </r>
  <r>
    <d v="2023-08-09T00:00:00"/>
    <x v="4"/>
    <x v="0"/>
    <x v="2"/>
    <x v="2"/>
    <n v="325"/>
    <n v="64"/>
    <x v="237"/>
    <x v="2"/>
  </r>
  <r>
    <d v="2023-08-09T00:00:00"/>
    <x v="2"/>
    <x v="0"/>
    <x v="4"/>
    <x v="14"/>
    <n v="1670"/>
    <n v="100"/>
    <x v="1363"/>
    <x v="2"/>
  </r>
  <r>
    <d v="2023-08-09T00:00:00"/>
    <x v="2"/>
    <x v="0"/>
    <x v="4"/>
    <x v="11"/>
    <n v="2970"/>
    <n v="12"/>
    <x v="577"/>
    <x v="2"/>
  </r>
  <r>
    <d v="2023-08-09T00:00:00"/>
    <x v="0"/>
    <x v="0"/>
    <x v="4"/>
    <x v="15"/>
    <n v="2460"/>
    <n v="23"/>
    <x v="556"/>
    <x v="2"/>
  </r>
  <r>
    <d v="2023-08-09T00:00:00"/>
    <x v="0"/>
    <x v="4"/>
    <x v="2"/>
    <x v="12"/>
    <n v="715"/>
    <n v="80"/>
    <x v="83"/>
    <x v="2"/>
  </r>
  <r>
    <d v="2023-08-09T00:00:00"/>
    <x v="2"/>
    <x v="4"/>
    <x v="4"/>
    <x v="11"/>
    <n v="2970"/>
    <n v="47"/>
    <x v="1129"/>
    <x v="2"/>
  </r>
  <r>
    <d v="2023-08-09T00:00:00"/>
    <x v="0"/>
    <x v="1"/>
    <x v="4"/>
    <x v="15"/>
    <n v="2460"/>
    <n v="54"/>
    <x v="1364"/>
    <x v="2"/>
  </r>
  <r>
    <d v="2023-08-09T00:00:00"/>
    <x v="2"/>
    <x v="5"/>
    <x v="4"/>
    <x v="13"/>
    <n v="1505"/>
    <n v="31"/>
    <x v="374"/>
    <x v="2"/>
  </r>
  <r>
    <d v="2023-08-09T00:00:00"/>
    <x v="2"/>
    <x v="5"/>
    <x v="4"/>
    <x v="13"/>
    <n v="1505"/>
    <n v="22"/>
    <x v="1250"/>
    <x v="2"/>
  </r>
  <r>
    <d v="2023-08-09T00:00:00"/>
    <x v="4"/>
    <x v="6"/>
    <x v="2"/>
    <x v="2"/>
    <n v="325"/>
    <n v="77"/>
    <x v="768"/>
    <x v="2"/>
  </r>
  <r>
    <s v="09.08.2023 Итог"/>
    <x v="3"/>
    <x v="2"/>
    <x v="3"/>
    <x v="3"/>
    <m/>
    <m/>
    <x v="1365"/>
    <x v="2"/>
  </r>
  <r>
    <d v="2023-08-10T00:00:00"/>
    <x v="4"/>
    <x v="3"/>
    <x v="0"/>
    <x v="0"/>
    <n v="1320"/>
    <n v="31"/>
    <x v="36"/>
    <x v="2"/>
  </r>
  <r>
    <d v="2023-08-10T00:00:00"/>
    <x v="1"/>
    <x v="3"/>
    <x v="0"/>
    <x v="0"/>
    <n v="1320"/>
    <n v="46"/>
    <x v="1103"/>
    <x v="2"/>
  </r>
  <r>
    <d v="2023-08-10T00:00:00"/>
    <x v="2"/>
    <x v="0"/>
    <x v="1"/>
    <x v="6"/>
    <n v="640"/>
    <n v="23"/>
    <x v="172"/>
    <x v="2"/>
  </r>
  <r>
    <d v="2023-08-10T00:00:00"/>
    <x v="0"/>
    <x v="4"/>
    <x v="1"/>
    <x v="18"/>
    <n v="650"/>
    <n v="15"/>
    <x v="857"/>
    <x v="2"/>
  </r>
  <r>
    <d v="2023-08-10T00:00:00"/>
    <x v="2"/>
    <x v="4"/>
    <x v="0"/>
    <x v="0"/>
    <n v="1320"/>
    <n v="82"/>
    <x v="456"/>
    <x v="2"/>
  </r>
  <r>
    <d v="2023-08-10T00:00:00"/>
    <x v="1"/>
    <x v="1"/>
    <x v="0"/>
    <x v="17"/>
    <n v="2400"/>
    <n v="45"/>
    <x v="1356"/>
    <x v="2"/>
  </r>
  <r>
    <d v="2023-08-10T00:00:00"/>
    <x v="2"/>
    <x v="1"/>
    <x v="0"/>
    <x v="17"/>
    <n v="2400"/>
    <n v="35"/>
    <x v="49"/>
    <x v="2"/>
  </r>
  <r>
    <d v="2023-08-10T00:00:00"/>
    <x v="2"/>
    <x v="1"/>
    <x v="4"/>
    <x v="21"/>
    <n v="3205"/>
    <n v="28"/>
    <x v="1366"/>
    <x v="2"/>
  </r>
  <r>
    <d v="2023-08-10T00:00:00"/>
    <x v="4"/>
    <x v="5"/>
    <x v="1"/>
    <x v="6"/>
    <n v="640"/>
    <n v="68"/>
    <x v="530"/>
    <x v="2"/>
  </r>
  <r>
    <d v="2023-08-10T00:00:00"/>
    <x v="4"/>
    <x v="5"/>
    <x v="1"/>
    <x v="1"/>
    <n v="1380"/>
    <n v="89"/>
    <x v="1367"/>
    <x v="2"/>
  </r>
  <r>
    <d v="2023-08-10T00:00:00"/>
    <x v="1"/>
    <x v="6"/>
    <x v="2"/>
    <x v="12"/>
    <n v="715"/>
    <n v="42"/>
    <x v="1368"/>
    <x v="2"/>
  </r>
  <r>
    <s v="10.08.2023 Итог"/>
    <x v="3"/>
    <x v="2"/>
    <x v="3"/>
    <x v="3"/>
    <m/>
    <m/>
    <x v="1369"/>
    <x v="2"/>
  </r>
  <r>
    <d v="2023-08-11T00:00:00"/>
    <x v="2"/>
    <x v="3"/>
    <x v="0"/>
    <x v="5"/>
    <n v="930"/>
    <n v="67"/>
    <x v="668"/>
    <x v="2"/>
  </r>
  <r>
    <d v="2023-08-11T00:00:00"/>
    <x v="2"/>
    <x v="3"/>
    <x v="4"/>
    <x v="13"/>
    <n v="1505"/>
    <n v="80"/>
    <x v="910"/>
    <x v="2"/>
  </r>
  <r>
    <d v="2023-08-11T00:00:00"/>
    <x v="0"/>
    <x v="0"/>
    <x v="1"/>
    <x v="23"/>
    <n v="705"/>
    <n v="88"/>
    <x v="541"/>
    <x v="2"/>
  </r>
  <r>
    <d v="2023-08-11T00:00:00"/>
    <x v="2"/>
    <x v="0"/>
    <x v="1"/>
    <x v="23"/>
    <n v="705"/>
    <n v="46"/>
    <x v="816"/>
    <x v="2"/>
  </r>
  <r>
    <d v="2023-08-11T00:00:00"/>
    <x v="1"/>
    <x v="4"/>
    <x v="2"/>
    <x v="9"/>
    <n v="690"/>
    <n v="93"/>
    <x v="1137"/>
    <x v="2"/>
  </r>
  <r>
    <d v="2023-08-11T00:00:00"/>
    <x v="1"/>
    <x v="1"/>
    <x v="0"/>
    <x v="24"/>
    <n v="2540"/>
    <n v="29"/>
    <x v="358"/>
    <x v="2"/>
  </r>
  <r>
    <d v="2023-08-11T00:00:00"/>
    <x v="1"/>
    <x v="1"/>
    <x v="0"/>
    <x v="17"/>
    <n v="2400"/>
    <n v="99"/>
    <x v="41"/>
    <x v="2"/>
  </r>
  <r>
    <d v="2023-08-11T00:00:00"/>
    <x v="4"/>
    <x v="1"/>
    <x v="0"/>
    <x v="17"/>
    <n v="2400"/>
    <n v="68"/>
    <x v="1370"/>
    <x v="2"/>
  </r>
  <r>
    <d v="2023-08-11T00:00:00"/>
    <x v="4"/>
    <x v="5"/>
    <x v="1"/>
    <x v="18"/>
    <n v="650"/>
    <n v="79"/>
    <x v="1233"/>
    <x v="2"/>
  </r>
  <r>
    <d v="2023-08-11T00:00:00"/>
    <x v="2"/>
    <x v="5"/>
    <x v="2"/>
    <x v="9"/>
    <n v="690"/>
    <n v="78"/>
    <x v="197"/>
    <x v="2"/>
  </r>
  <r>
    <d v="2023-08-11T00:00:00"/>
    <x v="0"/>
    <x v="5"/>
    <x v="0"/>
    <x v="10"/>
    <n v="1230"/>
    <n v="34"/>
    <x v="187"/>
    <x v="2"/>
  </r>
  <r>
    <d v="2023-08-11T00:00:00"/>
    <x v="1"/>
    <x v="5"/>
    <x v="0"/>
    <x v="5"/>
    <n v="930"/>
    <n v="32"/>
    <x v="1371"/>
    <x v="2"/>
  </r>
  <r>
    <d v="2023-08-11T00:00:00"/>
    <x v="2"/>
    <x v="6"/>
    <x v="0"/>
    <x v="22"/>
    <n v="1420"/>
    <n v="12"/>
    <x v="134"/>
    <x v="2"/>
  </r>
  <r>
    <s v="11.08.2023 Итог"/>
    <x v="3"/>
    <x v="2"/>
    <x v="3"/>
    <x v="3"/>
    <m/>
    <m/>
    <x v="1372"/>
    <x v="2"/>
  </r>
  <r>
    <d v="2023-08-12T00:00:00"/>
    <x v="0"/>
    <x v="3"/>
    <x v="2"/>
    <x v="2"/>
    <n v="325"/>
    <n v="60"/>
    <x v="469"/>
    <x v="2"/>
  </r>
  <r>
    <d v="2023-08-12T00:00:00"/>
    <x v="0"/>
    <x v="3"/>
    <x v="0"/>
    <x v="5"/>
    <n v="930"/>
    <n v="12"/>
    <x v="1373"/>
    <x v="2"/>
  </r>
  <r>
    <d v="2023-08-12T00:00:00"/>
    <x v="4"/>
    <x v="3"/>
    <x v="4"/>
    <x v="13"/>
    <n v="1505"/>
    <n v="52"/>
    <x v="1339"/>
    <x v="2"/>
  </r>
  <r>
    <d v="2023-08-12T00:00:00"/>
    <x v="1"/>
    <x v="0"/>
    <x v="0"/>
    <x v="5"/>
    <n v="930"/>
    <n v="12"/>
    <x v="1373"/>
    <x v="2"/>
  </r>
  <r>
    <d v="2023-08-12T00:00:00"/>
    <x v="2"/>
    <x v="0"/>
    <x v="0"/>
    <x v="5"/>
    <n v="930"/>
    <n v="81"/>
    <x v="1374"/>
    <x v="2"/>
  </r>
  <r>
    <d v="2023-08-12T00:00:00"/>
    <x v="1"/>
    <x v="4"/>
    <x v="0"/>
    <x v="0"/>
    <n v="1320"/>
    <n v="80"/>
    <x v="769"/>
    <x v="2"/>
  </r>
  <r>
    <d v="2023-08-12T00:00:00"/>
    <x v="2"/>
    <x v="4"/>
    <x v="0"/>
    <x v="10"/>
    <n v="1230"/>
    <n v="40"/>
    <x v="369"/>
    <x v="2"/>
  </r>
  <r>
    <d v="2023-08-12T00:00:00"/>
    <x v="0"/>
    <x v="1"/>
    <x v="1"/>
    <x v="18"/>
    <n v="650"/>
    <n v="37"/>
    <x v="1375"/>
    <x v="2"/>
  </r>
  <r>
    <d v="2023-08-12T00:00:00"/>
    <x v="1"/>
    <x v="1"/>
    <x v="2"/>
    <x v="12"/>
    <n v="715"/>
    <n v="68"/>
    <x v="1376"/>
    <x v="2"/>
  </r>
  <r>
    <d v="2023-08-12T00:00:00"/>
    <x v="2"/>
    <x v="1"/>
    <x v="2"/>
    <x v="16"/>
    <n v="890"/>
    <n v="62"/>
    <x v="1377"/>
    <x v="2"/>
  </r>
  <r>
    <d v="2023-08-12T00:00:00"/>
    <x v="4"/>
    <x v="5"/>
    <x v="1"/>
    <x v="1"/>
    <n v="1380"/>
    <n v="88"/>
    <x v="935"/>
    <x v="2"/>
  </r>
  <r>
    <d v="2023-08-12T00:00:00"/>
    <x v="2"/>
    <x v="5"/>
    <x v="4"/>
    <x v="14"/>
    <n v="1670"/>
    <n v="88"/>
    <x v="1378"/>
    <x v="2"/>
  </r>
  <r>
    <d v="2023-08-12T00:00:00"/>
    <x v="0"/>
    <x v="5"/>
    <x v="4"/>
    <x v="21"/>
    <n v="3205"/>
    <n v="12"/>
    <x v="1379"/>
    <x v="2"/>
  </r>
  <r>
    <d v="2023-08-12T00:00:00"/>
    <x v="2"/>
    <x v="6"/>
    <x v="1"/>
    <x v="23"/>
    <n v="705"/>
    <n v="61"/>
    <x v="504"/>
    <x v="2"/>
  </r>
  <r>
    <d v="2023-08-12T00:00:00"/>
    <x v="0"/>
    <x v="6"/>
    <x v="2"/>
    <x v="9"/>
    <n v="690"/>
    <n v="42"/>
    <x v="554"/>
    <x v="2"/>
  </r>
  <r>
    <d v="2023-08-12T00:00:00"/>
    <x v="1"/>
    <x v="6"/>
    <x v="2"/>
    <x v="9"/>
    <n v="690"/>
    <n v="68"/>
    <x v="180"/>
    <x v="2"/>
  </r>
  <r>
    <s v="12.08.2023 Итог"/>
    <x v="3"/>
    <x v="2"/>
    <x v="3"/>
    <x v="3"/>
    <m/>
    <m/>
    <x v="1380"/>
    <x v="2"/>
  </r>
  <r>
    <d v="2023-08-13T00:00:00"/>
    <x v="1"/>
    <x v="3"/>
    <x v="0"/>
    <x v="22"/>
    <n v="1420"/>
    <n v="67"/>
    <x v="1381"/>
    <x v="2"/>
  </r>
  <r>
    <d v="2023-08-13T00:00:00"/>
    <x v="0"/>
    <x v="4"/>
    <x v="2"/>
    <x v="12"/>
    <n v="715"/>
    <n v="39"/>
    <x v="33"/>
    <x v="2"/>
  </r>
  <r>
    <d v="2023-08-13T00:00:00"/>
    <x v="1"/>
    <x v="1"/>
    <x v="2"/>
    <x v="12"/>
    <n v="715"/>
    <n v="25"/>
    <x v="149"/>
    <x v="2"/>
  </r>
  <r>
    <d v="2023-08-13T00:00:00"/>
    <x v="2"/>
    <x v="1"/>
    <x v="4"/>
    <x v="13"/>
    <n v="1505"/>
    <n v="12"/>
    <x v="1382"/>
    <x v="2"/>
  </r>
  <r>
    <d v="2023-08-13T00:00:00"/>
    <x v="1"/>
    <x v="1"/>
    <x v="4"/>
    <x v="7"/>
    <n v="1760"/>
    <n v="92"/>
    <x v="176"/>
    <x v="2"/>
  </r>
  <r>
    <d v="2023-08-13T00:00:00"/>
    <x v="0"/>
    <x v="5"/>
    <x v="0"/>
    <x v="5"/>
    <n v="930"/>
    <n v="7"/>
    <x v="1383"/>
    <x v="2"/>
  </r>
  <r>
    <d v="2023-08-13T00:00:00"/>
    <x v="2"/>
    <x v="5"/>
    <x v="0"/>
    <x v="17"/>
    <n v="2400"/>
    <n v="12"/>
    <x v="242"/>
    <x v="2"/>
  </r>
  <r>
    <d v="2023-08-13T00:00:00"/>
    <x v="2"/>
    <x v="6"/>
    <x v="4"/>
    <x v="15"/>
    <n v="2460"/>
    <n v="61"/>
    <x v="502"/>
    <x v="2"/>
  </r>
  <r>
    <s v="13.08.2023 Итог"/>
    <x v="3"/>
    <x v="2"/>
    <x v="3"/>
    <x v="3"/>
    <m/>
    <m/>
    <x v="1384"/>
    <x v="2"/>
  </r>
  <r>
    <d v="2023-08-14T00:00:00"/>
    <x v="4"/>
    <x v="3"/>
    <x v="1"/>
    <x v="23"/>
    <n v="705"/>
    <n v="62"/>
    <x v="713"/>
    <x v="2"/>
  </r>
  <r>
    <d v="2023-08-14T00:00:00"/>
    <x v="1"/>
    <x v="4"/>
    <x v="4"/>
    <x v="11"/>
    <n v="2970"/>
    <n v="39"/>
    <x v="1385"/>
    <x v="2"/>
  </r>
  <r>
    <d v="2023-08-14T00:00:00"/>
    <x v="1"/>
    <x v="1"/>
    <x v="1"/>
    <x v="19"/>
    <n v="540"/>
    <n v="49"/>
    <x v="885"/>
    <x v="2"/>
  </r>
  <r>
    <d v="2023-08-14T00:00:00"/>
    <x v="1"/>
    <x v="1"/>
    <x v="2"/>
    <x v="9"/>
    <n v="690"/>
    <n v="25"/>
    <x v="1386"/>
    <x v="2"/>
  </r>
  <r>
    <d v="2023-08-14T00:00:00"/>
    <x v="1"/>
    <x v="5"/>
    <x v="4"/>
    <x v="15"/>
    <n v="2460"/>
    <n v="75"/>
    <x v="323"/>
    <x v="2"/>
  </r>
  <r>
    <d v="2023-08-14T00:00:00"/>
    <x v="1"/>
    <x v="5"/>
    <x v="4"/>
    <x v="13"/>
    <n v="1505"/>
    <n v="90"/>
    <x v="209"/>
    <x v="2"/>
  </r>
  <r>
    <d v="2023-08-14T00:00:00"/>
    <x v="0"/>
    <x v="6"/>
    <x v="0"/>
    <x v="5"/>
    <n v="930"/>
    <n v="7"/>
    <x v="1383"/>
    <x v="2"/>
  </r>
  <r>
    <d v="2023-08-14T00:00:00"/>
    <x v="4"/>
    <x v="6"/>
    <x v="4"/>
    <x v="13"/>
    <n v="1505"/>
    <n v="56"/>
    <x v="617"/>
    <x v="2"/>
  </r>
  <r>
    <s v="14.08.2023 Итог"/>
    <x v="3"/>
    <x v="2"/>
    <x v="3"/>
    <x v="3"/>
    <m/>
    <m/>
    <x v="1387"/>
    <x v="2"/>
  </r>
  <r>
    <d v="2023-08-15T00:00:00"/>
    <x v="4"/>
    <x v="3"/>
    <x v="2"/>
    <x v="4"/>
    <n v="450"/>
    <n v="6"/>
    <x v="412"/>
    <x v="2"/>
  </r>
  <r>
    <d v="2023-08-15T00:00:00"/>
    <x v="1"/>
    <x v="3"/>
    <x v="2"/>
    <x v="4"/>
    <n v="450"/>
    <n v="7"/>
    <x v="1078"/>
    <x v="2"/>
  </r>
  <r>
    <d v="2023-08-15T00:00:00"/>
    <x v="0"/>
    <x v="3"/>
    <x v="2"/>
    <x v="2"/>
    <n v="325"/>
    <n v="66"/>
    <x v="360"/>
    <x v="2"/>
  </r>
  <r>
    <d v="2023-08-15T00:00:00"/>
    <x v="1"/>
    <x v="3"/>
    <x v="0"/>
    <x v="10"/>
    <n v="1230"/>
    <n v="70"/>
    <x v="1388"/>
    <x v="2"/>
  </r>
  <r>
    <d v="2023-08-15T00:00:00"/>
    <x v="4"/>
    <x v="0"/>
    <x v="0"/>
    <x v="5"/>
    <n v="930"/>
    <n v="64"/>
    <x v="457"/>
    <x v="2"/>
  </r>
  <r>
    <d v="2023-08-15T00:00:00"/>
    <x v="0"/>
    <x v="4"/>
    <x v="2"/>
    <x v="4"/>
    <n v="450"/>
    <n v="52"/>
    <x v="756"/>
    <x v="2"/>
  </r>
  <r>
    <d v="2023-08-15T00:00:00"/>
    <x v="4"/>
    <x v="4"/>
    <x v="4"/>
    <x v="21"/>
    <n v="3205"/>
    <n v="42"/>
    <x v="642"/>
    <x v="2"/>
  </r>
  <r>
    <d v="2023-08-15T00:00:00"/>
    <x v="4"/>
    <x v="4"/>
    <x v="4"/>
    <x v="14"/>
    <n v="1670"/>
    <n v="88"/>
    <x v="1378"/>
    <x v="2"/>
  </r>
  <r>
    <d v="2023-08-15T00:00:00"/>
    <x v="2"/>
    <x v="1"/>
    <x v="1"/>
    <x v="23"/>
    <n v="705"/>
    <n v="63"/>
    <x v="1389"/>
    <x v="2"/>
  </r>
  <r>
    <d v="2023-08-15T00:00:00"/>
    <x v="4"/>
    <x v="1"/>
    <x v="1"/>
    <x v="6"/>
    <n v="640"/>
    <n v="23"/>
    <x v="172"/>
    <x v="2"/>
  </r>
  <r>
    <d v="2023-08-15T00:00:00"/>
    <x v="1"/>
    <x v="1"/>
    <x v="4"/>
    <x v="15"/>
    <n v="2460"/>
    <n v="64"/>
    <x v="479"/>
    <x v="2"/>
  </r>
  <r>
    <d v="2023-08-15T00:00:00"/>
    <x v="1"/>
    <x v="5"/>
    <x v="4"/>
    <x v="7"/>
    <n v="1760"/>
    <n v="81"/>
    <x v="296"/>
    <x v="2"/>
  </r>
  <r>
    <s v="15.08.2023 Итог"/>
    <x v="3"/>
    <x v="2"/>
    <x v="3"/>
    <x v="3"/>
    <m/>
    <m/>
    <x v="1390"/>
    <x v="2"/>
  </r>
  <r>
    <d v="2023-08-16T00:00:00"/>
    <x v="1"/>
    <x v="3"/>
    <x v="1"/>
    <x v="6"/>
    <n v="640"/>
    <n v="36"/>
    <x v="512"/>
    <x v="2"/>
  </r>
  <r>
    <d v="2023-08-16T00:00:00"/>
    <x v="1"/>
    <x v="3"/>
    <x v="0"/>
    <x v="10"/>
    <n v="1230"/>
    <n v="11"/>
    <x v="1391"/>
    <x v="2"/>
  </r>
  <r>
    <d v="2023-08-16T00:00:00"/>
    <x v="0"/>
    <x v="4"/>
    <x v="0"/>
    <x v="17"/>
    <n v="2400"/>
    <n v="6"/>
    <x v="1175"/>
    <x v="2"/>
  </r>
  <r>
    <d v="2023-08-16T00:00:00"/>
    <x v="4"/>
    <x v="1"/>
    <x v="4"/>
    <x v="11"/>
    <n v="2970"/>
    <n v="43"/>
    <x v="1392"/>
    <x v="2"/>
  </r>
  <r>
    <d v="2023-08-16T00:00:00"/>
    <x v="4"/>
    <x v="5"/>
    <x v="1"/>
    <x v="6"/>
    <n v="640"/>
    <n v="36"/>
    <x v="512"/>
    <x v="2"/>
  </r>
  <r>
    <d v="2023-08-16T00:00:00"/>
    <x v="0"/>
    <x v="5"/>
    <x v="2"/>
    <x v="8"/>
    <n v="460"/>
    <n v="43"/>
    <x v="86"/>
    <x v="2"/>
  </r>
  <r>
    <d v="2023-08-16T00:00:00"/>
    <x v="1"/>
    <x v="6"/>
    <x v="4"/>
    <x v="13"/>
    <n v="1505"/>
    <n v="90"/>
    <x v="209"/>
    <x v="2"/>
  </r>
  <r>
    <s v="16.08.2023 Итог"/>
    <x v="3"/>
    <x v="2"/>
    <x v="3"/>
    <x v="3"/>
    <m/>
    <m/>
    <x v="1393"/>
    <x v="2"/>
  </r>
  <r>
    <d v="2023-08-17T00:00:00"/>
    <x v="1"/>
    <x v="3"/>
    <x v="1"/>
    <x v="23"/>
    <n v="705"/>
    <n v="40"/>
    <x v="1121"/>
    <x v="2"/>
  </r>
  <r>
    <d v="2023-08-17T00:00:00"/>
    <x v="1"/>
    <x v="3"/>
    <x v="2"/>
    <x v="4"/>
    <n v="450"/>
    <n v="91"/>
    <x v="175"/>
    <x v="2"/>
  </r>
  <r>
    <d v="2023-08-17T00:00:00"/>
    <x v="2"/>
    <x v="3"/>
    <x v="0"/>
    <x v="5"/>
    <n v="930"/>
    <n v="34"/>
    <x v="653"/>
    <x v="2"/>
  </r>
  <r>
    <d v="2023-08-17T00:00:00"/>
    <x v="4"/>
    <x v="0"/>
    <x v="2"/>
    <x v="2"/>
    <n v="325"/>
    <n v="83"/>
    <x v="1394"/>
    <x v="2"/>
  </r>
  <r>
    <d v="2023-08-17T00:00:00"/>
    <x v="2"/>
    <x v="0"/>
    <x v="4"/>
    <x v="13"/>
    <n v="1505"/>
    <n v="32"/>
    <x v="1004"/>
    <x v="2"/>
  </r>
  <r>
    <d v="2023-08-17T00:00:00"/>
    <x v="2"/>
    <x v="1"/>
    <x v="1"/>
    <x v="23"/>
    <n v="705"/>
    <n v="8"/>
    <x v="1395"/>
    <x v="2"/>
  </r>
  <r>
    <d v="2023-08-17T00:00:00"/>
    <x v="2"/>
    <x v="6"/>
    <x v="2"/>
    <x v="2"/>
    <n v="325"/>
    <n v="67"/>
    <x v="64"/>
    <x v="2"/>
  </r>
  <r>
    <d v="2023-08-17T00:00:00"/>
    <x v="4"/>
    <x v="6"/>
    <x v="0"/>
    <x v="5"/>
    <n v="930"/>
    <n v="85"/>
    <x v="1396"/>
    <x v="2"/>
  </r>
  <r>
    <d v="2023-08-17T00:00:00"/>
    <x v="4"/>
    <x v="6"/>
    <x v="0"/>
    <x v="10"/>
    <n v="1230"/>
    <n v="100"/>
    <x v="284"/>
    <x v="2"/>
  </r>
  <r>
    <d v="2023-08-17T00:00:00"/>
    <x v="0"/>
    <x v="6"/>
    <x v="4"/>
    <x v="14"/>
    <n v="1670"/>
    <n v="66"/>
    <x v="1397"/>
    <x v="2"/>
  </r>
  <r>
    <d v="2023-08-17T00:00:00"/>
    <x v="4"/>
    <x v="6"/>
    <x v="4"/>
    <x v="21"/>
    <n v="3205"/>
    <n v="69"/>
    <x v="343"/>
    <x v="2"/>
  </r>
  <r>
    <s v="17.08.2023 Итог"/>
    <x v="3"/>
    <x v="2"/>
    <x v="3"/>
    <x v="3"/>
    <m/>
    <m/>
    <x v="1398"/>
    <x v="2"/>
  </r>
  <r>
    <d v="2023-08-18T00:00:00"/>
    <x v="4"/>
    <x v="3"/>
    <x v="2"/>
    <x v="2"/>
    <n v="325"/>
    <n v="97"/>
    <x v="785"/>
    <x v="2"/>
  </r>
  <r>
    <d v="2023-08-18T00:00:00"/>
    <x v="4"/>
    <x v="3"/>
    <x v="4"/>
    <x v="7"/>
    <n v="1760"/>
    <n v="16"/>
    <x v="1399"/>
    <x v="2"/>
  </r>
  <r>
    <d v="2023-08-18T00:00:00"/>
    <x v="1"/>
    <x v="3"/>
    <x v="4"/>
    <x v="13"/>
    <n v="1505"/>
    <n v="92"/>
    <x v="1400"/>
    <x v="2"/>
  </r>
  <r>
    <d v="2023-08-18T00:00:00"/>
    <x v="0"/>
    <x v="3"/>
    <x v="4"/>
    <x v="21"/>
    <n v="3205"/>
    <n v="44"/>
    <x v="871"/>
    <x v="2"/>
  </r>
  <r>
    <d v="2023-08-18T00:00:00"/>
    <x v="4"/>
    <x v="0"/>
    <x v="0"/>
    <x v="24"/>
    <n v="2540"/>
    <n v="53"/>
    <x v="1401"/>
    <x v="2"/>
  </r>
  <r>
    <d v="2023-08-18T00:00:00"/>
    <x v="2"/>
    <x v="6"/>
    <x v="0"/>
    <x v="24"/>
    <n v="2540"/>
    <n v="43"/>
    <x v="1402"/>
    <x v="2"/>
  </r>
  <r>
    <s v="18.08.2023 Итог"/>
    <x v="3"/>
    <x v="2"/>
    <x v="3"/>
    <x v="3"/>
    <m/>
    <m/>
    <x v="1403"/>
    <x v="2"/>
  </r>
  <r>
    <d v="2023-08-19T00:00:00"/>
    <x v="0"/>
    <x v="0"/>
    <x v="1"/>
    <x v="1"/>
    <n v="1380"/>
    <n v="29"/>
    <x v="215"/>
    <x v="2"/>
  </r>
  <r>
    <d v="2023-08-19T00:00:00"/>
    <x v="2"/>
    <x v="0"/>
    <x v="0"/>
    <x v="10"/>
    <n v="1230"/>
    <n v="56"/>
    <x v="168"/>
    <x v="2"/>
  </r>
  <r>
    <d v="2023-08-19T00:00:00"/>
    <x v="1"/>
    <x v="0"/>
    <x v="0"/>
    <x v="10"/>
    <n v="1230"/>
    <n v="100"/>
    <x v="284"/>
    <x v="2"/>
  </r>
  <r>
    <d v="2023-08-19T00:00:00"/>
    <x v="4"/>
    <x v="4"/>
    <x v="4"/>
    <x v="11"/>
    <n v="2970"/>
    <n v="77"/>
    <x v="1404"/>
    <x v="2"/>
  </r>
  <r>
    <d v="2023-08-19T00:00:00"/>
    <x v="1"/>
    <x v="1"/>
    <x v="1"/>
    <x v="20"/>
    <n v="650"/>
    <n v="34"/>
    <x v="199"/>
    <x v="2"/>
  </r>
  <r>
    <d v="2023-08-19T00:00:00"/>
    <x v="4"/>
    <x v="5"/>
    <x v="1"/>
    <x v="19"/>
    <n v="540"/>
    <n v="56"/>
    <x v="1309"/>
    <x v="2"/>
  </r>
  <r>
    <d v="2023-08-19T00:00:00"/>
    <x v="0"/>
    <x v="5"/>
    <x v="0"/>
    <x v="17"/>
    <n v="2400"/>
    <n v="66"/>
    <x v="1405"/>
    <x v="2"/>
  </r>
  <r>
    <d v="2023-08-19T00:00:00"/>
    <x v="2"/>
    <x v="5"/>
    <x v="4"/>
    <x v="7"/>
    <n v="1760"/>
    <n v="51"/>
    <x v="336"/>
    <x v="2"/>
  </r>
  <r>
    <s v="19.08.2023 Итог"/>
    <x v="3"/>
    <x v="2"/>
    <x v="3"/>
    <x v="3"/>
    <m/>
    <m/>
    <x v="1406"/>
    <x v="2"/>
  </r>
  <r>
    <d v="2023-08-20T00:00:00"/>
    <x v="1"/>
    <x v="0"/>
    <x v="1"/>
    <x v="6"/>
    <n v="640"/>
    <n v="65"/>
    <x v="15"/>
    <x v="2"/>
  </r>
  <r>
    <d v="2023-08-20T00:00:00"/>
    <x v="1"/>
    <x v="4"/>
    <x v="2"/>
    <x v="12"/>
    <n v="715"/>
    <n v="59"/>
    <x v="409"/>
    <x v="2"/>
  </r>
  <r>
    <d v="2023-08-20T00:00:00"/>
    <x v="0"/>
    <x v="5"/>
    <x v="1"/>
    <x v="20"/>
    <n v="650"/>
    <n v="48"/>
    <x v="447"/>
    <x v="2"/>
  </r>
  <r>
    <d v="2023-08-20T00:00:00"/>
    <x v="2"/>
    <x v="5"/>
    <x v="4"/>
    <x v="21"/>
    <n v="3205"/>
    <n v="65"/>
    <x v="1407"/>
    <x v="2"/>
  </r>
  <r>
    <d v="2023-08-20T00:00:00"/>
    <x v="0"/>
    <x v="6"/>
    <x v="2"/>
    <x v="9"/>
    <n v="690"/>
    <n v="45"/>
    <x v="17"/>
    <x v="2"/>
  </r>
  <r>
    <d v="2023-08-20T00:00:00"/>
    <x v="1"/>
    <x v="6"/>
    <x v="0"/>
    <x v="0"/>
    <n v="1320"/>
    <n v="12"/>
    <x v="1408"/>
    <x v="2"/>
  </r>
  <r>
    <d v="2023-08-20T00:00:00"/>
    <x v="2"/>
    <x v="6"/>
    <x v="4"/>
    <x v="13"/>
    <n v="1505"/>
    <n v="32"/>
    <x v="1004"/>
    <x v="2"/>
  </r>
  <r>
    <s v="20.08.2023 Итог"/>
    <x v="3"/>
    <x v="2"/>
    <x v="3"/>
    <x v="3"/>
    <m/>
    <m/>
    <x v="1409"/>
    <x v="2"/>
  </r>
  <r>
    <d v="2023-08-21T00:00:00"/>
    <x v="2"/>
    <x v="3"/>
    <x v="1"/>
    <x v="18"/>
    <n v="650"/>
    <n v="21"/>
    <x v="327"/>
    <x v="2"/>
  </r>
  <r>
    <d v="2023-08-21T00:00:00"/>
    <x v="4"/>
    <x v="0"/>
    <x v="2"/>
    <x v="12"/>
    <n v="715"/>
    <n v="22"/>
    <x v="141"/>
    <x v="2"/>
  </r>
  <r>
    <d v="2023-08-21T00:00:00"/>
    <x v="2"/>
    <x v="0"/>
    <x v="0"/>
    <x v="24"/>
    <n v="2540"/>
    <n v="40"/>
    <x v="755"/>
    <x v="2"/>
  </r>
  <r>
    <d v="2023-08-21T00:00:00"/>
    <x v="0"/>
    <x v="4"/>
    <x v="4"/>
    <x v="14"/>
    <n v="1670"/>
    <n v="68"/>
    <x v="1410"/>
    <x v="2"/>
  </r>
  <r>
    <d v="2023-08-21T00:00:00"/>
    <x v="0"/>
    <x v="1"/>
    <x v="4"/>
    <x v="21"/>
    <n v="3205"/>
    <n v="10"/>
    <x v="1411"/>
    <x v="2"/>
  </r>
  <r>
    <d v="2023-08-21T00:00:00"/>
    <x v="2"/>
    <x v="5"/>
    <x v="1"/>
    <x v="23"/>
    <n v="705"/>
    <n v="18"/>
    <x v="1412"/>
    <x v="2"/>
  </r>
  <r>
    <d v="2023-08-21T00:00:00"/>
    <x v="0"/>
    <x v="5"/>
    <x v="4"/>
    <x v="15"/>
    <n v="2460"/>
    <n v="84"/>
    <x v="1313"/>
    <x v="2"/>
  </r>
  <r>
    <d v="2023-08-21T00:00:00"/>
    <x v="2"/>
    <x v="6"/>
    <x v="1"/>
    <x v="6"/>
    <n v="640"/>
    <n v="9"/>
    <x v="1413"/>
    <x v="2"/>
  </r>
  <r>
    <s v="21.08.2023 Итог"/>
    <x v="3"/>
    <x v="2"/>
    <x v="3"/>
    <x v="3"/>
    <m/>
    <m/>
    <x v="1414"/>
    <x v="2"/>
  </r>
  <r>
    <d v="2023-08-22T00:00:00"/>
    <x v="2"/>
    <x v="3"/>
    <x v="1"/>
    <x v="19"/>
    <n v="540"/>
    <n v="60"/>
    <x v="1007"/>
    <x v="2"/>
  </r>
  <r>
    <d v="2023-08-22T00:00:00"/>
    <x v="0"/>
    <x v="4"/>
    <x v="1"/>
    <x v="6"/>
    <n v="640"/>
    <n v="62"/>
    <x v="1415"/>
    <x v="2"/>
  </r>
  <r>
    <d v="2023-08-22T00:00:00"/>
    <x v="2"/>
    <x v="4"/>
    <x v="1"/>
    <x v="6"/>
    <n v="640"/>
    <n v="76"/>
    <x v="1416"/>
    <x v="2"/>
  </r>
  <r>
    <d v="2023-08-22T00:00:00"/>
    <x v="2"/>
    <x v="1"/>
    <x v="0"/>
    <x v="24"/>
    <n v="2540"/>
    <n v="75"/>
    <x v="98"/>
    <x v="2"/>
  </r>
  <r>
    <d v="2023-08-22T00:00:00"/>
    <x v="4"/>
    <x v="6"/>
    <x v="2"/>
    <x v="8"/>
    <n v="460"/>
    <n v="74"/>
    <x v="1417"/>
    <x v="2"/>
  </r>
  <r>
    <s v="22.08.2023 Итог"/>
    <x v="3"/>
    <x v="2"/>
    <x v="3"/>
    <x v="3"/>
    <m/>
    <m/>
    <x v="1418"/>
    <x v="2"/>
  </r>
  <r>
    <d v="2023-08-23T00:00:00"/>
    <x v="4"/>
    <x v="0"/>
    <x v="2"/>
    <x v="12"/>
    <n v="715"/>
    <n v="6"/>
    <x v="1419"/>
    <x v="2"/>
  </r>
  <r>
    <d v="2023-08-23T00:00:00"/>
    <x v="2"/>
    <x v="4"/>
    <x v="1"/>
    <x v="18"/>
    <n v="650"/>
    <n v="11"/>
    <x v="73"/>
    <x v="2"/>
  </r>
  <r>
    <d v="2023-08-23T00:00:00"/>
    <x v="2"/>
    <x v="4"/>
    <x v="0"/>
    <x v="22"/>
    <n v="1420"/>
    <n v="8"/>
    <x v="1420"/>
    <x v="2"/>
  </r>
  <r>
    <d v="2023-08-23T00:00:00"/>
    <x v="4"/>
    <x v="5"/>
    <x v="4"/>
    <x v="14"/>
    <n v="1670"/>
    <n v="52"/>
    <x v="501"/>
    <x v="2"/>
  </r>
  <r>
    <s v="23.08.2023 Итог"/>
    <x v="3"/>
    <x v="2"/>
    <x v="3"/>
    <x v="3"/>
    <m/>
    <m/>
    <x v="1421"/>
    <x v="2"/>
  </r>
  <r>
    <d v="2023-08-24T00:00:00"/>
    <x v="4"/>
    <x v="3"/>
    <x v="2"/>
    <x v="9"/>
    <n v="690"/>
    <n v="46"/>
    <x v="610"/>
    <x v="2"/>
  </r>
  <r>
    <d v="2023-08-24T00:00:00"/>
    <x v="1"/>
    <x v="3"/>
    <x v="4"/>
    <x v="15"/>
    <n v="2460"/>
    <n v="26"/>
    <x v="1422"/>
    <x v="2"/>
  </r>
  <r>
    <d v="2023-08-24T00:00:00"/>
    <x v="1"/>
    <x v="0"/>
    <x v="2"/>
    <x v="16"/>
    <n v="890"/>
    <n v="19"/>
    <x v="1261"/>
    <x v="2"/>
  </r>
  <r>
    <d v="2023-08-24T00:00:00"/>
    <x v="0"/>
    <x v="0"/>
    <x v="0"/>
    <x v="0"/>
    <n v="1320"/>
    <n v="89"/>
    <x v="779"/>
    <x v="2"/>
  </r>
  <r>
    <d v="2023-08-24T00:00:00"/>
    <x v="2"/>
    <x v="4"/>
    <x v="4"/>
    <x v="7"/>
    <n v="1760"/>
    <n v="30"/>
    <x v="94"/>
    <x v="2"/>
  </r>
  <r>
    <d v="2023-08-24T00:00:00"/>
    <x v="4"/>
    <x v="5"/>
    <x v="4"/>
    <x v="14"/>
    <n v="1670"/>
    <n v="92"/>
    <x v="1423"/>
    <x v="2"/>
  </r>
  <r>
    <d v="2023-08-24T00:00:00"/>
    <x v="1"/>
    <x v="6"/>
    <x v="0"/>
    <x v="22"/>
    <n v="1420"/>
    <n v="41"/>
    <x v="1424"/>
    <x v="2"/>
  </r>
  <r>
    <d v="2023-08-24T00:00:00"/>
    <x v="0"/>
    <x v="6"/>
    <x v="0"/>
    <x v="5"/>
    <n v="930"/>
    <n v="45"/>
    <x v="820"/>
    <x v="2"/>
  </r>
  <r>
    <s v="24.08.2023 Итог"/>
    <x v="3"/>
    <x v="2"/>
    <x v="3"/>
    <x v="3"/>
    <m/>
    <m/>
    <x v="1425"/>
    <x v="2"/>
  </r>
  <r>
    <d v="2023-08-25T00:00:00"/>
    <x v="2"/>
    <x v="3"/>
    <x v="4"/>
    <x v="21"/>
    <n v="3205"/>
    <n v="17"/>
    <x v="608"/>
    <x v="2"/>
  </r>
  <r>
    <d v="2023-08-25T00:00:00"/>
    <x v="1"/>
    <x v="4"/>
    <x v="0"/>
    <x v="10"/>
    <n v="1230"/>
    <n v="39"/>
    <x v="10"/>
    <x v="2"/>
  </r>
  <r>
    <d v="2023-08-25T00:00:00"/>
    <x v="1"/>
    <x v="4"/>
    <x v="4"/>
    <x v="14"/>
    <n v="1670"/>
    <n v="76"/>
    <x v="933"/>
    <x v="2"/>
  </r>
  <r>
    <d v="2023-08-25T00:00:00"/>
    <x v="0"/>
    <x v="4"/>
    <x v="4"/>
    <x v="13"/>
    <n v="1505"/>
    <n v="58"/>
    <x v="91"/>
    <x v="2"/>
  </r>
  <r>
    <d v="2023-08-25T00:00:00"/>
    <x v="0"/>
    <x v="5"/>
    <x v="0"/>
    <x v="5"/>
    <n v="930"/>
    <n v="60"/>
    <x v="99"/>
    <x v="2"/>
  </r>
  <r>
    <d v="2023-08-25T00:00:00"/>
    <x v="2"/>
    <x v="6"/>
    <x v="1"/>
    <x v="1"/>
    <n v="1380"/>
    <n v="40"/>
    <x v="985"/>
    <x v="2"/>
  </r>
  <r>
    <d v="2023-08-25T00:00:00"/>
    <x v="2"/>
    <x v="6"/>
    <x v="2"/>
    <x v="4"/>
    <n v="450"/>
    <n v="67"/>
    <x v="1426"/>
    <x v="2"/>
  </r>
  <r>
    <d v="2023-08-25T00:00:00"/>
    <x v="0"/>
    <x v="6"/>
    <x v="2"/>
    <x v="16"/>
    <n v="890"/>
    <n v="30"/>
    <x v="1427"/>
    <x v="2"/>
  </r>
  <r>
    <d v="2023-08-25T00:00:00"/>
    <x v="2"/>
    <x v="6"/>
    <x v="0"/>
    <x v="10"/>
    <n v="1230"/>
    <n v="34"/>
    <x v="187"/>
    <x v="2"/>
  </r>
  <r>
    <d v="2023-08-25T00:00:00"/>
    <x v="4"/>
    <x v="6"/>
    <x v="4"/>
    <x v="15"/>
    <n v="2460"/>
    <n v="75"/>
    <x v="323"/>
    <x v="2"/>
  </r>
  <r>
    <s v="25.08.2023 Итог"/>
    <x v="3"/>
    <x v="2"/>
    <x v="3"/>
    <x v="3"/>
    <m/>
    <m/>
    <x v="1428"/>
    <x v="2"/>
  </r>
  <r>
    <d v="2023-08-26T00:00:00"/>
    <x v="4"/>
    <x v="3"/>
    <x v="1"/>
    <x v="20"/>
    <n v="650"/>
    <n v="36"/>
    <x v="756"/>
    <x v="2"/>
  </r>
  <r>
    <d v="2023-08-26T00:00:00"/>
    <x v="2"/>
    <x v="3"/>
    <x v="4"/>
    <x v="15"/>
    <n v="2460"/>
    <n v="31"/>
    <x v="997"/>
    <x v="2"/>
  </r>
  <r>
    <d v="2023-08-26T00:00:00"/>
    <x v="0"/>
    <x v="0"/>
    <x v="4"/>
    <x v="7"/>
    <n v="1760"/>
    <n v="62"/>
    <x v="1082"/>
    <x v="2"/>
  </r>
  <r>
    <d v="2023-08-26T00:00:00"/>
    <x v="2"/>
    <x v="4"/>
    <x v="1"/>
    <x v="1"/>
    <n v="1380"/>
    <n v="45"/>
    <x v="1193"/>
    <x v="2"/>
  </r>
  <r>
    <d v="2023-08-26T00:00:00"/>
    <x v="1"/>
    <x v="4"/>
    <x v="0"/>
    <x v="5"/>
    <n v="930"/>
    <n v="31"/>
    <x v="1429"/>
    <x v="2"/>
  </r>
  <r>
    <d v="2023-08-26T00:00:00"/>
    <x v="0"/>
    <x v="4"/>
    <x v="0"/>
    <x v="17"/>
    <n v="2400"/>
    <n v="82"/>
    <x v="1430"/>
    <x v="2"/>
  </r>
  <r>
    <d v="2023-08-26T00:00:00"/>
    <x v="2"/>
    <x v="4"/>
    <x v="4"/>
    <x v="7"/>
    <n v="1760"/>
    <n v="39"/>
    <x v="1265"/>
    <x v="2"/>
  </r>
  <r>
    <d v="2023-08-26T00:00:00"/>
    <x v="1"/>
    <x v="1"/>
    <x v="4"/>
    <x v="15"/>
    <n v="2460"/>
    <n v="57"/>
    <x v="1431"/>
    <x v="2"/>
  </r>
  <r>
    <d v="2023-08-26T00:00:00"/>
    <x v="4"/>
    <x v="5"/>
    <x v="2"/>
    <x v="4"/>
    <n v="450"/>
    <n v="20"/>
    <x v="61"/>
    <x v="2"/>
  </r>
  <r>
    <d v="2023-08-26T00:00:00"/>
    <x v="1"/>
    <x v="5"/>
    <x v="4"/>
    <x v="21"/>
    <n v="3205"/>
    <n v="87"/>
    <x v="1432"/>
    <x v="2"/>
  </r>
  <r>
    <d v="2023-08-26T00:00:00"/>
    <x v="4"/>
    <x v="6"/>
    <x v="2"/>
    <x v="12"/>
    <n v="715"/>
    <n v="92"/>
    <x v="824"/>
    <x v="2"/>
  </r>
  <r>
    <d v="2023-08-26T00:00:00"/>
    <x v="0"/>
    <x v="6"/>
    <x v="0"/>
    <x v="5"/>
    <n v="930"/>
    <n v="56"/>
    <x v="1029"/>
    <x v="2"/>
  </r>
  <r>
    <d v="2023-08-26T00:00:00"/>
    <x v="4"/>
    <x v="6"/>
    <x v="4"/>
    <x v="21"/>
    <n v="3205"/>
    <n v="51"/>
    <x v="1433"/>
    <x v="2"/>
  </r>
  <r>
    <s v="26.08.2023 Итог"/>
    <x v="3"/>
    <x v="2"/>
    <x v="3"/>
    <x v="3"/>
    <m/>
    <m/>
    <x v="1434"/>
    <x v="2"/>
  </r>
  <r>
    <d v="2023-08-27T00:00:00"/>
    <x v="1"/>
    <x v="3"/>
    <x v="4"/>
    <x v="13"/>
    <n v="1505"/>
    <n v="80"/>
    <x v="910"/>
    <x v="2"/>
  </r>
  <r>
    <d v="2023-08-27T00:00:00"/>
    <x v="2"/>
    <x v="0"/>
    <x v="1"/>
    <x v="19"/>
    <n v="540"/>
    <n v="62"/>
    <x v="206"/>
    <x v="2"/>
  </r>
  <r>
    <d v="2023-08-27T00:00:00"/>
    <x v="1"/>
    <x v="1"/>
    <x v="2"/>
    <x v="9"/>
    <n v="690"/>
    <n v="7"/>
    <x v="495"/>
    <x v="2"/>
  </r>
  <r>
    <d v="2023-08-27T00:00:00"/>
    <x v="4"/>
    <x v="1"/>
    <x v="0"/>
    <x v="17"/>
    <n v="2400"/>
    <n v="11"/>
    <x v="257"/>
    <x v="2"/>
  </r>
  <r>
    <d v="2023-08-27T00:00:00"/>
    <x v="2"/>
    <x v="5"/>
    <x v="4"/>
    <x v="21"/>
    <n v="3205"/>
    <n v="23"/>
    <x v="1435"/>
    <x v="2"/>
  </r>
  <r>
    <d v="2023-08-27T00:00:00"/>
    <x v="0"/>
    <x v="6"/>
    <x v="2"/>
    <x v="2"/>
    <n v="325"/>
    <n v="63"/>
    <x v="1436"/>
    <x v="2"/>
  </r>
  <r>
    <d v="2023-08-27T00:00:00"/>
    <x v="4"/>
    <x v="6"/>
    <x v="2"/>
    <x v="8"/>
    <n v="460"/>
    <n v="80"/>
    <x v="467"/>
    <x v="2"/>
  </r>
  <r>
    <d v="2023-08-27T00:00:00"/>
    <x v="2"/>
    <x v="6"/>
    <x v="0"/>
    <x v="22"/>
    <n v="1420"/>
    <n v="22"/>
    <x v="1437"/>
    <x v="2"/>
  </r>
  <r>
    <d v="2023-08-27T00:00:00"/>
    <x v="4"/>
    <x v="6"/>
    <x v="0"/>
    <x v="10"/>
    <n v="1230"/>
    <n v="69"/>
    <x v="1438"/>
    <x v="2"/>
  </r>
  <r>
    <d v="2023-08-27T00:00:00"/>
    <x v="1"/>
    <x v="6"/>
    <x v="4"/>
    <x v="21"/>
    <n v="3205"/>
    <n v="84"/>
    <x v="1439"/>
    <x v="2"/>
  </r>
  <r>
    <s v="27.08.2023 Итог"/>
    <x v="3"/>
    <x v="2"/>
    <x v="3"/>
    <x v="3"/>
    <m/>
    <m/>
    <x v="1440"/>
    <x v="2"/>
  </r>
  <r>
    <d v="2023-08-28T00:00:00"/>
    <x v="0"/>
    <x v="3"/>
    <x v="2"/>
    <x v="4"/>
    <n v="450"/>
    <n v="26"/>
    <x v="480"/>
    <x v="2"/>
  </r>
  <r>
    <d v="2023-08-28T00:00:00"/>
    <x v="2"/>
    <x v="0"/>
    <x v="2"/>
    <x v="9"/>
    <n v="690"/>
    <n v="92"/>
    <x v="1275"/>
    <x v="2"/>
  </r>
  <r>
    <d v="2023-08-28T00:00:00"/>
    <x v="4"/>
    <x v="0"/>
    <x v="4"/>
    <x v="21"/>
    <n v="3205"/>
    <n v="63"/>
    <x v="793"/>
    <x v="2"/>
  </r>
  <r>
    <d v="2023-08-28T00:00:00"/>
    <x v="2"/>
    <x v="0"/>
    <x v="4"/>
    <x v="14"/>
    <n v="1670"/>
    <n v="19"/>
    <x v="1441"/>
    <x v="2"/>
  </r>
  <r>
    <d v="2023-08-28T00:00:00"/>
    <x v="1"/>
    <x v="4"/>
    <x v="1"/>
    <x v="23"/>
    <n v="705"/>
    <n v="71"/>
    <x v="101"/>
    <x v="2"/>
  </r>
  <r>
    <d v="2023-08-28T00:00:00"/>
    <x v="0"/>
    <x v="4"/>
    <x v="2"/>
    <x v="2"/>
    <n v="325"/>
    <n v="50"/>
    <x v="45"/>
    <x v="2"/>
  </r>
  <r>
    <d v="2023-08-28T00:00:00"/>
    <x v="4"/>
    <x v="4"/>
    <x v="0"/>
    <x v="5"/>
    <n v="930"/>
    <n v="96"/>
    <x v="1305"/>
    <x v="2"/>
  </r>
  <r>
    <d v="2023-08-28T00:00:00"/>
    <x v="2"/>
    <x v="4"/>
    <x v="4"/>
    <x v="13"/>
    <n v="1505"/>
    <n v="92"/>
    <x v="1400"/>
    <x v="2"/>
  </r>
  <r>
    <d v="2023-08-28T00:00:00"/>
    <x v="0"/>
    <x v="1"/>
    <x v="1"/>
    <x v="20"/>
    <n v="650"/>
    <n v="47"/>
    <x v="1091"/>
    <x v="2"/>
  </r>
  <r>
    <d v="2023-08-28T00:00:00"/>
    <x v="0"/>
    <x v="5"/>
    <x v="2"/>
    <x v="2"/>
    <n v="325"/>
    <n v="59"/>
    <x v="229"/>
    <x v="2"/>
  </r>
  <r>
    <s v="28.08.2023 Итог"/>
    <x v="3"/>
    <x v="2"/>
    <x v="3"/>
    <x v="3"/>
    <m/>
    <m/>
    <x v="1442"/>
    <x v="2"/>
  </r>
  <r>
    <d v="2023-08-29T00:00:00"/>
    <x v="0"/>
    <x v="3"/>
    <x v="4"/>
    <x v="13"/>
    <n v="1505"/>
    <n v="13"/>
    <x v="1232"/>
    <x v="2"/>
  </r>
  <r>
    <d v="2023-08-29T00:00:00"/>
    <x v="2"/>
    <x v="0"/>
    <x v="1"/>
    <x v="1"/>
    <n v="1380"/>
    <n v="28"/>
    <x v="471"/>
    <x v="2"/>
  </r>
  <r>
    <d v="2023-08-29T00:00:00"/>
    <x v="2"/>
    <x v="0"/>
    <x v="0"/>
    <x v="22"/>
    <n v="1420"/>
    <n v="58"/>
    <x v="888"/>
    <x v="2"/>
  </r>
  <r>
    <d v="2023-08-29T00:00:00"/>
    <x v="0"/>
    <x v="0"/>
    <x v="4"/>
    <x v="14"/>
    <n v="1670"/>
    <n v="75"/>
    <x v="1158"/>
    <x v="2"/>
  </r>
  <r>
    <d v="2023-08-29T00:00:00"/>
    <x v="4"/>
    <x v="0"/>
    <x v="4"/>
    <x v="7"/>
    <n v="1760"/>
    <n v="51"/>
    <x v="336"/>
    <x v="2"/>
  </r>
  <r>
    <d v="2023-08-29T00:00:00"/>
    <x v="2"/>
    <x v="4"/>
    <x v="2"/>
    <x v="8"/>
    <n v="460"/>
    <n v="54"/>
    <x v="200"/>
    <x v="2"/>
  </r>
  <r>
    <d v="2023-08-29T00:00:00"/>
    <x v="1"/>
    <x v="4"/>
    <x v="0"/>
    <x v="17"/>
    <n v="2400"/>
    <n v="86"/>
    <x v="564"/>
    <x v="2"/>
  </r>
  <r>
    <d v="2023-08-29T00:00:00"/>
    <x v="4"/>
    <x v="1"/>
    <x v="4"/>
    <x v="7"/>
    <n v="1760"/>
    <n v="21"/>
    <x v="597"/>
    <x v="2"/>
  </r>
  <r>
    <d v="2023-08-29T00:00:00"/>
    <x v="4"/>
    <x v="6"/>
    <x v="1"/>
    <x v="20"/>
    <n v="650"/>
    <n v="70"/>
    <x v="1208"/>
    <x v="2"/>
  </r>
  <r>
    <d v="2023-08-29T00:00:00"/>
    <x v="1"/>
    <x v="6"/>
    <x v="2"/>
    <x v="2"/>
    <n v="325"/>
    <n v="24"/>
    <x v="625"/>
    <x v="2"/>
  </r>
  <r>
    <d v="2023-08-29T00:00:00"/>
    <x v="0"/>
    <x v="6"/>
    <x v="4"/>
    <x v="7"/>
    <n v="1760"/>
    <n v="15"/>
    <x v="257"/>
    <x v="2"/>
  </r>
  <r>
    <s v="29.08.2023 Итог"/>
    <x v="3"/>
    <x v="2"/>
    <x v="3"/>
    <x v="3"/>
    <m/>
    <m/>
    <x v="1443"/>
    <x v="2"/>
  </r>
  <r>
    <d v="2023-08-30T00:00:00"/>
    <x v="1"/>
    <x v="3"/>
    <x v="4"/>
    <x v="15"/>
    <n v="2460"/>
    <n v="78"/>
    <x v="380"/>
    <x v="2"/>
  </r>
  <r>
    <d v="2023-08-30T00:00:00"/>
    <x v="4"/>
    <x v="3"/>
    <x v="4"/>
    <x v="21"/>
    <n v="3205"/>
    <n v="21"/>
    <x v="320"/>
    <x v="2"/>
  </r>
  <r>
    <d v="2023-08-30T00:00:00"/>
    <x v="2"/>
    <x v="4"/>
    <x v="2"/>
    <x v="8"/>
    <n v="460"/>
    <n v="49"/>
    <x v="940"/>
    <x v="2"/>
  </r>
  <r>
    <d v="2023-08-30T00:00:00"/>
    <x v="4"/>
    <x v="4"/>
    <x v="0"/>
    <x v="5"/>
    <n v="930"/>
    <n v="74"/>
    <x v="1444"/>
    <x v="2"/>
  </r>
  <r>
    <d v="2023-08-30T00:00:00"/>
    <x v="2"/>
    <x v="1"/>
    <x v="2"/>
    <x v="12"/>
    <n v="715"/>
    <n v="45"/>
    <x v="807"/>
    <x v="2"/>
  </r>
  <r>
    <d v="2023-08-30T00:00:00"/>
    <x v="2"/>
    <x v="5"/>
    <x v="2"/>
    <x v="9"/>
    <n v="690"/>
    <n v="70"/>
    <x v="455"/>
    <x v="2"/>
  </r>
  <r>
    <d v="2023-08-30T00:00:00"/>
    <x v="2"/>
    <x v="5"/>
    <x v="4"/>
    <x v="14"/>
    <n v="1670"/>
    <n v="70"/>
    <x v="102"/>
    <x v="2"/>
  </r>
  <r>
    <d v="2023-08-30T00:00:00"/>
    <x v="2"/>
    <x v="5"/>
    <x v="4"/>
    <x v="14"/>
    <n v="1670"/>
    <n v="14"/>
    <x v="1025"/>
    <x v="2"/>
  </r>
  <r>
    <d v="2023-08-30T00:00:00"/>
    <x v="2"/>
    <x v="6"/>
    <x v="1"/>
    <x v="20"/>
    <n v="650"/>
    <n v="23"/>
    <x v="522"/>
    <x v="2"/>
  </r>
  <r>
    <d v="2023-08-30T00:00:00"/>
    <x v="1"/>
    <x v="6"/>
    <x v="0"/>
    <x v="0"/>
    <n v="1320"/>
    <n v="60"/>
    <x v="30"/>
    <x v="2"/>
  </r>
  <r>
    <s v="30.08.2023 Итог"/>
    <x v="3"/>
    <x v="2"/>
    <x v="3"/>
    <x v="3"/>
    <m/>
    <m/>
    <x v="1445"/>
    <x v="2"/>
  </r>
  <r>
    <d v="2023-08-31T00:00:00"/>
    <x v="1"/>
    <x v="3"/>
    <x v="1"/>
    <x v="19"/>
    <n v="540"/>
    <n v="69"/>
    <x v="1"/>
    <x v="2"/>
  </r>
  <r>
    <d v="2023-08-31T00:00:00"/>
    <x v="2"/>
    <x v="3"/>
    <x v="4"/>
    <x v="14"/>
    <n v="1670"/>
    <n v="87"/>
    <x v="1446"/>
    <x v="2"/>
  </r>
  <r>
    <d v="2023-08-31T00:00:00"/>
    <x v="2"/>
    <x v="0"/>
    <x v="0"/>
    <x v="0"/>
    <n v="1320"/>
    <n v="10"/>
    <x v="1447"/>
    <x v="2"/>
  </r>
  <r>
    <d v="2023-08-31T00:00:00"/>
    <x v="1"/>
    <x v="0"/>
    <x v="4"/>
    <x v="11"/>
    <n v="2970"/>
    <n v="74"/>
    <x v="188"/>
    <x v="2"/>
  </r>
  <r>
    <d v="2023-08-31T00:00:00"/>
    <x v="0"/>
    <x v="4"/>
    <x v="0"/>
    <x v="10"/>
    <n v="1230"/>
    <n v="70"/>
    <x v="1388"/>
    <x v="2"/>
  </r>
  <r>
    <s v="31.08.2023 Итог"/>
    <x v="3"/>
    <x v="2"/>
    <x v="3"/>
    <x v="3"/>
    <m/>
    <m/>
    <x v="1448"/>
    <x v="2"/>
  </r>
  <r>
    <d v="2023-09-01T00:00:00"/>
    <x v="1"/>
    <x v="3"/>
    <x v="1"/>
    <x v="18"/>
    <n v="650"/>
    <n v="30"/>
    <x v="469"/>
    <x v="2"/>
  </r>
  <r>
    <d v="2023-09-01T00:00:00"/>
    <x v="4"/>
    <x v="0"/>
    <x v="0"/>
    <x v="22"/>
    <n v="1420"/>
    <n v="7"/>
    <x v="1302"/>
    <x v="2"/>
  </r>
  <r>
    <d v="2023-09-01T00:00:00"/>
    <x v="4"/>
    <x v="0"/>
    <x v="4"/>
    <x v="11"/>
    <n v="2970"/>
    <n v="8"/>
    <x v="1117"/>
    <x v="2"/>
  </r>
  <r>
    <d v="2023-09-01T00:00:00"/>
    <x v="2"/>
    <x v="0"/>
    <x v="4"/>
    <x v="13"/>
    <n v="1505"/>
    <n v="93"/>
    <x v="1449"/>
    <x v="2"/>
  </r>
  <r>
    <d v="2023-09-01T00:00:00"/>
    <x v="1"/>
    <x v="4"/>
    <x v="1"/>
    <x v="18"/>
    <n v="650"/>
    <n v="74"/>
    <x v="1253"/>
    <x v="2"/>
  </r>
  <r>
    <d v="2023-09-01T00:00:00"/>
    <x v="4"/>
    <x v="5"/>
    <x v="1"/>
    <x v="18"/>
    <n v="650"/>
    <n v="24"/>
    <x v="337"/>
    <x v="2"/>
  </r>
  <r>
    <d v="2023-09-01T00:00:00"/>
    <x v="1"/>
    <x v="6"/>
    <x v="1"/>
    <x v="19"/>
    <n v="540"/>
    <n v="28"/>
    <x v="1051"/>
    <x v="2"/>
  </r>
  <r>
    <d v="2023-09-01T00:00:00"/>
    <x v="0"/>
    <x v="6"/>
    <x v="0"/>
    <x v="22"/>
    <n v="1420"/>
    <n v="20"/>
    <x v="657"/>
    <x v="2"/>
  </r>
  <r>
    <s v="01.09.2023 Итог"/>
    <x v="3"/>
    <x v="2"/>
    <x v="3"/>
    <x v="3"/>
    <m/>
    <m/>
    <x v="1450"/>
    <x v="2"/>
  </r>
  <r>
    <d v="2023-09-02T00:00:00"/>
    <x v="1"/>
    <x v="3"/>
    <x v="1"/>
    <x v="6"/>
    <n v="640"/>
    <n v="52"/>
    <x v="67"/>
    <x v="2"/>
  </r>
  <r>
    <d v="2023-09-02T00:00:00"/>
    <x v="2"/>
    <x v="3"/>
    <x v="4"/>
    <x v="13"/>
    <n v="1505"/>
    <n v="76"/>
    <x v="1451"/>
    <x v="2"/>
  </r>
  <r>
    <d v="2023-09-02T00:00:00"/>
    <x v="4"/>
    <x v="0"/>
    <x v="2"/>
    <x v="4"/>
    <n v="450"/>
    <n v="71"/>
    <x v="1190"/>
    <x v="2"/>
  </r>
  <r>
    <d v="2023-09-02T00:00:00"/>
    <x v="1"/>
    <x v="0"/>
    <x v="4"/>
    <x v="13"/>
    <n v="1505"/>
    <n v="8"/>
    <x v="509"/>
    <x v="2"/>
  </r>
  <r>
    <d v="2023-09-02T00:00:00"/>
    <x v="4"/>
    <x v="1"/>
    <x v="2"/>
    <x v="4"/>
    <n v="450"/>
    <n v="51"/>
    <x v="458"/>
    <x v="2"/>
  </r>
  <r>
    <d v="2023-09-02T00:00:00"/>
    <x v="2"/>
    <x v="5"/>
    <x v="2"/>
    <x v="2"/>
    <n v="325"/>
    <n v="19"/>
    <x v="1452"/>
    <x v="2"/>
  </r>
  <r>
    <d v="2023-09-02T00:00:00"/>
    <x v="4"/>
    <x v="6"/>
    <x v="2"/>
    <x v="8"/>
    <n v="460"/>
    <n v="75"/>
    <x v="1057"/>
    <x v="2"/>
  </r>
  <r>
    <d v="2023-09-02T00:00:00"/>
    <x v="0"/>
    <x v="6"/>
    <x v="0"/>
    <x v="17"/>
    <n v="2400"/>
    <n v="68"/>
    <x v="1370"/>
    <x v="2"/>
  </r>
  <r>
    <s v="02.09.2023 Итог"/>
    <x v="3"/>
    <x v="2"/>
    <x v="3"/>
    <x v="3"/>
    <m/>
    <m/>
    <x v="1453"/>
    <x v="2"/>
  </r>
  <r>
    <d v="2023-09-03T00:00:00"/>
    <x v="4"/>
    <x v="0"/>
    <x v="4"/>
    <x v="7"/>
    <n v="1760"/>
    <n v="57"/>
    <x v="759"/>
    <x v="2"/>
  </r>
  <r>
    <d v="2023-09-03T00:00:00"/>
    <x v="0"/>
    <x v="1"/>
    <x v="2"/>
    <x v="4"/>
    <n v="450"/>
    <n v="37"/>
    <x v="325"/>
    <x v="2"/>
  </r>
  <r>
    <d v="2023-09-03T00:00:00"/>
    <x v="1"/>
    <x v="1"/>
    <x v="2"/>
    <x v="8"/>
    <n v="460"/>
    <n v="39"/>
    <x v="275"/>
    <x v="2"/>
  </r>
  <r>
    <d v="2023-09-03T00:00:00"/>
    <x v="0"/>
    <x v="1"/>
    <x v="0"/>
    <x v="5"/>
    <n v="930"/>
    <n v="35"/>
    <x v="993"/>
    <x v="2"/>
  </r>
  <r>
    <d v="2023-09-03T00:00:00"/>
    <x v="2"/>
    <x v="1"/>
    <x v="0"/>
    <x v="24"/>
    <n v="2540"/>
    <n v="49"/>
    <x v="510"/>
    <x v="2"/>
  </r>
  <r>
    <d v="2023-09-03T00:00:00"/>
    <x v="2"/>
    <x v="5"/>
    <x v="2"/>
    <x v="16"/>
    <n v="890"/>
    <n v="10"/>
    <x v="445"/>
    <x v="2"/>
  </r>
  <r>
    <d v="2023-09-03T00:00:00"/>
    <x v="0"/>
    <x v="6"/>
    <x v="4"/>
    <x v="21"/>
    <n v="3205"/>
    <n v="32"/>
    <x v="854"/>
    <x v="2"/>
  </r>
  <r>
    <s v="03.09.2023 Итог"/>
    <x v="3"/>
    <x v="2"/>
    <x v="3"/>
    <x v="3"/>
    <m/>
    <m/>
    <x v="1454"/>
    <x v="2"/>
  </r>
  <r>
    <d v="2023-09-04T00:00:00"/>
    <x v="4"/>
    <x v="3"/>
    <x v="1"/>
    <x v="19"/>
    <n v="540"/>
    <n v="69"/>
    <x v="1"/>
    <x v="2"/>
  </r>
  <r>
    <d v="2023-09-04T00:00:00"/>
    <x v="2"/>
    <x v="3"/>
    <x v="2"/>
    <x v="2"/>
    <n v="325"/>
    <n v="40"/>
    <x v="1455"/>
    <x v="2"/>
  </r>
  <r>
    <d v="2023-09-04T00:00:00"/>
    <x v="1"/>
    <x v="3"/>
    <x v="4"/>
    <x v="11"/>
    <n v="2970"/>
    <n v="46"/>
    <x v="1212"/>
    <x v="2"/>
  </r>
  <r>
    <d v="2023-09-04T00:00:00"/>
    <x v="2"/>
    <x v="3"/>
    <x v="4"/>
    <x v="7"/>
    <n v="1760"/>
    <n v="98"/>
    <x v="536"/>
    <x v="2"/>
  </r>
  <r>
    <d v="2023-09-04T00:00:00"/>
    <x v="1"/>
    <x v="0"/>
    <x v="2"/>
    <x v="16"/>
    <n v="890"/>
    <n v="53"/>
    <x v="1456"/>
    <x v="2"/>
  </r>
  <r>
    <d v="2023-09-04T00:00:00"/>
    <x v="2"/>
    <x v="4"/>
    <x v="1"/>
    <x v="6"/>
    <n v="640"/>
    <n v="24"/>
    <x v="1106"/>
    <x v="2"/>
  </r>
  <r>
    <d v="2023-09-04T00:00:00"/>
    <x v="2"/>
    <x v="1"/>
    <x v="1"/>
    <x v="19"/>
    <n v="540"/>
    <n v="88"/>
    <x v="413"/>
    <x v="2"/>
  </r>
  <r>
    <d v="2023-09-04T00:00:00"/>
    <x v="2"/>
    <x v="1"/>
    <x v="4"/>
    <x v="21"/>
    <n v="3205"/>
    <n v="11"/>
    <x v="661"/>
    <x v="2"/>
  </r>
  <r>
    <d v="2023-09-04T00:00:00"/>
    <x v="1"/>
    <x v="5"/>
    <x v="1"/>
    <x v="6"/>
    <n v="640"/>
    <n v="81"/>
    <x v="1362"/>
    <x v="2"/>
  </r>
  <r>
    <d v="2023-09-04T00:00:00"/>
    <x v="4"/>
    <x v="5"/>
    <x v="4"/>
    <x v="13"/>
    <n v="1505"/>
    <n v="41"/>
    <x v="1089"/>
    <x v="2"/>
  </r>
  <r>
    <d v="2023-09-04T00:00:00"/>
    <x v="1"/>
    <x v="6"/>
    <x v="0"/>
    <x v="22"/>
    <n v="1420"/>
    <n v="74"/>
    <x v="384"/>
    <x v="2"/>
  </r>
  <r>
    <s v="04.09.2023 Итог"/>
    <x v="3"/>
    <x v="2"/>
    <x v="3"/>
    <x v="3"/>
    <m/>
    <m/>
    <x v="1457"/>
    <x v="2"/>
  </r>
  <r>
    <d v="2023-09-05T00:00:00"/>
    <x v="4"/>
    <x v="3"/>
    <x v="1"/>
    <x v="1"/>
    <n v="1380"/>
    <n v="93"/>
    <x v="902"/>
    <x v="2"/>
  </r>
  <r>
    <d v="2023-09-05T00:00:00"/>
    <x v="1"/>
    <x v="3"/>
    <x v="2"/>
    <x v="2"/>
    <n v="325"/>
    <n v="58"/>
    <x v="46"/>
    <x v="2"/>
  </r>
  <r>
    <d v="2023-09-05T00:00:00"/>
    <x v="1"/>
    <x v="3"/>
    <x v="0"/>
    <x v="24"/>
    <n v="2540"/>
    <n v="21"/>
    <x v="658"/>
    <x v="2"/>
  </r>
  <r>
    <d v="2023-09-05T00:00:00"/>
    <x v="1"/>
    <x v="4"/>
    <x v="4"/>
    <x v="11"/>
    <n v="2970"/>
    <n v="36"/>
    <x v="1458"/>
    <x v="2"/>
  </r>
  <r>
    <d v="2023-09-05T00:00:00"/>
    <x v="1"/>
    <x v="4"/>
    <x v="4"/>
    <x v="14"/>
    <n v="1670"/>
    <n v="53"/>
    <x v="1244"/>
    <x v="2"/>
  </r>
  <r>
    <d v="2023-09-05T00:00:00"/>
    <x v="4"/>
    <x v="1"/>
    <x v="2"/>
    <x v="16"/>
    <n v="890"/>
    <n v="79"/>
    <x v="1459"/>
    <x v="2"/>
  </r>
  <r>
    <d v="2023-09-05T00:00:00"/>
    <x v="2"/>
    <x v="5"/>
    <x v="1"/>
    <x v="19"/>
    <n v="540"/>
    <n v="43"/>
    <x v="1460"/>
    <x v="2"/>
  </r>
  <r>
    <d v="2023-09-05T00:00:00"/>
    <x v="1"/>
    <x v="5"/>
    <x v="1"/>
    <x v="19"/>
    <n v="540"/>
    <n v="39"/>
    <x v="1461"/>
    <x v="2"/>
  </r>
  <r>
    <d v="2023-09-05T00:00:00"/>
    <x v="4"/>
    <x v="6"/>
    <x v="4"/>
    <x v="7"/>
    <n v="1760"/>
    <n v="18"/>
    <x v="1042"/>
    <x v="2"/>
  </r>
  <r>
    <s v="05.09.2023 Итог"/>
    <x v="3"/>
    <x v="2"/>
    <x v="3"/>
    <x v="3"/>
    <m/>
    <m/>
    <x v="1462"/>
    <x v="2"/>
  </r>
  <r>
    <d v="2023-09-06T00:00:00"/>
    <x v="1"/>
    <x v="0"/>
    <x v="4"/>
    <x v="7"/>
    <n v="1760"/>
    <n v="99"/>
    <x v="386"/>
    <x v="2"/>
  </r>
  <r>
    <d v="2023-09-06T00:00:00"/>
    <x v="0"/>
    <x v="4"/>
    <x v="2"/>
    <x v="9"/>
    <n v="690"/>
    <n v="6"/>
    <x v="1071"/>
    <x v="2"/>
  </r>
  <r>
    <d v="2023-09-06T00:00:00"/>
    <x v="4"/>
    <x v="4"/>
    <x v="2"/>
    <x v="16"/>
    <n v="890"/>
    <n v="80"/>
    <x v="821"/>
    <x v="2"/>
  </r>
  <r>
    <d v="2023-09-06T00:00:00"/>
    <x v="1"/>
    <x v="4"/>
    <x v="0"/>
    <x v="22"/>
    <n v="1420"/>
    <n v="12"/>
    <x v="134"/>
    <x v="2"/>
  </r>
  <r>
    <d v="2023-09-06T00:00:00"/>
    <x v="2"/>
    <x v="4"/>
    <x v="4"/>
    <x v="14"/>
    <n v="1670"/>
    <n v="94"/>
    <x v="1463"/>
    <x v="2"/>
  </r>
  <r>
    <s v="06.09.2023 Итог"/>
    <x v="3"/>
    <x v="2"/>
    <x v="3"/>
    <x v="3"/>
    <m/>
    <m/>
    <x v="1464"/>
    <x v="2"/>
  </r>
  <r>
    <d v="2023-09-07T00:00:00"/>
    <x v="0"/>
    <x v="3"/>
    <x v="4"/>
    <x v="15"/>
    <n v="2460"/>
    <n v="52"/>
    <x v="1465"/>
    <x v="2"/>
  </r>
  <r>
    <d v="2023-09-07T00:00:00"/>
    <x v="1"/>
    <x v="0"/>
    <x v="1"/>
    <x v="1"/>
    <n v="1380"/>
    <n v="14"/>
    <x v="1204"/>
    <x v="2"/>
  </r>
  <r>
    <d v="2023-09-07T00:00:00"/>
    <x v="0"/>
    <x v="0"/>
    <x v="1"/>
    <x v="6"/>
    <n v="640"/>
    <n v="54"/>
    <x v="1466"/>
    <x v="2"/>
  </r>
  <r>
    <d v="2023-09-07T00:00:00"/>
    <x v="4"/>
    <x v="0"/>
    <x v="4"/>
    <x v="15"/>
    <n v="2460"/>
    <n v="73"/>
    <x v="897"/>
    <x v="2"/>
  </r>
  <r>
    <d v="2023-09-07T00:00:00"/>
    <x v="1"/>
    <x v="4"/>
    <x v="2"/>
    <x v="8"/>
    <n v="460"/>
    <n v="59"/>
    <x v="840"/>
    <x v="2"/>
  </r>
  <r>
    <d v="2023-09-07T00:00:00"/>
    <x v="4"/>
    <x v="5"/>
    <x v="2"/>
    <x v="9"/>
    <n v="690"/>
    <n v="28"/>
    <x v="1204"/>
    <x v="2"/>
  </r>
  <r>
    <d v="2023-09-07T00:00:00"/>
    <x v="1"/>
    <x v="5"/>
    <x v="4"/>
    <x v="13"/>
    <n v="1505"/>
    <n v="76"/>
    <x v="1451"/>
    <x v="2"/>
  </r>
  <r>
    <d v="2023-09-07T00:00:00"/>
    <x v="4"/>
    <x v="6"/>
    <x v="4"/>
    <x v="15"/>
    <n v="2460"/>
    <n v="78"/>
    <x v="380"/>
    <x v="2"/>
  </r>
  <r>
    <s v="07.09.2023 Итог"/>
    <x v="3"/>
    <x v="2"/>
    <x v="3"/>
    <x v="3"/>
    <m/>
    <m/>
    <x v="1467"/>
    <x v="2"/>
  </r>
  <r>
    <d v="2023-09-08T00:00:00"/>
    <x v="1"/>
    <x v="3"/>
    <x v="0"/>
    <x v="24"/>
    <n v="2540"/>
    <n v="82"/>
    <x v="263"/>
    <x v="2"/>
  </r>
  <r>
    <d v="2023-09-08T00:00:00"/>
    <x v="1"/>
    <x v="0"/>
    <x v="0"/>
    <x v="5"/>
    <n v="930"/>
    <n v="34"/>
    <x v="653"/>
    <x v="2"/>
  </r>
  <r>
    <d v="2023-09-08T00:00:00"/>
    <x v="4"/>
    <x v="4"/>
    <x v="1"/>
    <x v="20"/>
    <n v="650"/>
    <n v="32"/>
    <x v="237"/>
    <x v="2"/>
  </r>
  <r>
    <s v="08.09.2023 Итог"/>
    <x v="3"/>
    <x v="2"/>
    <x v="3"/>
    <x v="3"/>
    <m/>
    <m/>
    <x v="1468"/>
    <x v="2"/>
  </r>
  <r>
    <d v="2023-09-09T00:00:00"/>
    <x v="2"/>
    <x v="3"/>
    <x v="1"/>
    <x v="23"/>
    <n v="705"/>
    <n v="41"/>
    <x v="1469"/>
    <x v="2"/>
  </r>
  <r>
    <d v="2023-09-09T00:00:00"/>
    <x v="0"/>
    <x v="3"/>
    <x v="2"/>
    <x v="8"/>
    <n v="460"/>
    <n v="69"/>
    <x v="610"/>
    <x v="2"/>
  </r>
  <r>
    <d v="2023-09-09T00:00:00"/>
    <x v="2"/>
    <x v="0"/>
    <x v="2"/>
    <x v="8"/>
    <n v="460"/>
    <n v="50"/>
    <x v="1470"/>
    <x v="2"/>
  </r>
  <r>
    <d v="2023-09-09T00:00:00"/>
    <x v="0"/>
    <x v="0"/>
    <x v="2"/>
    <x v="4"/>
    <n v="450"/>
    <n v="10"/>
    <x v="862"/>
    <x v="2"/>
  </r>
  <r>
    <d v="2023-09-09T00:00:00"/>
    <x v="4"/>
    <x v="0"/>
    <x v="0"/>
    <x v="22"/>
    <n v="1420"/>
    <n v="43"/>
    <x v="777"/>
    <x v="2"/>
  </r>
  <r>
    <d v="2023-09-09T00:00:00"/>
    <x v="4"/>
    <x v="4"/>
    <x v="1"/>
    <x v="18"/>
    <n v="650"/>
    <n v="10"/>
    <x v="562"/>
    <x v="2"/>
  </r>
  <r>
    <d v="2023-09-09T00:00:00"/>
    <x v="1"/>
    <x v="4"/>
    <x v="2"/>
    <x v="9"/>
    <n v="690"/>
    <n v="94"/>
    <x v="752"/>
    <x v="2"/>
  </r>
  <r>
    <d v="2023-09-09T00:00:00"/>
    <x v="0"/>
    <x v="1"/>
    <x v="4"/>
    <x v="7"/>
    <n v="1760"/>
    <n v="86"/>
    <x v="1471"/>
    <x v="2"/>
  </r>
  <r>
    <d v="2023-09-09T00:00:00"/>
    <x v="4"/>
    <x v="6"/>
    <x v="1"/>
    <x v="6"/>
    <n v="640"/>
    <n v="46"/>
    <x v="582"/>
    <x v="2"/>
  </r>
  <r>
    <d v="2023-09-09T00:00:00"/>
    <x v="0"/>
    <x v="6"/>
    <x v="1"/>
    <x v="23"/>
    <n v="705"/>
    <n v="84"/>
    <x v="1472"/>
    <x v="2"/>
  </r>
  <r>
    <d v="2023-09-09T00:00:00"/>
    <x v="2"/>
    <x v="6"/>
    <x v="2"/>
    <x v="12"/>
    <n v="715"/>
    <n v="14"/>
    <x v="13"/>
    <x v="2"/>
  </r>
  <r>
    <s v="09.09.2023 Итог"/>
    <x v="3"/>
    <x v="2"/>
    <x v="3"/>
    <x v="3"/>
    <m/>
    <m/>
    <x v="1473"/>
    <x v="2"/>
  </r>
  <r>
    <d v="2023-09-10T00:00:00"/>
    <x v="4"/>
    <x v="3"/>
    <x v="0"/>
    <x v="17"/>
    <n v="2400"/>
    <n v="12"/>
    <x v="242"/>
    <x v="2"/>
  </r>
  <r>
    <d v="2023-09-10T00:00:00"/>
    <x v="4"/>
    <x v="0"/>
    <x v="0"/>
    <x v="17"/>
    <n v="2400"/>
    <n v="51"/>
    <x v="152"/>
    <x v="2"/>
  </r>
  <r>
    <d v="2023-09-10T00:00:00"/>
    <x v="2"/>
    <x v="1"/>
    <x v="0"/>
    <x v="0"/>
    <n v="1320"/>
    <n v="21"/>
    <x v="1474"/>
    <x v="2"/>
  </r>
  <r>
    <d v="2023-09-10T00:00:00"/>
    <x v="2"/>
    <x v="1"/>
    <x v="4"/>
    <x v="11"/>
    <n v="2970"/>
    <n v="45"/>
    <x v="784"/>
    <x v="2"/>
  </r>
  <r>
    <d v="2023-09-10T00:00:00"/>
    <x v="2"/>
    <x v="5"/>
    <x v="2"/>
    <x v="12"/>
    <n v="715"/>
    <n v="82"/>
    <x v="842"/>
    <x v="2"/>
  </r>
  <r>
    <s v="10.09.2023 Итог"/>
    <x v="3"/>
    <x v="2"/>
    <x v="3"/>
    <x v="3"/>
    <m/>
    <m/>
    <x v="1475"/>
    <x v="2"/>
  </r>
  <r>
    <d v="2023-09-11T00:00:00"/>
    <x v="2"/>
    <x v="4"/>
    <x v="2"/>
    <x v="4"/>
    <n v="450"/>
    <n v="92"/>
    <x v="356"/>
    <x v="2"/>
  </r>
  <r>
    <d v="2023-09-11T00:00:00"/>
    <x v="1"/>
    <x v="1"/>
    <x v="1"/>
    <x v="18"/>
    <n v="650"/>
    <n v="7"/>
    <x v="928"/>
    <x v="2"/>
  </r>
  <r>
    <d v="2023-09-11T00:00:00"/>
    <x v="4"/>
    <x v="1"/>
    <x v="2"/>
    <x v="8"/>
    <n v="460"/>
    <n v="78"/>
    <x v="690"/>
    <x v="2"/>
  </r>
  <r>
    <d v="2023-09-11T00:00:00"/>
    <x v="0"/>
    <x v="1"/>
    <x v="0"/>
    <x v="10"/>
    <n v="1230"/>
    <n v="72"/>
    <x v="272"/>
    <x v="2"/>
  </r>
  <r>
    <d v="2023-09-11T00:00:00"/>
    <x v="4"/>
    <x v="6"/>
    <x v="4"/>
    <x v="21"/>
    <n v="3205"/>
    <n v="89"/>
    <x v="751"/>
    <x v="2"/>
  </r>
  <r>
    <s v="11.09.2023 Итог"/>
    <x v="3"/>
    <x v="2"/>
    <x v="3"/>
    <x v="3"/>
    <m/>
    <m/>
    <x v="1476"/>
    <x v="2"/>
  </r>
  <r>
    <d v="2023-09-12T00:00:00"/>
    <x v="0"/>
    <x v="3"/>
    <x v="0"/>
    <x v="24"/>
    <n v="2540"/>
    <n v="37"/>
    <x v="300"/>
    <x v="2"/>
  </r>
  <r>
    <d v="2023-09-12T00:00:00"/>
    <x v="0"/>
    <x v="3"/>
    <x v="4"/>
    <x v="15"/>
    <n v="2460"/>
    <n v="48"/>
    <x v="491"/>
    <x v="2"/>
  </r>
  <r>
    <d v="2023-09-12T00:00:00"/>
    <x v="4"/>
    <x v="1"/>
    <x v="2"/>
    <x v="4"/>
    <n v="450"/>
    <n v="55"/>
    <x v="418"/>
    <x v="2"/>
  </r>
  <r>
    <d v="2023-09-12T00:00:00"/>
    <x v="4"/>
    <x v="1"/>
    <x v="4"/>
    <x v="15"/>
    <n v="2460"/>
    <n v="50"/>
    <x v="284"/>
    <x v="2"/>
  </r>
  <r>
    <d v="2023-09-12T00:00:00"/>
    <x v="2"/>
    <x v="5"/>
    <x v="2"/>
    <x v="16"/>
    <n v="890"/>
    <n v="9"/>
    <x v="1022"/>
    <x v="2"/>
  </r>
  <r>
    <d v="2023-09-12T00:00:00"/>
    <x v="4"/>
    <x v="6"/>
    <x v="1"/>
    <x v="23"/>
    <n v="705"/>
    <n v="21"/>
    <x v="130"/>
    <x v="2"/>
  </r>
  <r>
    <d v="2023-09-12T00:00:00"/>
    <x v="1"/>
    <x v="6"/>
    <x v="2"/>
    <x v="8"/>
    <n v="460"/>
    <n v="7"/>
    <x v="278"/>
    <x v="2"/>
  </r>
  <r>
    <d v="2023-09-12T00:00:00"/>
    <x v="2"/>
    <x v="6"/>
    <x v="2"/>
    <x v="2"/>
    <n v="325"/>
    <n v="76"/>
    <x v="573"/>
    <x v="2"/>
  </r>
  <r>
    <d v="2023-09-12T00:00:00"/>
    <x v="4"/>
    <x v="6"/>
    <x v="0"/>
    <x v="0"/>
    <n v="1320"/>
    <n v="60"/>
    <x v="30"/>
    <x v="2"/>
  </r>
  <r>
    <s v="12.09.2023 Итог"/>
    <x v="3"/>
    <x v="2"/>
    <x v="3"/>
    <x v="3"/>
    <m/>
    <m/>
    <x v="1477"/>
    <x v="2"/>
  </r>
  <r>
    <d v="2023-09-13T00:00:00"/>
    <x v="1"/>
    <x v="3"/>
    <x v="1"/>
    <x v="23"/>
    <n v="705"/>
    <n v="35"/>
    <x v="1478"/>
    <x v="2"/>
  </r>
  <r>
    <d v="2023-09-13T00:00:00"/>
    <x v="4"/>
    <x v="3"/>
    <x v="0"/>
    <x v="5"/>
    <n v="930"/>
    <n v="93"/>
    <x v="1479"/>
    <x v="2"/>
  </r>
  <r>
    <d v="2023-09-13T00:00:00"/>
    <x v="4"/>
    <x v="0"/>
    <x v="4"/>
    <x v="13"/>
    <n v="1505"/>
    <n v="74"/>
    <x v="731"/>
    <x v="2"/>
  </r>
  <r>
    <d v="2023-09-13T00:00:00"/>
    <x v="2"/>
    <x v="4"/>
    <x v="2"/>
    <x v="16"/>
    <n v="890"/>
    <n v="46"/>
    <x v="402"/>
    <x v="2"/>
  </r>
  <r>
    <d v="2023-09-13T00:00:00"/>
    <x v="2"/>
    <x v="4"/>
    <x v="4"/>
    <x v="13"/>
    <n v="1505"/>
    <n v="76"/>
    <x v="1451"/>
    <x v="2"/>
  </r>
  <r>
    <d v="2023-09-13T00:00:00"/>
    <x v="0"/>
    <x v="4"/>
    <x v="4"/>
    <x v="14"/>
    <n v="1670"/>
    <n v="83"/>
    <x v="1480"/>
    <x v="2"/>
  </r>
  <r>
    <d v="2023-09-13T00:00:00"/>
    <x v="1"/>
    <x v="1"/>
    <x v="0"/>
    <x v="22"/>
    <n v="1420"/>
    <n v="11"/>
    <x v="309"/>
    <x v="2"/>
  </r>
  <r>
    <d v="2023-09-13T00:00:00"/>
    <x v="4"/>
    <x v="1"/>
    <x v="0"/>
    <x v="5"/>
    <n v="930"/>
    <n v="47"/>
    <x v="713"/>
    <x v="2"/>
  </r>
  <r>
    <d v="2023-09-13T00:00:00"/>
    <x v="4"/>
    <x v="1"/>
    <x v="0"/>
    <x v="10"/>
    <n v="1230"/>
    <n v="32"/>
    <x v="581"/>
    <x v="2"/>
  </r>
  <r>
    <d v="2023-09-13T00:00:00"/>
    <x v="0"/>
    <x v="1"/>
    <x v="4"/>
    <x v="7"/>
    <n v="1760"/>
    <n v="33"/>
    <x v="660"/>
    <x v="2"/>
  </r>
  <r>
    <s v="13.09.2023 Итог"/>
    <x v="3"/>
    <x v="2"/>
    <x v="3"/>
    <x v="3"/>
    <m/>
    <m/>
    <x v="1481"/>
    <x v="2"/>
  </r>
  <r>
    <d v="2023-09-14T00:00:00"/>
    <x v="0"/>
    <x v="0"/>
    <x v="2"/>
    <x v="4"/>
    <n v="450"/>
    <n v="97"/>
    <x v="321"/>
    <x v="2"/>
  </r>
  <r>
    <d v="2023-09-14T00:00:00"/>
    <x v="1"/>
    <x v="0"/>
    <x v="2"/>
    <x v="8"/>
    <n v="460"/>
    <n v="88"/>
    <x v="539"/>
    <x v="2"/>
  </r>
  <r>
    <d v="2023-09-14T00:00:00"/>
    <x v="2"/>
    <x v="0"/>
    <x v="0"/>
    <x v="10"/>
    <n v="1230"/>
    <n v="97"/>
    <x v="1482"/>
    <x v="2"/>
  </r>
  <r>
    <d v="2023-09-14T00:00:00"/>
    <x v="1"/>
    <x v="0"/>
    <x v="0"/>
    <x v="0"/>
    <n v="1320"/>
    <n v="74"/>
    <x v="1483"/>
    <x v="2"/>
  </r>
  <r>
    <d v="2023-09-14T00:00:00"/>
    <x v="0"/>
    <x v="4"/>
    <x v="1"/>
    <x v="18"/>
    <n v="650"/>
    <n v="54"/>
    <x v="158"/>
    <x v="2"/>
  </r>
  <r>
    <d v="2023-09-14T00:00:00"/>
    <x v="4"/>
    <x v="4"/>
    <x v="0"/>
    <x v="24"/>
    <n v="2540"/>
    <n v="9"/>
    <x v="1484"/>
    <x v="2"/>
  </r>
  <r>
    <d v="2023-09-14T00:00:00"/>
    <x v="1"/>
    <x v="1"/>
    <x v="0"/>
    <x v="17"/>
    <n v="2400"/>
    <n v="45"/>
    <x v="1356"/>
    <x v="2"/>
  </r>
  <r>
    <d v="2023-09-14T00:00:00"/>
    <x v="0"/>
    <x v="5"/>
    <x v="1"/>
    <x v="18"/>
    <n v="650"/>
    <n v="86"/>
    <x v="1072"/>
    <x v="2"/>
  </r>
  <r>
    <d v="2023-09-14T00:00:00"/>
    <x v="2"/>
    <x v="5"/>
    <x v="1"/>
    <x v="23"/>
    <n v="705"/>
    <n v="21"/>
    <x v="130"/>
    <x v="2"/>
  </r>
  <r>
    <d v="2023-09-14T00:00:00"/>
    <x v="4"/>
    <x v="5"/>
    <x v="1"/>
    <x v="19"/>
    <n v="540"/>
    <n v="98"/>
    <x v="136"/>
    <x v="2"/>
  </r>
  <r>
    <d v="2023-09-14T00:00:00"/>
    <x v="0"/>
    <x v="5"/>
    <x v="4"/>
    <x v="21"/>
    <n v="3205"/>
    <n v="21"/>
    <x v="320"/>
    <x v="2"/>
  </r>
  <r>
    <d v="2023-09-14T00:00:00"/>
    <x v="4"/>
    <x v="6"/>
    <x v="4"/>
    <x v="13"/>
    <n v="1505"/>
    <n v="65"/>
    <x v="911"/>
    <x v="2"/>
  </r>
  <r>
    <d v="2023-09-14T00:00:00"/>
    <x v="4"/>
    <x v="6"/>
    <x v="4"/>
    <x v="11"/>
    <n v="2970"/>
    <n v="17"/>
    <x v="249"/>
    <x v="2"/>
  </r>
  <r>
    <s v="14.09.2023 Итог"/>
    <x v="3"/>
    <x v="2"/>
    <x v="3"/>
    <x v="3"/>
    <m/>
    <m/>
    <x v="1485"/>
    <x v="2"/>
  </r>
  <r>
    <d v="2023-09-15T00:00:00"/>
    <x v="1"/>
    <x v="3"/>
    <x v="4"/>
    <x v="11"/>
    <n v="2970"/>
    <n v="69"/>
    <x v="1486"/>
    <x v="2"/>
  </r>
  <r>
    <d v="2023-09-15T00:00:00"/>
    <x v="1"/>
    <x v="4"/>
    <x v="1"/>
    <x v="23"/>
    <n v="705"/>
    <n v="32"/>
    <x v="1487"/>
    <x v="2"/>
  </r>
  <r>
    <d v="2023-09-15T00:00:00"/>
    <x v="1"/>
    <x v="4"/>
    <x v="0"/>
    <x v="0"/>
    <n v="1320"/>
    <n v="87"/>
    <x v="525"/>
    <x v="2"/>
  </r>
  <r>
    <d v="2023-09-15T00:00:00"/>
    <x v="1"/>
    <x v="4"/>
    <x v="0"/>
    <x v="5"/>
    <n v="930"/>
    <n v="27"/>
    <x v="1488"/>
    <x v="2"/>
  </r>
  <r>
    <d v="2023-09-15T00:00:00"/>
    <x v="1"/>
    <x v="4"/>
    <x v="0"/>
    <x v="0"/>
    <n v="1320"/>
    <n v="98"/>
    <x v="1489"/>
    <x v="2"/>
  </r>
  <r>
    <d v="2023-09-15T00:00:00"/>
    <x v="0"/>
    <x v="1"/>
    <x v="4"/>
    <x v="15"/>
    <n v="2460"/>
    <n v="57"/>
    <x v="1431"/>
    <x v="2"/>
  </r>
  <r>
    <d v="2023-09-15T00:00:00"/>
    <x v="2"/>
    <x v="6"/>
    <x v="1"/>
    <x v="1"/>
    <n v="1380"/>
    <n v="57"/>
    <x v="890"/>
    <x v="2"/>
  </r>
  <r>
    <d v="2023-09-15T00:00:00"/>
    <x v="4"/>
    <x v="6"/>
    <x v="4"/>
    <x v="21"/>
    <n v="3205"/>
    <n v="24"/>
    <x v="867"/>
    <x v="2"/>
  </r>
  <r>
    <s v="15.09.2023 Итог"/>
    <x v="3"/>
    <x v="2"/>
    <x v="3"/>
    <x v="3"/>
    <m/>
    <m/>
    <x v="1490"/>
    <x v="2"/>
  </r>
  <r>
    <d v="2023-09-16T00:00:00"/>
    <x v="4"/>
    <x v="3"/>
    <x v="1"/>
    <x v="1"/>
    <n v="1380"/>
    <n v="40"/>
    <x v="985"/>
    <x v="2"/>
  </r>
  <r>
    <d v="2023-09-16T00:00:00"/>
    <x v="0"/>
    <x v="3"/>
    <x v="2"/>
    <x v="2"/>
    <n v="325"/>
    <n v="72"/>
    <x v="756"/>
    <x v="2"/>
  </r>
  <r>
    <d v="2023-09-16T00:00:00"/>
    <x v="1"/>
    <x v="4"/>
    <x v="1"/>
    <x v="23"/>
    <n v="705"/>
    <n v="42"/>
    <x v="1125"/>
    <x v="2"/>
  </r>
  <r>
    <d v="2023-09-16T00:00:00"/>
    <x v="4"/>
    <x v="4"/>
    <x v="1"/>
    <x v="20"/>
    <n v="650"/>
    <n v="16"/>
    <x v="673"/>
    <x v="2"/>
  </r>
  <r>
    <d v="2023-09-16T00:00:00"/>
    <x v="0"/>
    <x v="1"/>
    <x v="0"/>
    <x v="10"/>
    <n v="1230"/>
    <n v="38"/>
    <x v="1491"/>
    <x v="2"/>
  </r>
  <r>
    <d v="2023-09-16T00:00:00"/>
    <x v="2"/>
    <x v="5"/>
    <x v="4"/>
    <x v="13"/>
    <n v="1505"/>
    <n v="88"/>
    <x v="1492"/>
    <x v="2"/>
  </r>
  <r>
    <d v="2023-09-16T00:00:00"/>
    <x v="0"/>
    <x v="6"/>
    <x v="1"/>
    <x v="18"/>
    <n v="650"/>
    <n v="31"/>
    <x v="306"/>
    <x v="2"/>
  </r>
  <r>
    <d v="2023-09-16T00:00:00"/>
    <x v="1"/>
    <x v="6"/>
    <x v="4"/>
    <x v="7"/>
    <n v="1760"/>
    <n v="71"/>
    <x v="444"/>
    <x v="2"/>
  </r>
  <r>
    <s v="16.09.2023 Итог"/>
    <x v="3"/>
    <x v="2"/>
    <x v="3"/>
    <x v="3"/>
    <m/>
    <m/>
    <x v="1493"/>
    <x v="2"/>
  </r>
  <r>
    <d v="2023-09-17T00:00:00"/>
    <x v="4"/>
    <x v="3"/>
    <x v="1"/>
    <x v="19"/>
    <n v="540"/>
    <n v="54"/>
    <x v="789"/>
    <x v="2"/>
  </r>
  <r>
    <d v="2023-09-17T00:00:00"/>
    <x v="1"/>
    <x v="3"/>
    <x v="2"/>
    <x v="16"/>
    <n v="890"/>
    <n v="92"/>
    <x v="595"/>
    <x v="2"/>
  </r>
  <r>
    <d v="2023-09-17T00:00:00"/>
    <x v="0"/>
    <x v="3"/>
    <x v="4"/>
    <x v="21"/>
    <n v="3205"/>
    <n v="59"/>
    <x v="109"/>
    <x v="2"/>
  </r>
  <r>
    <d v="2023-09-17T00:00:00"/>
    <x v="2"/>
    <x v="4"/>
    <x v="2"/>
    <x v="9"/>
    <n v="690"/>
    <n v="50"/>
    <x v="1057"/>
    <x v="2"/>
  </r>
  <r>
    <d v="2023-09-17T00:00:00"/>
    <x v="1"/>
    <x v="4"/>
    <x v="0"/>
    <x v="17"/>
    <n v="2400"/>
    <n v="96"/>
    <x v="1281"/>
    <x v="2"/>
  </r>
  <r>
    <d v="2023-09-17T00:00:00"/>
    <x v="2"/>
    <x v="1"/>
    <x v="1"/>
    <x v="19"/>
    <n v="540"/>
    <n v="99"/>
    <x v="804"/>
    <x v="2"/>
  </r>
  <r>
    <d v="2023-09-17T00:00:00"/>
    <x v="4"/>
    <x v="5"/>
    <x v="0"/>
    <x v="5"/>
    <n v="930"/>
    <n v="21"/>
    <x v="1494"/>
    <x v="2"/>
  </r>
  <r>
    <s v="17.09.2023 Итог"/>
    <x v="3"/>
    <x v="2"/>
    <x v="3"/>
    <x v="3"/>
    <m/>
    <m/>
    <x v="1495"/>
    <x v="2"/>
  </r>
  <r>
    <d v="2023-09-18T00:00:00"/>
    <x v="2"/>
    <x v="3"/>
    <x v="2"/>
    <x v="16"/>
    <n v="890"/>
    <n v="76"/>
    <x v="1496"/>
    <x v="2"/>
  </r>
  <r>
    <d v="2023-09-18T00:00:00"/>
    <x v="0"/>
    <x v="3"/>
    <x v="4"/>
    <x v="11"/>
    <n v="2970"/>
    <n v="19"/>
    <x v="844"/>
    <x v="2"/>
  </r>
  <r>
    <d v="2023-09-18T00:00:00"/>
    <x v="2"/>
    <x v="0"/>
    <x v="1"/>
    <x v="20"/>
    <n v="650"/>
    <n v="20"/>
    <x v="1455"/>
    <x v="2"/>
  </r>
  <r>
    <d v="2023-09-18T00:00:00"/>
    <x v="2"/>
    <x v="0"/>
    <x v="0"/>
    <x v="10"/>
    <n v="1230"/>
    <n v="79"/>
    <x v="808"/>
    <x v="2"/>
  </r>
  <r>
    <d v="2023-09-18T00:00:00"/>
    <x v="0"/>
    <x v="0"/>
    <x v="4"/>
    <x v="11"/>
    <n v="2970"/>
    <n v="25"/>
    <x v="1497"/>
    <x v="2"/>
  </r>
  <r>
    <d v="2023-09-18T00:00:00"/>
    <x v="0"/>
    <x v="4"/>
    <x v="2"/>
    <x v="16"/>
    <n v="890"/>
    <n v="91"/>
    <x v="1498"/>
    <x v="2"/>
  </r>
  <r>
    <d v="2023-09-18T00:00:00"/>
    <x v="0"/>
    <x v="4"/>
    <x v="2"/>
    <x v="9"/>
    <n v="690"/>
    <n v="91"/>
    <x v="1174"/>
    <x v="2"/>
  </r>
  <r>
    <d v="2023-09-18T00:00:00"/>
    <x v="2"/>
    <x v="4"/>
    <x v="4"/>
    <x v="13"/>
    <n v="1505"/>
    <n v="19"/>
    <x v="945"/>
    <x v="2"/>
  </r>
  <r>
    <d v="2023-09-18T00:00:00"/>
    <x v="1"/>
    <x v="5"/>
    <x v="1"/>
    <x v="1"/>
    <n v="1380"/>
    <n v="10"/>
    <x v="505"/>
    <x v="2"/>
  </r>
  <r>
    <d v="2023-09-18T00:00:00"/>
    <x v="0"/>
    <x v="5"/>
    <x v="1"/>
    <x v="19"/>
    <n v="540"/>
    <n v="48"/>
    <x v="364"/>
    <x v="2"/>
  </r>
  <r>
    <d v="2023-09-18T00:00:00"/>
    <x v="4"/>
    <x v="5"/>
    <x v="4"/>
    <x v="11"/>
    <n v="2970"/>
    <n v="72"/>
    <x v="492"/>
    <x v="2"/>
  </r>
  <r>
    <d v="2023-09-18T00:00:00"/>
    <x v="0"/>
    <x v="5"/>
    <x v="4"/>
    <x v="13"/>
    <n v="1505"/>
    <n v="7"/>
    <x v="1102"/>
    <x v="2"/>
  </r>
  <r>
    <d v="2023-09-18T00:00:00"/>
    <x v="1"/>
    <x v="6"/>
    <x v="1"/>
    <x v="20"/>
    <n v="650"/>
    <n v="24"/>
    <x v="337"/>
    <x v="2"/>
  </r>
  <r>
    <d v="2023-09-18T00:00:00"/>
    <x v="2"/>
    <x v="6"/>
    <x v="4"/>
    <x v="11"/>
    <n v="2970"/>
    <n v="74"/>
    <x v="188"/>
    <x v="2"/>
  </r>
  <r>
    <d v="2023-09-18T00:00:00"/>
    <x v="1"/>
    <x v="6"/>
    <x v="4"/>
    <x v="14"/>
    <n v="1670"/>
    <n v="36"/>
    <x v="500"/>
    <x v="2"/>
  </r>
  <r>
    <s v="18.09.2023 Итог"/>
    <x v="3"/>
    <x v="2"/>
    <x v="3"/>
    <x v="3"/>
    <m/>
    <m/>
    <x v="1499"/>
    <x v="2"/>
  </r>
  <r>
    <d v="2023-09-19T00:00:00"/>
    <x v="0"/>
    <x v="0"/>
    <x v="4"/>
    <x v="7"/>
    <n v="1760"/>
    <n v="45"/>
    <x v="30"/>
    <x v="2"/>
  </r>
  <r>
    <d v="2023-09-19T00:00:00"/>
    <x v="0"/>
    <x v="0"/>
    <x v="4"/>
    <x v="14"/>
    <n v="1670"/>
    <n v="100"/>
    <x v="1363"/>
    <x v="2"/>
  </r>
  <r>
    <d v="2023-09-19T00:00:00"/>
    <x v="4"/>
    <x v="1"/>
    <x v="2"/>
    <x v="12"/>
    <n v="715"/>
    <n v="95"/>
    <x v="1500"/>
    <x v="2"/>
  </r>
  <r>
    <d v="2023-09-19T00:00:00"/>
    <x v="0"/>
    <x v="1"/>
    <x v="4"/>
    <x v="14"/>
    <n v="1670"/>
    <n v="68"/>
    <x v="1410"/>
    <x v="2"/>
  </r>
  <r>
    <d v="2023-09-19T00:00:00"/>
    <x v="0"/>
    <x v="5"/>
    <x v="1"/>
    <x v="23"/>
    <n v="705"/>
    <n v="18"/>
    <x v="1412"/>
    <x v="2"/>
  </r>
  <r>
    <d v="2023-09-19T00:00:00"/>
    <x v="2"/>
    <x v="6"/>
    <x v="0"/>
    <x v="17"/>
    <n v="2400"/>
    <n v="81"/>
    <x v="589"/>
    <x v="2"/>
  </r>
  <r>
    <d v="2023-09-19T00:00:00"/>
    <x v="4"/>
    <x v="6"/>
    <x v="4"/>
    <x v="15"/>
    <n v="2460"/>
    <n v="6"/>
    <x v="154"/>
    <x v="2"/>
  </r>
  <r>
    <s v="19.09.2023 Итог"/>
    <x v="3"/>
    <x v="2"/>
    <x v="3"/>
    <x v="3"/>
    <m/>
    <m/>
    <x v="1501"/>
    <x v="2"/>
  </r>
  <r>
    <d v="2023-09-20T00:00:00"/>
    <x v="1"/>
    <x v="3"/>
    <x v="1"/>
    <x v="6"/>
    <n v="640"/>
    <n v="34"/>
    <x v="800"/>
    <x v="2"/>
  </r>
  <r>
    <d v="2023-09-20T00:00:00"/>
    <x v="4"/>
    <x v="3"/>
    <x v="4"/>
    <x v="11"/>
    <n v="2970"/>
    <n v="5"/>
    <x v="612"/>
    <x v="2"/>
  </r>
  <r>
    <d v="2023-09-20T00:00:00"/>
    <x v="2"/>
    <x v="0"/>
    <x v="1"/>
    <x v="1"/>
    <n v="1380"/>
    <n v="85"/>
    <x v="806"/>
    <x v="2"/>
  </r>
  <r>
    <d v="2023-09-20T00:00:00"/>
    <x v="0"/>
    <x v="0"/>
    <x v="1"/>
    <x v="1"/>
    <n v="1380"/>
    <n v="96"/>
    <x v="563"/>
    <x v="2"/>
  </r>
  <r>
    <d v="2023-09-20T00:00:00"/>
    <x v="4"/>
    <x v="0"/>
    <x v="0"/>
    <x v="5"/>
    <n v="930"/>
    <n v="41"/>
    <x v="796"/>
    <x v="2"/>
  </r>
  <r>
    <d v="2023-09-20T00:00:00"/>
    <x v="2"/>
    <x v="4"/>
    <x v="4"/>
    <x v="21"/>
    <n v="3205"/>
    <n v="23"/>
    <x v="1435"/>
    <x v="2"/>
  </r>
  <r>
    <d v="2023-09-20T00:00:00"/>
    <x v="0"/>
    <x v="1"/>
    <x v="1"/>
    <x v="20"/>
    <n v="650"/>
    <n v="51"/>
    <x v="516"/>
    <x v="2"/>
  </r>
  <r>
    <d v="2023-09-20T00:00:00"/>
    <x v="2"/>
    <x v="1"/>
    <x v="1"/>
    <x v="20"/>
    <n v="650"/>
    <n v="88"/>
    <x v="83"/>
    <x v="2"/>
  </r>
  <r>
    <d v="2023-09-20T00:00:00"/>
    <x v="4"/>
    <x v="1"/>
    <x v="0"/>
    <x v="17"/>
    <n v="2400"/>
    <n v="11"/>
    <x v="257"/>
    <x v="2"/>
  </r>
  <r>
    <d v="2023-09-20T00:00:00"/>
    <x v="1"/>
    <x v="5"/>
    <x v="2"/>
    <x v="12"/>
    <n v="715"/>
    <n v="79"/>
    <x v="240"/>
    <x v="2"/>
  </r>
  <r>
    <d v="2023-09-20T00:00:00"/>
    <x v="0"/>
    <x v="5"/>
    <x v="0"/>
    <x v="10"/>
    <n v="1230"/>
    <n v="50"/>
    <x v="1217"/>
    <x v="2"/>
  </r>
  <r>
    <d v="2023-09-20T00:00:00"/>
    <x v="2"/>
    <x v="6"/>
    <x v="0"/>
    <x v="24"/>
    <n v="2540"/>
    <n v="55"/>
    <x v="207"/>
    <x v="2"/>
  </r>
  <r>
    <s v="20.09.2023 Итог"/>
    <x v="3"/>
    <x v="2"/>
    <x v="3"/>
    <x v="3"/>
    <m/>
    <m/>
    <x v="1502"/>
    <x v="2"/>
  </r>
  <r>
    <d v="2023-09-21T00:00:00"/>
    <x v="0"/>
    <x v="3"/>
    <x v="1"/>
    <x v="1"/>
    <n v="1380"/>
    <n v="43"/>
    <x v="147"/>
    <x v="2"/>
  </r>
  <r>
    <d v="2023-09-21T00:00:00"/>
    <x v="2"/>
    <x v="3"/>
    <x v="2"/>
    <x v="2"/>
    <n v="325"/>
    <n v="45"/>
    <x v="1503"/>
    <x v="2"/>
  </r>
  <r>
    <d v="2023-09-21T00:00:00"/>
    <x v="0"/>
    <x v="3"/>
    <x v="0"/>
    <x v="0"/>
    <n v="1320"/>
    <n v="17"/>
    <x v="659"/>
    <x v="2"/>
  </r>
  <r>
    <d v="2023-09-21T00:00:00"/>
    <x v="0"/>
    <x v="3"/>
    <x v="0"/>
    <x v="24"/>
    <n v="2540"/>
    <n v="52"/>
    <x v="894"/>
    <x v="2"/>
  </r>
  <r>
    <d v="2023-09-21T00:00:00"/>
    <x v="2"/>
    <x v="0"/>
    <x v="1"/>
    <x v="23"/>
    <n v="705"/>
    <n v="40"/>
    <x v="1121"/>
    <x v="2"/>
  </r>
  <r>
    <d v="2023-09-21T00:00:00"/>
    <x v="1"/>
    <x v="0"/>
    <x v="0"/>
    <x v="24"/>
    <n v="2540"/>
    <n v="56"/>
    <x v="127"/>
    <x v="2"/>
  </r>
  <r>
    <d v="2023-09-21T00:00:00"/>
    <x v="2"/>
    <x v="0"/>
    <x v="0"/>
    <x v="22"/>
    <n v="1420"/>
    <n v="92"/>
    <x v="508"/>
    <x v="2"/>
  </r>
  <r>
    <d v="2023-09-21T00:00:00"/>
    <x v="2"/>
    <x v="0"/>
    <x v="0"/>
    <x v="17"/>
    <n v="2400"/>
    <n v="99"/>
    <x v="41"/>
    <x v="2"/>
  </r>
  <r>
    <d v="2023-09-21T00:00:00"/>
    <x v="2"/>
    <x v="1"/>
    <x v="1"/>
    <x v="6"/>
    <n v="640"/>
    <n v="84"/>
    <x v="1504"/>
    <x v="2"/>
  </r>
  <r>
    <d v="2023-09-21T00:00:00"/>
    <x v="4"/>
    <x v="1"/>
    <x v="0"/>
    <x v="5"/>
    <n v="930"/>
    <n v="83"/>
    <x v="1505"/>
    <x v="2"/>
  </r>
  <r>
    <d v="2023-09-21T00:00:00"/>
    <x v="4"/>
    <x v="1"/>
    <x v="4"/>
    <x v="7"/>
    <n v="1760"/>
    <n v="30"/>
    <x v="94"/>
    <x v="2"/>
  </r>
  <r>
    <d v="2023-09-21T00:00:00"/>
    <x v="2"/>
    <x v="5"/>
    <x v="2"/>
    <x v="9"/>
    <n v="690"/>
    <n v="9"/>
    <x v="24"/>
    <x v="2"/>
  </r>
  <r>
    <d v="2023-09-21T00:00:00"/>
    <x v="0"/>
    <x v="5"/>
    <x v="4"/>
    <x v="13"/>
    <n v="1505"/>
    <n v="47"/>
    <x v="1506"/>
    <x v="2"/>
  </r>
  <r>
    <d v="2023-09-21T00:00:00"/>
    <x v="2"/>
    <x v="6"/>
    <x v="1"/>
    <x v="19"/>
    <n v="540"/>
    <n v="16"/>
    <x v="431"/>
    <x v="2"/>
  </r>
  <r>
    <d v="2023-09-21T00:00:00"/>
    <x v="1"/>
    <x v="6"/>
    <x v="4"/>
    <x v="14"/>
    <n v="1670"/>
    <n v="29"/>
    <x v="1507"/>
    <x v="2"/>
  </r>
  <r>
    <s v="21.09.2023 Итог"/>
    <x v="3"/>
    <x v="2"/>
    <x v="3"/>
    <x v="3"/>
    <m/>
    <m/>
    <x v="1508"/>
    <x v="2"/>
  </r>
  <r>
    <d v="2023-09-22T00:00:00"/>
    <x v="0"/>
    <x v="3"/>
    <x v="4"/>
    <x v="13"/>
    <n v="1505"/>
    <n v="77"/>
    <x v="1083"/>
    <x v="2"/>
  </r>
  <r>
    <d v="2023-09-22T00:00:00"/>
    <x v="2"/>
    <x v="0"/>
    <x v="1"/>
    <x v="19"/>
    <n v="540"/>
    <n v="76"/>
    <x v="709"/>
    <x v="2"/>
  </r>
  <r>
    <d v="2023-09-22T00:00:00"/>
    <x v="2"/>
    <x v="0"/>
    <x v="1"/>
    <x v="23"/>
    <n v="705"/>
    <n v="60"/>
    <x v="1509"/>
    <x v="2"/>
  </r>
  <r>
    <d v="2023-09-22T00:00:00"/>
    <x v="1"/>
    <x v="0"/>
    <x v="0"/>
    <x v="17"/>
    <n v="2400"/>
    <n v="93"/>
    <x v="1510"/>
    <x v="2"/>
  </r>
  <r>
    <d v="2023-09-22T00:00:00"/>
    <x v="2"/>
    <x v="4"/>
    <x v="0"/>
    <x v="5"/>
    <n v="930"/>
    <n v="17"/>
    <x v="1511"/>
    <x v="2"/>
  </r>
  <r>
    <d v="2023-09-22T00:00:00"/>
    <x v="0"/>
    <x v="4"/>
    <x v="0"/>
    <x v="24"/>
    <n v="2540"/>
    <n v="14"/>
    <x v="1512"/>
    <x v="2"/>
  </r>
  <r>
    <d v="2023-09-22T00:00:00"/>
    <x v="0"/>
    <x v="5"/>
    <x v="0"/>
    <x v="22"/>
    <n v="1420"/>
    <n v="25"/>
    <x v="1513"/>
    <x v="2"/>
  </r>
  <r>
    <d v="2023-09-22T00:00:00"/>
    <x v="2"/>
    <x v="5"/>
    <x v="0"/>
    <x v="22"/>
    <n v="1420"/>
    <n v="15"/>
    <x v="1514"/>
    <x v="2"/>
  </r>
  <r>
    <d v="2023-09-22T00:00:00"/>
    <x v="2"/>
    <x v="5"/>
    <x v="4"/>
    <x v="11"/>
    <n v="2970"/>
    <n v="72"/>
    <x v="492"/>
    <x v="2"/>
  </r>
  <r>
    <d v="2023-09-22T00:00:00"/>
    <x v="4"/>
    <x v="6"/>
    <x v="1"/>
    <x v="20"/>
    <n v="650"/>
    <n v="35"/>
    <x v="1515"/>
    <x v="2"/>
  </r>
  <r>
    <d v="2023-09-22T00:00:00"/>
    <x v="1"/>
    <x v="6"/>
    <x v="2"/>
    <x v="9"/>
    <n v="690"/>
    <n v="57"/>
    <x v="1278"/>
    <x v="2"/>
  </r>
  <r>
    <d v="2023-09-22T00:00:00"/>
    <x v="1"/>
    <x v="6"/>
    <x v="2"/>
    <x v="2"/>
    <n v="325"/>
    <n v="42"/>
    <x v="327"/>
    <x v="2"/>
  </r>
  <r>
    <d v="2023-09-22T00:00:00"/>
    <x v="1"/>
    <x v="6"/>
    <x v="0"/>
    <x v="0"/>
    <n v="1320"/>
    <n v="72"/>
    <x v="1516"/>
    <x v="2"/>
  </r>
  <r>
    <s v="22.09.2023 Итог"/>
    <x v="3"/>
    <x v="2"/>
    <x v="3"/>
    <x v="3"/>
    <m/>
    <m/>
    <x v="1517"/>
    <x v="2"/>
  </r>
  <r>
    <d v="2023-09-23T00:00:00"/>
    <x v="4"/>
    <x v="3"/>
    <x v="1"/>
    <x v="1"/>
    <n v="1380"/>
    <n v="83"/>
    <x v="939"/>
    <x v="2"/>
  </r>
  <r>
    <d v="2023-09-23T00:00:00"/>
    <x v="4"/>
    <x v="3"/>
    <x v="2"/>
    <x v="16"/>
    <n v="890"/>
    <n v="30"/>
    <x v="1427"/>
    <x v="2"/>
  </r>
  <r>
    <d v="2023-09-23T00:00:00"/>
    <x v="2"/>
    <x v="3"/>
    <x v="4"/>
    <x v="21"/>
    <n v="3205"/>
    <n v="43"/>
    <x v="949"/>
    <x v="2"/>
  </r>
  <r>
    <d v="2023-09-23T00:00:00"/>
    <x v="4"/>
    <x v="3"/>
    <x v="4"/>
    <x v="21"/>
    <n v="3205"/>
    <n v="17"/>
    <x v="608"/>
    <x v="2"/>
  </r>
  <r>
    <d v="2023-09-23T00:00:00"/>
    <x v="1"/>
    <x v="0"/>
    <x v="4"/>
    <x v="15"/>
    <n v="2460"/>
    <n v="8"/>
    <x v="254"/>
    <x v="2"/>
  </r>
  <r>
    <d v="2023-09-23T00:00:00"/>
    <x v="0"/>
    <x v="4"/>
    <x v="1"/>
    <x v="18"/>
    <n v="650"/>
    <n v="71"/>
    <x v="161"/>
    <x v="2"/>
  </r>
  <r>
    <d v="2023-09-23T00:00:00"/>
    <x v="0"/>
    <x v="4"/>
    <x v="2"/>
    <x v="12"/>
    <n v="715"/>
    <n v="88"/>
    <x v="1013"/>
    <x v="2"/>
  </r>
  <r>
    <d v="2023-09-23T00:00:00"/>
    <x v="1"/>
    <x v="1"/>
    <x v="1"/>
    <x v="19"/>
    <n v="540"/>
    <n v="65"/>
    <x v="158"/>
    <x v="2"/>
  </r>
  <r>
    <d v="2023-09-23T00:00:00"/>
    <x v="2"/>
    <x v="1"/>
    <x v="2"/>
    <x v="8"/>
    <n v="460"/>
    <n v="13"/>
    <x v="1518"/>
    <x v="2"/>
  </r>
  <r>
    <d v="2023-09-23T00:00:00"/>
    <x v="1"/>
    <x v="1"/>
    <x v="0"/>
    <x v="24"/>
    <n v="2540"/>
    <n v="97"/>
    <x v="1003"/>
    <x v="2"/>
  </r>
  <r>
    <d v="2023-09-23T00:00:00"/>
    <x v="1"/>
    <x v="5"/>
    <x v="4"/>
    <x v="7"/>
    <n v="1760"/>
    <n v="41"/>
    <x v="363"/>
    <x v="2"/>
  </r>
  <r>
    <s v="23.09.2023 Итог"/>
    <x v="3"/>
    <x v="2"/>
    <x v="3"/>
    <x v="3"/>
    <m/>
    <m/>
    <x v="1519"/>
    <x v="2"/>
  </r>
  <r>
    <d v="2023-09-24T00:00:00"/>
    <x v="0"/>
    <x v="3"/>
    <x v="1"/>
    <x v="6"/>
    <n v="640"/>
    <n v="57"/>
    <x v="349"/>
    <x v="2"/>
  </r>
  <r>
    <d v="2023-09-24T00:00:00"/>
    <x v="0"/>
    <x v="0"/>
    <x v="1"/>
    <x v="23"/>
    <n v="705"/>
    <n v="28"/>
    <x v="1520"/>
    <x v="2"/>
  </r>
  <r>
    <d v="2023-09-24T00:00:00"/>
    <x v="1"/>
    <x v="0"/>
    <x v="2"/>
    <x v="2"/>
    <n v="325"/>
    <n v="17"/>
    <x v="38"/>
    <x v="2"/>
  </r>
  <r>
    <d v="2023-09-24T00:00:00"/>
    <x v="4"/>
    <x v="1"/>
    <x v="1"/>
    <x v="20"/>
    <n v="650"/>
    <n v="26"/>
    <x v="619"/>
    <x v="2"/>
  </r>
  <r>
    <d v="2023-09-24T00:00:00"/>
    <x v="2"/>
    <x v="1"/>
    <x v="4"/>
    <x v="7"/>
    <n v="1760"/>
    <n v="45"/>
    <x v="30"/>
    <x v="2"/>
  </r>
  <r>
    <d v="2023-09-24T00:00:00"/>
    <x v="4"/>
    <x v="5"/>
    <x v="1"/>
    <x v="23"/>
    <n v="705"/>
    <n v="35"/>
    <x v="1478"/>
    <x v="2"/>
  </r>
  <r>
    <d v="2023-09-24T00:00:00"/>
    <x v="0"/>
    <x v="5"/>
    <x v="2"/>
    <x v="9"/>
    <n v="690"/>
    <n v="25"/>
    <x v="1386"/>
    <x v="2"/>
  </r>
  <r>
    <d v="2023-09-24T00:00:00"/>
    <x v="0"/>
    <x v="6"/>
    <x v="1"/>
    <x v="20"/>
    <n v="650"/>
    <n v="28"/>
    <x v="568"/>
    <x v="2"/>
  </r>
  <r>
    <d v="2023-09-24T00:00:00"/>
    <x v="0"/>
    <x v="6"/>
    <x v="2"/>
    <x v="2"/>
    <n v="325"/>
    <n v="48"/>
    <x v="337"/>
    <x v="2"/>
  </r>
  <r>
    <d v="2023-09-24T00:00:00"/>
    <x v="1"/>
    <x v="6"/>
    <x v="2"/>
    <x v="2"/>
    <n v="325"/>
    <n v="32"/>
    <x v="673"/>
    <x v="2"/>
  </r>
  <r>
    <d v="2023-09-24T00:00:00"/>
    <x v="4"/>
    <x v="6"/>
    <x v="4"/>
    <x v="13"/>
    <n v="1505"/>
    <n v="93"/>
    <x v="1449"/>
    <x v="2"/>
  </r>
  <r>
    <s v="24.09.2023 Итог"/>
    <x v="3"/>
    <x v="2"/>
    <x v="3"/>
    <x v="3"/>
    <m/>
    <m/>
    <x v="1521"/>
    <x v="2"/>
  </r>
  <r>
    <d v="2023-09-25T00:00:00"/>
    <x v="4"/>
    <x v="1"/>
    <x v="1"/>
    <x v="20"/>
    <n v="650"/>
    <n v="26"/>
    <x v="619"/>
    <x v="2"/>
  </r>
  <r>
    <d v="2023-09-25T00:00:00"/>
    <x v="0"/>
    <x v="1"/>
    <x v="0"/>
    <x v="10"/>
    <n v="1230"/>
    <n v="40"/>
    <x v="369"/>
    <x v="2"/>
  </r>
  <r>
    <d v="2023-09-25T00:00:00"/>
    <x v="0"/>
    <x v="1"/>
    <x v="4"/>
    <x v="15"/>
    <n v="2460"/>
    <n v="92"/>
    <x v="869"/>
    <x v="2"/>
  </r>
  <r>
    <s v="25.09.2023 Итог"/>
    <x v="3"/>
    <x v="2"/>
    <x v="3"/>
    <x v="3"/>
    <m/>
    <m/>
    <x v="1522"/>
    <x v="2"/>
  </r>
  <r>
    <d v="2023-09-26T00:00:00"/>
    <x v="2"/>
    <x v="3"/>
    <x v="4"/>
    <x v="14"/>
    <n v="1670"/>
    <n v="9"/>
    <x v="1523"/>
    <x v="2"/>
  </r>
  <r>
    <d v="2023-09-26T00:00:00"/>
    <x v="4"/>
    <x v="1"/>
    <x v="4"/>
    <x v="15"/>
    <n v="2460"/>
    <n v="53"/>
    <x v="1524"/>
    <x v="2"/>
  </r>
  <r>
    <d v="2023-09-26T00:00:00"/>
    <x v="1"/>
    <x v="5"/>
    <x v="1"/>
    <x v="20"/>
    <n v="650"/>
    <n v="82"/>
    <x v="1525"/>
    <x v="2"/>
  </r>
  <r>
    <d v="2023-09-26T00:00:00"/>
    <x v="1"/>
    <x v="5"/>
    <x v="0"/>
    <x v="17"/>
    <n v="2400"/>
    <n v="43"/>
    <x v="978"/>
    <x v="2"/>
  </r>
  <r>
    <d v="2023-09-26T00:00:00"/>
    <x v="0"/>
    <x v="5"/>
    <x v="4"/>
    <x v="15"/>
    <n v="2460"/>
    <n v="94"/>
    <x v="1107"/>
    <x v="2"/>
  </r>
  <r>
    <d v="2023-09-26T00:00:00"/>
    <x v="0"/>
    <x v="6"/>
    <x v="0"/>
    <x v="24"/>
    <n v="2540"/>
    <n v="8"/>
    <x v="1526"/>
    <x v="2"/>
  </r>
  <r>
    <d v="2023-09-26T00:00:00"/>
    <x v="0"/>
    <x v="6"/>
    <x v="4"/>
    <x v="11"/>
    <n v="2970"/>
    <n v="74"/>
    <x v="188"/>
    <x v="2"/>
  </r>
  <r>
    <s v="26.09.2023 Итог"/>
    <x v="3"/>
    <x v="2"/>
    <x v="3"/>
    <x v="3"/>
    <m/>
    <m/>
    <x v="1527"/>
    <x v="2"/>
  </r>
  <r>
    <d v="2023-09-27T00:00:00"/>
    <x v="0"/>
    <x v="3"/>
    <x v="1"/>
    <x v="18"/>
    <n v="650"/>
    <n v="60"/>
    <x v="1528"/>
    <x v="2"/>
  </r>
  <r>
    <d v="2023-09-27T00:00:00"/>
    <x v="0"/>
    <x v="4"/>
    <x v="2"/>
    <x v="8"/>
    <n v="460"/>
    <n v="39"/>
    <x v="275"/>
    <x v="2"/>
  </r>
  <r>
    <d v="2023-09-27T00:00:00"/>
    <x v="0"/>
    <x v="4"/>
    <x v="0"/>
    <x v="0"/>
    <n v="1320"/>
    <n v="82"/>
    <x v="456"/>
    <x v="2"/>
  </r>
  <r>
    <d v="2023-09-27T00:00:00"/>
    <x v="4"/>
    <x v="1"/>
    <x v="1"/>
    <x v="23"/>
    <n v="705"/>
    <n v="48"/>
    <x v="1074"/>
    <x v="2"/>
  </r>
  <r>
    <d v="2023-09-27T00:00:00"/>
    <x v="2"/>
    <x v="1"/>
    <x v="2"/>
    <x v="12"/>
    <n v="715"/>
    <n v="46"/>
    <x v="1529"/>
    <x v="2"/>
  </r>
  <r>
    <d v="2023-09-27T00:00:00"/>
    <x v="0"/>
    <x v="5"/>
    <x v="4"/>
    <x v="21"/>
    <n v="3205"/>
    <n v="97"/>
    <x v="259"/>
    <x v="2"/>
  </r>
  <r>
    <d v="2023-09-27T00:00:00"/>
    <x v="1"/>
    <x v="6"/>
    <x v="0"/>
    <x v="17"/>
    <n v="2400"/>
    <n v="96"/>
    <x v="1281"/>
    <x v="2"/>
  </r>
  <r>
    <s v="27.09.2023 Итог"/>
    <x v="3"/>
    <x v="2"/>
    <x v="3"/>
    <x v="3"/>
    <m/>
    <m/>
    <x v="1530"/>
    <x v="2"/>
  </r>
  <r>
    <d v="2023-09-28T00:00:00"/>
    <x v="2"/>
    <x v="3"/>
    <x v="1"/>
    <x v="19"/>
    <n v="540"/>
    <n v="17"/>
    <x v="1531"/>
    <x v="2"/>
  </r>
  <r>
    <d v="2023-09-28T00:00:00"/>
    <x v="2"/>
    <x v="3"/>
    <x v="1"/>
    <x v="19"/>
    <n v="540"/>
    <n v="83"/>
    <x v="629"/>
    <x v="2"/>
  </r>
  <r>
    <d v="2023-09-28T00:00:00"/>
    <x v="2"/>
    <x v="3"/>
    <x v="2"/>
    <x v="4"/>
    <n v="450"/>
    <n v="74"/>
    <x v="124"/>
    <x v="2"/>
  </r>
  <r>
    <d v="2023-09-28T00:00:00"/>
    <x v="1"/>
    <x v="0"/>
    <x v="2"/>
    <x v="2"/>
    <n v="325"/>
    <n v="97"/>
    <x v="785"/>
    <x v="2"/>
  </r>
  <r>
    <d v="2023-09-28T00:00:00"/>
    <x v="0"/>
    <x v="4"/>
    <x v="1"/>
    <x v="23"/>
    <n v="705"/>
    <n v="29"/>
    <x v="799"/>
    <x v="2"/>
  </r>
  <r>
    <d v="2023-09-28T00:00:00"/>
    <x v="0"/>
    <x v="4"/>
    <x v="0"/>
    <x v="22"/>
    <n v="1420"/>
    <n v="30"/>
    <x v="1532"/>
    <x v="2"/>
  </r>
  <r>
    <d v="2023-09-28T00:00:00"/>
    <x v="4"/>
    <x v="1"/>
    <x v="0"/>
    <x v="5"/>
    <n v="930"/>
    <n v="40"/>
    <x v="372"/>
    <x v="2"/>
  </r>
  <r>
    <d v="2023-09-28T00:00:00"/>
    <x v="0"/>
    <x v="5"/>
    <x v="2"/>
    <x v="16"/>
    <n v="890"/>
    <n v="36"/>
    <x v="365"/>
    <x v="2"/>
  </r>
  <r>
    <d v="2023-09-28T00:00:00"/>
    <x v="0"/>
    <x v="5"/>
    <x v="4"/>
    <x v="14"/>
    <n v="1670"/>
    <n v="22"/>
    <x v="1533"/>
    <x v="2"/>
  </r>
  <r>
    <d v="2023-09-28T00:00:00"/>
    <x v="2"/>
    <x v="6"/>
    <x v="1"/>
    <x v="18"/>
    <n v="650"/>
    <n v="67"/>
    <x v="498"/>
    <x v="2"/>
  </r>
  <r>
    <s v="28.09.2023 Итог"/>
    <x v="3"/>
    <x v="2"/>
    <x v="3"/>
    <x v="3"/>
    <m/>
    <m/>
    <x v="1534"/>
    <x v="2"/>
  </r>
  <r>
    <d v="2023-09-29T00:00:00"/>
    <x v="4"/>
    <x v="3"/>
    <x v="1"/>
    <x v="1"/>
    <n v="1380"/>
    <n v="58"/>
    <x v="618"/>
    <x v="2"/>
  </r>
  <r>
    <d v="2023-09-29T00:00:00"/>
    <x v="0"/>
    <x v="3"/>
    <x v="0"/>
    <x v="10"/>
    <n v="1230"/>
    <n v="20"/>
    <x v="864"/>
    <x v="2"/>
  </r>
  <r>
    <d v="2023-09-29T00:00:00"/>
    <x v="4"/>
    <x v="4"/>
    <x v="4"/>
    <x v="14"/>
    <n v="1670"/>
    <n v="67"/>
    <x v="339"/>
    <x v="2"/>
  </r>
  <r>
    <d v="2023-09-29T00:00:00"/>
    <x v="1"/>
    <x v="1"/>
    <x v="1"/>
    <x v="23"/>
    <n v="705"/>
    <n v="59"/>
    <x v="417"/>
    <x v="2"/>
  </r>
  <r>
    <d v="2023-09-29T00:00:00"/>
    <x v="0"/>
    <x v="5"/>
    <x v="2"/>
    <x v="2"/>
    <n v="325"/>
    <n v="52"/>
    <x v="619"/>
    <x v="2"/>
  </r>
  <r>
    <d v="2023-09-29T00:00:00"/>
    <x v="1"/>
    <x v="5"/>
    <x v="0"/>
    <x v="10"/>
    <n v="1230"/>
    <n v="22"/>
    <x v="131"/>
    <x v="2"/>
  </r>
  <r>
    <d v="2023-09-29T00:00:00"/>
    <x v="2"/>
    <x v="5"/>
    <x v="0"/>
    <x v="0"/>
    <n v="1320"/>
    <n v="5"/>
    <x v="182"/>
    <x v="2"/>
  </r>
  <r>
    <d v="2023-09-29T00:00:00"/>
    <x v="1"/>
    <x v="6"/>
    <x v="1"/>
    <x v="20"/>
    <n v="650"/>
    <n v="25"/>
    <x v="45"/>
    <x v="2"/>
  </r>
  <r>
    <s v="29.09.2023 Итог"/>
    <x v="3"/>
    <x v="2"/>
    <x v="3"/>
    <x v="3"/>
    <m/>
    <m/>
    <x v="1535"/>
    <x v="2"/>
  </r>
  <r>
    <d v="2023-09-30T00:00:00"/>
    <x v="2"/>
    <x v="3"/>
    <x v="0"/>
    <x v="0"/>
    <n v="1320"/>
    <n v="11"/>
    <x v="84"/>
    <x v="2"/>
  </r>
  <r>
    <d v="2023-09-30T00:00:00"/>
    <x v="0"/>
    <x v="3"/>
    <x v="0"/>
    <x v="24"/>
    <n v="2540"/>
    <n v="86"/>
    <x v="1536"/>
    <x v="2"/>
  </r>
  <r>
    <d v="2023-09-30T00:00:00"/>
    <x v="2"/>
    <x v="3"/>
    <x v="0"/>
    <x v="10"/>
    <n v="1230"/>
    <n v="42"/>
    <x v="930"/>
    <x v="2"/>
  </r>
  <r>
    <d v="2023-09-30T00:00:00"/>
    <x v="2"/>
    <x v="3"/>
    <x v="4"/>
    <x v="14"/>
    <n v="1670"/>
    <n v="73"/>
    <x v="1327"/>
    <x v="2"/>
  </r>
  <r>
    <d v="2023-09-30T00:00:00"/>
    <x v="2"/>
    <x v="0"/>
    <x v="1"/>
    <x v="20"/>
    <n v="650"/>
    <n v="12"/>
    <x v="625"/>
    <x v="2"/>
  </r>
  <r>
    <d v="2023-09-30T00:00:00"/>
    <x v="4"/>
    <x v="0"/>
    <x v="2"/>
    <x v="12"/>
    <n v="715"/>
    <n v="36"/>
    <x v="1537"/>
    <x v="2"/>
  </r>
  <r>
    <d v="2023-09-30T00:00:00"/>
    <x v="4"/>
    <x v="0"/>
    <x v="2"/>
    <x v="16"/>
    <n v="890"/>
    <n v="75"/>
    <x v="54"/>
    <x v="2"/>
  </r>
  <r>
    <d v="2023-09-30T00:00:00"/>
    <x v="2"/>
    <x v="0"/>
    <x v="4"/>
    <x v="13"/>
    <n v="1505"/>
    <n v="8"/>
    <x v="509"/>
    <x v="2"/>
  </r>
  <r>
    <d v="2023-09-30T00:00:00"/>
    <x v="1"/>
    <x v="4"/>
    <x v="1"/>
    <x v="20"/>
    <n v="650"/>
    <n v="45"/>
    <x v="1093"/>
    <x v="2"/>
  </r>
  <r>
    <d v="2023-09-30T00:00:00"/>
    <x v="0"/>
    <x v="4"/>
    <x v="0"/>
    <x v="10"/>
    <n v="1230"/>
    <n v="28"/>
    <x v="555"/>
    <x v="2"/>
  </r>
  <r>
    <d v="2023-09-30T00:00:00"/>
    <x v="2"/>
    <x v="4"/>
    <x v="4"/>
    <x v="15"/>
    <n v="2460"/>
    <n v="32"/>
    <x v="424"/>
    <x v="2"/>
  </r>
  <r>
    <d v="2023-09-30T00:00:00"/>
    <x v="1"/>
    <x v="1"/>
    <x v="1"/>
    <x v="23"/>
    <n v="705"/>
    <n v="44"/>
    <x v="1538"/>
    <x v="2"/>
  </r>
  <r>
    <d v="2023-09-30T00:00:00"/>
    <x v="4"/>
    <x v="5"/>
    <x v="2"/>
    <x v="2"/>
    <n v="325"/>
    <n v="43"/>
    <x v="291"/>
    <x v="2"/>
  </r>
  <r>
    <d v="2023-09-30T00:00:00"/>
    <x v="0"/>
    <x v="5"/>
    <x v="2"/>
    <x v="4"/>
    <n v="450"/>
    <n v="17"/>
    <x v="1539"/>
    <x v="2"/>
  </r>
  <r>
    <s v="30.09.2023 Итог"/>
    <x v="3"/>
    <x v="2"/>
    <x v="3"/>
    <x v="3"/>
    <m/>
    <m/>
    <x v="1540"/>
    <x v="3"/>
  </r>
  <r>
    <d v="2023-10-01T00:00:00"/>
    <x v="2"/>
    <x v="3"/>
    <x v="2"/>
    <x v="9"/>
    <n v="690"/>
    <n v="13"/>
    <x v="1011"/>
    <x v="4"/>
  </r>
  <r>
    <d v="2023-10-01T00:00:00"/>
    <x v="2"/>
    <x v="3"/>
    <x v="0"/>
    <x v="10"/>
    <n v="1230"/>
    <n v="76"/>
    <x v="485"/>
    <x v="4"/>
  </r>
  <r>
    <d v="2023-10-01T00:00:00"/>
    <x v="0"/>
    <x v="3"/>
    <x v="0"/>
    <x v="0"/>
    <n v="1320"/>
    <n v="39"/>
    <x v="623"/>
    <x v="4"/>
  </r>
  <r>
    <d v="2023-10-01T00:00:00"/>
    <x v="1"/>
    <x v="0"/>
    <x v="2"/>
    <x v="12"/>
    <n v="715"/>
    <n v="36"/>
    <x v="1537"/>
    <x v="4"/>
  </r>
  <r>
    <d v="2023-10-01T00:00:00"/>
    <x v="0"/>
    <x v="0"/>
    <x v="0"/>
    <x v="5"/>
    <n v="930"/>
    <n v="25"/>
    <x v="212"/>
    <x v="4"/>
  </r>
  <r>
    <d v="2023-10-01T00:00:00"/>
    <x v="0"/>
    <x v="0"/>
    <x v="4"/>
    <x v="13"/>
    <n v="1505"/>
    <n v="87"/>
    <x v="484"/>
    <x v="4"/>
  </r>
  <r>
    <d v="2023-10-01T00:00:00"/>
    <x v="4"/>
    <x v="0"/>
    <x v="4"/>
    <x v="13"/>
    <n v="1505"/>
    <n v="11"/>
    <x v="1541"/>
    <x v="4"/>
  </r>
  <r>
    <d v="2023-10-01T00:00:00"/>
    <x v="4"/>
    <x v="4"/>
    <x v="0"/>
    <x v="10"/>
    <n v="1230"/>
    <n v="7"/>
    <x v="1542"/>
    <x v="4"/>
  </r>
  <r>
    <d v="2023-10-01T00:00:00"/>
    <x v="4"/>
    <x v="4"/>
    <x v="0"/>
    <x v="5"/>
    <n v="930"/>
    <n v="49"/>
    <x v="899"/>
    <x v="4"/>
  </r>
  <r>
    <d v="2023-10-01T00:00:00"/>
    <x v="0"/>
    <x v="1"/>
    <x v="1"/>
    <x v="20"/>
    <n v="650"/>
    <n v="89"/>
    <x v="218"/>
    <x v="4"/>
  </r>
  <r>
    <d v="2023-10-01T00:00:00"/>
    <x v="1"/>
    <x v="6"/>
    <x v="2"/>
    <x v="4"/>
    <n v="450"/>
    <n v="28"/>
    <x v="1163"/>
    <x v="4"/>
  </r>
  <r>
    <d v="2023-10-01T00:00:00"/>
    <x v="1"/>
    <x v="6"/>
    <x v="4"/>
    <x v="14"/>
    <n v="1670"/>
    <n v="99"/>
    <x v="293"/>
    <x v="4"/>
  </r>
  <r>
    <s v="01.10.2023 Итог"/>
    <x v="3"/>
    <x v="2"/>
    <x v="3"/>
    <x v="3"/>
    <m/>
    <m/>
    <x v="1543"/>
    <x v="4"/>
  </r>
  <r>
    <d v="2023-10-02T00:00:00"/>
    <x v="2"/>
    <x v="3"/>
    <x v="2"/>
    <x v="2"/>
    <n v="325"/>
    <n v="99"/>
    <x v="807"/>
    <x v="4"/>
  </r>
  <r>
    <d v="2023-10-02T00:00:00"/>
    <x v="4"/>
    <x v="3"/>
    <x v="0"/>
    <x v="0"/>
    <n v="1320"/>
    <n v="60"/>
    <x v="30"/>
    <x v="4"/>
  </r>
  <r>
    <d v="2023-10-02T00:00:00"/>
    <x v="1"/>
    <x v="0"/>
    <x v="2"/>
    <x v="2"/>
    <n v="325"/>
    <n v="91"/>
    <x v="1544"/>
    <x v="4"/>
  </r>
  <r>
    <d v="2023-10-02T00:00:00"/>
    <x v="0"/>
    <x v="0"/>
    <x v="4"/>
    <x v="11"/>
    <n v="2970"/>
    <n v="52"/>
    <x v="1545"/>
    <x v="4"/>
  </r>
  <r>
    <d v="2023-10-02T00:00:00"/>
    <x v="4"/>
    <x v="4"/>
    <x v="0"/>
    <x v="22"/>
    <n v="1420"/>
    <n v="53"/>
    <x v="411"/>
    <x v="4"/>
  </r>
  <r>
    <d v="2023-10-02T00:00:00"/>
    <x v="4"/>
    <x v="1"/>
    <x v="4"/>
    <x v="21"/>
    <n v="3205"/>
    <n v="82"/>
    <x v="231"/>
    <x v="4"/>
  </r>
  <r>
    <d v="2023-10-02T00:00:00"/>
    <x v="0"/>
    <x v="5"/>
    <x v="0"/>
    <x v="24"/>
    <n v="2540"/>
    <n v="29"/>
    <x v="358"/>
    <x v="4"/>
  </r>
  <r>
    <d v="2023-10-02T00:00:00"/>
    <x v="4"/>
    <x v="6"/>
    <x v="0"/>
    <x v="17"/>
    <n v="2400"/>
    <n v="38"/>
    <x v="1198"/>
    <x v="4"/>
  </r>
  <r>
    <s v="02.10.2023 Итог"/>
    <x v="3"/>
    <x v="2"/>
    <x v="3"/>
    <x v="3"/>
    <m/>
    <m/>
    <x v="1546"/>
    <x v="4"/>
  </r>
  <r>
    <d v="2023-10-03T00:00:00"/>
    <x v="2"/>
    <x v="3"/>
    <x v="1"/>
    <x v="6"/>
    <n v="640"/>
    <n v="22"/>
    <x v="904"/>
    <x v="4"/>
  </r>
  <r>
    <d v="2023-10-03T00:00:00"/>
    <x v="0"/>
    <x v="3"/>
    <x v="0"/>
    <x v="17"/>
    <n v="2400"/>
    <n v="77"/>
    <x v="1547"/>
    <x v="4"/>
  </r>
  <r>
    <d v="2023-10-03T00:00:00"/>
    <x v="4"/>
    <x v="3"/>
    <x v="0"/>
    <x v="5"/>
    <n v="930"/>
    <n v="41"/>
    <x v="796"/>
    <x v="4"/>
  </r>
  <r>
    <d v="2023-10-03T00:00:00"/>
    <x v="4"/>
    <x v="3"/>
    <x v="4"/>
    <x v="21"/>
    <n v="3205"/>
    <n v="57"/>
    <x v="1080"/>
    <x v="4"/>
  </r>
  <r>
    <d v="2023-10-03T00:00:00"/>
    <x v="4"/>
    <x v="4"/>
    <x v="0"/>
    <x v="0"/>
    <n v="1320"/>
    <n v="29"/>
    <x v="907"/>
    <x v="4"/>
  </r>
  <r>
    <d v="2023-10-03T00:00:00"/>
    <x v="0"/>
    <x v="4"/>
    <x v="0"/>
    <x v="22"/>
    <n v="1420"/>
    <n v="88"/>
    <x v="444"/>
    <x v="4"/>
  </r>
  <r>
    <d v="2023-10-03T00:00:00"/>
    <x v="0"/>
    <x v="1"/>
    <x v="0"/>
    <x v="0"/>
    <n v="1320"/>
    <n v="70"/>
    <x v="918"/>
    <x v="4"/>
  </r>
  <r>
    <d v="2023-10-03T00:00:00"/>
    <x v="0"/>
    <x v="1"/>
    <x v="0"/>
    <x v="24"/>
    <n v="2540"/>
    <n v="15"/>
    <x v="1243"/>
    <x v="4"/>
  </r>
  <r>
    <d v="2023-10-03T00:00:00"/>
    <x v="4"/>
    <x v="5"/>
    <x v="0"/>
    <x v="5"/>
    <n v="930"/>
    <n v="70"/>
    <x v="1223"/>
    <x v="4"/>
  </r>
  <r>
    <d v="2023-10-03T00:00:00"/>
    <x v="2"/>
    <x v="5"/>
    <x v="0"/>
    <x v="22"/>
    <n v="1420"/>
    <n v="68"/>
    <x v="443"/>
    <x v="4"/>
  </r>
  <r>
    <d v="2023-10-03T00:00:00"/>
    <x v="2"/>
    <x v="6"/>
    <x v="2"/>
    <x v="2"/>
    <n v="325"/>
    <n v="57"/>
    <x v="1206"/>
    <x v="4"/>
  </r>
  <r>
    <s v="03.10.2023 Итог"/>
    <x v="3"/>
    <x v="2"/>
    <x v="3"/>
    <x v="3"/>
    <m/>
    <m/>
    <x v="1548"/>
    <x v="4"/>
  </r>
  <r>
    <d v="2023-10-04T00:00:00"/>
    <x v="2"/>
    <x v="0"/>
    <x v="2"/>
    <x v="4"/>
    <n v="450"/>
    <n v="99"/>
    <x v="414"/>
    <x v="4"/>
  </r>
  <r>
    <d v="2023-10-04T00:00:00"/>
    <x v="0"/>
    <x v="4"/>
    <x v="2"/>
    <x v="8"/>
    <n v="460"/>
    <n v="97"/>
    <x v="1549"/>
    <x v="4"/>
  </r>
  <r>
    <d v="2023-10-04T00:00:00"/>
    <x v="1"/>
    <x v="4"/>
    <x v="2"/>
    <x v="8"/>
    <n v="460"/>
    <n v="48"/>
    <x v="253"/>
    <x v="4"/>
  </r>
  <r>
    <d v="2023-10-04T00:00:00"/>
    <x v="0"/>
    <x v="1"/>
    <x v="2"/>
    <x v="4"/>
    <n v="450"/>
    <n v="53"/>
    <x v="1254"/>
    <x v="4"/>
  </r>
  <r>
    <d v="2023-10-04T00:00:00"/>
    <x v="2"/>
    <x v="1"/>
    <x v="0"/>
    <x v="5"/>
    <n v="930"/>
    <n v="100"/>
    <x v="381"/>
    <x v="4"/>
  </r>
  <r>
    <d v="2023-10-04T00:00:00"/>
    <x v="1"/>
    <x v="1"/>
    <x v="4"/>
    <x v="11"/>
    <n v="2970"/>
    <n v="11"/>
    <x v="878"/>
    <x v="4"/>
  </r>
  <r>
    <d v="2023-10-04T00:00:00"/>
    <x v="4"/>
    <x v="1"/>
    <x v="4"/>
    <x v="21"/>
    <n v="3205"/>
    <n v="50"/>
    <x v="1228"/>
    <x v="4"/>
  </r>
  <r>
    <d v="2023-10-04T00:00:00"/>
    <x v="1"/>
    <x v="5"/>
    <x v="2"/>
    <x v="16"/>
    <n v="890"/>
    <n v="90"/>
    <x v="1550"/>
    <x v="4"/>
  </r>
  <r>
    <d v="2023-10-04T00:00:00"/>
    <x v="0"/>
    <x v="5"/>
    <x v="0"/>
    <x v="0"/>
    <n v="1320"/>
    <n v="32"/>
    <x v="11"/>
    <x v="4"/>
  </r>
  <r>
    <d v="2023-10-04T00:00:00"/>
    <x v="2"/>
    <x v="6"/>
    <x v="1"/>
    <x v="1"/>
    <n v="1380"/>
    <n v="17"/>
    <x v="450"/>
    <x v="4"/>
  </r>
  <r>
    <d v="2023-10-04T00:00:00"/>
    <x v="4"/>
    <x v="6"/>
    <x v="0"/>
    <x v="10"/>
    <n v="1230"/>
    <n v="44"/>
    <x v="142"/>
    <x v="4"/>
  </r>
  <r>
    <d v="2023-10-04T00:00:00"/>
    <x v="2"/>
    <x v="6"/>
    <x v="4"/>
    <x v="15"/>
    <n v="2460"/>
    <n v="90"/>
    <x v="153"/>
    <x v="4"/>
  </r>
  <r>
    <s v="04.10.2023 Итог"/>
    <x v="3"/>
    <x v="2"/>
    <x v="3"/>
    <x v="3"/>
    <m/>
    <m/>
    <x v="1551"/>
    <x v="4"/>
  </r>
  <r>
    <d v="2023-10-05T00:00:00"/>
    <x v="4"/>
    <x v="3"/>
    <x v="0"/>
    <x v="24"/>
    <n v="2540"/>
    <n v="87"/>
    <x v="962"/>
    <x v="4"/>
  </r>
  <r>
    <d v="2023-10-05T00:00:00"/>
    <x v="1"/>
    <x v="1"/>
    <x v="1"/>
    <x v="19"/>
    <n v="540"/>
    <n v="17"/>
    <x v="1531"/>
    <x v="4"/>
  </r>
  <r>
    <d v="2023-10-05T00:00:00"/>
    <x v="1"/>
    <x v="1"/>
    <x v="4"/>
    <x v="7"/>
    <n v="1760"/>
    <n v="61"/>
    <x v="889"/>
    <x v="4"/>
  </r>
  <r>
    <d v="2023-10-05T00:00:00"/>
    <x v="2"/>
    <x v="1"/>
    <x v="4"/>
    <x v="13"/>
    <n v="1505"/>
    <n v="47"/>
    <x v="1506"/>
    <x v="4"/>
  </r>
  <r>
    <d v="2023-10-05T00:00:00"/>
    <x v="4"/>
    <x v="5"/>
    <x v="1"/>
    <x v="18"/>
    <n v="650"/>
    <n v="49"/>
    <x v="163"/>
    <x v="4"/>
  </r>
  <r>
    <d v="2023-10-05T00:00:00"/>
    <x v="4"/>
    <x v="5"/>
    <x v="2"/>
    <x v="2"/>
    <n v="325"/>
    <n v="43"/>
    <x v="291"/>
    <x v="4"/>
  </r>
  <r>
    <d v="2023-10-05T00:00:00"/>
    <x v="1"/>
    <x v="6"/>
    <x v="1"/>
    <x v="19"/>
    <n v="540"/>
    <n v="15"/>
    <x v="93"/>
    <x v="4"/>
  </r>
  <r>
    <d v="2023-10-05T00:00:00"/>
    <x v="0"/>
    <x v="6"/>
    <x v="1"/>
    <x v="23"/>
    <n v="705"/>
    <n v="99"/>
    <x v="1552"/>
    <x v="4"/>
  </r>
  <r>
    <d v="2023-10-05T00:00:00"/>
    <x v="0"/>
    <x v="6"/>
    <x v="4"/>
    <x v="14"/>
    <n v="1670"/>
    <n v="77"/>
    <x v="396"/>
    <x v="4"/>
  </r>
  <r>
    <s v="05.10.2023 Итог"/>
    <x v="3"/>
    <x v="2"/>
    <x v="3"/>
    <x v="3"/>
    <m/>
    <m/>
    <x v="1553"/>
    <x v="4"/>
  </r>
  <r>
    <d v="2023-10-06T00:00:00"/>
    <x v="1"/>
    <x v="0"/>
    <x v="1"/>
    <x v="1"/>
    <n v="1380"/>
    <n v="80"/>
    <x v="1087"/>
    <x v="4"/>
  </r>
  <r>
    <d v="2023-10-06T00:00:00"/>
    <x v="1"/>
    <x v="0"/>
    <x v="2"/>
    <x v="4"/>
    <n v="450"/>
    <n v="21"/>
    <x v="470"/>
    <x v="4"/>
  </r>
  <r>
    <d v="2023-10-06T00:00:00"/>
    <x v="0"/>
    <x v="4"/>
    <x v="4"/>
    <x v="14"/>
    <n v="1670"/>
    <n v="32"/>
    <x v="987"/>
    <x v="4"/>
  </r>
  <r>
    <d v="2023-10-06T00:00:00"/>
    <x v="2"/>
    <x v="1"/>
    <x v="2"/>
    <x v="12"/>
    <n v="715"/>
    <n v="81"/>
    <x v="1554"/>
    <x v="4"/>
  </r>
  <r>
    <d v="2023-10-06T00:00:00"/>
    <x v="2"/>
    <x v="5"/>
    <x v="1"/>
    <x v="6"/>
    <n v="640"/>
    <n v="60"/>
    <x v="193"/>
    <x v="4"/>
  </r>
  <r>
    <d v="2023-10-06T00:00:00"/>
    <x v="4"/>
    <x v="5"/>
    <x v="0"/>
    <x v="24"/>
    <n v="2540"/>
    <n v="58"/>
    <x v="1555"/>
    <x v="4"/>
  </r>
  <r>
    <s v="06.10.2023 Итог"/>
    <x v="3"/>
    <x v="2"/>
    <x v="3"/>
    <x v="3"/>
    <m/>
    <m/>
    <x v="1556"/>
    <x v="4"/>
  </r>
  <r>
    <d v="2023-10-07T00:00:00"/>
    <x v="4"/>
    <x v="3"/>
    <x v="1"/>
    <x v="20"/>
    <n v="650"/>
    <n v="86"/>
    <x v="1072"/>
    <x v="4"/>
  </r>
  <r>
    <d v="2023-10-07T00:00:00"/>
    <x v="4"/>
    <x v="3"/>
    <x v="2"/>
    <x v="12"/>
    <n v="715"/>
    <n v="49"/>
    <x v="917"/>
    <x v="4"/>
  </r>
  <r>
    <d v="2023-10-07T00:00:00"/>
    <x v="2"/>
    <x v="3"/>
    <x v="0"/>
    <x v="22"/>
    <n v="1420"/>
    <n v="96"/>
    <x v="1557"/>
    <x v="4"/>
  </r>
  <r>
    <d v="2023-10-07T00:00:00"/>
    <x v="2"/>
    <x v="3"/>
    <x v="0"/>
    <x v="24"/>
    <n v="2540"/>
    <n v="68"/>
    <x v="832"/>
    <x v="4"/>
  </r>
  <r>
    <d v="2023-10-07T00:00:00"/>
    <x v="2"/>
    <x v="0"/>
    <x v="1"/>
    <x v="23"/>
    <n v="705"/>
    <n v="65"/>
    <x v="1351"/>
    <x v="4"/>
  </r>
  <r>
    <d v="2023-10-07T00:00:00"/>
    <x v="0"/>
    <x v="4"/>
    <x v="2"/>
    <x v="2"/>
    <n v="325"/>
    <n v="52"/>
    <x v="619"/>
    <x v="4"/>
  </r>
  <r>
    <d v="2023-10-07T00:00:00"/>
    <x v="4"/>
    <x v="1"/>
    <x v="1"/>
    <x v="20"/>
    <n v="650"/>
    <n v="79"/>
    <x v="1233"/>
    <x v="4"/>
  </r>
  <r>
    <d v="2023-10-07T00:00:00"/>
    <x v="1"/>
    <x v="5"/>
    <x v="4"/>
    <x v="14"/>
    <n v="1670"/>
    <n v="14"/>
    <x v="1025"/>
    <x v="4"/>
  </r>
  <r>
    <s v="07.10.2023 Итог"/>
    <x v="3"/>
    <x v="2"/>
    <x v="3"/>
    <x v="3"/>
    <m/>
    <m/>
    <x v="1558"/>
    <x v="4"/>
  </r>
  <r>
    <d v="2023-10-08T00:00:00"/>
    <x v="2"/>
    <x v="0"/>
    <x v="1"/>
    <x v="19"/>
    <n v="540"/>
    <n v="26"/>
    <x v="155"/>
    <x v="4"/>
  </r>
  <r>
    <d v="2023-10-08T00:00:00"/>
    <x v="4"/>
    <x v="0"/>
    <x v="2"/>
    <x v="16"/>
    <n v="890"/>
    <n v="15"/>
    <x v="1559"/>
    <x v="4"/>
  </r>
  <r>
    <d v="2023-10-08T00:00:00"/>
    <x v="0"/>
    <x v="4"/>
    <x v="2"/>
    <x v="2"/>
    <n v="325"/>
    <n v="64"/>
    <x v="237"/>
    <x v="4"/>
  </r>
  <r>
    <d v="2023-10-08T00:00:00"/>
    <x v="0"/>
    <x v="5"/>
    <x v="0"/>
    <x v="22"/>
    <n v="1420"/>
    <n v="70"/>
    <x v="861"/>
    <x v="4"/>
  </r>
  <r>
    <d v="2023-10-08T00:00:00"/>
    <x v="4"/>
    <x v="5"/>
    <x v="4"/>
    <x v="13"/>
    <n v="1505"/>
    <n v="21"/>
    <x v="27"/>
    <x v="4"/>
  </r>
  <r>
    <d v="2023-10-08T00:00:00"/>
    <x v="4"/>
    <x v="6"/>
    <x v="2"/>
    <x v="16"/>
    <n v="890"/>
    <n v="67"/>
    <x v="1123"/>
    <x v="4"/>
  </r>
  <r>
    <d v="2023-10-08T00:00:00"/>
    <x v="0"/>
    <x v="6"/>
    <x v="4"/>
    <x v="21"/>
    <n v="3205"/>
    <n v="9"/>
    <x v="1560"/>
    <x v="4"/>
  </r>
  <r>
    <s v="08.10.2023 Итог"/>
    <x v="3"/>
    <x v="2"/>
    <x v="3"/>
    <x v="3"/>
    <m/>
    <m/>
    <x v="1561"/>
    <x v="4"/>
  </r>
  <r>
    <d v="2023-10-09T00:00:00"/>
    <x v="1"/>
    <x v="3"/>
    <x v="1"/>
    <x v="19"/>
    <n v="540"/>
    <n v="36"/>
    <x v="965"/>
    <x v="4"/>
  </r>
  <r>
    <d v="2023-10-09T00:00:00"/>
    <x v="1"/>
    <x v="3"/>
    <x v="0"/>
    <x v="5"/>
    <n v="930"/>
    <n v="99"/>
    <x v="579"/>
    <x v="4"/>
  </r>
  <r>
    <d v="2023-10-09T00:00:00"/>
    <x v="0"/>
    <x v="4"/>
    <x v="1"/>
    <x v="19"/>
    <n v="540"/>
    <n v="19"/>
    <x v="1009"/>
    <x v="4"/>
  </r>
  <r>
    <d v="2023-10-09T00:00:00"/>
    <x v="4"/>
    <x v="1"/>
    <x v="2"/>
    <x v="4"/>
    <n v="450"/>
    <n v="66"/>
    <x v="227"/>
    <x v="4"/>
  </r>
  <r>
    <d v="2023-10-09T00:00:00"/>
    <x v="4"/>
    <x v="1"/>
    <x v="0"/>
    <x v="0"/>
    <n v="1320"/>
    <n v="79"/>
    <x v="1562"/>
    <x v="4"/>
  </r>
  <r>
    <d v="2023-10-09T00:00:00"/>
    <x v="1"/>
    <x v="1"/>
    <x v="0"/>
    <x v="10"/>
    <n v="1230"/>
    <n v="8"/>
    <x v="1156"/>
    <x v="4"/>
  </r>
  <r>
    <d v="2023-10-09T00:00:00"/>
    <x v="4"/>
    <x v="1"/>
    <x v="4"/>
    <x v="13"/>
    <n v="1505"/>
    <n v="85"/>
    <x v="144"/>
    <x v="4"/>
  </r>
  <r>
    <d v="2023-10-09T00:00:00"/>
    <x v="0"/>
    <x v="6"/>
    <x v="0"/>
    <x v="17"/>
    <n v="2400"/>
    <n v="10"/>
    <x v="1259"/>
    <x v="4"/>
  </r>
  <r>
    <d v="2023-10-09T00:00:00"/>
    <x v="2"/>
    <x v="6"/>
    <x v="0"/>
    <x v="24"/>
    <n v="2540"/>
    <n v="67"/>
    <x v="1563"/>
    <x v="4"/>
  </r>
  <r>
    <s v="09.10.2023 Итог"/>
    <x v="3"/>
    <x v="2"/>
    <x v="3"/>
    <x v="3"/>
    <m/>
    <m/>
    <x v="1564"/>
    <x v="4"/>
  </r>
  <r>
    <d v="2023-10-10T00:00:00"/>
    <x v="2"/>
    <x v="0"/>
    <x v="0"/>
    <x v="0"/>
    <n v="1320"/>
    <n v="11"/>
    <x v="84"/>
    <x v="4"/>
  </r>
  <r>
    <d v="2023-10-10T00:00:00"/>
    <x v="1"/>
    <x v="4"/>
    <x v="2"/>
    <x v="16"/>
    <n v="890"/>
    <n v="50"/>
    <x v="916"/>
    <x v="4"/>
  </r>
  <r>
    <d v="2023-10-10T00:00:00"/>
    <x v="1"/>
    <x v="4"/>
    <x v="0"/>
    <x v="5"/>
    <n v="930"/>
    <n v="48"/>
    <x v="1565"/>
    <x v="4"/>
  </r>
  <r>
    <d v="2023-10-10T00:00:00"/>
    <x v="0"/>
    <x v="1"/>
    <x v="2"/>
    <x v="4"/>
    <n v="450"/>
    <n v="89"/>
    <x v="1019"/>
    <x v="4"/>
  </r>
  <r>
    <d v="2023-10-10T00:00:00"/>
    <x v="2"/>
    <x v="1"/>
    <x v="0"/>
    <x v="17"/>
    <n v="2400"/>
    <n v="14"/>
    <x v="1566"/>
    <x v="4"/>
  </r>
  <r>
    <d v="2023-10-10T00:00:00"/>
    <x v="2"/>
    <x v="1"/>
    <x v="4"/>
    <x v="13"/>
    <n v="1505"/>
    <n v="83"/>
    <x v="1567"/>
    <x v="4"/>
  </r>
  <r>
    <d v="2023-10-10T00:00:00"/>
    <x v="2"/>
    <x v="5"/>
    <x v="1"/>
    <x v="1"/>
    <n v="1380"/>
    <n v="85"/>
    <x v="806"/>
    <x v="4"/>
  </r>
  <r>
    <d v="2023-10-10T00:00:00"/>
    <x v="0"/>
    <x v="6"/>
    <x v="1"/>
    <x v="18"/>
    <n v="650"/>
    <n v="59"/>
    <x v="1568"/>
    <x v="4"/>
  </r>
  <r>
    <s v="10.10.2023 Итог"/>
    <x v="3"/>
    <x v="2"/>
    <x v="3"/>
    <x v="3"/>
    <m/>
    <m/>
    <x v="1569"/>
    <x v="4"/>
  </r>
  <r>
    <d v="2023-10-11T00:00:00"/>
    <x v="2"/>
    <x v="3"/>
    <x v="1"/>
    <x v="18"/>
    <n v="650"/>
    <n v="76"/>
    <x v="1570"/>
    <x v="4"/>
  </r>
  <r>
    <d v="2023-10-11T00:00:00"/>
    <x v="0"/>
    <x v="3"/>
    <x v="2"/>
    <x v="16"/>
    <n v="890"/>
    <n v="52"/>
    <x v="1571"/>
    <x v="4"/>
  </r>
  <r>
    <d v="2023-10-11T00:00:00"/>
    <x v="4"/>
    <x v="0"/>
    <x v="1"/>
    <x v="1"/>
    <n v="1380"/>
    <n v="38"/>
    <x v="1572"/>
    <x v="4"/>
  </r>
  <r>
    <d v="2023-10-11T00:00:00"/>
    <x v="2"/>
    <x v="0"/>
    <x v="0"/>
    <x v="24"/>
    <n v="2540"/>
    <n v="95"/>
    <x v="518"/>
    <x v="4"/>
  </r>
  <r>
    <d v="2023-10-11T00:00:00"/>
    <x v="4"/>
    <x v="4"/>
    <x v="1"/>
    <x v="1"/>
    <n v="1380"/>
    <n v="10"/>
    <x v="505"/>
    <x v="4"/>
  </r>
  <r>
    <d v="2023-10-11T00:00:00"/>
    <x v="2"/>
    <x v="1"/>
    <x v="1"/>
    <x v="1"/>
    <n v="1380"/>
    <n v="23"/>
    <x v="610"/>
    <x v="4"/>
  </r>
  <r>
    <d v="2023-10-11T00:00:00"/>
    <x v="1"/>
    <x v="1"/>
    <x v="2"/>
    <x v="9"/>
    <n v="690"/>
    <n v="74"/>
    <x v="270"/>
    <x v="4"/>
  </r>
  <r>
    <d v="2023-10-11T00:00:00"/>
    <x v="2"/>
    <x v="1"/>
    <x v="4"/>
    <x v="11"/>
    <n v="2970"/>
    <n v="48"/>
    <x v="296"/>
    <x v="4"/>
  </r>
  <r>
    <d v="2023-10-11T00:00:00"/>
    <x v="2"/>
    <x v="5"/>
    <x v="1"/>
    <x v="19"/>
    <n v="540"/>
    <n v="64"/>
    <x v="1466"/>
    <x v="4"/>
  </r>
  <r>
    <d v="2023-10-11T00:00:00"/>
    <x v="4"/>
    <x v="5"/>
    <x v="1"/>
    <x v="18"/>
    <n v="650"/>
    <n v="26"/>
    <x v="619"/>
    <x v="4"/>
  </r>
  <r>
    <d v="2023-10-11T00:00:00"/>
    <x v="2"/>
    <x v="5"/>
    <x v="2"/>
    <x v="2"/>
    <n v="325"/>
    <n v="94"/>
    <x v="1091"/>
    <x v="4"/>
  </r>
  <r>
    <d v="2023-10-11T00:00:00"/>
    <x v="2"/>
    <x v="5"/>
    <x v="0"/>
    <x v="22"/>
    <n v="1420"/>
    <n v="61"/>
    <x v="1064"/>
    <x v="4"/>
  </r>
  <r>
    <d v="2023-10-11T00:00:00"/>
    <x v="1"/>
    <x v="6"/>
    <x v="4"/>
    <x v="14"/>
    <n v="1670"/>
    <n v="48"/>
    <x v="1573"/>
    <x v="4"/>
  </r>
  <r>
    <s v="11.10.2023 Итог"/>
    <x v="3"/>
    <x v="2"/>
    <x v="3"/>
    <x v="3"/>
    <m/>
    <m/>
    <x v="1574"/>
    <x v="4"/>
  </r>
  <r>
    <d v="2023-10-12T00:00:00"/>
    <x v="2"/>
    <x v="3"/>
    <x v="0"/>
    <x v="24"/>
    <n v="2540"/>
    <n v="89"/>
    <x v="331"/>
    <x v="4"/>
  </r>
  <r>
    <d v="2023-10-12T00:00:00"/>
    <x v="2"/>
    <x v="3"/>
    <x v="4"/>
    <x v="21"/>
    <n v="3205"/>
    <n v="41"/>
    <x v="662"/>
    <x v="4"/>
  </r>
  <r>
    <d v="2023-10-12T00:00:00"/>
    <x v="4"/>
    <x v="5"/>
    <x v="2"/>
    <x v="4"/>
    <n v="450"/>
    <n v="50"/>
    <x v="106"/>
    <x v="4"/>
  </r>
  <r>
    <s v="12.10.2023 Итог"/>
    <x v="3"/>
    <x v="2"/>
    <x v="3"/>
    <x v="3"/>
    <m/>
    <m/>
    <x v="1575"/>
    <x v="4"/>
  </r>
  <r>
    <d v="2023-10-13T00:00:00"/>
    <x v="1"/>
    <x v="3"/>
    <x v="1"/>
    <x v="1"/>
    <n v="1380"/>
    <n v="44"/>
    <x v="1103"/>
    <x v="4"/>
  </r>
  <r>
    <d v="2023-10-13T00:00:00"/>
    <x v="1"/>
    <x v="0"/>
    <x v="2"/>
    <x v="16"/>
    <n v="890"/>
    <n v="83"/>
    <x v="1576"/>
    <x v="4"/>
  </r>
  <r>
    <d v="2023-10-13T00:00:00"/>
    <x v="2"/>
    <x v="0"/>
    <x v="4"/>
    <x v="11"/>
    <n v="2970"/>
    <n v="16"/>
    <x v="413"/>
    <x v="4"/>
  </r>
  <r>
    <d v="2023-10-13T00:00:00"/>
    <x v="0"/>
    <x v="4"/>
    <x v="0"/>
    <x v="17"/>
    <n v="2400"/>
    <n v="83"/>
    <x v="1285"/>
    <x v="4"/>
  </r>
  <r>
    <d v="2023-10-13T00:00:00"/>
    <x v="2"/>
    <x v="4"/>
    <x v="4"/>
    <x v="7"/>
    <n v="1760"/>
    <n v="27"/>
    <x v="413"/>
    <x v="4"/>
  </r>
  <r>
    <d v="2023-10-13T00:00:00"/>
    <x v="1"/>
    <x v="1"/>
    <x v="4"/>
    <x v="21"/>
    <n v="3205"/>
    <n v="36"/>
    <x v="1577"/>
    <x v="4"/>
  </r>
  <r>
    <d v="2023-10-13T00:00:00"/>
    <x v="4"/>
    <x v="1"/>
    <x v="4"/>
    <x v="7"/>
    <n v="1760"/>
    <n v="69"/>
    <x v="935"/>
    <x v="4"/>
  </r>
  <r>
    <d v="2023-10-13T00:00:00"/>
    <x v="4"/>
    <x v="5"/>
    <x v="1"/>
    <x v="23"/>
    <n v="705"/>
    <n v="33"/>
    <x v="58"/>
    <x v="4"/>
  </r>
  <r>
    <d v="2023-10-13T00:00:00"/>
    <x v="0"/>
    <x v="5"/>
    <x v="1"/>
    <x v="6"/>
    <n v="640"/>
    <n v="21"/>
    <x v="974"/>
    <x v="4"/>
  </r>
  <r>
    <d v="2023-10-13T00:00:00"/>
    <x v="2"/>
    <x v="6"/>
    <x v="1"/>
    <x v="6"/>
    <n v="640"/>
    <n v="46"/>
    <x v="582"/>
    <x v="4"/>
  </r>
  <r>
    <d v="2023-10-13T00:00:00"/>
    <x v="0"/>
    <x v="6"/>
    <x v="2"/>
    <x v="4"/>
    <n v="450"/>
    <n v="34"/>
    <x v="1578"/>
    <x v="4"/>
  </r>
  <r>
    <d v="2023-10-13T00:00:00"/>
    <x v="0"/>
    <x v="6"/>
    <x v="0"/>
    <x v="24"/>
    <n v="2540"/>
    <n v="6"/>
    <x v="1579"/>
    <x v="4"/>
  </r>
  <r>
    <s v="13.10.2023 Итог"/>
    <x v="3"/>
    <x v="2"/>
    <x v="3"/>
    <x v="3"/>
    <m/>
    <m/>
    <x v="1580"/>
    <x v="4"/>
  </r>
  <r>
    <d v="2023-10-14T00:00:00"/>
    <x v="2"/>
    <x v="3"/>
    <x v="4"/>
    <x v="13"/>
    <n v="1505"/>
    <n v="80"/>
    <x v="910"/>
    <x v="4"/>
  </r>
  <r>
    <d v="2023-10-14T00:00:00"/>
    <x v="1"/>
    <x v="0"/>
    <x v="1"/>
    <x v="19"/>
    <n v="540"/>
    <n v="39"/>
    <x v="1461"/>
    <x v="4"/>
  </r>
  <r>
    <d v="2023-10-14T00:00:00"/>
    <x v="2"/>
    <x v="0"/>
    <x v="2"/>
    <x v="12"/>
    <n v="715"/>
    <n v="88"/>
    <x v="1013"/>
    <x v="4"/>
  </r>
  <r>
    <d v="2023-10-14T00:00:00"/>
    <x v="0"/>
    <x v="4"/>
    <x v="1"/>
    <x v="19"/>
    <n v="540"/>
    <n v="38"/>
    <x v="1066"/>
    <x v="4"/>
  </r>
  <r>
    <d v="2023-10-14T00:00:00"/>
    <x v="0"/>
    <x v="4"/>
    <x v="0"/>
    <x v="0"/>
    <n v="1320"/>
    <n v="30"/>
    <x v="425"/>
    <x v="4"/>
  </r>
  <r>
    <d v="2023-10-14T00:00:00"/>
    <x v="0"/>
    <x v="1"/>
    <x v="1"/>
    <x v="23"/>
    <n v="705"/>
    <n v="81"/>
    <x v="179"/>
    <x v="4"/>
  </r>
  <r>
    <d v="2023-10-14T00:00:00"/>
    <x v="4"/>
    <x v="1"/>
    <x v="1"/>
    <x v="20"/>
    <n v="650"/>
    <n v="35"/>
    <x v="1515"/>
    <x v="4"/>
  </r>
  <r>
    <d v="2023-10-14T00:00:00"/>
    <x v="2"/>
    <x v="1"/>
    <x v="1"/>
    <x v="6"/>
    <n v="640"/>
    <n v="63"/>
    <x v="1581"/>
    <x v="4"/>
  </r>
  <r>
    <d v="2023-10-14T00:00:00"/>
    <x v="2"/>
    <x v="5"/>
    <x v="0"/>
    <x v="17"/>
    <n v="2400"/>
    <n v="70"/>
    <x v="330"/>
    <x v="4"/>
  </r>
  <r>
    <s v="14.10.2023 Итог"/>
    <x v="3"/>
    <x v="2"/>
    <x v="3"/>
    <x v="3"/>
    <m/>
    <m/>
    <x v="1582"/>
    <x v="4"/>
  </r>
  <r>
    <d v="2023-10-15T00:00:00"/>
    <x v="4"/>
    <x v="3"/>
    <x v="1"/>
    <x v="1"/>
    <n v="1380"/>
    <n v="59"/>
    <x v="1583"/>
    <x v="4"/>
  </r>
  <r>
    <d v="2023-10-15T00:00:00"/>
    <x v="1"/>
    <x v="3"/>
    <x v="0"/>
    <x v="17"/>
    <n v="2400"/>
    <n v="86"/>
    <x v="564"/>
    <x v="4"/>
  </r>
  <r>
    <d v="2023-10-15T00:00:00"/>
    <x v="2"/>
    <x v="3"/>
    <x v="0"/>
    <x v="0"/>
    <n v="1320"/>
    <n v="40"/>
    <x v="94"/>
    <x v="4"/>
  </r>
  <r>
    <d v="2023-10-15T00:00:00"/>
    <x v="2"/>
    <x v="0"/>
    <x v="1"/>
    <x v="19"/>
    <n v="540"/>
    <n v="23"/>
    <x v="1216"/>
    <x v="4"/>
  </r>
  <r>
    <d v="2023-10-15T00:00:00"/>
    <x v="1"/>
    <x v="0"/>
    <x v="0"/>
    <x v="0"/>
    <n v="1320"/>
    <n v="68"/>
    <x v="336"/>
    <x v="4"/>
  </r>
  <r>
    <d v="2023-10-15T00:00:00"/>
    <x v="1"/>
    <x v="0"/>
    <x v="4"/>
    <x v="11"/>
    <n v="2970"/>
    <n v="20"/>
    <x v="12"/>
    <x v="4"/>
  </r>
  <r>
    <d v="2023-10-15T00:00:00"/>
    <x v="1"/>
    <x v="1"/>
    <x v="1"/>
    <x v="6"/>
    <n v="640"/>
    <n v="83"/>
    <x v="526"/>
    <x v="4"/>
  </r>
  <r>
    <d v="2023-10-15T00:00:00"/>
    <x v="2"/>
    <x v="1"/>
    <x v="2"/>
    <x v="12"/>
    <n v="715"/>
    <n v="14"/>
    <x v="13"/>
    <x v="4"/>
  </r>
  <r>
    <d v="2023-10-15T00:00:00"/>
    <x v="1"/>
    <x v="1"/>
    <x v="0"/>
    <x v="22"/>
    <n v="1420"/>
    <n v="8"/>
    <x v="1420"/>
    <x v="4"/>
  </r>
  <r>
    <d v="2023-10-15T00:00:00"/>
    <x v="4"/>
    <x v="5"/>
    <x v="1"/>
    <x v="23"/>
    <n v="705"/>
    <n v="21"/>
    <x v="130"/>
    <x v="4"/>
  </r>
  <r>
    <d v="2023-10-15T00:00:00"/>
    <x v="4"/>
    <x v="5"/>
    <x v="0"/>
    <x v="24"/>
    <n v="2540"/>
    <n v="72"/>
    <x v="1119"/>
    <x v="4"/>
  </r>
  <r>
    <d v="2023-10-15T00:00:00"/>
    <x v="2"/>
    <x v="5"/>
    <x v="4"/>
    <x v="11"/>
    <n v="2970"/>
    <n v="32"/>
    <x v="1516"/>
    <x v="4"/>
  </r>
  <r>
    <d v="2023-10-15T00:00:00"/>
    <x v="4"/>
    <x v="6"/>
    <x v="1"/>
    <x v="18"/>
    <n v="650"/>
    <n v="57"/>
    <x v="1584"/>
    <x v="4"/>
  </r>
  <r>
    <d v="2023-10-15T00:00:00"/>
    <x v="2"/>
    <x v="6"/>
    <x v="0"/>
    <x v="17"/>
    <n v="2400"/>
    <n v="60"/>
    <x v="1585"/>
    <x v="4"/>
  </r>
  <r>
    <s v="15.10.2023 Итог"/>
    <x v="3"/>
    <x v="2"/>
    <x v="3"/>
    <x v="3"/>
    <m/>
    <m/>
    <x v="1586"/>
    <x v="4"/>
  </r>
  <r>
    <d v="2023-10-16T00:00:00"/>
    <x v="0"/>
    <x v="3"/>
    <x v="0"/>
    <x v="10"/>
    <n v="1230"/>
    <n v="51"/>
    <x v="1257"/>
    <x v="4"/>
  </r>
  <r>
    <d v="2023-10-16T00:00:00"/>
    <x v="1"/>
    <x v="0"/>
    <x v="1"/>
    <x v="20"/>
    <n v="650"/>
    <n v="95"/>
    <x v="1587"/>
    <x v="4"/>
  </r>
  <r>
    <d v="2023-10-16T00:00:00"/>
    <x v="2"/>
    <x v="0"/>
    <x v="2"/>
    <x v="12"/>
    <n v="715"/>
    <n v="80"/>
    <x v="83"/>
    <x v="4"/>
  </r>
  <r>
    <d v="2023-10-16T00:00:00"/>
    <x v="1"/>
    <x v="0"/>
    <x v="2"/>
    <x v="16"/>
    <n v="890"/>
    <n v="58"/>
    <x v="1588"/>
    <x v="4"/>
  </r>
  <r>
    <d v="2023-10-16T00:00:00"/>
    <x v="4"/>
    <x v="0"/>
    <x v="4"/>
    <x v="15"/>
    <n v="2460"/>
    <n v="69"/>
    <x v="1589"/>
    <x v="4"/>
  </r>
  <r>
    <d v="2023-10-16T00:00:00"/>
    <x v="2"/>
    <x v="4"/>
    <x v="1"/>
    <x v="6"/>
    <n v="640"/>
    <n v="97"/>
    <x v="1090"/>
    <x v="4"/>
  </r>
  <r>
    <d v="2023-10-16T00:00:00"/>
    <x v="4"/>
    <x v="6"/>
    <x v="1"/>
    <x v="1"/>
    <n v="1380"/>
    <n v="45"/>
    <x v="1193"/>
    <x v="4"/>
  </r>
  <r>
    <d v="2023-10-16T00:00:00"/>
    <x v="0"/>
    <x v="6"/>
    <x v="0"/>
    <x v="5"/>
    <n v="930"/>
    <n v="9"/>
    <x v="1590"/>
    <x v="4"/>
  </r>
  <r>
    <s v="16.10.2023 Итог"/>
    <x v="3"/>
    <x v="2"/>
    <x v="3"/>
    <x v="3"/>
    <m/>
    <m/>
    <x v="1591"/>
    <x v="4"/>
  </r>
  <r>
    <d v="2023-10-17T00:00:00"/>
    <x v="4"/>
    <x v="3"/>
    <x v="4"/>
    <x v="21"/>
    <n v="3205"/>
    <n v="28"/>
    <x v="1366"/>
    <x v="4"/>
  </r>
  <r>
    <d v="2023-10-17T00:00:00"/>
    <x v="0"/>
    <x v="3"/>
    <x v="4"/>
    <x v="11"/>
    <n v="2970"/>
    <n v="84"/>
    <x v="0"/>
    <x v="4"/>
  </r>
  <r>
    <d v="2023-10-17T00:00:00"/>
    <x v="2"/>
    <x v="0"/>
    <x v="2"/>
    <x v="16"/>
    <n v="890"/>
    <n v="16"/>
    <x v="274"/>
    <x v="4"/>
  </r>
  <r>
    <d v="2023-10-17T00:00:00"/>
    <x v="0"/>
    <x v="0"/>
    <x v="0"/>
    <x v="10"/>
    <n v="1230"/>
    <n v="91"/>
    <x v="1592"/>
    <x v="4"/>
  </r>
  <r>
    <d v="2023-10-17T00:00:00"/>
    <x v="2"/>
    <x v="4"/>
    <x v="4"/>
    <x v="7"/>
    <n v="1760"/>
    <n v="13"/>
    <x v="350"/>
    <x v="4"/>
  </r>
  <r>
    <d v="2023-10-17T00:00:00"/>
    <x v="0"/>
    <x v="4"/>
    <x v="4"/>
    <x v="11"/>
    <n v="2970"/>
    <n v="65"/>
    <x v="1593"/>
    <x v="4"/>
  </r>
  <r>
    <d v="2023-10-17T00:00:00"/>
    <x v="4"/>
    <x v="1"/>
    <x v="2"/>
    <x v="12"/>
    <n v="715"/>
    <n v="70"/>
    <x v="1213"/>
    <x v="4"/>
  </r>
  <r>
    <d v="2023-10-17T00:00:00"/>
    <x v="0"/>
    <x v="1"/>
    <x v="4"/>
    <x v="13"/>
    <n v="1505"/>
    <n v="28"/>
    <x v="1594"/>
    <x v="4"/>
  </r>
  <r>
    <d v="2023-10-17T00:00:00"/>
    <x v="0"/>
    <x v="5"/>
    <x v="1"/>
    <x v="1"/>
    <n v="1380"/>
    <n v="61"/>
    <x v="390"/>
    <x v="4"/>
  </r>
  <r>
    <d v="2023-10-17T00:00:00"/>
    <x v="1"/>
    <x v="5"/>
    <x v="2"/>
    <x v="16"/>
    <n v="890"/>
    <n v="25"/>
    <x v="48"/>
    <x v="4"/>
  </r>
  <r>
    <d v="2023-10-17T00:00:00"/>
    <x v="1"/>
    <x v="5"/>
    <x v="0"/>
    <x v="17"/>
    <n v="2400"/>
    <n v="6"/>
    <x v="1175"/>
    <x v="4"/>
  </r>
  <r>
    <d v="2023-10-17T00:00:00"/>
    <x v="4"/>
    <x v="6"/>
    <x v="1"/>
    <x v="20"/>
    <n v="650"/>
    <n v="37"/>
    <x v="1375"/>
    <x v="4"/>
  </r>
  <r>
    <d v="2023-10-17T00:00:00"/>
    <x v="1"/>
    <x v="6"/>
    <x v="1"/>
    <x v="18"/>
    <n v="650"/>
    <n v="98"/>
    <x v="833"/>
    <x v="4"/>
  </r>
  <r>
    <d v="2023-10-17T00:00:00"/>
    <x v="0"/>
    <x v="6"/>
    <x v="2"/>
    <x v="8"/>
    <n v="460"/>
    <n v="31"/>
    <x v="1595"/>
    <x v="4"/>
  </r>
  <r>
    <d v="2023-10-17T00:00:00"/>
    <x v="4"/>
    <x v="6"/>
    <x v="4"/>
    <x v="14"/>
    <n v="1670"/>
    <n v="7"/>
    <x v="1130"/>
    <x v="4"/>
  </r>
  <r>
    <s v="17.10.2023 Итог"/>
    <x v="3"/>
    <x v="2"/>
    <x v="3"/>
    <x v="3"/>
    <m/>
    <m/>
    <x v="1596"/>
    <x v="4"/>
  </r>
  <r>
    <d v="2023-10-18T00:00:00"/>
    <x v="4"/>
    <x v="3"/>
    <x v="4"/>
    <x v="15"/>
    <n v="2460"/>
    <n v="8"/>
    <x v="254"/>
    <x v="4"/>
  </r>
  <r>
    <d v="2023-10-18T00:00:00"/>
    <x v="1"/>
    <x v="3"/>
    <x v="4"/>
    <x v="21"/>
    <n v="3205"/>
    <n v="94"/>
    <x v="139"/>
    <x v="4"/>
  </r>
  <r>
    <d v="2023-10-18T00:00:00"/>
    <x v="2"/>
    <x v="0"/>
    <x v="1"/>
    <x v="6"/>
    <n v="640"/>
    <n v="8"/>
    <x v="1597"/>
    <x v="4"/>
  </r>
  <r>
    <d v="2023-10-18T00:00:00"/>
    <x v="1"/>
    <x v="4"/>
    <x v="4"/>
    <x v="11"/>
    <n v="2970"/>
    <n v="62"/>
    <x v="436"/>
    <x v="4"/>
  </r>
  <r>
    <d v="2023-10-18T00:00:00"/>
    <x v="0"/>
    <x v="1"/>
    <x v="0"/>
    <x v="0"/>
    <n v="1320"/>
    <n v="22"/>
    <x v="1023"/>
    <x v="4"/>
  </r>
  <r>
    <s v="18.10.2023 Итог"/>
    <x v="3"/>
    <x v="2"/>
    <x v="3"/>
    <x v="3"/>
    <m/>
    <m/>
    <x v="1598"/>
    <x v="4"/>
  </r>
  <r>
    <d v="2023-10-19T00:00:00"/>
    <x v="2"/>
    <x v="3"/>
    <x v="1"/>
    <x v="18"/>
    <n v="650"/>
    <n v="54"/>
    <x v="158"/>
    <x v="4"/>
  </r>
  <r>
    <d v="2023-10-19T00:00:00"/>
    <x v="1"/>
    <x v="0"/>
    <x v="1"/>
    <x v="1"/>
    <n v="1380"/>
    <n v="13"/>
    <x v="275"/>
    <x v="4"/>
  </r>
  <r>
    <d v="2023-10-19T00:00:00"/>
    <x v="1"/>
    <x v="0"/>
    <x v="4"/>
    <x v="13"/>
    <n v="1505"/>
    <n v="41"/>
    <x v="1089"/>
    <x v="4"/>
  </r>
  <r>
    <d v="2023-10-19T00:00:00"/>
    <x v="4"/>
    <x v="1"/>
    <x v="1"/>
    <x v="23"/>
    <n v="705"/>
    <n v="62"/>
    <x v="713"/>
    <x v="4"/>
  </r>
  <r>
    <d v="2023-10-19T00:00:00"/>
    <x v="0"/>
    <x v="1"/>
    <x v="0"/>
    <x v="0"/>
    <n v="1320"/>
    <n v="85"/>
    <x v="1599"/>
    <x v="4"/>
  </r>
  <r>
    <d v="2023-10-19T00:00:00"/>
    <x v="1"/>
    <x v="1"/>
    <x v="4"/>
    <x v="11"/>
    <n v="2970"/>
    <n v="23"/>
    <x v="834"/>
    <x v="4"/>
  </r>
  <r>
    <d v="2023-10-19T00:00:00"/>
    <x v="4"/>
    <x v="1"/>
    <x v="4"/>
    <x v="13"/>
    <n v="1505"/>
    <n v="58"/>
    <x v="91"/>
    <x v="4"/>
  </r>
  <r>
    <d v="2023-10-19T00:00:00"/>
    <x v="2"/>
    <x v="5"/>
    <x v="1"/>
    <x v="18"/>
    <n v="650"/>
    <n v="83"/>
    <x v="442"/>
    <x v="4"/>
  </r>
  <r>
    <d v="2023-10-19T00:00:00"/>
    <x v="2"/>
    <x v="5"/>
    <x v="2"/>
    <x v="9"/>
    <n v="690"/>
    <n v="12"/>
    <x v="244"/>
    <x v="4"/>
  </r>
  <r>
    <d v="2023-10-19T00:00:00"/>
    <x v="4"/>
    <x v="5"/>
    <x v="4"/>
    <x v="14"/>
    <n v="1670"/>
    <n v="74"/>
    <x v="1600"/>
    <x v="4"/>
  </r>
  <r>
    <d v="2023-10-19T00:00:00"/>
    <x v="2"/>
    <x v="6"/>
    <x v="0"/>
    <x v="17"/>
    <n v="2400"/>
    <n v="64"/>
    <x v="1110"/>
    <x v="4"/>
  </r>
  <r>
    <d v="2023-10-19T00:00:00"/>
    <x v="4"/>
    <x v="6"/>
    <x v="0"/>
    <x v="10"/>
    <n v="1230"/>
    <n v="85"/>
    <x v="792"/>
    <x v="4"/>
  </r>
  <r>
    <d v="2023-10-19T00:00:00"/>
    <x v="0"/>
    <x v="6"/>
    <x v="4"/>
    <x v="11"/>
    <n v="2970"/>
    <n v="96"/>
    <x v="883"/>
    <x v="4"/>
  </r>
  <r>
    <s v="19.10.2023 Итог"/>
    <x v="3"/>
    <x v="2"/>
    <x v="3"/>
    <x v="3"/>
    <m/>
    <m/>
    <x v="1601"/>
    <x v="4"/>
  </r>
  <r>
    <d v="2023-10-20T00:00:00"/>
    <x v="0"/>
    <x v="3"/>
    <x v="1"/>
    <x v="1"/>
    <n v="1380"/>
    <n v="18"/>
    <x v="200"/>
    <x v="4"/>
  </r>
  <r>
    <d v="2023-10-20T00:00:00"/>
    <x v="1"/>
    <x v="3"/>
    <x v="2"/>
    <x v="12"/>
    <n v="715"/>
    <n v="25"/>
    <x v="149"/>
    <x v="4"/>
  </r>
  <r>
    <d v="2023-10-20T00:00:00"/>
    <x v="0"/>
    <x v="3"/>
    <x v="2"/>
    <x v="8"/>
    <n v="460"/>
    <n v="87"/>
    <x v="215"/>
    <x v="4"/>
  </r>
  <r>
    <d v="2023-10-20T00:00:00"/>
    <x v="2"/>
    <x v="3"/>
    <x v="0"/>
    <x v="0"/>
    <n v="1320"/>
    <n v="74"/>
    <x v="1483"/>
    <x v="4"/>
  </r>
  <r>
    <d v="2023-10-20T00:00:00"/>
    <x v="0"/>
    <x v="4"/>
    <x v="2"/>
    <x v="16"/>
    <n v="890"/>
    <n v="30"/>
    <x v="1427"/>
    <x v="4"/>
  </r>
  <r>
    <d v="2023-10-20T00:00:00"/>
    <x v="1"/>
    <x v="4"/>
    <x v="2"/>
    <x v="9"/>
    <n v="690"/>
    <n v="96"/>
    <x v="210"/>
    <x v="4"/>
  </r>
  <r>
    <d v="2023-10-20T00:00:00"/>
    <x v="0"/>
    <x v="1"/>
    <x v="2"/>
    <x v="8"/>
    <n v="460"/>
    <n v="75"/>
    <x v="1057"/>
    <x v="4"/>
  </r>
  <r>
    <d v="2023-10-20T00:00:00"/>
    <x v="1"/>
    <x v="1"/>
    <x v="2"/>
    <x v="4"/>
    <n v="450"/>
    <n v="76"/>
    <x v="570"/>
    <x v="4"/>
  </r>
  <r>
    <d v="2023-10-20T00:00:00"/>
    <x v="2"/>
    <x v="1"/>
    <x v="2"/>
    <x v="4"/>
    <n v="450"/>
    <n v="12"/>
    <x v="148"/>
    <x v="4"/>
  </r>
  <r>
    <d v="2023-10-20T00:00:00"/>
    <x v="4"/>
    <x v="1"/>
    <x v="0"/>
    <x v="24"/>
    <n v="2540"/>
    <n v="22"/>
    <x v="1602"/>
    <x v="4"/>
  </r>
  <r>
    <d v="2023-10-20T00:00:00"/>
    <x v="4"/>
    <x v="5"/>
    <x v="1"/>
    <x v="20"/>
    <n v="650"/>
    <n v="98"/>
    <x v="833"/>
    <x v="4"/>
  </r>
  <r>
    <d v="2023-10-20T00:00:00"/>
    <x v="4"/>
    <x v="5"/>
    <x v="1"/>
    <x v="6"/>
    <n v="640"/>
    <n v="63"/>
    <x v="1581"/>
    <x v="4"/>
  </r>
  <r>
    <s v="20.10.2023 Итог"/>
    <x v="3"/>
    <x v="2"/>
    <x v="3"/>
    <x v="3"/>
    <m/>
    <m/>
    <x v="1603"/>
    <x v="4"/>
  </r>
  <r>
    <d v="2023-10-21T00:00:00"/>
    <x v="4"/>
    <x v="3"/>
    <x v="4"/>
    <x v="7"/>
    <n v="1760"/>
    <n v="17"/>
    <x v="1604"/>
    <x v="4"/>
  </r>
  <r>
    <d v="2023-10-21T00:00:00"/>
    <x v="1"/>
    <x v="0"/>
    <x v="4"/>
    <x v="15"/>
    <n v="2460"/>
    <n v="80"/>
    <x v="1430"/>
    <x v="4"/>
  </r>
  <r>
    <d v="2023-10-21T00:00:00"/>
    <x v="1"/>
    <x v="4"/>
    <x v="1"/>
    <x v="6"/>
    <n v="640"/>
    <n v="98"/>
    <x v="649"/>
    <x v="4"/>
  </r>
  <r>
    <d v="2023-10-21T00:00:00"/>
    <x v="0"/>
    <x v="4"/>
    <x v="0"/>
    <x v="5"/>
    <n v="930"/>
    <n v="81"/>
    <x v="1374"/>
    <x v="4"/>
  </r>
  <r>
    <d v="2023-10-21T00:00:00"/>
    <x v="0"/>
    <x v="1"/>
    <x v="0"/>
    <x v="5"/>
    <n v="930"/>
    <n v="29"/>
    <x v="638"/>
    <x v="4"/>
  </r>
  <r>
    <d v="2023-10-21T00:00:00"/>
    <x v="4"/>
    <x v="1"/>
    <x v="4"/>
    <x v="11"/>
    <n v="2970"/>
    <n v="98"/>
    <x v="790"/>
    <x v="4"/>
  </r>
  <r>
    <d v="2023-10-21T00:00:00"/>
    <x v="2"/>
    <x v="5"/>
    <x v="1"/>
    <x v="1"/>
    <n v="1380"/>
    <n v="62"/>
    <x v="345"/>
    <x v="4"/>
  </r>
  <r>
    <d v="2023-10-21T00:00:00"/>
    <x v="0"/>
    <x v="5"/>
    <x v="0"/>
    <x v="22"/>
    <n v="1420"/>
    <n v="44"/>
    <x v="1270"/>
    <x v="4"/>
  </r>
  <r>
    <s v="21.10.2023 Итог"/>
    <x v="3"/>
    <x v="2"/>
    <x v="3"/>
    <x v="3"/>
    <m/>
    <m/>
    <x v="1605"/>
    <x v="4"/>
  </r>
  <r>
    <d v="2023-10-22T00:00:00"/>
    <x v="4"/>
    <x v="3"/>
    <x v="1"/>
    <x v="23"/>
    <n v="705"/>
    <n v="67"/>
    <x v="318"/>
    <x v="4"/>
  </r>
  <r>
    <d v="2023-10-22T00:00:00"/>
    <x v="4"/>
    <x v="4"/>
    <x v="2"/>
    <x v="12"/>
    <n v="715"/>
    <n v="65"/>
    <x v="1606"/>
    <x v="4"/>
  </r>
  <r>
    <d v="2023-10-22T00:00:00"/>
    <x v="0"/>
    <x v="4"/>
    <x v="4"/>
    <x v="14"/>
    <n v="1670"/>
    <n v="68"/>
    <x v="1410"/>
    <x v="4"/>
  </r>
  <r>
    <d v="2023-10-22T00:00:00"/>
    <x v="0"/>
    <x v="4"/>
    <x v="4"/>
    <x v="21"/>
    <n v="3205"/>
    <n v="48"/>
    <x v="859"/>
    <x v="4"/>
  </r>
  <r>
    <d v="2023-10-22T00:00:00"/>
    <x v="1"/>
    <x v="6"/>
    <x v="1"/>
    <x v="6"/>
    <n v="640"/>
    <n v="70"/>
    <x v="103"/>
    <x v="4"/>
  </r>
  <r>
    <d v="2023-10-22T00:00:00"/>
    <x v="4"/>
    <x v="6"/>
    <x v="0"/>
    <x v="0"/>
    <n v="1320"/>
    <n v="79"/>
    <x v="1562"/>
    <x v="4"/>
  </r>
  <r>
    <s v="22.10.2023 Итог"/>
    <x v="3"/>
    <x v="2"/>
    <x v="3"/>
    <x v="3"/>
    <m/>
    <m/>
    <x v="1607"/>
    <x v="4"/>
  </r>
  <r>
    <d v="2023-10-23T00:00:00"/>
    <x v="4"/>
    <x v="3"/>
    <x v="0"/>
    <x v="0"/>
    <n v="1320"/>
    <n v="69"/>
    <x v="1299"/>
    <x v="4"/>
  </r>
  <r>
    <d v="2023-10-23T00:00:00"/>
    <x v="4"/>
    <x v="0"/>
    <x v="2"/>
    <x v="12"/>
    <n v="715"/>
    <n v="30"/>
    <x v="360"/>
    <x v="4"/>
  </r>
  <r>
    <d v="2023-10-23T00:00:00"/>
    <x v="2"/>
    <x v="0"/>
    <x v="0"/>
    <x v="22"/>
    <n v="1420"/>
    <n v="82"/>
    <x v="632"/>
    <x v="4"/>
  </r>
  <r>
    <d v="2023-10-23T00:00:00"/>
    <x v="2"/>
    <x v="4"/>
    <x v="2"/>
    <x v="4"/>
    <n v="450"/>
    <n v="81"/>
    <x v="519"/>
    <x v="4"/>
  </r>
  <r>
    <d v="2023-10-23T00:00:00"/>
    <x v="4"/>
    <x v="4"/>
    <x v="4"/>
    <x v="11"/>
    <n v="2970"/>
    <n v="52"/>
    <x v="1545"/>
    <x v="4"/>
  </r>
  <r>
    <d v="2023-10-23T00:00:00"/>
    <x v="1"/>
    <x v="1"/>
    <x v="1"/>
    <x v="1"/>
    <n v="1380"/>
    <n v="97"/>
    <x v="1608"/>
    <x v="4"/>
  </r>
  <r>
    <d v="2023-10-23T00:00:00"/>
    <x v="0"/>
    <x v="5"/>
    <x v="2"/>
    <x v="8"/>
    <n v="460"/>
    <n v="70"/>
    <x v="1326"/>
    <x v="4"/>
  </r>
  <r>
    <d v="2023-10-23T00:00:00"/>
    <x v="2"/>
    <x v="5"/>
    <x v="0"/>
    <x v="0"/>
    <n v="1320"/>
    <n v="50"/>
    <x v="1609"/>
    <x v="4"/>
  </r>
  <r>
    <d v="2023-10-23T00:00:00"/>
    <x v="0"/>
    <x v="6"/>
    <x v="0"/>
    <x v="24"/>
    <n v="2540"/>
    <n v="93"/>
    <x v="419"/>
    <x v="4"/>
  </r>
  <r>
    <d v="2023-10-23T00:00:00"/>
    <x v="0"/>
    <x v="6"/>
    <x v="0"/>
    <x v="17"/>
    <n v="2400"/>
    <n v="33"/>
    <x v="30"/>
    <x v="4"/>
  </r>
  <r>
    <s v="23.10.2023 Итог"/>
    <x v="3"/>
    <x v="2"/>
    <x v="3"/>
    <x v="3"/>
    <m/>
    <m/>
    <x v="1610"/>
    <x v="4"/>
  </r>
  <r>
    <d v="2023-10-24T00:00:00"/>
    <x v="1"/>
    <x v="3"/>
    <x v="0"/>
    <x v="22"/>
    <n v="1420"/>
    <n v="25"/>
    <x v="1513"/>
    <x v="4"/>
  </r>
  <r>
    <d v="2023-10-24T00:00:00"/>
    <x v="4"/>
    <x v="0"/>
    <x v="1"/>
    <x v="6"/>
    <n v="640"/>
    <n v="76"/>
    <x v="1416"/>
    <x v="4"/>
  </r>
  <r>
    <d v="2023-10-24T00:00:00"/>
    <x v="2"/>
    <x v="0"/>
    <x v="0"/>
    <x v="0"/>
    <n v="1320"/>
    <n v="53"/>
    <x v="1611"/>
    <x v="4"/>
  </r>
  <r>
    <d v="2023-10-24T00:00:00"/>
    <x v="1"/>
    <x v="0"/>
    <x v="4"/>
    <x v="21"/>
    <n v="3205"/>
    <n v="12"/>
    <x v="1379"/>
    <x v="4"/>
  </r>
  <r>
    <d v="2023-10-24T00:00:00"/>
    <x v="4"/>
    <x v="4"/>
    <x v="1"/>
    <x v="6"/>
    <n v="640"/>
    <n v="43"/>
    <x v="1612"/>
    <x v="4"/>
  </r>
  <r>
    <d v="2023-10-24T00:00:00"/>
    <x v="4"/>
    <x v="4"/>
    <x v="4"/>
    <x v="11"/>
    <n v="2970"/>
    <n v="36"/>
    <x v="1458"/>
    <x v="4"/>
  </r>
  <r>
    <d v="2023-10-24T00:00:00"/>
    <x v="0"/>
    <x v="1"/>
    <x v="4"/>
    <x v="7"/>
    <n v="1760"/>
    <n v="13"/>
    <x v="350"/>
    <x v="4"/>
  </r>
  <r>
    <d v="2023-10-24T00:00:00"/>
    <x v="1"/>
    <x v="5"/>
    <x v="4"/>
    <x v="7"/>
    <n v="1760"/>
    <n v="100"/>
    <x v="1613"/>
    <x v="4"/>
  </r>
  <r>
    <d v="2023-10-24T00:00:00"/>
    <x v="1"/>
    <x v="6"/>
    <x v="1"/>
    <x v="18"/>
    <n v="650"/>
    <n v="33"/>
    <x v="360"/>
    <x v="4"/>
  </r>
  <r>
    <d v="2023-10-24T00:00:00"/>
    <x v="0"/>
    <x v="6"/>
    <x v="0"/>
    <x v="22"/>
    <n v="1420"/>
    <n v="23"/>
    <x v="408"/>
    <x v="4"/>
  </r>
  <r>
    <d v="2023-10-24T00:00:00"/>
    <x v="4"/>
    <x v="6"/>
    <x v="0"/>
    <x v="22"/>
    <n v="1420"/>
    <n v="19"/>
    <x v="951"/>
    <x v="4"/>
  </r>
  <r>
    <s v="24.10.2023 Итог"/>
    <x v="3"/>
    <x v="2"/>
    <x v="3"/>
    <x v="3"/>
    <m/>
    <m/>
    <x v="1614"/>
    <x v="4"/>
  </r>
  <r>
    <d v="2023-10-25T00:00:00"/>
    <x v="0"/>
    <x v="0"/>
    <x v="2"/>
    <x v="9"/>
    <n v="690"/>
    <n v="39"/>
    <x v="1113"/>
    <x v="4"/>
  </r>
  <r>
    <d v="2023-10-25T00:00:00"/>
    <x v="2"/>
    <x v="0"/>
    <x v="2"/>
    <x v="2"/>
    <n v="325"/>
    <n v="51"/>
    <x v="1615"/>
    <x v="4"/>
  </r>
  <r>
    <d v="2023-10-25T00:00:00"/>
    <x v="2"/>
    <x v="5"/>
    <x v="2"/>
    <x v="12"/>
    <n v="715"/>
    <n v="86"/>
    <x v="1616"/>
    <x v="4"/>
  </r>
  <r>
    <d v="2023-10-25T00:00:00"/>
    <x v="2"/>
    <x v="5"/>
    <x v="2"/>
    <x v="16"/>
    <n v="890"/>
    <n v="61"/>
    <x v="1199"/>
    <x v="4"/>
  </r>
  <r>
    <d v="2023-10-25T00:00:00"/>
    <x v="0"/>
    <x v="5"/>
    <x v="0"/>
    <x v="0"/>
    <n v="1320"/>
    <n v="89"/>
    <x v="779"/>
    <x v="4"/>
  </r>
  <r>
    <d v="2023-10-25T00:00:00"/>
    <x v="4"/>
    <x v="6"/>
    <x v="1"/>
    <x v="18"/>
    <n v="650"/>
    <n v="64"/>
    <x v="15"/>
    <x v="4"/>
  </r>
  <r>
    <d v="2023-10-25T00:00:00"/>
    <x v="1"/>
    <x v="6"/>
    <x v="0"/>
    <x v="5"/>
    <n v="930"/>
    <n v="89"/>
    <x v="729"/>
    <x v="4"/>
  </r>
  <r>
    <s v="25.10.2023 Итог"/>
    <x v="3"/>
    <x v="2"/>
    <x v="3"/>
    <x v="3"/>
    <m/>
    <m/>
    <x v="1617"/>
    <x v="4"/>
  </r>
  <r>
    <d v="2023-10-26T00:00:00"/>
    <x v="4"/>
    <x v="3"/>
    <x v="0"/>
    <x v="24"/>
    <n v="2540"/>
    <n v="75"/>
    <x v="98"/>
    <x v="4"/>
  </r>
  <r>
    <d v="2023-10-26T00:00:00"/>
    <x v="0"/>
    <x v="0"/>
    <x v="0"/>
    <x v="5"/>
    <n v="930"/>
    <n v="48"/>
    <x v="1565"/>
    <x v="4"/>
  </r>
  <r>
    <d v="2023-10-26T00:00:00"/>
    <x v="4"/>
    <x v="0"/>
    <x v="0"/>
    <x v="5"/>
    <n v="930"/>
    <n v="70"/>
    <x v="1223"/>
    <x v="4"/>
  </r>
  <r>
    <d v="2023-10-26T00:00:00"/>
    <x v="4"/>
    <x v="4"/>
    <x v="2"/>
    <x v="4"/>
    <n v="450"/>
    <n v="58"/>
    <x v="620"/>
    <x v="4"/>
  </r>
  <r>
    <d v="2023-10-26T00:00:00"/>
    <x v="0"/>
    <x v="4"/>
    <x v="0"/>
    <x v="24"/>
    <n v="2540"/>
    <n v="30"/>
    <x v="1143"/>
    <x v="4"/>
  </r>
  <r>
    <d v="2023-10-26T00:00:00"/>
    <x v="1"/>
    <x v="4"/>
    <x v="0"/>
    <x v="24"/>
    <n v="2540"/>
    <n v="53"/>
    <x v="1401"/>
    <x v="4"/>
  </r>
  <r>
    <d v="2023-10-26T00:00:00"/>
    <x v="1"/>
    <x v="4"/>
    <x v="4"/>
    <x v="7"/>
    <n v="1760"/>
    <n v="89"/>
    <x v="1618"/>
    <x v="4"/>
  </r>
  <r>
    <d v="2023-10-26T00:00:00"/>
    <x v="2"/>
    <x v="4"/>
    <x v="4"/>
    <x v="14"/>
    <n v="1670"/>
    <n v="23"/>
    <x v="1619"/>
    <x v="4"/>
  </r>
  <r>
    <d v="2023-10-26T00:00:00"/>
    <x v="0"/>
    <x v="1"/>
    <x v="1"/>
    <x v="6"/>
    <n v="640"/>
    <n v="8"/>
    <x v="1597"/>
    <x v="4"/>
  </r>
  <r>
    <d v="2023-10-26T00:00:00"/>
    <x v="4"/>
    <x v="1"/>
    <x v="2"/>
    <x v="4"/>
    <n v="450"/>
    <n v="91"/>
    <x v="175"/>
    <x v="4"/>
  </r>
  <r>
    <d v="2023-10-26T00:00:00"/>
    <x v="0"/>
    <x v="5"/>
    <x v="1"/>
    <x v="18"/>
    <n v="650"/>
    <n v="11"/>
    <x v="73"/>
    <x v="4"/>
  </r>
  <r>
    <d v="2023-10-26T00:00:00"/>
    <x v="2"/>
    <x v="5"/>
    <x v="2"/>
    <x v="16"/>
    <n v="890"/>
    <n v="95"/>
    <x v="1037"/>
    <x v="4"/>
  </r>
  <r>
    <d v="2023-10-26T00:00:00"/>
    <x v="0"/>
    <x v="5"/>
    <x v="4"/>
    <x v="7"/>
    <n v="1760"/>
    <n v="23"/>
    <x v="539"/>
    <x v="4"/>
  </r>
  <r>
    <s v="26.10.2023 Итог"/>
    <x v="3"/>
    <x v="2"/>
    <x v="3"/>
    <x v="3"/>
    <m/>
    <m/>
    <x v="1620"/>
    <x v="4"/>
  </r>
  <r>
    <d v="2023-10-27T00:00:00"/>
    <x v="4"/>
    <x v="3"/>
    <x v="0"/>
    <x v="10"/>
    <n v="1230"/>
    <n v="86"/>
    <x v="465"/>
    <x v="4"/>
  </r>
  <r>
    <d v="2023-10-27T00:00:00"/>
    <x v="4"/>
    <x v="3"/>
    <x v="0"/>
    <x v="5"/>
    <n v="930"/>
    <n v="19"/>
    <x v="1621"/>
    <x v="4"/>
  </r>
  <r>
    <d v="2023-10-27T00:00:00"/>
    <x v="4"/>
    <x v="0"/>
    <x v="1"/>
    <x v="19"/>
    <n v="540"/>
    <n v="97"/>
    <x v="282"/>
    <x v="4"/>
  </r>
  <r>
    <d v="2023-10-27T00:00:00"/>
    <x v="1"/>
    <x v="0"/>
    <x v="1"/>
    <x v="6"/>
    <n v="640"/>
    <n v="5"/>
    <x v="1622"/>
    <x v="4"/>
  </r>
  <r>
    <d v="2023-10-27T00:00:00"/>
    <x v="0"/>
    <x v="0"/>
    <x v="4"/>
    <x v="14"/>
    <n v="1670"/>
    <n v="54"/>
    <x v="1623"/>
    <x v="4"/>
  </r>
  <r>
    <d v="2023-10-27T00:00:00"/>
    <x v="4"/>
    <x v="0"/>
    <x v="4"/>
    <x v="14"/>
    <n v="1670"/>
    <n v="26"/>
    <x v="140"/>
    <x v="4"/>
  </r>
  <r>
    <d v="2023-10-27T00:00:00"/>
    <x v="2"/>
    <x v="4"/>
    <x v="1"/>
    <x v="23"/>
    <n v="705"/>
    <n v="49"/>
    <x v="332"/>
    <x v="4"/>
  </r>
  <r>
    <d v="2023-10-27T00:00:00"/>
    <x v="4"/>
    <x v="4"/>
    <x v="0"/>
    <x v="17"/>
    <n v="2400"/>
    <n v="73"/>
    <x v="1188"/>
    <x v="4"/>
  </r>
  <r>
    <d v="2023-10-27T00:00:00"/>
    <x v="1"/>
    <x v="1"/>
    <x v="1"/>
    <x v="1"/>
    <n v="1380"/>
    <n v="98"/>
    <x v="1624"/>
    <x v="4"/>
  </r>
  <r>
    <d v="2023-10-27T00:00:00"/>
    <x v="0"/>
    <x v="1"/>
    <x v="2"/>
    <x v="12"/>
    <n v="715"/>
    <n v="55"/>
    <x v="1625"/>
    <x v="4"/>
  </r>
  <r>
    <d v="2023-10-27T00:00:00"/>
    <x v="1"/>
    <x v="5"/>
    <x v="0"/>
    <x v="10"/>
    <n v="1230"/>
    <n v="51"/>
    <x v="1257"/>
    <x v="4"/>
  </r>
  <r>
    <d v="2023-10-27T00:00:00"/>
    <x v="4"/>
    <x v="5"/>
    <x v="0"/>
    <x v="0"/>
    <n v="1320"/>
    <n v="33"/>
    <x v="451"/>
    <x v="4"/>
  </r>
  <r>
    <d v="2023-10-27T00:00:00"/>
    <x v="1"/>
    <x v="6"/>
    <x v="2"/>
    <x v="8"/>
    <n v="460"/>
    <n v="74"/>
    <x v="1417"/>
    <x v="4"/>
  </r>
  <r>
    <s v="27.10.2023 Итог"/>
    <x v="3"/>
    <x v="2"/>
    <x v="3"/>
    <x v="3"/>
    <m/>
    <m/>
    <x v="1626"/>
    <x v="4"/>
  </r>
  <r>
    <d v="2023-10-28T00:00:00"/>
    <x v="0"/>
    <x v="3"/>
    <x v="1"/>
    <x v="1"/>
    <n v="1380"/>
    <n v="16"/>
    <x v="253"/>
    <x v="4"/>
  </r>
  <r>
    <d v="2023-10-28T00:00:00"/>
    <x v="0"/>
    <x v="3"/>
    <x v="2"/>
    <x v="8"/>
    <n v="460"/>
    <n v="92"/>
    <x v="1627"/>
    <x v="4"/>
  </r>
  <r>
    <d v="2023-10-28T00:00:00"/>
    <x v="2"/>
    <x v="3"/>
    <x v="2"/>
    <x v="2"/>
    <n v="325"/>
    <n v="88"/>
    <x v="853"/>
    <x v="4"/>
  </r>
  <r>
    <d v="2023-10-28T00:00:00"/>
    <x v="2"/>
    <x v="3"/>
    <x v="0"/>
    <x v="22"/>
    <n v="1420"/>
    <n v="89"/>
    <x v="655"/>
    <x v="4"/>
  </r>
  <r>
    <d v="2023-10-28T00:00:00"/>
    <x v="2"/>
    <x v="0"/>
    <x v="1"/>
    <x v="23"/>
    <n v="705"/>
    <n v="38"/>
    <x v="1258"/>
    <x v="4"/>
  </r>
  <r>
    <d v="2023-10-28T00:00:00"/>
    <x v="1"/>
    <x v="0"/>
    <x v="2"/>
    <x v="12"/>
    <n v="715"/>
    <n v="25"/>
    <x v="149"/>
    <x v="4"/>
  </r>
  <r>
    <d v="2023-10-28T00:00:00"/>
    <x v="0"/>
    <x v="0"/>
    <x v="0"/>
    <x v="17"/>
    <n v="2400"/>
    <n v="92"/>
    <x v="1628"/>
    <x v="4"/>
  </r>
  <r>
    <d v="2023-10-28T00:00:00"/>
    <x v="2"/>
    <x v="4"/>
    <x v="1"/>
    <x v="1"/>
    <n v="1380"/>
    <n v="36"/>
    <x v="1629"/>
    <x v="4"/>
  </r>
  <r>
    <d v="2023-10-28T00:00:00"/>
    <x v="2"/>
    <x v="4"/>
    <x v="0"/>
    <x v="0"/>
    <n v="1320"/>
    <n v="46"/>
    <x v="1103"/>
    <x v="4"/>
  </r>
  <r>
    <d v="2023-10-28T00:00:00"/>
    <x v="2"/>
    <x v="4"/>
    <x v="4"/>
    <x v="21"/>
    <n v="3205"/>
    <n v="77"/>
    <x v="1630"/>
    <x v="4"/>
  </r>
  <r>
    <s v="28.10.2023 Итог"/>
    <x v="3"/>
    <x v="2"/>
    <x v="3"/>
    <x v="3"/>
    <m/>
    <m/>
    <x v="1631"/>
    <x v="4"/>
  </r>
  <r>
    <d v="2023-10-29T00:00:00"/>
    <x v="4"/>
    <x v="3"/>
    <x v="0"/>
    <x v="0"/>
    <n v="1320"/>
    <n v="46"/>
    <x v="1103"/>
    <x v="4"/>
  </r>
  <r>
    <d v="2023-10-29T00:00:00"/>
    <x v="1"/>
    <x v="3"/>
    <x v="4"/>
    <x v="21"/>
    <n v="3205"/>
    <n v="51"/>
    <x v="1433"/>
    <x v="4"/>
  </r>
  <r>
    <d v="2023-10-29T00:00:00"/>
    <x v="4"/>
    <x v="1"/>
    <x v="1"/>
    <x v="1"/>
    <n v="1380"/>
    <n v="86"/>
    <x v="932"/>
    <x v="4"/>
  </r>
  <r>
    <d v="2023-10-29T00:00:00"/>
    <x v="2"/>
    <x v="1"/>
    <x v="1"/>
    <x v="1"/>
    <n v="1380"/>
    <n v="50"/>
    <x v="1179"/>
    <x v="4"/>
  </r>
  <r>
    <d v="2023-10-29T00:00:00"/>
    <x v="1"/>
    <x v="1"/>
    <x v="0"/>
    <x v="10"/>
    <n v="1230"/>
    <n v="90"/>
    <x v="415"/>
    <x v="4"/>
  </r>
  <r>
    <d v="2023-10-29T00:00:00"/>
    <x v="4"/>
    <x v="5"/>
    <x v="1"/>
    <x v="18"/>
    <n v="650"/>
    <n v="59"/>
    <x v="1568"/>
    <x v="4"/>
  </r>
  <r>
    <s v="29.10.2023 Итог"/>
    <x v="3"/>
    <x v="2"/>
    <x v="3"/>
    <x v="3"/>
    <m/>
    <m/>
    <x v="1632"/>
    <x v="4"/>
  </r>
  <r>
    <d v="2023-10-30T00:00:00"/>
    <x v="2"/>
    <x v="3"/>
    <x v="1"/>
    <x v="20"/>
    <n v="650"/>
    <n v="15"/>
    <x v="857"/>
    <x v="4"/>
  </r>
  <r>
    <d v="2023-10-30T00:00:00"/>
    <x v="2"/>
    <x v="3"/>
    <x v="2"/>
    <x v="8"/>
    <n v="460"/>
    <n v="33"/>
    <x v="628"/>
    <x v="4"/>
  </r>
  <r>
    <d v="2023-10-30T00:00:00"/>
    <x v="0"/>
    <x v="3"/>
    <x v="4"/>
    <x v="11"/>
    <n v="2970"/>
    <n v="100"/>
    <x v="1633"/>
    <x v="4"/>
  </r>
  <r>
    <d v="2023-10-30T00:00:00"/>
    <x v="2"/>
    <x v="3"/>
    <x v="4"/>
    <x v="11"/>
    <n v="2970"/>
    <n v="13"/>
    <x v="603"/>
    <x v="4"/>
  </r>
  <r>
    <d v="2023-10-30T00:00:00"/>
    <x v="0"/>
    <x v="0"/>
    <x v="1"/>
    <x v="23"/>
    <n v="705"/>
    <n v="53"/>
    <x v="1634"/>
    <x v="4"/>
  </r>
  <r>
    <d v="2023-10-30T00:00:00"/>
    <x v="2"/>
    <x v="0"/>
    <x v="2"/>
    <x v="8"/>
    <n v="460"/>
    <n v="47"/>
    <x v="1635"/>
    <x v="4"/>
  </r>
  <r>
    <d v="2023-10-30T00:00:00"/>
    <x v="2"/>
    <x v="0"/>
    <x v="0"/>
    <x v="22"/>
    <n v="1420"/>
    <n v="75"/>
    <x v="232"/>
    <x v="4"/>
  </r>
  <r>
    <d v="2023-10-30T00:00:00"/>
    <x v="1"/>
    <x v="4"/>
    <x v="0"/>
    <x v="17"/>
    <n v="2400"/>
    <n v="60"/>
    <x v="1585"/>
    <x v="4"/>
  </r>
  <r>
    <d v="2023-10-30T00:00:00"/>
    <x v="4"/>
    <x v="1"/>
    <x v="2"/>
    <x v="12"/>
    <n v="715"/>
    <n v="64"/>
    <x v="185"/>
    <x v="4"/>
  </r>
  <r>
    <d v="2023-10-30T00:00:00"/>
    <x v="1"/>
    <x v="1"/>
    <x v="2"/>
    <x v="16"/>
    <n v="890"/>
    <n v="70"/>
    <x v="578"/>
    <x v="4"/>
  </r>
  <r>
    <d v="2023-10-30T00:00:00"/>
    <x v="0"/>
    <x v="5"/>
    <x v="2"/>
    <x v="8"/>
    <n v="460"/>
    <n v="43"/>
    <x v="86"/>
    <x v="4"/>
  </r>
  <r>
    <d v="2023-10-30T00:00:00"/>
    <x v="0"/>
    <x v="6"/>
    <x v="1"/>
    <x v="1"/>
    <n v="1380"/>
    <n v="46"/>
    <x v="1275"/>
    <x v="4"/>
  </r>
  <r>
    <d v="2023-10-30T00:00:00"/>
    <x v="2"/>
    <x v="6"/>
    <x v="0"/>
    <x v="17"/>
    <n v="2400"/>
    <n v="20"/>
    <x v="77"/>
    <x v="4"/>
  </r>
  <r>
    <d v="2023-10-30T00:00:00"/>
    <x v="0"/>
    <x v="6"/>
    <x v="4"/>
    <x v="21"/>
    <n v="3205"/>
    <n v="66"/>
    <x v="1160"/>
    <x v="4"/>
  </r>
  <r>
    <s v="30.10.2023 Итог"/>
    <x v="3"/>
    <x v="2"/>
    <x v="3"/>
    <x v="3"/>
    <m/>
    <m/>
    <x v="1636"/>
    <x v="4"/>
  </r>
  <r>
    <d v="2023-10-31T00:00:00"/>
    <x v="0"/>
    <x v="4"/>
    <x v="1"/>
    <x v="1"/>
    <n v="1380"/>
    <n v="53"/>
    <x v="734"/>
    <x v="4"/>
  </r>
  <r>
    <d v="2023-10-31T00:00:00"/>
    <x v="0"/>
    <x v="4"/>
    <x v="2"/>
    <x v="12"/>
    <n v="715"/>
    <n v="15"/>
    <x v="28"/>
    <x v="4"/>
  </r>
  <r>
    <d v="2023-10-31T00:00:00"/>
    <x v="1"/>
    <x v="4"/>
    <x v="0"/>
    <x v="22"/>
    <n v="1420"/>
    <n v="50"/>
    <x v="1637"/>
    <x v="4"/>
  </r>
  <r>
    <d v="2023-10-31T00:00:00"/>
    <x v="1"/>
    <x v="4"/>
    <x v="0"/>
    <x v="22"/>
    <n v="1420"/>
    <n v="100"/>
    <x v="976"/>
    <x v="4"/>
  </r>
  <r>
    <d v="2023-10-31T00:00:00"/>
    <x v="1"/>
    <x v="4"/>
    <x v="4"/>
    <x v="21"/>
    <n v="3205"/>
    <n v="22"/>
    <x v="311"/>
    <x v="4"/>
  </r>
  <r>
    <d v="2023-10-31T00:00:00"/>
    <x v="2"/>
    <x v="5"/>
    <x v="2"/>
    <x v="9"/>
    <n v="690"/>
    <n v="41"/>
    <x v="738"/>
    <x v="4"/>
  </r>
  <r>
    <d v="2023-10-31T00:00:00"/>
    <x v="2"/>
    <x v="6"/>
    <x v="1"/>
    <x v="18"/>
    <n v="650"/>
    <n v="83"/>
    <x v="442"/>
    <x v="4"/>
  </r>
  <r>
    <s v="31.10.2023 Итог"/>
    <x v="3"/>
    <x v="2"/>
    <x v="3"/>
    <x v="3"/>
    <m/>
    <m/>
    <x v="1638"/>
    <x v="4"/>
  </r>
  <r>
    <d v="2023-11-01T00:00:00"/>
    <x v="2"/>
    <x v="3"/>
    <x v="2"/>
    <x v="2"/>
    <n v="325"/>
    <n v="51"/>
    <x v="1615"/>
    <x v="4"/>
  </r>
  <r>
    <d v="2023-11-01T00:00:00"/>
    <x v="0"/>
    <x v="3"/>
    <x v="0"/>
    <x v="5"/>
    <n v="930"/>
    <n v="40"/>
    <x v="372"/>
    <x v="4"/>
  </r>
  <r>
    <d v="2023-11-01T00:00:00"/>
    <x v="0"/>
    <x v="0"/>
    <x v="1"/>
    <x v="1"/>
    <n v="1380"/>
    <n v="26"/>
    <x v="690"/>
    <x v="4"/>
  </r>
  <r>
    <d v="2023-11-01T00:00:00"/>
    <x v="2"/>
    <x v="0"/>
    <x v="2"/>
    <x v="2"/>
    <n v="325"/>
    <n v="7"/>
    <x v="574"/>
    <x v="4"/>
  </r>
  <r>
    <d v="2023-11-01T00:00:00"/>
    <x v="2"/>
    <x v="0"/>
    <x v="0"/>
    <x v="0"/>
    <n v="1320"/>
    <n v="42"/>
    <x v="1140"/>
    <x v="4"/>
  </r>
  <r>
    <d v="2023-11-01T00:00:00"/>
    <x v="4"/>
    <x v="0"/>
    <x v="4"/>
    <x v="13"/>
    <n v="1505"/>
    <n v="95"/>
    <x v="1639"/>
    <x v="4"/>
  </r>
  <r>
    <d v="2023-11-01T00:00:00"/>
    <x v="0"/>
    <x v="4"/>
    <x v="0"/>
    <x v="0"/>
    <n v="1320"/>
    <n v="83"/>
    <x v="463"/>
    <x v="4"/>
  </r>
  <r>
    <d v="2023-11-01T00:00:00"/>
    <x v="2"/>
    <x v="4"/>
    <x v="4"/>
    <x v="14"/>
    <n v="1670"/>
    <n v="75"/>
    <x v="1158"/>
    <x v="4"/>
  </r>
  <r>
    <d v="2023-11-01T00:00:00"/>
    <x v="0"/>
    <x v="1"/>
    <x v="1"/>
    <x v="19"/>
    <n v="540"/>
    <n v="36"/>
    <x v="965"/>
    <x v="4"/>
  </r>
  <r>
    <d v="2023-11-01T00:00:00"/>
    <x v="1"/>
    <x v="1"/>
    <x v="2"/>
    <x v="12"/>
    <n v="715"/>
    <n v="100"/>
    <x v="1640"/>
    <x v="4"/>
  </r>
  <r>
    <d v="2023-11-01T00:00:00"/>
    <x v="0"/>
    <x v="1"/>
    <x v="2"/>
    <x v="12"/>
    <n v="715"/>
    <n v="64"/>
    <x v="185"/>
    <x v="4"/>
  </r>
  <r>
    <d v="2023-11-01T00:00:00"/>
    <x v="2"/>
    <x v="1"/>
    <x v="0"/>
    <x v="10"/>
    <n v="1230"/>
    <n v="97"/>
    <x v="1482"/>
    <x v="4"/>
  </r>
  <r>
    <d v="2023-11-01T00:00:00"/>
    <x v="2"/>
    <x v="1"/>
    <x v="0"/>
    <x v="10"/>
    <n v="1230"/>
    <n v="27"/>
    <x v="1318"/>
    <x v="4"/>
  </r>
  <r>
    <d v="2023-11-01T00:00:00"/>
    <x v="0"/>
    <x v="6"/>
    <x v="0"/>
    <x v="10"/>
    <n v="1230"/>
    <n v="90"/>
    <x v="415"/>
    <x v="4"/>
  </r>
  <r>
    <s v="01.11.2023 Итог"/>
    <x v="3"/>
    <x v="2"/>
    <x v="3"/>
    <x v="3"/>
    <m/>
    <m/>
    <x v="1641"/>
    <x v="4"/>
  </r>
  <r>
    <d v="2023-11-02T00:00:00"/>
    <x v="4"/>
    <x v="3"/>
    <x v="1"/>
    <x v="6"/>
    <n v="640"/>
    <n v="66"/>
    <x v="11"/>
    <x v="4"/>
  </r>
  <r>
    <d v="2023-11-02T00:00:00"/>
    <x v="1"/>
    <x v="0"/>
    <x v="1"/>
    <x v="23"/>
    <n v="705"/>
    <n v="17"/>
    <x v="684"/>
    <x v="4"/>
  </r>
  <r>
    <d v="2023-11-02T00:00:00"/>
    <x v="2"/>
    <x v="0"/>
    <x v="2"/>
    <x v="12"/>
    <n v="715"/>
    <n v="8"/>
    <x v="398"/>
    <x v="4"/>
  </r>
  <r>
    <d v="2023-11-02T00:00:00"/>
    <x v="1"/>
    <x v="5"/>
    <x v="2"/>
    <x v="12"/>
    <n v="715"/>
    <n v="63"/>
    <x v="1642"/>
    <x v="4"/>
  </r>
  <r>
    <d v="2023-11-02T00:00:00"/>
    <x v="4"/>
    <x v="6"/>
    <x v="1"/>
    <x v="1"/>
    <n v="1380"/>
    <n v="22"/>
    <x v="1643"/>
    <x v="4"/>
  </r>
  <r>
    <d v="2023-11-02T00:00:00"/>
    <x v="4"/>
    <x v="6"/>
    <x v="4"/>
    <x v="15"/>
    <n v="2460"/>
    <n v="13"/>
    <x v="108"/>
    <x v="4"/>
  </r>
  <r>
    <d v="2023-11-02T00:00:00"/>
    <x v="2"/>
    <x v="6"/>
    <x v="4"/>
    <x v="15"/>
    <n v="2460"/>
    <n v="22"/>
    <x v="142"/>
    <x v="4"/>
  </r>
  <r>
    <d v="2023-11-02T00:00:00"/>
    <x v="2"/>
    <x v="6"/>
    <x v="4"/>
    <x v="7"/>
    <n v="1760"/>
    <n v="9"/>
    <x v="1408"/>
    <x v="4"/>
  </r>
  <r>
    <s v="02.11.2023 Итог"/>
    <x v="3"/>
    <x v="2"/>
    <x v="3"/>
    <x v="3"/>
    <m/>
    <m/>
    <x v="1644"/>
    <x v="4"/>
  </r>
  <r>
    <d v="2023-11-03T00:00:00"/>
    <x v="4"/>
    <x v="3"/>
    <x v="4"/>
    <x v="15"/>
    <n v="2460"/>
    <n v="12"/>
    <x v="600"/>
    <x v="4"/>
  </r>
  <r>
    <d v="2023-11-03T00:00:00"/>
    <x v="0"/>
    <x v="0"/>
    <x v="1"/>
    <x v="23"/>
    <n v="705"/>
    <n v="73"/>
    <x v="1645"/>
    <x v="4"/>
  </r>
  <r>
    <d v="2023-11-03T00:00:00"/>
    <x v="1"/>
    <x v="0"/>
    <x v="2"/>
    <x v="8"/>
    <n v="460"/>
    <n v="87"/>
    <x v="215"/>
    <x v="4"/>
  </r>
  <r>
    <d v="2023-11-03T00:00:00"/>
    <x v="1"/>
    <x v="0"/>
    <x v="4"/>
    <x v="11"/>
    <n v="2970"/>
    <n v="53"/>
    <x v="246"/>
    <x v="4"/>
  </r>
  <r>
    <d v="2023-11-03T00:00:00"/>
    <x v="1"/>
    <x v="4"/>
    <x v="2"/>
    <x v="8"/>
    <n v="460"/>
    <n v="80"/>
    <x v="467"/>
    <x v="4"/>
  </r>
  <r>
    <d v="2023-11-03T00:00:00"/>
    <x v="1"/>
    <x v="4"/>
    <x v="0"/>
    <x v="24"/>
    <n v="2540"/>
    <n v="44"/>
    <x v="1053"/>
    <x v="4"/>
  </r>
  <r>
    <d v="2023-11-03T00:00:00"/>
    <x v="2"/>
    <x v="4"/>
    <x v="4"/>
    <x v="7"/>
    <n v="1760"/>
    <n v="82"/>
    <x v="852"/>
    <x v="4"/>
  </r>
  <r>
    <d v="2023-11-03T00:00:00"/>
    <x v="2"/>
    <x v="5"/>
    <x v="4"/>
    <x v="7"/>
    <n v="1760"/>
    <n v="55"/>
    <x v="1646"/>
    <x v="4"/>
  </r>
  <r>
    <d v="2023-11-03T00:00:00"/>
    <x v="2"/>
    <x v="6"/>
    <x v="1"/>
    <x v="19"/>
    <n v="540"/>
    <n v="83"/>
    <x v="629"/>
    <x v="4"/>
  </r>
  <r>
    <d v="2023-11-03T00:00:00"/>
    <x v="1"/>
    <x v="6"/>
    <x v="0"/>
    <x v="10"/>
    <n v="1230"/>
    <n v="46"/>
    <x v="556"/>
    <x v="4"/>
  </r>
  <r>
    <d v="2023-11-03T00:00:00"/>
    <x v="4"/>
    <x v="6"/>
    <x v="0"/>
    <x v="22"/>
    <n v="1420"/>
    <n v="58"/>
    <x v="888"/>
    <x v="4"/>
  </r>
  <r>
    <d v="2023-11-03T00:00:00"/>
    <x v="2"/>
    <x v="6"/>
    <x v="4"/>
    <x v="7"/>
    <n v="1760"/>
    <n v="75"/>
    <x v="524"/>
    <x v="4"/>
  </r>
  <r>
    <s v="03.11.2023 Итог"/>
    <x v="3"/>
    <x v="2"/>
    <x v="3"/>
    <x v="3"/>
    <m/>
    <m/>
    <x v="1647"/>
    <x v="4"/>
  </r>
  <r>
    <d v="2023-11-04T00:00:00"/>
    <x v="1"/>
    <x v="3"/>
    <x v="1"/>
    <x v="19"/>
    <n v="540"/>
    <n v="85"/>
    <x v="1648"/>
    <x v="4"/>
  </r>
  <r>
    <d v="2023-11-04T00:00:00"/>
    <x v="4"/>
    <x v="3"/>
    <x v="2"/>
    <x v="8"/>
    <n v="460"/>
    <n v="75"/>
    <x v="1057"/>
    <x v="4"/>
  </r>
  <r>
    <d v="2023-11-04T00:00:00"/>
    <x v="0"/>
    <x v="3"/>
    <x v="0"/>
    <x v="5"/>
    <n v="930"/>
    <n v="36"/>
    <x v="206"/>
    <x v="4"/>
  </r>
  <r>
    <d v="2023-11-04T00:00:00"/>
    <x v="4"/>
    <x v="3"/>
    <x v="0"/>
    <x v="10"/>
    <n v="1230"/>
    <n v="78"/>
    <x v="906"/>
    <x v="4"/>
  </r>
  <r>
    <d v="2023-11-04T00:00:00"/>
    <x v="2"/>
    <x v="0"/>
    <x v="1"/>
    <x v="20"/>
    <n v="650"/>
    <n v="80"/>
    <x v="1649"/>
    <x v="4"/>
  </r>
  <r>
    <d v="2023-11-04T00:00:00"/>
    <x v="4"/>
    <x v="4"/>
    <x v="1"/>
    <x v="1"/>
    <n v="1380"/>
    <n v="15"/>
    <x v="812"/>
    <x v="4"/>
  </r>
  <r>
    <d v="2023-11-04T00:00:00"/>
    <x v="4"/>
    <x v="4"/>
    <x v="2"/>
    <x v="16"/>
    <n v="890"/>
    <n v="66"/>
    <x v="1239"/>
    <x v="4"/>
  </r>
  <r>
    <d v="2023-11-04T00:00:00"/>
    <x v="1"/>
    <x v="4"/>
    <x v="0"/>
    <x v="5"/>
    <n v="930"/>
    <n v="89"/>
    <x v="729"/>
    <x v="4"/>
  </r>
  <r>
    <d v="2023-11-04T00:00:00"/>
    <x v="2"/>
    <x v="4"/>
    <x v="4"/>
    <x v="11"/>
    <n v="2970"/>
    <n v="39"/>
    <x v="1385"/>
    <x v="4"/>
  </r>
  <r>
    <d v="2023-11-04T00:00:00"/>
    <x v="1"/>
    <x v="1"/>
    <x v="1"/>
    <x v="19"/>
    <n v="540"/>
    <n v="8"/>
    <x v="814"/>
    <x v="4"/>
  </r>
  <r>
    <d v="2023-11-04T00:00:00"/>
    <x v="1"/>
    <x v="6"/>
    <x v="4"/>
    <x v="15"/>
    <n v="2460"/>
    <n v="32"/>
    <x v="424"/>
    <x v="4"/>
  </r>
  <r>
    <s v="04.11.2023 Итог"/>
    <x v="3"/>
    <x v="2"/>
    <x v="3"/>
    <x v="3"/>
    <m/>
    <m/>
    <x v="1650"/>
    <x v="4"/>
  </r>
  <r>
    <d v="2023-11-05T00:00:00"/>
    <x v="2"/>
    <x v="3"/>
    <x v="1"/>
    <x v="1"/>
    <n v="1380"/>
    <n v="6"/>
    <x v="244"/>
    <x v="4"/>
  </r>
  <r>
    <d v="2023-11-05T00:00:00"/>
    <x v="4"/>
    <x v="3"/>
    <x v="0"/>
    <x v="22"/>
    <n v="1420"/>
    <n v="75"/>
    <x v="232"/>
    <x v="4"/>
  </r>
  <r>
    <d v="2023-11-05T00:00:00"/>
    <x v="2"/>
    <x v="3"/>
    <x v="4"/>
    <x v="13"/>
    <n v="1505"/>
    <n v="88"/>
    <x v="1492"/>
    <x v="4"/>
  </r>
  <r>
    <d v="2023-11-05T00:00:00"/>
    <x v="2"/>
    <x v="0"/>
    <x v="1"/>
    <x v="23"/>
    <n v="705"/>
    <n v="5"/>
    <x v="708"/>
    <x v="4"/>
  </r>
  <r>
    <d v="2023-11-05T00:00:00"/>
    <x v="1"/>
    <x v="0"/>
    <x v="2"/>
    <x v="2"/>
    <n v="325"/>
    <n v="40"/>
    <x v="1455"/>
    <x v="4"/>
  </r>
  <r>
    <d v="2023-11-05T00:00:00"/>
    <x v="2"/>
    <x v="4"/>
    <x v="0"/>
    <x v="17"/>
    <n v="2400"/>
    <n v="22"/>
    <x v="94"/>
    <x v="4"/>
  </r>
  <r>
    <d v="2023-11-05T00:00:00"/>
    <x v="4"/>
    <x v="1"/>
    <x v="1"/>
    <x v="18"/>
    <n v="650"/>
    <n v="10"/>
    <x v="562"/>
    <x v="4"/>
  </r>
  <r>
    <d v="2023-11-05T00:00:00"/>
    <x v="4"/>
    <x v="1"/>
    <x v="0"/>
    <x v="10"/>
    <n v="1230"/>
    <n v="34"/>
    <x v="187"/>
    <x v="4"/>
  </r>
  <r>
    <s v="05.11.2023 Итог"/>
    <x v="3"/>
    <x v="2"/>
    <x v="3"/>
    <x v="3"/>
    <m/>
    <m/>
    <x v="1651"/>
    <x v="4"/>
  </r>
  <r>
    <d v="2023-11-06T00:00:00"/>
    <x v="1"/>
    <x v="3"/>
    <x v="0"/>
    <x v="17"/>
    <n v="2400"/>
    <n v="6"/>
    <x v="1175"/>
    <x v="4"/>
  </r>
  <r>
    <d v="2023-11-06T00:00:00"/>
    <x v="2"/>
    <x v="3"/>
    <x v="0"/>
    <x v="5"/>
    <n v="930"/>
    <n v="54"/>
    <x v="955"/>
    <x v="4"/>
  </r>
  <r>
    <d v="2023-11-06T00:00:00"/>
    <x v="0"/>
    <x v="0"/>
    <x v="2"/>
    <x v="12"/>
    <n v="715"/>
    <n v="91"/>
    <x v="298"/>
    <x v="4"/>
  </r>
  <r>
    <d v="2023-11-06T00:00:00"/>
    <x v="2"/>
    <x v="0"/>
    <x v="2"/>
    <x v="12"/>
    <n v="715"/>
    <n v="90"/>
    <x v="221"/>
    <x v="4"/>
  </r>
  <r>
    <d v="2023-11-06T00:00:00"/>
    <x v="4"/>
    <x v="0"/>
    <x v="0"/>
    <x v="5"/>
    <n v="930"/>
    <n v="81"/>
    <x v="1374"/>
    <x v="4"/>
  </r>
  <r>
    <d v="2023-11-06T00:00:00"/>
    <x v="2"/>
    <x v="1"/>
    <x v="1"/>
    <x v="20"/>
    <n v="650"/>
    <n v="93"/>
    <x v="875"/>
    <x v="4"/>
  </r>
  <r>
    <d v="2023-11-06T00:00:00"/>
    <x v="1"/>
    <x v="1"/>
    <x v="2"/>
    <x v="16"/>
    <n v="890"/>
    <n v="51"/>
    <x v="773"/>
    <x v="4"/>
  </r>
  <r>
    <d v="2023-11-06T00:00:00"/>
    <x v="1"/>
    <x v="1"/>
    <x v="0"/>
    <x v="5"/>
    <n v="930"/>
    <n v="57"/>
    <x v="1652"/>
    <x v="4"/>
  </r>
  <r>
    <d v="2023-11-06T00:00:00"/>
    <x v="2"/>
    <x v="1"/>
    <x v="4"/>
    <x v="7"/>
    <n v="1760"/>
    <n v="26"/>
    <x v="185"/>
    <x v="4"/>
  </r>
  <r>
    <d v="2023-11-06T00:00:00"/>
    <x v="2"/>
    <x v="1"/>
    <x v="4"/>
    <x v="13"/>
    <n v="1505"/>
    <n v="28"/>
    <x v="1594"/>
    <x v="4"/>
  </r>
  <r>
    <d v="2023-11-06T00:00:00"/>
    <x v="2"/>
    <x v="5"/>
    <x v="1"/>
    <x v="19"/>
    <n v="540"/>
    <n v="42"/>
    <x v="1653"/>
    <x v="4"/>
  </r>
  <r>
    <d v="2023-11-06T00:00:00"/>
    <x v="4"/>
    <x v="6"/>
    <x v="1"/>
    <x v="18"/>
    <n v="650"/>
    <n v="59"/>
    <x v="1568"/>
    <x v="4"/>
  </r>
  <r>
    <d v="2023-11-06T00:00:00"/>
    <x v="1"/>
    <x v="6"/>
    <x v="2"/>
    <x v="8"/>
    <n v="460"/>
    <n v="62"/>
    <x v="1654"/>
    <x v="4"/>
  </r>
  <r>
    <d v="2023-11-06T00:00:00"/>
    <x v="4"/>
    <x v="6"/>
    <x v="2"/>
    <x v="2"/>
    <n v="325"/>
    <n v="37"/>
    <x v="260"/>
    <x v="4"/>
  </r>
  <r>
    <d v="2023-11-06T00:00:00"/>
    <x v="1"/>
    <x v="6"/>
    <x v="0"/>
    <x v="22"/>
    <n v="1420"/>
    <n v="20"/>
    <x v="657"/>
    <x v="4"/>
  </r>
  <r>
    <s v="06.11.2023 Итог"/>
    <x v="3"/>
    <x v="2"/>
    <x v="3"/>
    <x v="3"/>
    <m/>
    <m/>
    <x v="1655"/>
    <x v="4"/>
  </r>
  <r>
    <d v="2023-11-07T00:00:00"/>
    <x v="1"/>
    <x v="3"/>
    <x v="1"/>
    <x v="19"/>
    <n v="540"/>
    <n v="62"/>
    <x v="206"/>
    <x v="4"/>
  </r>
  <r>
    <d v="2023-11-07T00:00:00"/>
    <x v="4"/>
    <x v="0"/>
    <x v="1"/>
    <x v="19"/>
    <n v="540"/>
    <n v="11"/>
    <x v="53"/>
    <x v="4"/>
  </r>
  <r>
    <d v="2023-11-07T00:00:00"/>
    <x v="1"/>
    <x v="0"/>
    <x v="0"/>
    <x v="0"/>
    <n v="1320"/>
    <n v="30"/>
    <x v="425"/>
    <x v="4"/>
  </r>
  <r>
    <d v="2023-11-07T00:00:00"/>
    <x v="1"/>
    <x v="1"/>
    <x v="2"/>
    <x v="2"/>
    <n v="325"/>
    <n v="93"/>
    <x v="1656"/>
    <x v="4"/>
  </r>
  <r>
    <d v="2023-11-07T00:00:00"/>
    <x v="1"/>
    <x v="1"/>
    <x v="2"/>
    <x v="16"/>
    <n v="890"/>
    <n v="24"/>
    <x v="1657"/>
    <x v="4"/>
  </r>
  <r>
    <d v="2023-11-07T00:00:00"/>
    <x v="4"/>
    <x v="1"/>
    <x v="4"/>
    <x v="15"/>
    <n v="2460"/>
    <n v="90"/>
    <x v="153"/>
    <x v="4"/>
  </r>
  <r>
    <d v="2023-11-07T00:00:00"/>
    <x v="2"/>
    <x v="1"/>
    <x v="4"/>
    <x v="14"/>
    <n v="1670"/>
    <n v="88"/>
    <x v="1378"/>
    <x v="4"/>
  </r>
  <r>
    <d v="2023-11-07T00:00:00"/>
    <x v="1"/>
    <x v="1"/>
    <x v="4"/>
    <x v="15"/>
    <n v="2460"/>
    <n v="88"/>
    <x v="1658"/>
    <x v="4"/>
  </r>
  <r>
    <d v="2023-11-07T00:00:00"/>
    <x v="0"/>
    <x v="5"/>
    <x v="2"/>
    <x v="12"/>
    <n v="715"/>
    <n v="46"/>
    <x v="1529"/>
    <x v="4"/>
  </r>
  <r>
    <d v="2023-11-07T00:00:00"/>
    <x v="1"/>
    <x v="6"/>
    <x v="0"/>
    <x v="17"/>
    <n v="2400"/>
    <n v="11"/>
    <x v="257"/>
    <x v="4"/>
  </r>
  <r>
    <d v="2023-11-07T00:00:00"/>
    <x v="1"/>
    <x v="6"/>
    <x v="0"/>
    <x v="5"/>
    <n v="930"/>
    <n v="86"/>
    <x v="5"/>
    <x v="4"/>
  </r>
  <r>
    <d v="2023-11-07T00:00:00"/>
    <x v="0"/>
    <x v="6"/>
    <x v="4"/>
    <x v="21"/>
    <n v="3205"/>
    <n v="28"/>
    <x v="1366"/>
    <x v="4"/>
  </r>
  <r>
    <d v="2023-11-07T00:00:00"/>
    <x v="2"/>
    <x v="6"/>
    <x v="4"/>
    <x v="14"/>
    <n v="1670"/>
    <n v="9"/>
    <x v="1523"/>
    <x v="4"/>
  </r>
  <r>
    <s v="07.11.2023 Итог"/>
    <x v="3"/>
    <x v="2"/>
    <x v="3"/>
    <x v="3"/>
    <m/>
    <m/>
    <x v="1659"/>
    <x v="4"/>
  </r>
  <r>
    <d v="2023-11-08T00:00:00"/>
    <x v="0"/>
    <x v="3"/>
    <x v="2"/>
    <x v="12"/>
    <n v="715"/>
    <n v="58"/>
    <x v="1304"/>
    <x v="4"/>
  </r>
  <r>
    <d v="2023-11-08T00:00:00"/>
    <x v="4"/>
    <x v="3"/>
    <x v="0"/>
    <x v="22"/>
    <n v="1420"/>
    <n v="58"/>
    <x v="888"/>
    <x v="4"/>
  </r>
  <r>
    <d v="2023-11-08T00:00:00"/>
    <x v="4"/>
    <x v="0"/>
    <x v="0"/>
    <x v="5"/>
    <n v="930"/>
    <n v="50"/>
    <x v="143"/>
    <x v="4"/>
  </r>
  <r>
    <d v="2023-11-08T00:00:00"/>
    <x v="1"/>
    <x v="1"/>
    <x v="1"/>
    <x v="19"/>
    <n v="540"/>
    <n v="51"/>
    <x v="1307"/>
    <x v="4"/>
  </r>
  <r>
    <d v="2023-11-08T00:00:00"/>
    <x v="4"/>
    <x v="5"/>
    <x v="1"/>
    <x v="18"/>
    <n v="650"/>
    <n v="32"/>
    <x v="237"/>
    <x v="4"/>
  </r>
  <r>
    <d v="2023-11-08T00:00:00"/>
    <x v="4"/>
    <x v="5"/>
    <x v="0"/>
    <x v="22"/>
    <n v="1420"/>
    <n v="73"/>
    <x v="448"/>
    <x v="4"/>
  </r>
  <r>
    <d v="2023-11-08T00:00:00"/>
    <x v="2"/>
    <x v="6"/>
    <x v="1"/>
    <x v="20"/>
    <n v="650"/>
    <n v="21"/>
    <x v="327"/>
    <x v="4"/>
  </r>
  <r>
    <d v="2023-11-08T00:00:00"/>
    <x v="1"/>
    <x v="6"/>
    <x v="1"/>
    <x v="18"/>
    <n v="650"/>
    <n v="99"/>
    <x v="221"/>
    <x v="4"/>
  </r>
  <r>
    <s v="08.11.2023 Итог"/>
    <x v="3"/>
    <x v="2"/>
    <x v="3"/>
    <x v="3"/>
    <m/>
    <m/>
    <x v="1660"/>
    <x v="4"/>
  </r>
  <r>
    <d v="2023-11-09T00:00:00"/>
    <x v="0"/>
    <x v="3"/>
    <x v="4"/>
    <x v="13"/>
    <n v="1505"/>
    <n v="99"/>
    <x v="1661"/>
    <x v="4"/>
  </r>
  <r>
    <d v="2023-11-09T00:00:00"/>
    <x v="1"/>
    <x v="0"/>
    <x v="2"/>
    <x v="9"/>
    <n v="690"/>
    <n v="47"/>
    <x v="816"/>
    <x v="4"/>
  </r>
  <r>
    <d v="2023-11-09T00:00:00"/>
    <x v="2"/>
    <x v="1"/>
    <x v="1"/>
    <x v="18"/>
    <n v="650"/>
    <n v="13"/>
    <x v="375"/>
    <x v="4"/>
  </r>
  <r>
    <d v="2023-11-09T00:00:00"/>
    <x v="4"/>
    <x v="1"/>
    <x v="4"/>
    <x v="15"/>
    <n v="2460"/>
    <n v="45"/>
    <x v="415"/>
    <x v="4"/>
  </r>
  <r>
    <d v="2023-11-09T00:00:00"/>
    <x v="2"/>
    <x v="5"/>
    <x v="2"/>
    <x v="2"/>
    <n v="325"/>
    <n v="56"/>
    <x v="568"/>
    <x v="4"/>
  </r>
  <r>
    <d v="2023-11-09T00:00:00"/>
    <x v="4"/>
    <x v="5"/>
    <x v="2"/>
    <x v="4"/>
    <n v="450"/>
    <n v="33"/>
    <x v="612"/>
    <x v="4"/>
  </r>
  <r>
    <d v="2023-11-09T00:00:00"/>
    <x v="0"/>
    <x v="5"/>
    <x v="0"/>
    <x v="24"/>
    <n v="2540"/>
    <n v="77"/>
    <x v="1662"/>
    <x v="4"/>
  </r>
  <r>
    <d v="2023-11-09T00:00:00"/>
    <x v="1"/>
    <x v="5"/>
    <x v="0"/>
    <x v="10"/>
    <n v="1230"/>
    <n v="60"/>
    <x v="621"/>
    <x v="4"/>
  </r>
  <r>
    <d v="2023-11-09T00:00:00"/>
    <x v="0"/>
    <x v="5"/>
    <x v="4"/>
    <x v="15"/>
    <n v="2460"/>
    <n v="62"/>
    <x v="1663"/>
    <x v="4"/>
  </r>
  <r>
    <d v="2023-11-09T00:00:00"/>
    <x v="2"/>
    <x v="6"/>
    <x v="1"/>
    <x v="19"/>
    <n v="540"/>
    <n v="19"/>
    <x v="1009"/>
    <x v="4"/>
  </r>
  <r>
    <s v="09.11.2023 Итог"/>
    <x v="3"/>
    <x v="2"/>
    <x v="3"/>
    <x v="3"/>
    <m/>
    <m/>
    <x v="1664"/>
    <x v="4"/>
  </r>
  <r>
    <d v="2023-11-10T00:00:00"/>
    <x v="4"/>
    <x v="3"/>
    <x v="2"/>
    <x v="8"/>
    <n v="460"/>
    <n v="79"/>
    <x v="1069"/>
    <x v="4"/>
  </r>
  <r>
    <d v="2023-11-10T00:00:00"/>
    <x v="1"/>
    <x v="3"/>
    <x v="0"/>
    <x v="0"/>
    <n v="1320"/>
    <n v="7"/>
    <x v="125"/>
    <x v="4"/>
  </r>
  <r>
    <d v="2023-11-10T00:00:00"/>
    <x v="0"/>
    <x v="3"/>
    <x v="4"/>
    <x v="7"/>
    <n v="1760"/>
    <n v="13"/>
    <x v="350"/>
    <x v="4"/>
  </r>
  <r>
    <d v="2023-11-10T00:00:00"/>
    <x v="1"/>
    <x v="0"/>
    <x v="2"/>
    <x v="9"/>
    <n v="690"/>
    <n v="57"/>
    <x v="1278"/>
    <x v="4"/>
  </r>
  <r>
    <d v="2023-11-10T00:00:00"/>
    <x v="1"/>
    <x v="0"/>
    <x v="0"/>
    <x v="22"/>
    <n v="1420"/>
    <n v="11"/>
    <x v="309"/>
    <x v="4"/>
  </r>
  <r>
    <d v="2023-11-10T00:00:00"/>
    <x v="1"/>
    <x v="0"/>
    <x v="4"/>
    <x v="11"/>
    <n v="2970"/>
    <n v="54"/>
    <x v="1665"/>
    <x v="4"/>
  </r>
  <r>
    <d v="2023-11-10T00:00:00"/>
    <x v="2"/>
    <x v="1"/>
    <x v="1"/>
    <x v="1"/>
    <n v="1380"/>
    <n v="74"/>
    <x v="602"/>
    <x v="4"/>
  </r>
  <r>
    <d v="2023-11-10T00:00:00"/>
    <x v="0"/>
    <x v="5"/>
    <x v="2"/>
    <x v="12"/>
    <n v="715"/>
    <n v="33"/>
    <x v="548"/>
    <x v="4"/>
  </r>
  <r>
    <d v="2023-11-10T00:00:00"/>
    <x v="0"/>
    <x v="5"/>
    <x v="4"/>
    <x v="7"/>
    <n v="1760"/>
    <n v="90"/>
    <x v="1405"/>
    <x v="4"/>
  </r>
  <r>
    <d v="2023-11-10T00:00:00"/>
    <x v="2"/>
    <x v="6"/>
    <x v="0"/>
    <x v="0"/>
    <n v="1320"/>
    <n v="40"/>
    <x v="94"/>
    <x v="4"/>
  </r>
  <r>
    <s v="10.11.2023 Итог"/>
    <x v="3"/>
    <x v="2"/>
    <x v="3"/>
    <x v="3"/>
    <m/>
    <m/>
    <x v="1666"/>
    <x v="4"/>
  </r>
  <r>
    <d v="2023-11-11T00:00:00"/>
    <x v="4"/>
    <x v="3"/>
    <x v="4"/>
    <x v="21"/>
    <n v="3205"/>
    <n v="83"/>
    <x v="1248"/>
    <x v="4"/>
  </r>
  <r>
    <d v="2023-11-11T00:00:00"/>
    <x v="4"/>
    <x v="0"/>
    <x v="0"/>
    <x v="5"/>
    <n v="930"/>
    <n v="33"/>
    <x v="1667"/>
    <x v="4"/>
  </r>
  <r>
    <d v="2023-11-11T00:00:00"/>
    <x v="2"/>
    <x v="0"/>
    <x v="4"/>
    <x v="11"/>
    <n v="2970"/>
    <n v="65"/>
    <x v="1593"/>
    <x v="4"/>
  </r>
  <r>
    <d v="2023-11-11T00:00:00"/>
    <x v="4"/>
    <x v="5"/>
    <x v="2"/>
    <x v="9"/>
    <n v="690"/>
    <n v="43"/>
    <x v="851"/>
    <x v="4"/>
  </r>
  <r>
    <d v="2023-11-11T00:00:00"/>
    <x v="0"/>
    <x v="5"/>
    <x v="0"/>
    <x v="0"/>
    <n v="1320"/>
    <n v="58"/>
    <x v="1234"/>
    <x v="4"/>
  </r>
  <r>
    <d v="2023-11-11T00:00:00"/>
    <x v="4"/>
    <x v="5"/>
    <x v="4"/>
    <x v="14"/>
    <n v="1670"/>
    <n v="25"/>
    <x v="1157"/>
    <x v="4"/>
  </r>
  <r>
    <d v="2023-11-11T00:00:00"/>
    <x v="2"/>
    <x v="6"/>
    <x v="0"/>
    <x v="0"/>
    <n v="1320"/>
    <n v="13"/>
    <x v="1668"/>
    <x v="4"/>
  </r>
  <r>
    <d v="2023-11-11T00:00:00"/>
    <x v="2"/>
    <x v="6"/>
    <x v="4"/>
    <x v="15"/>
    <n v="2460"/>
    <n v="81"/>
    <x v="1669"/>
    <x v="4"/>
  </r>
  <r>
    <s v="11.11.2023 Итог"/>
    <x v="3"/>
    <x v="2"/>
    <x v="3"/>
    <x v="3"/>
    <m/>
    <m/>
    <x v="1670"/>
    <x v="4"/>
  </r>
  <r>
    <d v="2023-11-12T00:00:00"/>
    <x v="4"/>
    <x v="3"/>
    <x v="4"/>
    <x v="7"/>
    <n v="1760"/>
    <n v="28"/>
    <x v="297"/>
    <x v="4"/>
  </r>
  <r>
    <d v="2023-11-12T00:00:00"/>
    <x v="1"/>
    <x v="0"/>
    <x v="0"/>
    <x v="0"/>
    <n v="1320"/>
    <n v="63"/>
    <x v="166"/>
    <x v="4"/>
  </r>
  <r>
    <d v="2023-11-12T00:00:00"/>
    <x v="4"/>
    <x v="4"/>
    <x v="1"/>
    <x v="6"/>
    <n v="640"/>
    <n v="52"/>
    <x v="67"/>
    <x v="4"/>
  </r>
  <r>
    <d v="2023-11-12T00:00:00"/>
    <x v="0"/>
    <x v="5"/>
    <x v="1"/>
    <x v="19"/>
    <n v="540"/>
    <n v="56"/>
    <x v="1309"/>
    <x v="4"/>
  </r>
  <r>
    <d v="2023-11-12T00:00:00"/>
    <x v="0"/>
    <x v="5"/>
    <x v="0"/>
    <x v="5"/>
    <n v="930"/>
    <n v="92"/>
    <x v="345"/>
    <x v="4"/>
  </r>
  <r>
    <d v="2023-11-12T00:00:00"/>
    <x v="1"/>
    <x v="6"/>
    <x v="1"/>
    <x v="18"/>
    <n v="650"/>
    <n v="54"/>
    <x v="158"/>
    <x v="4"/>
  </r>
  <r>
    <d v="2023-11-12T00:00:00"/>
    <x v="1"/>
    <x v="6"/>
    <x v="1"/>
    <x v="6"/>
    <n v="640"/>
    <n v="58"/>
    <x v="1671"/>
    <x v="4"/>
  </r>
  <r>
    <d v="2023-11-12T00:00:00"/>
    <x v="1"/>
    <x v="6"/>
    <x v="2"/>
    <x v="4"/>
    <n v="450"/>
    <n v="17"/>
    <x v="1539"/>
    <x v="4"/>
  </r>
  <r>
    <d v="2023-11-12T00:00:00"/>
    <x v="4"/>
    <x v="6"/>
    <x v="4"/>
    <x v="15"/>
    <n v="2460"/>
    <n v="57"/>
    <x v="1431"/>
    <x v="4"/>
  </r>
  <r>
    <s v="12.11.2023 Итог"/>
    <x v="3"/>
    <x v="2"/>
    <x v="3"/>
    <x v="3"/>
    <m/>
    <m/>
    <x v="1672"/>
    <x v="4"/>
  </r>
  <r>
    <d v="2023-11-13T00:00:00"/>
    <x v="4"/>
    <x v="3"/>
    <x v="0"/>
    <x v="22"/>
    <n v="1420"/>
    <n v="67"/>
    <x v="1381"/>
    <x v="4"/>
  </r>
  <r>
    <d v="2023-11-13T00:00:00"/>
    <x v="0"/>
    <x v="0"/>
    <x v="1"/>
    <x v="20"/>
    <n v="650"/>
    <n v="12"/>
    <x v="625"/>
    <x v="4"/>
  </r>
  <r>
    <d v="2023-11-13T00:00:00"/>
    <x v="4"/>
    <x v="0"/>
    <x v="4"/>
    <x v="13"/>
    <n v="1505"/>
    <n v="79"/>
    <x v="1673"/>
    <x v="4"/>
  </r>
  <r>
    <d v="2023-11-13T00:00:00"/>
    <x v="1"/>
    <x v="0"/>
    <x v="4"/>
    <x v="11"/>
    <n v="2970"/>
    <n v="28"/>
    <x v="166"/>
    <x v="4"/>
  </r>
  <r>
    <d v="2023-11-13T00:00:00"/>
    <x v="0"/>
    <x v="4"/>
    <x v="2"/>
    <x v="2"/>
    <n v="325"/>
    <n v="44"/>
    <x v="994"/>
    <x v="4"/>
  </r>
  <r>
    <d v="2023-11-13T00:00:00"/>
    <x v="1"/>
    <x v="4"/>
    <x v="2"/>
    <x v="2"/>
    <n v="325"/>
    <n v="60"/>
    <x v="469"/>
    <x v="4"/>
  </r>
  <r>
    <d v="2023-11-13T00:00:00"/>
    <x v="4"/>
    <x v="4"/>
    <x v="0"/>
    <x v="22"/>
    <n v="1420"/>
    <n v="72"/>
    <x v="1674"/>
    <x v="4"/>
  </r>
  <r>
    <d v="2023-11-13T00:00:00"/>
    <x v="1"/>
    <x v="1"/>
    <x v="4"/>
    <x v="15"/>
    <n v="2460"/>
    <n v="83"/>
    <x v="914"/>
    <x v="4"/>
  </r>
  <r>
    <d v="2023-11-13T00:00:00"/>
    <x v="0"/>
    <x v="5"/>
    <x v="1"/>
    <x v="20"/>
    <n v="650"/>
    <n v="47"/>
    <x v="1091"/>
    <x v="4"/>
  </r>
  <r>
    <s v="13.11.2023 Итог"/>
    <x v="3"/>
    <x v="2"/>
    <x v="3"/>
    <x v="3"/>
    <m/>
    <m/>
    <x v="1675"/>
    <x v="4"/>
  </r>
  <r>
    <d v="2023-11-14T00:00:00"/>
    <x v="2"/>
    <x v="3"/>
    <x v="1"/>
    <x v="20"/>
    <n v="650"/>
    <n v="41"/>
    <x v="645"/>
    <x v="4"/>
  </r>
  <r>
    <d v="2023-11-14T00:00:00"/>
    <x v="1"/>
    <x v="0"/>
    <x v="2"/>
    <x v="9"/>
    <n v="690"/>
    <n v="23"/>
    <x v="1237"/>
    <x v="4"/>
  </r>
  <r>
    <d v="2023-11-14T00:00:00"/>
    <x v="4"/>
    <x v="0"/>
    <x v="0"/>
    <x v="10"/>
    <n v="1230"/>
    <n v="56"/>
    <x v="168"/>
    <x v="4"/>
  </r>
  <r>
    <d v="2023-11-14T00:00:00"/>
    <x v="2"/>
    <x v="0"/>
    <x v="4"/>
    <x v="11"/>
    <n v="2970"/>
    <n v="8"/>
    <x v="1117"/>
    <x v="4"/>
  </r>
  <r>
    <d v="2023-11-14T00:00:00"/>
    <x v="2"/>
    <x v="1"/>
    <x v="2"/>
    <x v="8"/>
    <n v="460"/>
    <n v="90"/>
    <x v="356"/>
    <x v="4"/>
  </r>
  <r>
    <d v="2023-11-14T00:00:00"/>
    <x v="2"/>
    <x v="1"/>
    <x v="4"/>
    <x v="11"/>
    <n v="2970"/>
    <n v="98"/>
    <x v="790"/>
    <x v="4"/>
  </r>
  <r>
    <d v="2023-11-14T00:00:00"/>
    <x v="1"/>
    <x v="6"/>
    <x v="2"/>
    <x v="2"/>
    <n v="325"/>
    <n v="50"/>
    <x v="45"/>
    <x v="4"/>
  </r>
  <r>
    <d v="2023-11-14T00:00:00"/>
    <x v="1"/>
    <x v="6"/>
    <x v="4"/>
    <x v="7"/>
    <n v="1760"/>
    <n v="57"/>
    <x v="759"/>
    <x v="4"/>
  </r>
  <r>
    <s v="14.11.2023 Итог"/>
    <x v="3"/>
    <x v="2"/>
    <x v="3"/>
    <x v="3"/>
    <m/>
    <m/>
    <x v="1676"/>
    <x v="4"/>
  </r>
  <r>
    <d v="2023-11-15T00:00:00"/>
    <x v="4"/>
    <x v="3"/>
    <x v="1"/>
    <x v="18"/>
    <n v="650"/>
    <n v="70"/>
    <x v="1208"/>
    <x v="4"/>
  </r>
  <r>
    <d v="2023-11-15T00:00:00"/>
    <x v="2"/>
    <x v="3"/>
    <x v="0"/>
    <x v="5"/>
    <n v="930"/>
    <n v="11"/>
    <x v="1338"/>
    <x v="4"/>
  </r>
  <r>
    <d v="2023-11-15T00:00:00"/>
    <x v="0"/>
    <x v="4"/>
    <x v="2"/>
    <x v="12"/>
    <n v="715"/>
    <n v="93"/>
    <x v="1677"/>
    <x v="4"/>
  </r>
  <r>
    <d v="2023-11-15T00:00:00"/>
    <x v="4"/>
    <x v="1"/>
    <x v="4"/>
    <x v="21"/>
    <n v="3205"/>
    <n v="27"/>
    <x v="340"/>
    <x v="4"/>
  </r>
  <r>
    <d v="2023-11-15T00:00:00"/>
    <x v="4"/>
    <x v="6"/>
    <x v="4"/>
    <x v="7"/>
    <n v="1760"/>
    <n v="62"/>
    <x v="1082"/>
    <x v="4"/>
  </r>
  <r>
    <s v="15.11.2023 Итог"/>
    <x v="3"/>
    <x v="2"/>
    <x v="3"/>
    <x v="3"/>
    <m/>
    <m/>
    <x v="1678"/>
    <x v="4"/>
  </r>
  <r>
    <d v="2023-11-16T00:00:00"/>
    <x v="1"/>
    <x v="0"/>
    <x v="4"/>
    <x v="11"/>
    <n v="2970"/>
    <n v="77"/>
    <x v="1404"/>
    <x v="4"/>
  </r>
  <r>
    <d v="2023-11-16T00:00:00"/>
    <x v="1"/>
    <x v="4"/>
    <x v="1"/>
    <x v="6"/>
    <n v="640"/>
    <n v="43"/>
    <x v="1612"/>
    <x v="4"/>
  </r>
  <r>
    <d v="2023-11-16T00:00:00"/>
    <x v="1"/>
    <x v="5"/>
    <x v="4"/>
    <x v="11"/>
    <n v="2970"/>
    <n v="37"/>
    <x v="354"/>
    <x v="4"/>
  </r>
  <r>
    <s v="16.11.2023 Итог"/>
    <x v="3"/>
    <x v="2"/>
    <x v="3"/>
    <x v="3"/>
    <m/>
    <m/>
    <x v="1679"/>
    <x v="4"/>
  </r>
  <r>
    <d v="2023-11-17T00:00:00"/>
    <x v="2"/>
    <x v="3"/>
    <x v="2"/>
    <x v="9"/>
    <n v="690"/>
    <n v="52"/>
    <x v="690"/>
    <x v="4"/>
  </r>
  <r>
    <d v="2023-11-17T00:00:00"/>
    <x v="2"/>
    <x v="0"/>
    <x v="1"/>
    <x v="19"/>
    <n v="540"/>
    <n v="77"/>
    <x v="52"/>
    <x v="4"/>
  </r>
  <r>
    <d v="2023-11-17T00:00:00"/>
    <x v="1"/>
    <x v="0"/>
    <x v="2"/>
    <x v="8"/>
    <n v="460"/>
    <n v="80"/>
    <x v="467"/>
    <x v="4"/>
  </r>
  <r>
    <d v="2023-11-17T00:00:00"/>
    <x v="2"/>
    <x v="0"/>
    <x v="2"/>
    <x v="9"/>
    <n v="690"/>
    <n v="86"/>
    <x v="147"/>
    <x v="4"/>
  </r>
  <r>
    <d v="2023-11-17T00:00:00"/>
    <x v="4"/>
    <x v="4"/>
    <x v="4"/>
    <x v="7"/>
    <n v="1760"/>
    <n v="59"/>
    <x v="32"/>
    <x v="4"/>
  </r>
  <r>
    <d v="2023-11-17T00:00:00"/>
    <x v="1"/>
    <x v="1"/>
    <x v="0"/>
    <x v="5"/>
    <n v="930"/>
    <n v="97"/>
    <x v="40"/>
    <x v="4"/>
  </r>
  <r>
    <d v="2023-11-17T00:00:00"/>
    <x v="4"/>
    <x v="1"/>
    <x v="4"/>
    <x v="11"/>
    <n v="2970"/>
    <n v="91"/>
    <x v="1680"/>
    <x v="4"/>
  </r>
  <r>
    <d v="2023-11-17T00:00:00"/>
    <x v="2"/>
    <x v="6"/>
    <x v="0"/>
    <x v="0"/>
    <n v="1320"/>
    <n v="33"/>
    <x v="451"/>
    <x v="4"/>
  </r>
  <r>
    <s v="17.11.2023 Итог"/>
    <x v="3"/>
    <x v="2"/>
    <x v="3"/>
    <x v="3"/>
    <m/>
    <m/>
    <x v="1681"/>
    <x v="4"/>
  </r>
  <r>
    <d v="2023-11-18T00:00:00"/>
    <x v="0"/>
    <x v="3"/>
    <x v="1"/>
    <x v="1"/>
    <n v="1380"/>
    <n v="67"/>
    <x v="1682"/>
    <x v="4"/>
  </r>
  <r>
    <d v="2023-11-18T00:00:00"/>
    <x v="4"/>
    <x v="3"/>
    <x v="4"/>
    <x v="13"/>
    <n v="1505"/>
    <n v="55"/>
    <x v="238"/>
    <x v="4"/>
  </r>
  <r>
    <d v="2023-11-18T00:00:00"/>
    <x v="1"/>
    <x v="1"/>
    <x v="0"/>
    <x v="17"/>
    <n v="2400"/>
    <n v="11"/>
    <x v="257"/>
    <x v="4"/>
  </r>
  <r>
    <d v="2023-11-18T00:00:00"/>
    <x v="4"/>
    <x v="1"/>
    <x v="4"/>
    <x v="13"/>
    <n v="1505"/>
    <n v="53"/>
    <x v="235"/>
    <x v="4"/>
  </r>
  <r>
    <d v="2023-11-18T00:00:00"/>
    <x v="4"/>
    <x v="1"/>
    <x v="4"/>
    <x v="15"/>
    <n v="2460"/>
    <n v="82"/>
    <x v="1683"/>
    <x v="4"/>
  </r>
  <r>
    <d v="2023-11-18T00:00:00"/>
    <x v="0"/>
    <x v="5"/>
    <x v="1"/>
    <x v="23"/>
    <n v="705"/>
    <n v="62"/>
    <x v="713"/>
    <x v="4"/>
  </r>
  <r>
    <s v="18.11.2023 Итог"/>
    <x v="3"/>
    <x v="2"/>
    <x v="3"/>
    <x v="3"/>
    <m/>
    <m/>
    <x v="1684"/>
    <x v="4"/>
  </r>
  <r>
    <d v="2023-11-19T00:00:00"/>
    <x v="0"/>
    <x v="3"/>
    <x v="2"/>
    <x v="9"/>
    <n v="690"/>
    <n v="82"/>
    <x v="556"/>
    <x v="4"/>
  </r>
  <r>
    <d v="2023-11-19T00:00:00"/>
    <x v="2"/>
    <x v="3"/>
    <x v="0"/>
    <x v="22"/>
    <n v="1420"/>
    <n v="25"/>
    <x v="1513"/>
    <x v="4"/>
  </r>
  <r>
    <d v="2023-11-19T00:00:00"/>
    <x v="4"/>
    <x v="3"/>
    <x v="4"/>
    <x v="21"/>
    <n v="3205"/>
    <n v="97"/>
    <x v="259"/>
    <x v="4"/>
  </r>
  <r>
    <d v="2023-11-19T00:00:00"/>
    <x v="1"/>
    <x v="0"/>
    <x v="1"/>
    <x v="20"/>
    <n v="650"/>
    <n v="88"/>
    <x v="83"/>
    <x v="4"/>
  </r>
  <r>
    <d v="2023-11-19T00:00:00"/>
    <x v="0"/>
    <x v="4"/>
    <x v="1"/>
    <x v="1"/>
    <n v="1380"/>
    <n v="78"/>
    <x v="1164"/>
    <x v="4"/>
  </r>
  <r>
    <d v="2023-11-19T00:00:00"/>
    <x v="1"/>
    <x v="4"/>
    <x v="0"/>
    <x v="22"/>
    <n v="1420"/>
    <n v="72"/>
    <x v="1674"/>
    <x v="4"/>
  </r>
  <r>
    <d v="2023-11-19T00:00:00"/>
    <x v="1"/>
    <x v="1"/>
    <x v="1"/>
    <x v="23"/>
    <n v="705"/>
    <n v="85"/>
    <x v="1319"/>
    <x v="4"/>
  </r>
  <r>
    <d v="2023-11-19T00:00:00"/>
    <x v="4"/>
    <x v="1"/>
    <x v="1"/>
    <x v="23"/>
    <n v="705"/>
    <n v="8"/>
    <x v="1395"/>
    <x v="4"/>
  </r>
  <r>
    <d v="2023-11-19T00:00:00"/>
    <x v="1"/>
    <x v="5"/>
    <x v="1"/>
    <x v="1"/>
    <n v="1380"/>
    <n v="30"/>
    <x v="356"/>
    <x v="4"/>
  </r>
  <r>
    <d v="2023-11-19T00:00:00"/>
    <x v="4"/>
    <x v="5"/>
    <x v="0"/>
    <x v="5"/>
    <n v="930"/>
    <n v="12"/>
    <x v="1373"/>
    <x v="4"/>
  </r>
  <r>
    <d v="2023-11-19T00:00:00"/>
    <x v="1"/>
    <x v="5"/>
    <x v="4"/>
    <x v="14"/>
    <n v="1670"/>
    <n v="31"/>
    <x v="1685"/>
    <x v="4"/>
  </r>
  <r>
    <d v="2023-11-19T00:00:00"/>
    <x v="1"/>
    <x v="5"/>
    <x v="4"/>
    <x v="21"/>
    <n v="3205"/>
    <n v="54"/>
    <x v="133"/>
    <x v="4"/>
  </r>
  <r>
    <d v="2023-11-19T00:00:00"/>
    <x v="2"/>
    <x v="6"/>
    <x v="1"/>
    <x v="1"/>
    <n v="1380"/>
    <n v="9"/>
    <x v="1216"/>
    <x v="4"/>
  </r>
  <r>
    <s v="19.11.2023 Итог"/>
    <x v="3"/>
    <x v="2"/>
    <x v="3"/>
    <x v="3"/>
    <m/>
    <m/>
    <x v="1686"/>
    <x v="4"/>
  </r>
  <r>
    <d v="2023-11-20T00:00:00"/>
    <x v="0"/>
    <x v="0"/>
    <x v="2"/>
    <x v="9"/>
    <n v="690"/>
    <n v="31"/>
    <x v="506"/>
    <x v="4"/>
  </r>
  <r>
    <d v="2023-11-20T00:00:00"/>
    <x v="4"/>
    <x v="4"/>
    <x v="0"/>
    <x v="24"/>
    <n v="2540"/>
    <n v="9"/>
    <x v="1484"/>
    <x v="4"/>
  </r>
  <r>
    <d v="2023-11-20T00:00:00"/>
    <x v="0"/>
    <x v="1"/>
    <x v="1"/>
    <x v="1"/>
    <n v="1380"/>
    <n v="25"/>
    <x v="1057"/>
    <x v="4"/>
  </r>
  <r>
    <d v="2023-11-20T00:00:00"/>
    <x v="4"/>
    <x v="1"/>
    <x v="1"/>
    <x v="1"/>
    <n v="1380"/>
    <n v="66"/>
    <x v="1299"/>
    <x v="4"/>
  </r>
  <r>
    <d v="2023-11-20T00:00:00"/>
    <x v="4"/>
    <x v="1"/>
    <x v="2"/>
    <x v="16"/>
    <n v="890"/>
    <n v="47"/>
    <x v="1687"/>
    <x v="4"/>
  </r>
  <r>
    <d v="2023-11-20T00:00:00"/>
    <x v="2"/>
    <x v="5"/>
    <x v="4"/>
    <x v="15"/>
    <n v="2460"/>
    <n v="79"/>
    <x v="1688"/>
    <x v="4"/>
  </r>
  <r>
    <s v="20.11.2023 Итог"/>
    <x v="3"/>
    <x v="2"/>
    <x v="3"/>
    <x v="3"/>
    <m/>
    <m/>
    <x v="1689"/>
    <x v="4"/>
  </r>
  <r>
    <d v="2023-11-21T00:00:00"/>
    <x v="2"/>
    <x v="3"/>
    <x v="2"/>
    <x v="9"/>
    <n v="690"/>
    <n v="90"/>
    <x v="1193"/>
    <x v="4"/>
  </r>
  <r>
    <d v="2023-11-21T00:00:00"/>
    <x v="1"/>
    <x v="3"/>
    <x v="2"/>
    <x v="12"/>
    <n v="715"/>
    <n v="20"/>
    <x v="994"/>
    <x v="4"/>
  </r>
  <r>
    <d v="2023-11-21T00:00:00"/>
    <x v="0"/>
    <x v="3"/>
    <x v="0"/>
    <x v="17"/>
    <n v="2400"/>
    <n v="81"/>
    <x v="589"/>
    <x v="4"/>
  </r>
  <r>
    <d v="2023-11-21T00:00:00"/>
    <x v="2"/>
    <x v="0"/>
    <x v="1"/>
    <x v="18"/>
    <n v="650"/>
    <n v="81"/>
    <x v="1690"/>
    <x v="4"/>
  </r>
  <r>
    <d v="2023-11-21T00:00:00"/>
    <x v="1"/>
    <x v="0"/>
    <x v="2"/>
    <x v="4"/>
    <n v="450"/>
    <n v="79"/>
    <x v="393"/>
    <x v="4"/>
  </r>
  <r>
    <d v="2023-11-21T00:00:00"/>
    <x v="1"/>
    <x v="0"/>
    <x v="0"/>
    <x v="17"/>
    <n v="2400"/>
    <n v="84"/>
    <x v="1691"/>
    <x v="4"/>
  </r>
  <r>
    <d v="2023-11-21T00:00:00"/>
    <x v="0"/>
    <x v="0"/>
    <x v="4"/>
    <x v="11"/>
    <n v="2970"/>
    <n v="36"/>
    <x v="1458"/>
    <x v="4"/>
  </r>
  <r>
    <d v="2023-11-21T00:00:00"/>
    <x v="1"/>
    <x v="4"/>
    <x v="1"/>
    <x v="1"/>
    <n v="1380"/>
    <n v="70"/>
    <x v="405"/>
    <x v="4"/>
  </r>
  <r>
    <d v="2023-11-21T00:00:00"/>
    <x v="1"/>
    <x v="4"/>
    <x v="4"/>
    <x v="15"/>
    <n v="2460"/>
    <n v="62"/>
    <x v="1663"/>
    <x v="4"/>
  </r>
  <r>
    <d v="2023-11-21T00:00:00"/>
    <x v="1"/>
    <x v="1"/>
    <x v="0"/>
    <x v="22"/>
    <n v="1420"/>
    <n v="62"/>
    <x v="1692"/>
    <x v="4"/>
  </r>
  <r>
    <d v="2023-11-21T00:00:00"/>
    <x v="1"/>
    <x v="1"/>
    <x v="0"/>
    <x v="24"/>
    <n v="2540"/>
    <n v="63"/>
    <x v="1693"/>
    <x v="4"/>
  </r>
  <r>
    <d v="2023-11-21T00:00:00"/>
    <x v="1"/>
    <x v="1"/>
    <x v="4"/>
    <x v="15"/>
    <n v="2460"/>
    <n v="70"/>
    <x v="74"/>
    <x v="4"/>
  </r>
  <r>
    <d v="2023-11-21T00:00:00"/>
    <x v="1"/>
    <x v="5"/>
    <x v="2"/>
    <x v="12"/>
    <n v="715"/>
    <n v="55"/>
    <x v="1625"/>
    <x v="4"/>
  </r>
  <r>
    <d v="2023-11-21T00:00:00"/>
    <x v="2"/>
    <x v="6"/>
    <x v="0"/>
    <x v="0"/>
    <n v="1320"/>
    <n v="39"/>
    <x v="623"/>
    <x v="4"/>
  </r>
  <r>
    <s v="21.11.2023 Итог"/>
    <x v="3"/>
    <x v="2"/>
    <x v="3"/>
    <x v="3"/>
    <m/>
    <m/>
    <x v="1694"/>
    <x v="4"/>
  </r>
  <r>
    <d v="2023-11-22T00:00:00"/>
    <x v="4"/>
    <x v="3"/>
    <x v="1"/>
    <x v="23"/>
    <n v="705"/>
    <n v="34"/>
    <x v="1695"/>
    <x v="4"/>
  </r>
  <r>
    <d v="2023-11-22T00:00:00"/>
    <x v="2"/>
    <x v="0"/>
    <x v="0"/>
    <x v="17"/>
    <n v="2400"/>
    <n v="43"/>
    <x v="978"/>
    <x v="4"/>
  </r>
  <r>
    <d v="2023-11-22T00:00:00"/>
    <x v="0"/>
    <x v="0"/>
    <x v="4"/>
    <x v="13"/>
    <n v="1505"/>
    <n v="6"/>
    <x v="14"/>
    <x v="4"/>
  </r>
  <r>
    <d v="2023-11-22T00:00:00"/>
    <x v="2"/>
    <x v="4"/>
    <x v="1"/>
    <x v="23"/>
    <n v="705"/>
    <n v="23"/>
    <x v="370"/>
    <x v="4"/>
  </r>
  <r>
    <d v="2023-11-22T00:00:00"/>
    <x v="0"/>
    <x v="4"/>
    <x v="2"/>
    <x v="2"/>
    <n v="325"/>
    <n v="88"/>
    <x v="853"/>
    <x v="4"/>
  </r>
  <r>
    <d v="2023-11-22T00:00:00"/>
    <x v="2"/>
    <x v="4"/>
    <x v="4"/>
    <x v="13"/>
    <n v="1505"/>
    <n v="92"/>
    <x v="1400"/>
    <x v="4"/>
  </r>
  <r>
    <d v="2023-11-22T00:00:00"/>
    <x v="1"/>
    <x v="1"/>
    <x v="1"/>
    <x v="18"/>
    <n v="650"/>
    <n v="93"/>
    <x v="875"/>
    <x v="4"/>
  </r>
  <r>
    <d v="2023-11-22T00:00:00"/>
    <x v="4"/>
    <x v="1"/>
    <x v="2"/>
    <x v="2"/>
    <n v="325"/>
    <n v="48"/>
    <x v="337"/>
    <x v="4"/>
  </r>
  <r>
    <d v="2023-11-22T00:00:00"/>
    <x v="4"/>
    <x v="5"/>
    <x v="1"/>
    <x v="23"/>
    <n v="705"/>
    <n v="53"/>
    <x v="1634"/>
    <x v="4"/>
  </r>
  <r>
    <d v="2023-11-22T00:00:00"/>
    <x v="4"/>
    <x v="5"/>
    <x v="0"/>
    <x v="22"/>
    <n v="1420"/>
    <n v="64"/>
    <x v="845"/>
    <x v="4"/>
  </r>
  <r>
    <d v="2023-11-22T00:00:00"/>
    <x v="1"/>
    <x v="6"/>
    <x v="0"/>
    <x v="10"/>
    <n v="1230"/>
    <n v="22"/>
    <x v="131"/>
    <x v="4"/>
  </r>
  <r>
    <s v="22.11.2023 Итог"/>
    <x v="3"/>
    <x v="2"/>
    <x v="3"/>
    <x v="3"/>
    <m/>
    <m/>
    <x v="1696"/>
    <x v="4"/>
  </r>
  <r>
    <d v="2023-11-23T00:00:00"/>
    <x v="1"/>
    <x v="3"/>
    <x v="2"/>
    <x v="9"/>
    <n v="690"/>
    <n v="89"/>
    <x v="1012"/>
    <x v="4"/>
  </r>
  <r>
    <d v="2023-11-23T00:00:00"/>
    <x v="2"/>
    <x v="4"/>
    <x v="1"/>
    <x v="6"/>
    <n v="640"/>
    <n v="38"/>
    <x v="1697"/>
    <x v="4"/>
  </r>
  <r>
    <d v="2023-11-23T00:00:00"/>
    <x v="4"/>
    <x v="1"/>
    <x v="1"/>
    <x v="23"/>
    <n v="705"/>
    <n v="37"/>
    <x v="1698"/>
    <x v="4"/>
  </r>
  <r>
    <d v="2023-11-23T00:00:00"/>
    <x v="2"/>
    <x v="1"/>
    <x v="2"/>
    <x v="2"/>
    <n v="325"/>
    <n v="75"/>
    <x v="1699"/>
    <x v="4"/>
  </r>
  <r>
    <d v="2023-11-23T00:00:00"/>
    <x v="2"/>
    <x v="1"/>
    <x v="0"/>
    <x v="22"/>
    <n v="1420"/>
    <n v="95"/>
    <x v="366"/>
    <x v="4"/>
  </r>
  <r>
    <d v="2023-11-23T00:00:00"/>
    <x v="4"/>
    <x v="5"/>
    <x v="1"/>
    <x v="1"/>
    <n v="1380"/>
    <n v="14"/>
    <x v="1204"/>
    <x v="4"/>
  </r>
  <r>
    <d v="2023-11-23T00:00:00"/>
    <x v="4"/>
    <x v="5"/>
    <x v="4"/>
    <x v="13"/>
    <n v="1505"/>
    <n v="90"/>
    <x v="209"/>
    <x v="4"/>
  </r>
  <r>
    <s v="23.11.2023 Итог"/>
    <x v="3"/>
    <x v="2"/>
    <x v="3"/>
    <x v="3"/>
    <m/>
    <m/>
    <x v="1700"/>
    <x v="4"/>
  </r>
  <r>
    <d v="2023-11-24T00:00:00"/>
    <x v="1"/>
    <x v="3"/>
    <x v="0"/>
    <x v="10"/>
    <n v="1230"/>
    <n v="42"/>
    <x v="930"/>
    <x v="4"/>
  </r>
  <r>
    <d v="2023-11-24T00:00:00"/>
    <x v="2"/>
    <x v="0"/>
    <x v="0"/>
    <x v="10"/>
    <n v="1230"/>
    <n v="46"/>
    <x v="556"/>
    <x v="4"/>
  </r>
  <r>
    <d v="2023-11-24T00:00:00"/>
    <x v="1"/>
    <x v="4"/>
    <x v="0"/>
    <x v="22"/>
    <n v="1420"/>
    <n v="45"/>
    <x v="1312"/>
    <x v="4"/>
  </r>
  <r>
    <d v="2023-11-24T00:00:00"/>
    <x v="4"/>
    <x v="4"/>
    <x v="0"/>
    <x v="5"/>
    <n v="930"/>
    <n v="93"/>
    <x v="1479"/>
    <x v="4"/>
  </r>
  <r>
    <d v="2023-11-24T00:00:00"/>
    <x v="4"/>
    <x v="4"/>
    <x v="4"/>
    <x v="21"/>
    <n v="3205"/>
    <n v="82"/>
    <x v="231"/>
    <x v="4"/>
  </r>
  <r>
    <d v="2023-11-24T00:00:00"/>
    <x v="0"/>
    <x v="1"/>
    <x v="0"/>
    <x v="24"/>
    <n v="2540"/>
    <n v="48"/>
    <x v="706"/>
    <x v="4"/>
  </r>
  <r>
    <d v="2023-11-24T00:00:00"/>
    <x v="0"/>
    <x v="1"/>
    <x v="0"/>
    <x v="17"/>
    <n v="2400"/>
    <n v="36"/>
    <x v="1008"/>
    <x v="4"/>
  </r>
  <r>
    <d v="2023-11-24T00:00:00"/>
    <x v="1"/>
    <x v="1"/>
    <x v="0"/>
    <x v="5"/>
    <n v="930"/>
    <n v="58"/>
    <x v="1352"/>
    <x v="4"/>
  </r>
  <r>
    <d v="2023-11-24T00:00:00"/>
    <x v="1"/>
    <x v="1"/>
    <x v="4"/>
    <x v="11"/>
    <n v="2970"/>
    <n v="68"/>
    <x v="1036"/>
    <x v="4"/>
  </r>
  <r>
    <d v="2023-11-24T00:00:00"/>
    <x v="2"/>
    <x v="1"/>
    <x v="4"/>
    <x v="15"/>
    <n v="2460"/>
    <n v="28"/>
    <x v="168"/>
    <x v="4"/>
  </r>
  <r>
    <d v="2023-11-24T00:00:00"/>
    <x v="0"/>
    <x v="5"/>
    <x v="4"/>
    <x v="13"/>
    <n v="1505"/>
    <n v="29"/>
    <x v="1701"/>
    <x v="4"/>
  </r>
  <r>
    <d v="2023-11-24T00:00:00"/>
    <x v="4"/>
    <x v="6"/>
    <x v="2"/>
    <x v="8"/>
    <n v="460"/>
    <n v="28"/>
    <x v="735"/>
    <x v="4"/>
  </r>
  <r>
    <s v="24.11.2023 Итог"/>
    <x v="3"/>
    <x v="2"/>
    <x v="3"/>
    <x v="3"/>
    <m/>
    <m/>
    <x v="1702"/>
    <x v="4"/>
  </r>
  <r>
    <d v="2023-11-25T00:00:00"/>
    <x v="4"/>
    <x v="3"/>
    <x v="1"/>
    <x v="18"/>
    <n v="650"/>
    <n v="40"/>
    <x v="376"/>
    <x v="4"/>
  </r>
  <r>
    <d v="2023-11-25T00:00:00"/>
    <x v="1"/>
    <x v="0"/>
    <x v="4"/>
    <x v="11"/>
    <n v="2970"/>
    <n v="65"/>
    <x v="1593"/>
    <x v="4"/>
  </r>
  <r>
    <d v="2023-11-25T00:00:00"/>
    <x v="1"/>
    <x v="4"/>
    <x v="0"/>
    <x v="0"/>
    <n v="1320"/>
    <n v="79"/>
    <x v="1562"/>
    <x v="4"/>
  </r>
  <r>
    <d v="2023-11-25T00:00:00"/>
    <x v="4"/>
    <x v="1"/>
    <x v="0"/>
    <x v="22"/>
    <n v="1420"/>
    <n v="62"/>
    <x v="1692"/>
    <x v="4"/>
  </r>
  <r>
    <d v="2023-11-25T00:00:00"/>
    <x v="2"/>
    <x v="1"/>
    <x v="4"/>
    <x v="15"/>
    <n v="2460"/>
    <n v="51"/>
    <x v="295"/>
    <x v="4"/>
  </r>
  <r>
    <d v="2023-11-25T00:00:00"/>
    <x v="1"/>
    <x v="1"/>
    <x v="4"/>
    <x v="13"/>
    <n v="1505"/>
    <n v="53"/>
    <x v="235"/>
    <x v="4"/>
  </r>
  <r>
    <d v="2023-11-25T00:00:00"/>
    <x v="1"/>
    <x v="5"/>
    <x v="1"/>
    <x v="23"/>
    <n v="705"/>
    <n v="90"/>
    <x v="85"/>
    <x v="4"/>
  </r>
  <r>
    <d v="2023-11-25T00:00:00"/>
    <x v="1"/>
    <x v="5"/>
    <x v="0"/>
    <x v="24"/>
    <n v="2540"/>
    <n v="33"/>
    <x v="1703"/>
    <x v="4"/>
  </r>
  <r>
    <d v="2023-11-25T00:00:00"/>
    <x v="1"/>
    <x v="5"/>
    <x v="0"/>
    <x v="24"/>
    <n v="2540"/>
    <n v="9"/>
    <x v="1484"/>
    <x v="4"/>
  </r>
  <r>
    <d v="2023-11-25T00:00:00"/>
    <x v="2"/>
    <x v="5"/>
    <x v="4"/>
    <x v="13"/>
    <n v="1505"/>
    <n v="53"/>
    <x v="235"/>
    <x v="4"/>
  </r>
  <r>
    <d v="2023-11-25T00:00:00"/>
    <x v="4"/>
    <x v="6"/>
    <x v="2"/>
    <x v="12"/>
    <n v="715"/>
    <n v="95"/>
    <x v="1500"/>
    <x v="4"/>
  </r>
  <r>
    <s v="25.11.2023 Итог"/>
    <x v="3"/>
    <x v="2"/>
    <x v="3"/>
    <x v="3"/>
    <m/>
    <m/>
    <x v="1704"/>
    <x v="4"/>
  </r>
  <r>
    <d v="2023-11-26T00:00:00"/>
    <x v="2"/>
    <x v="3"/>
    <x v="1"/>
    <x v="1"/>
    <n v="1380"/>
    <n v="65"/>
    <x v="1705"/>
    <x v="4"/>
  </r>
  <r>
    <d v="2023-11-26T00:00:00"/>
    <x v="4"/>
    <x v="3"/>
    <x v="2"/>
    <x v="12"/>
    <n v="715"/>
    <n v="11"/>
    <x v="1706"/>
    <x v="4"/>
  </r>
  <r>
    <d v="2023-11-26T00:00:00"/>
    <x v="1"/>
    <x v="3"/>
    <x v="0"/>
    <x v="10"/>
    <n v="1230"/>
    <n v="18"/>
    <x v="533"/>
    <x v="4"/>
  </r>
  <r>
    <d v="2023-11-26T00:00:00"/>
    <x v="2"/>
    <x v="3"/>
    <x v="0"/>
    <x v="22"/>
    <n v="1420"/>
    <n v="42"/>
    <x v="1707"/>
    <x v="4"/>
  </r>
  <r>
    <d v="2023-11-26T00:00:00"/>
    <x v="4"/>
    <x v="0"/>
    <x v="0"/>
    <x v="0"/>
    <n v="1320"/>
    <n v="66"/>
    <x v="1148"/>
    <x v="4"/>
  </r>
  <r>
    <d v="2023-11-26T00:00:00"/>
    <x v="4"/>
    <x v="4"/>
    <x v="4"/>
    <x v="15"/>
    <n v="2460"/>
    <n v="21"/>
    <x v="930"/>
    <x v="4"/>
  </r>
  <r>
    <d v="2023-11-26T00:00:00"/>
    <x v="4"/>
    <x v="4"/>
    <x v="4"/>
    <x v="14"/>
    <n v="1670"/>
    <n v="88"/>
    <x v="1378"/>
    <x v="4"/>
  </r>
  <r>
    <s v="26.11.2023 Итог"/>
    <x v="3"/>
    <x v="2"/>
    <x v="3"/>
    <x v="3"/>
    <m/>
    <m/>
    <x v="1708"/>
    <x v="4"/>
  </r>
  <r>
    <d v="2023-11-27T00:00:00"/>
    <x v="2"/>
    <x v="3"/>
    <x v="1"/>
    <x v="1"/>
    <n v="1380"/>
    <n v="44"/>
    <x v="1103"/>
    <x v="4"/>
  </r>
  <r>
    <d v="2023-11-27T00:00:00"/>
    <x v="0"/>
    <x v="3"/>
    <x v="2"/>
    <x v="9"/>
    <n v="690"/>
    <n v="21"/>
    <x v="1284"/>
    <x v="4"/>
  </r>
  <r>
    <d v="2023-11-27T00:00:00"/>
    <x v="0"/>
    <x v="3"/>
    <x v="4"/>
    <x v="21"/>
    <n v="3205"/>
    <n v="17"/>
    <x v="608"/>
    <x v="4"/>
  </r>
  <r>
    <d v="2023-11-27T00:00:00"/>
    <x v="1"/>
    <x v="3"/>
    <x v="4"/>
    <x v="15"/>
    <n v="2460"/>
    <n v="33"/>
    <x v="194"/>
    <x v="4"/>
  </r>
  <r>
    <d v="2023-11-27T00:00:00"/>
    <x v="4"/>
    <x v="3"/>
    <x v="4"/>
    <x v="7"/>
    <n v="1760"/>
    <n v="100"/>
    <x v="1613"/>
    <x v="4"/>
  </r>
  <r>
    <d v="2023-11-27T00:00:00"/>
    <x v="0"/>
    <x v="4"/>
    <x v="2"/>
    <x v="16"/>
    <n v="890"/>
    <n v="54"/>
    <x v="607"/>
    <x v="4"/>
  </r>
  <r>
    <d v="2023-11-27T00:00:00"/>
    <x v="0"/>
    <x v="4"/>
    <x v="0"/>
    <x v="24"/>
    <n v="2540"/>
    <n v="42"/>
    <x v="884"/>
    <x v="4"/>
  </r>
  <r>
    <d v="2023-11-27T00:00:00"/>
    <x v="0"/>
    <x v="4"/>
    <x v="4"/>
    <x v="13"/>
    <n v="1505"/>
    <n v="40"/>
    <x v="1226"/>
    <x v="4"/>
  </r>
  <r>
    <d v="2023-11-27T00:00:00"/>
    <x v="4"/>
    <x v="1"/>
    <x v="2"/>
    <x v="16"/>
    <n v="890"/>
    <n v="95"/>
    <x v="1037"/>
    <x v="4"/>
  </r>
  <r>
    <d v="2023-11-27T00:00:00"/>
    <x v="4"/>
    <x v="1"/>
    <x v="2"/>
    <x v="16"/>
    <n v="890"/>
    <n v="52"/>
    <x v="1571"/>
    <x v="4"/>
  </r>
  <r>
    <d v="2023-11-27T00:00:00"/>
    <x v="0"/>
    <x v="1"/>
    <x v="0"/>
    <x v="0"/>
    <n v="1320"/>
    <n v="77"/>
    <x v="473"/>
    <x v="4"/>
  </r>
  <r>
    <d v="2023-11-27T00:00:00"/>
    <x v="1"/>
    <x v="5"/>
    <x v="2"/>
    <x v="8"/>
    <n v="460"/>
    <n v="78"/>
    <x v="690"/>
    <x v="4"/>
  </r>
  <r>
    <d v="2023-11-27T00:00:00"/>
    <x v="0"/>
    <x v="5"/>
    <x v="2"/>
    <x v="8"/>
    <n v="460"/>
    <n v="98"/>
    <x v="1709"/>
    <x v="4"/>
  </r>
  <r>
    <d v="2023-11-27T00:00:00"/>
    <x v="2"/>
    <x v="5"/>
    <x v="0"/>
    <x v="5"/>
    <n v="930"/>
    <n v="12"/>
    <x v="1373"/>
    <x v="4"/>
  </r>
  <r>
    <d v="2023-11-27T00:00:00"/>
    <x v="0"/>
    <x v="5"/>
    <x v="0"/>
    <x v="10"/>
    <n v="1230"/>
    <n v="59"/>
    <x v="1710"/>
    <x v="4"/>
  </r>
  <r>
    <d v="2023-11-27T00:00:00"/>
    <x v="2"/>
    <x v="5"/>
    <x v="4"/>
    <x v="13"/>
    <n v="1505"/>
    <n v="63"/>
    <x v="855"/>
    <x v="4"/>
  </r>
  <r>
    <d v="2023-11-27T00:00:00"/>
    <x v="4"/>
    <x v="6"/>
    <x v="1"/>
    <x v="1"/>
    <n v="1380"/>
    <n v="30"/>
    <x v="356"/>
    <x v="4"/>
  </r>
  <r>
    <s v="27.11.2023 Итог"/>
    <x v="3"/>
    <x v="2"/>
    <x v="3"/>
    <x v="3"/>
    <m/>
    <m/>
    <x v="1711"/>
    <x v="4"/>
  </r>
  <r>
    <d v="2023-11-28T00:00:00"/>
    <x v="4"/>
    <x v="3"/>
    <x v="2"/>
    <x v="4"/>
    <n v="450"/>
    <n v="88"/>
    <x v="425"/>
    <x v="4"/>
  </r>
  <r>
    <d v="2023-11-28T00:00:00"/>
    <x v="1"/>
    <x v="3"/>
    <x v="2"/>
    <x v="16"/>
    <n v="890"/>
    <n v="22"/>
    <x v="397"/>
    <x v="4"/>
  </r>
  <r>
    <d v="2023-11-28T00:00:00"/>
    <x v="2"/>
    <x v="0"/>
    <x v="2"/>
    <x v="9"/>
    <n v="690"/>
    <n v="35"/>
    <x v="22"/>
    <x v="4"/>
  </r>
  <r>
    <d v="2023-11-28T00:00:00"/>
    <x v="2"/>
    <x v="4"/>
    <x v="2"/>
    <x v="2"/>
    <n v="325"/>
    <n v="70"/>
    <x v="1515"/>
    <x v="4"/>
  </r>
  <r>
    <d v="2023-11-28T00:00:00"/>
    <x v="2"/>
    <x v="4"/>
    <x v="2"/>
    <x v="12"/>
    <n v="715"/>
    <n v="31"/>
    <x v="615"/>
    <x v="4"/>
  </r>
  <r>
    <d v="2023-11-28T00:00:00"/>
    <x v="1"/>
    <x v="4"/>
    <x v="4"/>
    <x v="21"/>
    <n v="3205"/>
    <n v="8"/>
    <x v="427"/>
    <x v="4"/>
  </r>
  <r>
    <d v="2023-11-28T00:00:00"/>
    <x v="2"/>
    <x v="1"/>
    <x v="1"/>
    <x v="18"/>
    <n v="650"/>
    <n v="24"/>
    <x v="337"/>
    <x v="4"/>
  </r>
  <r>
    <d v="2023-11-28T00:00:00"/>
    <x v="1"/>
    <x v="1"/>
    <x v="1"/>
    <x v="6"/>
    <n v="640"/>
    <n v="12"/>
    <x v="1712"/>
    <x v="4"/>
  </r>
  <r>
    <d v="2023-11-28T00:00:00"/>
    <x v="4"/>
    <x v="1"/>
    <x v="0"/>
    <x v="22"/>
    <n v="1420"/>
    <n v="7"/>
    <x v="1302"/>
    <x v="4"/>
  </r>
  <r>
    <d v="2023-11-28T00:00:00"/>
    <x v="1"/>
    <x v="5"/>
    <x v="4"/>
    <x v="15"/>
    <n v="2460"/>
    <n v="10"/>
    <x v="864"/>
    <x v="4"/>
  </r>
  <r>
    <d v="2023-11-28T00:00:00"/>
    <x v="0"/>
    <x v="6"/>
    <x v="2"/>
    <x v="4"/>
    <n v="450"/>
    <n v="99"/>
    <x v="414"/>
    <x v="4"/>
  </r>
  <r>
    <s v="28.11.2023 Итог"/>
    <x v="3"/>
    <x v="2"/>
    <x v="3"/>
    <x v="3"/>
    <m/>
    <m/>
    <x v="1713"/>
    <x v="4"/>
  </r>
  <r>
    <d v="2023-11-29T00:00:00"/>
    <x v="1"/>
    <x v="4"/>
    <x v="4"/>
    <x v="13"/>
    <n v="1505"/>
    <n v="54"/>
    <x v="1714"/>
    <x v="4"/>
  </r>
  <r>
    <d v="2023-11-29T00:00:00"/>
    <x v="1"/>
    <x v="1"/>
    <x v="2"/>
    <x v="9"/>
    <n v="690"/>
    <n v="7"/>
    <x v="495"/>
    <x v="4"/>
  </r>
  <r>
    <d v="2023-11-29T00:00:00"/>
    <x v="2"/>
    <x v="1"/>
    <x v="0"/>
    <x v="24"/>
    <n v="2540"/>
    <n v="28"/>
    <x v="1715"/>
    <x v="4"/>
  </r>
  <r>
    <d v="2023-11-29T00:00:00"/>
    <x v="2"/>
    <x v="5"/>
    <x v="1"/>
    <x v="6"/>
    <n v="640"/>
    <n v="87"/>
    <x v="1716"/>
    <x v="4"/>
  </r>
  <r>
    <d v="2023-11-29T00:00:00"/>
    <x v="2"/>
    <x v="5"/>
    <x v="1"/>
    <x v="23"/>
    <n v="705"/>
    <n v="65"/>
    <x v="1351"/>
    <x v="4"/>
  </r>
  <r>
    <d v="2023-11-29T00:00:00"/>
    <x v="2"/>
    <x v="5"/>
    <x v="4"/>
    <x v="14"/>
    <n v="1670"/>
    <n v="81"/>
    <x v="1717"/>
    <x v="4"/>
  </r>
  <r>
    <d v="2023-11-29T00:00:00"/>
    <x v="0"/>
    <x v="5"/>
    <x v="4"/>
    <x v="14"/>
    <n v="1670"/>
    <n v="60"/>
    <x v="1718"/>
    <x v="4"/>
  </r>
  <r>
    <d v="2023-11-29T00:00:00"/>
    <x v="0"/>
    <x v="6"/>
    <x v="0"/>
    <x v="5"/>
    <n v="930"/>
    <n v="52"/>
    <x v="1182"/>
    <x v="4"/>
  </r>
  <r>
    <s v="29.11.2023 Итог"/>
    <x v="3"/>
    <x v="2"/>
    <x v="3"/>
    <x v="3"/>
    <m/>
    <m/>
    <x v="1719"/>
    <x v="4"/>
  </r>
  <r>
    <d v="2023-11-30T00:00:00"/>
    <x v="4"/>
    <x v="3"/>
    <x v="4"/>
    <x v="15"/>
    <n v="2460"/>
    <n v="96"/>
    <x v="1720"/>
    <x v="4"/>
  </r>
  <r>
    <d v="2023-11-30T00:00:00"/>
    <x v="4"/>
    <x v="3"/>
    <x v="4"/>
    <x v="7"/>
    <n v="1760"/>
    <n v="18"/>
    <x v="1042"/>
    <x v="4"/>
  </r>
  <r>
    <d v="2023-11-30T00:00:00"/>
    <x v="0"/>
    <x v="0"/>
    <x v="4"/>
    <x v="15"/>
    <n v="2460"/>
    <n v="69"/>
    <x v="1589"/>
    <x v="4"/>
  </r>
  <r>
    <d v="2023-11-30T00:00:00"/>
    <x v="0"/>
    <x v="4"/>
    <x v="2"/>
    <x v="9"/>
    <n v="690"/>
    <n v="63"/>
    <x v="1721"/>
    <x v="4"/>
  </r>
  <r>
    <d v="2023-11-30T00:00:00"/>
    <x v="1"/>
    <x v="4"/>
    <x v="4"/>
    <x v="14"/>
    <n v="1670"/>
    <n v="72"/>
    <x v="195"/>
    <x v="4"/>
  </r>
  <r>
    <d v="2023-11-30T00:00:00"/>
    <x v="2"/>
    <x v="5"/>
    <x v="0"/>
    <x v="22"/>
    <n v="1420"/>
    <n v="36"/>
    <x v="1722"/>
    <x v="4"/>
  </r>
  <r>
    <d v="2023-11-30T00:00:00"/>
    <x v="1"/>
    <x v="5"/>
    <x v="4"/>
    <x v="13"/>
    <n v="1505"/>
    <n v="56"/>
    <x v="617"/>
    <x v="4"/>
  </r>
  <r>
    <d v="2023-11-30T00:00:00"/>
    <x v="4"/>
    <x v="5"/>
    <x v="4"/>
    <x v="11"/>
    <n v="2970"/>
    <n v="31"/>
    <x v="579"/>
    <x v="4"/>
  </r>
  <r>
    <s v="30.11.2023 Итог"/>
    <x v="3"/>
    <x v="2"/>
    <x v="3"/>
    <x v="3"/>
    <m/>
    <m/>
    <x v="1723"/>
    <x v="4"/>
  </r>
  <r>
    <d v="2023-12-01T00:00:00"/>
    <x v="1"/>
    <x v="3"/>
    <x v="4"/>
    <x v="21"/>
    <n v="3205"/>
    <n v="67"/>
    <x v="1724"/>
    <x v="4"/>
  </r>
  <r>
    <d v="2023-12-01T00:00:00"/>
    <x v="2"/>
    <x v="3"/>
    <x v="4"/>
    <x v="21"/>
    <n v="3205"/>
    <n v="84"/>
    <x v="1439"/>
    <x v="4"/>
  </r>
  <r>
    <d v="2023-12-01T00:00:00"/>
    <x v="0"/>
    <x v="4"/>
    <x v="1"/>
    <x v="20"/>
    <n v="650"/>
    <n v="79"/>
    <x v="1233"/>
    <x v="4"/>
  </r>
  <r>
    <d v="2023-12-01T00:00:00"/>
    <x v="4"/>
    <x v="4"/>
    <x v="2"/>
    <x v="16"/>
    <n v="890"/>
    <n v="67"/>
    <x v="1123"/>
    <x v="4"/>
  </r>
  <r>
    <d v="2023-12-01T00:00:00"/>
    <x v="1"/>
    <x v="4"/>
    <x v="0"/>
    <x v="22"/>
    <n v="1420"/>
    <n v="98"/>
    <x v="710"/>
    <x v="4"/>
  </r>
  <r>
    <d v="2023-12-01T00:00:00"/>
    <x v="0"/>
    <x v="4"/>
    <x v="4"/>
    <x v="13"/>
    <n v="1505"/>
    <n v="33"/>
    <x v="1100"/>
    <x v="4"/>
  </r>
  <r>
    <d v="2023-12-01T00:00:00"/>
    <x v="4"/>
    <x v="1"/>
    <x v="0"/>
    <x v="22"/>
    <n v="1420"/>
    <n v="13"/>
    <x v="1725"/>
    <x v="4"/>
  </r>
  <r>
    <d v="2023-12-01T00:00:00"/>
    <x v="4"/>
    <x v="6"/>
    <x v="1"/>
    <x v="23"/>
    <n v="705"/>
    <n v="22"/>
    <x v="671"/>
    <x v="4"/>
  </r>
  <r>
    <d v="2023-12-01T00:00:00"/>
    <x v="1"/>
    <x v="6"/>
    <x v="4"/>
    <x v="15"/>
    <n v="2460"/>
    <n v="11"/>
    <x v="131"/>
    <x v="4"/>
  </r>
  <r>
    <s v="01.12.2023 Итог"/>
    <x v="3"/>
    <x v="2"/>
    <x v="3"/>
    <x v="3"/>
    <m/>
    <m/>
    <x v="1726"/>
    <x v="4"/>
  </r>
  <r>
    <d v="2023-12-02T00:00:00"/>
    <x v="2"/>
    <x v="3"/>
    <x v="2"/>
    <x v="12"/>
    <n v="715"/>
    <n v="45"/>
    <x v="807"/>
    <x v="4"/>
  </r>
  <r>
    <d v="2023-12-02T00:00:00"/>
    <x v="2"/>
    <x v="3"/>
    <x v="2"/>
    <x v="9"/>
    <n v="690"/>
    <n v="50"/>
    <x v="1057"/>
    <x v="4"/>
  </r>
  <r>
    <d v="2023-12-02T00:00:00"/>
    <x v="4"/>
    <x v="0"/>
    <x v="1"/>
    <x v="23"/>
    <n v="705"/>
    <n v="70"/>
    <x v="1045"/>
    <x v="4"/>
  </r>
  <r>
    <d v="2023-12-02T00:00:00"/>
    <x v="1"/>
    <x v="0"/>
    <x v="2"/>
    <x v="4"/>
    <n v="450"/>
    <n v="40"/>
    <x v="1245"/>
    <x v="4"/>
  </r>
  <r>
    <d v="2023-12-02T00:00:00"/>
    <x v="0"/>
    <x v="0"/>
    <x v="0"/>
    <x v="17"/>
    <n v="2400"/>
    <n v="57"/>
    <x v="410"/>
    <x v="4"/>
  </r>
  <r>
    <d v="2023-12-02T00:00:00"/>
    <x v="1"/>
    <x v="0"/>
    <x v="4"/>
    <x v="14"/>
    <n v="1670"/>
    <n v="76"/>
    <x v="933"/>
    <x v="4"/>
  </r>
  <r>
    <d v="2023-12-02T00:00:00"/>
    <x v="0"/>
    <x v="0"/>
    <x v="4"/>
    <x v="11"/>
    <n v="2970"/>
    <n v="12"/>
    <x v="577"/>
    <x v="4"/>
  </r>
  <r>
    <d v="2023-12-02T00:00:00"/>
    <x v="2"/>
    <x v="4"/>
    <x v="0"/>
    <x v="17"/>
    <n v="2400"/>
    <n v="90"/>
    <x v="435"/>
    <x v="4"/>
  </r>
  <r>
    <d v="2023-12-02T00:00:00"/>
    <x v="4"/>
    <x v="1"/>
    <x v="2"/>
    <x v="2"/>
    <n v="325"/>
    <n v="29"/>
    <x v="753"/>
    <x v="4"/>
  </r>
  <r>
    <d v="2023-12-02T00:00:00"/>
    <x v="4"/>
    <x v="1"/>
    <x v="4"/>
    <x v="14"/>
    <n v="1670"/>
    <n v="72"/>
    <x v="195"/>
    <x v="4"/>
  </r>
  <r>
    <d v="2023-12-02T00:00:00"/>
    <x v="2"/>
    <x v="5"/>
    <x v="2"/>
    <x v="4"/>
    <n v="450"/>
    <n v="53"/>
    <x v="1254"/>
    <x v="4"/>
  </r>
  <r>
    <d v="2023-12-02T00:00:00"/>
    <x v="1"/>
    <x v="5"/>
    <x v="0"/>
    <x v="22"/>
    <n v="1420"/>
    <n v="27"/>
    <x v="434"/>
    <x v="4"/>
  </r>
  <r>
    <d v="2023-12-02T00:00:00"/>
    <x v="0"/>
    <x v="6"/>
    <x v="2"/>
    <x v="2"/>
    <n v="325"/>
    <n v="86"/>
    <x v="1131"/>
    <x v="4"/>
  </r>
  <r>
    <s v="02.12.2023 Итог"/>
    <x v="3"/>
    <x v="2"/>
    <x v="3"/>
    <x v="3"/>
    <m/>
    <m/>
    <x v="1727"/>
    <x v="4"/>
  </r>
  <r>
    <d v="2023-12-03T00:00:00"/>
    <x v="1"/>
    <x v="3"/>
    <x v="1"/>
    <x v="19"/>
    <n v="540"/>
    <n v="52"/>
    <x v="654"/>
    <x v="4"/>
  </r>
  <r>
    <d v="2023-12-03T00:00:00"/>
    <x v="1"/>
    <x v="5"/>
    <x v="4"/>
    <x v="21"/>
    <n v="3205"/>
    <n v="64"/>
    <x v="1728"/>
    <x v="4"/>
  </r>
  <r>
    <s v="03.12.2023 Итог"/>
    <x v="3"/>
    <x v="2"/>
    <x v="3"/>
    <x v="3"/>
    <m/>
    <m/>
    <x v="1729"/>
    <x v="4"/>
  </r>
  <r>
    <d v="2023-12-04T00:00:00"/>
    <x v="4"/>
    <x v="3"/>
    <x v="1"/>
    <x v="1"/>
    <n v="1380"/>
    <n v="22"/>
    <x v="1643"/>
    <x v="4"/>
  </r>
  <r>
    <d v="2023-12-04T00:00:00"/>
    <x v="2"/>
    <x v="0"/>
    <x v="1"/>
    <x v="6"/>
    <n v="640"/>
    <n v="37"/>
    <x v="1730"/>
    <x v="4"/>
  </r>
  <r>
    <d v="2023-12-04T00:00:00"/>
    <x v="2"/>
    <x v="4"/>
    <x v="1"/>
    <x v="18"/>
    <n v="650"/>
    <n v="26"/>
    <x v="619"/>
    <x v="4"/>
  </r>
  <r>
    <d v="2023-12-04T00:00:00"/>
    <x v="0"/>
    <x v="1"/>
    <x v="2"/>
    <x v="4"/>
    <n v="450"/>
    <n v="47"/>
    <x v="230"/>
    <x v="4"/>
  </r>
  <r>
    <d v="2023-12-04T00:00:00"/>
    <x v="0"/>
    <x v="1"/>
    <x v="4"/>
    <x v="11"/>
    <n v="2970"/>
    <n v="46"/>
    <x v="1212"/>
    <x v="4"/>
  </r>
  <r>
    <d v="2023-12-04T00:00:00"/>
    <x v="1"/>
    <x v="1"/>
    <x v="4"/>
    <x v="11"/>
    <n v="2970"/>
    <n v="24"/>
    <x v="26"/>
    <x v="4"/>
  </r>
  <r>
    <d v="2023-12-04T00:00:00"/>
    <x v="4"/>
    <x v="5"/>
    <x v="2"/>
    <x v="4"/>
    <n v="450"/>
    <n v="95"/>
    <x v="1731"/>
    <x v="4"/>
  </r>
  <r>
    <d v="2023-12-04T00:00:00"/>
    <x v="0"/>
    <x v="5"/>
    <x v="2"/>
    <x v="2"/>
    <n v="325"/>
    <n v="42"/>
    <x v="327"/>
    <x v="4"/>
  </r>
  <r>
    <d v="2023-12-04T00:00:00"/>
    <x v="4"/>
    <x v="5"/>
    <x v="4"/>
    <x v="21"/>
    <n v="3205"/>
    <n v="83"/>
    <x v="1248"/>
    <x v="4"/>
  </r>
  <r>
    <d v="2023-12-04T00:00:00"/>
    <x v="1"/>
    <x v="6"/>
    <x v="1"/>
    <x v="6"/>
    <n v="640"/>
    <n v="68"/>
    <x v="530"/>
    <x v="4"/>
  </r>
  <r>
    <d v="2023-12-04T00:00:00"/>
    <x v="1"/>
    <x v="6"/>
    <x v="1"/>
    <x v="20"/>
    <n v="650"/>
    <n v="39"/>
    <x v="830"/>
    <x v="4"/>
  </r>
  <r>
    <d v="2023-12-04T00:00:00"/>
    <x v="2"/>
    <x v="6"/>
    <x v="2"/>
    <x v="16"/>
    <n v="890"/>
    <n v="20"/>
    <x v="1732"/>
    <x v="4"/>
  </r>
  <r>
    <s v="04.12.2023 Итог"/>
    <x v="3"/>
    <x v="2"/>
    <x v="3"/>
    <x v="3"/>
    <m/>
    <m/>
    <x v="1733"/>
    <x v="4"/>
  </r>
  <r>
    <d v="2023-12-05T00:00:00"/>
    <x v="4"/>
    <x v="3"/>
    <x v="4"/>
    <x v="7"/>
    <n v="1760"/>
    <n v="13"/>
    <x v="350"/>
    <x v="4"/>
  </r>
  <r>
    <d v="2023-12-05T00:00:00"/>
    <x v="0"/>
    <x v="3"/>
    <x v="4"/>
    <x v="15"/>
    <n v="2460"/>
    <n v="16"/>
    <x v="581"/>
    <x v="4"/>
  </r>
  <r>
    <d v="2023-12-05T00:00:00"/>
    <x v="0"/>
    <x v="0"/>
    <x v="1"/>
    <x v="20"/>
    <n v="650"/>
    <n v="93"/>
    <x v="875"/>
    <x v="4"/>
  </r>
  <r>
    <d v="2023-12-05T00:00:00"/>
    <x v="0"/>
    <x v="0"/>
    <x v="1"/>
    <x v="18"/>
    <n v="650"/>
    <n v="25"/>
    <x v="45"/>
    <x v="4"/>
  </r>
  <r>
    <d v="2023-12-05T00:00:00"/>
    <x v="1"/>
    <x v="0"/>
    <x v="0"/>
    <x v="0"/>
    <n v="1320"/>
    <n v="50"/>
    <x v="1609"/>
    <x v="4"/>
  </r>
  <r>
    <d v="2023-12-05T00:00:00"/>
    <x v="2"/>
    <x v="4"/>
    <x v="1"/>
    <x v="20"/>
    <n v="650"/>
    <n v="55"/>
    <x v="677"/>
    <x v="4"/>
  </r>
  <r>
    <d v="2023-12-05T00:00:00"/>
    <x v="2"/>
    <x v="4"/>
    <x v="0"/>
    <x v="17"/>
    <n v="2400"/>
    <n v="29"/>
    <x v="748"/>
    <x v="4"/>
  </r>
  <r>
    <d v="2023-12-05T00:00:00"/>
    <x v="1"/>
    <x v="4"/>
    <x v="0"/>
    <x v="17"/>
    <n v="2400"/>
    <n v="99"/>
    <x v="41"/>
    <x v="4"/>
  </r>
  <r>
    <d v="2023-12-05T00:00:00"/>
    <x v="2"/>
    <x v="1"/>
    <x v="1"/>
    <x v="19"/>
    <n v="540"/>
    <n v="39"/>
    <x v="1461"/>
    <x v="4"/>
  </r>
  <r>
    <d v="2023-12-05T00:00:00"/>
    <x v="0"/>
    <x v="1"/>
    <x v="4"/>
    <x v="21"/>
    <n v="3205"/>
    <n v="95"/>
    <x v="1734"/>
    <x v="4"/>
  </r>
  <r>
    <d v="2023-12-05T00:00:00"/>
    <x v="0"/>
    <x v="5"/>
    <x v="2"/>
    <x v="4"/>
    <n v="450"/>
    <n v="52"/>
    <x v="756"/>
    <x v="4"/>
  </r>
  <r>
    <d v="2023-12-05T00:00:00"/>
    <x v="2"/>
    <x v="6"/>
    <x v="4"/>
    <x v="11"/>
    <n v="2970"/>
    <n v="62"/>
    <x v="436"/>
    <x v="4"/>
  </r>
  <r>
    <d v="2023-12-05T00:00:00"/>
    <x v="0"/>
    <x v="6"/>
    <x v="4"/>
    <x v="7"/>
    <n v="1760"/>
    <n v="66"/>
    <x v="1276"/>
    <x v="4"/>
  </r>
  <r>
    <s v="05.12.2023 Итог"/>
    <x v="3"/>
    <x v="2"/>
    <x v="3"/>
    <x v="3"/>
    <m/>
    <m/>
    <x v="1735"/>
    <x v="4"/>
  </r>
  <r>
    <d v="2023-12-06T00:00:00"/>
    <x v="4"/>
    <x v="3"/>
    <x v="2"/>
    <x v="2"/>
    <n v="325"/>
    <n v="58"/>
    <x v="46"/>
    <x v="4"/>
  </r>
  <r>
    <d v="2023-12-06T00:00:00"/>
    <x v="1"/>
    <x v="3"/>
    <x v="2"/>
    <x v="8"/>
    <n v="460"/>
    <n v="33"/>
    <x v="628"/>
    <x v="4"/>
  </r>
  <r>
    <d v="2023-12-06T00:00:00"/>
    <x v="0"/>
    <x v="3"/>
    <x v="4"/>
    <x v="15"/>
    <n v="2460"/>
    <n v="58"/>
    <x v="18"/>
    <x v="4"/>
  </r>
  <r>
    <d v="2023-12-06T00:00:00"/>
    <x v="4"/>
    <x v="0"/>
    <x v="0"/>
    <x v="22"/>
    <n v="1420"/>
    <n v="87"/>
    <x v="1122"/>
    <x v="4"/>
  </r>
  <r>
    <d v="2023-12-06T00:00:00"/>
    <x v="1"/>
    <x v="1"/>
    <x v="4"/>
    <x v="15"/>
    <n v="2460"/>
    <n v="77"/>
    <x v="428"/>
    <x v="4"/>
  </r>
  <r>
    <d v="2023-12-06T00:00:00"/>
    <x v="2"/>
    <x v="1"/>
    <x v="4"/>
    <x v="7"/>
    <n v="1760"/>
    <n v="18"/>
    <x v="1042"/>
    <x v="4"/>
  </r>
  <r>
    <d v="2023-12-06T00:00:00"/>
    <x v="4"/>
    <x v="1"/>
    <x v="4"/>
    <x v="15"/>
    <n v="2460"/>
    <n v="19"/>
    <x v="1491"/>
    <x v="4"/>
  </r>
  <r>
    <d v="2023-12-06T00:00:00"/>
    <x v="2"/>
    <x v="5"/>
    <x v="2"/>
    <x v="9"/>
    <n v="690"/>
    <n v="11"/>
    <x v="791"/>
    <x v="4"/>
  </r>
  <r>
    <d v="2023-12-06T00:00:00"/>
    <x v="2"/>
    <x v="5"/>
    <x v="2"/>
    <x v="2"/>
    <n v="325"/>
    <n v="26"/>
    <x v="375"/>
    <x v="4"/>
  </r>
  <r>
    <d v="2023-12-06T00:00:00"/>
    <x v="4"/>
    <x v="5"/>
    <x v="2"/>
    <x v="2"/>
    <n v="325"/>
    <n v="12"/>
    <x v="342"/>
    <x v="4"/>
  </r>
  <r>
    <d v="2023-12-06T00:00:00"/>
    <x v="0"/>
    <x v="5"/>
    <x v="0"/>
    <x v="0"/>
    <n v="1320"/>
    <n v="83"/>
    <x v="463"/>
    <x v="4"/>
  </r>
  <r>
    <d v="2023-12-06T00:00:00"/>
    <x v="2"/>
    <x v="5"/>
    <x v="4"/>
    <x v="14"/>
    <n v="1670"/>
    <n v="85"/>
    <x v="1027"/>
    <x v="4"/>
  </r>
  <r>
    <s v="06.12.2023 Итог"/>
    <x v="3"/>
    <x v="2"/>
    <x v="3"/>
    <x v="3"/>
    <m/>
    <m/>
    <x v="1736"/>
    <x v="4"/>
  </r>
  <r>
    <d v="2023-12-07T00:00:00"/>
    <x v="0"/>
    <x v="3"/>
    <x v="2"/>
    <x v="4"/>
    <n v="450"/>
    <n v="8"/>
    <x v="1219"/>
    <x v="4"/>
  </r>
  <r>
    <d v="2023-12-07T00:00:00"/>
    <x v="2"/>
    <x v="0"/>
    <x v="2"/>
    <x v="4"/>
    <n v="450"/>
    <n v="97"/>
    <x v="321"/>
    <x v="4"/>
  </r>
  <r>
    <d v="2023-12-07T00:00:00"/>
    <x v="1"/>
    <x v="0"/>
    <x v="2"/>
    <x v="16"/>
    <n v="890"/>
    <n v="5"/>
    <x v="407"/>
    <x v="4"/>
  </r>
  <r>
    <d v="2023-12-07T00:00:00"/>
    <x v="2"/>
    <x v="0"/>
    <x v="2"/>
    <x v="4"/>
    <n v="450"/>
    <n v="60"/>
    <x v="1737"/>
    <x v="4"/>
  </r>
  <r>
    <d v="2023-12-07T00:00:00"/>
    <x v="0"/>
    <x v="4"/>
    <x v="4"/>
    <x v="11"/>
    <n v="2970"/>
    <n v="15"/>
    <x v="414"/>
    <x v="4"/>
  </r>
  <r>
    <d v="2023-12-07T00:00:00"/>
    <x v="2"/>
    <x v="1"/>
    <x v="2"/>
    <x v="9"/>
    <n v="690"/>
    <n v="47"/>
    <x v="816"/>
    <x v="4"/>
  </r>
  <r>
    <d v="2023-12-07T00:00:00"/>
    <x v="1"/>
    <x v="5"/>
    <x v="0"/>
    <x v="22"/>
    <n v="1420"/>
    <n v="6"/>
    <x v="1738"/>
    <x v="4"/>
  </r>
  <r>
    <d v="2023-12-07T00:00:00"/>
    <x v="2"/>
    <x v="6"/>
    <x v="1"/>
    <x v="6"/>
    <n v="640"/>
    <n v="40"/>
    <x v="676"/>
    <x v="4"/>
  </r>
  <r>
    <d v="2023-12-07T00:00:00"/>
    <x v="0"/>
    <x v="6"/>
    <x v="0"/>
    <x v="17"/>
    <n v="2400"/>
    <n v="70"/>
    <x v="330"/>
    <x v="4"/>
  </r>
  <r>
    <d v="2023-12-07T00:00:00"/>
    <x v="0"/>
    <x v="6"/>
    <x v="0"/>
    <x v="24"/>
    <n v="2540"/>
    <n v="62"/>
    <x v="1739"/>
    <x v="4"/>
  </r>
  <r>
    <s v="07.12.2023 Итог"/>
    <x v="3"/>
    <x v="2"/>
    <x v="3"/>
    <x v="3"/>
    <m/>
    <m/>
    <x v="1740"/>
    <x v="4"/>
  </r>
  <r>
    <d v="2023-12-08T00:00:00"/>
    <x v="2"/>
    <x v="3"/>
    <x v="2"/>
    <x v="16"/>
    <n v="890"/>
    <n v="87"/>
    <x v="527"/>
    <x v="4"/>
  </r>
  <r>
    <d v="2023-12-08T00:00:00"/>
    <x v="2"/>
    <x v="3"/>
    <x v="0"/>
    <x v="17"/>
    <n v="2400"/>
    <n v="22"/>
    <x v="94"/>
    <x v="4"/>
  </r>
  <r>
    <d v="2023-12-08T00:00:00"/>
    <x v="4"/>
    <x v="3"/>
    <x v="0"/>
    <x v="24"/>
    <n v="2540"/>
    <n v="52"/>
    <x v="894"/>
    <x v="4"/>
  </r>
  <r>
    <d v="2023-12-08T00:00:00"/>
    <x v="4"/>
    <x v="0"/>
    <x v="0"/>
    <x v="5"/>
    <n v="930"/>
    <n v="19"/>
    <x v="1621"/>
    <x v="4"/>
  </r>
  <r>
    <d v="2023-12-08T00:00:00"/>
    <x v="0"/>
    <x v="0"/>
    <x v="4"/>
    <x v="11"/>
    <n v="2970"/>
    <n v="34"/>
    <x v="1097"/>
    <x v="4"/>
  </r>
  <r>
    <d v="2023-12-08T00:00:00"/>
    <x v="1"/>
    <x v="4"/>
    <x v="1"/>
    <x v="20"/>
    <n v="650"/>
    <n v="91"/>
    <x v="1096"/>
    <x v="4"/>
  </r>
  <r>
    <d v="2023-12-08T00:00:00"/>
    <x v="0"/>
    <x v="4"/>
    <x v="1"/>
    <x v="20"/>
    <n v="650"/>
    <n v="30"/>
    <x v="469"/>
    <x v="4"/>
  </r>
  <r>
    <d v="2023-12-08T00:00:00"/>
    <x v="4"/>
    <x v="4"/>
    <x v="2"/>
    <x v="2"/>
    <n v="325"/>
    <n v="78"/>
    <x v="830"/>
    <x v="4"/>
  </r>
  <r>
    <d v="2023-12-08T00:00:00"/>
    <x v="1"/>
    <x v="4"/>
    <x v="2"/>
    <x v="9"/>
    <n v="690"/>
    <n v="72"/>
    <x v="1629"/>
    <x v="4"/>
  </r>
  <r>
    <d v="2023-12-08T00:00:00"/>
    <x v="2"/>
    <x v="4"/>
    <x v="4"/>
    <x v="13"/>
    <n v="1505"/>
    <n v="77"/>
    <x v="1083"/>
    <x v="4"/>
  </r>
  <r>
    <d v="2023-12-08T00:00:00"/>
    <x v="1"/>
    <x v="1"/>
    <x v="1"/>
    <x v="20"/>
    <n v="650"/>
    <n v="36"/>
    <x v="756"/>
    <x v="4"/>
  </r>
  <r>
    <d v="2023-12-08T00:00:00"/>
    <x v="0"/>
    <x v="1"/>
    <x v="1"/>
    <x v="19"/>
    <n v="540"/>
    <n v="40"/>
    <x v="387"/>
    <x v="4"/>
  </r>
  <r>
    <d v="2023-12-08T00:00:00"/>
    <x v="0"/>
    <x v="1"/>
    <x v="0"/>
    <x v="10"/>
    <n v="1230"/>
    <n v="14"/>
    <x v="1076"/>
    <x v="4"/>
  </r>
  <r>
    <d v="2023-12-08T00:00:00"/>
    <x v="4"/>
    <x v="5"/>
    <x v="2"/>
    <x v="12"/>
    <n v="715"/>
    <n v="33"/>
    <x v="548"/>
    <x v="4"/>
  </r>
  <r>
    <d v="2023-12-08T00:00:00"/>
    <x v="1"/>
    <x v="5"/>
    <x v="4"/>
    <x v="14"/>
    <n v="1670"/>
    <n v="14"/>
    <x v="1025"/>
    <x v="4"/>
  </r>
  <r>
    <d v="2023-12-08T00:00:00"/>
    <x v="1"/>
    <x v="6"/>
    <x v="0"/>
    <x v="0"/>
    <n v="1320"/>
    <n v="9"/>
    <x v="1146"/>
    <x v="4"/>
  </r>
  <r>
    <d v="2023-12-08T00:00:00"/>
    <x v="1"/>
    <x v="6"/>
    <x v="4"/>
    <x v="7"/>
    <n v="1760"/>
    <n v="24"/>
    <x v="11"/>
    <x v="4"/>
  </r>
  <r>
    <s v="08.12.2023 Итог"/>
    <x v="3"/>
    <x v="2"/>
    <x v="3"/>
    <x v="3"/>
    <m/>
    <m/>
    <x v="1741"/>
    <x v="4"/>
  </r>
  <r>
    <d v="2023-12-09T00:00:00"/>
    <x v="4"/>
    <x v="3"/>
    <x v="4"/>
    <x v="14"/>
    <n v="1670"/>
    <n v="6"/>
    <x v="1033"/>
    <x v="4"/>
  </r>
  <r>
    <d v="2023-12-09T00:00:00"/>
    <x v="1"/>
    <x v="4"/>
    <x v="1"/>
    <x v="18"/>
    <n v="650"/>
    <n v="46"/>
    <x v="667"/>
    <x v="4"/>
  </r>
  <r>
    <d v="2023-12-09T00:00:00"/>
    <x v="0"/>
    <x v="4"/>
    <x v="0"/>
    <x v="0"/>
    <n v="1320"/>
    <n v="17"/>
    <x v="659"/>
    <x v="4"/>
  </r>
  <r>
    <d v="2023-12-09T00:00:00"/>
    <x v="4"/>
    <x v="4"/>
    <x v="4"/>
    <x v="15"/>
    <n v="2460"/>
    <n v="5"/>
    <x v="481"/>
    <x v="4"/>
  </r>
  <r>
    <d v="2023-12-09T00:00:00"/>
    <x v="2"/>
    <x v="1"/>
    <x v="0"/>
    <x v="10"/>
    <n v="1230"/>
    <n v="90"/>
    <x v="415"/>
    <x v="4"/>
  </r>
  <r>
    <d v="2023-12-09T00:00:00"/>
    <x v="2"/>
    <x v="6"/>
    <x v="2"/>
    <x v="12"/>
    <n v="715"/>
    <n v="28"/>
    <x v="1742"/>
    <x v="4"/>
  </r>
  <r>
    <s v="09.12.2023 Итог"/>
    <x v="3"/>
    <x v="2"/>
    <x v="3"/>
    <x v="3"/>
    <m/>
    <m/>
    <x v="1743"/>
    <x v="4"/>
  </r>
  <r>
    <d v="2023-12-10T00:00:00"/>
    <x v="1"/>
    <x v="3"/>
    <x v="2"/>
    <x v="16"/>
    <n v="890"/>
    <n v="29"/>
    <x v="1744"/>
    <x v="4"/>
  </r>
  <r>
    <d v="2023-12-10T00:00:00"/>
    <x v="1"/>
    <x v="3"/>
    <x v="2"/>
    <x v="12"/>
    <n v="715"/>
    <n v="51"/>
    <x v="395"/>
    <x v="4"/>
  </r>
  <r>
    <d v="2023-12-10T00:00:00"/>
    <x v="1"/>
    <x v="3"/>
    <x v="4"/>
    <x v="7"/>
    <n v="1760"/>
    <n v="86"/>
    <x v="1471"/>
    <x v="4"/>
  </r>
  <r>
    <d v="2023-12-10T00:00:00"/>
    <x v="4"/>
    <x v="0"/>
    <x v="2"/>
    <x v="9"/>
    <n v="690"/>
    <n v="97"/>
    <x v="538"/>
    <x v="4"/>
  </r>
  <r>
    <d v="2023-12-10T00:00:00"/>
    <x v="4"/>
    <x v="4"/>
    <x v="2"/>
    <x v="9"/>
    <n v="690"/>
    <n v="27"/>
    <x v="383"/>
    <x v="4"/>
  </r>
  <r>
    <d v="2023-12-10T00:00:00"/>
    <x v="2"/>
    <x v="4"/>
    <x v="2"/>
    <x v="16"/>
    <n v="890"/>
    <n v="68"/>
    <x v="866"/>
    <x v="4"/>
  </r>
  <r>
    <d v="2023-12-10T00:00:00"/>
    <x v="1"/>
    <x v="1"/>
    <x v="1"/>
    <x v="18"/>
    <n v="650"/>
    <n v="34"/>
    <x v="199"/>
    <x v="4"/>
  </r>
  <r>
    <d v="2023-12-10T00:00:00"/>
    <x v="1"/>
    <x v="1"/>
    <x v="0"/>
    <x v="5"/>
    <n v="930"/>
    <n v="33"/>
    <x v="1667"/>
    <x v="4"/>
  </r>
  <r>
    <d v="2023-12-10T00:00:00"/>
    <x v="2"/>
    <x v="1"/>
    <x v="4"/>
    <x v="7"/>
    <n v="1760"/>
    <n v="9"/>
    <x v="1408"/>
    <x v="4"/>
  </r>
  <r>
    <d v="2023-12-10T00:00:00"/>
    <x v="1"/>
    <x v="5"/>
    <x v="4"/>
    <x v="13"/>
    <n v="1505"/>
    <n v="15"/>
    <x v="1745"/>
    <x v="4"/>
  </r>
  <r>
    <d v="2023-12-10T00:00:00"/>
    <x v="4"/>
    <x v="6"/>
    <x v="1"/>
    <x v="1"/>
    <n v="1380"/>
    <n v="65"/>
    <x v="1705"/>
    <x v="4"/>
  </r>
  <r>
    <d v="2023-12-10T00:00:00"/>
    <x v="1"/>
    <x v="6"/>
    <x v="2"/>
    <x v="12"/>
    <n v="715"/>
    <n v="35"/>
    <x v="768"/>
    <x v="4"/>
  </r>
  <r>
    <d v="2023-12-10T00:00:00"/>
    <x v="0"/>
    <x v="6"/>
    <x v="0"/>
    <x v="22"/>
    <n v="1420"/>
    <n v="69"/>
    <x v="92"/>
    <x v="4"/>
  </r>
  <r>
    <s v="10.12.2023 Итог"/>
    <x v="3"/>
    <x v="2"/>
    <x v="3"/>
    <x v="3"/>
    <m/>
    <m/>
    <x v="1746"/>
    <x v="4"/>
  </r>
  <r>
    <d v="2023-12-11T00:00:00"/>
    <x v="2"/>
    <x v="3"/>
    <x v="2"/>
    <x v="2"/>
    <n v="325"/>
    <n v="75"/>
    <x v="1699"/>
    <x v="4"/>
  </r>
  <r>
    <d v="2023-12-11T00:00:00"/>
    <x v="0"/>
    <x v="3"/>
    <x v="2"/>
    <x v="2"/>
    <n v="325"/>
    <n v="87"/>
    <x v="1340"/>
    <x v="4"/>
  </r>
  <r>
    <d v="2023-12-11T00:00:00"/>
    <x v="1"/>
    <x v="6"/>
    <x v="1"/>
    <x v="6"/>
    <n v="640"/>
    <n v="80"/>
    <x v="805"/>
    <x v="4"/>
  </r>
  <r>
    <d v="2023-12-11T00:00:00"/>
    <x v="4"/>
    <x v="6"/>
    <x v="1"/>
    <x v="6"/>
    <n v="640"/>
    <n v="78"/>
    <x v="652"/>
    <x v="4"/>
  </r>
  <r>
    <d v="2023-12-11T00:00:00"/>
    <x v="4"/>
    <x v="6"/>
    <x v="0"/>
    <x v="24"/>
    <n v="2540"/>
    <n v="24"/>
    <x v="829"/>
    <x v="4"/>
  </r>
  <r>
    <s v="11.12.2023 Итог"/>
    <x v="3"/>
    <x v="2"/>
    <x v="3"/>
    <x v="3"/>
    <m/>
    <m/>
    <x v="1747"/>
    <x v="4"/>
  </r>
  <r>
    <d v="2023-12-12T00:00:00"/>
    <x v="4"/>
    <x v="3"/>
    <x v="4"/>
    <x v="21"/>
    <n v="3205"/>
    <n v="10"/>
    <x v="1411"/>
    <x v="4"/>
  </r>
  <r>
    <d v="2023-12-12T00:00:00"/>
    <x v="4"/>
    <x v="0"/>
    <x v="1"/>
    <x v="23"/>
    <n v="705"/>
    <n v="78"/>
    <x v="717"/>
    <x v="4"/>
  </r>
  <r>
    <d v="2023-12-12T00:00:00"/>
    <x v="1"/>
    <x v="4"/>
    <x v="1"/>
    <x v="20"/>
    <n v="650"/>
    <n v="69"/>
    <x v="317"/>
    <x v="4"/>
  </r>
  <r>
    <d v="2023-12-12T00:00:00"/>
    <x v="1"/>
    <x v="1"/>
    <x v="0"/>
    <x v="17"/>
    <n v="2400"/>
    <n v="28"/>
    <x v="1748"/>
    <x v="4"/>
  </r>
  <r>
    <d v="2023-12-12T00:00:00"/>
    <x v="1"/>
    <x v="1"/>
    <x v="4"/>
    <x v="7"/>
    <n v="1760"/>
    <n v="82"/>
    <x v="852"/>
    <x v="4"/>
  </r>
  <r>
    <d v="2023-12-12T00:00:00"/>
    <x v="0"/>
    <x v="1"/>
    <x v="4"/>
    <x v="11"/>
    <n v="2970"/>
    <n v="5"/>
    <x v="612"/>
    <x v="4"/>
  </r>
  <r>
    <d v="2023-12-12T00:00:00"/>
    <x v="0"/>
    <x v="5"/>
    <x v="0"/>
    <x v="22"/>
    <n v="1420"/>
    <n v="34"/>
    <x v="1262"/>
    <x v="4"/>
  </r>
  <r>
    <d v="2023-12-12T00:00:00"/>
    <x v="4"/>
    <x v="5"/>
    <x v="4"/>
    <x v="21"/>
    <n v="3205"/>
    <n v="34"/>
    <x v="1749"/>
    <x v="4"/>
  </r>
  <r>
    <s v="12.12.2023 Итог"/>
    <x v="3"/>
    <x v="2"/>
    <x v="3"/>
    <x v="3"/>
    <m/>
    <m/>
    <x v="1750"/>
    <x v="4"/>
  </r>
  <r>
    <d v="2023-12-13T00:00:00"/>
    <x v="0"/>
    <x v="3"/>
    <x v="2"/>
    <x v="9"/>
    <n v="690"/>
    <n v="24"/>
    <x v="160"/>
    <x v="4"/>
  </r>
  <r>
    <d v="2023-12-13T00:00:00"/>
    <x v="1"/>
    <x v="3"/>
    <x v="4"/>
    <x v="13"/>
    <n v="1505"/>
    <n v="9"/>
    <x v="856"/>
    <x v="4"/>
  </r>
  <r>
    <d v="2023-12-13T00:00:00"/>
    <x v="4"/>
    <x v="0"/>
    <x v="0"/>
    <x v="22"/>
    <n v="1420"/>
    <n v="29"/>
    <x v="849"/>
    <x v="4"/>
  </r>
  <r>
    <d v="2023-12-13T00:00:00"/>
    <x v="1"/>
    <x v="4"/>
    <x v="1"/>
    <x v="1"/>
    <n v="1380"/>
    <n v="45"/>
    <x v="1193"/>
    <x v="4"/>
  </r>
  <r>
    <d v="2023-12-13T00:00:00"/>
    <x v="2"/>
    <x v="5"/>
    <x v="4"/>
    <x v="14"/>
    <n v="1670"/>
    <n v="84"/>
    <x v="71"/>
    <x v="4"/>
  </r>
  <r>
    <s v="13.12.2023 Итог"/>
    <x v="3"/>
    <x v="2"/>
    <x v="3"/>
    <x v="3"/>
    <m/>
    <m/>
    <x v="1751"/>
    <x v="4"/>
  </r>
  <r>
    <d v="2023-12-14T00:00:00"/>
    <x v="2"/>
    <x v="3"/>
    <x v="1"/>
    <x v="18"/>
    <n v="650"/>
    <n v="33"/>
    <x v="360"/>
    <x v="4"/>
  </r>
  <r>
    <d v="2023-12-14T00:00:00"/>
    <x v="2"/>
    <x v="3"/>
    <x v="2"/>
    <x v="8"/>
    <n v="460"/>
    <n v="32"/>
    <x v="172"/>
    <x v="4"/>
  </r>
  <r>
    <d v="2023-12-14T00:00:00"/>
    <x v="1"/>
    <x v="3"/>
    <x v="2"/>
    <x v="12"/>
    <n v="715"/>
    <n v="22"/>
    <x v="141"/>
    <x v="4"/>
  </r>
  <r>
    <d v="2023-12-14T00:00:00"/>
    <x v="4"/>
    <x v="3"/>
    <x v="0"/>
    <x v="10"/>
    <n v="1230"/>
    <n v="17"/>
    <x v="1329"/>
    <x v="4"/>
  </r>
  <r>
    <d v="2023-12-14T00:00:00"/>
    <x v="1"/>
    <x v="3"/>
    <x v="0"/>
    <x v="10"/>
    <n v="1230"/>
    <n v="36"/>
    <x v="1044"/>
    <x v="4"/>
  </r>
  <r>
    <d v="2023-12-14T00:00:00"/>
    <x v="1"/>
    <x v="3"/>
    <x v="0"/>
    <x v="24"/>
    <n v="2540"/>
    <n v="7"/>
    <x v="208"/>
    <x v="4"/>
  </r>
  <r>
    <d v="2023-12-14T00:00:00"/>
    <x v="4"/>
    <x v="0"/>
    <x v="1"/>
    <x v="23"/>
    <n v="705"/>
    <n v="76"/>
    <x v="760"/>
    <x v="4"/>
  </r>
  <r>
    <d v="2023-12-14T00:00:00"/>
    <x v="2"/>
    <x v="0"/>
    <x v="4"/>
    <x v="21"/>
    <n v="3205"/>
    <n v="89"/>
    <x v="751"/>
    <x v="4"/>
  </r>
  <r>
    <d v="2023-12-14T00:00:00"/>
    <x v="2"/>
    <x v="4"/>
    <x v="4"/>
    <x v="13"/>
    <n v="1505"/>
    <n v="97"/>
    <x v="896"/>
    <x v="4"/>
  </r>
  <r>
    <d v="2023-12-14T00:00:00"/>
    <x v="0"/>
    <x v="6"/>
    <x v="0"/>
    <x v="10"/>
    <n v="1230"/>
    <n v="64"/>
    <x v="424"/>
    <x v="4"/>
  </r>
  <r>
    <s v="14.12.2023 Итог"/>
    <x v="3"/>
    <x v="2"/>
    <x v="3"/>
    <x v="3"/>
    <m/>
    <m/>
    <x v="1752"/>
    <x v="4"/>
  </r>
  <r>
    <d v="2023-12-15T00:00:00"/>
    <x v="4"/>
    <x v="3"/>
    <x v="4"/>
    <x v="13"/>
    <n v="1505"/>
    <n v="69"/>
    <x v="1183"/>
    <x v="4"/>
  </r>
  <r>
    <d v="2023-12-15T00:00:00"/>
    <x v="1"/>
    <x v="0"/>
    <x v="1"/>
    <x v="20"/>
    <n v="650"/>
    <n v="48"/>
    <x v="447"/>
    <x v="4"/>
  </r>
  <r>
    <d v="2023-12-15T00:00:00"/>
    <x v="4"/>
    <x v="0"/>
    <x v="2"/>
    <x v="4"/>
    <n v="450"/>
    <n v="98"/>
    <x v="929"/>
    <x v="4"/>
  </r>
  <r>
    <d v="2023-12-15T00:00:00"/>
    <x v="1"/>
    <x v="0"/>
    <x v="0"/>
    <x v="0"/>
    <n v="1320"/>
    <n v="49"/>
    <x v="825"/>
    <x v="4"/>
  </r>
  <r>
    <d v="2023-12-15T00:00:00"/>
    <x v="0"/>
    <x v="0"/>
    <x v="4"/>
    <x v="15"/>
    <n v="2460"/>
    <n v="85"/>
    <x v="1753"/>
    <x v="4"/>
  </r>
  <r>
    <d v="2023-12-15T00:00:00"/>
    <x v="1"/>
    <x v="4"/>
    <x v="4"/>
    <x v="15"/>
    <n v="2460"/>
    <n v="74"/>
    <x v="1292"/>
    <x v="4"/>
  </r>
  <r>
    <d v="2023-12-15T00:00:00"/>
    <x v="1"/>
    <x v="4"/>
    <x v="4"/>
    <x v="13"/>
    <n v="1505"/>
    <n v="82"/>
    <x v="1754"/>
    <x v="4"/>
  </r>
  <r>
    <d v="2023-12-15T00:00:00"/>
    <x v="1"/>
    <x v="1"/>
    <x v="0"/>
    <x v="10"/>
    <n v="1230"/>
    <n v="49"/>
    <x v="1755"/>
    <x v="4"/>
  </r>
  <r>
    <d v="2023-12-15T00:00:00"/>
    <x v="2"/>
    <x v="5"/>
    <x v="2"/>
    <x v="8"/>
    <n v="460"/>
    <n v="23"/>
    <x v="986"/>
    <x v="4"/>
  </r>
  <r>
    <d v="2023-12-15T00:00:00"/>
    <x v="4"/>
    <x v="6"/>
    <x v="2"/>
    <x v="2"/>
    <n v="325"/>
    <n v="68"/>
    <x v="199"/>
    <x v="4"/>
  </r>
  <r>
    <d v="2023-12-15T00:00:00"/>
    <x v="0"/>
    <x v="6"/>
    <x v="0"/>
    <x v="17"/>
    <n v="2400"/>
    <n v="24"/>
    <x v="605"/>
    <x v="4"/>
  </r>
  <r>
    <s v="15.12.2023 Итог"/>
    <x v="3"/>
    <x v="2"/>
    <x v="3"/>
    <x v="3"/>
    <m/>
    <m/>
    <x v="1756"/>
    <x v="4"/>
  </r>
  <r>
    <d v="2023-12-16T00:00:00"/>
    <x v="0"/>
    <x v="3"/>
    <x v="2"/>
    <x v="8"/>
    <n v="460"/>
    <n v="12"/>
    <x v="241"/>
    <x v="4"/>
  </r>
  <r>
    <d v="2023-12-16T00:00:00"/>
    <x v="2"/>
    <x v="3"/>
    <x v="4"/>
    <x v="7"/>
    <n v="1760"/>
    <n v="58"/>
    <x v="1079"/>
    <x v="4"/>
  </r>
  <r>
    <d v="2023-12-16T00:00:00"/>
    <x v="2"/>
    <x v="0"/>
    <x v="1"/>
    <x v="6"/>
    <n v="640"/>
    <n v="40"/>
    <x v="676"/>
    <x v="4"/>
  </r>
  <r>
    <d v="2023-12-16T00:00:00"/>
    <x v="4"/>
    <x v="1"/>
    <x v="1"/>
    <x v="19"/>
    <n v="540"/>
    <n v="65"/>
    <x v="158"/>
    <x v="4"/>
  </r>
  <r>
    <d v="2023-12-16T00:00:00"/>
    <x v="4"/>
    <x v="6"/>
    <x v="1"/>
    <x v="1"/>
    <n v="1380"/>
    <n v="44"/>
    <x v="1103"/>
    <x v="4"/>
  </r>
  <r>
    <d v="2023-12-16T00:00:00"/>
    <x v="2"/>
    <x v="6"/>
    <x v="2"/>
    <x v="16"/>
    <n v="890"/>
    <n v="63"/>
    <x v="1322"/>
    <x v="4"/>
  </r>
  <r>
    <d v="2023-12-16T00:00:00"/>
    <x v="0"/>
    <x v="6"/>
    <x v="0"/>
    <x v="0"/>
    <n v="1320"/>
    <n v="54"/>
    <x v="26"/>
    <x v="4"/>
  </r>
  <r>
    <s v="16.12.2023 Итог"/>
    <x v="3"/>
    <x v="2"/>
    <x v="3"/>
    <x v="3"/>
    <m/>
    <m/>
    <x v="1757"/>
    <x v="4"/>
  </r>
  <r>
    <d v="2023-12-17T00:00:00"/>
    <x v="0"/>
    <x v="3"/>
    <x v="1"/>
    <x v="20"/>
    <n v="650"/>
    <n v="44"/>
    <x v="853"/>
    <x v="4"/>
  </r>
  <r>
    <d v="2023-12-17T00:00:00"/>
    <x v="0"/>
    <x v="3"/>
    <x v="1"/>
    <x v="18"/>
    <n v="650"/>
    <n v="26"/>
    <x v="619"/>
    <x v="4"/>
  </r>
  <r>
    <d v="2023-12-17T00:00:00"/>
    <x v="2"/>
    <x v="0"/>
    <x v="0"/>
    <x v="5"/>
    <n v="930"/>
    <n v="87"/>
    <x v="1267"/>
    <x v="4"/>
  </r>
  <r>
    <d v="2023-12-17T00:00:00"/>
    <x v="0"/>
    <x v="0"/>
    <x v="0"/>
    <x v="10"/>
    <n v="1230"/>
    <n v="61"/>
    <x v="1758"/>
    <x v="4"/>
  </r>
  <r>
    <d v="2023-12-17T00:00:00"/>
    <x v="0"/>
    <x v="0"/>
    <x v="0"/>
    <x v="10"/>
    <n v="1230"/>
    <n v="17"/>
    <x v="1329"/>
    <x v="4"/>
  </r>
  <r>
    <d v="2023-12-17T00:00:00"/>
    <x v="4"/>
    <x v="4"/>
    <x v="0"/>
    <x v="24"/>
    <n v="2540"/>
    <n v="88"/>
    <x v="314"/>
    <x v="4"/>
  </r>
  <r>
    <d v="2023-12-17T00:00:00"/>
    <x v="0"/>
    <x v="4"/>
    <x v="0"/>
    <x v="5"/>
    <n v="930"/>
    <n v="66"/>
    <x v="1759"/>
    <x v="4"/>
  </r>
  <r>
    <d v="2023-12-17T00:00:00"/>
    <x v="0"/>
    <x v="4"/>
    <x v="0"/>
    <x v="0"/>
    <n v="1320"/>
    <n v="94"/>
    <x v="739"/>
    <x v="4"/>
  </r>
  <r>
    <d v="2023-12-17T00:00:00"/>
    <x v="4"/>
    <x v="1"/>
    <x v="4"/>
    <x v="7"/>
    <n v="1760"/>
    <n v="20"/>
    <x v="1760"/>
    <x v="4"/>
  </r>
  <r>
    <d v="2023-12-17T00:00:00"/>
    <x v="4"/>
    <x v="6"/>
    <x v="1"/>
    <x v="1"/>
    <n v="1380"/>
    <n v="22"/>
    <x v="1643"/>
    <x v="4"/>
  </r>
  <r>
    <d v="2023-12-17T00:00:00"/>
    <x v="1"/>
    <x v="6"/>
    <x v="2"/>
    <x v="16"/>
    <n v="890"/>
    <n v="95"/>
    <x v="1037"/>
    <x v="4"/>
  </r>
  <r>
    <s v="17.12.2023 Итог"/>
    <x v="3"/>
    <x v="2"/>
    <x v="3"/>
    <x v="3"/>
    <m/>
    <m/>
    <x v="1761"/>
    <x v="4"/>
  </r>
  <r>
    <d v="2023-12-18T00:00:00"/>
    <x v="0"/>
    <x v="3"/>
    <x v="1"/>
    <x v="6"/>
    <n v="640"/>
    <n v="62"/>
    <x v="1415"/>
    <x v="4"/>
  </r>
  <r>
    <d v="2023-12-18T00:00:00"/>
    <x v="2"/>
    <x v="3"/>
    <x v="0"/>
    <x v="5"/>
    <n v="930"/>
    <n v="35"/>
    <x v="993"/>
    <x v="4"/>
  </r>
  <r>
    <d v="2023-12-18T00:00:00"/>
    <x v="0"/>
    <x v="0"/>
    <x v="2"/>
    <x v="12"/>
    <n v="715"/>
    <n v="46"/>
    <x v="1529"/>
    <x v="4"/>
  </r>
  <r>
    <d v="2023-12-18T00:00:00"/>
    <x v="4"/>
    <x v="4"/>
    <x v="2"/>
    <x v="12"/>
    <n v="715"/>
    <n v="60"/>
    <x v="353"/>
    <x v="4"/>
  </r>
  <r>
    <d v="2023-12-18T00:00:00"/>
    <x v="0"/>
    <x v="4"/>
    <x v="4"/>
    <x v="11"/>
    <n v="2970"/>
    <n v="76"/>
    <x v="344"/>
    <x v="4"/>
  </r>
  <r>
    <d v="2023-12-18T00:00:00"/>
    <x v="1"/>
    <x v="1"/>
    <x v="1"/>
    <x v="19"/>
    <n v="540"/>
    <n v="19"/>
    <x v="1009"/>
    <x v="4"/>
  </r>
  <r>
    <d v="2023-12-18T00:00:00"/>
    <x v="0"/>
    <x v="5"/>
    <x v="2"/>
    <x v="8"/>
    <n v="460"/>
    <n v="26"/>
    <x v="114"/>
    <x v="4"/>
  </r>
  <r>
    <d v="2023-12-18T00:00:00"/>
    <x v="2"/>
    <x v="5"/>
    <x v="0"/>
    <x v="5"/>
    <n v="930"/>
    <n v="66"/>
    <x v="1759"/>
    <x v="4"/>
  </r>
  <r>
    <d v="2023-12-18T00:00:00"/>
    <x v="2"/>
    <x v="5"/>
    <x v="4"/>
    <x v="13"/>
    <n v="1505"/>
    <n v="36"/>
    <x v="483"/>
    <x v="4"/>
  </r>
  <r>
    <s v="18.12.2023 Итог"/>
    <x v="3"/>
    <x v="2"/>
    <x v="3"/>
    <x v="3"/>
    <m/>
    <m/>
    <x v="1762"/>
    <x v="4"/>
  </r>
  <r>
    <d v="2023-12-19T00:00:00"/>
    <x v="0"/>
    <x v="3"/>
    <x v="1"/>
    <x v="19"/>
    <n v="540"/>
    <n v="65"/>
    <x v="158"/>
    <x v="4"/>
  </r>
  <r>
    <d v="2023-12-19T00:00:00"/>
    <x v="0"/>
    <x v="3"/>
    <x v="0"/>
    <x v="10"/>
    <n v="1230"/>
    <n v="16"/>
    <x v="254"/>
    <x v="4"/>
  </r>
  <r>
    <d v="2023-12-19T00:00:00"/>
    <x v="2"/>
    <x v="3"/>
    <x v="4"/>
    <x v="11"/>
    <n v="2970"/>
    <n v="52"/>
    <x v="1545"/>
    <x v="4"/>
  </r>
  <r>
    <d v="2023-12-19T00:00:00"/>
    <x v="1"/>
    <x v="3"/>
    <x v="4"/>
    <x v="15"/>
    <n v="2460"/>
    <n v="79"/>
    <x v="1688"/>
    <x v="4"/>
  </r>
  <r>
    <d v="2023-12-19T00:00:00"/>
    <x v="1"/>
    <x v="0"/>
    <x v="4"/>
    <x v="7"/>
    <n v="1760"/>
    <n v="68"/>
    <x v="1763"/>
    <x v="4"/>
  </r>
  <r>
    <d v="2023-12-19T00:00:00"/>
    <x v="1"/>
    <x v="1"/>
    <x v="2"/>
    <x v="8"/>
    <n v="460"/>
    <n v="57"/>
    <x v="217"/>
    <x v="4"/>
  </r>
  <r>
    <d v="2023-12-19T00:00:00"/>
    <x v="4"/>
    <x v="1"/>
    <x v="2"/>
    <x v="2"/>
    <n v="325"/>
    <n v="5"/>
    <x v="611"/>
    <x v="4"/>
  </r>
  <r>
    <d v="2023-12-19T00:00:00"/>
    <x v="0"/>
    <x v="1"/>
    <x v="0"/>
    <x v="0"/>
    <n v="1320"/>
    <n v="82"/>
    <x v="456"/>
    <x v="4"/>
  </r>
  <r>
    <d v="2023-12-19T00:00:00"/>
    <x v="4"/>
    <x v="5"/>
    <x v="1"/>
    <x v="6"/>
    <n v="640"/>
    <n v="45"/>
    <x v="242"/>
    <x v="4"/>
  </r>
  <r>
    <d v="2023-12-19T00:00:00"/>
    <x v="2"/>
    <x v="6"/>
    <x v="1"/>
    <x v="1"/>
    <n v="1380"/>
    <n v="82"/>
    <x v="1094"/>
    <x v="4"/>
  </r>
  <r>
    <d v="2023-12-19T00:00:00"/>
    <x v="0"/>
    <x v="6"/>
    <x v="1"/>
    <x v="19"/>
    <n v="540"/>
    <n v="70"/>
    <x v="1764"/>
    <x v="4"/>
  </r>
  <r>
    <d v="2023-12-19T00:00:00"/>
    <x v="0"/>
    <x v="6"/>
    <x v="0"/>
    <x v="24"/>
    <n v="2540"/>
    <n v="54"/>
    <x v="1765"/>
    <x v="4"/>
  </r>
  <r>
    <s v="19.12.2023 Итог"/>
    <x v="3"/>
    <x v="2"/>
    <x v="3"/>
    <x v="3"/>
    <m/>
    <m/>
    <x v="1766"/>
    <x v="4"/>
  </r>
  <r>
    <d v="2023-12-20T00:00:00"/>
    <x v="2"/>
    <x v="0"/>
    <x v="2"/>
    <x v="9"/>
    <n v="690"/>
    <n v="51"/>
    <x v="228"/>
    <x v="4"/>
  </r>
  <r>
    <d v="2023-12-20T00:00:00"/>
    <x v="0"/>
    <x v="0"/>
    <x v="0"/>
    <x v="0"/>
    <n v="1320"/>
    <n v="84"/>
    <x v="95"/>
    <x v="4"/>
  </r>
  <r>
    <d v="2023-12-20T00:00:00"/>
    <x v="1"/>
    <x v="4"/>
    <x v="4"/>
    <x v="13"/>
    <n v="1505"/>
    <n v="45"/>
    <x v="1345"/>
    <x v="4"/>
  </r>
  <r>
    <d v="2023-12-20T00:00:00"/>
    <x v="2"/>
    <x v="1"/>
    <x v="2"/>
    <x v="2"/>
    <n v="325"/>
    <n v="15"/>
    <x v="1330"/>
    <x v="4"/>
  </r>
  <r>
    <d v="2023-12-20T00:00:00"/>
    <x v="0"/>
    <x v="1"/>
    <x v="0"/>
    <x v="22"/>
    <n v="1420"/>
    <n v="38"/>
    <x v="1767"/>
    <x v="4"/>
  </r>
  <r>
    <d v="2023-12-20T00:00:00"/>
    <x v="4"/>
    <x v="5"/>
    <x v="1"/>
    <x v="6"/>
    <n v="640"/>
    <n v="45"/>
    <x v="242"/>
    <x v="4"/>
  </r>
  <r>
    <d v="2023-12-20T00:00:00"/>
    <x v="4"/>
    <x v="5"/>
    <x v="2"/>
    <x v="9"/>
    <n v="690"/>
    <n v="27"/>
    <x v="383"/>
    <x v="4"/>
  </r>
  <r>
    <d v="2023-12-20T00:00:00"/>
    <x v="2"/>
    <x v="5"/>
    <x v="2"/>
    <x v="2"/>
    <n v="325"/>
    <n v="52"/>
    <x v="619"/>
    <x v="4"/>
  </r>
  <r>
    <d v="2023-12-20T00:00:00"/>
    <x v="2"/>
    <x v="5"/>
    <x v="0"/>
    <x v="0"/>
    <n v="1320"/>
    <n v="42"/>
    <x v="1140"/>
    <x v="4"/>
  </r>
  <r>
    <d v="2023-12-20T00:00:00"/>
    <x v="2"/>
    <x v="5"/>
    <x v="4"/>
    <x v="13"/>
    <n v="1505"/>
    <n v="30"/>
    <x v="1768"/>
    <x v="4"/>
  </r>
  <r>
    <d v="2023-12-20T00:00:00"/>
    <x v="2"/>
    <x v="6"/>
    <x v="2"/>
    <x v="12"/>
    <n v="715"/>
    <n v="62"/>
    <x v="42"/>
    <x v="4"/>
  </r>
  <r>
    <d v="2023-12-20T00:00:00"/>
    <x v="1"/>
    <x v="6"/>
    <x v="2"/>
    <x v="9"/>
    <n v="690"/>
    <n v="71"/>
    <x v="1101"/>
    <x v="4"/>
  </r>
  <r>
    <d v="2023-12-20T00:00:00"/>
    <x v="0"/>
    <x v="6"/>
    <x v="2"/>
    <x v="16"/>
    <n v="890"/>
    <n v="27"/>
    <x v="287"/>
    <x v="4"/>
  </r>
  <r>
    <s v="20.12.2023 Итог"/>
    <x v="3"/>
    <x v="2"/>
    <x v="3"/>
    <x v="3"/>
    <m/>
    <m/>
    <x v="1769"/>
    <x v="4"/>
  </r>
  <r>
    <d v="2023-12-21T00:00:00"/>
    <x v="4"/>
    <x v="4"/>
    <x v="1"/>
    <x v="23"/>
    <n v="705"/>
    <n v="93"/>
    <x v="1770"/>
    <x v="4"/>
  </r>
  <r>
    <d v="2023-12-21T00:00:00"/>
    <x v="4"/>
    <x v="4"/>
    <x v="4"/>
    <x v="13"/>
    <n v="1505"/>
    <n v="67"/>
    <x v="1065"/>
    <x v="4"/>
  </r>
  <r>
    <d v="2023-12-21T00:00:00"/>
    <x v="1"/>
    <x v="1"/>
    <x v="0"/>
    <x v="10"/>
    <n v="1230"/>
    <n v="40"/>
    <x v="369"/>
    <x v="4"/>
  </r>
  <r>
    <d v="2023-12-21T00:00:00"/>
    <x v="1"/>
    <x v="6"/>
    <x v="1"/>
    <x v="1"/>
    <n v="1380"/>
    <n v="34"/>
    <x v="180"/>
    <x v="4"/>
  </r>
  <r>
    <d v="2023-12-21T00:00:00"/>
    <x v="0"/>
    <x v="6"/>
    <x v="2"/>
    <x v="2"/>
    <n v="325"/>
    <n v="35"/>
    <x v="1092"/>
    <x v="4"/>
  </r>
  <r>
    <d v="2023-12-21T00:00:00"/>
    <x v="2"/>
    <x v="6"/>
    <x v="2"/>
    <x v="12"/>
    <n v="715"/>
    <n v="12"/>
    <x v="1041"/>
    <x v="4"/>
  </r>
  <r>
    <s v="21.12.2023 Итог"/>
    <x v="3"/>
    <x v="2"/>
    <x v="3"/>
    <x v="3"/>
    <m/>
    <m/>
    <x v="1771"/>
    <x v="4"/>
  </r>
  <r>
    <d v="2023-12-22T00:00:00"/>
    <x v="1"/>
    <x v="3"/>
    <x v="2"/>
    <x v="8"/>
    <n v="460"/>
    <n v="60"/>
    <x v="745"/>
    <x v="4"/>
  </r>
  <r>
    <d v="2023-12-22T00:00:00"/>
    <x v="1"/>
    <x v="0"/>
    <x v="2"/>
    <x v="4"/>
    <n v="450"/>
    <n v="14"/>
    <x v="1772"/>
    <x v="4"/>
  </r>
  <r>
    <d v="2023-12-22T00:00:00"/>
    <x v="1"/>
    <x v="4"/>
    <x v="2"/>
    <x v="8"/>
    <n v="460"/>
    <n v="23"/>
    <x v="986"/>
    <x v="4"/>
  </r>
  <r>
    <d v="2023-12-22T00:00:00"/>
    <x v="0"/>
    <x v="4"/>
    <x v="4"/>
    <x v="21"/>
    <n v="3205"/>
    <n v="85"/>
    <x v="299"/>
    <x v="4"/>
  </r>
  <r>
    <d v="2023-12-22T00:00:00"/>
    <x v="2"/>
    <x v="5"/>
    <x v="1"/>
    <x v="6"/>
    <n v="640"/>
    <n v="22"/>
    <x v="904"/>
    <x v="4"/>
  </r>
  <r>
    <d v="2023-12-22T00:00:00"/>
    <x v="2"/>
    <x v="5"/>
    <x v="1"/>
    <x v="18"/>
    <n v="650"/>
    <n v="54"/>
    <x v="158"/>
    <x v="4"/>
  </r>
  <r>
    <d v="2023-12-22T00:00:00"/>
    <x v="0"/>
    <x v="5"/>
    <x v="0"/>
    <x v="5"/>
    <n v="930"/>
    <n v="93"/>
    <x v="1479"/>
    <x v="4"/>
  </r>
  <r>
    <d v="2023-12-22T00:00:00"/>
    <x v="1"/>
    <x v="6"/>
    <x v="1"/>
    <x v="20"/>
    <n v="650"/>
    <n v="66"/>
    <x v="353"/>
    <x v="4"/>
  </r>
  <r>
    <d v="2023-12-22T00:00:00"/>
    <x v="1"/>
    <x v="6"/>
    <x v="1"/>
    <x v="18"/>
    <n v="650"/>
    <n v="50"/>
    <x v="392"/>
    <x v="4"/>
  </r>
  <r>
    <d v="2023-12-22T00:00:00"/>
    <x v="2"/>
    <x v="6"/>
    <x v="2"/>
    <x v="12"/>
    <n v="715"/>
    <n v="66"/>
    <x v="1773"/>
    <x v="4"/>
  </r>
  <r>
    <d v="2023-12-22T00:00:00"/>
    <x v="2"/>
    <x v="6"/>
    <x v="4"/>
    <x v="21"/>
    <n v="3205"/>
    <n v="71"/>
    <x v="1774"/>
    <x v="4"/>
  </r>
  <r>
    <s v="22.12.2023 Итог"/>
    <x v="3"/>
    <x v="2"/>
    <x v="3"/>
    <x v="3"/>
    <m/>
    <m/>
    <x v="1775"/>
    <x v="4"/>
  </r>
  <r>
    <d v="2023-12-23T00:00:00"/>
    <x v="2"/>
    <x v="3"/>
    <x v="0"/>
    <x v="10"/>
    <n v="1230"/>
    <n v="37"/>
    <x v="1332"/>
    <x v="4"/>
  </r>
  <r>
    <d v="2023-12-23T00:00:00"/>
    <x v="0"/>
    <x v="0"/>
    <x v="1"/>
    <x v="18"/>
    <n v="650"/>
    <n v="65"/>
    <x v="1776"/>
    <x v="4"/>
  </r>
  <r>
    <d v="2023-12-23T00:00:00"/>
    <x v="0"/>
    <x v="0"/>
    <x v="2"/>
    <x v="12"/>
    <n v="715"/>
    <n v="53"/>
    <x v="1777"/>
    <x v="4"/>
  </r>
  <r>
    <d v="2023-12-23T00:00:00"/>
    <x v="2"/>
    <x v="0"/>
    <x v="4"/>
    <x v="15"/>
    <n v="2460"/>
    <n v="24"/>
    <x v="1271"/>
    <x v="4"/>
  </r>
  <r>
    <d v="2023-12-23T00:00:00"/>
    <x v="1"/>
    <x v="4"/>
    <x v="2"/>
    <x v="12"/>
    <n v="715"/>
    <n v="84"/>
    <x v="1778"/>
    <x v="4"/>
  </r>
  <r>
    <d v="2023-12-23T00:00:00"/>
    <x v="4"/>
    <x v="4"/>
    <x v="0"/>
    <x v="17"/>
    <n v="2400"/>
    <n v="87"/>
    <x v="1779"/>
    <x v="4"/>
  </r>
  <r>
    <d v="2023-12-23T00:00:00"/>
    <x v="0"/>
    <x v="5"/>
    <x v="1"/>
    <x v="23"/>
    <n v="705"/>
    <n v="15"/>
    <x v="893"/>
    <x v="4"/>
  </r>
  <r>
    <d v="2023-12-23T00:00:00"/>
    <x v="1"/>
    <x v="5"/>
    <x v="2"/>
    <x v="8"/>
    <n v="460"/>
    <n v="85"/>
    <x v="1780"/>
    <x v="4"/>
  </r>
  <r>
    <d v="2023-12-23T00:00:00"/>
    <x v="2"/>
    <x v="5"/>
    <x v="2"/>
    <x v="12"/>
    <n v="715"/>
    <n v="32"/>
    <x v="350"/>
    <x v="4"/>
  </r>
  <r>
    <d v="2023-12-23T00:00:00"/>
    <x v="1"/>
    <x v="5"/>
    <x v="0"/>
    <x v="22"/>
    <n v="1420"/>
    <n v="97"/>
    <x v="70"/>
    <x v="4"/>
  </r>
  <r>
    <s v="23.12.2023 Итог"/>
    <x v="3"/>
    <x v="2"/>
    <x v="3"/>
    <x v="3"/>
    <m/>
    <m/>
    <x v="1781"/>
    <x v="4"/>
  </r>
  <r>
    <d v="2023-12-24T00:00:00"/>
    <x v="0"/>
    <x v="3"/>
    <x v="2"/>
    <x v="8"/>
    <n v="460"/>
    <n v="69"/>
    <x v="610"/>
    <x v="4"/>
  </r>
  <r>
    <d v="2023-12-24T00:00:00"/>
    <x v="0"/>
    <x v="0"/>
    <x v="1"/>
    <x v="6"/>
    <n v="640"/>
    <n v="24"/>
    <x v="1106"/>
    <x v="4"/>
  </r>
  <r>
    <d v="2023-12-24T00:00:00"/>
    <x v="2"/>
    <x v="0"/>
    <x v="1"/>
    <x v="1"/>
    <n v="1380"/>
    <n v="61"/>
    <x v="390"/>
    <x v="4"/>
  </r>
  <r>
    <d v="2023-12-24T00:00:00"/>
    <x v="0"/>
    <x v="0"/>
    <x v="4"/>
    <x v="11"/>
    <n v="2970"/>
    <n v="42"/>
    <x v="580"/>
    <x v="4"/>
  </r>
  <r>
    <d v="2023-12-24T00:00:00"/>
    <x v="0"/>
    <x v="4"/>
    <x v="0"/>
    <x v="5"/>
    <n v="930"/>
    <n v="38"/>
    <x v="280"/>
    <x v="4"/>
  </r>
  <r>
    <d v="2023-12-24T00:00:00"/>
    <x v="4"/>
    <x v="1"/>
    <x v="2"/>
    <x v="2"/>
    <n v="325"/>
    <n v="81"/>
    <x v="190"/>
    <x v="4"/>
  </r>
  <r>
    <d v="2023-12-24T00:00:00"/>
    <x v="1"/>
    <x v="5"/>
    <x v="0"/>
    <x v="24"/>
    <n v="2540"/>
    <n v="43"/>
    <x v="1402"/>
    <x v="4"/>
  </r>
  <r>
    <d v="2023-12-24T00:00:00"/>
    <x v="0"/>
    <x v="5"/>
    <x v="4"/>
    <x v="14"/>
    <n v="1670"/>
    <n v="6"/>
    <x v="1033"/>
    <x v="4"/>
  </r>
  <r>
    <d v="2023-12-24T00:00:00"/>
    <x v="0"/>
    <x v="6"/>
    <x v="2"/>
    <x v="16"/>
    <n v="890"/>
    <n v="97"/>
    <x v="1020"/>
    <x v="4"/>
  </r>
  <r>
    <d v="2023-12-24T00:00:00"/>
    <x v="1"/>
    <x v="6"/>
    <x v="2"/>
    <x v="12"/>
    <n v="715"/>
    <n v="51"/>
    <x v="395"/>
    <x v="4"/>
  </r>
  <r>
    <d v="2023-12-24T00:00:00"/>
    <x v="1"/>
    <x v="6"/>
    <x v="2"/>
    <x v="16"/>
    <n v="890"/>
    <n v="40"/>
    <x v="877"/>
    <x v="4"/>
  </r>
  <r>
    <s v="24.12.2023 Итог"/>
    <x v="3"/>
    <x v="2"/>
    <x v="3"/>
    <x v="3"/>
    <m/>
    <m/>
    <x v="1782"/>
    <x v="4"/>
  </r>
  <r>
    <d v="2023-12-25T00:00:00"/>
    <x v="4"/>
    <x v="3"/>
    <x v="1"/>
    <x v="18"/>
    <n v="650"/>
    <n v="20"/>
    <x v="1455"/>
    <x v="4"/>
  </r>
  <r>
    <d v="2023-12-25T00:00:00"/>
    <x v="2"/>
    <x v="3"/>
    <x v="1"/>
    <x v="6"/>
    <n v="640"/>
    <n v="96"/>
    <x v="1783"/>
    <x v="4"/>
  </r>
  <r>
    <d v="2023-12-25T00:00:00"/>
    <x v="4"/>
    <x v="3"/>
    <x v="2"/>
    <x v="16"/>
    <n v="890"/>
    <n v="98"/>
    <x v="1784"/>
    <x v="4"/>
  </r>
  <r>
    <d v="2023-12-25T00:00:00"/>
    <x v="4"/>
    <x v="3"/>
    <x v="2"/>
    <x v="4"/>
    <n v="450"/>
    <n v="40"/>
    <x v="1245"/>
    <x v="4"/>
  </r>
  <r>
    <d v="2023-12-25T00:00:00"/>
    <x v="2"/>
    <x v="0"/>
    <x v="2"/>
    <x v="8"/>
    <n v="460"/>
    <n v="81"/>
    <x v="1"/>
    <x v="4"/>
  </r>
  <r>
    <d v="2023-12-25T00:00:00"/>
    <x v="1"/>
    <x v="4"/>
    <x v="0"/>
    <x v="10"/>
    <n v="1230"/>
    <n v="81"/>
    <x v="373"/>
    <x v="4"/>
  </r>
  <r>
    <d v="2023-12-25T00:00:00"/>
    <x v="0"/>
    <x v="6"/>
    <x v="2"/>
    <x v="9"/>
    <n v="690"/>
    <n v="13"/>
    <x v="1011"/>
    <x v="4"/>
  </r>
  <r>
    <s v="25.12.2023 Итог"/>
    <x v="3"/>
    <x v="2"/>
    <x v="3"/>
    <x v="3"/>
    <m/>
    <m/>
    <x v="1785"/>
    <x v="4"/>
  </r>
  <r>
    <d v="2023-12-26T00:00:00"/>
    <x v="2"/>
    <x v="3"/>
    <x v="2"/>
    <x v="2"/>
    <n v="325"/>
    <n v="85"/>
    <x v="762"/>
    <x v="4"/>
  </r>
  <r>
    <d v="2023-12-26T00:00:00"/>
    <x v="0"/>
    <x v="3"/>
    <x v="2"/>
    <x v="2"/>
    <n v="325"/>
    <n v="5"/>
    <x v="611"/>
    <x v="4"/>
  </r>
  <r>
    <d v="2023-12-26T00:00:00"/>
    <x v="2"/>
    <x v="3"/>
    <x v="0"/>
    <x v="24"/>
    <n v="2540"/>
    <n v="93"/>
    <x v="419"/>
    <x v="4"/>
  </r>
  <r>
    <d v="2023-12-26T00:00:00"/>
    <x v="0"/>
    <x v="3"/>
    <x v="4"/>
    <x v="11"/>
    <n v="2970"/>
    <n v="94"/>
    <x v="1786"/>
    <x v="4"/>
  </r>
  <r>
    <d v="2023-12-26T00:00:00"/>
    <x v="2"/>
    <x v="3"/>
    <x v="4"/>
    <x v="14"/>
    <n v="1670"/>
    <n v="93"/>
    <x v="290"/>
    <x v="4"/>
  </r>
  <r>
    <d v="2023-12-26T00:00:00"/>
    <x v="2"/>
    <x v="0"/>
    <x v="2"/>
    <x v="12"/>
    <n v="715"/>
    <n v="57"/>
    <x v="1787"/>
    <x v="4"/>
  </r>
  <r>
    <d v="2023-12-26T00:00:00"/>
    <x v="4"/>
    <x v="0"/>
    <x v="2"/>
    <x v="9"/>
    <n v="690"/>
    <n v="61"/>
    <x v="941"/>
    <x v="4"/>
  </r>
  <r>
    <d v="2023-12-26T00:00:00"/>
    <x v="1"/>
    <x v="0"/>
    <x v="2"/>
    <x v="9"/>
    <n v="690"/>
    <n v="81"/>
    <x v="567"/>
    <x v="4"/>
  </r>
  <r>
    <d v="2023-12-26T00:00:00"/>
    <x v="0"/>
    <x v="4"/>
    <x v="0"/>
    <x v="24"/>
    <n v="2540"/>
    <n v="28"/>
    <x v="1715"/>
    <x v="4"/>
  </r>
  <r>
    <d v="2023-12-26T00:00:00"/>
    <x v="4"/>
    <x v="5"/>
    <x v="1"/>
    <x v="6"/>
    <n v="640"/>
    <n v="47"/>
    <x v="1788"/>
    <x v="4"/>
  </r>
  <r>
    <d v="2023-12-26T00:00:00"/>
    <x v="4"/>
    <x v="5"/>
    <x v="1"/>
    <x v="1"/>
    <n v="1380"/>
    <n v="19"/>
    <x v="217"/>
    <x v="4"/>
  </r>
  <r>
    <d v="2023-12-26T00:00:00"/>
    <x v="2"/>
    <x v="5"/>
    <x v="0"/>
    <x v="17"/>
    <n v="2400"/>
    <n v="17"/>
    <x v="1196"/>
    <x v="4"/>
  </r>
  <r>
    <d v="2023-12-26T00:00:00"/>
    <x v="1"/>
    <x v="6"/>
    <x v="2"/>
    <x v="4"/>
    <n v="450"/>
    <n v="90"/>
    <x v="1789"/>
    <x v="4"/>
  </r>
  <r>
    <d v="2023-12-26T00:00:00"/>
    <x v="0"/>
    <x v="6"/>
    <x v="4"/>
    <x v="14"/>
    <n v="1670"/>
    <n v="37"/>
    <x v="265"/>
    <x v="4"/>
  </r>
  <r>
    <s v="26.12.2023 Итог"/>
    <x v="3"/>
    <x v="2"/>
    <x v="3"/>
    <x v="3"/>
    <m/>
    <m/>
    <x v="1790"/>
    <x v="4"/>
  </r>
  <r>
    <d v="2023-12-27T00:00:00"/>
    <x v="1"/>
    <x v="3"/>
    <x v="2"/>
    <x v="2"/>
    <n v="325"/>
    <n v="17"/>
    <x v="38"/>
    <x v="4"/>
  </r>
  <r>
    <d v="2023-12-27T00:00:00"/>
    <x v="0"/>
    <x v="3"/>
    <x v="0"/>
    <x v="0"/>
    <n v="1320"/>
    <n v="88"/>
    <x v="1276"/>
    <x v="4"/>
  </r>
  <r>
    <d v="2023-12-27T00:00:00"/>
    <x v="0"/>
    <x v="0"/>
    <x v="4"/>
    <x v="14"/>
    <n v="1670"/>
    <n v="99"/>
    <x v="293"/>
    <x v="4"/>
  </r>
  <r>
    <d v="2023-12-27T00:00:00"/>
    <x v="2"/>
    <x v="4"/>
    <x v="2"/>
    <x v="2"/>
    <n v="325"/>
    <n v="55"/>
    <x v="149"/>
    <x v="4"/>
  </r>
  <r>
    <d v="2023-12-27T00:00:00"/>
    <x v="2"/>
    <x v="4"/>
    <x v="4"/>
    <x v="13"/>
    <n v="1505"/>
    <n v="92"/>
    <x v="1400"/>
    <x v="4"/>
  </r>
  <r>
    <d v="2023-12-27T00:00:00"/>
    <x v="4"/>
    <x v="5"/>
    <x v="1"/>
    <x v="20"/>
    <n v="650"/>
    <n v="88"/>
    <x v="83"/>
    <x v="4"/>
  </r>
  <r>
    <d v="2023-12-27T00:00:00"/>
    <x v="2"/>
    <x v="5"/>
    <x v="1"/>
    <x v="1"/>
    <n v="1380"/>
    <n v="66"/>
    <x v="1299"/>
    <x v="4"/>
  </r>
  <r>
    <d v="2023-12-27T00:00:00"/>
    <x v="0"/>
    <x v="5"/>
    <x v="0"/>
    <x v="22"/>
    <n v="1420"/>
    <n v="22"/>
    <x v="1437"/>
    <x v="4"/>
  </r>
  <r>
    <d v="2023-12-27T00:00:00"/>
    <x v="1"/>
    <x v="6"/>
    <x v="0"/>
    <x v="22"/>
    <n v="1420"/>
    <n v="6"/>
    <x v="1738"/>
    <x v="4"/>
  </r>
  <r>
    <d v="2023-12-27T00:00:00"/>
    <x v="4"/>
    <x v="6"/>
    <x v="4"/>
    <x v="11"/>
    <n v="2970"/>
    <n v="94"/>
    <x v="1786"/>
    <x v="4"/>
  </r>
  <r>
    <s v="27.12.2023 Итог"/>
    <x v="3"/>
    <x v="2"/>
    <x v="3"/>
    <x v="3"/>
    <m/>
    <m/>
    <x v="1791"/>
    <x v="4"/>
  </r>
  <r>
    <d v="2023-12-28T00:00:00"/>
    <x v="1"/>
    <x v="3"/>
    <x v="1"/>
    <x v="19"/>
    <n v="540"/>
    <n v="56"/>
    <x v="1309"/>
    <x v="4"/>
  </r>
  <r>
    <d v="2023-12-28T00:00:00"/>
    <x v="1"/>
    <x v="0"/>
    <x v="1"/>
    <x v="1"/>
    <n v="1380"/>
    <n v="61"/>
    <x v="390"/>
    <x v="4"/>
  </r>
  <r>
    <d v="2023-12-28T00:00:00"/>
    <x v="1"/>
    <x v="4"/>
    <x v="1"/>
    <x v="19"/>
    <n v="540"/>
    <n v="5"/>
    <x v="412"/>
    <x v="4"/>
  </r>
  <r>
    <d v="2023-12-28T00:00:00"/>
    <x v="4"/>
    <x v="1"/>
    <x v="2"/>
    <x v="8"/>
    <n v="460"/>
    <n v="34"/>
    <x v="681"/>
    <x v="4"/>
  </r>
  <r>
    <d v="2023-12-28T00:00:00"/>
    <x v="4"/>
    <x v="1"/>
    <x v="2"/>
    <x v="9"/>
    <n v="690"/>
    <n v="56"/>
    <x v="471"/>
    <x v="4"/>
  </r>
  <r>
    <d v="2023-12-28T00:00:00"/>
    <x v="2"/>
    <x v="1"/>
    <x v="2"/>
    <x v="4"/>
    <n v="450"/>
    <n v="50"/>
    <x v="106"/>
    <x v="4"/>
  </r>
  <r>
    <d v="2023-12-28T00:00:00"/>
    <x v="0"/>
    <x v="1"/>
    <x v="0"/>
    <x v="10"/>
    <n v="1230"/>
    <n v="33"/>
    <x v="233"/>
    <x v="4"/>
  </r>
  <r>
    <d v="2023-12-28T00:00:00"/>
    <x v="4"/>
    <x v="1"/>
    <x v="4"/>
    <x v="15"/>
    <n v="2460"/>
    <n v="12"/>
    <x v="600"/>
    <x v="4"/>
  </r>
  <r>
    <d v="2023-12-28T00:00:00"/>
    <x v="2"/>
    <x v="5"/>
    <x v="1"/>
    <x v="18"/>
    <n v="650"/>
    <n v="72"/>
    <x v="925"/>
    <x v="4"/>
  </r>
  <r>
    <d v="2023-12-28T00:00:00"/>
    <x v="4"/>
    <x v="5"/>
    <x v="2"/>
    <x v="4"/>
    <n v="450"/>
    <n v="41"/>
    <x v="772"/>
    <x v="4"/>
  </r>
  <r>
    <d v="2023-12-28T00:00:00"/>
    <x v="4"/>
    <x v="5"/>
    <x v="0"/>
    <x v="10"/>
    <n v="1230"/>
    <n v="80"/>
    <x v="549"/>
    <x v="4"/>
  </r>
  <r>
    <d v="2023-12-28T00:00:00"/>
    <x v="0"/>
    <x v="5"/>
    <x v="0"/>
    <x v="17"/>
    <n v="2400"/>
    <n v="71"/>
    <x v="1792"/>
    <x v="4"/>
  </r>
  <r>
    <d v="2023-12-28T00:00:00"/>
    <x v="4"/>
    <x v="5"/>
    <x v="4"/>
    <x v="7"/>
    <n v="1760"/>
    <n v="54"/>
    <x v="1516"/>
    <x v="4"/>
  </r>
  <r>
    <d v="2023-12-28T00:00:00"/>
    <x v="0"/>
    <x v="6"/>
    <x v="1"/>
    <x v="23"/>
    <n v="705"/>
    <n v="95"/>
    <x v="90"/>
    <x v="4"/>
  </r>
  <r>
    <d v="2023-12-28T00:00:00"/>
    <x v="4"/>
    <x v="6"/>
    <x v="0"/>
    <x v="0"/>
    <n v="1320"/>
    <n v="74"/>
    <x v="1483"/>
    <x v="4"/>
  </r>
  <r>
    <s v="28.12.2023 Итог"/>
    <x v="3"/>
    <x v="2"/>
    <x v="3"/>
    <x v="3"/>
    <m/>
    <m/>
    <x v="1793"/>
    <x v="4"/>
  </r>
  <r>
    <d v="2023-12-29T00:00:00"/>
    <x v="0"/>
    <x v="0"/>
    <x v="1"/>
    <x v="18"/>
    <n v="650"/>
    <n v="6"/>
    <x v="342"/>
    <x v="4"/>
  </r>
  <r>
    <d v="2023-12-29T00:00:00"/>
    <x v="1"/>
    <x v="0"/>
    <x v="1"/>
    <x v="19"/>
    <n v="540"/>
    <n v="97"/>
    <x v="282"/>
    <x v="4"/>
  </r>
  <r>
    <d v="2023-12-29T00:00:00"/>
    <x v="1"/>
    <x v="0"/>
    <x v="2"/>
    <x v="12"/>
    <n v="715"/>
    <n v="91"/>
    <x v="298"/>
    <x v="4"/>
  </r>
  <r>
    <d v="2023-12-29T00:00:00"/>
    <x v="2"/>
    <x v="0"/>
    <x v="2"/>
    <x v="4"/>
    <n v="450"/>
    <n v="14"/>
    <x v="1772"/>
    <x v="4"/>
  </r>
  <r>
    <d v="2023-12-29T00:00:00"/>
    <x v="4"/>
    <x v="4"/>
    <x v="1"/>
    <x v="6"/>
    <n v="640"/>
    <n v="46"/>
    <x v="582"/>
    <x v="4"/>
  </r>
  <r>
    <d v="2023-12-29T00:00:00"/>
    <x v="0"/>
    <x v="4"/>
    <x v="4"/>
    <x v="21"/>
    <n v="3205"/>
    <n v="7"/>
    <x v="1794"/>
    <x v="4"/>
  </r>
  <r>
    <d v="2023-12-29T00:00:00"/>
    <x v="4"/>
    <x v="1"/>
    <x v="2"/>
    <x v="16"/>
    <n v="890"/>
    <n v="76"/>
    <x v="1496"/>
    <x v="4"/>
  </r>
  <r>
    <d v="2023-12-29T00:00:00"/>
    <x v="0"/>
    <x v="1"/>
    <x v="0"/>
    <x v="5"/>
    <n v="930"/>
    <n v="36"/>
    <x v="206"/>
    <x v="4"/>
  </r>
  <r>
    <d v="2023-12-29T00:00:00"/>
    <x v="2"/>
    <x v="5"/>
    <x v="2"/>
    <x v="9"/>
    <n v="690"/>
    <n v="15"/>
    <x v="9"/>
    <x v="4"/>
  </r>
  <r>
    <d v="2023-12-29T00:00:00"/>
    <x v="2"/>
    <x v="5"/>
    <x v="4"/>
    <x v="21"/>
    <n v="3205"/>
    <n v="37"/>
    <x v="1795"/>
    <x v="4"/>
  </r>
  <r>
    <d v="2023-12-29T00:00:00"/>
    <x v="2"/>
    <x v="5"/>
    <x v="4"/>
    <x v="11"/>
    <n v="2970"/>
    <n v="21"/>
    <x v="1796"/>
    <x v="4"/>
  </r>
  <r>
    <d v="2023-12-29T00:00:00"/>
    <x v="0"/>
    <x v="6"/>
    <x v="0"/>
    <x v="17"/>
    <n v="2400"/>
    <n v="29"/>
    <x v="748"/>
    <x v="4"/>
  </r>
  <r>
    <s v="29.12.2023 Итог"/>
    <x v="3"/>
    <x v="2"/>
    <x v="3"/>
    <x v="3"/>
    <m/>
    <m/>
    <x v="1797"/>
    <x v="4"/>
  </r>
  <r>
    <d v="2023-12-30T00:00:00"/>
    <x v="0"/>
    <x v="3"/>
    <x v="0"/>
    <x v="10"/>
    <n v="1230"/>
    <n v="8"/>
    <x v="1156"/>
    <x v="4"/>
  </r>
  <r>
    <d v="2023-12-30T00:00:00"/>
    <x v="4"/>
    <x v="3"/>
    <x v="4"/>
    <x v="13"/>
    <n v="1505"/>
    <n v="67"/>
    <x v="1065"/>
    <x v="4"/>
  </r>
  <r>
    <d v="2023-12-30T00:00:00"/>
    <x v="2"/>
    <x v="0"/>
    <x v="0"/>
    <x v="22"/>
    <n v="1420"/>
    <n v="46"/>
    <x v="1172"/>
    <x v="4"/>
  </r>
  <r>
    <d v="2023-12-30T00:00:00"/>
    <x v="0"/>
    <x v="0"/>
    <x v="0"/>
    <x v="0"/>
    <n v="1320"/>
    <n v="67"/>
    <x v="1798"/>
    <x v="4"/>
  </r>
  <r>
    <d v="2023-12-30T00:00:00"/>
    <x v="2"/>
    <x v="4"/>
    <x v="1"/>
    <x v="1"/>
    <n v="1380"/>
    <n v="85"/>
    <x v="806"/>
    <x v="4"/>
  </r>
  <r>
    <d v="2023-12-30T00:00:00"/>
    <x v="4"/>
    <x v="4"/>
    <x v="2"/>
    <x v="9"/>
    <n v="690"/>
    <n v="34"/>
    <x v="450"/>
    <x v="4"/>
  </r>
  <r>
    <d v="2023-12-30T00:00:00"/>
    <x v="0"/>
    <x v="4"/>
    <x v="0"/>
    <x v="10"/>
    <n v="1230"/>
    <n v="30"/>
    <x v="1214"/>
    <x v="4"/>
  </r>
  <r>
    <d v="2023-12-30T00:00:00"/>
    <x v="1"/>
    <x v="1"/>
    <x v="1"/>
    <x v="23"/>
    <n v="705"/>
    <n v="93"/>
    <x v="1770"/>
    <x v="4"/>
  </r>
  <r>
    <d v="2023-12-30T00:00:00"/>
    <x v="1"/>
    <x v="5"/>
    <x v="0"/>
    <x v="24"/>
    <n v="2540"/>
    <n v="94"/>
    <x v="996"/>
    <x v="4"/>
  </r>
  <r>
    <d v="2023-12-30T00:00:00"/>
    <x v="0"/>
    <x v="5"/>
    <x v="4"/>
    <x v="15"/>
    <n v="2460"/>
    <n v="16"/>
    <x v="581"/>
    <x v="4"/>
  </r>
  <r>
    <s v="30.12.2023 Итог"/>
    <x v="3"/>
    <x v="2"/>
    <x v="3"/>
    <x v="3"/>
    <m/>
    <m/>
    <x v="1799"/>
    <x v="4"/>
  </r>
  <r>
    <d v="2023-12-31T00:00:00"/>
    <x v="1"/>
    <x v="3"/>
    <x v="0"/>
    <x v="10"/>
    <n v="1230"/>
    <n v="29"/>
    <x v="719"/>
    <x v="4"/>
  </r>
  <r>
    <d v="2023-12-31T00:00:00"/>
    <x v="1"/>
    <x v="0"/>
    <x v="1"/>
    <x v="20"/>
    <n v="650"/>
    <n v="56"/>
    <x v="1800"/>
    <x v="4"/>
  </r>
  <r>
    <d v="2023-12-31T00:00:00"/>
    <x v="1"/>
    <x v="1"/>
    <x v="4"/>
    <x v="15"/>
    <n v="2460"/>
    <n v="19"/>
    <x v="1491"/>
    <x v="4"/>
  </r>
  <r>
    <d v="2023-12-31T00:00:00"/>
    <x v="1"/>
    <x v="5"/>
    <x v="4"/>
    <x v="15"/>
    <n v="2460"/>
    <n v="8"/>
    <x v="254"/>
    <x v="4"/>
  </r>
  <r>
    <d v="2023-12-31T00:00:00"/>
    <x v="2"/>
    <x v="6"/>
    <x v="1"/>
    <x v="6"/>
    <n v="640"/>
    <n v="30"/>
    <x v="191"/>
    <x v="4"/>
  </r>
  <r>
    <s v="31.12.2023 Итог"/>
    <x v="3"/>
    <x v="2"/>
    <x v="3"/>
    <x v="3"/>
    <m/>
    <m/>
    <x v="1801"/>
    <x v="4"/>
  </r>
  <r>
    <d v="2025-10-25T00:00:00"/>
    <x v="5"/>
    <x v="0"/>
    <x v="1"/>
    <x v="23"/>
    <n v="7050"/>
    <n v="588"/>
    <x v="1802"/>
    <x v="4"/>
  </r>
  <r>
    <s v="25.10.2025 Итог"/>
    <x v="3"/>
    <x v="2"/>
    <x v="3"/>
    <x v="3"/>
    <m/>
    <m/>
    <x v="1802"/>
    <x v="3"/>
  </r>
  <r>
    <s v="Общий итог"/>
    <x v="3"/>
    <x v="2"/>
    <x v="3"/>
    <x v="3"/>
    <m/>
    <m/>
    <x v="1803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6">
  <r>
    <d v="2023-01-01T00:00:00"/>
    <x v="0"/>
    <x v="0"/>
    <s v="Фрукты"/>
    <s v="Абрикосы"/>
    <n v="1320"/>
    <n v="189"/>
    <x v="0"/>
  </r>
  <r>
    <d v="2023-01-01T00:00:00"/>
    <x v="1"/>
    <x v="1"/>
    <s v="Зелень"/>
    <s v="Салат айсберг"/>
    <n v="1380"/>
    <n v="27"/>
    <x v="1"/>
  </r>
  <r>
    <d v="2023-01-01T00:00:00"/>
    <x v="2"/>
    <x v="1"/>
    <s v="Овощи"/>
    <s v="Кабачки"/>
    <n v="3250"/>
    <n v="20"/>
    <x v="2"/>
  </r>
  <r>
    <s v="01.01.2023 Итого"/>
    <x v="3"/>
    <x v="2"/>
    <m/>
    <m/>
    <m/>
    <m/>
    <x v="3"/>
  </r>
  <r>
    <d v="2023-02-01T00:00:00"/>
    <x v="0"/>
    <x v="3"/>
    <s v="Овощи"/>
    <s v="Свекла"/>
    <n v="450"/>
    <n v="44"/>
    <x v="4"/>
  </r>
  <r>
    <d v="2023-02-01T00:00:00"/>
    <x v="4"/>
    <x v="3"/>
    <s v="Фрукты"/>
    <s v="Сливы"/>
    <n v="930"/>
    <n v="86"/>
    <x v="5"/>
  </r>
  <r>
    <d v="2023-02-01T00:00:00"/>
    <x v="4"/>
    <x v="0"/>
    <s v="Зелень"/>
    <s v="Петрушка"/>
    <n v="640"/>
    <n v="72"/>
    <x v="6"/>
  </r>
  <r>
    <d v="2023-02-01T00:00:00"/>
    <x v="1"/>
    <x v="0"/>
    <s v="Ягоды"/>
    <s v="Черешня"/>
    <n v="1760"/>
    <n v="84"/>
    <x v="7"/>
  </r>
  <r>
    <d v="2023-02-01T00:00:00"/>
    <x v="4"/>
    <x v="4"/>
    <s v="Овощи"/>
    <s v="Капуста"/>
    <n v="460"/>
    <n v="83"/>
    <x v="8"/>
  </r>
  <r>
    <d v="2023-02-01T00:00:00"/>
    <x v="4"/>
    <x v="4"/>
    <s v="Овощи"/>
    <s v="Картофель"/>
    <n v="690"/>
    <n v="15"/>
    <x v="9"/>
  </r>
  <r>
    <d v="2023-02-01T00:00:00"/>
    <x v="4"/>
    <x v="4"/>
    <s v="Фрукты"/>
    <s v="Яблоки"/>
    <n v="1230"/>
    <n v="39"/>
    <x v="10"/>
  </r>
  <r>
    <d v="2023-02-01T00:00:00"/>
    <x v="4"/>
    <x v="4"/>
    <s v="Фрукты"/>
    <s v="Абрикосы"/>
    <n v="1320"/>
    <n v="32"/>
    <x v="11"/>
  </r>
  <r>
    <d v="2023-02-01T00:00:00"/>
    <x v="2"/>
    <x v="4"/>
    <s v="Ягоды"/>
    <s v="Малина"/>
    <n v="2970"/>
    <n v="20"/>
    <x v="12"/>
  </r>
  <r>
    <d v="2023-02-01T00:00:00"/>
    <x v="2"/>
    <x v="1"/>
    <s v="Овощи"/>
    <s v="Морковь"/>
    <n v="715"/>
    <n v="14"/>
    <x v="13"/>
  </r>
  <r>
    <d v="2023-02-01T00:00:00"/>
    <x v="0"/>
    <x v="1"/>
    <s v="Ягоды"/>
    <s v="Смородина черная"/>
    <n v="1505"/>
    <n v="6"/>
    <x v="14"/>
  </r>
  <r>
    <d v="2023-02-01T00:00:00"/>
    <x v="0"/>
    <x v="5"/>
    <s v="Зелень"/>
    <s v="Петрушка"/>
    <n v="640"/>
    <n v="65"/>
    <x v="15"/>
  </r>
  <r>
    <d v="2023-02-01T00:00:00"/>
    <x v="1"/>
    <x v="5"/>
    <s v="Ягоды"/>
    <s v="Брусника"/>
    <n v="1670"/>
    <n v="49"/>
    <x v="16"/>
  </r>
  <r>
    <d v="2023-02-01T00:00:00"/>
    <x v="1"/>
    <x v="6"/>
    <s v="Овощи"/>
    <s v="Картофель"/>
    <n v="690"/>
    <n v="45"/>
    <x v="17"/>
  </r>
  <r>
    <d v="2023-02-01T00:00:00"/>
    <x v="2"/>
    <x v="6"/>
    <s v="Ягоды"/>
    <s v="Клубника"/>
    <n v="2460"/>
    <n v="58"/>
    <x v="18"/>
  </r>
  <r>
    <s v="01.02.2023 Итого"/>
    <x v="3"/>
    <x v="2"/>
    <m/>
    <m/>
    <m/>
    <m/>
    <x v="19"/>
  </r>
  <r>
    <d v="2023-02-02T00:00:00"/>
    <x v="4"/>
    <x v="3"/>
    <s v="Овощи"/>
    <s v="Свекла"/>
    <n v="450"/>
    <n v="96"/>
    <x v="20"/>
  </r>
  <r>
    <d v="2023-02-02T00:00:00"/>
    <x v="0"/>
    <x v="3"/>
    <s v="Овощи"/>
    <s v="Морковь"/>
    <n v="715"/>
    <n v="94"/>
    <x v="21"/>
  </r>
  <r>
    <d v="2023-02-02T00:00:00"/>
    <x v="2"/>
    <x v="3"/>
    <s v="Овощи"/>
    <s v="Картофель"/>
    <n v="690"/>
    <n v="35"/>
    <x v="22"/>
  </r>
  <r>
    <d v="2023-02-02T00:00:00"/>
    <x v="4"/>
    <x v="3"/>
    <s v="Овощи"/>
    <s v="Морковь"/>
    <n v="715"/>
    <n v="67"/>
    <x v="23"/>
  </r>
  <r>
    <d v="2023-02-02T00:00:00"/>
    <x v="1"/>
    <x v="0"/>
    <s v="Овощи"/>
    <s v="Картофель"/>
    <n v="690"/>
    <n v="9"/>
    <x v="24"/>
  </r>
  <r>
    <d v="2023-02-02T00:00:00"/>
    <x v="2"/>
    <x v="4"/>
    <s v="Овощи"/>
    <s v="Кабачки"/>
    <n v="325"/>
    <n v="21"/>
    <x v="25"/>
  </r>
  <r>
    <d v="2023-02-02T00:00:00"/>
    <x v="1"/>
    <x v="4"/>
    <s v="Фрукты"/>
    <s v="Абрикосы"/>
    <n v="1320"/>
    <n v="54"/>
    <x v="26"/>
  </r>
  <r>
    <d v="2023-02-02T00:00:00"/>
    <x v="4"/>
    <x v="4"/>
    <s v="Ягоды"/>
    <s v="Смородина черная"/>
    <n v="1505"/>
    <n v="21"/>
    <x v="27"/>
  </r>
  <r>
    <d v="2023-02-02T00:00:00"/>
    <x v="1"/>
    <x v="5"/>
    <s v="Овощи"/>
    <s v="Морковь"/>
    <n v="715"/>
    <n v="15"/>
    <x v="28"/>
  </r>
  <r>
    <d v="2023-02-02T00:00:00"/>
    <x v="2"/>
    <x v="6"/>
    <s v="Овощи"/>
    <s v="Баклажаны"/>
    <n v="890"/>
    <n v="26"/>
    <x v="29"/>
  </r>
  <r>
    <d v="2023-02-02T00:00:00"/>
    <x v="0"/>
    <x v="6"/>
    <s v="Фрукты"/>
    <s v="Бананы"/>
    <n v="2400"/>
    <n v="33"/>
    <x v="30"/>
  </r>
  <r>
    <s v="02.02.2023 Итог"/>
    <x v="3"/>
    <x v="2"/>
    <m/>
    <m/>
    <m/>
    <m/>
    <x v="31"/>
  </r>
  <r>
    <d v="2023-02-03T00:00:00"/>
    <x v="4"/>
    <x v="3"/>
    <s v="Ягоды"/>
    <s v="Черешня"/>
    <n v="1760"/>
    <n v="59"/>
    <x v="32"/>
  </r>
  <r>
    <d v="2023-02-03T00:00:00"/>
    <x v="1"/>
    <x v="0"/>
    <s v="Овощи"/>
    <s v="Морковь"/>
    <n v="715"/>
    <n v="39"/>
    <x v="33"/>
  </r>
  <r>
    <d v="2023-02-03T00:00:00"/>
    <x v="2"/>
    <x v="0"/>
    <s v="Ягоды"/>
    <s v="Клубника"/>
    <n v="2460"/>
    <n v="67"/>
    <x v="34"/>
  </r>
  <r>
    <d v="2023-02-03T00:00:00"/>
    <x v="2"/>
    <x v="4"/>
    <s v="Овощи"/>
    <s v="Картофель"/>
    <n v="690"/>
    <n v="79"/>
    <x v="35"/>
  </r>
  <r>
    <d v="2023-02-03T00:00:00"/>
    <x v="4"/>
    <x v="4"/>
    <s v="Фрукты"/>
    <s v="Сливы"/>
    <n v="930"/>
    <n v="44"/>
    <x v="36"/>
  </r>
  <r>
    <d v="2023-02-03T00:00:00"/>
    <x v="0"/>
    <x v="1"/>
    <s v="Овощи"/>
    <s v="Морковь"/>
    <n v="715"/>
    <n v="75"/>
    <x v="37"/>
  </r>
  <r>
    <d v="2023-02-03T00:00:00"/>
    <x v="2"/>
    <x v="1"/>
    <s v="Овощи"/>
    <s v="Кабачки"/>
    <n v="325"/>
    <n v="17"/>
    <x v="38"/>
  </r>
  <r>
    <d v="2023-02-03T00:00:00"/>
    <x v="2"/>
    <x v="5"/>
    <s v="Зелень"/>
    <s v="Кинза"/>
    <n v="650"/>
    <n v="85"/>
    <x v="39"/>
  </r>
  <r>
    <d v="2023-02-03T00:00:00"/>
    <x v="2"/>
    <x v="5"/>
    <s v="Фрукты"/>
    <s v="Сливы"/>
    <n v="930"/>
    <n v="97"/>
    <x v="40"/>
  </r>
  <r>
    <d v="2023-02-03T00:00:00"/>
    <x v="1"/>
    <x v="5"/>
    <s v="Ягоды"/>
    <s v="Малина"/>
    <n v="2970"/>
    <n v="80"/>
    <x v="41"/>
  </r>
  <r>
    <d v="2023-02-03T00:00:00"/>
    <x v="4"/>
    <x v="6"/>
    <s v="Овощи"/>
    <s v="Морковь"/>
    <n v="715"/>
    <n v="62"/>
    <x v="42"/>
  </r>
  <r>
    <s v="03.02.2023 Итог"/>
    <x v="3"/>
    <x v="2"/>
    <m/>
    <m/>
    <m/>
    <m/>
    <x v="43"/>
  </r>
  <r>
    <d v="2023-02-04T00:00:00"/>
    <x v="2"/>
    <x v="3"/>
    <s v="Зелень"/>
    <s v="Салат римский"/>
    <n v="540"/>
    <n v="73"/>
    <x v="44"/>
  </r>
  <r>
    <d v="2023-02-04T00:00:00"/>
    <x v="2"/>
    <x v="3"/>
    <s v="Овощи"/>
    <s v="Кабачки"/>
    <n v="325"/>
    <n v="50"/>
    <x v="45"/>
  </r>
  <r>
    <d v="2023-02-04T00:00:00"/>
    <x v="1"/>
    <x v="4"/>
    <s v="Зелень"/>
    <s v="Укроп"/>
    <n v="650"/>
    <n v="29"/>
    <x v="46"/>
  </r>
  <r>
    <d v="2023-02-04T00:00:00"/>
    <x v="2"/>
    <x v="4"/>
    <s v="Овощи"/>
    <s v="Морковь"/>
    <n v="715"/>
    <n v="39"/>
    <x v="33"/>
  </r>
  <r>
    <s v="04.02.2023 Итог"/>
    <x v="3"/>
    <x v="2"/>
    <m/>
    <m/>
    <m/>
    <m/>
    <x v="47"/>
  </r>
  <r>
    <d v="2023-02-05T00:00:00"/>
    <x v="2"/>
    <x v="0"/>
    <s v="Овощи"/>
    <s v="Баклажаны"/>
    <n v="890"/>
    <n v="25"/>
    <x v="48"/>
  </r>
  <r>
    <d v="2023-02-05T00:00:00"/>
    <x v="0"/>
    <x v="0"/>
    <s v="Фрукты"/>
    <s v="Бананы"/>
    <n v="2400"/>
    <n v="35"/>
    <x v="49"/>
  </r>
  <r>
    <d v="2023-02-05T00:00:00"/>
    <x v="1"/>
    <x v="0"/>
    <s v="Ягоды"/>
    <s v="Голубика"/>
    <n v="3205"/>
    <n v="96"/>
    <x v="50"/>
  </r>
  <r>
    <d v="2023-02-05T00:00:00"/>
    <x v="2"/>
    <x v="4"/>
    <s v="Овощи"/>
    <s v="Капуста"/>
    <n v="460"/>
    <n v="24"/>
    <x v="51"/>
  </r>
  <r>
    <d v="2023-02-05T00:00:00"/>
    <x v="2"/>
    <x v="1"/>
    <s v="Зелень"/>
    <s v="Салат римский"/>
    <n v="540"/>
    <n v="77"/>
    <x v="52"/>
  </r>
  <r>
    <d v="2023-02-05T00:00:00"/>
    <x v="2"/>
    <x v="1"/>
    <s v="Зелень"/>
    <s v="Салат римский"/>
    <n v="540"/>
    <n v="11"/>
    <x v="53"/>
  </r>
  <r>
    <d v="2023-02-05T00:00:00"/>
    <x v="4"/>
    <x v="1"/>
    <s v="Овощи"/>
    <s v="Баклажаны"/>
    <n v="890"/>
    <n v="75"/>
    <x v="54"/>
  </r>
  <r>
    <d v="2023-02-05T00:00:00"/>
    <x v="4"/>
    <x v="1"/>
    <s v="Ягоды"/>
    <s v="Клубника"/>
    <n v="2460"/>
    <n v="100"/>
    <x v="55"/>
  </r>
  <r>
    <d v="2023-02-05T00:00:00"/>
    <x v="1"/>
    <x v="5"/>
    <s v="Фрукты"/>
    <s v="Груши"/>
    <n v="1420"/>
    <n v="76"/>
    <x v="56"/>
  </r>
  <r>
    <s v="05.02.2023 Итог"/>
    <x v="3"/>
    <x v="2"/>
    <m/>
    <m/>
    <m/>
    <m/>
    <x v="57"/>
  </r>
  <r>
    <d v="2023-02-06T00:00:00"/>
    <x v="4"/>
    <x v="3"/>
    <s v="Зелень"/>
    <s v="Лук зеленый"/>
    <n v="705"/>
    <n v="33"/>
    <x v="58"/>
  </r>
  <r>
    <d v="2023-02-06T00:00:00"/>
    <x v="4"/>
    <x v="3"/>
    <s v="Фрукты"/>
    <s v="Бананы"/>
    <n v="2400"/>
    <n v="67"/>
    <x v="59"/>
  </r>
  <r>
    <d v="2023-02-06T00:00:00"/>
    <x v="4"/>
    <x v="0"/>
    <s v="Зелень"/>
    <s v="Салат римский"/>
    <n v="540"/>
    <n v="68"/>
    <x v="60"/>
  </r>
  <r>
    <d v="2023-02-06T00:00:00"/>
    <x v="0"/>
    <x v="4"/>
    <s v="Овощи"/>
    <s v="Свекла"/>
    <n v="450"/>
    <n v="20"/>
    <x v="61"/>
  </r>
  <r>
    <d v="2023-02-06T00:00:00"/>
    <x v="2"/>
    <x v="5"/>
    <s v="Зелень"/>
    <s v="Салат римский"/>
    <n v="540"/>
    <n v="79"/>
    <x v="62"/>
  </r>
  <r>
    <d v="2023-02-06T00:00:00"/>
    <x v="4"/>
    <x v="5"/>
    <s v="Ягоды"/>
    <s v="Черешня"/>
    <n v="1760"/>
    <n v="5"/>
    <x v="63"/>
  </r>
  <r>
    <d v="2023-02-06T00:00:00"/>
    <x v="4"/>
    <x v="6"/>
    <s v="Овощи"/>
    <s v="Кабачки"/>
    <n v="325"/>
    <n v="67"/>
    <x v="64"/>
  </r>
  <r>
    <d v="2023-02-06T00:00:00"/>
    <x v="2"/>
    <x v="6"/>
    <s v="Фрукты"/>
    <s v="Сливы"/>
    <n v="930"/>
    <n v="26"/>
    <x v="65"/>
  </r>
  <r>
    <s v="06.02.2023 Итог"/>
    <x v="3"/>
    <x v="2"/>
    <m/>
    <m/>
    <m/>
    <m/>
    <x v="66"/>
  </r>
  <r>
    <d v="2023-02-07T00:00:00"/>
    <x v="1"/>
    <x v="3"/>
    <s v="Зелень"/>
    <s v="Петрушка"/>
    <n v="640"/>
    <n v="52"/>
    <x v="67"/>
  </r>
  <r>
    <d v="2023-02-07T00:00:00"/>
    <x v="2"/>
    <x v="0"/>
    <s v="Ягоды"/>
    <s v="Черешня"/>
    <n v="1760"/>
    <n v="40"/>
    <x v="68"/>
  </r>
  <r>
    <d v="2023-02-07T00:00:00"/>
    <x v="2"/>
    <x v="4"/>
    <s v="Овощи"/>
    <s v="Картофель"/>
    <n v="690"/>
    <n v="84"/>
    <x v="69"/>
  </r>
  <r>
    <d v="2023-02-07T00:00:00"/>
    <x v="4"/>
    <x v="4"/>
    <s v="Фрукты"/>
    <s v="Груши"/>
    <n v="1420"/>
    <n v="97"/>
    <x v="70"/>
  </r>
  <r>
    <d v="2023-02-07T00:00:00"/>
    <x v="2"/>
    <x v="4"/>
    <s v="Ягоды"/>
    <s v="Брусника"/>
    <n v="1670"/>
    <n v="84"/>
    <x v="71"/>
  </r>
  <r>
    <d v="2023-02-07T00:00:00"/>
    <x v="0"/>
    <x v="4"/>
    <s v="Ягоды"/>
    <s v="Смородина черная"/>
    <n v="1505"/>
    <n v="20"/>
    <x v="72"/>
  </r>
  <r>
    <d v="2023-02-07T00:00:00"/>
    <x v="1"/>
    <x v="1"/>
    <s v="Зелень"/>
    <s v="Укроп"/>
    <n v="650"/>
    <n v="11"/>
    <x v="73"/>
  </r>
  <r>
    <d v="2023-02-07T00:00:00"/>
    <x v="4"/>
    <x v="1"/>
    <s v="Ягоды"/>
    <s v="Клубника"/>
    <n v="2460"/>
    <n v="70"/>
    <x v="74"/>
  </r>
  <r>
    <d v="2023-02-07T00:00:00"/>
    <x v="2"/>
    <x v="5"/>
    <s v="Овощи"/>
    <s v="Картофель"/>
    <n v="690"/>
    <n v="14"/>
    <x v="75"/>
  </r>
  <r>
    <d v="2023-02-07T00:00:00"/>
    <x v="0"/>
    <x v="5"/>
    <s v="Фрукты"/>
    <s v="Абрикосы"/>
    <n v="1320"/>
    <n v="90"/>
    <x v="76"/>
  </r>
  <r>
    <d v="2023-02-07T00:00:00"/>
    <x v="4"/>
    <x v="5"/>
    <s v="Фрукты"/>
    <s v="Бананы"/>
    <n v="2400"/>
    <n v="20"/>
    <x v="77"/>
  </r>
  <r>
    <d v="2023-02-07T00:00:00"/>
    <x v="0"/>
    <x v="5"/>
    <s v="Ягоды"/>
    <s v="Малина"/>
    <n v="2970"/>
    <n v="7"/>
    <x v="78"/>
  </r>
  <r>
    <d v="2023-02-07T00:00:00"/>
    <x v="2"/>
    <x v="6"/>
    <s v="Овощи"/>
    <s v="Морковь"/>
    <n v="715"/>
    <n v="87"/>
    <x v="79"/>
  </r>
  <r>
    <s v="07.02.2023 Итог"/>
    <x v="3"/>
    <x v="2"/>
    <m/>
    <m/>
    <m/>
    <m/>
    <x v="80"/>
  </r>
  <r>
    <d v="2023-02-08T00:00:00"/>
    <x v="2"/>
    <x v="3"/>
    <s v="Фрукты"/>
    <s v="Абрикосы"/>
    <n v="1320"/>
    <n v="25"/>
    <x v="81"/>
  </r>
  <r>
    <d v="2023-02-08T00:00:00"/>
    <x v="1"/>
    <x v="3"/>
    <s v="Ягоды"/>
    <s v="Смородина черная"/>
    <n v="1505"/>
    <n v="89"/>
    <x v="82"/>
  </r>
  <r>
    <d v="2023-02-08T00:00:00"/>
    <x v="2"/>
    <x v="0"/>
    <s v="Зелень"/>
    <s v="Укроп"/>
    <n v="650"/>
    <n v="88"/>
    <x v="83"/>
  </r>
  <r>
    <d v="2023-02-08T00:00:00"/>
    <x v="4"/>
    <x v="1"/>
    <s v="Фрукты"/>
    <s v="Абрикосы"/>
    <n v="1320"/>
    <n v="11"/>
    <x v="84"/>
  </r>
  <r>
    <d v="2023-02-08T00:00:00"/>
    <x v="2"/>
    <x v="5"/>
    <s v="Зелень"/>
    <s v="Лук зеленый"/>
    <n v="705"/>
    <n v="90"/>
    <x v="85"/>
  </r>
  <r>
    <d v="2023-02-08T00:00:00"/>
    <x v="1"/>
    <x v="5"/>
    <s v="Овощи"/>
    <s v="Капуста"/>
    <n v="460"/>
    <n v="43"/>
    <x v="86"/>
  </r>
  <r>
    <d v="2023-02-08T00:00:00"/>
    <x v="1"/>
    <x v="5"/>
    <s v="Фрукты"/>
    <s v="Апельсины"/>
    <n v="2540"/>
    <n v="70"/>
    <x v="87"/>
  </r>
  <r>
    <d v="2023-02-08T00:00:00"/>
    <x v="2"/>
    <x v="6"/>
    <s v="Фрукты"/>
    <s v="Груши"/>
    <n v="1420"/>
    <n v="54"/>
    <x v="88"/>
  </r>
  <r>
    <s v="08.02.2023 Итог"/>
    <x v="3"/>
    <x v="2"/>
    <m/>
    <m/>
    <m/>
    <m/>
    <x v="89"/>
  </r>
  <r>
    <d v="2023-02-09T00:00:00"/>
    <x v="4"/>
    <x v="3"/>
    <s v="Зелень"/>
    <s v="Лук зеленый"/>
    <n v="705"/>
    <n v="95"/>
    <x v="90"/>
  </r>
  <r>
    <d v="2023-02-09T00:00:00"/>
    <x v="0"/>
    <x v="3"/>
    <s v="Ягоды"/>
    <s v="Смородина черная"/>
    <n v="1505"/>
    <n v="58"/>
    <x v="91"/>
  </r>
  <r>
    <d v="2023-02-09T00:00:00"/>
    <x v="2"/>
    <x v="0"/>
    <s v="Зелень"/>
    <s v="Салат айсберг"/>
    <n v="1380"/>
    <n v="71"/>
    <x v="92"/>
  </r>
  <r>
    <d v="2023-02-09T00:00:00"/>
    <x v="1"/>
    <x v="4"/>
    <s v="Зелень"/>
    <s v="Салат римский"/>
    <n v="540"/>
    <n v="15"/>
    <x v="93"/>
  </r>
  <r>
    <d v="2023-02-09T00:00:00"/>
    <x v="0"/>
    <x v="5"/>
    <s v="Фрукты"/>
    <s v="Абрикосы"/>
    <n v="1320"/>
    <n v="40"/>
    <x v="94"/>
  </r>
  <r>
    <d v="2023-02-09T00:00:00"/>
    <x v="1"/>
    <x v="5"/>
    <s v="Ягоды"/>
    <s v="Черешня"/>
    <n v="1760"/>
    <n v="63"/>
    <x v="95"/>
  </r>
  <r>
    <d v="2023-02-09T00:00:00"/>
    <x v="0"/>
    <x v="5"/>
    <s v="Ягоды"/>
    <s v="Черешня"/>
    <n v="1760"/>
    <n v="97"/>
    <x v="96"/>
  </r>
  <r>
    <d v="2023-02-09T00:00:00"/>
    <x v="2"/>
    <x v="5"/>
    <s v="Ягоды"/>
    <s v="Брусника"/>
    <n v="1670"/>
    <n v="27"/>
    <x v="97"/>
  </r>
  <r>
    <d v="2023-02-09T00:00:00"/>
    <x v="2"/>
    <x v="6"/>
    <s v="Фрукты"/>
    <s v="Апельсины"/>
    <n v="2540"/>
    <n v="75"/>
    <x v="98"/>
  </r>
  <r>
    <d v="2023-02-09T00:00:00"/>
    <x v="1"/>
    <x v="6"/>
    <s v="Фрукты"/>
    <s v="Сливы"/>
    <n v="930"/>
    <n v="60"/>
    <x v="99"/>
  </r>
  <r>
    <s v="09.02.2023 Итог"/>
    <x v="3"/>
    <x v="2"/>
    <m/>
    <m/>
    <m/>
    <m/>
    <x v="100"/>
  </r>
  <r>
    <d v="2023-02-10T00:00:00"/>
    <x v="2"/>
    <x v="3"/>
    <s v="Зелень"/>
    <s v="Лук зеленый"/>
    <n v="705"/>
    <n v="71"/>
    <x v="101"/>
  </r>
  <r>
    <d v="2023-02-10T00:00:00"/>
    <x v="1"/>
    <x v="3"/>
    <s v="Ягоды"/>
    <s v="Брусника"/>
    <n v="1670"/>
    <n v="70"/>
    <x v="102"/>
  </r>
  <r>
    <d v="2023-02-10T00:00:00"/>
    <x v="4"/>
    <x v="0"/>
    <s v="Зелень"/>
    <s v="Петрушка"/>
    <n v="640"/>
    <n v="70"/>
    <x v="103"/>
  </r>
  <r>
    <d v="2023-02-10T00:00:00"/>
    <x v="1"/>
    <x v="0"/>
    <s v="Овощи"/>
    <s v="Морковь"/>
    <n v="715"/>
    <n v="34"/>
    <x v="104"/>
  </r>
  <r>
    <d v="2023-02-10T00:00:00"/>
    <x v="1"/>
    <x v="4"/>
    <s v="Ягоды"/>
    <s v="Смородина черная"/>
    <n v="1505"/>
    <n v="60"/>
    <x v="105"/>
  </r>
  <r>
    <d v="2023-02-10T00:00:00"/>
    <x v="1"/>
    <x v="1"/>
    <s v="Овощи"/>
    <s v="Свекла"/>
    <n v="450"/>
    <n v="50"/>
    <x v="106"/>
  </r>
  <r>
    <d v="2023-02-10T00:00:00"/>
    <x v="0"/>
    <x v="5"/>
    <s v="Фрукты"/>
    <s v="Абрикосы"/>
    <n v="1320"/>
    <n v="96"/>
    <x v="107"/>
  </r>
  <r>
    <d v="2023-02-10T00:00:00"/>
    <x v="1"/>
    <x v="6"/>
    <s v="Ягоды"/>
    <s v="Клубника"/>
    <n v="2460"/>
    <n v="13"/>
    <x v="108"/>
  </r>
  <r>
    <d v="2023-02-10T00:00:00"/>
    <x v="0"/>
    <x v="6"/>
    <s v="Ягоды"/>
    <s v="Голубика"/>
    <n v="3205"/>
    <n v="59"/>
    <x v="109"/>
  </r>
  <r>
    <s v="10.02.2023 Итог"/>
    <x v="3"/>
    <x v="2"/>
    <m/>
    <m/>
    <m/>
    <m/>
    <x v="110"/>
  </r>
  <r>
    <d v="2023-02-11T00:00:00"/>
    <x v="0"/>
    <x v="3"/>
    <s v="Фрукты"/>
    <s v="Сливы"/>
    <n v="930"/>
    <n v="26"/>
    <x v="65"/>
  </r>
  <r>
    <d v="2023-02-11T00:00:00"/>
    <x v="0"/>
    <x v="0"/>
    <s v="Фрукты"/>
    <s v="Бананы"/>
    <n v="2400"/>
    <n v="34"/>
    <x v="111"/>
  </r>
  <r>
    <d v="2023-02-11T00:00:00"/>
    <x v="1"/>
    <x v="0"/>
    <s v="Ягоды"/>
    <s v="Черешня"/>
    <n v="1760"/>
    <n v="38"/>
    <x v="112"/>
  </r>
  <r>
    <d v="2023-02-11T00:00:00"/>
    <x v="0"/>
    <x v="4"/>
    <s v="Фрукты"/>
    <s v="Бананы"/>
    <n v="2400"/>
    <n v="91"/>
    <x v="113"/>
  </r>
  <r>
    <d v="2023-02-11T00:00:00"/>
    <x v="4"/>
    <x v="1"/>
    <s v="Овощи"/>
    <s v="Капуста"/>
    <n v="460"/>
    <n v="26"/>
    <x v="114"/>
  </r>
  <r>
    <d v="2023-02-11T00:00:00"/>
    <x v="4"/>
    <x v="1"/>
    <s v="Фрукты"/>
    <s v="Абрикосы"/>
    <n v="1320"/>
    <n v="71"/>
    <x v="115"/>
  </r>
  <r>
    <d v="2023-02-11T00:00:00"/>
    <x v="1"/>
    <x v="1"/>
    <s v="Ягоды"/>
    <s v="Брусника"/>
    <n v="1670"/>
    <n v="70"/>
    <x v="102"/>
  </r>
  <r>
    <d v="2023-02-11T00:00:00"/>
    <x v="0"/>
    <x v="5"/>
    <s v="Овощи"/>
    <s v="Кабачки"/>
    <n v="325"/>
    <n v="25"/>
    <x v="116"/>
  </r>
  <r>
    <d v="2023-02-11T00:00:00"/>
    <x v="1"/>
    <x v="5"/>
    <s v="Овощи"/>
    <s v="Баклажаны"/>
    <n v="890"/>
    <n v="31"/>
    <x v="117"/>
  </r>
  <r>
    <d v="2023-02-11T00:00:00"/>
    <x v="4"/>
    <x v="5"/>
    <s v="Овощи"/>
    <s v="Баклажаны"/>
    <n v="890"/>
    <n v="7"/>
    <x v="118"/>
  </r>
  <r>
    <s v="11.02.2023 Итог"/>
    <x v="3"/>
    <x v="2"/>
    <m/>
    <m/>
    <m/>
    <m/>
    <x v="119"/>
  </r>
  <r>
    <d v="2023-02-12T00:00:00"/>
    <x v="0"/>
    <x v="3"/>
    <s v="Фрукты"/>
    <s v="Сливы"/>
    <n v="930"/>
    <n v="22"/>
    <x v="120"/>
  </r>
  <r>
    <d v="2023-02-12T00:00:00"/>
    <x v="0"/>
    <x v="3"/>
    <s v="Фрукты"/>
    <s v="Абрикосы"/>
    <n v="1320"/>
    <n v="93"/>
    <x v="121"/>
  </r>
  <r>
    <d v="2023-02-12T00:00:00"/>
    <x v="4"/>
    <x v="3"/>
    <s v="Ягоды"/>
    <s v="Брусника"/>
    <n v="1670"/>
    <n v="97"/>
    <x v="122"/>
  </r>
  <r>
    <d v="2023-02-12T00:00:00"/>
    <x v="0"/>
    <x v="3"/>
    <s v="Ягоды"/>
    <s v="Брусника"/>
    <n v="1670"/>
    <n v="27"/>
    <x v="97"/>
  </r>
  <r>
    <d v="2023-02-12T00:00:00"/>
    <x v="1"/>
    <x v="0"/>
    <s v="Ягоды"/>
    <s v="Малина"/>
    <n v="2970"/>
    <n v="55"/>
    <x v="123"/>
  </r>
  <r>
    <d v="2023-02-12T00:00:00"/>
    <x v="1"/>
    <x v="5"/>
    <s v="Овощи"/>
    <s v="Свекла"/>
    <n v="450"/>
    <n v="74"/>
    <x v="124"/>
  </r>
  <r>
    <d v="2023-02-12T00:00:00"/>
    <x v="0"/>
    <x v="5"/>
    <s v="Фрукты"/>
    <s v="Абрикосы"/>
    <n v="1320"/>
    <n v="7"/>
    <x v="125"/>
  </r>
  <r>
    <d v="2023-02-12T00:00:00"/>
    <x v="4"/>
    <x v="5"/>
    <s v="Ягоды"/>
    <s v="Голубика"/>
    <n v="3205"/>
    <n v="56"/>
    <x v="126"/>
  </r>
  <r>
    <d v="2023-02-12T00:00:00"/>
    <x v="4"/>
    <x v="6"/>
    <s v="Фрукты"/>
    <s v="Апельсины"/>
    <n v="2540"/>
    <n v="56"/>
    <x v="127"/>
  </r>
  <r>
    <d v="2023-02-12T00:00:00"/>
    <x v="1"/>
    <x v="0"/>
    <s v="Овощи"/>
    <s v="Картофель"/>
    <n v="690"/>
    <n v="29"/>
    <x v="128"/>
  </r>
  <r>
    <s v="12.02.2023 Итог"/>
    <x v="3"/>
    <x v="2"/>
    <m/>
    <m/>
    <m/>
    <m/>
    <x v="129"/>
  </r>
  <r>
    <d v="2023-02-13T00:00:00"/>
    <x v="2"/>
    <x v="1"/>
    <s v="Зелень"/>
    <s v="Лук зеленый"/>
    <n v="705"/>
    <n v="21"/>
    <x v="130"/>
  </r>
  <r>
    <d v="2023-02-13T00:00:00"/>
    <x v="2"/>
    <x v="1"/>
    <s v="Фрукты"/>
    <s v="Яблоки"/>
    <n v="1230"/>
    <n v="22"/>
    <x v="131"/>
  </r>
  <r>
    <d v="2023-02-13T00:00:00"/>
    <x v="2"/>
    <x v="1"/>
    <s v="Фрукты"/>
    <s v="Апельсины"/>
    <n v="2540"/>
    <n v="60"/>
    <x v="132"/>
  </r>
  <r>
    <d v="2023-02-13T00:00:00"/>
    <x v="0"/>
    <x v="5"/>
    <s v="Ягоды"/>
    <s v="Голубика"/>
    <n v="3205"/>
    <n v="54"/>
    <x v="133"/>
  </r>
  <r>
    <d v="2023-02-13T00:00:00"/>
    <x v="0"/>
    <x v="0"/>
    <s v="Фрукты"/>
    <s v="Груши"/>
    <n v="1420"/>
    <n v="12"/>
    <x v="134"/>
  </r>
  <r>
    <s v="13.02.2023 Итог"/>
    <x v="3"/>
    <x v="2"/>
    <m/>
    <m/>
    <m/>
    <m/>
    <x v="135"/>
  </r>
  <r>
    <d v="2023-02-14T00:00:00"/>
    <x v="0"/>
    <x v="3"/>
    <s v="Зелень"/>
    <s v="Салат римский"/>
    <n v="540"/>
    <n v="98"/>
    <x v="136"/>
  </r>
  <r>
    <d v="2023-02-14T00:00:00"/>
    <x v="4"/>
    <x v="0"/>
    <s v="Овощи"/>
    <s v="Баклажаны"/>
    <n v="890"/>
    <n v="74"/>
    <x v="137"/>
  </r>
  <r>
    <d v="2023-02-14T00:00:00"/>
    <x v="2"/>
    <x v="0"/>
    <s v="Овощи"/>
    <s v="Баклажаны"/>
    <n v="890"/>
    <n v="88"/>
    <x v="138"/>
  </r>
  <r>
    <d v="2023-02-14T00:00:00"/>
    <x v="1"/>
    <x v="0"/>
    <s v="Ягоды"/>
    <s v="Голубика"/>
    <n v="3205"/>
    <n v="94"/>
    <x v="139"/>
  </r>
  <r>
    <d v="2023-02-14T00:00:00"/>
    <x v="4"/>
    <x v="0"/>
    <s v="Ягоды"/>
    <s v="Брусника"/>
    <n v="1670"/>
    <n v="26"/>
    <x v="140"/>
  </r>
  <r>
    <d v="2023-02-14T00:00:00"/>
    <x v="0"/>
    <x v="4"/>
    <s v="Овощи"/>
    <s v="Морковь"/>
    <n v="715"/>
    <n v="22"/>
    <x v="141"/>
  </r>
  <r>
    <d v="2023-02-14T00:00:00"/>
    <x v="4"/>
    <x v="4"/>
    <s v="Фрукты"/>
    <s v="Абрикосы"/>
    <n v="1320"/>
    <n v="41"/>
    <x v="142"/>
  </r>
  <r>
    <d v="2023-02-14T00:00:00"/>
    <x v="4"/>
    <x v="4"/>
    <s v="Фрукты"/>
    <s v="Сливы"/>
    <n v="930"/>
    <n v="50"/>
    <x v="143"/>
  </r>
  <r>
    <d v="2023-02-14T00:00:00"/>
    <x v="1"/>
    <x v="4"/>
    <s v="Ягоды"/>
    <s v="Смородина черная"/>
    <n v="1505"/>
    <n v="85"/>
    <x v="144"/>
  </r>
  <r>
    <d v="2023-02-14T00:00:00"/>
    <x v="1"/>
    <x v="1"/>
    <s v="Овощи"/>
    <s v="Морковь"/>
    <n v="715"/>
    <n v="14"/>
    <x v="13"/>
  </r>
  <r>
    <d v="2023-02-14T00:00:00"/>
    <x v="2"/>
    <x v="1"/>
    <s v="Фрукты"/>
    <s v="Бананы"/>
    <n v="2400"/>
    <n v="33"/>
    <x v="30"/>
  </r>
  <r>
    <d v="2023-02-14T00:00:00"/>
    <x v="1"/>
    <x v="1"/>
    <s v="Фрукты"/>
    <s v="Апельсины"/>
    <n v="2540"/>
    <n v="12"/>
    <x v="145"/>
  </r>
  <r>
    <d v="2023-02-14T00:00:00"/>
    <x v="0"/>
    <x v="1"/>
    <s v="Фрукты"/>
    <s v="Сливы"/>
    <n v="930"/>
    <n v="88"/>
    <x v="146"/>
  </r>
  <r>
    <d v="2023-02-14T00:00:00"/>
    <x v="2"/>
    <x v="5"/>
    <s v="Зелень"/>
    <s v="Салат айсберг"/>
    <n v="1380"/>
    <n v="43"/>
    <x v="147"/>
  </r>
  <r>
    <d v="2023-02-14T00:00:00"/>
    <x v="1"/>
    <x v="5"/>
    <s v="Ягоды"/>
    <s v="Голубика"/>
    <n v="3205"/>
    <n v="54"/>
    <x v="133"/>
  </r>
  <r>
    <d v="2023-02-14T00:00:00"/>
    <x v="0"/>
    <x v="6"/>
    <s v="Зелень"/>
    <s v="Салат римский"/>
    <n v="540"/>
    <n v="10"/>
    <x v="148"/>
  </r>
  <r>
    <d v="2023-02-14T00:00:00"/>
    <x v="4"/>
    <x v="6"/>
    <s v="Овощи"/>
    <s v="Кабачки"/>
    <n v="325"/>
    <n v="55"/>
    <x v="149"/>
  </r>
  <r>
    <d v="2023-02-14T00:00:00"/>
    <x v="4"/>
    <x v="6"/>
    <s v="Фрукты"/>
    <s v="Апельсины"/>
    <n v="2540"/>
    <n v="41"/>
    <x v="150"/>
  </r>
  <r>
    <d v="2023-02-14T00:00:00"/>
    <x v="1"/>
    <x v="0"/>
    <s v="Фрукты"/>
    <s v="Абрикосы"/>
    <n v="1320"/>
    <n v="31"/>
    <x v="36"/>
  </r>
  <r>
    <s v="14.02.2023 Итог"/>
    <x v="3"/>
    <x v="2"/>
    <m/>
    <m/>
    <m/>
    <m/>
    <x v="151"/>
  </r>
  <r>
    <d v="2023-02-15T00:00:00"/>
    <x v="1"/>
    <x v="3"/>
    <s v="Зелень"/>
    <s v="Кинза"/>
    <n v="650"/>
    <n v="88"/>
    <x v="83"/>
  </r>
  <r>
    <d v="2023-02-15T00:00:00"/>
    <x v="0"/>
    <x v="3"/>
    <s v="Фрукты"/>
    <s v="Бананы"/>
    <n v="2400"/>
    <n v="51"/>
    <x v="152"/>
  </r>
  <r>
    <d v="2023-02-15T00:00:00"/>
    <x v="2"/>
    <x v="3"/>
    <s v="Ягоды"/>
    <s v="Клубника"/>
    <n v="2460"/>
    <n v="90"/>
    <x v="153"/>
  </r>
  <r>
    <d v="2023-02-15T00:00:00"/>
    <x v="4"/>
    <x v="3"/>
    <s v="Ягоды"/>
    <s v="Клубника"/>
    <n v="2460"/>
    <n v="6"/>
    <x v="154"/>
  </r>
  <r>
    <d v="2023-02-15T00:00:00"/>
    <x v="2"/>
    <x v="0"/>
    <s v="Зелень"/>
    <s v="Салат римский"/>
    <n v="540"/>
    <n v="26"/>
    <x v="155"/>
  </r>
  <r>
    <d v="2023-02-15T00:00:00"/>
    <x v="2"/>
    <x v="0"/>
    <s v="Овощи"/>
    <s v="Картофель"/>
    <n v="690"/>
    <n v="87"/>
    <x v="156"/>
  </r>
  <r>
    <d v="2023-02-15T00:00:00"/>
    <x v="0"/>
    <x v="4"/>
    <s v="Зелень"/>
    <s v="Петрушка"/>
    <n v="640"/>
    <n v="26"/>
    <x v="157"/>
  </r>
  <r>
    <d v="2023-02-15T00:00:00"/>
    <x v="2"/>
    <x v="4"/>
    <s v="Зелень"/>
    <s v="Кинза"/>
    <n v="650"/>
    <n v="54"/>
    <x v="158"/>
  </r>
  <r>
    <d v="2023-02-15T00:00:00"/>
    <x v="4"/>
    <x v="4"/>
    <s v="Ягоды"/>
    <s v="Клубника"/>
    <n v="2460"/>
    <n v="56"/>
    <x v="159"/>
  </r>
  <r>
    <d v="2023-02-15T00:00:00"/>
    <x v="4"/>
    <x v="1"/>
    <s v="Овощи"/>
    <s v="Картофель"/>
    <n v="690"/>
    <n v="24"/>
    <x v="160"/>
  </r>
  <r>
    <d v="2023-02-15T00:00:00"/>
    <x v="4"/>
    <x v="5"/>
    <s v="Зелень"/>
    <s v="Кинза"/>
    <n v="650"/>
    <n v="71"/>
    <x v="161"/>
  </r>
  <r>
    <d v="2023-02-15T00:00:00"/>
    <x v="1"/>
    <x v="5"/>
    <s v="Овощи"/>
    <s v="Свекла"/>
    <n v="450"/>
    <n v="22"/>
    <x v="162"/>
  </r>
  <r>
    <d v="2023-02-15T00:00:00"/>
    <x v="2"/>
    <x v="5"/>
    <s v="Овощи"/>
    <s v="Кабачки"/>
    <n v="325"/>
    <n v="98"/>
    <x v="163"/>
  </r>
  <r>
    <d v="2023-02-15T00:00:00"/>
    <x v="2"/>
    <x v="5"/>
    <s v="Ягоды"/>
    <s v="Голубика"/>
    <n v="3205"/>
    <n v="86"/>
    <x v="164"/>
  </r>
  <r>
    <d v="2023-02-15T00:00:00"/>
    <x v="2"/>
    <x v="5"/>
    <s v="Ягоды"/>
    <s v="Голубика"/>
    <n v="3205"/>
    <n v="47"/>
    <x v="165"/>
  </r>
  <r>
    <d v="2023-02-15T00:00:00"/>
    <x v="4"/>
    <x v="5"/>
    <s v="Ягоды"/>
    <s v="Малина"/>
    <n v="2970"/>
    <n v="28"/>
    <x v="166"/>
  </r>
  <r>
    <d v="2023-02-15T00:00:00"/>
    <x v="4"/>
    <x v="6"/>
    <s v="Зелень"/>
    <s v="Салат римский"/>
    <n v="540"/>
    <n v="34"/>
    <x v="167"/>
  </r>
  <r>
    <d v="2023-02-15T00:00:00"/>
    <x v="2"/>
    <x v="6"/>
    <s v="Ягоды"/>
    <s v="Клубника"/>
    <n v="2460"/>
    <n v="28"/>
    <x v="168"/>
  </r>
  <r>
    <d v="2023-02-15T00:00:00"/>
    <x v="2"/>
    <x v="6"/>
    <s v="Ягоды"/>
    <s v="Голубика"/>
    <n v="3205"/>
    <n v="90"/>
    <x v="169"/>
  </r>
  <r>
    <d v="2023-02-15T00:00:00"/>
    <x v="2"/>
    <x v="4"/>
    <s v="Зелень"/>
    <s v="Лук зеленый"/>
    <n v="705"/>
    <n v="12"/>
    <x v="170"/>
  </r>
  <r>
    <s v="15.02.2023 Итог"/>
    <x v="3"/>
    <x v="2"/>
    <m/>
    <m/>
    <m/>
    <m/>
    <x v="171"/>
  </r>
  <r>
    <d v="2023-02-16T00:00:00"/>
    <x v="1"/>
    <x v="3"/>
    <s v="Зелень"/>
    <s v="Петрушка"/>
    <n v="640"/>
    <n v="23"/>
    <x v="172"/>
  </r>
  <r>
    <d v="2023-02-16T00:00:00"/>
    <x v="2"/>
    <x v="3"/>
    <s v="Овощи"/>
    <s v="Свекла"/>
    <n v="450"/>
    <n v="78"/>
    <x v="158"/>
  </r>
  <r>
    <d v="2023-02-16T00:00:00"/>
    <x v="2"/>
    <x v="0"/>
    <s v="Зелень"/>
    <s v="Кинза"/>
    <n v="650"/>
    <n v="58"/>
    <x v="173"/>
  </r>
  <r>
    <d v="2023-02-16T00:00:00"/>
    <x v="4"/>
    <x v="0"/>
    <s v="Зелень"/>
    <s v="Кинза"/>
    <n v="650"/>
    <n v="92"/>
    <x v="174"/>
  </r>
  <r>
    <d v="2023-02-16T00:00:00"/>
    <x v="1"/>
    <x v="0"/>
    <s v="Овощи"/>
    <s v="Свекла"/>
    <n v="450"/>
    <n v="91"/>
    <x v="175"/>
  </r>
  <r>
    <d v="2023-02-16T00:00:00"/>
    <x v="4"/>
    <x v="0"/>
    <s v="Ягоды"/>
    <s v="Черешня"/>
    <n v="1760"/>
    <n v="92"/>
    <x v="176"/>
  </r>
  <r>
    <d v="2023-02-16T00:00:00"/>
    <x v="2"/>
    <x v="0"/>
    <s v="Ягоды"/>
    <s v="Смородина черная"/>
    <n v="1505"/>
    <n v="14"/>
    <x v="177"/>
  </r>
  <r>
    <d v="2023-02-16T00:00:00"/>
    <x v="2"/>
    <x v="0"/>
    <s v="Ягоды"/>
    <s v="Брусника"/>
    <n v="1670"/>
    <n v="5"/>
    <x v="178"/>
  </r>
  <r>
    <d v="2023-02-16T00:00:00"/>
    <x v="2"/>
    <x v="4"/>
    <s v="Зелень"/>
    <s v="Лук зеленый"/>
    <n v="705"/>
    <n v="81"/>
    <x v="179"/>
  </r>
  <r>
    <d v="2023-02-16T00:00:00"/>
    <x v="0"/>
    <x v="4"/>
    <s v="Зелень"/>
    <s v="Салат айсберг"/>
    <n v="1380"/>
    <n v="34"/>
    <x v="180"/>
  </r>
  <r>
    <d v="2023-02-16T00:00:00"/>
    <x v="2"/>
    <x v="4"/>
    <s v="Овощи"/>
    <s v="Свекла"/>
    <n v="450"/>
    <n v="9"/>
    <x v="181"/>
  </r>
  <r>
    <d v="2023-02-16T00:00:00"/>
    <x v="1"/>
    <x v="4"/>
    <s v="Фрукты"/>
    <s v="Абрикосы"/>
    <n v="1320"/>
    <n v="5"/>
    <x v="182"/>
  </r>
  <r>
    <d v="2023-02-16T00:00:00"/>
    <x v="1"/>
    <x v="4"/>
    <s v="Ягоды"/>
    <s v="Брусника"/>
    <n v="1670"/>
    <n v="63"/>
    <x v="183"/>
  </r>
  <r>
    <d v="2023-02-16T00:00:00"/>
    <x v="1"/>
    <x v="4"/>
    <s v="Ягоды"/>
    <s v="Черешня"/>
    <n v="1760"/>
    <n v="12"/>
    <x v="184"/>
  </r>
  <r>
    <d v="2023-02-16T00:00:00"/>
    <x v="0"/>
    <x v="1"/>
    <s v="Овощи"/>
    <s v="Морковь"/>
    <n v="715"/>
    <n v="64"/>
    <x v="185"/>
  </r>
  <r>
    <d v="2023-02-16T00:00:00"/>
    <x v="4"/>
    <x v="1"/>
    <s v="Овощи"/>
    <s v="Баклажаны"/>
    <n v="890"/>
    <n v="84"/>
    <x v="186"/>
  </r>
  <r>
    <d v="2023-02-16T00:00:00"/>
    <x v="1"/>
    <x v="1"/>
    <s v="Фрукты"/>
    <s v="Яблоки"/>
    <n v="1230"/>
    <n v="34"/>
    <x v="187"/>
  </r>
  <r>
    <d v="2023-02-16T00:00:00"/>
    <x v="4"/>
    <x v="1"/>
    <s v="Ягоды"/>
    <s v="Малина"/>
    <n v="2970"/>
    <n v="74"/>
    <x v="188"/>
  </r>
  <r>
    <d v="2023-02-16T00:00:00"/>
    <x v="2"/>
    <x v="5"/>
    <s v="Зелень"/>
    <s v="Кинза"/>
    <n v="650"/>
    <n v="42"/>
    <x v="189"/>
  </r>
  <r>
    <d v="2023-02-16T00:00:00"/>
    <x v="2"/>
    <x v="5"/>
    <s v="Овощи"/>
    <s v="Кабачки"/>
    <n v="325"/>
    <n v="81"/>
    <x v="190"/>
  </r>
  <r>
    <d v="2023-02-16T00:00:00"/>
    <x v="2"/>
    <x v="5"/>
    <s v="Фрукты"/>
    <s v="Бананы"/>
    <n v="2400"/>
    <n v="8"/>
    <x v="191"/>
  </r>
  <r>
    <d v="2023-02-16T00:00:00"/>
    <x v="4"/>
    <x v="5"/>
    <s v="Ягоды"/>
    <s v="Малина"/>
    <n v="2970"/>
    <n v="28"/>
    <x v="166"/>
  </r>
  <r>
    <d v="2023-02-16T00:00:00"/>
    <x v="0"/>
    <x v="5"/>
    <s v="Ягоды"/>
    <s v="Голубика"/>
    <n v="3205"/>
    <n v="53"/>
    <x v="192"/>
  </r>
  <r>
    <d v="2023-02-16T00:00:00"/>
    <x v="1"/>
    <x v="6"/>
    <s v="Фрукты"/>
    <s v="Бананы"/>
    <n v="2400"/>
    <n v="16"/>
    <x v="193"/>
  </r>
  <r>
    <d v="2023-02-16T00:00:00"/>
    <x v="4"/>
    <x v="6"/>
    <s v="Фрукты"/>
    <s v="Яблоки"/>
    <n v="1230"/>
    <n v="66"/>
    <x v="194"/>
  </r>
  <r>
    <d v="2023-02-16T00:00:00"/>
    <x v="0"/>
    <x v="6"/>
    <s v="Ягоды"/>
    <s v="Брусника"/>
    <n v="1670"/>
    <n v="72"/>
    <x v="195"/>
  </r>
  <r>
    <d v="2023-02-16T00:00:00"/>
    <x v="1"/>
    <x v="6"/>
    <s v="Ягоды"/>
    <s v="Малина"/>
    <n v="2970"/>
    <n v="81"/>
    <x v="196"/>
  </r>
  <r>
    <d v="2023-02-16T00:00:00"/>
    <x v="1"/>
    <x v="4"/>
    <s v="Овощи"/>
    <s v="Картофель"/>
    <n v="690"/>
    <n v="78"/>
    <x v="197"/>
  </r>
  <r>
    <s v="16.02.2023 Итог"/>
    <x v="3"/>
    <x v="2"/>
    <m/>
    <m/>
    <m/>
    <m/>
    <x v="198"/>
  </r>
  <r>
    <d v="2023-02-17T00:00:00"/>
    <x v="2"/>
    <x v="0"/>
    <s v="Зелень"/>
    <s v="Укроп"/>
    <n v="650"/>
    <n v="34"/>
    <x v="199"/>
  </r>
  <r>
    <d v="2023-02-17T00:00:00"/>
    <x v="2"/>
    <x v="0"/>
    <s v="Зелень"/>
    <s v="Салат римский"/>
    <n v="540"/>
    <n v="46"/>
    <x v="200"/>
  </r>
  <r>
    <d v="2023-02-17T00:00:00"/>
    <x v="0"/>
    <x v="0"/>
    <s v="Ягоды"/>
    <s v="Голубика"/>
    <n v="3205"/>
    <n v="38"/>
    <x v="201"/>
  </r>
  <r>
    <d v="2023-02-17T00:00:00"/>
    <x v="1"/>
    <x v="4"/>
    <s v="Зелень"/>
    <s v="Салат римский"/>
    <n v="540"/>
    <n v="32"/>
    <x v="202"/>
  </r>
  <r>
    <d v="2023-02-17T00:00:00"/>
    <x v="0"/>
    <x v="4"/>
    <s v="Ягоды"/>
    <s v="Черешня"/>
    <n v="1760"/>
    <n v="36"/>
    <x v="203"/>
  </r>
  <r>
    <d v="2023-02-17T00:00:00"/>
    <x v="4"/>
    <x v="4"/>
    <s v="Ягоды"/>
    <s v="Клубника"/>
    <n v="2460"/>
    <n v="95"/>
    <x v="204"/>
  </r>
  <r>
    <d v="2023-02-17T00:00:00"/>
    <x v="4"/>
    <x v="1"/>
    <s v="Зелень"/>
    <s v="Лук зеленый"/>
    <n v="705"/>
    <n v="57"/>
    <x v="205"/>
  </r>
  <r>
    <d v="2023-02-17T00:00:00"/>
    <x v="1"/>
    <x v="1"/>
    <s v="Фрукты"/>
    <s v="Сливы"/>
    <n v="930"/>
    <n v="36"/>
    <x v="206"/>
  </r>
  <r>
    <d v="2023-02-17T00:00:00"/>
    <x v="4"/>
    <x v="5"/>
    <s v="Фрукты"/>
    <s v="Апельсины"/>
    <n v="2540"/>
    <n v="55"/>
    <x v="207"/>
  </r>
  <r>
    <d v="2023-02-17T00:00:00"/>
    <x v="2"/>
    <x v="5"/>
    <s v="Фрукты"/>
    <s v="Апельсины"/>
    <n v="2540"/>
    <n v="7"/>
    <x v="208"/>
  </r>
  <r>
    <d v="2023-02-17T00:00:00"/>
    <x v="4"/>
    <x v="5"/>
    <s v="Ягоды"/>
    <s v="Смородина черная"/>
    <n v="1505"/>
    <n v="90"/>
    <x v="209"/>
  </r>
  <r>
    <d v="2023-02-17T00:00:00"/>
    <x v="4"/>
    <x v="6"/>
    <s v="Овощи"/>
    <s v="Картофель"/>
    <n v="690"/>
    <n v="96"/>
    <x v="210"/>
  </r>
  <r>
    <d v="2023-02-17T00:00:00"/>
    <x v="2"/>
    <x v="6"/>
    <s v="Овощи"/>
    <s v="Морковь"/>
    <n v="715"/>
    <n v="73"/>
    <x v="211"/>
  </r>
  <r>
    <d v="2023-02-17T00:00:00"/>
    <x v="0"/>
    <x v="6"/>
    <s v="Фрукты"/>
    <s v="Сливы"/>
    <n v="930"/>
    <n v="25"/>
    <x v="212"/>
  </r>
  <r>
    <d v="2023-02-17T00:00:00"/>
    <x v="2"/>
    <x v="4"/>
    <s v="Ягоды"/>
    <s v="Смородина черная"/>
    <n v="1505"/>
    <n v="25"/>
    <x v="213"/>
  </r>
  <r>
    <s v="17.02.2023 Итог"/>
    <x v="3"/>
    <x v="2"/>
    <m/>
    <m/>
    <m/>
    <m/>
    <x v="214"/>
  </r>
  <r>
    <d v="2023-02-18T00:00:00"/>
    <x v="1"/>
    <x v="3"/>
    <s v="Зелень"/>
    <s v="Салат айсберг"/>
    <n v="1380"/>
    <n v="29"/>
    <x v="215"/>
  </r>
  <r>
    <d v="2023-02-18T00:00:00"/>
    <x v="4"/>
    <x v="3"/>
    <s v="Фрукты"/>
    <s v="Груши"/>
    <n v="1420"/>
    <n v="84"/>
    <x v="216"/>
  </r>
  <r>
    <d v="2023-02-18T00:00:00"/>
    <x v="0"/>
    <x v="0"/>
    <s v="Зелень"/>
    <s v="Салат айсберг"/>
    <n v="1380"/>
    <n v="19"/>
    <x v="217"/>
  </r>
  <r>
    <d v="2023-02-18T00:00:00"/>
    <x v="4"/>
    <x v="0"/>
    <s v="Овощи"/>
    <s v="Баклажаны"/>
    <n v="890"/>
    <n v="65"/>
    <x v="218"/>
  </r>
  <r>
    <d v="2023-02-18T00:00:00"/>
    <x v="2"/>
    <x v="0"/>
    <s v="Фрукты"/>
    <s v="Груши"/>
    <n v="1420"/>
    <n v="55"/>
    <x v="219"/>
  </r>
  <r>
    <d v="2023-02-18T00:00:00"/>
    <x v="2"/>
    <x v="0"/>
    <s v="Ягоды"/>
    <s v="Голубика"/>
    <n v="3205"/>
    <n v="5"/>
    <x v="220"/>
  </r>
  <r>
    <d v="2023-02-18T00:00:00"/>
    <x v="1"/>
    <x v="4"/>
    <s v="Зелень"/>
    <s v="Кинза"/>
    <n v="650"/>
    <n v="29"/>
    <x v="46"/>
  </r>
  <r>
    <d v="2023-02-18T00:00:00"/>
    <x v="2"/>
    <x v="4"/>
    <s v="Зелень"/>
    <s v="Салат римский"/>
    <n v="540"/>
    <n v="79"/>
    <x v="62"/>
  </r>
  <r>
    <d v="2023-02-18T00:00:00"/>
    <x v="1"/>
    <x v="4"/>
    <s v="Зелень"/>
    <s v="Кинза"/>
    <n v="650"/>
    <n v="99"/>
    <x v="221"/>
  </r>
  <r>
    <d v="2023-02-18T00:00:00"/>
    <x v="1"/>
    <x v="4"/>
    <s v="Зелень"/>
    <s v="Петрушка"/>
    <n v="640"/>
    <n v="79"/>
    <x v="222"/>
  </r>
  <r>
    <d v="2023-02-18T00:00:00"/>
    <x v="2"/>
    <x v="4"/>
    <s v="Овощи"/>
    <s v="Морковь"/>
    <n v="715"/>
    <n v="16"/>
    <x v="223"/>
  </r>
  <r>
    <d v="2023-02-18T00:00:00"/>
    <x v="2"/>
    <x v="4"/>
    <s v="Фрукты"/>
    <s v="Сливы"/>
    <n v="930"/>
    <n v="46"/>
    <x v="224"/>
  </r>
  <r>
    <d v="2023-02-18T00:00:00"/>
    <x v="0"/>
    <x v="4"/>
    <s v="Ягоды"/>
    <s v="Брусника"/>
    <n v="1670"/>
    <n v="13"/>
    <x v="225"/>
  </r>
  <r>
    <d v="2023-02-18T00:00:00"/>
    <x v="1"/>
    <x v="1"/>
    <s v="Зелень"/>
    <s v="Кинза"/>
    <n v="650"/>
    <n v="90"/>
    <x v="226"/>
  </r>
  <r>
    <d v="2023-02-18T00:00:00"/>
    <x v="0"/>
    <x v="1"/>
    <s v="Зелень"/>
    <s v="Салат римский"/>
    <n v="540"/>
    <n v="55"/>
    <x v="227"/>
  </r>
  <r>
    <d v="2023-02-18T00:00:00"/>
    <x v="1"/>
    <x v="1"/>
    <s v="Овощи"/>
    <s v="Картофель"/>
    <n v="690"/>
    <n v="51"/>
    <x v="228"/>
  </r>
  <r>
    <d v="2023-02-18T00:00:00"/>
    <x v="2"/>
    <x v="1"/>
    <s v="Овощи"/>
    <s v="Кабачки"/>
    <n v="325"/>
    <n v="59"/>
    <x v="229"/>
  </r>
  <r>
    <d v="2023-02-18T00:00:00"/>
    <x v="2"/>
    <x v="5"/>
    <s v="Овощи"/>
    <s v="Свекла"/>
    <n v="450"/>
    <n v="47"/>
    <x v="230"/>
  </r>
  <r>
    <d v="2023-02-18T00:00:00"/>
    <x v="2"/>
    <x v="5"/>
    <s v="Ягоды"/>
    <s v="Голубика"/>
    <n v="3205"/>
    <n v="82"/>
    <x v="231"/>
  </r>
  <r>
    <d v="2023-02-18T00:00:00"/>
    <x v="0"/>
    <x v="6"/>
    <s v="Зелень"/>
    <s v="Петрушка"/>
    <n v="640"/>
    <n v="33"/>
    <x v="184"/>
  </r>
  <r>
    <d v="2023-02-18T00:00:00"/>
    <x v="1"/>
    <x v="6"/>
    <s v="Зелень"/>
    <s v="Салат айсберг"/>
    <n v="1380"/>
    <n v="34"/>
    <x v="180"/>
  </r>
  <r>
    <d v="2023-02-18T00:00:00"/>
    <x v="4"/>
    <x v="6"/>
    <s v="Фрукты"/>
    <s v="Сливы"/>
    <n v="930"/>
    <n v="46"/>
    <x v="224"/>
  </r>
  <r>
    <d v="2023-02-18T00:00:00"/>
    <x v="2"/>
    <x v="6"/>
    <s v="Фрукты"/>
    <s v="Груши"/>
    <n v="1420"/>
    <n v="75"/>
    <x v="232"/>
  </r>
  <r>
    <d v="2023-02-18T00:00:00"/>
    <x v="2"/>
    <x v="6"/>
    <s v="Фрукты"/>
    <s v="Абрикосы"/>
    <n v="1320"/>
    <n v="90"/>
    <x v="76"/>
  </r>
  <r>
    <d v="2023-02-18T00:00:00"/>
    <x v="1"/>
    <x v="6"/>
    <s v="Фрукты"/>
    <s v="Яблоки"/>
    <n v="1230"/>
    <n v="33"/>
    <x v="233"/>
  </r>
  <r>
    <d v="2023-02-18T00:00:00"/>
    <x v="0"/>
    <x v="6"/>
    <s v="Ягоды"/>
    <s v="Черешня"/>
    <n v="1760"/>
    <n v="80"/>
    <x v="234"/>
  </r>
  <r>
    <d v="2023-02-18T00:00:00"/>
    <x v="0"/>
    <x v="4"/>
    <s v="Ягоды"/>
    <s v="Смородина черная"/>
    <n v="1505"/>
    <n v="53"/>
    <x v="235"/>
  </r>
  <r>
    <s v="18.02.2023 Итог"/>
    <x v="3"/>
    <x v="2"/>
    <m/>
    <m/>
    <m/>
    <m/>
    <x v="236"/>
  </r>
  <r>
    <d v="2023-02-19T00:00:00"/>
    <x v="2"/>
    <x v="3"/>
    <s v="Зелень"/>
    <s v="Укроп"/>
    <n v="650"/>
    <n v="32"/>
    <x v="237"/>
  </r>
  <r>
    <d v="2023-02-19T00:00:00"/>
    <x v="4"/>
    <x v="0"/>
    <s v="Ягоды"/>
    <s v="Смородина черная"/>
    <n v="1505"/>
    <n v="55"/>
    <x v="238"/>
  </r>
  <r>
    <d v="2023-02-19T00:00:00"/>
    <x v="0"/>
    <x v="4"/>
    <s v="Овощи"/>
    <s v="Капуста"/>
    <n v="460"/>
    <n v="58"/>
    <x v="239"/>
  </r>
  <r>
    <d v="2023-02-19T00:00:00"/>
    <x v="0"/>
    <x v="1"/>
    <s v="Овощи"/>
    <s v="Морковь"/>
    <n v="715"/>
    <n v="79"/>
    <x v="240"/>
  </r>
  <r>
    <d v="2023-02-19T00:00:00"/>
    <x v="4"/>
    <x v="1"/>
    <s v="Овощи"/>
    <s v="Капуста"/>
    <n v="460"/>
    <n v="12"/>
    <x v="241"/>
  </r>
  <r>
    <d v="2023-02-19T00:00:00"/>
    <x v="1"/>
    <x v="1"/>
    <s v="Фрукты"/>
    <s v="Бананы"/>
    <n v="2400"/>
    <n v="12"/>
    <x v="242"/>
  </r>
  <r>
    <d v="2023-02-19T00:00:00"/>
    <x v="1"/>
    <x v="1"/>
    <s v="Ягоды"/>
    <s v="Малина"/>
    <n v="2970"/>
    <n v="56"/>
    <x v="243"/>
  </r>
  <r>
    <d v="2023-02-19T00:00:00"/>
    <x v="2"/>
    <x v="5"/>
    <s v="Овощи"/>
    <s v="Картофель"/>
    <n v="690"/>
    <n v="12"/>
    <x v="244"/>
  </r>
  <r>
    <d v="2023-02-19T00:00:00"/>
    <x v="4"/>
    <x v="5"/>
    <s v="Овощи"/>
    <s v="Свекла"/>
    <n v="450"/>
    <n v="36"/>
    <x v="245"/>
  </r>
  <r>
    <d v="2023-02-19T00:00:00"/>
    <x v="1"/>
    <x v="5"/>
    <s v="Ягоды"/>
    <s v="Малина"/>
    <n v="2970"/>
    <n v="53"/>
    <x v="246"/>
  </r>
  <r>
    <d v="2023-02-19T00:00:00"/>
    <x v="1"/>
    <x v="6"/>
    <s v="Зелень"/>
    <s v="Кинза"/>
    <n v="650"/>
    <n v="90"/>
    <x v="226"/>
  </r>
  <r>
    <d v="2023-02-19T00:00:00"/>
    <x v="4"/>
    <x v="6"/>
    <s v="Фрукты"/>
    <s v="Яблоки"/>
    <n v="1230"/>
    <n v="54"/>
    <x v="247"/>
  </r>
  <r>
    <d v="2023-02-19T00:00:00"/>
    <x v="4"/>
    <x v="0"/>
    <s v="Зелень"/>
    <s v="Лук зеленый"/>
    <n v="705"/>
    <n v="54"/>
    <x v="248"/>
  </r>
  <r>
    <d v="2023-02-19T00:00:00"/>
    <x v="0"/>
    <x v="4"/>
    <s v="Ягоды"/>
    <s v="Малина"/>
    <n v="2970"/>
    <n v="17"/>
    <x v="249"/>
  </r>
  <r>
    <s v="19.02.2023 Итог"/>
    <x v="3"/>
    <x v="2"/>
    <m/>
    <m/>
    <m/>
    <m/>
    <x v="250"/>
  </r>
  <r>
    <d v="2023-02-20T00:00:00"/>
    <x v="0"/>
    <x v="3"/>
    <s v="Зелень"/>
    <s v="Лук зеленый"/>
    <n v="705"/>
    <n v="89"/>
    <x v="251"/>
  </r>
  <r>
    <d v="2023-02-20T00:00:00"/>
    <x v="2"/>
    <x v="3"/>
    <s v="Фрукты"/>
    <s v="Груши"/>
    <n v="1420"/>
    <n v="81"/>
    <x v="252"/>
  </r>
  <r>
    <d v="2023-02-20T00:00:00"/>
    <x v="4"/>
    <x v="3"/>
    <s v="Фрукты"/>
    <s v="Абрикосы"/>
    <n v="1320"/>
    <n v="5"/>
    <x v="182"/>
  </r>
  <r>
    <d v="2023-02-20T00:00:00"/>
    <x v="0"/>
    <x v="0"/>
    <s v="Зелень"/>
    <s v="Салат римский"/>
    <n v="540"/>
    <n v="46"/>
    <x v="200"/>
  </r>
  <r>
    <d v="2023-02-20T00:00:00"/>
    <x v="4"/>
    <x v="0"/>
    <s v="Овощи"/>
    <s v="Капуста"/>
    <n v="460"/>
    <n v="48"/>
    <x v="253"/>
  </r>
  <r>
    <d v="2023-02-20T00:00:00"/>
    <x v="0"/>
    <x v="0"/>
    <s v="Фрукты"/>
    <s v="Яблоки"/>
    <n v="1230"/>
    <n v="16"/>
    <x v="254"/>
  </r>
  <r>
    <d v="2023-02-20T00:00:00"/>
    <x v="4"/>
    <x v="0"/>
    <s v="Ягоды"/>
    <s v="Голубика"/>
    <n v="3205"/>
    <n v="30"/>
    <x v="255"/>
  </r>
  <r>
    <d v="2023-02-20T00:00:00"/>
    <x v="0"/>
    <x v="4"/>
    <s v="Овощи"/>
    <s v="Картофель"/>
    <n v="690"/>
    <n v="49"/>
    <x v="256"/>
  </r>
  <r>
    <d v="2023-02-20T00:00:00"/>
    <x v="2"/>
    <x v="4"/>
    <s v="Фрукты"/>
    <s v="Бананы"/>
    <n v="2400"/>
    <n v="11"/>
    <x v="257"/>
  </r>
  <r>
    <d v="2023-02-20T00:00:00"/>
    <x v="1"/>
    <x v="4"/>
    <s v="Ягоды"/>
    <s v="Малина"/>
    <n v="2970"/>
    <n v="70"/>
    <x v="258"/>
  </r>
  <r>
    <d v="2023-02-20T00:00:00"/>
    <x v="2"/>
    <x v="1"/>
    <s v="Ягоды"/>
    <s v="Голубика"/>
    <n v="3205"/>
    <n v="97"/>
    <x v="259"/>
  </r>
  <r>
    <d v="2023-02-20T00:00:00"/>
    <x v="4"/>
    <x v="5"/>
    <s v="Зелень"/>
    <s v="Лук зеленый"/>
    <n v="705"/>
    <n v="90"/>
    <x v="85"/>
  </r>
  <r>
    <d v="2023-02-20T00:00:00"/>
    <x v="1"/>
    <x v="5"/>
    <s v="Овощи"/>
    <s v="Кабачки"/>
    <n v="325"/>
    <n v="37"/>
    <x v="260"/>
  </r>
  <r>
    <d v="2023-02-20T00:00:00"/>
    <x v="2"/>
    <x v="5"/>
    <s v="Ягоды"/>
    <s v="Смородина черная"/>
    <n v="1505"/>
    <n v="43"/>
    <x v="261"/>
  </r>
  <r>
    <d v="2023-02-20T00:00:00"/>
    <x v="2"/>
    <x v="6"/>
    <s v="Фрукты"/>
    <s v="Сливы"/>
    <n v="930"/>
    <n v="55"/>
    <x v="262"/>
  </r>
  <r>
    <d v="2023-02-20T00:00:00"/>
    <x v="1"/>
    <x v="6"/>
    <s v="Фрукты"/>
    <s v="Апельсины"/>
    <n v="2540"/>
    <n v="82"/>
    <x v="263"/>
  </r>
  <r>
    <d v="2023-02-20T00:00:00"/>
    <x v="2"/>
    <x v="6"/>
    <s v="Ягоды"/>
    <s v="Брусника"/>
    <n v="1670"/>
    <n v="8"/>
    <x v="264"/>
  </r>
  <r>
    <d v="2023-02-20T00:00:00"/>
    <x v="4"/>
    <x v="3"/>
    <s v="Ягоды"/>
    <s v="Брусника"/>
    <n v="1670"/>
    <n v="37"/>
    <x v="265"/>
  </r>
  <r>
    <d v="2023-02-20T00:00:00"/>
    <x v="1"/>
    <x v="0"/>
    <s v="Овощи"/>
    <s v="Кабачки"/>
    <n v="325"/>
    <n v="89"/>
    <x v="266"/>
  </r>
  <r>
    <d v="2023-02-20T00:00:00"/>
    <x v="2"/>
    <x v="1"/>
    <s v="Зелень"/>
    <s v="Кинза"/>
    <n v="650"/>
    <n v="68"/>
    <x v="267"/>
  </r>
  <r>
    <s v="20.02.2023 Итог"/>
    <x v="3"/>
    <x v="2"/>
    <m/>
    <m/>
    <m/>
    <m/>
    <x v="268"/>
  </r>
  <r>
    <d v="2023-02-21T00:00:00"/>
    <x v="4"/>
    <x v="3"/>
    <s v="Зелень"/>
    <s v="Салат римский"/>
    <n v="540"/>
    <n v="80"/>
    <x v="20"/>
  </r>
  <r>
    <d v="2023-02-21T00:00:00"/>
    <x v="2"/>
    <x v="3"/>
    <s v="Овощи"/>
    <s v="Свекла"/>
    <n v="450"/>
    <n v="54"/>
    <x v="269"/>
  </r>
  <r>
    <d v="2023-02-21T00:00:00"/>
    <x v="2"/>
    <x v="0"/>
    <s v="Зелень"/>
    <s v="Салат айсберг"/>
    <n v="1380"/>
    <n v="37"/>
    <x v="270"/>
  </r>
  <r>
    <d v="2023-02-21T00:00:00"/>
    <x v="2"/>
    <x v="0"/>
    <s v="Овощи"/>
    <s v="Морковь"/>
    <n v="715"/>
    <n v="5"/>
    <x v="271"/>
  </r>
  <r>
    <d v="2023-02-21T00:00:00"/>
    <x v="1"/>
    <x v="0"/>
    <s v="Ягоды"/>
    <s v="Клубника"/>
    <n v="2460"/>
    <n v="36"/>
    <x v="272"/>
  </r>
  <r>
    <d v="2023-02-21T00:00:00"/>
    <x v="0"/>
    <x v="0"/>
    <s v="Ягоды"/>
    <s v="Голубика"/>
    <n v="3205"/>
    <n v="15"/>
    <x v="273"/>
  </r>
  <r>
    <d v="2023-02-21T00:00:00"/>
    <x v="0"/>
    <x v="4"/>
    <s v="Овощи"/>
    <s v="Баклажаны"/>
    <n v="890"/>
    <n v="16"/>
    <x v="274"/>
  </r>
  <r>
    <d v="2023-02-21T00:00:00"/>
    <x v="4"/>
    <x v="4"/>
    <s v="Овощи"/>
    <s v="Капуста"/>
    <n v="460"/>
    <n v="39"/>
    <x v="275"/>
  </r>
  <r>
    <d v="2023-02-21T00:00:00"/>
    <x v="0"/>
    <x v="5"/>
    <s v="Овощи"/>
    <s v="Баклажаны"/>
    <n v="890"/>
    <n v="84"/>
    <x v="186"/>
  </r>
  <r>
    <d v="2023-02-21T00:00:00"/>
    <x v="1"/>
    <x v="5"/>
    <s v="Фрукты"/>
    <s v="Груши"/>
    <n v="1420"/>
    <n v="37"/>
    <x v="276"/>
  </r>
  <r>
    <d v="2023-02-21T00:00:00"/>
    <x v="0"/>
    <x v="6"/>
    <s v="Зелень"/>
    <s v="Петрушка"/>
    <n v="640"/>
    <n v="19"/>
    <x v="277"/>
  </r>
  <r>
    <d v="2023-02-21T00:00:00"/>
    <x v="2"/>
    <x v="6"/>
    <s v="Овощи"/>
    <s v="Капуста"/>
    <n v="460"/>
    <n v="7"/>
    <x v="278"/>
  </r>
  <r>
    <d v="2023-02-21T00:00:00"/>
    <x v="1"/>
    <x v="6"/>
    <s v="Фрукты"/>
    <s v="Сливы"/>
    <n v="930"/>
    <n v="6"/>
    <x v="279"/>
  </r>
  <r>
    <d v="2023-02-21T00:00:00"/>
    <x v="4"/>
    <x v="6"/>
    <s v="Фрукты"/>
    <s v="Абрикосы"/>
    <n v="1320"/>
    <n v="48"/>
    <x v="203"/>
  </r>
  <r>
    <d v="2023-02-21T00:00:00"/>
    <x v="4"/>
    <x v="6"/>
    <s v="Фрукты"/>
    <s v="Сливы"/>
    <n v="930"/>
    <n v="38"/>
    <x v="280"/>
  </r>
  <r>
    <d v="2023-02-21T00:00:00"/>
    <x v="4"/>
    <x v="6"/>
    <s v="Ягоды"/>
    <s v="Клубника"/>
    <n v="2460"/>
    <n v="34"/>
    <x v="281"/>
  </r>
  <r>
    <d v="2023-02-21T00:00:00"/>
    <x v="1"/>
    <x v="3"/>
    <s v="Ягоды"/>
    <s v="Клубника"/>
    <n v="2460"/>
    <n v="11"/>
    <x v="131"/>
  </r>
  <r>
    <d v="2023-02-21T00:00:00"/>
    <x v="0"/>
    <x v="1"/>
    <s v="Зелень"/>
    <s v="Салат римский"/>
    <n v="540"/>
    <n v="97"/>
    <x v="282"/>
  </r>
  <r>
    <s v="21.02.2023 Итог"/>
    <x v="3"/>
    <x v="2"/>
    <m/>
    <m/>
    <m/>
    <m/>
    <x v="283"/>
  </r>
  <r>
    <d v="2023-02-22T00:00:00"/>
    <x v="2"/>
    <x v="3"/>
    <s v="Зелень"/>
    <s v="Салат айсберг"/>
    <n v="1380"/>
    <n v="12"/>
    <x v="160"/>
  </r>
  <r>
    <d v="2023-02-22T00:00:00"/>
    <x v="4"/>
    <x v="3"/>
    <s v="Зелень"/>
    <s v="Салат айсберг"/>
    <n v="1380"/>
    <n v="39"/>
    <x v="197"/>
  </r>
  <r>
    <d v="2023-02-22T00:00:00"/>
    <x v="1"/>
    <x v="0"/>
    <s v="Овощи"/>
    <s v="Картофель"/>
    <n v="690"/>
    <n v="26"/>
    <x v="275"/>
  </r>
  <r>
    <d v="2023-02-22T00:00:00"/>
    <x v="4"/>
    <x v="0"/>
    <s v="Ягоды"/>
    <s v="Клубника"/>
    <n v="2460"/>
    <n v="50"/>
    <x v="284"/>
  </r>
  <r>
    <d v="2023-02-22T00:00:00"/>
    <x v="4"/>
    <x v="4"/>
    <s v="Зелень"/>
    <s v="Лук зеленый"/>
    <n v="705"/>
    <n v="79"/>
    <x v="285"/>
  </r>
  <r>
    <d v="2023-02-22T00:00:00"/>
    <x v="1"/>
    <x v="4"/>
    <s v="Зелень"/>
    <s v="Салат римский"/>
    <n v="540"/>
    <n v="21"/>
    <x v="286"/>
  </r>
  <r>
    <d v="2023-02-22T00:00:00"/>
    <x v="1"/>
    <x v="4"/>
    <s v="Овощи"/>
    <s v="Баклажаны"/>
    <n v="890"/>
    <n v="27"/>
    <x v="287"/>
  </r>
  <r>
    <d v="2023-02-22T00:00:00"/>
    <x v="0"/>
    <x v="4"/>
    <s v="Фрукты"/>
    <s v="Сливы"/>
    <n v="930"/>
    <n v="79"/>
    <x v="288"/>
  </r>
  <r>
    <d v="2023-02-22T00:00:00"/>
    <x v="0"/>
    <x v="4"/>
    <s v="Фрукты"/>
    <s v="Абрикосы"/>
    <n v="1320"/>
    <n v="97"/>
    <x v="289"/>
  </r>
  <r>
    <d v="2023-02-22T00:00:00"/>
    <x v="0"/>
    <x v="4"/>
    <s v="Ягоды"/>
    <s v="Брусника"/>
    <n v="1670"/>
    <n v="93"/>
    <x v="290"/>
  </r>
  <r>
    <d v="2023-02-22T00:00:00"/>
    <x v="4"/>
    <x v="1"/>
    <s v="Овощи"/>
    <s v="Кабачки"/>
    <n v="325"/>
    <n v="43"/>
    <x v="291"/>
  </r>
  <r>
    <d v="2023-02-22T00:00:00"/>
    <x v="4"/>
    <x v="1"/>
    <s v="Фрукты"/>
    <s v="Апельсины"/>
    <n v="2540"/>
    <n v="65"/>
    <x v="292"/>
  </r>
  <r>
    <d v="2023-02-22T00:00:00"/>
    <x v="2"/>
    <x v="1"/>
    <s v="Ягоды"/>
    <s v="Брусника"/>
    <n v="1670"/>
    <n v="99"/>
    <x v="293"/>
  </r>
  <r>
    <d v="2023-02-22T00:00:00"/>
    <x v="2"/>
    <x v="5"/>
    <s v="Зелень"/>
    <s v="Петрушка"/>
    <n v="640"/>
    <n v="20"/>
    <x v="294"/>
  </r>
  <r>
    <d v="2023-02-22T00:00:00"/>
    <x v="1"/>
    <x v="5"/>
    <s v="Ягоды"/>
    <s v="Клубника"/>
    <n v="2460"/>
    <n v="51"/>
    <x v="295"/>
  </r>
  <r>
    <d v="2023-02-22T00:00:00"/>
    <x v="4"/>
    <x v="5"/>
    <s v="Ягоды"/>
    <s v="Малина"/>
    <n v="2970"/>
    <n v="48"/>
    <x v="296"/>
  </r>
  <r>
    <d v="2023-02-22T00:00:00"/>
    <x v="0"/>
    <x v="6"/>
    <s v="Зелень"/>
    <s v="Петрушка"/>
    <n v="640"/>
    <n v="77"/>
    <x v="297"/>
  </r>
  <r>
    <d v="2023-02-22T00:00:00"/>
    <x v="4"/>
    <x v="6"/>
    <s v="Овощи"/>
    <s v="Морковь"/>
    <n v="715"/>
    <n v="91"/>
    <x v="298"/>
  </r>
  <r>
    <d v="2023-02-22T00:00:00"/>
    <x v="4"/>
    <x v="6"/>
    <s v="Ягоды"/>
    <s v="Голубика"/>
    <n v="3205"/>
    <n v="85"/>
    <x v="299"/>
  </r>
  <r>
    <d v="2023-02-22T00:00:00"/>
    <x v="1"/>
    <x v="1"/>
    <s v="Фрукты"/>
    <s v="Апельсины"/>
    <n v="2540"/>
    <n v="37"/>
    <x v="300"/>
  </r>
  <r>
    <s v="22.02.2023 Итог"/>
    <x v="3"/>
    <x v="2"/>
    <m/>
    <m/>
    <m/>
    <m/>
    <x v="301"/>
  </r>
  <r>
    <d v="2023-02-23T00:00:00"/>
    <x v="4"/>
    <x v="3"/>
    <s v="Зелень"/>
    <s v="Кинза"/>
    <n v="650"/>
    <n v="25"/>
    <x v="45"/>
  </r>
  <r>
    <d v="2023-02-23T00:00:00"/>
    <x v="1"/>
    <x v="3"/>
    <s v="Фрукты"/>
    <s v="Сливы"/>
    <n v="930"/>
    <n v="39"/>
    <x v="302"/>
  </r>
  <r>
    <d v="2023-02-23T00:00:00"/>
    <x v="0"/>
    <x v="0"/>
    <s v="Зелень"/>
    <s v="Петрушка"/>
    <n v="640"/>
    <n v="11"/>
    <x v="303"/>
  </r>
  <r>
    <d v="2023-02-23T00:00:00"/>
    <x v="4"/>
    <x v="0"/>
    <s v="Фрукты"/>
    <s v="Апельсины"/>
    <n v="2540"/>
    <n v="99"/>
    <x v="304"/>
  </r>
  <r>
    <d v="2023-02-23T00:00:00"/>
    <x v="1"/>
    <x v="0"/>
    <s v="Фрукты"/>
    <s v="Груши"/>
    <n v="1420"/>
    <n v="79"/>
    <x v="305"/>
  </r>
  <r>
    <d v="2023-02-23T00:00:00"/>
    <x v="4"/>
    <x v="4"/>
    <s v="Овощи"/>
    <s v="Кабачки"/>
    <n v="325"/>
    <n v="62"/>
    <x v="306"/>
  </r>
  <r>
    <d v="2023-02-23T00:00:00"/>
    <x v="2"/>
    <x v="4"/>
    <s v="Фрукты"/>
    <s v="Абрикосы"/>
    <n v="1320"/>
    <n v="96"/>
    <x v="107"/>
  </r>
  <r>
    <d v="2023-02-23T00:00:00"/>
    <x v="4"/>
    <x v="1"/>
    <s v="Зелень"/>
    <s v="Салат айсберг"/>
    <n v="1380"/>
    <n v="76"/>
    <x v="307"/>
  </r>
  <r>
    <d v="2023-02-23T00:00:00"/>
    <x v="4"/>
    <x v="1"/>
    <s v="Овощи"/>
    <s v="Капуста"/>
    <n v="460"/>
    <n v="22"/>
    <x v="308"/>
  </r>
  <r>
    <d v="2023-02-23T00:00:00"/>
    <x v="1"/>
    <x v="1"/>
    <s v="Фрукты"/>
    <s v="Груши"/>
    <n v="1420"/>
    <n v="11"/>
    <x v="309"/>
  </r>
  <r>
    <d v="2023-02-23T00:00:00"/>
    <x v="1"/>
    <x v="1"/>
    <s v="Фрукты"/>
    <s v="Груши"/>
    <n v="1420"/>
    <n v="10"/>
    <x v="310"/>
  </r>
  <r>
    <d v="2023-02-23T00:00:00"/>
    <x v="1"/>
    <x v="1"/>
    <s v="Ягоды"/>
    <s v="Голубика"/>
    <n v="3205"/>
    <n v="22"/>
    <x v="311"/>
  </r>
  <r>
    <d v="2023-02-23T00:00:00"/>
    <x v="2"/>
    <x v="5"/>
    <s v="Зелень"/>
    <s v="Укроп"/>
    <n v="650"/>
    <n v="100"/>
    <x v="2"/>
  </r>
  <r>
    <d v="2023-02-23T00:00:00"/>
    <x v="2"/>
    <x v="5"/>
    <s v="Фрукты"/>
    <s v="Абрикосы"/>
    <n v="1320"/>
    <n v="97"/>
    <x v="289"/>
  </r>
  <r>
    <d v="2023-02-23T00:00:00"/>
    <x v="0"/>
    <x v="5"/>
    <s v="Фрукты"/>
    <s v="Бананы"/>
    <n v="2400"/>
    <n v="67"/>
    <x v="59"/>
  </r>
  <r>
    <d v="2023-02-23T00:00:00"/>
    <x v="4"/>
    <x v="5"/>
    <s v="Ягоды"/>
    <s v="Малина"/>
    <n v="2970"/>
    <n v="60"/>
    <x v="312"/>
  </r>
  <r>
    <d v="2023-02-23T00:00:00"/>
    <x v="2"/>
    <x v="6"/>
    <s v="Зелень"/>
    <s v="Петрушка"/>
    <n v="640"/>
    <n v="31"/>
    <x v="313"/>
  </r>
  <r>
    <d v="2023-02-23T00:00:00"/>
    <x v="0"/>
    <x v="3"/>
    <s v="Фрукты"/>
    <s v="Апельсины"/>
    <n v="2540"/>
    <n v="88"/>
    <x v="314"/>
  </r>
  <r>
    <d v="2023-02-23T00:00:00"/>
    <x v="4"/>
    <x v="1"/>
    <s v="Ягоды"/>
    <s v="Малина"/>
    <n v="2970"/>
    <n v="29"/>
    <x v="315"/>
  </r>
  <r>
    <s v="23.02.2023 Итог"/>
    <x v="3"/>
    <x v="2"/>
    <m/>
    <m/>
    <m/>
    <m/>
    <x v="316"/>
  </r>
  <r>
    <d v="2023-02-24T00:00:00"/>
    <x v="1"/>
    <x v="3"/>
    <s v="Зелень"/>
    <s v="Кинза"/>
    <n v="650"/>
    <n v="69"/>
    <x v="317"/>
  </r>
  <r>
    <d v="2023-02-24T00:00:00"/>
    <x v="0"/>
    <x v="3"/>
    <s v="Зелень"/>
    <s v="Лук зеленый"/>
    <n v="705"/>
    <n v="67"/>
    <x v="318"/>
  </r>
  <r>
    <d v="2023-02-24T00:00:00"/>
    <x v="2"/>
    <x v="3"/>
    <s v="Овощи"/>
    <s v="Морковь"/>
    <n v="715"/>
    <n v="56"/>
    <x v="319"/>
  </r>
  <r>
    <d v="2023-02-24T00:00:00"/>
    <x v="1"/>
    <x v="3"/>
    <s v="Ягоды"/>
    <s v="Голубика"/>
    <n v="3205"/>
    <n v="21"/>
    <x v="320"/>
  </r>
  <r>
    <d v="2023-02-24T00:00:00"/>
    <x v="0"/>
    <x v="0"/>
    <s v="Зелень"/>
    <s v="Салат айсберг"/>
    <n v="1380"/>
    <n v="42"/>
    <x v="69"/>
  </r>
  <r>
    <d v="2023-02-24T00:00:00"/>
    <x v="2"/>
    <x v="0"/>
    <s v="Овощи"/>
    <s v="Свекла"/>
    <n v="450"/>
    <n v="97"/>
    <x v="321"/>
  </r>
  <r>
    <d v="2023-02-24T00:00:00"/>
    <x v="4"/>
    <x v="0"/>
    <s v="Фрукты"/>
    <s v="Апельсины"/>
    <n v="2540"/>
    <n v="91"/>
    <x v="322"/>
  </r>
  <r>
    <d v="2023-02-24T00:00:00"/>
    <x v="0"/>
    <x v="4"/>
    <s v="Овощи"/>
    <s v="Картофель"/>
    <n v="690"/>
    <n v="9"/>
    <x v="24"/>
  </r>
  <r>
    <d v="2023-02-24T00:00:00"/>
    <x v="0"/>
    <x v="4"/>
    <s v="Ягоды"/>
    <s v="Клубника"/>
    <n v="2460"/>
    <n v="75"/>
    <x v="323"/>
  </r>
  <r>
    <d v="2023-02-24T00:00:00"/>
    <x v="4"/>
    <x v="1"/>
    <s v="Овощи"/>
    <s v="Баклажаны"/>
    <n v="890"/>
    <n v="18"/>
    <x v="324"/>
  </r>
  <r>
    <d v="2023-02-24T00:00:00"/>
    <x v="2"/>
    <x v="6"/>
    <s v="Овощи"/>
    <s v="Свекла"/>
    <n v="450"/>
    <n v="37"/>
    <x v="325"/>
  </r>
  <r>
    <d v="2023-02-24T00:00:00"/>
    <x v="4"/>
    <x v="6"/>
    <s v="Фрукты"/>
    <s v="Яблоки"/>
    <n v="1230"/>
    <n v="99"/>
    <x v="326"/>
  </r>
  <r>
    <d v="2023-02-24T00:00:00"/>
    <x v="4"/>
    <x v="5"/>
    <s v="Зелень"/>
    <s v="Кинза"/>
    <n v="650"/>
    <n v="21"/>
    <x v="327"/>
  </r>
  <r>
    <s v="24.02.2023 Итог"/>
    <x v="3"/>
    <x v="2"/>
    <m/>
    <m/>
    <m/>
    <m/>
    <x v="328"/>
  </r>
  <r>
    <d v="2023-02-25T00:00:00"/>
    <x v="1"/>
    <x v="3"/>
    <s v="Зелень"/>
    <s v="Салат айсберг"/>
    <n v="1380"/>
    <n v="63"/>
    <x v="329"/>
  </r>
  <r>
    <d v="2023-02-25T00:00:00"/>
    <x v="1"/>
    <x v="3"/>
    <s v="Зелень"/>
    <s v="Кинза"/>
    <n v="650"/>
    <n v="21"/>
    <x v="327"/>
  </r>
  <r>
    <d v="2023-02-25T00:00:00"/>
    <x v="0"/>
    <x v="3"/>
    <s v="Фрукты"/>
    <s v="Бананы"/>
    <n v="2400"/>
    <n v="70"/>
    <x v="330"/>
  </r>
  <r>
    <d v="2023-02-25T00:00:00"/>
    <x v="0"/>
    <x v="3"/>
    <s v="Фрукты"/>
    <s v="Апельсины"/>
    <n v="2540"/>
    <n v="89"/>
    <x v="331"/>
  </r>
  <r>
    <d v="2023-02-25T00:00:00"/>
    <x v="1"/>
    <x v="3"/>
    <s v="Ягоды"/>
    <s v="Смородина черная"/>
    <n v="1505"/>
    <n v="53"/>
    <x v="235"/>
  </r>
  <r>
    <d v="2023-02-25T00:00:00"/>
    <x v="0"/>
    <x v="0"/>
    <s v="Зелень"/>
    <s v="Лук зеленый"/>
    <n v="705"/>
    <n v="49"/>
    <x v="332"/>
  </r>
  <r>
    <d v="2023-02-25T00:00:00"/>
    <x v="1"/>
    <x v="4"/>
    <s v="Зелень"/>
    <s v="Салат римский"/>
    <n v="540"/>
    <n v="27"/>
    <x v="333"/>
  </r>
  <r>
    <d v="2023-02-25T00:00:00"/>
    <x v="4"/>
    <x v="4"/>
    <s v="Фрукты"/>
    <s v="Сливы"/>
    <n v="930"/>
    <n v="46"/>
    <x v="224"/>
  </r>
  <r>
    <d v="2023-02-25T00:00:00"/>
    <x v="1"/>
    <x v="4"/>
    <s v="Ягоды"/>
    <s v="Смородина черная"/>
    <n v="1505"/>
    <n v="39"/>
    <x v="334"/>
  </r>
  <r>
    <d v="2023-02-25T00:00:00"/>
    <x v="1"/>
    <x v="1"/>
    <s v="Овощи"/>
    <s v="Кабачки"/>
    <n v="325"/>
    <n v="98"/>
    <x v="163"/>
  </r>
  <r>
    <d v="2023-02-25T00:00:00"/>
    <x v="0"/>
    <x v="1"/>
    <s v="Ягоды"/>
    <s v="Малина"/>
    <n v="2970"/>
    <n v="82"/>
    <x v="335"/>
  </r>
  <r>
    <d v="2023-02-25T00:00:00"/>
    <x v="0"/>
    <x v="1"/>
    <s v="Ягоды"/>
    <s v="Черешня"/>
    <n v="1760"/>
    <n v="51"/>
    <x v="336"/>
  </r>
  <r>
    <d v="2023-02-25T00:00:00"/>
    <x v="4"/>
    <x v="5"/>
    <s v="Овощи"/>
    <s v="Кабачки"/>
    <n v="325"/>
    <n v="48"/>
    <x v="337"/>
  </r>
  <r>
    <d v="2023-02-25T00:00:00"/>
    <x v="2"/>
    <x v="6"/>
    <s v="Зелень"/>
    <s v="Салат айсберг"/>
    <n v="1380"/>
    <n v="84"/>
    <x v="338"/>
  </r>
  <r>
    <d v="2023-02-25T00:00:00"/>
    <x v="1"/>
    <x v="6"/>
    <s v="Ягоды"/>
    <s v="Брусника"/>
    <n v="1670"/>
    <n v="67"/>
    <x v="339"/>
  </r>
  <r>
    <d v="2023-02-25T00:00:00"/>
    <x v="1"/>
    <x v="6"/>
    <s v="Ягоды"/>
    <s v="Голубика"/>
    <n v="3205"/>
    <n v="38"/>
    <x v="201"/>
  </r>
  <r>
    <d v="2023-02-25T00:00:00"/>
    <x v="1"/>
    <x v="5"/>
    <s v="Ягоды"/>
    <s v="Голубика"/>
    <n v="3205"/>
    <n v="27"/>
    <x v="340"/>
  </r>
  <r>
    <s v="25.02.2023 Итог"/>
    <x v="3"/>
    <x v="2"/>
    <m/>
    <m/>
    <m/>
    <m/>
    <x v="341"/>
  </r>
  <r>
    <d v="2023-02-26T00:00:00"/>
    <x v="1"/>
    <x v="3"/>
    <s v="Овощи"/>
    <s v="Кабачки"/>
    <n v="325"/>
    <n v="12"/>
    <x v="342"/>
  </r>
  <r>
    <d v="2023-02-26T00:00:00"/>
    <x v="1"/>
    <x v="3"/>
    <s v="Ягоды"/>
    <s v="Голубика"/>
    <n v="3205"/>
    <n v="69"/>
    <x v="343"/>
  </r>
  <r>
    <d v="2023-02-26T00:00:00"/>
    <x v="0"/>
    <x v="4"/>
    <s v="Фрукты"/>
    <s v="Абрикосы"/>
    <n v="1320"/>
    <n v="60"/>
    <x v="30"/>
  </r>
  <r>
    <d v="2023-02-26T00:00:00"/>
    <x v="4"/>
    <x v="4"/>
    <s v="Ягоды"/>
    <s v="Малина"/>
    <n v="2970"/>
    <n v="76"/>
    <x v="344"/>
  </r>
  <r>
    <d v="2023-02-26T00:00:00"/>
    <x v="0"/>
    <x v="1"/>
    <s v="Овощи"/>
    <s v="Капуста"/>
    <n v="460"/>
    <n v="24"/>
    <x v="51"/>
  </r>
  <r>
    <d v="2023-02-26T00:00:00"/>
    <x v="0"/>
    <x v="1"/>
    <s v="Фрукты"/>
    <s v="Сливы"/>
    <n v="930"/>
    <n v="92"/>
    <x v="345"/>
  </r>
  <r>
    <d v="2023-02-26T00:00:00"/>
    <x v="2"/>
    <x v="1"/>
    <s v="Ягоды"/>
    <s v="Черешня"/>
    <n v="1760"/>
    <n v="88"/>
    <x v="346"/>
  </r>
  <r>
    <d v="2023-02-26T00:00:00"/>
    <x v="4"/>
    <x v="5"/>
    <s v="Фрукты"/>
    <s v="Груши"/>
    <n v="1420"/>
    <n v="63"/>
    <x v="347"/>
  </r>
  <r>
    <d v="2023-02-26T00:00:00"/>
    <x v="2"/>
    <x v="5"/>
    <s v="Ягоды"/>
    <s v="Малина"/>
    <n v="2970"/>
    <n v="79"/>
    <x v="348"/>
  </r>
  <r>
    <d v="2023-02-26T00:00:00"/>
    <x v="1"/>
    <x v="6"/>
    <s v="Зелень"/>
    <s v="Петрушка"/>
    <n v="640"/>
    <n v="57"/>
    <x v="349"/>
  </r>
  <r>
    <d v="2023-02-26T00:00:00"/>
    <x v="0"/>
    <x v="6"/>
    <s v="Овощи"/>
    <s v="Морковь"/>
    <n v="715"/>
    <n v="32"/>
    <x v="350"/>
  </r>
  <r>
    <d v="2023-02-26T00:00:00"/>
    <x v="0"/>
    <x v="6"/>
    <s v="Фрукты"/>
    <s v="Абрикосы"/>
    <n v="1320"/>
    <n v="43"/>
    <x v="351"/>
  </r>
  <r>
    <d v="2023-02-26T00:00:00"/>
    <x v="2"/>
    <x v="6"/>
    <s v="Фрукты"/>
    <s v="Груши"/>
    <n v="1420"/>
    <n v="54"/>
    <x v="88"/>
  </r>
  <r>
    <d v="2023-02-26T00:00:00"/>
    <x v="2"/>
    <x v="3"/>
    <s v="Фрукты"/>
    <s v="Груши"/>
    <n v="1420"/>
    <n v="31"/>
    <x v="352"/>
  </r>
  <r>
    <d v="2023-02-26T00:00:00"/>
    <x v="1"/>
    <x v="0"/>
    <s v="Овощи"/>
    <s v="Морковь"/>
    <n v="715"/>
    <n v="60"/>
    <x v="353"/>
  </r>
  <r>
    <d v="2023-02-26T00:00:00"/>
    <x v="0"/>
    <x v="5"/>
    <s v="Ягоды"/>
    <s v="Малина"/>
    <n v="2970"/>
    <n v="37"/>
    <x v="354"/>
  </r>
  <r>
    <s v="26.02.2023 Итог"/>
    <x v="3"/>
    <x v="2"/>
    <m/>
    <m/>
    <m/>
    <m/>
    <x v="355"/>
  </r>
  <r>
    <d v="2023-02-27T00:00:00"/>
    <x v="4"/>
    <x v="3"/>
    <s v="Овощи"/>
    <s v="Капуста"/>
    <n v="460"/>
    <n v="90"/>
    <x v="356"/>
  </r>
  <r>
    <d v="2023-02-27T00:00:00"/>
    <x v="0"/>
    <x v="0"/>
    <s v="Овощи"/>
    <s v="Кабачки"/>
    <n v="325"/>
    <n v="49"/>
    <x v="357"/>
  </r>
  <r>
    <d v="2023-02-27T00:00:00"/>
    <x v="0"/>
    <x v="0"/>
    <s v="Фрукты"/>
    <s v="Апельсины"/>
    <n v="2540"/>
    <n v="29"/>
    <x v="358"/>
  </r>
  <r>
    <d v="2023-02-27T00:00:00"/>
    <x v="4"/>
    <x v="4"/>
    <s v="Зелень"/>
    <s v="Укроп"/>
    <n v="650"/>
    <n v="75"/>
    <x v="359"/>
  </r>
  <r>
    <d v="2023-02-27T00:00:00"/>
    <x v="4"/>
    <x v="4"/>
    <s v="Зелень"/>
    <s v="Укроп"/>
    <n v="650"/>
    <n v="33"/>
    <x v="360"/>
  </r>
  <r>
    <d v="2023-02-27T00:00:00"/>
    <x v="0"/>
    <x v="4"/>
    <s v="Зелень"/>
    <s v="Салат айсберг"/>
    <n v="1380"/>
    <n v="6"/>
    <x v="244"/>
  </r>
  <r>
    <d v="2023-02-27T00:00:00"/>
    <x v="4"/>
    <x v="4"/>
    <s v="Овощи"/>
    <s v="Капуста"/>
    <n v="460"/>
    <n v="41"/>
    <x v="361"/>
  </r>
  <r>
    <d v="2023-02-27T00:00:00"/>
    <x v="4"/>
    <x v="4"/>
    <s v="Ягоды"/>
    <s v="Черешня"/>
    <n v="1760"/>
    <n v="50"/>
    <x v="362"/>
  </r>
  <r>
    <d v="2023-02-27T00:00:00"/>
    <x v="4"/>
    <x v="4"/>
    <s v="Ягоды"/>
    <s v="Черешня"/>
    <n v="1760"/>
    <n v="41"/>
    <x v="363"/>
  </r>
  <r>
    <d v="2023-02-27T00:00:00"/>
    <x v="4"/>
    <x v="1"/>
    <s v="Зелень"/>
    <s v="Салат римский"/>
    <n v="540"/>
    <n v="48"/>
    <x v="364"/>
  </r>
  <r>
    <d v="2023-02-27T00:00:00"/>
    <x v="0"/>
    <x v="1"/>
    <s v="Овощи"/>
    <s v="Кабачки"/>
    <n v="325"/>
    <n v="12"/>
    <x v="342"/>
  </r>
  <r>
    <d v="2023-02-27T00:00:00"/>
    <x v="1"/>
    <x v="5"/>
    <s v="Овощи"/>
    <s v="Свекла"/>
    <n v="450"/>
    <n v="69"/>
    <x v="17"/>
  </r>
  <r>
    <d v="2023-02-27T00:00:00"/>
    <x v="0"/>
    <x v="5"/>
    <s v="Овощи"/>
    <s v="Баклажаны"/>
    <n v="890"/>
    <n v="36"/>
    <x v="365"/>
  </r>
  <r>
    <d v="2023-02-27T00:00:00"/>
    <x v="0"/>
    <x v="6"/>
    <s v="Фрукты"/>
    <s v="Груши"/>
    <n v="1420"/>
    <n v="95"/>
    <x v="366"/>
  </r>
  <r>
    <d v="2023-02-27T00:00:00"/>
    <x v="0"/>
    <x v="5"/>
    <s v="Ягоды"/>
    <s v="Малина"/>
    <n v="2970"/>
    <n v="55"/>
    <x v="123"/>
  </r>
  <r>
    <s v="27.02.2023 Итог"/>
    <x v="3"/>
    <x v="2"/>
    <m/>
    <m/>
    <m/>
    <m/>
    <x v="367"/>
  </r>
  <r>
    <d v="2023-02-28T00:00:00"/>
    <x v="0"/>
    <x v="3"/>
    <s v="Овощи"/>
    <s v="Кабачки"/>
    <n v="325"/>
    <n v="41"/>
    <x v="368"/>
  </r>
  <r>
    <d v="2023-02-28T00:00:00"/>
    <x v="0"/>
    <x v="3"/>
    <s v="Фрукты"/>
    <s v="Яблоки"/>
    <n v="1230"/>
    <n v="40"/>
    <x v="369"/>
  </r>
  <r>
    <d v="2023-02-28T00:00:00"/>
    <x v="2"/>
    <x v="0"/>
    <s v="Зелень"/>
    <s v="Лук зеленый"/>
    <n v="705"/>
    <n v="23"/>
    <x v="370"/>
  </r>
  <r>
    <d v="2023-02-28T00:00:00"/>
    <x v="4"/>
    <x v="0"/>
    <s v="Зелень"/>
    <s v="Салат римский"/>
    <n v="540"/>
    <n v="46"/>
    <x v="200"/>
  </r>
  <r>
    <d v="2023-02-28T00:00:00"/>
    <x v="4"/>
    <x v="0"/>
    <s v="Овощи"/>
    <s v="Капуста"/>
    <n v="460"/>
    <n v="21"/>
    <x v="75"/>
  </r>
  <r>
    <d v="2023-02-28T00:00:00"/>
    <x v="2"/>
    <x v="0"/>
    <s v="Ягоды"/>
    <s v="Голубика"/>
    <n v="3205"/>
    <n v="46"/>
    <x v="371"/>
  </r>
  <r>
    <d v="2023-02-28T00:00:00"/>
    <x v="2"/>
    <x v="4"/>
    <s v="Фрукты"/>
    <s v="Сливы"/>
    <n v="930"/>
    <n v="40"/>
    <x v="372"/>
  </r>
  <r>
    <d v="2023-02-28T00:00:00"/>
    <x v="2"/>
    <x v="4"/>
    <s v="Фрукты"/>
    <s v="Яблоки"/>
    <n v="1230"/>
    <n v="81"/>
    <x v="373"/>
  </r>
  <r>
    <d v="2023-02-28T00:00:00"/>
    <x v="4"/>
    <x v="4"/>
    <s v="Ягоды"/>
    <s v="Смородина черная"/>
    <n v="1505"/>
    <n v="31"/>
    <x v="374"/>
  </r>
  <r>
    <d v="2023-02-28T00:00:00"/>
    <x v="4"/>
    <x v="1"/>
    <s v="Зелень"/>
    <s v="Укроп"/>
    <n v="650"/>
    <n v="13"/>
    <x v="375"/>
  </r>
  <r>
    <d v="2023-02-28T00:00:00"/>
    <x v="1"/>
    <x v="1"/>
    <s v="Овощи"/>
    <s v="Кабачки"/>
    <n v="325"/>
    <n v="80"/>
    <x v="376"/>
  </r>
  <r>
    <d v="2023-02-28T00:00:00"/>
    <x v="4"/>
    <x v="1"/>
    <s v="Ягоды"/>
    <s v="Черешня"/>
    <n v="1760"/>
    <n v="46"/>
    <x v="377"/>
  </r>
  <r>
    <d v="2023-02-28T00:00:00"/>
    <x v="0"/>
    <x v="5"/>
    <s v="Фрукты"/>
    <s v="Сливы"/>
    <n v="930"/>
    <n v="18"/>
    <x v="378"/>
  </r>
  <r>
    <d v="2023-02-28T00:00:00"/>
    <x v="0"/>
    <x v="5"/>
    <s v="Ягоды"/>
    <s v="Брусника"/>
    <n v="1670"/>
    <n v="97"/>
    <x v="122"/>
  </r>
  <r>
    <d v="2023-02-28T00:00:00"/>
    <x v="1"/>
    <x v="5"/>
    <s v="Ягоды"/>
    <s v="Малина"/>
    <n v="2970"/>
    <n v="9"/>
    <x v="379"/>
  </r>
  <r>
    <d v="2023-02-28T00:00:00"/>
    <x v="4"/>
    <x v="5"/>
    <s v="Ягоды"/>
    <s v="Клубника"/>
    <n v="2460"/>
    <n v="78"/>
    <x v="380"/>
  </r>
  <r>
    <d v="2023-02-28T00:00:00"/>
    <x v="2"/>
    <x v="6"/>
    <s v="Фрукты"/>
    <s v="Сливы"/>
    <n v="930"/>
    <n v="100"/>
    <x v="381"/>
  </r>
  <r>
    <d v="2023-02-28T00:00:00"/>
    <x v="0"/>
    <x v="6"/>
    <s v="Зелень"/>
    <s v="Салат римский"/>
    <n v="540"/>
    <n v="98"/>
    <x v="136"/>
  </r>
  <r>
    <d v="2023-02-28T00:00:00"/>
    <x v="0"/>
    <x v="6"/>
    <s v="Зелень"/>
    <s v="Лук зеленый"/>
    <n v="705"/>
    <n v="19"/>
    <x v="382"/>
  </r>
  <r>
    <d v="2023-02-28T00:00:00"/>
    <x v="0"/>
    <x v="6"/>
    <s v="Овощи"/>
    <s v="Картофель"/>
    <n v="690"/>
    <n v="27"/>
    <x v="383"/>
  </r>
  <r>
    <d v="2023-02-28T00:00:00"/>
    <x v="2"/>
    <x v="6"/>
    <s v="Фрукты"/>
    <s v="Груши"/>
    <n v="1420"/>
    <n v="74"/>
    <x v="384"/>
  </r>
  <r>
    <d v="2023-02-28T00:00:00"/>
    <x v="2"/>
    <x v="6"/>
    <s v="Фрукты"/>
    <s v="Яблоки"/>
    <n v="1230"/>
    <n v="25"/>
    <x v="385"/>
  </r>
  <r>
    <d v="2023-02-28T00:00:00"/>
    <x v="1"/>
    <x v="6"/>
    <s v="Ягоды"/>
    <s v="Черешня"/>
    <n v="1760"/>
    <n v="99"/>
    <x v="386"/>
  </r>
  <r>
    <d v="2023-02-28T00:00:00"/>
    <x v="1"/>
    <x v="6"/>
    <s v="Ягоды"/>
    <s v="Голубика"/>
    <n v="3205"/>
    <n v="53"/>
    <x v="192"/>
  </r>
  <r>
    <d v="2023-02-28T00:00:00"/>
    <x v="2"/>
    <x v="3"/>
    <s v="Овощи"/>
    <s v="Свекла"/>
    <n v="450"/>
    <n v="48"/>
    <x v="387"/>
  </r>
  <r>
    <d v="2023-02-28T00:00:00"/>
    <x v="4"/>
    <x v="3"/>
    <s v="Фрукты"/>
    <s v="Апельсины"/>
    <n v="2540"/>
    <n v="96"/>
    <x v="388"/>
  </r>
  <r>
    <s v="28.02.2023 Итог"/>
    <x v="3"/>
    <x v="2"/>
    <m/>
    <m/>
    <m/>
    <m/>
    <x v="389"/>
  </r>
  <r>
    <d v="2023-03-01T00:00:00"/>
    <x v="1"/>
    <x v="3"/>
    <s v="Зелень"/>
    <s v="Салат айсберг"/>
    <n v="1380"/>
    <n v="61"/>
    <x v="390"/>
  </r>
  <r>
    <d v="2023-03-01T00:00:00"/>
    <x v="0"/>
    <x v="0"/>
    <s v="Зелень"/>
    <s v="Укроп"/>
    <n v="650"/>
    <n v="97"/>
    <x v="391"/>
  </r>
  <r>
    <d v="2023-03-01T00:00:00"/>
    <x v="0"/>
    <x v="0"/>
    <s v="Овощи"/>
    <s v="Кабачки"/>
    <n v="325"/>
    <n v="100"/>
    <x v="392"/>
  </r>
  <r>
    <d v="2023-03-01T00:00:00"/>
    <x v="1"/>
    <x v="0"/>
    <s v="Овощи"/>
    <s v="Картофель"/>
    <n v="690"/>
    <n v="68"/>
    <x v="180"/>
  </r>
  <r>
    <d v="2023-03-01T00:00:00"/>
    <x v="1"/>
    <x v="0"/>
    <s v="Овощи"/>
    <s v="Свекла"/>
    <n v="450"/>
    <n v="79"/>
    <x v="393"/>
  </r>
  <r>
    <d v="2023-03-01T00:00:00"/>
    <x v="1"/>
    <x v="0"/>
    <s v="Ягоды"/>
    <s v="Брусника"/>
    <n v="1670"/>
    <n v="96"/>
    <x v="394"/>
  </r>
  <r>
    <d v="2023-03-01T00:00:00"/>
    <x v="0"/>
    <x v="4"/>
    <s v="Зелень"/>
    <s v="Кинза"/>
    <n v="650"/>
    <n v="64"/>
    <x v="15"/>
  </r>
  <r>
    <d v="2023-03-01T00:00:00"/>
    <x v="1"/>
    <x v="4"/>
    <s v="Овощи"/>
    <s v="Морковь"/>
    <n v="715"/>
    <n v="51"/>
    <x v="395"/>
  </r>
  <r>
    <d v="2023-03-01T00:00:00"/>
    <x v="2"/>
    <x v="4"/>
    <s v="Ягоды"/>
    <s v="Брусника"/>
    <n v="1670"/>
    <n v="77"/>
    <x v="396"/>
  </r>
  <r>
    <d v="2023-03-01T00:00:00"/>
    <x v="2"/>
    <x v="1"/>
    <s v="Овощи"/>
    <s v="Баклажаны"/>
    <n v="890"/>
    <n v="22"/>
    <x v="397"/>
  </r>
  <r>
    <d v="2023-03-01T00:00:00"/>
    <x v="0"/>
    <x v="1"/>
    <s v="Овощи"/>
    <s v="Морковь"/>
    <n v="715"/>
    <n v="8"/>
    <x v="398"/>
  </r>
  <r>
    <d v="2023-03-01T00:00:00"/>
    <x v="2"/>
    <x v="1"/>
    <s v="Овощи"/>
    <s v="Свекла"/>
    <n v="450"/>
    <n v="12"/>
    <x v="148"/>
  </r>
  <r>
    <d v="2023-03-01T00:00:00"/>
    <x v="4"/>
    <x v="1"/>
    <s v="Ягоды"/>
    <s v="Черешня"/>
    <n v="1760"/>
    <n v="49"/>
    <x v="399"/>
  </r>
  <r>
    <d v="2023-03-01T00:00:00"/>
    <x v="4"/>
    <x v="1"/>
    <s v="Ягоды"/>
    <s v="Черешня"/>
    <n v="1760"/>
    <n v="99"/>
    <x v="386"/>
  </r>
  <r>
    <d v="2023-03-01T00:00:00"/>
    <x v="1"/>
    <x v="1"/>
    <s v="Ягоды"/>
    <s v="Смородина черная"/>
    <n v="1505"/>
    <n v="96"/>
    <x v="400"/>
  </r>
  <r>
    <d v="2023-03-01T00:00:00"/>
    <x v="4"/>
    <x v="5"/>
    <s v="Зелень"/>
    <s v="Петрушка"/>
    <n v="640"/>
    <n v="25"/>
    <x v="401"/>
  </r>
  <r>
    <d v="2023-03-01T00:00:00"/>
    <x v="0"/>
    <x v="5"/>
    <s v="Овощи"/>
    <s v="Свекла"/>
    <n v="450"/>
    <n v="12"/>
    <x v="148"/>
  </r>
  <r>
    <d v="2023-03-01T00:00:00"/>
    <x v="1"/>
    <x v="5"/>
    <s v="Овощи"/>
    <s v="Капуста"/>
    <n v="460"/>
    <n v="89"/>
    <x v="402"/>
  </r>
  <r>
    <d v="2023-03-01T00:00:00"/>
    <x v="2"/>
    <x v="5"/>
    <s v="Фрукты"/>
    <s v="Абрикосы"/>
    <n v="1320"/>
    <n v="11"/>
    <x v="84"/>
  </r>
  <r>
    <d v="2023-03-01T00:00:00"/>
    <x v="4"/>
    <x v="6"/>
    <s v="Зелень"/>
    <s v="Салат айсберг"/>
    <n v="1380"/>
    <n v="31"/>
    <x v="224"/>
  </r>
  <r>
    <d v="2023-03-01T00:00:00"/>
    <x v="2"/>
    <x v="6"/>
    <s v="Зелень"/>
    <s v="Салат айсберг"/>
    <n v="1380"/>
    <n v="92"/>
    <x v="403"/>
  </r>
  <r>
    <s v="01.03.2023 Итог"/>
    <x v="3"/>
    <x v="2"/>
    <m/>
    <m/>
    <m/>
    <m/>
    <x v="404"/>
  </r>
  <r>
    <d v="2023-03-02T00:00:00"/>
    <x v="0"/>
    <x v="3"/>
    <s v="Зелень"/>
    <s v="Салат римский"/>
    <n v="540"/>
    <n v="21"/>
    <x v="286"/>
  </r>
  <r>
    <d v="2023-03-02T00:00:00"/>
    <x v="0"/>
    <x v="3"/>
    <s v="Зелень"/>
    <s v="Салат айсберг"/>
    <n v="1380"/>
    <n v="70"/>
    <x v="405"/>
  </r>
  <r>
    <d v="2023-03-02T00:00:00"/>
    <x v="4"/>
    <x v="3"/>
    <s v="Овощи"/>
    <s v="Морковь"/>
    <n v="715"/>
    <n v="48"/>
    <x v="406"/>
  </r>
  <r>
    <d v="2023-03-02T00:00:00"/>
    <x v="0"/>
    <x v="0"/>
    <s v="Зелень"/>
    <s v="Кинза"/>
    <n v="650"/>
    <n v="49"/>
    <x v="163"/>
  </r>
  <r>
    <d v="2023-03-02T00:00:00"/>
    <x v="2"/>
    <x v="0"/>
    <s v="Овощи"/>
    <s v="Баклажаны"/>
    <n v="890"/>
    <n v="5"/>
    <x v="407"/>
  </r>
  <r>
    <d v="2023-03-02T00:00:00"/>
    <x v="2"/>
    <x v="0"/>
    <s v="Овощи"/>
    <s v="Капуста"/>
    <n v="460"/>
    <n v="71"/>
    <x v="408"/>
  </r>
  <r>
    <d v="2023-03-02T00:00:00"/>
    <x v="2"/>
    <x v="0"/>
    <s v="Овощи"/>
    <s v="Морковь"/>
    <n v="715"/>
    <n v="59"/>
    <x v="409"/>
  </r>
  <r>
    <d v="2023-03-02T00:00:00"/>
    <x v="2"/>
    <x v="0"/>
    <s v="Фрукты"/>
    <s v="Бананы"/>
    <n v="2400"/>
    <n v="57"/>
    <x v="410"/>
  </r>
  <r>
    <d v="2023-03-02T00:00:00"/>
    <x v="2"/>
    <x v="0"/>
    <s v="Фрукты"/>
    <s v="Груши"/>
    <n v="1420"/>
    <n v="53"/>
    <x v="411"/>
  </r>
  <r>
    <d v="2023-03-02T00:00:00"/>
    <x v="2"/>
    <x v="1"/>
    <s v="Зелень"/>
    <s v="Салат римский"/>
    <n v="540"/>
    <n v="5"/>
    <x v="412"/>
  </r>
  <r>
    <d v="2023-03-02T00:00:00"/>
    <x v="2"/>
    <x v="1"/>
    <s v="Фрукты"/>
    <s v="Абрикосы"/>
    <n v="1320"/>
    <n v="36"/>
    <x v="413"/>
  </r>
  <r>
    <d v="2023-03-02T00:00:00"/>
    <x v="4"/>
    <x v="1"/>
    <s v="Ягоды"/>
    <s v="Малина"/>
    <n v="2970"/>
    <n v="15"/>
    <x v="414"/>
  </r>
  <r>
    <d v="2023-03-02T00:00:00"/>
    <x v="0"/>
    <x v="5"/>
    <s v="Зелень"/>
    <s v="Петрушка"/>
    <n v="640"/>
    <n v="57"/>
    <x v="349"/>
  </r>
  <r>
    <d v="2023-03-02T00:00:00"/>
    <x v="1"/>
    <x v="5"/>
    <s v="Овощи"/>
    <s v="Кабачки"/>
    <n v="325"/>
    <n v="21"/>
    <x v="25"/>
  </r>
  <r>
    <d v="2023-03-02T00:00:00"/>
    <x v="1"/>
    <x v="5"/>
    <s v="Ягоды"/>
    <s v="Брусника"/>
    <n v="1670"/>
    <n v="70"/>
    <x v="102"/>
  </r>
  <r>
    <d v="2023-03-02T00:00:00"/>
    <x v="2"/>
    <x v="5"/>
    <s v="Ягоды"/>
    <s v="Клубника"/>
    <n v="2460"/>
    <n v="45"/>
    <x v="415"/>
  </r>
  <r>
    <d v="2023-03-02T00:00:00"/>
    <x v="4"/>
    <x v="6"/>
    <s v="Зелень"/>
    <s v="Лук зеленый"/>
    <n v="705"/>
    <n v="51"/>
    <x v="416"/>
  </r>
  <r>
    <d v="2023-03-02T00:00:00"/>
    <x v="2"/>
    <x v="6"/>
    <s v="Зелень"/>
    <s v="Лук зеленый"/>
    <n v="705"/>
    <n v="59"/>
    <x v="417"/>
  </r>
  <r>
    <d v="2023-03-02T00:00:00"/>
    <x v="4"/>
    <x v="6"/>
    <s v="Овощи"/>
    <s v="Свекла"/>
    <n v="450"/>
    <n v="55"/>
    <x v="418"/>
  </r>
  <r>
    <d v="2023-03-02T00:00:00"/>
    <x v="0"/>
    <x v="6"/>
    <s v="Фрукты"/>
    <s v="Апельсины"/>
    <n v="2540"/>
    <n v="93"/>
    <x v="419"/>
  </r>
  <r>
    <s v="02.03.2023 Итог"/>
    <x v="3"/>
    <x v="2"/>
    <m/>
    <m/>
    <m/>
    <m/>
    <x v="420"/>
  </r>
  <r>
    <d v="2023-03-03T00:00:00"/>
    <x v="1"/>
    <x v="3"/>
    <s v="Зелень"/>
    <s v="Кинза"/>
    <n v="650"/>
    <n v="34"/>
    <x v="199"/>
  </r>
  <r>
    <d v="2023-03-03T00:00:00"/>
    <x v="1"/>
    <x v="3"/>
    <s v="Овощи"/>
    <s v="Свекла"/>
    <n v="450"/>
    <n v="15"/>
    <x v="421"/>
  </r>
  <r>
    <d v="2023-03-03T00:00:00"/>
    <x v="0"/>
    <x v="3"/>
    <s v="Овощи"/>
    <s v="Картофель"/>
    <n v="690"/>
    <n v="69"/>
    <x v="422"/>
  </r>
  <r>
    <d v="2023-03-03T00:00:00"/>
    <x v="2"/>
    <x v="3"/>
    <s v="Овощи"/>
    <s v="Свекла"/>
    <n v="450"/>
    <n v="44"/>
    <x v="4"/>
  </r>
  <r>
    <d v="2023-03-03T00:00:00"/>
    <x v="4"/>
    <x v="3"/>
    <s v="Фрукты"/>
    <s v="Бананы"/>
    <n v="2400"/>
    <n v="26"/>
    <x v="423"/>
  </r>
  <r>
    <d v="2023-03-03T00:00:00"/>
    <x v="4"/>
    <x v="3"/>
    <s v="Ягоды"/>
    <s v="Клубника"/>
    <n v="2460"/>
    <n v="32"/>
    <x v="424"/>
  </r>
  <r>
    <d v="2023-03-03T00:00:00"/>
    <x v="0"/>
    <x v="0"/>
    <s v="Овощи"/>
    <s v="Свекла"/>
    <n v="450"/>
    <n v="88"/>
    <x v="425"/>
  </r>
  <r>
    <d v="2023-03-03T00:00:00"/>
    <x v="1"/>
    <x v="0"/>
    <s v="Овощи"/>
    <s v="Кабачки"/>
    <n v="325"/>
    <n v="21"/>
    <x v="25"/>
  </r>
  <r>
    <d v="2023-03-03T00:00:00"/>
    <x v="4"/>
    <x v="0"/>
    <s v="Овощи"/>
    <s v="Баклажаны"/>
    <n v="890"/>
    <n v="32"/>
    <x v="426"/>
  </r>
  <r>
    <d v="2023-03-03T00:00:00"/>
    <x v="0"/>
    <x v="0"/>
    <s v="Ягоды"/>
    <s v="Голубика"/>
    <n v="3205"/>
    <n v="8"/>
    <x v="427"/>
  </r>
  <r>
    <d v="2023-03-03T00:00:00"/>
    <x v="0"/>
    <x v="0"/>
    <s v="Ягоды"/>
    <s v="Клубника"/>
    <n v="2460"/>
    <n v="77"/>
    <x v="428"/>
  </r>
  <r>
    <d v="2023-03-03T00:00:00"/>
    <x v="4"/>
    <x v="0"/>
    <s v="Ягоды"/>
    <s v="Черешня"/>
    <n v="1760"/>
    <n v="32"/>
    <x v="429"/>
  </r>
  <r>
    <d v="2023-03-03T00:00:00"/>
    <x v="4"/>
    <x v="4"/>
    <s v="Зелень"/>
    <s v="Салат айсберг"/>
    <n v="1380"/>
    <n v="70"/>
    <x v="405"/>
  </r>
  <r>
    <d v="2023-03-03T00:00:00"/>
    <x v="0"/>
    <x v="4"/>
    <s v="Зелень"/>
    <s v="Петрушка"/>
    <n v="640"/>
    <n v="74"/>
    <x v="430"/>
  </r>
  <r>
    <d v="2023-03-03T00:00:00"/>
    <x v="1"/>
    <x v="1"/>
    <s v="Зелень"/>
    <s v="Салат римский"/>
    <n v="540"/>
    <n v="16"/>
    <x v="431"/>
  </r>
  <r>
    <d v="2023-03-03T00:00:00"/>
    <x v="2"/>
    <x v="1"/>
    <s v="Ягоды"/>
    <s v="Черешня"/>
    <n v="1760"/>
    <n v="48"/>
    <x v="432"/>
  </r>
  <r>
    <d v="2023-03-03T00:00:00"/>
    <x v="4"/>
    <x v="5"/>
    <s v="Зелень"/>
    <s v="Салат римский"/>
    <n v="540"/>
    <n v="86"/>
    <x v="433"/>
  </r>
  <r>
    <d v="2023-03-03T00:00:00"/>
    <x v="4"/>
    <x v="5"/>
    <s v="Фрукты"/>
    <s v="Груши"/>
    <n v="1420"/>
    <n v="27"/>
    <x v="434"/>
  </r>
  <r>
    <d v="2023-03-03T00:00:00"/>
    <x v="0"/>
    <x v="5"/>
    <s v="Фрукты"/>
    <s v="Яблоки"/>
    <n v="1230"/>
    <n v="64"/>
    <x v="424"/>
  </r>
  <r>
    <d v="2023-03-03T00:00:00"/>
    <x v="1"/>
    <x v="5"/>
    <s v="Фрукты"/>
    <s v="Бананы"/>
    <n v="2400"/>
    <n v="90"/>
    <x v="435"/>
  </r>
  <r>
    <d v="2023-03-03T00:00:00"/>
    <x v="2"/>
    <x v="6"/>
    <s v="Овощи"/>
    <s v="Свекла"/>
    <n v="450"/>
    <n v="12"/>
    <x v="148"/>
  </r>
  <r>
    <d v="2023-03-03T00:00:00"/>
    <x v="4"/>
    <x v="6"/>
    <s v="Ягоды"/>
    <s v="Смородина черная"/>
    <n v="1505"/>
    <n v="25"/>
    <x v="213"/>
  </r>
  <r>
    <d v="2023-03-03T00:00:00"/>
    <x v="2"/>
    <x v="6"/>
    <s v="Ягоды"/>
    <s v="Малина"/>
    <n v="2970"/>
    <n v="62"/>
    <x v="436"/>
  </r>
  <r>
    <s v="03.03.2023 Итог"/>
    <x v="3"/>
    <x v="2"/>
    <m/>
    <m/>
    <m/>
    <m/>
    <x v="437"/>
  </r>
  <r>
    <d v="2023-03-04T00:00:00"/>
    <x v="1"/>
    <x v="3"/>
    <s v="Зелень"/>
    <s v="Петрушка"/>
    <n v="640"/>
    <n v="57"/>
    <x v="349"/>
  </r>
  <r>
    <d v="2023-03-04T00:00:00"/>
    <x v="1"/>
    <x v="3"/>
    <s v="Зелень"/>
    <s v="Салат римский"/>
    <n v="540"/>
    <n v="6"/>
    <x v="438"/>
  </r>
  <r>
    <d v="2023-03-04T00:00:00"/>
    <x v="4"/>
    <x v="3"/>
    <s v="Ягоды"/>
    <s v="Брусника"/>
    <n v="1670"/>
    <n v="65"/>
    <x v="439"/>
  </r>
  <r>
    <d v="2023-03-04T00:00:00"/>
    <x v="2"/>
    <x v="3"/>
    <s v="Ягоды"/>
    <s v="Малина"/>
    <n v="2970"/>
    <n v="38"/>
    <x v="440"/>
  </r>
  <r>
    <d v="2023-03-04T00:00:00"/>
    <x v="2"/>
    <x v="0"/>
    <s v="Зелень"/>
    <s v="Салат айсберг"/>
    <n v="1380"/>
    <n v="24"/>
    <x v="441"/>
  </r>
  <r>
    <d v="2023-03-04T00:00:00"/>
    <x v="2"/>
    <x v="0"/>
    <s v="Зелень"/>
    <s v="Укроп"/>
    <n v="650"/>
    <n v="83"/>
    <x v="442"/>
  </r>
  <r>
    <d v="2023-03-04T00:00:00"/>
    <x v="2"/>
    <x v="0"/>
    <s v="Фрукты"/>
    <s v="Груши"/>
    <n v="1420"/>
    <n v="68"/>
    <x v="443"/>
  </r>
  <r>
    <d v="2023-03-04T00:00:00"/>
    <x v="4"/>
    <x v="0"/>
    <s v="Фрукты"/>
    <s v="Груши"/>
    <n v="1420"/>
    <n v="88"/>
    <x v="444"/>
  </r>
  <r>
    <d v="2023-03-04T00:00:00"/>
    <x v="4"/>
    <x v="4"/>
    <s v="Овощи"/>
    <s v="Баклажаны"/>
    <n v="890"/>
    <n v="10"/>
    <x v="445"/>
  </r>
  <r>
    <d v="2023-03-04T00:00:00"/>
    <x v="1"/>
    <x v="4"/>
    <s v="Фрукты"/>
    <s v="Груши"/>
    <n v="1420"/>
    <n v="59"/>
    <x v="446"/>
  </r>
  <r>
    <d v="2023-03-04T00:00:00"/>
    <x v="4"/>
    <x v="5"/>
    <s v="Зелень"/>
    <s v="Укроп"/>
    <n v="650"/>
    <n v="48"/>
    <x v="447"/>
  </r>
  <r>
    <d v="2023-03-04T00:00:00"/>
    <x v="4"/>
    <x v="5"/>
    <s v="Фрукты"/>
    <s v="Груши"/>
    <n v="1420"/>
    <n v="73"/>
    <x v="448"/>
  </r>
  <r>
    <d v="2023-03-04T00:00:00"/>
    <x v="0"/>
    <x v="5"/>
    <s v="Фрукты"/>
    <s v="Груши"/>
    <n v="1420"/>
    <n v="75"/>
    <x v="232"/>
  </r>
  <r>
    <d v="2023-03-04T00:00:00"/>
    <x v="2"/>
    <x v="6"/>
    <s v="Зелень"/>
    <s v="Салат римский"/>
    <n v="540"/>
    <n v="59"/>
    <x v="449"/>
  </r>
  <r>
    <d v="2023-03-04T00:00:00"/>
    <x v="2"/>
    <x v="6"/>
    <s v="Овощи"/>
    <s v="Капуста"/>
    <n v="460"/>
    <n v="51"/>
    <x v="450"/>
  </r>
  <r>
    <d v="2023-03-04T00:00:00"/>
    <x v="2"/>
    <x v="6"/>
    <s v="Фрукты"/>
    <s v="Абрикосы"/>
    <n v="1320"/>
    <n v="33"/>
    <x v="451"/>
  </r>
  <r>
    <d v="2023-03-04T00:00:00"/>
    <x v="0"/>
    <x v="6"/>
    <s v="Ягоды"/>
    <s v="Малина"/>
    <n v="2970"/>
    <n v="50"/>
    <x v="452"/>
  </r>
  <r>
    <d v="2023-03-04T00:00:00"/>
    <x v="2"/>
    <x v="6"/>
    <s v="Ягоды"/>
    <s v="Клубника"/>
    <n v="2460"/>
    <n v="63"/>
    <x v="453"/>
  </r>
  <r>
    <s v="04.03.2023 Итог"/>
    <x v="3"/>
    <x v="2"/>
    <m/>
    <m/>
    <m/>
    <m/>
    <x v="454"/>
  </r>
  <r>
    <d v="2023-03-05T00:00:00"/>
    <x v="2"/>
    <x v="3"/>
    <s v="Зелень"/>
    <s v="Салат айсберг"/>
    <n v="1380"/>
    <n v="35"/>
    <x v="455"/>
  </r>
  <r>
    <d v="2023-03-05T00:00:00"/>
    <x v="4"/>
    <x v="3"/>
    <s v="Фрукты"/>
    <s v="Яблоки"/>
    <n v="1230"/>
    <n v="88"/>
    <x v="456"/>
  </r>
  <r>
    <d v="2023-03-05T00:00:00"/>
    <x v="1"/>
    <x v="3"/>
    <s v="Фрукты"/>
    <s v="Сливы"/>
    <n v="930"/>
    <n v="64"/>
    <x v="457"/>
  </r>
  <r>
    <d v="2023-03-05T00:00:00"/>
    <x v="1"/>
    <x v="0"/>
    <s v="Овощи"/>
    <s v="Свекла"/>
    <n v="450"/>
    <n v="51"/>
    <x v="458"/>
  </r>
  <r>
    <d v="2023-03-05T00:00:00"/>
    <x v="0"/>
    <x v="0"/>
    <s v="Овощи"/>
    <s v="Баклажаны"/>
    <n v="890"/>
    <n v="8"/>
    <x v="459"/>
  </r>
  <r>
    <d v="2023-03-05T00:00:00"/>
    <x v="1"/>
    <x v="4"/>
    <s v="Зелень"/>
    <s v="Петрушка"/>
    <n v="640"/>
    <n v="17"/>
    <x v="460"/>
  </r>
  <r>
    <d v="2023-03-05T00:00:00"/>
    <x v="0"/>
    <x v="4"/>
    <s v="Овощи"/>
    <s v="Баклажаны"/>
    <n v="890"/>
    <n v="16"/>
    <x v="274"/>
  </r>
  <r>
    <d v="2023-03-05T00:00:00"/>
    <x v="2"/>
    <x v="1"/>
    <s v="Зелень"/>
    <s v="Салат римский"/>
    <n v="540"/>
    <n v="98"/>
    <x v="136"/>
  </r>
  <r>
    <d v="2023-03-05T00:00:00"/>
    <x v="2"/>
    <x v="1"/>
    <s v="Зелень"/>
    <s v="Салат айсберг"/>
    <n v="1380"/>
    <n v="35"/>
    <x v="455"/>
  </r>
  <r>
    <d v="2023-03-05T00:00:00"/>
    <x v="2"/>
    <x v="5"/>
    <s v="Зелень"/>
    <s v="Кинза"/>
    <n v="650"/>
    <n v="99"/>
    <x v="221"/>
  </r>
  <r>
    <d v="2023-03-05T00:00:00"/>
    <x v="0"/>
    <x v="5"/>
    <s v="Фрукты"/>
    <s v="Апельсины"/>
    <n v="2540"/>
    <n v="46"/>
    <x v="461"/>
  </r>
  <r>
    <d v="2023-03-05T00:00:00"/>
    <x v="0"/>
    <x v="5"/>
    <s v="Фрукты"/>
    <s v="Бананы"/>
    <n v="2400"/>
    <n v="58"/>
    <x v="462"/>
  </r>
  <r>
    <d v="2023-03-05T00:00:00"/>
    <x v="4"/>
    <x v="5"/>
    <s v="Фрукты"/>
    <s v="Абрикосы"/>
    <n v="1320"/>
    <n v="83"/>
    <x v="463"/>
  </r>
  <r>
    <d v="2023-03-05T00:00:00"/>
    <x v="4"/>
    <x v="5"/>
    <s v="Фрукты"/>
    <s v="Абрикосы"/>
    <n v="1320"/>
    <n v="57"/>
    <x v="464"/>
  </r>
  <r>
    <d v="2023-03-05T00:00:00"/>
    <x v="0"/>
    <x v="5"/>
    <s v="Ягоды"/>
    <s v="Клубника"/>
    <n v="2460"/>
    <n v="43"/>
    <x v="465"/>
  </r>
  <r>
    <d v="2023-03-05T00:00:00"/>
    <x v="2"/>
    <x v="6"/>
    <s v="Зелень"/>
    <s v="Кинза"/>
    <n v="650"/>
    <n v="71"/>
    <x v="161"/>
  </r>
  <r>
    <d v="2023-03-05T00:00:00"/>
    <x v="4"/>
    <x v="6"/>
    <s v="Овощи"/>
    <s v="Баклажаны"/>
    <n v="890"/>
    <n v="39"/>
    <x v="466"/>
  </r>
  <r>
    <d v="2023-03-05T00:00:00"/>
    <x v="2"/>
    <x v="6"/>
    <s v="Овощи"/>
    <s v="Капуста"/>
    <n v="460"/>
    <n v="80"/>
    <x v="467"/>
  </r>
  <r>
    <d v="2023-03-05T00:00:00"/>
    <x v="2"/>
    <x v="6"/>
    <s v="Ягоды"/>
    <s v="Голубика"/>
    <n v="3205"/>
    <n v="46"/>
    <x v="371"/>
  </r>
  <r>
    <s v="05.03.2023 Итог"/>
    <x v="3"/>
    <x v="2"/>
    <m/>
    <m/>
    <m/>
    <m/>
    <x v="468"/>
  </r>
  <r>
    <d v="2023-03-06T00:00:00"/>
    <x v="2"/>
    <x v="3"/>
    <s v="Зелень"/>
    <s v="Укроп"/>
    <n v="650"/>
    <n v="30"/>
    <x v="469"/>
  </r>
  <r>
    <d v="2023-03-06T00:00:00"/>
    <x v="2"/>
    <x v="3"/>
    <s v="Овощи"/>
    <s v="Свекла"/>
    <n v="450"/>
    <n v="21"/>
    <x v="470"/>
  </r>
  <r>
    <d v="2023-03-06T00:00:00"/>
    <x v="2"/>
    <x v="0"/>
    <s v="Зелень"/>
    <s v="Кинза"/>
    <n v="650"/>
    <n v="48"/>
    <x v="447"/>
  </r>
  <r>
    <d v="2023-03-06T00:00:00"/>
    <x v="4"/>
    <x v="0"/>
    <s v="Зелень"/>
    <s v="Салат айсберг"/>
    <n v="1380"/>
    <n v="28"/>
    <x v="471"/>
  </r>
  <r>
    <d v="2023-03-06T00:00:00"/>
    <x v="0"/>
    <x v="0"/>
    <s v="Овощи"/>
    <s v="Свекла"/>
    <n v="450"/>
    <n v="55"/>
    <x v="418"/>
  </r>
  <r>
    <d v="2023-03-06T00:00:00"/>
    <x v="2"/>
    <x v="0"/>
    <s v="Овощи"/>
    <s v="Баклажаны"/>
    <n v="890"/>
    <n v="34"/>
    <x v="472"/>
  </r>
  <r>
    <d v="2023-03-06T00:00:00"/>
    <x v="1"/>
    <x v="0"/>
    <s v="Фрукты"/>
    <s v="Абрикосы"/>
    <n v="1320"/>
    <n v="62"/>
    <x v="146"/>
  </r>
  <r>
    <d v="2023-03-06T00:00:00"/>
    <x v="1"/>
    <x v="0"/>
    <s v="Фрукты"/>
    <s v="Сливы"/>
    <n v="930"/>
    <n v="97"/>
    <x v="40"/>
  </r>
  <r>
    <d v="2023-03-06T00:00:00"/>
    <x v="1"/>
    <x v="0"/>
    <s v="Фрукты"/>
    <s v="Груши"/>
    <n v="1420"/>
    <n v="84"/>
    <x v="216"/>
  </r>
  <r>
    <d v="2023-03-06T00:00:00"/>
    <x v="0"/>
    <x v="0"/>
    <s v="Фрукты"/>
    <s v="Абрикосы"/>
    <n v="1320"/>
    <n v="77"/>
    <x v="473"/>
  </r>
  <r>
    <d v="2023-03-06T00:00:00"/>
    <x v="4"/>
    <x v="0"/>
    <s v="Фрукты"/>
    <s v="Бананы"/>
    <n v="2400"/>
    <n v="30"/>
    <x v="474"/>
  </r>
  <r>
    <d v="2023-03-06T00:00:00"/>
    <x v="2"/>
    <x v="0"/>
    <s v="Ягоды"/>
    <s v="Брусника"/>
    <n v="1670"/>
    <n v="80"/>
    <x v="475"/>
  </r>
  <r>
    <d v="2023-03-06T00:00:00"/>
    <x v="2"/>
    <x v="0"/>
    <s v="Ягоды"/>
    <s v="Брусника"/>
    <n v="1670"/>
    <n v="57"/>
    <x v="476"/>
  </r>
  <r>
    <d v="2023-03-06T00:00:00"/>
    <x v="1"/>
    <x v="4"/>
    <s v="Фрукты"/>
    <s v="Груши"/>
    <n v="1420"/>
    <n v="28"/>
    <x v="477"/>
  </r>
  <r>
    <d v="2023-03-06T00:00:00"/>
    <x v="4"/>
    <x v="4"/>
    <s v="Ягоды"/>
    <s v="Брусника"/>
    <n v="1670"/>
    <n v="46"/>
    <x v="478"/>
  </r>
  <r>
    <d v="2023-03-06T00:00:00"/>
    <x v="2"/>
    <x v="4"/>
    <s v="Ягоды"/>
    <s v="Клубника"/>
    <n v="2460"/>
    <n v="64"/>
    <x v="479"/>
  </r>
  <r>
    <d v="2023-03-06T00:00:00"/>
    <x v="0"/>
    <x v="5"/>
    <s v="Зелень"/>
    <s v="Салат айсберг"/>
    <n v="1380"/>
    <n v="7"/>
    <x v="75"/>
  </r>
  <r>
    <d v="2023-03-06T00:00:00"/>
    <x v="1"/>
    <x v="5"/>
    <s v="Овощи"/>
    <s v="Свекла"/>
    <n v="450"/>
    <n v="26"/>
    <x v="480"/>
  </r>
  <r>
    <d v="2023-03-06T00:00:00"/>
    <x v="4"/>
    <x v="5"/>
    <s v="Ягоды"/>
    <s v="Клубника"/>
    <n v="2460"/>
    <n v="5"/>
    <x v="481"/>
  </r>
  <r>
    <d v="2023-03-06T00:00:00"/>
    <x v="1"/>
    <x v="6"/>
    <s v="Зелень"/>
    <s v="Укроп"/>
    <n v="650"/>
    <n v="13"/>
    <x v="375"/>
  </r>
  <r>
    <d v="2023-03-06T00:00:00"/>
    <x v="0"/>
    <x v="6"/>
    <s v="Овощи"/>
    <s v="Свекла"/>
    <n v="450"/>
    <n v="35"/>
    <x v="482"/>
  </r>
  <r>
    <d v="2023-03-06T00:00:00"/>
    <x v="0"/>
    <x v="6"/>
    <s v="Фрукты"/>
    <s v="Бананы"/>
    <n v="2400"/>
    <n v="13"/>
    <x v="447"/>
  </r>
  <r>
    <d v="2023-03-06T00:00:00"/>
    <x v="4"/>
    <x v="6"/>
    <s v="Ягоды"/>
    <s v="Смородина черная"/>
    <n v="1505"/>
    <n v="36"/>
    <x v="483"/>
  </r>
  <r>
    <d v="2023-03-06T00:00:00"/>
    <x v="4"/>
    <x v="6"/>
    <s v="Ягоды"/>
    <s v="Смородина черная"/>
    <n v="1505"/>
    <n v="87"/>
    <x v="484"/>
  </r>
  <r>
    <d v="2023-03-06T00:00:00"/>
    <x v="1"/>
    <x v="6"/>
    <s v="Ягоды"/>
    <s v="Клубника"/>
    <n v="2460"/>
    <n v="38"/>
    <x v="485"/>
  </r>
  <r>
    <s v="06.03.2023 Итог"/>
    <x v="3"/>
    <x v="2"/>
    <m/>
    <m/>
    <m/>
    <m/>
    <x v="486"/>
  </r>
  <r>
    <d v="2023-03-07T00:00:00"/>
    <x v="2"/>
    <x v="3"/>
    <s v="Зелень"/>
    <s v="Петрушка"/>
    <n v="640"/>
    <n v="71"/>
    <x v="487"/>
  </r>
  <r>
    <d v="2023-03-07T00:00:00"/>
    <x v="0"/>
    <x v="3"/>
    <s v="Фрукты"/>
    <s v="Сливы"/>
    <n v="930"/>
    <n v="42"/>
    <x v="488"/>
  </r>
  <r>
    <d v="2023-03-07T00:00:00"/>
    <x v="1"/>
    <x v="3"/>
    <s v="Ягоды"/>
    <s v="Голубика"/>
    <n v="3205"/>
    <n v="76"/>
    <x v="489"/>
  </r>
  <r>
    <d v="2023-03-07T00:00:00"/>
    <x v="2"/>
    <x v="0"/>
    <s v="Зелень"/>
    <s v="Укроп"/>
    <n v="650"/>
    <n v="66"/>
    <x v="353"/>
  </r>
  <r>
    <d v="2023-03-07T00:00:00"/>
    <x v="4"/>
    <x v="0"/>
    <s v="Овощи"/>
    <s v="Картофель"/>
    <n v="690"/>
    <n v="37"/>
    <x v="490"/>
  </r>
  <r>
    <d v="2023-03-07T00:00:00"/>
    <x v="4"/>
    <x v="0"/>
    <s v="Ягоды"/>
    <s v="Клубника"/>
    <n v="2460"/>
    <n v="48"/>
    <x v="491"/>
  </r>
  <r>
    <d v="2023-03-07T00:00:00"/>
    <x v="4"/>
    <x v="4"/>
    <s v="Ягоды"/>
    <s v="Клубника"/>
    <n v="2460"/>
    <n v="17"/>
    <x v="187"/>
  </r>
  <r>
    <d v="2023-03-07T00:00:00"/>
    <x v="0"/>
    <x v="4"/>
    <s v="Ягоды"/>
    <s v="Малина"/>
    <n v="2970"/>
    <n v="72"/>
    <x v="492"/>
  </r>
  <r>
    <d v="2023-03-07T00:00:00"/>
    <x v="4"/>
    <x v="1"/>
    <s v="Зелень"/>
    <s v="Петрушка"/>
    <n v="640"/>
    <n v="95"/>
    <x v="493"/>
  </r>
  <r>
    <d v="2023-03-07T00:00:00"/>
    <x v="4"/>
    <x v="1"/>
    <s v="Зелень"/>
    <s v="Лук зеленый"/>
    <n v="705"/>
    <n v="23"/>
    <x v="370"/>
  </r>
  <r>
    <d v="2023-03-07T00:00:00"/>
    <x v="2"/>
    <x v="1"/>
    <s v="Зелень"/>
    <s v="Лук зеленый"/>
    <n v="705"/>
    <n v="69"/>
    <x v="494"/>
  </r>
  <r>
    <d v="2023-03-07T00:00:00"/>
    <x v="0"/>
    <x v="1"/>
    <s v="Зелень"/>
    <s v="Укроп"/>
    <n v="650"/>
    <n v="24"/>
    <x v="337"/>
  </r>
  <r>
    <d v="2023-03-07T00:00:00"/>
    <x v="1"/>
    <x v="1"/>
    <s v="Овощи"/>
    <s v="Морковь"/>
    <n v="715"/>
    <n v="48"/>
    <x v="406"/>
  </r>
  <r>
    <d v="2023-03-07T00:00:00"/>
    <x v="4"/>
    <x v="1"/>
    <s v="Ягоды"/>
    <s v="Голубика"/>
    <n v="3205"/>
    <n v="21"/>
    <x v="320"/>
  </r>
  <r>
    <d v="2023-03-07T00:00:00"/>
    <x v="2"/>
    <x v="5"/>
    <s v="Овощи"/>
    <s v="Картофель"/>
    <n v="690"/>
    <n v="7"/>
    <x v="495"/>
  </r>
  <r>
    <d v="2023-03-07T00:00:00"/>
    <x v="4"/>
    <x v="5"/>
    <s v="Фрукты"/>
    <s v="Сливы"/>
    <n v="930"/>
    <n v="15"/>
    <x v="496"/>
  </r>
  <r>
    <d v="2023-03-07T00:00:00"/>
    <x v="4"/>
    <x v="5"/>
    <s v="Фрукты"/>
    <s v="Апельсины"/>
    <n v="2540"/>
    <n v="65"/>
    <x v="292"/>
  </r>
  <r>
    <d v="2023-03-07T00:00:00"/>
    <x v="0"/>
    <x v="6"/>
    <s v="Овощи"/>
    <s v="Свекла"/>
    <n v="450"/>
    <n v="47"/>
    <x v="230"/>
  </r>
  <r>
    <d v="2023-03-07T00:00:00"/>
    <x v="2"/>
    <x v="6"/>
    <s v="Овощи"/>
    <s v="Капуста"/>
    <n v="460"/>
    <n v="12"/>
    <x v="241"/>
  </r>
  <r>
    <d v="2023-03-07T00:00:00"/>
    <x v="2"/>
    <x v="6"/>
    <s v="Фрукты"/>
    <s v="Груши"/>
    <n v="1420"/>
    <n v="55"/>
    <x v="219"/>
  </r>
  <r>
    <s v="07.03.2023 Итог"/>
    <x v="3"/>
    <x v="2"/>
    <m/>
    <m/>
    <m/>
    <m/>
    <x v="497"/>
  </r>
  <r>
    <d v="2023-03-08T00:00:00"/>
    <x v="2"/>
    <x v="3"/>
    <s v="Зелень"/>
    <s v="Кинза"/>
    <n v="650"/>
    <n v="67"/>
    <x v="498"/>
  </r>
  <r>
    <d v="2023-03-08T00:00:00"/>
    <x v="1"/>
    <x v="3"/>
    <s v="Зелень"/>
    <s v="Салат айсберг"/>
    <n v="1380"/>
    <n v="84"/>
    <x v="338"/>
  </r>
  <r>
    <d v="2023-03-08T00:00:00"/>
    <x v="2"/>
    <x v="0"/>
    <s v="Ягоды"/>
    <s v="Черешня"/>
    <n v="1760"/>
    <n v="44"/>
    <x v="499"/>
  </r>
  <r>
    <d v="2023-03-08T00:00:00"/>
    <x v="4"/>
    <x v="0"/>
    <s v="Ягоды"/>
    <s v="Брусника"/>
    <n v="1670"/>
    <n v="36"/>
    <x v="500"/>
  </r>
  <r>
    <d v="2023-03-08T00:00:00"/>
    <x v="0"/>
    <x v="4"/>
    <s v="Овощи"/>
    <s v="Свекла"/>
    <n v="450"/>
    <n v="96"/>
    <x v="20"/>
  </r>
  <r>
    <d v="2023-03-08T00:00:00"/>
    <x v="0"/>
    <x v="4"/>
    <s v="Ягоды"/>
    <s v="Брусника"/>
    <n v="1670"/>
    <n v="52"/>
    <x v="501"/>
  </r>
  <r>
    <d v="2023-03-08T00:00:00"/>
    <x v="4"/>
    <x v="4"/>
    <s v="Ягоды"/>
    <s v="Брусника"/>
    <n v="1670"/>
    <n v="27"/>
    <x v="97"/>
  </r>
  <r>
    <d v="2023-03-08T00:00:00"/>
    <x v="4"/>
    <x v="4"/>
    <s v="Ягоды"/>
    <s v="Голубика"/>
    <n v="3205"/>
    <n v="56"/>
    <x v="126"/>
  </r>
  <r>
    <d v="2023-03-08T00:00:00"/>
    <x v="4"/>
    <x v="5"/>
    <s v="Зелень"/>
    <s v="Кинза"/>
    <n v="650"/>
    <n v="90"/>
    <x v="226"/>
  </r>
  <r>
    <d v="2023-03-08T00:00:00"/>
    <x v="4"/>
    <x v="5"/>
    <s v="Ягоды"/>
    <s v="Клубника"/>
    <n v="2460"/>
    <n v="61"/>
    <x v="502"/>
  </r>
  <r>
    <d v="2023-03-08T00:00:00"/>
    <x v="2"/>
    <x v="6"/>
    <s v="Зелень"/>
    <s v="Укроп"/>
    <n v="650"/>
    <n v="34"/>
    <x v="199"/>
  </r>
  <r>
    <s v="08.03.2023 Итог"/>
    <x v="3"/>
    <x v="2"/>
    <m/>
    <m/>
    <m/>
    <m/>
    <x v="503"/>
  </r>
  <r>
    <d v="2023-03-09T00:00:00"/>
    <x v="2"/>
    <x v="3"/>
    <s v="Зелень"/>
    <s v="Лук зеленый"/>
    <n v="705"/>
    <n v="61"/>
    <x v="504"/>
  </r>
  <r>
    <d v="2023-03-09T00:00:00"/>
    <x v="4"/>
    <x v="3"/>
    <s v="Овощи"/>
    <s v="Капуста"/>
    <n v="460"/>
    <n v="30"/>
    <x v="505"/>
  </r>
  <r>
    <d v="2023-03-09T00:00:00"/>
    <x v="1"/>
    <x v="3"/>
    <s v="Фрукты"/>
    <s v="Сливы"/>
    <n v="930"/>
    <n v="23"/>
    <x v="506"/>
  </r>
  <r>
    <d v="2023-03-09T00:00:00"/>
    <x v="2"/>
    <x v="3"/>
    <s v="Фрукты"/>
    <s v="Бананы"/>
    <n v="2400"/>
    <n v="89"/>
    <x v="507"/>
  </r>
  <r>
    <d v="2023-03-09T00:00:00"/>
    <x v="0"/>
    <x v="3"/>
    <s v="Фрукты"/>
    <s v="Груши"/>
    <n v="1420"/>
    <n v="92"/>
    <x v="508"/>
  </r>
  <r>
    <d v="2023-03-09T00:00:00"/>
    <x v="2"/>
    <x v="3"/>
    <s v="Ягоды"/>
    <s v="Смородина черная"/>
    <n v="1505"/>
    <n v="8"/>
    <x v="509"/>
  </r>
  <r>
    <d v="2023-03-09T00:00:00"/>
    <x v="4"/>
    <x v="0"/>
    <s v="Фрукты"/>
    <s v="Апельсины"/>
    <n v="2540"/>
    <n v="49"/>
    <x v="510"/>
  </r>
  <r>
    <d v="2023-03-09T00:00:00"/>
    <x v="2"/>
    <x v="0"/>
    <s v="Ягоды"/>
    <s v="Клубника"/>
    <n v="2460"/>
    <n v="70"/>
    <x v="74"/>
  </r>
  <r>
    <d v="2023-03-09T00:00:00"/>
    <x v="1"/>
    <x v="1"/>
    <s v="Зелень"/>
    <s v="Петрушка"/>
    <n v="640"/>
    <n v="59"/>
    <x v="511"/>
  </r>
  <r>
    <d v="2023-03-09T00:00:00"/>
    <x v="4"/>
    <x v="1"/>
    <s v="Зелень"/>
    <s v="Петрушка"/>
    <n v="640"/>
    <n v="36"/>
    <x v="512"/>
  </r>
  <r>
    <d v="2023-03-09T00:00:00"/>
    <x v="4"/>
    <x v="1"/>
    <s v="Фрукты"/>
    <s v="Сливы"/>
    <n v="930"/>
    <n v="8"/>
    <x v="513"/>
  </r>
  <r>
    <d v="2023-03-09T00:00:00"/>
    <x v="4"/>
    <x v="5"/>
    <s v="Фрукты"/>
    <s v="Апельсины"/>
    <n v="2540"/>
    <n v="47"/>
    <x v="514"/>
  </r>
  <r>
    <d v="2023-03-09T00:00:00"/>
    <x v="2"/>
    <x v="5"/>
    <s v="Фрукты"/>
    <s v="Апельсины"/>
    <n v="2540"/>
    <n v="90"/>
    <x v="515"/>
  </r>
  <r>
    <d v="2023-03-09T00:00:00"/>
    <x v="0"/>
    <x v="6"/>
    <s v="Зелень"/>
    <s v="Укроп"/>
    <n v="650"/>
    <n v="51"/>
    <x v="516"/>
  </r>
  <r>
    <s v="09.03.2023 Итог"/>
    <x v="3"/>
    <x v="2"/>
    <m/>
    <m/>
    <m/>
    <m/>
    <x v="517"/>
  </r>
  <r>
    <d v="2023-03-10T00:00:00"/>
    <x v="2"/>
    <x v="3"/>
    <s v="Фрукты"/>
    <s v="Апельсины"/>
    <n v="2540"/>
    <n v="95"/>
    <x v="518"/>
  </r>
  <r>
    <d v="2023-03-10T00:00:00"/>
    <x v="0"/>
    <x v="0"/>
    <s v="Зелень"/>
    <s v="Салат айсберг"/>
    <n v="1380"/>
    <n v="30"/>
    <x v="356"/>
  </r>
  <r>
    <d v="2023-03-10T00:00:00"/>
    <x v="4"/>
    <x v="0"/>
    <s v="Овощи"/>
    <s v="Свекла"/>
    <n v="450"/>
    <n v="81"/>
    <x v="519"/>
  </r>
  <r>
    <d v="2023-03-10T00:00:00"/>
    <x v="0"/>
    <x v="0"/>
    <s v="Фрукты"/>
    <s v="Сливы"/>
    <n v="930"/>
    <n v="98"/>
    <x v="520"/>
  </r>
  <r>
    <d v="2023-03-10T00:00:00"/>
    <x v="2"/>
    <x v="0"/>
    <s v="Фрукты"/>
    <s v="Абрикосы"/>
    <n v="1320"/>
    <n v="91"/>
    <x v="521"/>
  </r>
  <r>
    <d v="2023-03-10T00:00:00"/>
    <x v="2"/>
    <x v="4"/>
    <s v="Зелень"/>
    <s v="Укроп"/>
    <n v="650"/>
    <n v="23"/>
    <x v="522"/>
  </r>
  <r>
    <d v="2023-03-10T00:00:00"/>
    <x v="4"/>
    <x v="4"/>
    <s v="Овощи"/>
    <s v="Морковь"/>
    <n v="715"/>
    <n v="83"/>
    <x v="523"/>
  </r>
  <r>
    <d v="2023-03-10T00:00:00"/>
    <x v="4"/>
    <x v="4"/>
    <s v="Фрукты"/>
    <s v="Абрикосы"/>
    <n v="1320"/>
    <n v="100"/>
    <x v="524"/>
  </r>
  <r>
    <d v="2023-03-10T00:00:00"/>
    <x v="4"/>
    <x v="4"/>
    <s v="Фрукты"/>
    <s v="Абрикосы"/>
    <n v="1320"/>
    <n v="87"/>
    <x v="525"/>
  </r>
  <r>
    <d v="2023-03-10T00:00:00"/>
    <x v="2"/>
    <x v="4"/>
    <s v="Ягоды"/>
    <s v="Клубника"/>
    <n v="2460"/>
    <n v="48"/>
    <x v="491"/>
  </r>
  <r>
    <d v="2023-03-10T00:00:00"/>
    <x v="2"/>
    <x v="5"/>
    <s v="Зелень"/>
    <s v="Петрушка"/>
    <n v="640"/>
    <n v="83"/>
    <x v="526"/>
  </r>
  <r>
    <d v="2023-03-10T00:00:00"/>
    <x v="2"/>
    <x v="5"/>
    <s v="Зелень"/>
    <s v="Петрушка"/>
    <n v="640"/>
    <n v="26"/>
    <x v="157"/>
  </r>
  <r>
    <d v="2023-03-10T00:00:00"/>
    <x v="2"/>
    <x v="5"/>
    <s v="Овощи"/>
    <s v="Баклажаны"/>
    <n v="890"/>
    <n v="87"/>
    <x v="527"/>
  </r>
  <r>
    <d v="2023-03-10T00:00:00"/>
    <x v="0"/>
    <x v="5"/>
    <s v="Овощи"/>
    <s v="Свекла"/>
    <n v="450"/>
    <n v="19"/>
    <x v="528"/>
  </r>
  <r>
    <d v="2023-03-10T00:00:00"/>
    <x v="0"/>
    <x v="5"/>
    <s v="Овощи"/>
    <s v="Свекла"/>
    <n v="450"/>
    <n v="19"/>
    <x v="528"/>
  </r>
  <r>
    <d v="2023-03-10T00:00:00"/>
    <x v="1"/>
    <x v="5"/>
    <s v="Фрукты"/>
    <s v="Бананы"/>
    <n v="2400"/>
    <n v="67"/>
    <x v="59"/>
  </r>
  <r>
    <d v="2023-03-10T00:00:00"/>
    <x v="2"/>
    <x v="6"/>
    <s v="Зелень"/>
    <s v="Лук зеленый"/>
    <n v="705"/>
    <n v="13"/>
    <x v="529"/>
  </r>
  <r>
    <d v="2023-03-10T00:00:00"/>
    <x v="2"/>
    <x v="6"/>
    <s v="Зелень"/>
    <s v="Петрушка"/>
    <n v="640"/>
    <n v="68"/>
    <x v="530"/>
  </r>
  <r>
    <d v="2023-03-10T00:00:00"/>
    <x v="2"/>
    <x v="6"/>
    <s v="Овощи"/>
    <s v="Кабачки"/>
    <n v="325"/>
    <n v="12"/>
    <x v="342"/>
  </r>
  <r>
    <d v="2023-03-10T00:00:00"/>
    <x v="0"/>
    <x v="6"/>
    <s v="Овощи"/>
    <s v="Свекла"/>
    <n v="450"/>
    <n v="5"/>
    <x v="531"/>
  </r>
  <r>
    <d v="2023-03-10T00:00:00"/>
    <x v="0"/>
    <x v="6"/>
    <s v="Фрукты"/>
    <s v="Бананы"/>
    <n v="2400"/>
    <n v="97"/>
    <x v="532"/>
  </r>
  <r>
    <d v="2023-03-10T00:00:00"/>
    <x v="4"/>
    <x v="6"/>
    <s v="Ягоды"/>
    <s v="Клубника"/>
    <n v="2460"/>
    <n v="9"/>
    <x v="533"/>
  </r>
  <r>
    <s v="10.03.2023 Итог"/>
    <x v="3"/>
    <x v="2"/>
    <m/>
    <m/>
    <m/>
    <m/>
    <x v="534"/>
  </r>
  <r>
    <d v="2023-03-11T00:00:00"/>
    <x v="1"/>
    <x v="3"/>
    <s v="Фрукты"/>
    <s v="Бананы"/>
    <n v="2400"/>
    <n v="35"/>
    <x v="49"/>
  </r>
  <r>
    <d v="2023-03-11T00:00:00"/>
    <x v="1"/>
    <x v="3"/>
    <s v="Фрукты"/>
    <s v="Сливы"/>
    <n v="930"/>
    <n v="14"/>
    <x v="535"/>
  </r>
  <r>
    <d v="2023-03-11T00:00:00"/>
    <x v="4"/>
    <x v="3"/>
    <s v="Ягоды"/>
    <s v="Черешня"/>
    <n v="1760"/>
    <n v="98"/>
    <x v="536"/>
  </r>
  <r>
    <d v="2023-03-11T00:00:00"/>
    <x v="1"/>
    <x v="3"/>
    <s v="Ягоды"/>
    <s v="Брусника"/>
    <n v="1670"/>
    <n v="34"/>
    <x v="537"/>
  </r>
  <r>
    <d v="2023-03-11T00:00:00"/>
    <x v="2"/>
    <x v="0"/>
    <s v="Овощи"/>
    <s v="Картофель"/>
    <n v="690"/>
    <n v="97"/>
    <x v="538"/>
  </r>
  <r>
    <d v="2023-03-11T00:00:00"/>
    <x v="0"/>
    <x v="0"/>
    <s v="Ягоды"/>
    <s v="Черешня"/>
    <n v="1760"/>
    <n v="23"/>
    <x v="539"/>
  </r>
  <r>
    <d v="2023-03-11T00:00:00"/>
    <x v="2"/>
    <x v="0"/>
    <s v="Ягоды"/>
    <s v="Голубика"/>
    <n v="3205"/>
    <n v="81"/>
    <x v="540"/>
  </r>
  <r>
    <d v="2023-03-11T00:00:00"/>
    <x v="1"/>
    <x v="4"/>
    <s v="Зелень"/>
    <s v="Лук зеленый"/>
    <n v="705"/>
    <n v="88"/>
    <x v="541"/>
  </r>
  <r>
    <d v="2023-03-11T00:00:00"/>
    <x v="2"/>
    <x v="1"/>
    <s v="Зелень"/>
    <s v="Кинза"/>
    <n v="650"/>
    <n v="58"/>
    <x v="173"/>
  </r>
  <r>
    <d v="2023-03-11T00:00:00"/>
    <x v="4"/>
    <x v="1"/>
    <s v="Овощи"/>
    <s v="Баклажаны"/>
    <n v="890"/>
    <n v="14"/>
    <x v="542"/>
  </r>
  <r>
    <d v="2023-03-11T00:00:00"/>
    <x v="4"/>
    <x v="1"/>
    <s v="Фрукты"/>
    <s v="Сливы"/>
    <n v="930"/>
    <n v="24"/>
    <x v="543"/>
  </r>
  <r>
    <d v="2023-03-11T00:00:00"/>
    <x v="1"/>
    <x v="1"/>
    <s v="Ягоды"/>
    <s v="Брусника"/>
    <n v="1670"/>
    <n v="45"/>
    <x v="544"/>
  </r>
  <r>
    <d v="2023-03-11T00:00:00"/>
    <x v="1"/>
    <x v="1"/>
    <s v="Ягоды"/>
    <s v="Голубика"/>
    <n v="3205"/>
    <n v="80"/>
    <x v="545"/>
  </r>
  <r>
    <d v="2023-03-11T00:00:00"/>
    <x v="1"/>
    <x v="5"/>
    <s v="Овощи"/>
    <s v="Баклажаны"/>
    <n v="890"/>
    <n v="28"/>
    <x v="546"/>
  </r>
  <r>
    <d v="2023-03-11T00:00:00"/>
    <x v="2"/>
    <x v="5"/>
    <s v="Фрукты"/>
    <s v="Груши"/>
    <n v="1420"/>
    <n v="73"/>
    <x v="448"/>
  </r>
  <r>
    <d v="2023-03-11T00:00:00"/>
    <x v="4"/>
    <x v="6"/>
    <s v="Зелень"/>
    <s v="Лук зеленый"/>
    <n v="705"/>
    <n v="52"/>
    <x v="547"/>
  </r>
  <r>
    <d v="2023-03-11T00:00:00"/>
    <x v="1"/>
    <x v="6"/>
    <s v="Овощи"/>
    <s v="Морковь"/>
    <n v="715"/>
    <n v="33"/>
    <x v="548"/>
  </r>
  <r>
    <d v="2023-03-11T00:00:00"/>
    <x v="2"/>
    <x v="6"/>
    <s v="Фрукты"/>
    <s v="Бананы"/>
    <n v="2400"/>
    <n v="41"/>
    <x v="549"/>
  </r>
  <r>
    <d v="2023-03-11T00:00:00"/>
    <x v="0"/>
    <x v="6"/>
    <s v="Фрукты"/>
    <s v="Апельсины"/>
    <n v="2540"/>
    <n v="23"/>
    <x v="550"/>
  </r>
  <r>
    <d v="2023-03-11T00:00:00"/>
    <x v="1"/>
    <x v="6"/>
    <s v="Фрукты"/>
    <s v="Яблоки"/>
    <n v="1230"/>
    <n v="12"/>
    <x v="154"/>
  </r>
  <r>
    <d v="2023-03-11T00:00:00"/>
    <x v="0"/>
    <x v="6"/>
    <s v="Фрукты"/>
    <s v="Сливы"/>
    <n v="930"/>
    <n v="22"/>
    <x v="120"/>
  </r>
  <r>
    <d v="2023-03-11T00:00:00"/>
    <x v="1"/>
    <x v="6"/>
    <s v="Фрукты"/>
    <s v="Яблоки"/>
    <n v="1230"/>
    <n v="88"/>
    <x v="456"/>
  </r>
  <r>
    <d v="2023-03-11T00:00:00"/>
    <x v="2"/>
    <x v="6"/>
    <s v="Ягоды"/>
    <s v="Клубника"/>
    <n v="2460"/>
    <n v="55"/>
    <x v="551"/>
  </r>
  <r>
    <d v="2023-03-11T00:00:00"/>
    <x v="4"/>
    <x v="6"/>
    <s v="Ягоды"/>
    <s v="Голубика"/>
    <n v="3205"/>
    <n v="58"/>
    <x v="552"/>
  </r>
  <r>
    <s v="11.03.2023 Итог"/>
    <x v="3"/>
    <x v="2"/>
    <m/>
    <m/>
    <m/>
    <m/>
    <x v="553"/>
  </r>
  <r>
    <d v="2023-03-12T00:00:00"/>
    <x v="4"/>
    <x v="3"/>
    <s v="Зелень"/>
    <s v="Петрушка"/>
    <n v="640"/>
    <n v="74"/>
    <x v="430"/>
  </r>
  <r>
    <d v="2023-03-12T00:00:00"/>
    <x v="4"/>
    <x v="3"/>
    <s v="Овощи"/>
    <s v="Капуста"/>
    <n v="460"/>
    <n v="63"/>
    <x v="554"/>
  </r>
  <r>
    <d v="2023-03-12T00:00:00"/>
    <x v="1"/>
    <x v="3"/>
    <s v="Фрукты"/>
    <s v="Яблоки"/>
    <n v="1230"/>
    <n v="28"/>
    <x v="555"/>
  </r>
  <r>
    <d v="2023-03-12T00:00:00"/>
    <x v="1"/>
    <x v="3"/>
    <s v="Ягоды"/>
    <s v="Клубника"/>
    <n v="2460"/>
    <n v="23"/>
    <x v="556"/>
  </r>
  <r>
    <d v="2023-03-12T00:00:00"/>
    <x v="1"/>
    <x v="3"/>
    <s v="Ягоды"/>
    <s v="Голубика"/>
    <n v="3205"/>
    <n v="74"/>
    <x v="557"/>
  </r>
  <r>
    <d v="2023-03-12T00:00:00"/>
    <x v="4"/>
    <x v="0"/>
    <s v="Овощи"/>
    <s v="Кабачки"/>
    <n v="325"/>
    <n v="31"/>
    <x v="558"/>
  </r>
  <r>
    <d v="2023-03-12T00:00:00"/>
    <x v="0"/>
    <x v="0"/>
    <s v="Овощи"/>
    <s v="Капуста"/>
    <n v="460"/>
    <n v="100"/>
    <x v="559"/>
  </r>
  <r>
    <d v="2023-03-12T00:00:00"/>
    <x v="0"/>
    <x v="4"/>
    <s v="Зелень"/>
    <s v="Петрушка"/>
    <n v="640"/>
    <n v="10"/>
    <x v="560"/>
  </r>
  <r>
    <d v="2023-03-12T00:00:00"/>
    <x v="0"/>
    <x v="1"/>
    <s v="Зелень"/>
    <s v="Салат римский"/>
    <n v="540"/>
    <n v="59"/>
    <x v="449"/>
  </r>
  <r>
    <d v="2023-03-12T00:00:00"/>
    <x v="4"/>
    <x v="1"/>
    <s v="Зелень"/>
    <s v="Петрушка"/>
    <n v="640"/>
    <n v="18"/>
    <x v="561"/>
  </r>
  <r>
    <d v="2023-03-12T00:00:00"/>
    <x v="1"/>
    <x v="1"/>
    <s v="Овощи"/>
    <s v="Кабачки"/>
    <n v="325"/>
    <n v="62"/>
    <x v="306"/>
  </r>
  <r>
    <d v="2023-03-12T00:00:00"/>
    <x v="0"/>
    <x v="5"/>
    <s v="Зелень"/>
    <s v="Укроп"/>
    <n v="650"/>
    <n v="10"/>
    <x v="562"/>
  </r>
  <r>
    <d v="2023-03-12T00:00:00"/>
    <x v="4"/>
    <x v="5"/>
    <s v="Зелень"/>
    <s v="Салат айсберг"/>
    <n v="1380"/>
    <n v="96"/>
    <x v="563"/>
  </r>
  <r>
    <d v="2023-03-12T00:00:00"/>
    <x v="0"/>
    <x v="5"/>
    <s v="Овощи"/>
    <s v="Баклажаны"/>
    <n v="890"/>
    <n v="87"/>
    <x v="527"/>
  </r>
  <r>
    <d v="2023-03-12T00:00:00"/>
    <x v="1"/>
    <x v="5"/>
    <s v="Овощи"/>
    <s v="Картофель"/>
    <n v="690"/>
    <n v="20"/>
    <x v="505"/>
  </r>
  <r>
    <d v="2023-03-12T00:00:00"/>
    <x v="1"/>
    <x v="5"/>
    <s v="Фрукты"/>
    <s v="Бананы"/>
    <n v="2400"/>
    <n v="86"/>
    <x v="564"/>
  </r>
  <r>
    <d v="2023-03-12T00:00:00"/>
    <x v="1"/>
    <x v="5"/>
    <s v="Фрукты"/>
    <s v="Бананы"/>
    <n v="2400"/>
    <n v="25"/>
    <x v="565"/>
  </r>
  <r>
    <d v="2023-03-12T00:00:00"/>
    <x v="2"/>
    <x v="5"/>
    <s v="Ягоды"/>
    <s v="Малина"/>
    <n v="2970"/>
    <n v="44"/>
    <x v="566"/>
  </r>
  <r>
    <d v="2023-03-12T00:00:00"/>
    <x v="4"/>
    <x v="6"/>
    <s v="Овощи"/>
    <s v="Свекла"/>
    <n v="450"/>
    <n v="36"/>
    <x v="245"/>
  </r>
  <r>
    <d v="2023-03-12T00:00:00"/>
    <x v="2"/>
    <x v="6"/>
    <s v="Овощи"/>
    <s v="Картофель"/>
    <n v="690"/>
    <n v="81"/>
    <x v="567"/>
  </r>
  <r>
    <d v="2023-03-12T00:00:00"/>
    <x v="1"/>
    <x v="6"/>
    <s v="Овощи"/>
    <s v="Морковь"/>
    <n v="715"/>
    <n v="94"/>
    <x v="21"/>
  </r>
  <r>
    <d v="2023-03-12T00:00:00"/>
    <x v="2"/>
    <x v="6"/>
    <s v="Овощи"/>
    <s v="Кабачки"/>
    <n v="325"/>
    <n v="56"/>
    <x v="568"/>
  </r>
  <r>
    <d v="2023-03-12T00:00:00"/>
    <x v="0"/>
    <x v="6"/>
    <s v="Ягоды"/>
    <s v="Клубника"/>
    <n v="2460"/>
    <n v="63"/>
    <x v="453"/>
  </r>
  <r>
    <s v="12.03.2023 Итог"/>
    <x v="3"/>
    <x v="2"/>
    <m/>
    <m/>
    <m/>
    <m/>
    <x v="569"/>
  </r>
  <r>
    <d v="2023-03-13T00:00:00"/>
    <x v="2"/>
    <x v="3"/>
    <s v="Овощи"/>
    <s v="Свекла"/>
    <n v="450"/>
    <n v="76"/>
    <x v="570"/>
  </r>
  <r>
    <d v="2023-03-13T00:00:00"/>
    <x v="1"/>
    <x v="3"/>
    <s v="Фрукты"/>
    <s v="Груши"/>
    <n v="1420"/>
    <n v="51"/>
    <x v="571"/>
  </r>
  <r>
    <d v="2023-03-13T00:00:00"/>
    <x v="2"/>
    <x v="3"/>
    <s v="Фрукты"/>
    <s v="Груши"/>
    <n v="1420"/>
    <n v="94"/>
    <x v="572"/>
  </r>
  <r>
    <d v="2023-03-13T00:00:00"/>
    <x v="0"/>
    <x v="3"/>
    <s v="Ягоды"/>
    <s v="Брусника"/>
    <n v="1670"/>
    <n v="36"/>
    <x v="500"/>
  </r>
  <r>
    <d v="2023-03-13T00:00:00"/>
    <x v="2"/>
    <x v="0"/>
    <s v="Зелень"/>
    <s v="Укроп"/>
    <n v="650"/>
    <n v="38"/>
    <x v="573"/>
  </r>
  <r>
    <d v="2023-03-13T00:00:00"/>
    <x v="2"/>
    <x v="0"/>
    <s v="Овощи"/>
    <s v="Кабачки"/>
    <n v="325"/>
    <n v="7"/>
    <x v="574"/>
  </r>
  <r>
    <d v="2023-03-13T00:00:00"/>
    <x v="4"/>
    <x v="0"/>
    <s v="Фрукты"/>
    <s v="Бананы"/>
    <n v="2400"/>
    <n v="31"/>
    <x v="575"/>
  </r>
  <r>
    <d v="2023-03-13T00:00:00"/>
    <x v="4"/>
    <x v="0"/>
    <s v="Ягоды"/>
    <s v="Малина"/>
    <n v="2970"/>
    <n v="27"/>
    <x v="576"/>
  </r>
  <r>
    <d v="2023-03-13T00:00:00"/>
    <x v="2"/>
    <x v="0"/>
    <s v="Ягоды"/>
    <s v="Малина"/>
    <n v="2970"/>
    <n v="62"/>
    <x v="436"/>
  </r>
  <r>
    <d v="2023-03-13T00:00:00"/>
    <x v="4"/>
    <x v="0"/>
    <s v="Ягоды"/>
    <s v="Малина"/>
    <n v="2970"/>
    <n v="12"/>
    <x v="577"/>
  </r>
  <r>
    <d v="2023-03-13T00:00:00"/>
    <x v="1"/>
    <x v="4"/>
    <s v="Овощи"/>
    <s v="Баклажаны"/>
    <n v="890"/>
    <n v="70"/>
    <x v="578"/>
  </r>
  <r>
    <d v="2023-03-13T00:00:00"/>
    <x v="4"/>
    <x v="4"/>
    <s v="Ягоды"/>
    <s v="Малина"/>
    <n v="2970"/>
    <n v="31"/>
    <x v="579"/>
  </r>
  <r>
    <d v="2023-03-13T00:00:00"/>
    <x v="2"/>
    <x v="4"/>
    <s v="Ягоды"/>
    <s v="Малина"/>
    <n v="2970"/>
    <n v="42"/>
    <x v="580"/>
  </r>
  <r>
    <d v="2023-03-13T00:00:00"/>
    <x v="1"/>
    <x v="1"/>
    <s v="Фрукты"/>
    <s v="Яблоки"/>
    <n v="1230"/>
    <n v="32"/>
    <x v="581"/>
  </r>
  <r>
    <d v="2023-03-13T00:00:00"/>
    <x v="1"/>
    <x v="5"/>
    <s v="Зелень"/>
    <s v="Петрушка"/>
    <n v="640"/>
    <n v="46"/>
    <x v="582"/>
  </r>
  <r>
    <d v="2023-03-13T00:00:00"/>
    <x v="0"/>
    <x v="6"/>
    <s v="Зелень"/>
    <s v="Салат айсберг"/>
    <n v="1380"/>
    <n v="90"/>
    <x v="583"/>
  </r>
  <r>
    <d v="2023-03-13T00:00:00"/>
    <x v="2"/>
    <x v="6"/>
    <s v="Овощи"/>
    <s v="Картофель"/>
    <n v="690"/>
    <n v="49"/>
    <x v="256"/>
  </r>
  <r>
    <s v="13.03.2023 Итог"/>
    <x v="3"/>
    <x v="2"/>
    <m/>
    <m/>
    <m/>
    <m/>
    <x v="584"/>
  </r>
  <r>
    <d v="2023-03-14T00:00:00"/>
    <x v="4"/>
    <x v="3"/>
    <s v="Зелень"/>
    <s v="Салат римский"/>
    <n v="540"/>
    <n v="34"/>
    <x v="167"/>
  </r>
  <r>
    <d v="2023-03-14T00:00:00"/>
    <x v="2"/>
    <x v="0"/>
    <s v="Фрукты"/>
    <s v="Сливы"/>
    <n v="930"/>
    <n v="8"/>
    <x v="513"/>
  </r>
  <r>
    <d v="2023-03-14T00:00:00"/>
    <x v="4"/>
    <x v="0"/>
    <s v="Ягоды"/>
    <s v="Смородина черная"/>
    <n v="1505"/>
    <n v="84"/>
    <x v="585"/>
  </r>
  <r>
    <d v="2023-03-14T00:00:00"/>
    <x v="2"/>
    <x v="4"/>
    <s v="Зелень"/>
    <s v="Лук зеленый"/>
    <n v="705"/>
    <n v="86"/>
    <x v="586"/>
  </r>
  <r>
    <d v="2023-03-14T00:00:00"/>
    <x v="4"/>
    <x v="4"/>
    <s v="Овощи"/>
    <s v="Капуста"/>
    <n v="460"/>
    <n v="44"/>
    <x v="587"/>
  </r>
  <r>
    <d v="2023-03-14T00:00:00"/>
    <x v="2"/>
    <x v="4"/>
    <s v="Овощи"/>
    <s v="Свекла"/>
    <n v="450"/>
    <n v="85"/>
    <x v="588"/>
  </r>
  <r>
    <d v="2023-03-14T00:00:00"/>
    <x v="0"/>
    <x v="4"/>
    <s v="Фрукты"/>
    <s v="Бананы"/>
    <n v="2400"/>
    <n v="81"/>
    <x v="589"/>
  </r>
  <r>
    <d v="2023-03-14T00:00:00"/>
    <x v="0"/>
    <x v="1"/>
    <s v="Зелень"/>
    <s v="Салат римский"/>
    <n v="540"/>
    <n v="45"/>
    <x v="269"/>
  </r>
  <r>
    <d v="2023-03-14T00:00:00"/>
    <x v="0"/>
    <x v="1"/>
    <s v="Фрукты"/>
    <s v="Яблоки"/>
    <n v="1230"/>
    <n v="13"/>
    <x v="590"/>
  </r>
  <r>
    <d v="2023-03-14T00:00:00"/>
    <x v="1"/>
    <x v="5"/>
    <s v="Ягоды"/>
    <s v="Смородина черная"/>
    <n v="1505"/>
    <n v="70"/>
    <x v="591"/>
  </r>
  <r>
    <d v="2023-03-14T00:00:00"/>
    <x v="1"/>
    <x v="6"/>
    <s v="Ягоды"/>
    <s v="Смородина черная"/>
    <n v="1505"/>
    <n v="75"/>
    <x v="592"/>
  </r>
  <r>
    <s v="14.03.2023 Итог"/>
    <x v="3"/>
    <x v="2"/>
    <m/>
    <m/>
    <m/>
    <m/>
    <x v="593"/>
  </r>
  <r>
    <d v="2023-03-15T00:00:00"/>
    <x v="4"/>
    <x v="3"/>
    <s v="Овощи"/>
    <s v="Баклажаны"/>
    <n v="890"/>
    <n v="48"/>
    <x v="594"/>
  </r>
  <r>
    <d v="2023-03-15T00:00:00"/>
    <x v="1"/>
    <x v="3"/>
    <s v="Овощи"/>
    <s v="Баклажаны"/>
    <n v="890"/>
    <n v="92"/>
    <x v="595"/>
  </r>
  <r>
    <d v="2023-03-15T00:00:00"/>
    <x v="2"/>
    <x v="3"/>
    <s v="Фрукты"/>
    <s v="Яблоки"/>
    <n v="1230"/>
    <n v="73"/>
    <x v="596"/>
  </r>
  <r>
    <d v="2023-03-15T00:00:00"/>
    <x v="0"/>
    <x v="0"/>
    <s v="Фрукты"/>
    <s v="Абрикосы"/>
    <n v="1320"/>
    <n v="28"/>
    <x v="597"/>
  </r>
  <r>
    <d v="2023-03-15T00:00:00"/>
    <x v="4"/>
    <x v="0"/>
    <s v="Ягоды"/>
    <s v="Малина"/>
    <n v="2970"/>
    <n v="59"/>
    <x v="598"/>
  </r>
  <r>
    <d v="2023-03-15T00:00:00"/>
    <x v="1"/>
    <x v="4"/>
    <s v="Овощи"/>
    <s v="Баклажаны"/>
    <n v="890"/>
    <n v="73"/>
    <x v="599"/>
  </r>
  <r>
    <d v="2023-03-15T00:00:00"/>
    <x v="4"/>
    <x v="4"/>
    <s v="Ягоды"/>
    <s v="Клубника"/>
    <n v="2460"/>
    <n v="12"/>
    <x v="600"/>
  </r>
  <r>
    <d v="2023-03-15T00:00:00"/>
    <x v="4"/>
    <x v="1"/>
    <s v="Овощи"/>
    <s v="Морковь"/>
    <n v="715"/>
    <n v="51"/>
    <x v="395"/>
  </r>
  <r>
    <s v="15.03.2023 Итог"/>
    <x v="3"/>
    <x v="2"/>
    <m/>
    <m/>
    <m/>
    <m/>
    <x v="601"/>
  </r>
  <r>
    <d v="2023-03-16T00:00:00"/>
    <x v="4"/>
    <x v="3"/>
    <s v="Зелень"/>
    <s v="Салат айсберг"/>
    <n v="1380"/>
    <n v="74"/>
    <x v="602"/>
  </r>
  <r>
    <d v="2023-03-16T00:00:00"/>
    <x v="1"/>
    <x v="3"/>
    <s v="Ягоды"/>
    <s v="Малина"/>
    <n v="2970"/>
    <n v="13"/>
    <x v="603"/>
  </r>
  <r>
    <d v="2023-03-16T00:00:00"/>
    <x v="1"/>
    <x v="0"/>
    <s v="Овощи"/>
    <s v="Баклажаны"/>
    <n v="890"/>
    <n v="100"/>
    <x v="604"/>
  </r>
  <r>
    <d v="2023-03-16T00:00:00"/>
    <x v="4"/>
    <x v="0"/>
    <s v="Ягоды"/>
    <s v="Черешня"/>
    <n v="1760"/>
    <n v="21"/>
    <x v="597"/>
  </r>
  <r>
    <d v="2023-03-16T00:00:00"/>
    <x v="0"/>
    <x v="4"/>
    <s v="Ягоды"/>
    <s v="Малина"/>
    <n v="2970"/>
    <n v="7"/>
    <x v="78"/>
  </r>
  <r>
    <d v="2023-03-16T00:00:00"/>
    <x v="0"/>
    <x v="1"/>
    <s v="Фрукты"/>
    <s v="Бананы"/>
    <n v="2400"/>
    <n v="24"/>
    <x v="605"/>
  </r>
  <r>
    <d v="2023-03-16T00:00:00"/>
    <x v="1"/>
    <x v="1"/>
    <s v="Ягоды"/>
    <s v="Малина"/>
    <n v="2970"/>
    <n v="89"/>
    <x v="606"/>
  </r>
  <r>
    <d v="2023-03-16T00:00:00"/>
    <x v="1"/>
    <x v="5"/>
    <s v="Зелень"/>
    <s v="Салат римский"/>
    <n v="540"/>
    <n v="89"/>
    <x v="607"/>
  </r>
  <r>
    <d v="2023-03-16T00:00:00"/>
    <x v="4"/>
    <x v="6"/>
    <s v="Овощи"/>
    <s v="Морковь"/>
    <n v="715"/>
    <n v="79"/>
    <x v="240"/>
  </r>
  <r>
    <d v="2023-03-16T00:00:00"/>
    <x v="1"/>
    <x v="6"/>
    <s v="Ягоды"/>
    <s v="Голубика"/>
    <n v="3205"/>
    <n v="17"/>
    <x v="608"/>
  </r>
  <r>
    <s v="16.03.2023 Итог"/>
    <x v="3"/>
    <x v="2"/>
    <m/>
    <m/>
    <m/>
    <m/>
    <x v="609"/>
  </r>
  <r>
    <d v="2023-03-17T00:00:00"/>
    <x v="0"/>
    <x v="3"/>
    <s v="Зелень"/>
    <s v="Салат римский"/>
    <n v="540"/>
    <n v="89"/>
    <x v="607"/>
  </r>
  <r>
    <d v="2023-03-17T00:00:00"/>
    <x v="2"/>
    <x v="3"/>
    <s v="Овощи"/>
    <s v="Картофель"/>
    <n v="690"/>
    <n v="46"/>
    <x v="610"/>
  </r>
  <r>
    <d v="2023-03-17T00:00:00"/>
    <x v="0"/>
    <x v="3"/>
    <s v="Овощи"/>
    <s v="Кабачки"/>
    <n v="325"/>
    <n v="5"/>
    <x v="611"/>
  </r>
  <r>
    <d v="2023-03-17T00:00:00"/>
    <x v="0"/>
    <x v="3"/>
    <s v="Овощи"/>
    <s v="Свекла"/>
    <n v="450"/>
    <n v="33"/>
    <x v="612"/>
  </r>
  <r>
    <d v="2023-03-17T00:00:00"/>
    <x v="2"/>
    <x v="0"/>
    <s v="Фрукты"/>
    <s v="Яблоки"/>
    <n v="1230"/>
    <n v="58"/>
    <x v="613"/>
  </r>
  <r>
    <d v="2023-03-17T00:00:00"/>
    <x v="4"/>
    <x v="4"/>
    <s v="Зелень"/>
    <s v="Укроп"/>
    <n v="650"/>
    <n v="87"/>
    <x v="614"/>
  </r>
  <r>
    <d v="2023-03-17T00:00:00"/>
    <x v="4"/>
    <x v="4"/>
    <s v="Овощи"/>
    <s v="Морковь"/>
    <n v="715"/>
    <n v="31"/>
    <x v="615"/>
  </r>
  <r>
    <d v="2023-03-17T00:00:00"/>
    <x v="2"/>
    <x v="1"/>
    <s v="Зелень"/>
    <s v="Укроп"/>
    <n v="650"/>
    <n v="48"/>
    <x v="447"/>
  </r>
  <r>
    <d v="2023-03-17T00:00:00"/>
    <x v="1"/>
    <x v="1"/>
    <s v="Зелень"/>
    <s v="Кинза"/>
    <n v="650"/>
    <n v="13"/>
    <x v="375"/>
  </r>
  <r>
    <d v="2023-03-17T00:00:00"/>
    <x v="1"/>
    <x v="6"/>
    <s v="Зелень"/>
    <s v="Салат айсберг"/>
    <n v="1380"/>
    <n v="31"/>
    <x v="224"/>
  </r>
  <r>
    <s v="17.03.2023 Итог"/>
    <x v="3"/>
    <x v="2"/>
    <m/>
    <m/>
    <m/>
    <m/>
    <x v="616"/>
  </r>
  <r>
    <d v="2023-03-18T00:00:00"/>
    <x v="2"/>
    <x v="0"/>
    <s v="Ягоды"/>
    <s v="Смородина черная"/>
    <n v="1505"/>
    <n v="56"/>
    <x v="617"/>
  </r>
  <r>
    <d v="2023-03-18T00:00:00"/>
    <x v="4"/>
    <x v="4"/>
    <s v="Зелень"/>
    <s v="Салат айсберг"/>
    <n v="1380"/>
    <n v="58"/>
    <x v="618"/>
  </r>
  <r>
    <d v="2023-03-18T00:00:00"/>
    <x v="4"/>
    <x v="4"/>
    <s v="Зелень"/>
    <s v="Укроп"/>
    <n v="650"/>
    <n v="26"/>
    <x v="619"/>
  </r>
  <r>
    <d v="2023-03-18T00:00:00"/>
    <x v="0"/>
    <x v="4"/>
    <s v="Овощи"/>
    <s v="Свекла"/>
    <n v="450"/>
    <n v="58"/>
    <x v="620"/>
  </r>
  <r>
    <d v="2023-03-18T00:00:00"/>
    <x v="4"/>
    <x v="1"/>
    <s v="Овощи"/>
    <s v="Картофель"/>
    <n v="690"/>
    <n v="69"/>
    <x v="422"/>
  </r>
  <r>
    <d v="2023-03-18T00:00:00"/>
    <x v="0"/>
    <x v="1"/>
    <s v="Фрукты"/>
    <s v="Яблоки"/>
    <n v="1230"/>
    <n v="60"/>
    <x v="621"/>
  </r>
  <r>
    <d v="2023-03-18T00:00:00"/>
    <x v="1"/>
    <x v="1"/>
    <s v="Фрукты"/>
    <s v="Сливы"/>
    <n v="930"/>
    <n v="6"/>
    <x v="279"/>
  </r>
  <r>
    <d v="2023-03-18T00:00:00"/>
    <x v="0"/>
    <x v="1"/>
    <s v="Фрукты"/>
    <s v="Апельсины"/>
    <n v="2540"/>
    <n v="13"/>
    <x v="622"/>
  </r>
  <r>
    <d v="2023-03-18T00:00:00"/>
    <x v="1"/>
    <x v="1"/>
    <s v="Фрукты"/>
    <s v="Абрикосы"/>
    <n v="1320"/>
    <n v="39"/>
    <x v="623"/>
  </r>
  <r>
    <d v="2023-03-18T00:00:00"/>
    <x v="2"/>
    <x v="6"/>
    <s v="Зелень"/>
    <s v="Лук зеленый"/>
    <n v="705"/>
    <n v="55"/>
    <x v="624"/>
  </r>
  <r>
    <d v="2023-03-18T00:00:00"/>
    <x v="1"/>
    <x v="6"/>
    <s v="Зелень"/>
    <s v="Укроп"/>
    <n v="650"/>
    <n v="12"/>
    <x v="625"/>
  </r>
  <r>
    <d v="2023-03-18T00:00:00"/>
    <x v="2"/>
    <x v="6"/>
    <s v="Зелень"/>
    <s v="Кинза"/>
    <n v="650"/>
    <n v="18"/>
    <x v="480"/>
  </r>
  <r>
    <s v="18.03.2023 Итог"/>
    <x v="3"/>
    <x v="2"/>
    <m/>
    <m/>
    <m/>
    <m/>
    <x v="626"/>
  </r>
  <r>
    <d v="2023-03-19T00:00:00"/>
    <x v="2"/>
    <x v="3"/>
    <s v="Овощи"/>
    <s v="Картофель"/>
    <n v="690"/>
    <n v="85"/>
    <x v="627"/>
  </r>
  <r>
    <d v="2023-03-19T00:00:00"/>
    <x v="2"/>
    <x v="3"/>
    <s v="Фрукты"/>
    <s v="Груши"/>
    <n v="1420"/>
    <n v="81"/>
    <x v="252"/>
  </r>
  <r>
    <d v="2023-03-19T00:00:00"/>
    <x v="4"/>
    <x v="0"/>
    <s v="Зелень"/>
    <s v="Петрушка"/>
    <n v="640"/>
    <n v="77"/>
    <x v="297"/>
  </r>
  <r>
    <d v="2023-03-19T00:00:00"/>
    <x v="1"/>
    <x v="0"/>
    <s v="Овощи"/>
    <s v="Капуста"/>
    <n v="460"/>
    <n v="33"/>
    <x v="628"/>
  </r>
  <r>
    <d v="2023-03-19T00:00:00"/>
    <x v="4"/>
    <x v="4"/>
    <s v="Зелень"/>
    <s v="Салат римский"/>
    <n v="540"/>
    <n v="83"/>
    <x v="629"/>
  </r>
  <r>
    <d v="2023-03-19T00:00:00"/>
    <x v="2"/>
    <x v="4"/>
    <s v="Овощи"/>
    <s v="Баклажаны"/>
    <n v="890"/>
    <n v="72"/>
    <x v="630"/>
  </r>
  <r>
    <d v="2023-03-19T00:00:00"/>
    <x v="1"/>
    <x v="4"/>
    <s v="Фрукты"/>
    <s v="Бананы"/>
    <n v="2400"/>
    <n v="9"/>
    <x v="387"/>
  </r>
  <r>
    <d v="2023-03-19T00:00:00"/>
    <x v="4"/>
    <x v="1"/>
    <s v="Овощи"/>
    <s v="Капуста"/>
    <n v="460"/>
    <n v="44"/>
    <x v="587"/>
  </r>
  <r>
    <d v="2023-03-19T00:00:00"/>
    <x v="4"/>
    <x v="1"/>
    <s v="Овощи"/>
    <s v="Свекла"/>
    <n v="450"/>
    <n v="61"/>
    <x v="631"/>
  </r>
  <r>
    <d v="2023-03-19T00:00:00"/>
    <x v="2"/>
    <x v="1"/>
    <s v="Фрукты"/>
    <s v="Груши"/>
    <n v="1420"/>
    <n v="82"/>
    <x v="632"/>
  </r>
  <r>
    <d v="2023-03-19T00:00:00"/>
    <x v="4"/>
    <x v="5"/>
    <s v="Зелень"/>
    <s v="Салат айсберг"/>
    <n v="1380"/>
    <n v="43"/>
    <x v="147"/>
  </r>
  <r>
    <d v="2023-03-19T00:00:00"/>
    <x v="2"/>
    <x v="5"/>
    <s v="Овощи"/>
    <s v="Баклажаны"/>
    <n v="890"/>
    <n v="33"/>
    <x v="633"/>
  </r>
  <r>
    <d v="2023-03-19T00:00:00"/>
    <x v="0"/>
    <x v="5"/>
    <s v="Овощи"/>
    <s v="Кабачки"/>
    <n v="325"/>
    <n v="48"/>
    <x v="337"/>
  </r>
  <r>
    <d v="2023-03-19T00:00:00"/>
    <x v="1"/>
    <x v="5"/>
    <s v="Фрукты"/>
    <s v="Абрикосы"/>
    <n v="1320"/>
    <n v="27"/>
    <x v="577"/>
  </r>
  <r>
    <d v="2023-03-19T00:00:00"/>
    <x v="0"/>
    <x v="5"/>
    <s v="Фрукты"/>
    <s v="Яблоки"/>
    <n v="1230"/>
    <n v="71"/>
    <x v="634"/>
  </r>
  <r>
    <s v="19.03.2023 Итог"/>
    <x v="3"/>
    <x v="2"/>
    <m/>
    <m/>
    <m/>
    <m/>
    <x v="635"/>
  </r>
  <r>
    <d v="2023-03-20T00:00:00"/>
    <x v="4"/>
    <x v="3"/>
    <s v="Зелень"/>
    <s v="Салат римский"/>
    <n v="540"/>
    <n v="86"/>
    <x v="433"/>
  </r>
  <r>
    <d v="2023-03-20T00:00:00"/>
    <x v="4"/>
    <x v="3"/>
    <s v="Фрукты"/>
    <s v="Абрикосы"/>
    <n v="1320"/>
    <n v="84"/>
    <x v="95"/>
  </r>
  <r>
    <d v="2023-03-20T00:00:00"/>
    <x v="4"/>
    <x v="4"/>
    <s v="Зелень"/>
    <s v="Кинза"/>
    <n v="650"/>
    <n v="89"/>
    <x v="218"/>
  </r>
  <r>
    <d v="2023-03-20T00:00:00"/>
    <x v="0"/>
    <x v="1"/>
    <s v="Овощи"/>
    <s v="Морковь"/>
    <n v="715"/>
    <n v="5"/>
    <x v="271"/>
  </r>
  <r>
    <d v="2023-03-20T00:00:00"/>
    <x v="2"/>
    <x v="1"/>
    <s v="Ягоды"/>
    <s v="Брусника"/>
    <n v="1670"/>
    <n v="52"/>
    <x v="501"/>
  </r>
  <r>
    <d v="2023-03-20T00:00:00"/>
    <x v="1"/>
    <x v="5"/>
    <s v="Овощи"/>
    <s v="Капуста"/>
    <n v="460"/>
    <n v="48"/>
    <x v="253"/>
  </r>
  <r>
    <d v="2023-03-20T00:00:00"/>
    <x v="0"/>
    <x v="5"/>
    <s v="Овощи"/>
    <s v="Баклажаны"/>
    <n v="890"/>
    <n v="38"/>
    <x v="636"/>
  </r>
  <r>
    <d v="2023-03-20T00:00:00"/>
    <x v="4"/>
    <x v="5"/>
    <s v="Овощи"/>
    <s v="Свекла"/>
    <n v="450"/>
    <n v="77"/>
    <x v="637"/>
  </r>
  <r>
    <d v="2023-03-20T00:00:00"/>
    <x v="0"/>
    <x v="5"/>
    <s v="Фрукты"/>
    <s v="Сливы"/>
    <n v="930"/>
    <n v="29"/>
    <x v="638"/>
  </r>
  <r>
    <d v="2023-03-20T00:00:00"/>
    <x v="2"/>
    <x v="5"/>
    <s v="Фрукты"/>
    <s v="Груши"/>
    <n v="1420"/>
    <n v="37"/>
    <x v="276"/>
  </r>
  <r>
    <d v="2023-03-20T00:00:00"/>
    <x v="0"/>
    <x v="5"/>
    <s v="Ягоды"/>
    <s v="Смородина черная"/>
    <n v="1505"/>
    <n v="6"/>
    <x v="14"/>
  </r>
  <r>
    <d v="2023-03-20T00:00:00"/>
    <x v="0"/>
    <x v="6"/>
    <s v="Зелень"/>
    <s v="Укроп"/>
    <n v="650"/>
    <n v="71"/>
    <x v="161"/>
  </r>
  <r>
    <d v="2023-03-20T00:00:00"/>
    <x v="4"/>
    <x v="6"/>
    <s v="Ягоды"/>
    <s v="Черешня"/>
    <n v="1760"/>
    <n v="27"/>
    <x v="413"/>
  </r>
  <r>
    <s v="20.03.2023 Итог"/>
    <x v="3"/>
    <x v="2"/>
    <m/>
    <m/>
    <m/>
    <m/>
    <x v="639"/>
  </r>
  <r>
    <d v="2023-03-21T00:00:00"/>
    <x v="2"/>
    <x v="3"/>
    <s v="Зелень"/>
    <s v="Салат айсберг"/>
    <n v="1380"/>
    <n v="75"/>
    <x v="640"/>
  </r>
  <r>
    <d v="2023-03-21T00:00:00"/>
    <x v="4"/>
    <x v="3"/>
    <s v="Зелень"/>
    <s v="Салат римский"/>
    <n v="540"/>
    <n v="47"/>
    <x v="641"/>
  </r>
  <r>
    <d v="2023-03-21T00:00:00"/>
    <x v="0"/>
    <x v="3"/>
    <s v="Овощи"/>
    <s v="Картофель"/>
    <n v="690"/>
    <n v="84"/>
    <x v="69"/>
  </r>
  <r>
    <d v="2023-03-21T00:00:00"/>
    <x v="0"/>
    <x v="3"/>
    <s v="Ягоды"/>
    <s v="Голубика"/>
    <n v="3205"/>
    <n v="42"/>
    <x v="642"/>
  </r>
  <r>
    <d v="2023-03-21T00:00:00"/>
    <x v="2"/>
    <x v="3"/>
    <s v="Ягоды"/>
    <s v="Брусника"/>
    <n v="1670"/>
    <n v="95"/>
    <x v="643"/>
  </r>
  <r>
    <d v="2023-03-21T00:00:00"/>
    <x v="2"/>
    <x v="0"/>
    <s v="Зелень"/>
    <s v="Укроп"/>
    <n v="650"/>
    <n v="73"/>
    <x v="644"/>
  </r>
  <r>
    <d v="2023-03-21T00:00:00"/>
    <x v="4"/>
    <x v="4"/>
    <s v="Зелень"/>
    <s v="Салат римский"/>
    <n v="540"/>
    <n v="10"/>
    <x v="148"/>
  </r>
  <r>
    <d v="2023-03-21T00:00:00"/>
    <x v="0"/>
    <x v="4"/>
    <s v="Фрукты"/>
    <s v="Груши"/>
    <n v="1420"/>
    <n v="97"/>
    <x v="70"/>
  </r>
  <r>
    <d v="2023-03-21T00:00:00"/>
    <x v="1"/>
    <x v="1"/>
    <s v="Зелень"/>
    <s v="Укроп"/>
    <n v="650"/>
    <n v="41"/>
    <x v="645"/>
  </r>
  <r>
    <d v="2023-03-21T00:00:00"/>
    <x v="2"/>
    <x v="1"/>
    <s v="Овощи"/>
    <s v="Кабачки"/>
    <n v="325"/>
    <n v="80"/>
    <x v="376"/>
  </r>
  <r>
    <d v="2023-03-21T00:00:00"/>
    <x v="1"/>
    <x v="1"/>
    <s v="Ягоды"/>
    <s v="Малина"/>
    <n v="2970"/>
    <n v="85"/>
    <x v="646"/>
  </r>
  <r>
    <d v="2023-03-21T00:00:00"/>
    <x v="2"/>
    <x v="5"/>
    <s v="Зелень"/>
    <s v="Салат айсберг"/>
    <n v="1380"/>
    <n v="73"/>
    <x v="647"/>
  </r>
  <r>
    <d v="2023-03-21T00:00:00"/>
    <x v="4"/>
    <x v="6"/>
    <s v="Зелень"/>
    <s v="Кинза"/>
    <n v="650"/>
    <n v="63"/>
    <x v="175"/>
  </r>
  <r>
    <s v="21.03.2023 Итог"/>
    <x v="3"/>
    <x v="2"/>
    <m/>
    <m/>
    <m/>
    <m/>
    <x v="648"/>
  </r>
  <r>
    <d v="2023-03-22T00:00:00"/>
    <x v="4"/>
    <x v="3"/>
    <s v="Зелень"/>
    <s v="Петрушка"/>
    <n v="640"/>
    <n v="98"/>
    <x v="649"/>
  </r>
  <r>
    <d v="2023-03-22T00:00:00"/>
    <x v="2"/>
    <x v="0"/>
    <s v="Овощи"/>
    <s v="Капуста"/>
    <n v="460"/>
    <n v="61"/>
    <x v="650"/>
  </r>
  <r>
    <d v="2023-03-22T00:00:00"/>
    <x v="2"/>
    <x v="0"/>
    <s v="Ягоды"/>
    <s v="Смородина черная"/>
    <n v="1505"/>
    <n v="51"/>
    <x v="651"/>
  </r>
  <r>
    <d v="2023-03-22T00:00:00"/>
    <x v="1"/>
    <x v="4"/>
    <s v="Зелень"/>
    <s v="Петрушка"/>
    <n v="640"/>
    <n v="78"/>
    <x v="652"/>
  </r>
  <r>
    <d v="2023-03-22T00:00:00"/>
    <x v="1"/>
    <x v="4"/>
    <s v="Фрукты"/>
    <s v="Сливы"/>
    <n v="930"/>
    <n v="34"/>
    <x v="653"/>
  </r>
  <r>
    <d v="2023-03-22T00:00:00"/>
    <x v="1"/>
    <x v="1"/>
    <s v="Фрукты"/>
    <s v="Апельсины"/>
    <n v="2540"/>
    <n v="91"/>
    <x v="322"/>
  </r>
  <r>
    <d v="2023-03-22T00:00:00"/>
    <x v="1"/>
    <x v="1"/>
    <s v="Фрукты"/>
    <s v="Яблоки"/>
    <n v="1230"/>
    <n v="40"/>
    <x v="369"/>
  </r>
  <r>
    <d v="2023-03-22T00:00:00"/>
    <x v="4"/>
    <x v="5"/>
    <s v="Зелень"/>
    <s v="Салат римский"/>
    <n v="540"/>
    <n v="52"/>
    <x v="654"/>
  </r>
  <r>
    <d v="2023-03-22T00:00:00"/>
    <x v="0"/>
    <x v="5"/>
    <s v="Фрукты"/>
    <s v="Груши"/>
    <n v="1420"/>
    <n v="89"/>
    <x v="655"/>
  </r>
  <r>
    <s v="22.03.2023 Итог"/>
    <x v="3"/>
    <x v="2"/>
    <m/>
    <m/>
    <m/>
    <m/>
    <x v="656"/>
  </r>
  <r>
    <d v="2023-03-23T00:00:00"/>
    <x v="4"/>
    <x v="3"/>
    <s v="Фрукты"/>
    <s v="Груши"/>
    <n v="1420"/>
    <n v="20"/>
    <x v="657"/>
  </r>
  <r>
    <d v="2023-03-23T00:00:00"/>
    <x v="4"/>
    <x v="3"/>
    <s v="Фрукты"/>
    <s v="Апельсины"/>
    <n v="2540"/>
    <n v="21"/>
    <x v="658"/>
  </r>
  <r>
    <d v="2023-03-23T00:00:00"/>
    <x v="2"/>
    <x v="0"/>
    <s v="Зелень"/>
    <s v="Салат римский"/>
    <n v="540"/>
    <n v="6"/>
    <x v="438"/>
  </r>
  <r>
    <d v="2023-03-23T00:00:00"/>
    <x v="2"/>
    <x v="0"/>
    <s v="Овощи"/>
    <s v="Свекла"/>
    <n v="450"/>
    <n v="33"/>
    <x v="612"/>
  </r>
  <r>
    <d v="2023-03-23T00:00:00"/>
    <x v="1"/>
    <x v="4"/>
    <s v="Овощи"/>
    <s v="Капуста"/>
    <n v="460"/>
    <n v="83"/>
    <x v="8"/>
  </r>
  <r>
    <d v="2023-03-23T00:00:00"/>
    <x v="0"/>
    <x v="1"/>
    <s v="Фрукты"/>
    <s v="Абрикосы"/>
    <n v="1320"/>
    <n v="17"/>
    <x v="659"/>
  </r>
  <r>
    <d v="2023-03-23T00:00:00"/>
    <x v="2"/>
    <x v="5"/>
    <s v="Ягоды"/>
    <s v="Черешня"/>
    <n v="1760"/>
    <n v="33"/>
    <x v="660"/>
  </r>
  <r>
    <d v="2023-03-23T00:00:00"/>
    <x v="0"/>
    <x v="5"/>
    <s v="Ягоды"/>
    <s v="Голубика"/>
    <n v="3205"/>
    <n v="11"/>
    <x v="661"/>
  </r>
  <r>
    <d v="2023-03-23T00:00:00"/>
    <x v="4"/>
    <x v="6"/>
    <s v="Ягоды"/>
    <s v="Голубика"/>
    <n v="3205"/>
    <n v="41"/>
    <x v="662"/>
  </r>
  <r>
    <s v="23.03.2023 Итог"/>
    <x v="3"/>
    <x v="2"/>
    <m/>
    <m/>
    <m/>
    <m/>
    <x v="663"/>
  </r>
  <r>
    <d v="2023-03-24T00:00:00"/>
    <x v="0"/>
    <x v="4"/>
    <s v="Зелень"/>
    <s v="Кинза"/>
    <n v="650"/>
    <n v="71"/>
    <x v="161"/>
  </r>
  <r>
    <d v="2023-03-24T00:00:00"/>
    <x v="4"/>
    <x v="4"/>
    <s v="Овощи"/>
    <s v="Свекла"/>
    <n v="450"/>
    <n v="27"/>
    <x v="664"/>
  </r>
  <r>
    <d v="2023-03-24T00:00:00"/>
    <x v="2"/>
    <x v="4"/>
    <s v="Овощи"/>
    <s v="Картофель"/>
    <n v="690"/>
    <n v="27"/>
    <x v="383"/>
  </r>
  <r>
    <d v="2023-03-24T00:00:00"/>
    <x v="2"/>
    <x v="5"/>
    <s v="Зелень"/>
    <s v="Укроп"/>
    <n v="650"/>
    <n v="14"/>
    <x v="665"/>
  </r>
  <r>
    <d v="2023-03-24T00:00:00"/>
    <x v="0"/>
    <x v="6"/>
    <s v="Овощи"/>
    <s v="Свекла"/>
    <n v="450"/>
    <n v="78"/>
    <x v="158"/>
  </r>
  <r>
    <s v="24.03.2023 Итог"/>
    <x v="3"/>
    <x v="2"/>
    <m/>
    <m/>
    <m/>
    <m/>
    <x v="666"/>
  </r>
  <r>
    <d v="2023-03-25T00:00:00"/>
    <x v="1"/>
    <x v="0"/>
    <s v="Овощи"/>
    <s v="Картофель"/>
    <n v="690"/>
    <n v="32"/>
    <x v="253"/>
  </r>
  <r>
    <d v="2023-03-25T00:00:00"/>
    <x v="4"/>
    <x v="1"/>
    <s v="Зелень"/>
    <s v="Кинза"/>
    <n v="650"/>
    <n v="46"/>
    <x v="667"/>
  </r>
  <r>
    <d v="2023-03-25T00:00:00"/>
    <x v="4"/>
    <x v="1"/>
    <s v="Ягоды"/>
    <s v="Черешня"/>
    <n v="1760"/>
    <n v="75"/>
    <x v="524"/>
  </r>
  <r>
    <d v="2023-03-25T00:00:00"/>
    <x v="1"/>
    <x v="5"/>
    <s v="Фрукты"/>
    <s v="Сливы"/>
    <n v="930"/>
    <n v="67"/>
    <x v="668"/>
  </r>
  <r>
    <d v="2023-03-25T00:00:00"/>
    <x v="0"/>
    <x v="5"/>
    <s v="Фрукты"/>
    <s v="Яблоки"/>
    <n v="1230"/>
    <n v="95"/>
    <x v="669"/>
  </r>
  <r>
    <s v="25.03.2023 Итог"/>
    <x v="3"/>
    <x v="2"/>
    <m/>
    <m/>
    <m/>
    <m/>
    <x v="670"/>
  </r>
  <r>
    <d v="2023-03-26T00:00:00"/>
    <x v="4"/>
    <x v="3"/>
    <s v="Зелень"/>
    <s v="Лук зеленый"/>
    <n v="705"/>
    <n v="22"/>
    <x v="671"/>
  </r>
  <r>
    <d v="2023-03-26T00:00:00"/>
    <x v="0"/>
    <x v="3"/>
    <s v="Зелень"/>
    <s v="Укроп"/>
    <n v="650"/>
    <n v="8"/>
    <x v="672"/>
  </r>
  <r>
    <d v="2023-03-26T00:00:00"/>
    <x v="1"/>
    <x v="0"/>
    <s v="Овощи"/>
    <s v="Картофель"/>
    <n v="690"/>
    <n v="97"/>
    <x v="538"/>
  </r>
  <r>
    <d v="2023-03-26T00:00:00"/>
    <x v="4"/>
    <x v="0"/>
    <s v="Овощи"/>
    <s v="Кабачки"/>
    <n v="325"/>
    <n v="32"/>
    <x v="673"/>
  </r>
  <r>
    <d v="2023-03-26T00:00:00"/>
    <x v="1"/>
    <x v="0"/>
    <s v="Ягоды"/>
    <s v="Смородина черная"/>
    <n v="1505"/>
    <n v="34"/>
    <x v="674"/>
  </r>
  <r>
    <d v="2023-03-26T00:00:00"/>
    <x v="4"/>
    <x v="0"/>
    <s v="Ягоды"/>
    <s v="Малина"/>
    <n v="2970"/>
    <n v="92"/>
    <x v="675"/>
  </r>
  <r>
    <d v="2023-03-26T00:00:00"/>
    <x v="0"/>
    <x v="4"/>
    <s v="Фрукты"/>
    <s v="Апельсины"/>
    <n v="2540"/>
    <n v="65"/>
    <x v="292"/>
  </r>
  <r>
    <d v="2023-03-26T00:00:00"/>
    <x v="4"/>
    <x v="1"/>
    <s v="Зелень"/>
    <s v="Петрушка"/>
    <n v="640"/>
    <n v="40"/>
    <x v="676"/>
  </r>
  <r>
    <d v="2023-03-26T00:00:00"/>
    <x v="0"/>
    <x v="1"/>
    <s v="Овощи"/>
    <s v="Морковь"/>
    <n v="715"/>
    <n v="50"/>
    <x v="677"/>
  </r>
  <r>
    <d v="2023-03-26T00:00:00"/>
    <x v="0"/>
    <x v="1"/>
    <s v="Овощи"/>
    <s v="Баклажаны"/>
    <n v="890"/>
    <n v="89"/>
    <x v="678"/>
  </r>
  <r>
    <d v="2023-03-26T00:00:00"/>
    <x v="2"/>
    <x v="6"/>
    <s v="Овощи"/>
    <s v="Баклажаны"/>
    <n v="890"/>
    <n v="99"/>
    <x v="679"/>
  </r>
  <r>
    <s v="26.03.2023 Итог"/>
    <x v="3"/>
    <x v="2"/>
    <m/>
    <m/>
    <m/>
    <m/>
    <x v="680"/>
  </r>
  <r>
    <d v="2023-03-27T00:00:00"/>
    <x v="4"/>
    <x v="3"/>
    <s v="Овощи"/>
    <s v="Капуста"/>
    <n v="460"/>
    <n v="34"/>
    <x v="681"/>
  </r>
  <r>
    <d v="2023-03-27T00:00:00"/>
    <x v="2"/>
    <x v="0"/>
    <s v="Зелень"/>
    <s v="Салат римский"/>
    <n v="540"/>
    <n v="55"/>
    <x v="227"/>
  </r>
  <r>
    <d v="2023-03-27T00:00:00"/>
    <x v="2"/>
    <x v="4"/>
    <s v="Зелень"/>
    <s v="Кинза"/>
    <n v="650"/>
    <n v="67"/>
    <x v="498"/>
  </r>
  <r>
    <d v="2023-03-27T00:00:00"/>
    <x v="4"/>
    <x v="4"/>
    <s v="Овощи"/>
    <s v="Кабачки"/>
    <n v="325"/>
    <n v="37"/>
    <x v="260"/>
  </r>
  <r>
    <d v="2023-03-27T00:00:00"/>
    <x v="1"/>
    <x v="4"/>
    <s v="Ягоды"/>
    <s v="Голубика"/>
    <n v="3205"/>
    <n v="90"/>
    <x v="169"/>
  </r>
  <r>
    <d v="2023-03-27T00:00:00"/>
    <x v="4"/>
    <x v="1"/>
    <s v="Фрукты"/>
    <s v="Бананы"/>
    <n v="2400"/>
    <n v="8"/>
    <x v="191"/>
  </r>
  <r>
    <d v="2023-03-27T00:00:00"/>
    <x v="0"/>
    <x v="1"/>
    <s v="Фрукты"/>
    <s v="Сливы"/>
    <n v="930"/>
    <n v="38"/>
    <x v="280"/>
  </r>
  <r>
    <d v="2023-03-27T00:00:00"/>
    <x v="4"/>
    <x v="1"/>
    <s v="Фрукты"/>
    <s v="Апельсины"/>
    <n v="2540"/>
    <n v="51"/>
    <x v="682"/>
  </r>
  <r>
    <d v="2023-03-27T00:00:00"/>
    <x v="0"/>
    <x v="5"/>
    <s v="Зелень"/>
    <s v="Укроп"/>
    <n v="650"/>
    <n v="9"/>
    <x v="683"/>
  </r>
  <r>
    <d v="2023-03-27T00:00:00"/>
    <x v="2"/>
    <x v="5"/>
    <s v="Зелень"/>
    <s v="Лук зеленый"/>
    <n v="705"/>
    <n v="17"/>
    <x v="684"/>
  </r>
  <r>
    <d v="2023-03-27T00:00:00"/>
    <x v="4"/>
    <x v="5"/>
    <s v="Овощи"/>
    <s v="Морковь"/>
    <n v="715"/>
    <n v="54"/>
    <x v="603"/>
  </r>
  <r>
    <d v="2023-03-27T00:00:00"/>
    <x v="1"/>
    <x v="5"/>
    <s v="Фрукты"/>
    <s v="Яблоки"/>
    <n v="1230"/>
    <n v="58"/>
    <x v="613"/>
  </r>
  <r>
    <d v="2023-03-27T00:00:00"/>
    <x v="1"/>
    <x v="6"/>
    <s v="Ягоды"/>
    <s v="Малина"/>
    <n v="2970"/>
    <n v="49"/>
    <x v="685"/>
  </r>
  <r>
    <d v="2023-03-27T00:00:00"/>
    <x v="4"/>
    <x v="6"/>
    <s v="Ягоды"/>
    <s v="Голубика"/>
    <n v="3205"/>
    <n v="80"/>
    <x v="545"/>
  </r>
  <r>
    <s v="27.03.2023 Итог"/>
    <x v="3"/>
    <x v="2"/>
    <m/>
    <m/>
    <m/>
    <m/>
    <x v="686"/>
  </r>
  <r>
    <d v="2023-03-28T00:00:00"/>
    <x v="4"/>
    <x v="3"/>
    <s v="Зелень"/>
    <s v="Кинза"/>
    <n v="650"/>
    <n v="54"/>
    <x v="158"/>
  </r>
  <r>
    <d v="2023-03-28T00:00:00"/>
    <x v="1"/>
    <x v="3"/>
    <s v="Фрукты"/>
    <s v="Сливы"/>
    <n v="930"/>
    <n v="90"/>
    <x v="687"/>
  </r>
  <r>
    <d v="2023-03-28T00:00:00"/>
    <x v="1"/>
    <x v="0"/>
    <s v="Ягоды"/>
    <s v="Голубика"/>
    <n v="3205"/>
    <n v="74"/>
    <x v="557"/>
  </r>
  <r>
    <d v="2023-03-28T00:00:00"/>
    <x v="2"/>
    <x v="4"/>
    <s v="Ягоды"/>
    <s v="Голубика"/>
    <n v="3205"/>
    <n v="18"/>
    <x v="688"/>
  </r>
  <r>
    <d v="2023-03-28T00:00:00"/>
    <x v="1"/>
    <x v="1"/>
    <s v="Зелень"/>
    <s v="Укроп"/>
    <n v="650"/>
    <n v="27"/>
    <x v="689"/>
  </r>
  <r>
    <d v="2023-03-28T00:00:00"/>
    <x v="0"/>
    <x v="1"/>
    <s v="Овощи"/>
    <s v="Картофель"/>
    <n v="690"/>
    <n v="52"/>
    <x v="690"/>
  </r>
  <r>
    <d v="2023-03-28T00:00:00"/>
    <x v="0"/>
    <x v="5"/>
    <s v="Овощи"/>
    <s v="Морковь"/>
    <n v="715"/>
    <n v="79"/>
    <x v="240"/>
  </r>
  <r>
    <d v="2023-03-28T00:00:00"/>
    <x v="4"/>
    <x v="5"/>
    <s v="Овощи"/>
    <s v="Картофель"/>
    <n v="690"/>
    <n v="98"/>
    <x v="691"/>
  </r>
  <r>
    <d v="2023-03-28T00:00:00"/>
    <x v="2"/>
    <x v="5"/>
    <s v="Фрукты"/>
    <s v="Яблоки"/>
    <n v="1230"/>
    <n v="32"/>
    <x v="581"/>
  </r>
  <r>
    <d v="2023-03-28T00:00:00"/>
    <x v="0"/>
    <x v="6"/>
    <s v="Зелень"/>
    <s v="Петрушка"/>
    <n v="640"/>
    <n v="51"/>
    <x v="692"/>
  </r>
  <r>
    <d v="2023-03-28T00:00:00"/>
    <x v="2"/>
    <x v="6"/>
    <s v="Фрукты"/>
    <s v="Груши"/>
    <n v="1420"/>
    <n v="99"/>
    <x v="693"/>
  </r>
  <r>
    <s v="28.03.2023 Итог"/>
    <x v="3"/>
    <x v="2"/>
    <m/>
    <m/>
    <m/>
    <m/>
    <x v="694"/>
  </r>
  <r>
    <d v="2023-03-29T00:00:00"/>
    <x v="1"/>
    <x v="4"/>
    <s v="Ягоды"/>
    <s v="Брусника"/>
    <n v="1670"/>
    <n v="11"/>
    <x v="695"/>
  </r>
  <r>
    <d v="2023-03-29T00:00:00"/>
    <x v="0"/>
    <x v="1"/>
    <s v="Зелень"/>
    <s v="Салат айсберг"/>
    <n v="1380"/>
    <n v="23"/>
    <x v="610"/>
  </r>
  <r>
    <d v="2023-03-29T00:00:00"/>
    <x v="4"/>
    <x v="1"/>
    <s v="Ягоды"/>
    <s v="Брусника"/>
    <n v="1670"/>
    <n v="77"/>
    <x v="396"/>
  </r>
  <r>
    <d v="2023-03-29T00:00:00"/>
    <x v="0"/>
    <x v="5"/>
    <s v="Зелень"/>
    <s v="Салат айсберг"/>
    <n v="1380"/>
    <n v="81"/>
    <x v="696"/>
  </r>
  <r>
    <d v="2023-03-29T00:00:00"/>
    <x v="1"/>
    <x v="5"/>
    <s v="Зелень"/>
    <s v="Кинза"/>
    <n v="650"/>
    <n v="58"/>
    <x v="173"/>
  </r>
  <r>
    <d v="2023-03-29T00:00:00"/>
    <x v="4"/>
    <x v="5"/>
    <s v="Ягоды"/>
    <s v="Малина"/>
    <n v="2970"/>
    <n v="78"/>
    <x v="697"/>
  </r>
  <r>
    <s v="29.03.2023 Итог"/>
    <x v="3"/>
    <x v="2"/>
    <m/>
    <m/>
    <m/>
    <m/>
    <x v="698"/>
  </r>
  <r>
    <d v="2023-03-30T00:00:00"/>
    <x v="0"/>
    <x v="3"/>
    <s v="Зелень"/>
    <s v="Кинза"/>
    <n v="650"/>
    <n v="62"/>
    <x v="699"/>
  </r>
  <r>
    <d v="2023-03-30T00:00:00"/>
    <x v="4"/>
    <x v="3"/>
    <s v="Фрукты"/>
    <s v="Яблоки"/>
    <n v="1230"/>
    <n v="47"/>
    <x v="700"/>
  </r>
  <r>
    <d v="2023-03-30T00:00:00"/>
    <x v="1"/>
    <x v="3"/>
    <s v="Фрукты"/>
    <s v="Груши"/>
    <n v="1420"/>
    <n v="83"/>
    <x v="701"/>
  </r>
  <r>
    <d v="2023-03-30T00:00:00"/>
    <x v="1"/>
    <x v="0"/>
    <s v="Овощи"/>
    <s v="Картофель"/>
    <n v="690"/>
    <n v="82"/>
    <x v="556"/>
  </r>
  <r>
    <d v="2023-03-30T00:00:00"/>
    <x v="4"/>
    <x v="0"/>
    <s v="Фрукты"/>
    <s v="Абрикосы"/>
    <n v="1320"/>
    <n v="47"/>
    <x v="541"/>
  </r>
  <r>
    <d v="2023-03-30T00:00:00"/>
    <x v="1"/>
    <x v="4"/>
    <s v="Ягоды"/>
    <s v="Смородина черная"/>
    <n v="1505"/>
    <n v="78"/>
    <x v="702"/>
  </r>
  <r>
    <d v="2023-03-30T00:00:00"/>
    <x v="0"/>
    <x v="1"/>
    <s v="Ягоды"/>
    <s v="Черешня"/>
    <n v="1760"/>
    <n v="91"/>
    <x v="703"/>
  </r>
  <r>
    <d v="2023-03-30T00:00:00"/>
    <x v="4"/>
    <x v="5"/>
    <s v="Зелень"/>
    <s v="Салат римский"/>
    <n v="540"/>
    <n v="18"/>
    <x v="704"/>
  </r>
  <r>
    <d v="2023-03-30T00:00:00"/>
    <x v="2"/>
    <x v="5"/>
    <s v="Зелень"/>
    <s v="Лук зеленый"/>
    <n v="705"/>
    <n v="90"/>
    <x v="85"/>
  </r>
  <r>
    <s v="30.03.2023 Итог"/>
    <x v="3"/>
    <x v="2"/>
    <m/>
    <m/>
    <m/>
    <m/>
    <x v="705"/>
  </r>
  <r>
    <d v="2023-03-31T00:00:00"/>
    <x v="0"/>
    <x v="3"/>
    <s v="Фрукты"/>
    <s v="Апельсины"/>
    <n v="2540"/>
    <n v="48"/>
    <x v="706"/>
  </r>
  <r>
    <d v="2023-03-31T00:00:00"/>
    <x v="2"/>
    <x v="3"/>
    <s v="Ягоды"/>
    <s v="Черешня"/>
    <n v="1760"/>
    <n v="84"/>
    <x v="7"/>
  </r>
  <r>
    <d v="2023-03-31T00:00:00"/>
    <x v="1"/>
    <x v="0"/>
    <s v="Ягоды"/>
    <s v="Смородина черная"/>
    <n v="1505"/>
    <n v="46"/>
    <x v="707"/>
  </r>
  <r>
    <d v="2023-03-31T00:00:00"/>
    <x v="4"/>
    <x v="1"/>
    <s v="Зелень"/>
    <s v="Лук зеленый"/>
    <n v="705"/>
    <n v="5"/>
    <x v="708"/>
  </r>
  <r>
    <d v="2023-03-31T00:00:00"/>
    <x v="0"/>
    <x v="1"/>
    <s v="Зелень"/>
    <s v="Салат римский"/>
    <n v="540"/>
    <n v="76"/>
    <x v="709"/>
  </r>
  <r>
    <d v="2023-03-31T00:00:00"/>
    <x v="1"/>
    <x v="1"/>
    <s v="Зелень"/>
    <s v="Кинза"/>
    <n v="650"/>
    <n v="90"/>
    <x v="226"/>
  </r>
  <r>
    <d v="2023-03-31T00:00:00"/>
    <x v="1"/>
    <x v="1"/>
    <s v="Фрукты"/>
    <s v="Груши"/>
    <n v="1420"/>
    <n v="98"/>
    <x v="710"/>
  </r>
  <r>
    <d v="2023-03-31T00:00:00"/>
    <x v="1"/>
    <x v="5"/>
    <s v="Зелень"/>
    <s v="Салат айсберг"/>
    <n v="1380"/>
    <n v="43"/>
    <x v="147"/>
  </r>
  <r>
    <d v="2023-03-31T00:00:00"/>
    <x v="1"/>
    <x v="6"/>
    <s v="Зелень"/>
    <s v="Салат айсберг"/>
    <n v="1380"/>
    <n v="74"/>
    <x v="602"/>
  </r>
  <r>
    <d v="2023-03-31T00:00:00"/>
    <x v="2"/>
    <x v="6"/>
    <s v="Зелень"/>
    <s v="Петрушка"/>
    <n v="640"/>
    <n v="53"/>
    <x v="711"/>
  </r>
  <r>
    <s v="31.03.2023 Итог"/>
    <x v="3"/>
    <x v="2"/>
    <m/>
    <m/>
    <m/>
    <m/>
    <x v="712"/>
  </r>
  <r>
    <d v="2023-04-01T00:00:00"/>
    <x v="2"/>
    <x v="0"/>
    <s v="Фрукты"/>
    <s v="Сливы"/>
    <n v="930"/>
    <n v="47"/>
    <x v="713"/>
  </r>
  <r>
    <d v="2023-04-01T00:00:00"/>
    <x v="2"/>
    <x v="4"/>
    <s v="Зелень"/>
    <s v="Кинза"/>
    <n v="650"/>
    <n v="52"/>
    <x v="714"/>
  </r>
  <r>
    <d v="2023-04-01T00:00:00"/>
    <x v="2"/>
    <x v="4"/>
    <s v="Зелень"/>
    <s v="Лук зеленый"/>
    <n v="705"/>
    <n v="5"/>
    <x v="708"/>
  </r>
  <r>
    <d v="2023-04-01T00:00:00"/>
    <x v="1"/>
    <x v="4"/>
    <s v="Овощи"/>
    <s v="Свекла"/>
    <n v="450"/>
    <n v="56"/>
    <x v="715"/>
  </r>
  <r>
    <d v="2023-04-01T00:00:00"/>
    <x v="2"/>
    <x v="1"/>
    <s v="Зелень"/>
    <s v="Салат айсберг"/>
    <n v="1380"/>
    <n v="34"/>
    <x v="180"/>
  </r>
  <r>
    <d v="2023-04-01T00:00:00"/>
    <x v="0"/>
    <x v="1"/>
    <s v="Овощи"/>
    <s v="Кабачки"/>
    <n v="325"/>
    <n v="18"/>
    <x v="683"/>
  </r>
  <r>
    <d v="2023-04-01T00:00:00"/>
    <x v="1"/>
    <x v="1"/>
    <s v="Овощи"/>
    <s v="Кабачки"/>
    <n v="325"/>
    <n v="23"/>
    <x v="716"/>
  </r>
  <r>
    <d v="2023-04-01T00:00:00"/>
    <x v="4"/>
    <x v="5"/>
    <s v="Зелень"/>
    <s v="Лук зеленый"/>
    <n v="705"/>
    <n v="78"/>
    <x v="717"/>
  </r>
  <r>
    <s v="01.04.2023 Итог"/>
    <x v="3"/>
    <x v="2"/>
    <m/>
    <m/>
    <m/>
    <m/>
    <x v="718"/>
  </r>
  <r>
    <d v="2023-04-02T00:00:00"/>
    <x v="0"/>
    <x v="3"/>
    <s v="Фрукты"/>
    <s v="Яблоки"/>
    <n v="1230"/>
    <n v="29"/>
    <x v="719"/>
  </r>
  <r>
    <d v="2023-04-02T00:00:00"/>
    <x v="4"/>
    <x v="3"/>
    <s v="Ягоды"/>
    <s v="Брусника"/>
    <n v="1670"/>
    <n v="78"/>
    <x v="720"/>
  </r>
  <r>
    <d v="2023-04-02T00:00:00"/>
    <x v="1"/>
    <x v="1"/>
    <s v="Ягоды"/>
    <s v="Черешня"/>
    <n v="1760"/>
    <n v="92"/>
    <x v="176"/>
  </r>
  <r>
    <d v="2023-04-02T00:00:00"/>
    <x v="4"/>
    <x v="5"/>
    <s v="Зелень"/>
    <s v="Салат айсберг"/>
    <n v="1380"/>
    <n v="68"/>
    <x v="721"/>
  </r>
  <r>
    <d v="2023-04-02T00:00:00"/>
    <x v="0"/>
    <x v="6"/>
    <s v="Овощи"/>
    <s v="Кабачки"/>
    <n v="325"/>
    <n v="5"/>
    <x v="611"/>
  </r>
  <r>
    <d v="2023-04-02T00:00:00"/>
    <x v="2"/>
    <x v="6"/>
    <s v="Фрукты"/>
    <s v="Бананы"/>
    <n v="2400"/>
    <n v="76"/>
    <x v="722"/>
  </r>
  <r>
    <d v="2023-04-02T00:00:00"/>
    <x v="2"/>
    <x v="6"/>
    <s v="Ягоды"/>
    <s v="Смородина черная"/>
    <n v="1505"/>
    <n v="34"/>
    <x v="674"/>
  </r>
  <r>
    <s v="02.04.2023 Итог"/>
    <x v="3"/>
    <x v="2"/>
    <m/>
    <m/>
    <m/>
    <m/>
    <x v="723"/>
  </r>
  <r>
    <d v="2023-04-03T00:00:00"/>
    <x v="4"/>
    <x v="3"/>
    <s v="Фрукты"/>
    <s v="Бананы"/>
    <n v="2400"/>
    <n v="21"/>
    <x v="724"/>
  </r>
  <r>
    <d v="2023-04-03T00:00:00"/>
    <x v="0"/>
    <x v="0"/>
    <s v="Фрукты"/>
    <s v="Бананы"/>
    <n v="2400"/>
    <n v="27"/>
    <x v="725"/>
  </r>
  <r>
    <d v="2023-04-03T00:00:00"/>
    <x v="2"/>
    <x v="0"/>
    <s v="Ягоды"/>
    <s v="Голубика"/>
    <n v="3205"/>
    <n v="81"/>
    <x v="540"/>
  </r>
  <r>
    <d v="2023-04-03T00:00:00"/>
    <x v="4"/>
    <x v="4"/>
    <s v="Овощи"/>
    <s v="Картофель"/>
    <n v="690"/>
    <n v="10"/>
    <x v="726"/>
  </r>
  <r>
    <d v="2023-04-03T00:00:00"/>
    <x v="2"/>
    <x v="4"/>
    <s v="Овощи"/>
    <s v="Свекла"/>
    <n v="450"/>
    <n v="74"/>
    <x v="124"/>
  </r>
  <r>
    <d v="2023-04-03T00:00:00"/>
    <x v="4"/>
    <x v="4"/>
    <s v="Фрукты"/>
    <s v="Бананы"/>
    <n v="2400"/>
    <n v="72"/>
    <x v="727"/>
  </r>
  <r>
    <d v="2023-04-03T00:00:00"/>
    <x v="0"/>
    <x v="4"/>
    <s v="Фрукты"/>
    <s v="Апельсины"/>
    <n v="2540"/>
    <n v="79"/>
    <x v="728"/>
  </r>
  <r>
    <d v="2023-04-03T00:00:00"/>
    <x v="1"/>
    <x v="1"/>
    <s v="Овощи"/>
    <s v="Кабачки"/>
    <n v="325"/>
    <n v="81"/>
    <x v="190"/>
  </r>
  <r>
    <d v="2023-04-03T00:00:00"/>
    <x v="4"/>
    <x v="1"/>
    <s v="Фрукты"/>
    <s v="Сливы"/>
    <n v="930"/>
    <n v="89"/>
    <x v="729"/>
  </r>
  <r>
    <d v="2023-04-03T00:00:00"/>
    <x v="0"/>
    <x v="5"/>
    <s v="Овощи"/>
    <s v="Баклажаны"/>
    <n v="890"/>
    <n v="8"/>
    <x v="459"/>
  </r>
  <r>
    <s v="03.04.2023 Итог"/>
    <x v="3"/>
    <x v="2"/>
    <m/>
    <m/>
    <m/>
    <m/>
    <x v="730"/>
  </r>
  <r>
    <d v="2023-04-04T00:00:00"/>
    <x v="2"/>
    <x v="3"/>
    <s v="Фрукты"/>
    <s v="Сливы"/>
    <n v="930"/>
    <n v="40"/>
    <x v="372"/>
  </r>
  <r>
    <d v="2023-04-04T00:00:00"/>
    <x v="4"/>
    <x v="3"/>
    <s v="Фрукты"/>
    <s v="Яблоки"/>
    <n v="1230"/>
    <n v="33"/>
    <x v="233"/>
  </r>
  <r>
    <d v="2023-04-04T00:00:00"/>
    <x v="1"/>
    <x v="3"/>
    <s v="Ягоды"/>
    <s v="Смородина черная"/>
    <n v="1505"/>
    <n v="74"/>
    <x v="731"/>
  </r>
  <r>
    <d v="2023-04-04T00:00:00"/>
    <x v="2"/>
    <x v="4"/>
    <s v="Овощи"/>
    <s v="Свекла"/>
    <n v="450"/>
    <n v="99"/>
    <x v="414"/>
  </r>
  <r>
    <d v="2023-04-04T00:00:00"/>
    <x v="1"/>
    <x v="4"/>
    <s v="Фрукты"/>
    <s v="Сливы"/>
    <n v="930"/>
    <n v="22"/>
    <x v="120"/>
  </r>
  <r>
    <d v="2023-04-04T00:00:00"/>
    <x v="4"/>
    <x v="1"/>
    <s v="Фрукты"/>
    <s v="Абрикосы"/>
    <n v="1320"/>
    <n v="17"/>
    <x v="659"/>
  </r>
  <r>
    <d v="2023-04-04T00:00:00"/>
    <x v="2"/>
    <x v="1"/>
    <s v="Фрукты"/>
    <s v="Яблоки"/>
    <n v="1230"/>
    <n v="94"/>
    <x v="732"/>
  </r>
  <r>
    <d v="2023-04-04T00:00:00"/>
    <x v="1"/>
    <x v="5"/>
    <s v="Ягоды"/>
    <s v="Брусника"/>
    <n v="1670"/>
    <n v="51"/>
    <x v="733"/>
  </r>
  <r>
    <d v="2023-04-04T00:00:00"/>
    <x v="1"/>
    <x v="6"/>
    <s v="Зелень"/>
    <s v="Салат айсберг"/>
    <n v="1380"/>
    <n v="53"/>
    <x v="734"/>
  </r>
  <r>
    <d v="2023-04-04T00:00:00"/>
    <x v="1"/>
    <x v="6"/>
    <s v="Овощи"/>
    <s v="Капуста"/>
    <n v="460"/>
    <n v="28"/>
    <x v="735"/>
  </r>
  <r>
    <d v="2023-04-04T00:00:00"/>
    <x v="2"/>
    <x v="6"/>
    <s v="Овощи"/>
    <s v="Баклажаны"/>
    <n v="890"/>
    <n v="18"/>
    <x v="324"/>
  </r>
  <r>
    <d v="2023-04-04T00:00:00"/>
    <x v="2"/>
    <x v="6"/>
    <s v="Фрукты"/>
    <s v="Груши"/>
    <n v="1420"/>
    <n v="90"/>
    <x v="736"/>
  </r>
  <r>
    <s v="04.04.2023 Итог"/>
    <x v="3"/>
    <x v="2"/>
    <m/>
    <m/>
    <m/>
    <m/>
    <x v="737"/>
  </r>
  <r>
    <d v="2023-04-05T00:00:00"/>
    <x v="0"/>
    <x v="3"/>
    <s v="Овощи"/>
    <s v="Картофель"/>
    <n v="690"/>
    <n v="41"/>
    <x v="738"/>
  </r>
  <r>
    <d v="2023-04-05T00:00:00"/>
    <x v="2"/>
    <x v="0"/>
    <s v="Овощи"/>
    <s v="Капуста"/>
    <n v="460"/>
    <n v="12"/>
    <x v="241"/>
  </r>
  <r>
    <d v="2023-04-05T00:00:00"/>
    <x v="0"/>
    <x v="4"/>
    <s v="Фрукты"/>
    <s v="Абрикосы"/>
    <n v="1320"/>
    <n v="94"/>
    <x v="739"/>
  </r>
  <r>
    <d v="2023-04-05T00:00:00"/>
    <x v="0"/>
    <x v="1"/>
    <s v="Зелень"/>
    <s v="Салат айсберг"/>
    <n v="1380"/>
    <n v="69"/>
    <x v="740"/>
  </r>
  <r>
    <d v="2023-04-05T00:00:00"/>
    <x v="2"/>
    <x v="6"/>
    <s v="Зелень"/>
    <s v="Салат айсберг"/>
    <n v="1380"/>
    <n v="95"/>
    <x v="741"/>
  </r>
  <r>
    <d v="2023-04-05T00:00:00"/>
    <x v="2"/>
    <x v="6"/>
    <s v="Зелень"/>
    <s v="Кинза"/>
    <n v="650"/>
    <n v="73"/>
    <x v="644"/>
  </r>
  <r>
    <s v="05.04.2023 Итог"/>
    <x v="3"/>
    <x v="2"/>
    <m/>
    <m/>
    <m/>
    <m/>
    <x v="742"/>
  </r>
  <r>
    <d v="2023-04-06T00:00:00"/>
    <x v="2"/>
    <x v="3"/>
    <s v="Овощи"/>
    <s v="Свекла"/>
    <n v="450"/>
    <n v="38"/>
    <x v="743"/>
  </r>
  <r>
    <d v="2023-04-06T00:00:00"/>
    <x v="0"/>
    <x v="3"/>
    <s v="Овощи"/>
    <s v="Картофель"/>
    <n v="690"/>
    <n v="66"/>
    <x v="744"/>
  </r>
  <r>
    <d v="2023-04-06T00:00:00"/>
    <x v="1"/>
    <x v="3"/>
    <s v="Овощи"/>
    <s v="Кабачки"/>
    <n v="325"/>
    <n v="64"/>
    <x v="237"/>
  </r>
  <r>
    <d v="2023-04-06T00:00:00"/>
    <x v="2"/>
    <x v="0"/>
    <s v="Овощи"/>
    <s v="Свекла"/>
    <n v="450"/>
    <n v="48"/>
    <x v="387"/>
  </r>
  <r>
    <d v="2023-04-06T00:00:00"/>
    <x v="0"/>
    <x v="0"/>
    <s v="Ягоды"/>
    <s v="Черешня"/>
    <n v="1760"/>
    <n v="49"/>
    <x v="399"/>
  </r>
  <r>
    <d v="2023-04-06T00:00:00"/>
    <x v="2"/>
    <x v="4"/>
    <s v="Овощи"/>
    <s v="Картофель"/>
    <n v="690"/>
    <n v="40"/>
    <x v="745"/>
  </r>
  <r>
    <d v="2023-04-06T00:00:00"/>
    <x v="1"/>
    <x v="4"/>
    <s v="Фрукты"/>
    <s v="Яблоки"/>
    <n v="1230"/>
    <n v="28"/>
    <x v="555"/>
  </r>
  <r>
    <d v="2023-04-06T00:00:00"/>
    <x v="0"/>
    <x v="4"/>
    <s v="Ягоды"/>
    <s v="Клубника"/>
    <n v="2460"/>
    <n v="67"/>
    <x v="34"/>
  </r>
  <r>
    <d v="2023-04-06T00:00:00"/>
    <x v="4"/>
    <x v="1"/>
    <s v="Овощи"/>
    <s v="Капуста"/>
    <n v="460"/>
    <n v="71"/>
    <x v="408"/>
  </r>
  <r>
    <d v="2023-04-06T00:00:00"/>
    <x v="0"/>
    <x v="1"/>
    <s v="Овощи"/>
    <s v="Морковь"/>
    <n v="715"/>
    <n v="44"/>
    <x v="746"/>
  </r>
  <r>
    <d v="2023-04-06T00:00:00"/>
    <x v="4"/>
    <x v="5"/>
    <s v="Зелень"/>
    <s v="Кинза"/>
    <n v="650"/>
    <n v="84"/>
    <x v="747"/>
  </r>
  <r>
    <d v="2023-04-06T00:00:00"/>
    <x v="4"/>
    <x v="6"/>
    <s v="Зелень"/>
    <s v="Петрушка"/>
    <n v="640"/>
    <n v="88"/>
    <x v="429"/>
  </r>
  <r>
    <d v="2023-04-06T00:00:00"/>
    <x v="2"/>
    <x v="6"/>
    <s v="Фрукты"/>
    <s v="Бананы"/>
    <n v="2400"/>
    <n v="29"/>
    <x v="748"/>
  </r>
  <r>
    <s v="06.04.2023 Итог"/>
    <x v="3"/>
    <x v="2"/>
    <m/>
    <m/>
    <m/>
    <m/>
    <x v="749"/>
  </r>
  <r>
    <d v="2023-04-07T00:00:00"/>
    <x v="4"/>
    <x v="3"/>
    <s v="Овощи"/>
    <s v="Свекла"/>
    <n v="450"/>
    <n v="27"/>
    <x v="664"/>
  </r>
  <r>
    <d v="2023-04-07T00:00:00"/>
    <x v="4"/>
    <x v="3"/>
    <s v="Овощи"/>
    <s v="Капуста"/>
    <n v="460"/>
    <n v="55"/>
    <x v="750"/>
  </r>
  <r>
    <d v="2023-04-07T00:00:00"/>
    <x v="2"/>
    <x v="3"/>
    <s v="Ягоды"/>
    <s v="Голубика"/>
    <n v="3205"/>
    <n v="89"/>
    <x v="751"/>
  </r>
  <r>
    <d v="2023-04-07T00:00:00"/>
    <x v="0"/>
    <x v="0"/>
    <s v="Зелень"/>
    <s v="Лук зеленый"/>
    <n v="705"/>
    <n v="92"/>
    <x v="752"/>
  </r>
  <r>
    <d v="2023-04-07T00:00:00"/>
    <x v="2"/>
    <x v="0"/>
    <s v="Овощи"/>
    <s v="Картофель"/>
    <n v="690"/>
    <n v="52"/>
    <x v="690"/>
  </r>
  <r>
    <d v="2023-04-07T00:00:00"/>
    <x v="1"/>
    <x v="0"/>
    <s v="Ягоды"/>
    <s v="Малина"/>
    <n v="2970"/>
    <n v="85"/>
    <x v="646"/>
  </r>
  <r>
    <d v="2023-04-07T00:00:00"/>
    <x v="2"/>
    <x v="1"/>
    <s v="Овощи"/>
    <s v="Морковь"/>
    <n v="715"/>
    <n v="73"/>
    <x v="211"/>
  </r>
  <r>
    <d v="2023-04-07T00:00:00"/>
    <x v="0"/>
    <x v="1"/>
    <s v="Овощи"/>
    <s v="Кабачки"/>
    <n v="325"/>
    <n v="29"/>
    <x v="753"/>
  </r>
  <r>
    <d v="2023-04-07T00:00:00"/>
    <x v="4"/>
    <x v="1"/>
    <s v="Ягоды"/>
    <s v="Смородина черная"/>
    <n v="1505"/>
    <n v="59"/>
    <x v="754"/>
  </r>
  <r>
    <d v="2023-04-07T00:00:00"/>
    <x v="2"/>
    <x v="5"/>
    <s v="Фрукты"/>
    <s v="Апельсины"/>
    <n v="2540"/>
    <n v="40"/>
    <x v="755"/>
  </r>
  <r>
    <d v="2023-04-07T00:00:00"/>
    <x v="1"/>
    <x v="6"/>
    <s v="Овощи"/>
    <s v="Капуста"/>
    <n v="460"/>
    <n v="93"/>
    <x v="224"/>
  </r>
  <r>
    <d v="2023-04-07T00:00:00"/>
    <x v="0"/>
    <x v="6"/>
    <s v="Овощи"/>
    <s v="Кабачки"/>
    <n v="325"/>
    <n v="72"/>
    <x v="756"/>
  </r>
  <r>
    <d v="2023-04-07T00:00:00"/>
    <x v="4"/>
    <x v="6"/>
    <s v="Фрукты"/>
    <s v="Абрикосы"/>
    <n v="1320"/>
    <n v="51"/>
    <x v="757"/>
  </r>
  <r>
    <s v="07.04.2023 Итог"/>
    <x v="3"/>
    <x v="2"/>
    <m/>
    <m/>
    <m/>
    <m/>
    <x v="758"/>
  </r>
  <r>
    <d v="2023-04-08T00:00:00"/>
    <x v="1"/>
    <x v="3"/>
    <s v="Ягоды"/>
    <s v="Черешня"/>
    <n v="1760"/>
    <n v="57"/>
    <x v="759"/>
  </r>
  <r>
    <d v="2023-04-08T00:00:00"/>
    <x v="0"/>
    <x v="0"/>
    <s v="Зелень"/>
    <s v="Укроп"/>
    <n v="650"/>
    <n v="99"/>
    <x v="221"/>
  </r>
  <r>
    <d v="2023-04-08T00:00:00"/>
    <x v="2"/>
    <x v="0"/>
    <s v="Зелень"/>
    <s v="Лук зеленый"/>
    <n v="705"/>
    <n v="76"/>
    <x v="760"/>
  </r>
  <r>
    <d v="2023-04-08T00:00:00"/>
    <x v="1"/>
    <x v="4"/>
    <s v="Фрукты"/>
    <s v="Апельсины"/>
    <n v="2540"/>
    <n v="91"/>
    <x v="322"/>
  </r>
  <r>
    <d v="2023-04-08T00:00:00"/>
    <x v="1"/>
    <x v="5"/>
    <s v="Овощи"/>
    <s v="Морковь"/>
    <n v="715"/>
    <n v="25"/>
    <x v="149"/>
  </r>
  <r>
    <s v="08.04.2023 Итог"/>
    <x v="3"/>
    <x v="2"/>
    <m/>
    <m/>
    <m/>
    <m/>
    <x v="761"/>
  </r>
  <r>
    <d v="2023-04-09T00:00:00"/>
    <x v="0"/>
    <x v="3"/>
    <s v="Овощи"/>
    <s v="Кабачки"/>
    <n v="325"/>
    <n v="81"/>
    <x v="190"/>
  </r>
  <r>
    <d v="2023-04-09T00:00:00"/>
    <x v="4"/>
    <x v="3"/>
    <s v="Овощи"/>
    <s v="Баклажаны"/>
    <n v="890"/>
    <n v="27"/>
    <x v="287"/>
  </r>
  <r>
    <d v="2023-04-09T00:00:00"/>
    <x v="4"/>
    <x v="0"/>
    <s v="Овощи"/>
    <s v="Кабачки"/>
    <n v="325"/>
    <n v="85"/>
    <x v="762"/>
  </r>
  <r>
    <d v="2023-04-09T00:00:00"/>
    <x v="4"/>
    <x v="0"/>
    <s v="Фрукты"/>
    <s v="Сливы"/>
    <n v="930"/>
    <n v="6"/>
    <x v="279"/>
  </r>
  <r>
    <d v="2023-04-09T00:00:00"/>
    <x v="0"/>
    <x v="0"/>
    <s v="Ягоды"/>
    <s v="Малина"/>
    <n v="2970"/>
    <n v="12"/>
    <x v="577"/>
  </r>
  <r>
    <d v="2023-04-09T00:00:00"/>
    <x v="4"/>
    <x v="4"/>
    <s v="Зелень"/>
    <s v="Укроп"/>
    <n v="650"/>
    <n v="52"/>
    <x v="714"/>
  </r>
  <r>
    <d v="2023-04-09T00:00:00"/>
    <x v="0"/>
    <x v="4"/>
    <s v="Фрукты"/>
    <s v="Абрикосы"/>
    <n v="1320"/>
    <n v="100"/>
    <x v="524"/>
  </r>
  <r>
    <d v="2023-04-09T00:00:00"/>
    <x v="4"/>
    <x v="1"/>
    <s v="Овощи"/>
    <s v="Морковь"/>
    <n v="715"/>
    <n v="61"/>
    <x v="763"/>
  </r>
  <r>
    <d v="2023-04-09T00:00:00"/>
    <x v="2"/>
    <x v="1"/>
    <s v="Ягоды"/>
    <s v="Голубика"/>
    <n v="3205"/>
    <n v="80"/>
    <x v="545"/>
  </r>
  <r>
    <d v="2023-04-09T00:00:00"/>
    <x v="1"/>
    <x v="5"/>
    <s v="Ягоды"/>
    <s v="Брусника"/>
    <n v="1670"/>
    <n v="79"/>
    <x v="764"/>
  </r>
  <r>
    <s v="09.04.2023 Итог"/>
    <x v="3"/>
    <x v="2"/>
    <m/>
    <m/>
    <m/>
    <m/>
    <x v="765"/>
  </r>
  <r>
    <d v="2023-04-10T00:00:00"/>
    <x v="4"/>
    <x v="3"/>
    <s v="Овощи"/>
    <s v="Капуста"/>
    <n v="460"/>
    <n v="55"/>
    <x v="750"/>
  </r>
  <r>
    <d v="2023-04-10T00:00:00"/>
    <x v="2"/>
    <x v="3"/>
    <s v="Фрукты"/>
    <s v="Груши"/>
    <n v="1420"/>
    <n v="39"/>
    <x v="766"/>
  </r>
  <r>
    <d v="2023-04-10T00:00:00"/>
    <x v="1"/>
    <x v="0"/>
    <s v="Овощи"/>
    <s v="Картофель"/>
    <n v="690"/>
    <n v="16"/>
    <x v="51"/>
  </r>
  <r>
    <d v="2023-04-10T00:00:00"/>
    <x v="1"/>
    <x v="0"/>
    <s v="Фрукты"/>
    <s v="Груши"/>
    <n v="1420"/>
    <n v="33"/>
    <x v="767"/>
  </r>
  <r>
    <d v="2023-04-10T00:00:00"/>
    <x v="2"/>
    <x v="4"/>
    <s v="Овощи"/>
    <s v="Кабачки"/>
    <n v="325"/>
    <n v="77"/>
    <x v="768"/>
  </r>
  <r>
    <d v="2023-04-10T00:00:00"/>
    <x v="1"/>
    <x v="1"/>
    <s v="Фрукты"/>
    <s v="Абрикосы"/>
    <n v="1320"/>
    <n v="80"/>
    <x v="769"/>
  </r>
  <r>
    <d v="2023-04-10T00:00:00"/>
    <x v="1"/>
    <x v="1"/>
    <s v="Фрукты"/>
    <s v="Бананы"/>
    <n v="2400"/>
    <n v="15"/>
    <x v="770"/>
  </r>
  <r>
    <d v="2023-04-10T00:00:00"/>
    <x v="4"/>
    <x v="1"/>
    <s v="Ягоды"/>
    <s v="Брусника"/>
    <n v="1670"/>
    <n v="8"/>
    <x v="264"/>
  </r>
  <r>
    <d v="2023-04-10T00:00:00"/>
    <x v="1"/>
    <x v="5"/>
    <s v="Овощи"/>
    <s v="Баклажаны"/>
    <n v="890"/>
    <n v="86"/>
    <x v="771"/>
  </r>
  <r>
    <d v="2023-04-10T00:00:00"/>
    <x v="1"/>
    <x v="5"/>
    <s v="Фрукты"/>
    <s v="Яблоки"/>
    <n v="1230"/>
    <n v="15"/>
    <x v="772"/>
  </r>
  <r>
    <d v="2023-04-10T00:00:00"/>
    <x v="4"/>
    <x v="5"/>
    <s v="Ягоды"/>
    <s v="Малина"/>
    <n v="2970"/>
    <n v="12"/>
    <x v="577"/>
  </r>
  <r>
    <d v="2023-04-10T00:00:00"/>
    <x v="0"/>
    <x v="6"/>
    <s v="Овощи"/>
    <s v="Баклажаны"/>
    <n v="890"/>
    <n v="51"/>
    <x v="773"/>
  </r>
  <r>
    <d v="2023-04-10T00:00:00"/>
    <x v="1"/>
    <x v="6"/>
    <s v="Фрукты"/>
    <s v="Абрикосы"/>
    <n v="1320"/>
    <n v="55"/>
    <x v="774"/>
  </r>
  <r>
    <s v="10.04.2023 Итог"/>
    <x v="3"/>
    <x v="2"/>
    <m/>
    <m/>
    <m/>
    <m/>
    <x v="775"/>
  </r>
  <r>
    <d v="2023-04-11T00:00:00"/>
    <x v="2"/>
    <x v="3"/>
    <s v="Ягоды"/>
    <s v="Малина"/>
    <n v="2970"/>
    <n v="48"/>
    <x v="296"/>
  </r>
  <r>
    <d v="2023-04-11T00:00:00"/>
    <x v="2"/>
    <x v="0"/>
    <s v="Ягоды"/>
    <s v="Черешня"/>
    <n v="1760"/>
    <n v="34"/>
    <x v="776"/>
  </r>
  <r>
    <d v="2023-04-11T00:00:00"/>
    <x v="0"/>
    <x v="4"/>
    <s v="Фрукты"/>
    <s v="Яблоки"/>
    <n v="1230"/>
    <n v="26"/>
    <x v="108"/>
  </r>
  <r>
    <d v="2023-04-11T00:00:00"/>
    <x v="4"/>
    <x v="1"/>
    <s v="Фрукты"/>
    <s v="Груши"/>
    <n v="1420"/>
    <n v="43"/>
    <x v="777"/>
  </r>
  <r>
    <d v="2023-04-11T00:00:00"/>
    <x v="4"/>
    <x v="1"/>
    <s v="Фрукты"/>
    <s v="Бананы"/>
    <n v="2400"/>
    <n v="48"/>
    <x v="778"/>
  </r>
  <r>
    <d v="2023-04-11T00:00:00"/>
    <x v="0"/>
    <x v="5"/>
    <s v="Фрукты"/>
    <s v="Абрикосы"/>
    <n v="1320"/>
    <n v="89"/>
    <x v="779"/>
  </r>
  <r>
    <d v="2023-04-11T00:00:00"/>
    <x v="2"/>
    <x v="6"/>
    <s v="Зелень"/>
    <s v="Кинза"/>
    <n v="650"/>
    <n v="64"/>
    <x v="15"/>
  </r>
  <r>
    <d v="2023-04-11T00:00:00"/>
    <x v="4"/>
    <x v="6"/>
    <s v="Овощи"/>
    <s v="Кабачки"/>
    <n v="325"/>
    <n v="58"/>
    <x v="46"/>
  </r>
  <r>
    <s v="11.04.2023 Итог"/>
    <x v="3"/>
    <x v="2"/>
    <m/>
    <m/>
    <m/>
    <m/>
    <x v="780"/>
  </r>
  <r>
    <d v="2023-04-12T00:00:00"/>
    <x v="1"/>
    <x v="3"/>
    <s v="Ягоды"/>
    <s v="Малина"/>
    <n v="2970"/>
    <n v="66"/>
    <x v="781"/>
  </r>
  <r>
    <d v="2023-04-12T00:00:00"/>
    <x v="1"/>
    <x v="0"/>
    <s v="Зелень"/>
    <s v="Кинза"/>
    <n v="650"/>
    <n v="53"/>
    <x v="782"/>
  </r>
  <r>
    <d v="2023-04-12T00:00:00"/>
    <x v="2"/>
    <x v="0"/>
    <s v="Овощи"/>
    <s v="Свекла"/>
    <n v="450"/>
    <n v="92"/>
    <x v="356"/>
  </r>
  <r>
    <d v="2023-04-12T00:00:00"/>
    <x v="2"/>
    <x v="0"/>
    <s v="Фрукты"/>
    <s v="Бананы"/>
    <n v="2400"/>
    <n v="42"/>
    <x v="783"/>
  </r>
  <r>
    <d v="2023-04-12T00:00:00"/>
    <x v="2"/>
    <x v="4"/>
    <s v="Ягоды"/>
    <s v="Малина"/>
    <n v="2970"/>
    <n v="45"/>
    <x v="784"/>
  </r>
  <r>
    <d v="2023-04-12T00:00:00"/>
    <x v="0"/>
    <x v="1"/>
    <s v="Фрукты"/>
    <s v="Груши"/>
    <n v="1420"/>
    <n v="37"/>
    <x v="276"/>
  </r>
  <r>
    <d v="2023-04-12T00:00:00"/>
    <x v="4"/>
    <x v="1"/>
    <s v="Ягоды"/>
    <s v="Голубика"/>
    <n v="3205"/>
    <n v="54"/>
    <x v="133"/>
  </r>
  <r>
    <d v="2023-04-12T00:00:00"/>
    <x v="0"/>
    <x v="5"/>
    <s v="Овощи"/>
    <s v="Кабачки"/>
    <n v="325"/>
    <n v="97"/>
    <x v="785"/>
  </r>
  <r>
    <d v="2023-04-12T00:00:00"/>
    <x v="0"/>
    <x v="5"/>
    <s v="Овощи"/>
    <s v="Картофель"/>
    <n v="690"/>
    <n v="98"/>
    <x v="691"/>
  </r>
  <r>
    <d v="2023-04-12T00:00:00"/>
    <x v="0"/>
    <x v="5"/>
    <s v="Овощи"/>
    <s v="Капуста"/>
    <n v="460"/>
    <n v="84"/>
    <x v="471"/>
  </r>
  <r>
    <d v="2023-04-12T00:00:00"/>
    <x v="1"/>
    <x v="5"/>
    <s v="Ягоды"/>
    <s v="Брусника"/>
    <n v="1670"/>
    <n v="47"/>
    <x v="786"/>
  </r>
  <r>
    <d v="2023-04-12T00:00:00"/>
    <x v="1"/>
    <x v="6"/>
    <s v="Ягоды"/>
    <s v="Брусника"/>
    <n v="1670"/>
    <n v="20"/>
    <x v="787"/>
  </r>
  <r>
    <s v="12.04.2023 Итог"/>
    <x v="3"/>
    <x v="2"/>
    <m/>
    <m/>
    <m/>
    <m/>
    <x v="788"/>
  </r>
  <r>
    <d v="2023-04-13T00:00:00"/>
    <x v="4"/>
    <x v="1"/>
    <s v="Зелень"/>
    <s v="Салат римский"/>
    <n v="540"/>
    <n v="54"/>
    <x v="789"/>
  </r>
  <r>
    <d v="2023-04-13T00:00:00"/>
    <x v="2"/>
    <x v="1"/>
    <s v="Ягоды"/>
    <s v="Малина"/>
    <n v="2970"/>
    <n v="98"/>
    <x v="790"/>
  </r>
  <r>
    <d v="2023-04-13T00:00:00"/>
    <x v="4"/>
    <x v="5"/>
    <s v="Овощи"/>
    <s v="Картофель"/>
    <n v="690"/>
    <n v="11"/>
    <x v="791"/>
  </r>
  <r>
    <d v="2023-04-13T00:00:00"/>
    <x v="1"/>
    <x v="5"/>
    <s v="Овощи"/>
    <s v="Картофель"/>
    <n v="690"/>
    <n v="32"/>
    <x v="253"/>
  </r>
  <r>
    <d v="2023-04-13T00:00:00"/>
    <x v="0"/>
    <x v="5"/>
    <s v="Фрукты"/>
    <s v="Яблоки"/>
    <n v="1230"/>
    <n v="85"/>
    <x v="792"/>
  </r>
  <r>
    <d v="2023-04-13T00:00:00"/>
    <x v="0"/>
    <x v="5"/>
    <s v="Ягоды"/>
    <s v="Голубика"/>
    <n v="3205"/>
    <n v="63"/>
    <x v="793"/>
  </r>
  <r>
    <d v="2023-04-13T00:00:00"/>
    <x v="0"/>
    <x v="6"/>
    <s v="Зелень"/>
    <s v="Петрушка"/>
    <n v="640"/>
    <n v="74"/>
    <x v="430"/>
  </r>
  <r>
    <d v="2023-04-13T00:00:00"/>
    <x v="2"/>
    <x v="6"/>
    <s v="Овощи"/>
    <s v="Кабачки"/>
    <n v="325"/>
    <n v="82"/>
    <x v="645"/>
  </r>
  <r>
    <d v="2023-04-13T00:00:00"/>
    <x v="4"/>
    <x v="6"/>
    <s v="Фрукты"/>
    <s v="Груши"/>
    <n v="1420"/>
    <n v="69"/>
    <x v="92"/>
  </r>
  <r>
    <s v="13.04.2023 Итог"/>
    <x v="3"/>
    <x v="2"/>
    <m/>
    <m/>
    <m/>
    <m/>
    <x v="794"/>
  </r>
  <r>
    <d v="2023-04-14T00:00:00"/>
    <x v="0"/>
    <x v="3"/>
    <s v="Зелень"/>
    <s v="Укроп"/>
    <n v="650"/>
    <n v="61"/>
    <x v="795"/>
  </r>
  <r>
    <d v="2023-04-14T00:00:00"/>
    <x v="1"/>
    <x v="3"/>
    <s v="Фрукты"/>
    <s v="Бананы"/>
    <n v="2400"/>
    <n v="72"/>
    <x v="727"/>
  </r>
  <r>
    <d v="2023-04-14T00:00:00"/>
    <x v="0"/>
    <x v="3"/>
    <s v="Фрукты"/>
    <s v="Абрикосы"/>
    <n v="1320"/>
    <n v="55"/>
    <x v="774"/>
  </r>
  <r>
    <d v="2023-04-14T00:00:00"/>
    <x v="2"/>
    <x v="1"/>
    <s v="Зелень"/>
    <s v="Петрушка"/>
    <n v="640"/>
    <n v="65"/>
    <x v="15"/>
  </r>
  <r>
    <d v="2023-04-14T00:00:00"/>
    <x v="2"/>
    <x v="1"/>
    <s v="Фрукты"/>
    <s v="Апельсины"/>
    <n v="2540"/>
    <n v="29"/>
    <x v="358"/>
  </r>
  <r>
    <d v="2023-04-14T00:00:00"/>
    <x v="1"/>
    <x v="1"/>
    <s v="Фрукты"/>
    <s v="Сливы"/>
    <n v="930"/>
    <n v="41"/>
    <x v="796"/>
  </r>
  <r>
    <d v="2023-04-14T00:00:00"/>
    <x v="0"/>
    <x v="5"/>
    <s v="Ягоды"/>
    <s v="Клубника"/>
    <n v="2460"/>
    <n v="45"/>
    <x v="415"/>
  </r>
  <r>
    <d v="2023-04-14T00:00:00"/>
    <x v="0"/>
    <x v="6"/>
    <s v="Овощи"/>
    <s v="Капуста"/>
    <n v="460"/>
    <n v="96"/>
    <x v="797"/>
  </r>
  <r>
    <s v="14.04.2023 Итог"/>
    <x v="3"/>
    <x v="2"/>
    <m/>
    <m/>
    <m/>
    <m/>
    <x v="798"/>
  </r>
  <r>
    <d v="2023-04-15T00:00:00"/>
    <x v="1"/>
    <x v="3"/>
    <s v="Зелень"/>
    <s v="Лук зеленый"/>
    <n v="705"/>
    <n v="29"/>
    <x v="799"/>
  </r>
  <r>
    <d v="2023-04-15T00:00:00"/>
    <x v="2"/>
    <x v="0"/>
    <s v="Зелень"/>
    <s v="Салат айсберг"/>
    <n v="1380"/>
    <n v="73"/>
    <x v="647"/>
  </r>
  <r>
    <d v="2023-04-15T00:00:00"/>
    <x v="1"/>
    <x v="0"/>
    <s v="Зелень"/>
    <s v="Петрушка"/>
    <n v="640"/>
    <n v="34"/>
    <x v="800"/>
  </r>
  <r>
    <d v="2023-04-15T00:00:00"/>
    <x v="2"/>
    <x v="0"/>
    <s v="Фрукты"/>
    <s v="Яблоки"/>
    <n v="1230"/>
    <n v="33"/>
    <x v="233"/>
  </r>
  <r>
    <d v="2023-04-15T00:00:00"/>
    <x v="2"/>
    <x v="4"/>
    <s v="Фрукты"/>
    <s v="Сливы"/>
    <n v="930"/>
    <n v="42"/>
    <x v="488"/>
  </r>
  <r>
    <d v="2023-04-15T00:00:00"/>
    <x v="1"/>
    <x v="5"/>
    <s v="Ягоды"/>
    <s v="Клубника"/>
    <n v="2460"/>
    <n v="8"/>
    <x v="254"/>
  </r>
  <r>
    <d v="2023-04-15T00:00:00"/>
    <x v="1"/>
    <x v="6"/>
    <s v="Зелень"/>
    <s v="Лук зеленый"/>
    <n v="705"/>
    <n v="100"/>
    <x v="801"/>
  </r>
  <r>
    <d v="2023-04-15T00:00:00"/>
    <x v="2"/>
    <x v="6"/>
    <s v="Ягоды"/>
    <s v="Клубника"/>
    <n v="2460"/>
    <n v="60"/>
    <x v="802"/>
  </r>
  <r>
    <s v="15.04.2023 Итог"/>
    <x v="3"/>
    <x v="2"/>
    <m/>
    <m/>
    <m/>
    <m/>
    <x v="803"/>
  </r>
  <r>
    <d v="2023-04-16T00:00:00"/>
    <x v="1"/>
    <x v="3"/>
    <s v="Зелень"/>
    <s v="Салат римский"/>
    <n v="540"/>
    <n v="99"/>
    <x v="804"/>
  </r>
  <r>
    <d v="2023-04-16T00:00:00"/>
    <x v="2"/>
    <x v="3"/>
    <s v="Зелень"/>
    <s v="Петрушка"/>
    <n v="640"/>
    <n v="80"/>
    <x v="805"/>
  </r>
  <r>
    <d v="2023-04-16T00:00:00"/>
    <x v="1"/>
    <x v="0"/>
    <s v="Ягоды"/>
    <s v="Черешня"/>
    <n v="1760"/>
    <n v="57"/>
    <x v="759"/>
  </r>
  <r>
    <d v="2023-04-16T00:00:00"/>
    <x v="0"/>
    <x v="4"/>
    <s v="Ягоды"/>
    <s v="Смородина черная"/>
    <n v="1505"/>
    <n v="6"/>
    <x v="14"/>
  </r>
  <r>
    <d v="2023-04-16T00:00:00"/>
    <x v="0"/>
    <x v="1"/>
    <s v="Зелень"/>
    <s v="Салат айсберг"/>
    <n v="1380"/>
    <n v="85"/>
    <x v="806"/>
  </r>
  <r>
    <d v="2023-04-16T00:00:00"/>
    <x v="0"/>
    <x v="1"/>
    <s v="Овощи"/>
    <s v="Баклажаны"/>
    <n v="890"/>
    <n v="33"/>
    <x v="633"/>
  </r>
  <r>
    <d v="2023-04-16T00:00:00"/>
    <x v="0"/>
    <x v="6"/>
    <s v="Овощи"/>
    <s v="Морковь"/>
    <n v="715"/>
    <n v="45"/>
    <x v="807"/>
  </r>
  <r>
    <d v="2023-04-16T00:00:00"/>
    <x v="0"/>
    <x v="6"/>
    <s v="Фрукты"/>
    <s v="Яблоки"/>
    <n v="1230"/>
    <n v="79"/>
    <x v="808"/>
  </r>
  <r>
    <d v="2023-04-16T00:00:00"/>
    <x v="4"/>
    <x v="6"/>
    <s v="Фрукты"/>
    <s v="Сливы"/>
    <n v="930"/>
    <n v="67"/>
    <x v="668"/>
  </r>
  <r>
    <d v="2023-04-16T00:00:00"/>
    <x v="0"/>
    <x v="6"/>
    <s v="Ягоды"/>
    <s v="Малина"/>
    <n v="2970"/>
    <n v="62"/>
    <x v="436"/>
  </r>
  <r>
    <s v="16.04.2023 Итог"/>
    <x v="3"/>
    <x v="2"/>
    <m/>
    <m/>
    <m/>
    <m/>
    <x v="809"/>
  </r>
  <r>
    <d v="2023-04-17T00:00:00"/>
    <x v="4"/>
    <x v="4"/>
    <s v="Фрукты"/>
    <s v="Сливы"/>
    <n v="930"/>
    <n v="53"/>
    <x v="810"/>
  </r>
  <r>
    <d v="2023-04-17T00:00:00"/>
    <x v="4"/>
    <x v="1"/>
    <s v="Зелень"/>
    <s v="Салат римский"/>
    <n v="540"/>
    <n v="10"/>
    <x v="148"/>
  </r>
  <r>
    <d v="2023-04-17T00:00:00"/>
    <x v="2"/>
    <x v="5"/>
    <s v="Зелень"/>
    <s v="Салат айсберг"/>
    <n v="1380"/>
    <n v="92"/>
    <x v="403"/>
  </r>
  <r>
    <d v="2023-04-17T00:00:00"/>
    <x v="2"/>
    <x v="5"/>
    <s v="Ягоды"/>
    <s v="Брусника"/>
    <n v="1670"/>
    <n v="71"/>
    <x v="811"/>
  </r>
  <r>
    <d v="2023-04-17T00:00:00"/>
    <x v="2"/>
    <x v="6"/>
    <s v="Овощи"/>
    <s v="Картофель"/>
    <n v="690"/>
    <n v="30"/>
    <x v="812"/>
  </r>
  <r>
    <s v="17.04.2023 Итог"/>
    <x v="3"/>
    <x v="2"/>
    <m/>
    <m/>
    <m/>
    <m/>
    <x v="813"/>
  </r>
  <r>
    <d v="2023-04-18T00:00:00"/>
    <x v="4"/>
    <x v="3"/>
    <s v="Зелень"/>
    <s v="Салат римский"/>
    <n v="540"/>
    <n v="8"/>
    <x v="814"/>
  </r>
  <r>
    <d v="2023-04-18T00:00:00"/>
    <x v="2"/>
    <x v="3"/>
    <s v="Зелень"/>
    <s v="Кинза"/>
    <n v="650"/>
    <n v="23"/>
    <x v="522"/>
  </r>
  <r>
    <d v="2023-04-18T00:00:00"/>
    <x v="1"/>
    <x v="3"/>
    <s v="Ягоды"/>
    <s v="Брусника"/>
    <n v="1670"/>
    <n v="98"/>
    <x v="815"/>
  </r>
  <r>
    <d v="2023-04-18T00:00:00"/>
    <x v="4"/>
    <x v="0"/>
    <s v="Зелень"/>
    <s v="Лук зеленый"/>
    <n v="705"/>
    <n v="46"/>
    <x v="816"/>
  </r>
  <r>
    <d v="2023-04-18T00:00:00"/>
    <x v="4"/>
    <x v="4"/>
    <s v="Овощи"/>
    <s v="Капуста"/>
    <n v="460"/>
    <n v="87"/>
    <x v="215"/>
  </r>
  <r>
    <d v="2023-04-18T00:00:00"/>
    <x v="4"/>
    <x v="4"/>
    <s v="Фрукты"/>
    <s v="Сливы"/>
    <n v="930"/>
    <n v="20"/>
    <x v="817"/>
  </r>
  <r>
    <d v="2023-04-18T00:00:00"/>
    <x v="4"/>
    <x v="1"/>
    <s v="Овощи"/>
    <s v="Картофель"/>
    <n v="690"/>
    <n v="55"/>
    <x v="818"/>
  </r>
  <r>
    <d v="2023-04-18T00:00:00"/>
    <x v="4"/>
    <x v="1"/>
    <s v="Фрукты"/>
    <s v="Абрикосы"/>
    <n v="1320"/>
    <n v="61"/>
    <x v="819"/>
  </r>
  <r>
    <d v="2023-04-18T00:00:00"/>
    <x v="0"/>
    <x v="1"/>
    <s v="Фрукты"/>
    <s v="Сливы"/>
    <n v="930"/>
    <n v="45"/>
    <x v="820"/>
  </r>
  <r>
    <d v="2023-04-18T00:00:00"/>
    <x v="2"/>
    <x v="6"/>
    <s v="Овощи"/>
    <s v="Баклажаны"/>
    <n v="890"/>
    <n v="80"/>
    <x v="821"/>
  </r>
  <r>
    <s v="18.04.2023 Итог"/>
    <x v="3"/>
    <x v="2"/>
    <m/>
    <m/>
    <m/>
    <m/>
    <x v="822"/>
  </r>
  <r>
    <d v="2023-04-19T00:00:00"/>
    <x v="4"/>
    <x v="3"/>
    <s v="Зелень"/>
    <s v="Кинза"/>
    <n v="650"/>
    <n v="75"/>
    <x v="359"/>
  </r>
  <r>
    <d v="2023-04-19T00:00:00"/>
    <x v="0"/>
    <x v="3"/>
    <s v="Фрукты"/>
    <s v="Бананы"/>
    <n v="2400"/>
    <n v="74"/>
    <x v="823"/>
  </r>
  <r>
    <d v="2023-04-19T00:00:00"/>
    <x v="0"/>
    <x v="0"/>
    <s v="Фрукты"/>
    <s v="Груши"/>
    <n v="1420"/>
    <n v="81"/>
    <x v="252"/>
  </r>
  <r>
    <d v="2023-04-19T00:00:00"/>
    <x v="0"/>
    <x v="4"/>
    <s v="Зелень"/>
    <s v="Петрушка"/>
    <n v="640"/>
    <n v="46"/>
    <x v="582"/>
  </r>
  <r>
    <d v="2023-04-19T00:00:00"/>
    <x v="1"/>
    <x v="4"/>
    <s v="Овощи"/>
    <s v="Морковь"/>
    <n v="715"/>
    <n v="92"/>
    <x v="824"/>
  </r>
  <r>
    <d v="2023-04-19T00:00:00"/>
    <x v="0"/>
    <x v="4"/>
    <s v="Фрукты"/>
    <s v="Абрикосы"/>
    <n v="1320"/>
    <n v="49"/>
    <x v="825"/>
  </r>
  <r>
    <d v="2023-04-19T00:00:00"/>
    <x v="1"/>
    <x v="4"/>
    <s v="Ягоды"/>
    <s v="Клубника"/>
    <n v="2460"/>
    <n v="36"/>
    <x v="272"/>
  </r>
  <r>
    <d v="2023-04-19T00:00:00"/>
    <x v="2"/>
    <x v="1"/>
    <s v="Зелень"/>
    <s v="Кинза"/>
    <n v="650"/>
    <n v="96"/>
    <x v="423"/>
  </r>
  <r>
    <d v="2023-04-19T00:00:00"/>
    <x v="0"/>
    <x v="1"/>
    <s v="Фрукты"/>
    <s v="Груши"/>
    <n v="1420"/>
    <n v="80"/>
    <x v="826"/>
  </r>
  <r>
    <d v="2023-04-19T00:00:00"/>
    <x v="2"/>
    <x v="5"/>
    <s v="Овощи"/>
    <s v="Морковь"/>
    <n v="715"/>
    <n v="23"/>
    <x v="827"/>
  </r>
  <r>
    <s v="19.04.2023 Итог"/>
    <x v="3"/>
    <x v="2"/>
    <m/>
    <m/>
    <m/>
    <m/>
    <x v="828"/>
  </r>
  <r>
    <d v="2023-04-20T00:00:00"/>
    <x v="1"/>
    <x v="3"/>
    <s v="Фрукты"/>
    <s v="Апельсины"/>
    <n v="2540"/>
    <n v="24"/>
    <x v="829"/>
  </r>
  <r>
    <d v="2023-04-20T00:00:00"/>
    <x v="1"/>
    <x v="3"/>
    <s v="Ягоды"/>
    <s v="Малина"/>
    <n v="2970"/>
    <n v="37"/>
    <x v="354"/>
  </r>
  <r>
    <d v="2023-04-20T00:00:00"/>
    <x v="1"/>
    <x v="0"/>
    <s v="Зелень"/>
    <s v="Салат айсберг"/>
    <n v="1380"/>
    <n v="5"/>
    <x v="726"/>
  </r>
  <r>
    <d v="2023-04-20T00:00:00"/>
    <x v="4"/>
    <x v="0"/>
    <s v="Зелень"/>
    <s v="Кинза"/>
    <n v="650"/>
    <n v="39"/>
    <x v="830"/>
  </r>
  <r>
    <d v="2023-04-20T00:00:00"/>
    <x v="4"/>
    <x v="0"/>
    <s v="Фрукты"/>
    <s v="Яблоки"/>
    <n v="1230"/>
    <n v="82"/>
    <x v="831"/>
  </r>
  <r>
    <d v="2023-04-20T00:00:00"/>
    <x v="4"/>
    <x v="4"/>
    <s v="Фрукты"/>
    <s v="Апельсины"/>
    <n v="2540"/>
    <n v="68"/>
    <x v="832"/>
  </r>
  <r>
    <d v="2023-04-20T00:00:00"/>
    <x v="0"/>
    <x v="5"/>
    <s v="Зелень"/>
    <s v="Кинза"/>
    <n v="650"/>
    <n v="98"/>
    <x v="833"/>
  </r>
  <r>
    <d v="2023-04-20T00:00:00"/>
    <x v="1"/>
    <x v="5"/>
    <s v="Овощи"/>
    <s v="Картофель"/>
    <n v="690"/>
    <n v="99"/>
    <x v="834"/>
  </r>
  <r>
    <d v="2023-04-20T00:00:00"/>
    <x v="1"/>
    <x v="5"/>
    <s v="Овощи"/>
    <s v="Картофель"/>
    <n v="690"/>
    <n v="68"/>
    <x v="180"/>
  </r>
  <r>
    <d v="2023-04-20T00:00:00"/>
    <x v="0"/>
    <x v="5"/>
    <s v="Ягоды"/>
    <s v="Малина"/>
    <n v="2970"/>
    <n v="78"/>
    <x v="697"/>
  </r>
  <r>
    <s v="20.04.2023 Итог"/>
    <x v="3"/>
    <x v="2"/>
    <m/>
    <m/>
    <m/>
    <m/>
    <x v="835"/>
  </r>
  <r>
    <d v="2023-04-21T00:00:00"/>
    <x v="1"/>
    <x v="3"/>
    <s v="Фрукты"/>
    <s v="Абрикосы"/>
    <n v="1320"/>
    <n v="17"/>
    <x v="659"/>
  </r>
  <r>
    <d v="2023-04-21T00:00:00"/>
    <x v="2"/>
    <x v="3"/>
    <s v="Ягоды"/>
    <s v="Брусника"/>
    <n v="1670"/>
    <n v="11"/>
    <x v="695"/>
  </r>
  <r>
    <d v="2023-04-21T00:00:00"/>
    <x v="2"/>
    <x v="3"/>
    <s v="Ягоды"/>
    <s v="Голубика"/>
    <n v="3205"/>
    <n v="25"/>
    <x v="836"/>
  </r>
  <r>
    <d v="2023-04-21T00:00:00"/>
    <x v="4"/>
    <x v="0"/>
    <s v="Овощи"/>
    <s v="Свекла"/>
    <n v="450"/>
    <n v="96"/>
    <x v="20"/>
  </r>
  <r>
    <d v="2023-04-21T00:00:00"/>
    <x v="2"/>
    <x v="0"/>
    <s v="Овощи"/>
    <s v="Кабачки"/>
    <n v="325"/>
    <n v="46"/>
    <x v="522"/>
  </r>
  <r>
    <d v="2023-04-21T00:00:00"/>
    <x v="1"/>
    <x v="4"/>
    <s v="Зелень"/>
    <s v="Петрушка"/>
    <n v="640"/>
    <n v="28"/>
    <x v="837"/>
  </r>
  <r>
    <d v="2023-04-21T00:00:00"/>
    <x v="2"/>
    <x v="1"/>
    <s v="Зелень"/>
    <s v="Кинза"/>
    <n v="650"/>
    <n v="73"/>
    <x v="644"/>
  </r>
  <r>
    <d v="2023-04-21T00:00:00"/>
    <x v="2"/>
    <x v="1"/>
    <s v="Овощи"/>
    <s v="Капуста"/>
    <n v="460"/>
    <n v="91"/>
    <x v="838"/>
  </r>
  <r>
    <d v="2023-04-21T00:00:00"/>
    <x v="1"/>
    <x v="5"/>
    <s v="Овощи"/>
    <s v="Морковь"/>
    <n v="715"/>
    <n v="7"/>
    <x v="839"/>
  </r>
  <r>
    <d v="2023-04-21T00:00:00"/>
    <x v="2"/>
    <x v="5"/>
    <s v="Овощи"/>
    <s v="Капуста"/>
    <n v="460"/>
    <n v="59"/>
    <x v="840"/>
  </r>
  <r>
    <d v="2023-04-21T00:00:00"/>
    <x v="2"/>
    <x v="6"/>
    <s v="Овощи"/>
    <s v="Морковь"/>
    <n v="715"/>
    <n v="45"/>
    <x v="807"/>
  </r>
  <r>
    <s v="21.04.2023 Итог"/>
    <x v="3"/>
    <x v="2"/>
    <m/>
    <m/>
    <m/>
    <m/>
    <x v="841"/>
  </r>
  <r>
    <d v="2023-04-22T00:00:00"/>
    <x v="2"/>
    <x v="3"/>
    <s v="Зелень"/>
    <s v="Лук зеленый"/>
    <n v="705"/>
    <n v="17"/>
    <x v="684"/>
  </r>
  <r>
    <d v="2023-04-22T00:00:00"/>
    <x v="0"/>
    <x v="0"/>
    <s v="Овощи"/>
    <s v="Морковь"/>
    <n v="715"/>
    <n v="82"/>
    <x v="842"/>
  </r>
  <r>
    <d v="2023-04-22T00:00:00"/>
    <x v="2"/>
    <x v="0"/>
    <s v="Ягоды"/>
    <s v="Черешня"/>
    <n v="1760"/>
    <n v="37"/>
    <x v="843"/>
  </r>
  <r>
    <d v="2023-04-22T00:00:00"/>
    <x v="4"/>
    <x v="0"/>
    <s v="Ягоды"/>
    <s v="Малина"/>
    <n v="2970"/>
    <n v="19"/>
    <x v="844"/>
  </r>
  <r>
    <d v="2023-04-22T00:00:00"/>
    <x v="2"/>
    <x v="4"/>
    <s v="Фрукты"/>
    <s v="Груши"/>
    <n v="1420"/>
    <n v="64"/>
    <x v="845"/>
  </r>
  <r>
    <d v="2023-04-22T00:00:00"/>
    <x v="0"/>
    <x v="4"/>
    <s v="Ягоды"/>
    <s v="Малина"/>
    <n v="2970"/>
    <n v="51"/>
    <x v="846"/>
  </r>
  <r>
    <d v="2023-04-22T00:00:00"/>
    <x v="2"/>
    <x v="4"/>
    <s v="Ягоды"/>
    <s v="Смородина черная"/>
    <n v="1505"/>
    <n v="17"/>
    <x v="847"/>
  </r>
  <r>
    <d v="2023-04-22T00:00:00"/>
    <x v="2"/>
    <x v="4"/>
    <s v="Ягоды"/>
    <s v="Клубника"/>
    <n v="2460"/>
    <n v="77"/>
    <x v="428"/>
  </r>
  <r>
    <d v="2023-04-22T00:00:00"/>
    <x v="1"/>
    <x v="1"/>
    <s v="Овощи"/>
    <s v="Свекла"/>
    <n v="450"/>
    <n v="9"/>
    <x v="181"/>
  </r>
  <r>
    <d v="2023-04-22T00:00:00"/>
    <x v="0"/>
    <x v="1"/>
    <s v="Фрукты"/>
    <s v="Бананы"/>
    <n v="2400"/>
    <n v="75"/>
    <x v="848"/>
  </r>
  <r>
    <d v="2023-04-22T00:00:00"/>
    <x v="2"/>
    <x v="5"/>
    <s v="Овощи"/>
    <s v="Свекла"/>
    <n v="450"/>
    <n v="93"/>
    <x v="820"/>
  </r>
  <r>
    <d v="2023-04-22T00:00:00"/>
    <x v="2"/>
    <x v="5"/>
    <s v="Фрукты"/>
    <s v="Груши"/>
    <n v="1420"/>
    <n v="29"/>
    <x v="849"/>
  </r>
  <r>
    <s v="22.04.2023 Итог"/>
    <x v="3"/>
    <x v="2"/>
    <m/>
    <m/>
    <m/>
    <m/>
    <x v="850"/>
  </r>
  <r>
    <d v="2023-04-23T00:00:00"/>
    <x v="4"/>
    <x v="3"/>
    <s v="Овощи"/>
    <s v="Кабачки"/>
    <n v="325"/>
    <n v="84"/>
    <x v="189"/>
  </r>
  <r>
    <d v="2023-04-23T00:00:00"/>
    <x v="2"/>
    <x v="0"/>
    <s v="Овощи"/>
    <s v="Картофель"/>
    <n v="690"/>
    <n v="43"/>
    <x v="851"/>
  </r>
  <r>
    <d v="2023-04-23T00:00:00"/>
    <x v="4"/>
    <x v="0"/>
    <s v="Ягоды"/>
    <s v="Черешня"/>
    <n v="1760"/>
    <n v="82"/>
    <x v="852"/>
  </r>
  <r>
    <d v="2023-04-23T00:00:00"/>
    <x v="1"/>
    <x v="4"/>
    <s v="Зелень"/>
    <s v="Укроп"/>
    <n v="650"/>
    <n v="44"/>
    <x v="853"/>
  </r>
  <r>
    <d v="2023-04-23T00:00:00"/>
    <x v="4"/>
    <x v="4"/>
    <s v="Ягоды"/>
    <s v="Голубика"/>
    <n v="3205"/>
    <n v="32"/>
    <x v="854"/>
  </r>
  <r>
    <d v="2023-04-23T00:00:00"/>
    <x v="0"/>
    <x v="4"/>
    <s v="Ягоды"/>
    <s v="Смородина черная"/>
    <n v="1505"/>
    <n v="63"/>
    <x v="855"/>
  </r>
  <r>
    <d v="2023-04-23T00:00:00"/>
    <x v="2"/>
    <x v="1"/>
    <s v="Фрукты"/>
    <s v="Груши"/>
    <n v="1420"/>
    <n v="98"/>
    <x v="710"/>
  </r>
  <r>
    <d v="2023-04-23T00:00:00"/>
    <x v="4"/>
    <x v="1"/>
    <s v="Ягоды"/>
    <s v="Смородина черная"/>
    <n v="1505"/>
    <n v="9"/>
    <x v="856"/>
  </r>
  <r>
    <d v="2023-04-23T00:00:00"/>
    <x v="1"/>
    <x v="5"/>
    <s v="Овощи"/>
    <s v="Кабачки"/>
    <n v="325"/>
    <n v="30"/>
    <x v="857"/>
  </r>
  <r>
    <d v="2023-04-23T00:00:00"/>
    <x v="2"/>
    <x v="6"/>
    <s v="Ягоды"/>
    <s v="Клубника"/>
    <n v="2460"/>
    <n v="78"/>
    <x v="380"/>
  </r>
  <r>
    <s v="23.04.2023 Итог"/>
    <x v="3"/>
    <x v="2"/>
    <m/>
    <m/>
    <m/>
    <m/>
    <x v="858"/>
  </r>
  <r>
    <d v="2023-04-24T00:00:00"/>
    <x v="1"/>
    <x v="3"/>
    <s v="Зелень"/>
    <s v="Петрушка"/>
    <n v="640"/>
    <n v="79"/>
    <x v="222"/>
  </r>
  <r>
    <d v="2023-04-24T00:00:00"/>
    <x v="1"/>
    <x v="3"/>
    <s v="Овощи"/>
    <s v="Баклажаны"/>
    <n v="890"/>
    <n v="100"/>
    <x v="604"/>
  </r>
  <r>
    <d v="2023-04-24T00:00:00"/>
    <x v="4"/>
    <x v="0"/>
    <s v="Ягоды"/>
    <s v="Голубика"/>
    <n v="3205"/>
    <n v="48"/>
    <x v="859"/>
  </r>
  <r>
    <d v="2023-04-24T00:00:00"/>
    <x v="0"/>
    <x v="4"/>
    <s v="Зелень"/>
    <s v="Салат айсберг"/>
    <n v="1380"/>
    <n v="19"/>
    <x v="217"/>
  </r>
  <r>
    <d v="2023-04-24T00:00:00"/>
    <x v="4"/>
    <x v="4"/>
    <s v="Ягоды"/>
    <s v="Брусника"/>
    <n v="1670"/>
    <n v="72"/>
    <x v="195"/>
  </r>
  <r>
    <d v="2023-04-24T00:00:00"/>
    <x v="4"/>
    <x v="4"/>
    <s v="Ягоды"/>
    <s v="Брусника"/>
    <n v="1670"/>
    <n v="56"/>
    <x v="860"/>
  </r>
  <r>
    <d v="2023-04-24T00:00:00"/>
    <x v="0"/>
    <x v="1"/>
    <s v="Фрукты"/>
    <s v="Груши"/>
    <n v="1420"/>
    <n v="70"/>
    <x v="861"/>
  </r>
  <r>
    <d v="2023-04-24T00:00:00"/>
    <x v="4"/>
    <x v="1"/>
    <s v="Ягоды"/>
    <s v="Клубника"/>
    <n v="2460"/>
    <n v="44"/>
    <x v="456"/>
  </r>
  <r>
    <d v="2023-04-24T00:00:00"/>
    <x v="0"/>
    <x v="1"/>
    <s v="Ягоды"/>
    <s v="Малина"/>
    <n v="2970"/>
    <n v="17"/>
    <x v="249"/>
  </r>
  <r>
    <d v="2023-04-24T00:00:00"/>
    <x v="4"/>
    <x v="5"/>
    <s v="Овощи"/>
    <s v="Свекла"/>
    <n v="450"/>
    <n v="10"/>
    <x v="862"/>
  </r>
  <r>
    <d v="2023-04-24T00:00:00"/>
    <x v="2"/>
    <x v="6"/>
    <s v="Зелень"/>
    <s v="Салат римский"/>
    <n v="540"/>
    <n v="76"/>
    <x v="709"/>
  </r>
  <r>
    <s v="24.04.2023 Итог"/>
    <x v="3"/>
    <x v="2"/>
    <m/>
    <m/>
    <m/>
    <m/>
    <x v="863"/>
  </r>
  <r>
    <d v="2023-04-25T00:00:00"/>
    <x v="2"/>
    <x v="3"/>
    <s v="Овощи"/>
    <s v="Баклажаны"/>
    <n v="890"/>
    <n v="73"/>
    <x v="599"/>
  </r>
  <r>
    <d v="2023-04-25T00:00:00"/>
    <x v="2"/>
    <x v="0"/>
    <s v="Зелень"/>
    <s v="Петрушка"/>
    <n v="640"/>
    <n v="68"/>
    <x v="530"/>
  </r>
  <r>
    <d v="2023-04-25T00:00:00"/>
    <x v="1"/>
    <x v="0"/>
    <s v="Фрукты"/>
    <s v="Яблоки"/>
    <n v="1230"/>
    <n v="20"/>
    <x v="864"/>
  </r>
  <r>
    <d v="2023-04-25T00:00:00"/>
    <x v="1"/>
    <x v="0"/>
    <s v="Ягоды"/>
    <s v="Черешня"/>
    <n v="1760"/>
    <n v="53"/>
    <x v="865"/>
  </r>
  <r>
    <d v="2023-04-25T00:00:00"/>
    <x v="0"/>
    <x v="4"/>
    <s v="Овощи"/>
    <s v="Баклажаны"/>
    <n v="890"/>
    <n v="68"/>
    <x v="866"/>
  </r>
  <r>
    <d v="2023-04-25T00:00:00"/>
    <x v="1"/>
    <x v="1"/>
    <s v="Ягоды"/>
    <s v="Голубика"/>
    <n v="3205"/>
    <n v="24"/>
    <x v="867"/>
  </r>
  <r>
    <d v="2023-04-25T00:00:00"/>
    <x v="1"/>
    <x v="5"/>
    <s v="Овощи"/>
    <s v="Капуста"/>
    <n v="460"/>
    <n v="73"/>
    <x v="868"/>
  </r>
  <r>
    <d v="2023-04-25T00:00:00"/>
    <x v="0"/>
    <x v="5"/>
    <s v="Фрукты"/>
    <s v="Груши"/>
    <n v="1420"/>
    <n v="12"/>
    <x v="134"/>
  </r>
  <r>
    <d v="2023-04-25T00:00:00"/>
    <x v="1"/>
    <x v="5"/>
    <s v="Ягоды"/>
    <s v="Клубника"/>
    <n v="2460"/>
    <n v="92"/>
    <x v="869"/>
  </r>
  <r>
    <d v="2023-04-25T00:00:00"/>
    <x v="1"/>
    <x v="6"/>
    <s v="Ягоды"/>
    <s v="Клубника"/>
    <n v="2460"/>
    <n v="14"/>
    <x v="555"/>
  </r>
  <r>
    <s v="25.04.2023 Итог"/>
    <x v="3"/>
    <x v="2"/>
    <m/>
    <m/>
    <m/>
    <m/>
    <x v="870"/>
  </r>
  <r>
    <d v="2023-04-26T00:00:00"/>
    <x v="4"/>
    <x v="0"/>
    <s v="Ягоды"/>
    <s v="Смородина черная"/>
    <n v="1505"/>
    <n v="43"/>
    <x v="261"/>
  </r>
  <r>
    <d v="2023-04-26T00:00:00"/>
    <x v="4"/>
    <x v="4"/>
    <s v="Ягоды"/>
    <s v="Голубика"/>
    <n v="3205"/>
    <n v="44"/>
    <x v="871"/>
  </r>
  <r>
    <d v="2023-04-26T00:00:00"/>
    <x v="0"/>
    <x v="4"/>
    <s v="Ягоды"/>
    <s v="Малина"/>
    <n v="2970"/>
    <n v="49"/>
    <x v="685"/>
  </r>
  <r>
    <d v="2023-04-26T00:00:00"/>
    <x v="0"/>
    <x v="5"/>
    <s v="Зелень"/>
    <s v="Укроп"/>
    <n v="650"/>
    <n v="32"/>
    <x v="237"/>
  </r>
  <r>
    <d v="2023-04-26T00:00:00"/>
    <x v="0"/>
    <x v="6"/>
    <s v="Фрукты"/>
    <s v="Апельсины"/>
    <n v="2540"/>
    <n v="60"/>
    <x v="132"/>
  </r>
  <r>
    <d v="2023-04-26T00:00:00"/>
    <x v="2"/>
    <x v="6"/>
    <s v="Фрукты"/>
    <s v="Бананы"/>
    <n v="2400"/>
    <n v="16"/>
    <x v="193"/>
  </r>
  <r>
    <d v="2023-04-26T00:00:00"/>
    <x v="2"/>
    <x v="6"/>
    <s v="Фрукты"/>
    <s v="Сливы"/>
    <n v="930"/>
    <n v="95"/>
    <x v="872"/>
  </r>
  <r>
    <s v="26.04.2023 Итог"/>
    <x v="3"/>
    <x v="2"/>
    <m/>
    <m/>
    <m/>
    <m/>
    <x v="873"/>
  </r>
  <r>
    <d v="2023-04-27T00:00:00"/>
    <x v="1"/>
    <x v="4"/>
    <s v="Ягоды"/>
    <s v="Брусника"/>
    <n v="1670"/>
    <n v="8"/>
    <x v="264"/>
  </r>
  <r>
    <d v="2023-04-27T00:00:00"/>
    <x v="4"/>
    <x v="4"/>
    <s v="Ягоды"/>
    <s v="Смородина черная"/>
    <n v="1505"/>
    <n v="48"/>
    <x v="874"/>
  </r>
  <r>
    <d v="2023-04-27T00:00:00"/>
    <x v="0"/>
    <x v="1"/>
    <s v="Овощи"/>
    <s v="Кабачки"/>
    <n v="325"/>
    <n v="59"/>
    <x v="229"/>
  </r>
  <r>
    <d v="2023-04-27T00:00:00"/>
    <x v="2"/>
    <x v="5"/>
    <s v="Зелень"/>
    <s v="Кинза"/>
    <n v="650"/>
    <n v="44"/>
    <x v="853"/>
  </r>
  <r>
    <d v="2023-04-27T00:00:00"/>
    <x v="1"/>
    <x v="6"/>
    <s v="Зелень"/>
    <s v="Салат айсберг"/>
    <n v="1380"/>
    <n v="92"/>
    <x v="403"/>
  </r>
  <r>
    <d v="2023-04-27T00:00:00"/>
    <x v="1"/>
    <x v="6"/>
    <s v="Фрукты"/>
    <s v="Сливы"/>
    <n v="930"/>
    <n v="65"/>
    <x v="875"/>
  </r>
  <r>
    <d v="2023-04-27T00:00:00"/>
    <x v="1"/>
    <x v="6"/>
    <s v="Ягоды"/>
    <s v="Малина"/>
    <n v="2970"/>
    <n v="38"/>
    <x v="440"/>
  </r>
  <r>
    <s v="27.04.2023 Итог"/>
    <x v="3"/>
    <x v="2"/>
    <m/>
    <m/>
    <m/>
    <m/>
    <x v="876"/>
  </r>
  <r>
    <d v="2023-04-28T00:00:00"/>
    <x v="2"/>
    <x v="3"/>
    <s v="Овощи"/>
    <s v="Баклажаны"/>
    <n v="890"/>
    <n v="40"/>
    <x v="877"/>
  </r>
  <r>
    <d v="2023-04-28T00:00:00"/>
    <x v="4"/>
    <x v="3"/>
    <s v="Ягоды"/>
    <s v="Малина"/>
    <n v="2970"/>
    <n v="11"/>
    <x v="878"/>
  </r>
  <r>
    <s v="28.04.2023 Итог"/>
    <x v="3"/>
    <x v="2"/>
    <m/>
    <m/>
    <m/>
    <m/>
    <x v="879"/>
  </r>
  <r>
    <d v="2023-04-29T00:00:00"/>
    <x v="4"/>
    <x v="3"/>
    <s v="Зелень"/>
    <s v="Укроп"/>
    <n v="650"/>
    <n v="23"/>
    <x v="522"/>
  </r>
  <r>
    <d v="2023-04-29T00:00:00"/>
    <x v="2"/>
    <x v="0"/>
    <s v="Зелень"/>
    <s v="Петрушка"/>
    <n v="640"/>
    <n v="57"/>
    <x v="349"/>
  </r>
  <r>
    <d v="2023-04-29T00:00:00"/>
    <x v="1"/>
    <x v="0"/>
    <s v="Зелень"/>
    <s v="Петрушка"/>
    <n v="640"/>
    <n v="89"/>
    <x v="880"/>
  </r>
  <r>
    <d v="2023-04-29T00:00:00"/>
    <x v="0"/>
    <x v="0"/>
    <s v="Овощи"/>
    <s v="Капуста"/>
    <n v="460"/>
    <n v="6"/>
    <x v="881"/>
  </r>
  <r>
    <d v="2023-04-29T00:00:00"/>
    <x v="4"/>
    <x v="0"/>
    <s v="Фрукты"/>
    <s v="Яблоки"/>
    <n v="1230"/>
    <n v="45"/>
    <x v="882"/>
  </r>
  <r>
    <d v="2023-04-29T00:00:00"/>
    <x v="0"/>
    <x v="0"/>
    <s v="Ягоды"/>
    <s v="Малина"/>
    <n v="2970"/>
    <n v="96"/>
    <x v="883"/>
  </r>
  <r>
    <d v="2023-04-29T00:00:00"/>
    <x v="0"/>
    <x v="4"/>
    <s v="Фрукты"/>
    <s v="Апельсины"/>
    <n v="2540"/>
    <n v="42"/>
    <x v="884"/>
  </r>
  <r>
    <d v="2023-04-29T00:00:00"/>
    <x v="0"/>
    <x v="4"/>
    <s v="Ягоды"/>
    <s v="Голубика"/>
    <n v="3205"/>
    <n v="85"/>
    <x v="299"/>
  </r>
  <r>
    <d v="2023-04-29T00:00:00"/>
    <x v="0"/>
    <x v="5"/>
    <s v="Зелень"/>
    <s v="Салат айсберг"/>
    <n v="1380"/>
    <n v="69"/>
    <x v="740"/>
  </r>
  <r>
    <d v="2023-04-29T00:00:00"/>
    <x v="2"/>
    <x v="6"/>
    <s v="Зелень"/>
    <s v="Укроп"/>
    <n v="650"/>
    <n v="51"/>
    <x v="516"/>
  </r>
  <r>
    <d v="2023-04-29T00:00:00"/>
    <x v="0"/>
    <x v="6"/>
    <s v="Зелень"/>
    <s v="Кинза"/>
    <n v="650"/>
    <n v="30"/>
    <x v="469"/>
  </r>
  <r>
    <d v="2023-04-29T00:00:00"/>
    <x v="0"/>
    <x v="6"/>
    <s v="Зелень"/>
    <s v="Салат римский"/>
    <n v="540"/>
    <n v="49"/>
    <x v="885"/>
  </r>
  <r>
    <d v="2023-04-29T00:00:00"/>
    <x v="1"/>
    <x v="6"/>
    <s v="Ягоды"/>
    <s v="Смородина черная"/>
    <n v="1505"/>
    <n v="49"/>
    <x v="886"/>
  </r>
  <r>
    <s v="29.04.2023 Итог"/>
    <x v="3"/>
    <x v="2"/>
    <m/>
    <m/>
    <m/>
    <m/>
    <x v="887"/>
  </r>
  <r>
    <d v="2023-04-30T00:00:00"/>
    <x v="0"/>
    <x v="3"/>
    <s v="Зелень"/>
    <s v="Салат римский"/>
    <n v="540"/>
    <n v="15"/>
    <x v="93"/>
  </r>
  <r>
    <d v="2023-04-30T00:00:00"/>
    <x v="2"/>
    <x v="3"/>
    <s v="Фрукты"/>
    <s v="Груши"/>
    <n v="1420"/>
    <n v="58"/>
    <x v="888"/>
  </r>
  <r>
    <d v="2023-04-30T00:00:00"/>
    <x v="1"/>
    <x v="3"/>
    <s v="Ягоды"/>
    <s v="Черешня"/>
    <n v="1760"/>
    <n v="61"/>
    <x v="889"/>
  </r>
  <r>
    <d v="2023-04-30T00:00:00"/>
    <x v="1"/>
    <x v="0"/>
    <s v="Зелень"/>
    <s v="Салат айсберг"/>
    <n v="1380"/>
    <n v="57"/>
    <x v="890"/>
  </r>
  <r>
    <d v="2023-04-30T00:00:00"/>
    <x v="4"/>
    <x v="0"/>
    <s v="Овощи"/>
    <s v="Свекла"/>
    <n v="450"/>
    <n v="6"/>
    <x v="412"/>
  </r>
  <r>
    <d v="2023-04-30T00:00:00"/>
    <x v="4"/>
    <x v="4"/>
    <s v="Зелень"/>
    <s v="Салат айсберг"/>
    <n v="1380"/>
    <n v="6"/>
    <x v="244"/>
  </r>
  <r>
    <d v="2023-04-30T00:00:00"/>
    <x v="1"/>
    <x v="4"/>
    <s v="Зелень"/>
    <s v="Салат айсберг"/>
    <n v="1380"/>
    <n v="69"/>
    <x v="740"/>
  </r>
  <r>
    <d v="2023-04-30T00:00:00"/>
    <x v="0"/>
    <x v="4"/>
    <s v="Фрукты"/>
    <s v="Яблоки"/>
    <n v="1230"/>
    <n v="55"/>
    <x v="891"/>
  </r>
  <r>
    <d v="2023-04-30T00:00:00"/>
    <x v="2"/>
    <x v="4"/>
    <s v="Фрукты"/>
    <s v="Апельсины"/>
    <n v="2540"/>
    <n v="65"/>
    <x v="292"/>
  </r>
  <r>
    <d v="2023-04-30T00:00:00"/>
    <x v="1"/>
    <x v="1"/>
    <s v="Зелень"/>
    <s v="Салат айсберг"/>
    <n v="1380"/>
    <n v="16"/>
    <x v="253"/>
  </r>
  <r>
    <d v="2023-04-30T00:00:00"/>
    <x v="0"/>
    <x v="1"/>
    <s v="Ягоды"/>
    <s v="Малина"/>
    <n v="2970"/>
    <n v="26"/>
    <x v="892"/>
  </r>
  <r>
    <d v="2023-04-30T00:00:00"/>
    <x v="0"/>
    <x v="5"/>
    <s v="Зелень"/>
    <s v="Лук зеленый"/>
    <n v="705"/>
    <n v="15"/>
    <x v="893"/>
  </r>
  <r>
    <d v="2023-04-30T00:00:00"/>
    <x v="4"/>
    <x v="5"/>
    <s v="Овощи"/>
    <s v="Картофель"/>
    <n v="690"/>
    <n v="32"/>
    <x v="253"/>
  </r>
  <r>
    <d v="2023-04-30T00:00:00"/>
    <x v="2"/>
    <x v="5"/>
    <s v="Фрукты"/>
    <s v="Апельсины"/>
    <n v="2540"/>
    <n v="52"/>
    <x v="894"/>
  </r>
  <r>
    <s v="30.04.2023 Итог"/>
    <x v="3"/>
    <x v="2"/>
    <m/>
    <m/>
    <m/>
    <m/>
    <x v="895"/>
  </r>
  <r>
    <d v="2023-05-01T00:00:00"/>
    <x v="2"/>
    <x v="3"/>
    <s v="Зелень"/>
    <s v="Лук зеленый"/>
    <n v="705"/>
    <n v="23"/>
    <x v="370"/>
  </r>
  <r>
    <d v="2023-05-01T00:00:00"/>
    <x v="4"/>
    <x v="3"/>
    <s v="Фрукты"/>
    <s v="Груши"/>
    <n v="1420"/>
    <n v="63"/>
    <x v="347"/>
  </r>
  <r>
    <d v="2023-05-01T00:00:00"/>
    <x v="0"/>
    <x v="3"/>
    <s v="Ягоды"/>
    <s v="Смородина черная"/>
    <n v="1505"/>
    <n v="97"/>
    <x v="896"/>
  </r>
  <r>
    <d v="2023-05-01T00:00:00"/>
    <x v="4"/>
    <x v="0"/>
    <s v="Зелень"/>
    <s v="Кинза"/>
    <n v="650"/>
    <n v="12"/>
    <x v="625"/>
  </r>
  <r>
    <d v="2023-05-01T00:00:00"/>
    <x v="0"/>
    <x v="4"/>
    <s v="Зелень"/>
    <s v="Салат римский"/>
    <n v="540"/>
    <n v="98"/>
    <x v="136"/>
  </r>
  <r>
    <d v="2023-05-01T00:00:00"/>
    <x v="1"/>
    <x v="4"/>
    <s v="Ягоды"/>
    <s v="Клубника"/>
    <n v="2460"/>
    <n v="73"/>
    <x v="897"/>
  </r>
  <r>
    <d v="2023-05-01T00:00:00"/>
    <x v="1"/>
    <x v="1"/>
    <s v="Зелень"/>
    <s v="Петрушка"/>
    <n v="640"/>
    <n v="25"/>
    <x v="401"/>
  </r>
  <r>
    <d v="2023-05-01T00:00:00"/>
    <x v="4"/>
    <x v="5"/>
    <s v="Зелень"/>
    <s v="Кинза"/>
    <n v="650"/>
    <n v="61"/>
    <x v="795"/>
  </r>
  <r>
    <d v="2023-05-01T00:00:00"/>
    <x v="4"/>
    <x v="5"/>
    <s v="Фрукты"/>
    <s v="Груши"/>
    <n v="1420"/>
    <n v="78"/>
    <x v="898"/>
  </r>
  <r>
    <d v="2023-05-01T00:00:00"/>
    <x v="1"/>
    <x v="6"/>
    <s v="Фрукты"/>
    <s v="Сливы"/>
    <n v="930"/>
    <n v="49"/>
    <x v="899"/>
  </r>
  <r>
    <d v="2023-05-01T00:00:00"/>
    <x v="0"/>
    <x v="6"/>
    <s v="Фрукты"/>
    <s v="Груши"/>
    <n v="1420"/>
    <n v="86"/>
    <x v="900"/>
  </r>
  <r>
    <s v="01.05.2023 Итог"/>
    <x v="3"/>
    <x v="2"/>
    <m/>
    <m/>
    <m/>
    <m/>
    <x v="901"/>
  </r>
  <r>
    <d v="2023-05-02T00:00:00"/>
    <x v="0"/>
    <x v="3"/>
    <s v="Зелень"/>
    <s v="Салат айсберг"/>
    <n v="1380"/>
    <n v="93"/>
    <x v="902"/>
  </r>
  <r>
    <d v="2023-05-02T00:00:00"/>
    <x v="0"/>
    <x v="4"/>
    <s v="Овощи"/>
    <s v="Капуста"/>
    <n v="460"/>
    <n v="55"/>
    <x v="750"/>
  </r>
  <r>
    <d v="2023-05-02T00:00:00"/>
    <x v="1"/>
    <x v="4"/>
    <s v="Овощи"/>
    <s v="Свекла"/>
    <n v="450"/>
    <n v="87"/>
    <x v="903"/>
  </r>
  <r>
    <d v="2023-05-02T00:00:00"/>
    <x v="1"/>
    <x v="4"/>
    <s v="Ягоды"/>
    <s v="Черешня"/>
    <n v="1760"/>
    <n v="8"/>
    <x v="904"/>
  </r>
  <r>
    <d v="2023-05-02T00:00:00"/>
    <x v="4"/>
    <x v="4"/>
    <s v="Ягоды"/>
    <s v="Смородина черная"/>
    <n v="1505"/>
    <n v="61"/>
    <x v="905"/>
  </r>
  <r>
    <d v="2023-05-02T00:00:00"/>
    <x v="0"/>
    <x v="1"/>
    <s v="Ягоды"/>
    <s v="Клубника"/>
    <n v="2460"/>
    <n v="39"/>
    <x v="906"/>
  </r>
  <r>
    <d v="2023-05-02T00:00:00"/>
    <x v="1"/>
    <x v="5"/>
    <s v="Ягоды"/>
    <s v="Малина"/>
    <n v="2970"/>
    <n v="56"/>
    <x v="243"/>
  </r>
  <r>
    <d v="2023-05-02T00:00:00"/>
    <x v="0"/>
    <x v="6"/>
    <s v="Фрукты"/>
    <s v="Абрикосы"/>
    <n v="1320"/>
    <n v="29"/>
    <x v="907"/>
  </r>
  <r>
    <s v="02.05.2023 Итог"/>
    <x v="3"/>
    <x v="2"/>
    <m/>
    <m/>
    <m/>
    <m/>
    <x v="908"/>
  </r>
  <r>
    <d v="2023-05-03T00:00:00"/>
    <x v="1"/>
    <x v="3"/>
    <s v="Фрукты"/>
    <s v="Сливы"/>
    <n v="930"/>
    <n v="84"/>
    <x v="909"/>
  </r>
  <r>
    <d v="2023-05-03T00:00:00"/>
    <x v="1"/>
    <x v="3"/>
    <s v="Фрукты"/>
    <s v="Яблоки"/>
    <n v="1230"/>
    <n v="96"/>
    <x v="491"/>
  </r>
  <r>
    <d v="2023-05-03T00:00:00"/>
    <x v="2"/>
    <x v="3"/>
    <s v="Ягоды"/>
    <s v="Смородина черная"/>
    <n v="1505"/>
    <n v="80"/>
    <x v="910"/>
  </r>
  <r>
    <d v="2023-05-03T00:00:00"/>
    <x v="0"/>
    <x v="0"/>
    <s v="Зелень"/>
    <s v="Укроп"/>
    <n v="650"/>
    <n v="34"/>
    <x v="199"/>
  </r>
  <r>
    <d v="2023-05-03T00:00:00"/>
    <x v="4"/>
    <x v="0"/>
    <s v="Ягоды"/>
    <s v="Брусника"/>
    <n v="1670"/>
    <n v="49"/>
    <x v="16"/>
  </r>
  <r>
    <d v="2023-05-03T00:00:00"/>
    <x v="0"/>
    <x v="5"/>
    <s v="Фрукты"/>
    <s v="Абрикосы"/>
    <n v="1320"/>
    <n v="32"/>
    <x v="11"/>
  </r>
  <r>
    <d v="2023-05-03T00:00:00"/>
    <x v="4"/>
    <x v="5"/>
    <s v="Ягоды"/>
    <s v="Смородина черная"/>
    <n v="1505"/>
    <n v="65"/>
    <x v="911"/>
  </r>
  <r>
    <d v="2023-05-03T00:00:00"/>
    <x v="2"/>
    <x v="6"/>
    <s v="Фрукты"/>
    <s v="Сливы"/>
    <n v="930"/>
    <n v="71"/>
    <x v="912"/>
  </r>
  <r>
    <s v="03.05.2023 Итог"/>
    <x v="3"/>
    <x v="2"/>
    <m/>
    <m/>
    <m/>
    <m/>
    <x v="913"/>
  </r>
  <r>
    <d v="2023-05-04T00:00:00"/>
    <x v="4"/>
    <x v="3"/>
    <s v="Ягоды"/>
    <s v="Клубника"/>
    <n v="2460"/>
    <n v="83"/>
    <x v="914"/>
  </r>
  <r>
    <d v="2023-05-04T00:00:00"/>
    <x v="1"/>
    <x v="4"/>
    <s v="Зелень"/>
    <s v="Салат римский"/>
    <n v="540"/>
    <n v="81"/>
    <x v="915"/>
  </r>
  <r>
    <d v="2023-05-04T00:00:00"/>
    <x v="1"/>
    <x v="5"/>
    <s v="Овощи"/>
    <s v="Баклажаны"/>
    <n v="890"/>
    <n v="50"/>
    <x v="916"/>
  </r>
  <r>
    <d v="2023-05-04T00:00:00"/>
    <x v="2"/>
    <x v="5"/>
    <s v="Овощи"/>
    <s v="Морковь"/>
    <n v="715"/>
    <n v="49"/>
    <x v="917"/>
  </r>
  <r>
    <d v="2023-05-04T00:00:00"/>
    <x v="1"/>
    <x v="5"/>
    <s v="Фрукты"/>
    <s v="Абрикосы"/>
    <n v="1320"/>
    <n v="70"/>
    <x v="918"/>
  </r>
  <r>
    <d v="2023-05-04T00:00:00"/>
    <x v="0"/>
    <x v="5"/>
    <s v="Ягоды"/>
    <s v="Смородина черная"/>
    <n v="1505"/>
    <n v="27"/>
    <x v="919"/>
  </r>
  <r>
    <d v="2023-05-04T00:00:00"/>
    <x v="1"/>
    <x v="5"/>
    <s v="Ягоды"/>
    <s v="Смородина черная"/>
    <n v="1505"/>
    <n v="100"/>
    <x v="920"/>
  </r>
  <r>
    <d v="2023-05-04T00:00:00"/>
    <x v="0"/>
    <x v="6"/>
    <s v="Фрукты"/>
    <s v="Абрикосы"/>
    <n v="1320"/>
    <n v="86"/>
    <x v="921"/>
  </r>
  <r>
    <d v="2023-05-04T00:00:00"/>
    <x v="4"/>
    <x v="6"/>
    <s v="Фрукты"/>
    <s v="Апельсины"/>
    <n v="2540"/>
    <n v="19"/>
    <x v="922"/>
  </r>
  <r>
    <s v="04.05.2023 Итог"/>
    <x v="3"/>
    <x v="2"/>
    <m/>
    <m/>
    <m/>
    <m/>
    <x v="923"/>
  </r>
  <r>
    <d v="2023-05-05T00:00:00"/>
    <x v="0"/>
    <x v="0"/>
    <s v="Овощи"/>
    <s v="Картофель"/>
    <n v="690"/>
    <n v="34"/>
    <x v="450"/>
  </r>
  <r>
    <d v="2023-05-05T00:00:00"/>
    <x v="2"/>
    <x v="0"/>
    <s v="Ягоды"/>
    <s v="Малина"/>
    <n v="2970"/>
    <n v="6"/>
    <x v="924"/>
  </r>
  <r>
    <d v="2023-05-05T00:00:00"/>
    <x v="2"/>
    <x v="4"/>
    <s v="Зелень"/>
    <s v="Укроп"/>
    <n v="650"/>
    <n v="72"/>
    <x v="925"/>
  </r>
  <r>
    <d v="2023-05-05T00:00:00"/>
    <x v="2"/>
    <x v="4"/>
    <s v="Фрукты"/>
    <s v="Яблоки"/>
    <n v="1230"/>
    <n v="84"/>
    <x v="926"/>
  </r>
  <r>
    <d v="2023-05-05T00:00:00"/>
    <x v="4"/>
    <x v="1"/>
    <s v="Овощи"/>
    <s v="Картофель"/>
    <n v="690"/>
    <n v="60"/>
    <x v="356"/>
  </r>
  <r>
    <d v="2023-05-05T00:00:00"/>
    <x v="0"/>
    <x v="6"/>
    <s v="Зелень"/>
    <s v="Кинза"/>
    <n v="650"/>
    <n v="42"/>
    <x v="189"/>
  </r>
  <r>
    <d v="2023-05-05T00:00:00"/>
    <x v="2"/>
    <x v="6"/>
    <s v="Фрукты"/>
    <s v="Сливы"/>
    <n v="930"/>
    <n v="39"/>
    <x v="302"/>
  </r>
  <r>
    <d v="2023-05-05T00:00:00"/>
    <x v="0"/>
    <x v="6"/>
    <s v="Ягоды"/>
    <s v="Смородина черная"/>
    <n v="1505"/>
    <n v="9"/>
    <x v="856"/>
  </r>
  <r>
    <s v="05.05.2023 Итог"/>
    <x v="3"/>
    <x v="2"/>
    <m/>
    <m/>
    <m/>
    <m/>
    <x v="927"/>
  </r>
  <r>
    <d v="2023-05-06T00:00:00"/>
    <x v="0"/>
    <x v="3"/>
    <s v="Овощи"/>
    <s v="Кабачки"/>
    <n v="325"/>
    <n v="14"/>
    <x v="928"/>
  </r>
  <r>
    <d v="2023-05-06T00:00:00"/>
    <x v="0"/>
    <x v="0"/>
    <s v="Зелень"/>
    <s v="Укроп"/>
    <n v="650"/>
    <n v="73"/>
    <x v="644"/>
  </r>
  <r>
    <d v="2023-05-06T00:00:00"/>
    <x v="1"/>
    <x v="0"/>
    <s v="Овощи"/>
    <s v="Свекла"/>
    <n v="450"/>
    <n v="98"/>
    <x v="929"/>
  </r>
  <r>
    <d v="2023-05-06T00:00:00"/>
    <x v="0"/>
    <x v="0"/>
    <s v="Ягоды"/>
    <s v="Клубника"/>
    <n v="2460"/>
    <n v="21"/>
    <x v="930"/>
  </r>
  <r>
    <d v="2023-05-06T00:00:00"/>
    <x v="0"/>
    <x v="4"/>
    <s v="Зелень"/>
    <s v="Укроп"/>
    <n v="650"/>
    <n v="88"/>
    <x v="83"/>
  </r>
  <r>
    <d v="2023-05-06T00:00:00"/>
    <x v="4"/>
    <x v="4"/>
    <s v="Фрукты"/>
    <s v="Груши"/>
    <n v="1420"/>
    <n v="89"/>
    <x v="655"/>
  </r>
  <r>
    <d v="2023-05-06T00:00:00"/>
    <x v="1"/>
    <x v="4"/>
    <s v="Ягоды"/>
    <s v="Брусника"/>
    <n v="1670"/>
    <n v="64"/>
    <x v="931"/>
  </r>
  <r>
    <d v="2023-05-06T00:00:00"/>
    <x v="2"/>
    <x v="1"/>
    <s v="Зелень"/>
    <s v="Кинза"/>
    <n v="650"/>
    <n v="100"/>
    <x v="2"/>
  </r>
  <r>
    <d v="2023-05-06T00:00:00"/>
    <x v="1"/>
    <x v="5"/>
    <s v="Зелень"/>
    <s v="Салат айсберг"/>
    <n v="1380"/>
    <n v="86"/>
    <x v="932"/>
  </r>
  <r>
    <d v="2023-05-06T00:00:00"/>
    <x v="1"/>
    <x v="5"/>
    <s v="Овощи"/>
    <s v="Капуста"/>
    <n v="460"/>
    <n v="51"/>
    <x v="450"/>
  </r>
  <r>
    <d v="2023-05-06T00:00:00"/>
    <x v="4"/>
    <x v="5"/>
    <s v="Ягоды"/>
    <s v="Черешня"/>
    <n v="1760"/>
    <n v="82"/>
    <x v="852"/>
  </r>
  <r>
    <d v="2023-05-06T00:00:00"/>
    <x v="1"/>
    <x v="5"/>
    <s v="Ягоды"/>
    <s v="Брусника"/>
    <n v="1670"/>
    <n v="76"/>
    <x v="933"/>
  </r>
  <r>
    <s v="06.05.2023 Итог"/>
    <x v="3"/>
    <x v="2"/>
    <m/>
    <m/>
    <m/>
    <m/>
    <x v="934"/>
  </r>
  <r>
    <d v="2023-05-07T00:00:00"/>
    <x v="4"/>
    <x v="0"/>
    <s v="Фрукты"/>
    <s v="Сливы"/>
    <n v="930"/>
    <n v="38"/>
    <x v="280"/>
  </r>
  <r>
    <d v="2023-05-07T00:00:00"/>
    <x v="1"/>
    <x v="0"/>
    <s v="Ягоды"/>
    <s v="Клубника"/>
    <n v="2460"/>
    <n v="50"/>
    <x v="284"/>
  </r>
  <r>
    <d v="2023-05-07T00:00:00"/>
    <x v="1"/>
    <x v="5"/>
    <s v="Ягоды"/>
    <s v="Черешня"/>
    <n v="1760"/>
    <n v="69"/>
    <x v="935"/>
  </r>
  <r>
    <d v="2023-05-07T00:00:00"/>
    <x v="4"/>
    <x v="6"/>
    <s v="Зелень"/>
    <s v="Укроп"/>
    <n v="650"/>
    <n v="12"/>
    <x v="625"/>
  </r>
  <r>
    <d v="2023-05-07T00:00:00"/>
    <x v="4"/>
    <x v="6"/>
    <s v="Ягоды"/>
    <s v="Смородина черная"/>
    <n v="1505"/>
    <n v="42"/>
    <x v="936"/>
  </r>
  <r>
    <s v="07.05.2023 Итог"/>
    <x v="3"/>
    <x v="2"/>
    <m/>
    <m/>
    <m/>
    <m/>
    <x v="937"/>
  </r>
  <r>
    <d v="2023-05-08T00:00:00"/>
    <x v="1"/>
    <x v="3"/>
    <s v="Зелень"/>
    <s v="Лук зеленый"/>
    <n v="705"/>
    <n v="43"/>
    <x v="938"/>
  </r>
  <r>
    <d v="2023-05-08T00:00:00"/>
    <x v="4"/>
    <x v="1"/>
    <s v="Зелень"/>
    <s v="Салат айсберг"/>
    <n v="1380"/>
    <n v="83"/>
    <x v="939"/>
  </r>
  <r>
    <d v="2023-05-08T00:00:00"/>
    <x v="0"/>
    <x v="1"/>
    <s v="Овощи"/>
    <s v="Капуста"/>
    <n v="460"/>
    <n v="49"/>
    <x v="940"/>
  </r>
  <r>
    <d v="2023-05-08T00:00:00"/>
    <x v="1"/>
    <x v="5"/>
    <s v="Фрукты"/>
    <s v="Сливы"/>
    <n v="930"/>
    <n v="49"/>
    <x v="899"/>
  </r>
  <r>
    <d v="2023-05-08T00:00:00"/>
    <x v="4"/>
    <x v="6"/>
    <s v="Зелень"/>
    <s v="Кинза"/>
    <n v="650"/>
    <n v="12"/>
    <x v="625"/>
  </r>
  <r>
    <d v="2023-05-08T00:00:00"/>
    <x v="2"/>
    <x v="6"/>
    <s v="Овощи"/>
    <s v="Картофель"/>
    <n v="690"/>
    <n v="61"/>
    <x v="941"/>
  </r>
  <r>
    <d v="2023-05-08T00:00:00"/>
    <x v="4"/>
    <x v="6"/>
    <s v="Фрукты"/>
    <s v="Груши"/>
    <n v="1420"/>
    <n v="57"/>
    <x v="942"/>
  </r>
  <r>
    <s v="08.05.2023 Итог"/>
    <x v="3"/>
    <x v="2"/>
    <m/>
    <m/>
    <m/>
    <m/>
    <x v="943"/>
  </r>
  <r>
    <d v="2023-05-09T00:00:00"/>
    <x v="0"/>
    <x v="3"/>
    <s v="Ягоды"/>
    <s v="Голубика"/>
    <n v="3205"/>
    <n v="63"/>
    <x v="793"/>
  </r>
  <r>
    <d v="2023-05-09T00:00:00"/>
    <x v="1"/>
    <x v="0"/>
    <s v="Фрукты"/>
    <s v="Апельсины"/>
    <n v="2540"/>
    <n v="78"/>
    <x v="944"/>
  </r>
  <r>
    <d v="2023-05-09T00:00:00"/>
    <x v="2"/>
    <x v="1"/>
    <s v="Зелень"/>
    <s v="Петрушка"/>
    <n v="640"/>
    <n v="93"/>
    <x v="457"/>
  </r>
  <r>
    <d v="2023-05-09T00:00:00"/>
    <x v="0"/>
    <x v="1"/>
    <s v="Зелень"/>
    <s v="Укроп"/>
    <n v="650"/>
    <n v="84"/>
    <x v="747"/>
  </r>
  <r>
    <d v="2023-05-09T00:00:00"/>
    <x v="4"/>
    <x v="1"/>
    <s v="Ягоды"/>
    <s v="Смородина черная"/>
    <n v="1505"/>
    <n v="19"/>
    <x v="945"/>
  </r>
  <r>
    <d v="2023-05-09T00:00:00"/>
    <x v="2"/>
    <x v="1"/>
    <s v="Ягоды"/>
    <s v="Голубика"/>
    <n v="3205"/>
    <n v="27"/>
    <x v="340"/>
  </r>
  <r>
    <d v="2023-05-09T00:00:00"/>
    <x v="0"/>
    <x v="5"/>
    <s v="Ягоды"/>
    <s v="Голубика"/>
    <n v="3205"/>
    <n v="81"/>
    <x v="540"/>
  </r>
  <r>
    <d v="2023-05-09T00:00:00"/>
    <x v="1"/>
    <x v="6"/>
    <s v="Зелень"/>
    <s v="Петрушка"/>
    <n v="640"/>
    <n v="85"/>
    <x v="946"/>
  </r>
  <r>
    <d v="2023-05-09T00:00:00"/>
    <x v="2"/>
    <x v="6"/>
    <s v="Фрукты"/>
    <s v="Груши"/>
    <n v="1420"/>
    <n v="14"/>
    <x v="947"/>
  </r>
  <r>
    <s v="09.05.2023 Итог"/>
    <x v="3"/>
    <x v="2"/>
    <m/>
    <m/>
    <m/>
    <m/>
    <x v="948"/>
  </r>
  <r>
    <d v="2023-05-10T00:00:00"/>
    <x v="1"/>
    <x v="3"/>
    <s v="Ягоды"/>
    <s v="Голубика"/>
    <n v="3205"/>
    <n v="43"/>
    <x v="949"/>
  </r>
  <r>
    <d v="2023-05-10T00:00:00"/>
    <x v="0"/>
    <x v="5"/>
    <s v="Зелень"/>
    <s v="Кинза"/>
    <n v="650"/>
    <n v="31"/>
    <x v="306"/>
  </r>
  <r>
    <d v="2023-05-10T00:00:00"/>
    <x v="0"/>
    <x v="5"/>
    <s v="Овощи"/>
    <s v="Картофель"/>
    <n v="690"/>
    <n v="82"/>
    <x v="556"/>
  </r>
  <r>
    <d v="2023-05-10T00:00:00"/>
    <x v="4"/>
    <x v="5"/>
    <s v="Фрукты"/>
    <s v="Яблоки"/>
    <n v="1230"/>
    <n v="84"/>
    <x v="926"/>
  </r>
  <r>
    <d v="2023-05-10T00:00:00"/>
    <x v="0"/>
    <x v="6"/>
    <s v="Зелень"/>
    <s v="Укроп"/>
    <n v="650"/>
    <n v="89"/>
    <x v="218"/>
  </r>
  <r>
    <s v="10.05.2023 Итог"/>
    <x v="3"/>
    <x v="2"/>
    <m/>
    <m/>
    <m/>
    <m/>
    <x v="950"/>
  </r>
  <r>
    <d v="2023-05-11T00:00:00"/>
    <x v="0"/>
    <x v="3"/>
    <s v="Овощи"/>
    <s v="Картофель"/>
    <n v="690"/>
    <n v="15"/>
    <x v="9"/>
  </r>
  <r>
    <d v="2023-05-11T00:00:00"/>
    <x v="0"/>
    <x v="3"/>
    <s v="Фрукты"/>
    <s v="Абрикосы"/>
    <n v="1320"/>
    <n v="17"/>
    <x v="659"/>
  </r>
  <r>
    <d v="2023-05-11T00:00:00"/>
    <x v="0"/>
    <x v="0"/>
    <s v="Фрукты"/>
    <s v="Груши"/>
    <n v="1420"/>
    <n v="19"/>
    <x v="951"/>
  </r>
  <r>
    <d v="2023-05-11T00:00:00"/>
    <x v="4"/>
    <x v="6"/>
    <s v="Овощи"/>
    <s v="Свекла"/>
    <n v="450"/>
    <n v="56"/>
    <x v="715"/>
  </r>
  <r>
    <d v="2023-05-11T00:00:00"/>
    <x v="1"/>
    <x v="6"/>
    <s v="Фрукты"/>
    <s v="Бананы"/>
    <n v="2400"/>
    <n v="95"/>
    <x v="952"/>
  </r>
  <r>
    <d v="2023-05-11T00:00:00"/>
    <x v="2"/>
    <x v="6"/>
    <s v="Ягоды"/>
    <s v="Голубика"/>
    <n v="3205"/>
    <n v="45"/>
    <x v="953"/>
  </r>
  <r>
    <s v="11.05.2023 Итог"/>
    <x v="3"/>
    <x v="2"/>
    <m/>
    <m/>
    <m/>
    <m/>
    <x v="954"/>
  </r>
  <r>
    <d v="2023-05-12T00:00:00"/>
    <x v="0"/>
    <x v="3"/>
    <s v="Ягоды"/>
    <s v="Голубика"/>
    <n v="3205"/>
    <n v="43"/>
    <x v="949"/>
  </r>
  <r>
    <d v="2023-05-12T00:00:00"/>
    <x v="1"/>
    <x v="0"/>
    <s v="Зелень"/>
    <s v="Салат римский"/>
    <n v="540"/>
    <n v="93"/>
    <x v="955"/>
  </r>
  <r>
    <d v="2023-05-12T00:00:00"/>
    <x v="4"/>
    <x v="4"/>
    <s v="Овощи"/>
    <s v="Капуста"/>
    <n v="460"/>
    <n v="20"/>
    <x v="956"/>
  </r>
  <r>
    <d v="2023-05-12T00:00:00"/>
    <x v="0"/>
    <x v="1"/>
    <s v="Овощи"/>
    <s v="Свекла"/>
    <n v="450"/>
    <n v="29"/>
    <x v="957"/>
  </r>
  <r>
    <d v="2023-05-12T00:00:00"/>
    <x v="0"/>
    <x v="5"/>
    <s v="Зелень"/>
    <s v="Салат айсберг"/>
    <n v="1380"/>
    <n v="32"/>
    <x v="797"/>
  </r>
  <r>
    <d v="2023-05-12T00:00:00"/>
    <x v="1"/>
    <x v="6"/>
    <s v="Ягоды"/>
    <s v="Черешня"/>
    <n v="1760"/>
    <n v="52"/>
    <x v="958"/>
  </r>
  <r>
    <s v="12.05.2023 Итог"/>
    <x v="3"/>
    <x v="2"/>
    <m/>
    <m/>
    <m/>
    <m/>
    <x v="959"/>
  </r>
  <r>
    <d v="2023-05-13T00:00:00"/>
    <x v="1"/>
    <x v="3"/>
    <s v="Фрукты"/>
    <s v="Бананы"/>
    <n v="2400"/>
    <n v="90"/>
    <x v="435"/>
  </r>
  <r>
    <d v="2023-05-13T00:00:00"/>
    <x v="0"/>
    <x v="0"/>
    <s v="Зелень"/>
    <s v="Лук зеленый"/>
    <n v="705"/>
    <n v="54"/>
    <x v="248"/>
  </r>
  <r>
    <d v="2023-05-13T00:00:00"/>
    <x v="1"/>
    <x v="0"/>
    <s v="Овощи"/>
    <s v="Баклажаны"/>
    <n v="890"/>
    <n v="51"/>
    <x v="773"/>
  </r>
  <r>
    <d v="2023-05-13T00:00:00"/>
    <x v="4"/>
    <x v="4"/>
    <s v="Овощи"/>
    <s v="Морковь"/>
    <n v="715"/>
    <n v="39"/>
    <x v="33"/>
  </r>
  <r>
    <d v="2023-05-13T00:00:00"/>
    <x v="4"/>
    <x v="1"/>
    <s v="Зелень"/>
    <s v="Петрушка"/>
    <n v="640"/>
    <n v="82"/>
    <x v="960"/>
  </r>
  <r>
    <d v="2023-05-13T00:00:00"/>
    <x v="2"/>
    <x v="1"/>
    <s v="Зелень"/>
    <s v="Салат айсберг"/>
    <n v="1380"/>
    <n v="41"/>
    <x v="556"/>
  </r>
  <r>
    <d v="2023-05-13T00:00:00"/>
    <x v="2"/>
    <x v="1"/>
    <s v="Зелень"/>
    <s v="Петрушка"/>
    <n v="640"/>
    <n v="42"/>
    <x v="961"/>
  </r>
  <r>
    <d v="2023-05-13T00:00:00"/>
    <x v="2"/>
    <x v="1"/>
    <s v="Фрукты"/>
    <s v="Апельсины"/>
    <n v="2540"/>
    <n v="87"/>
    <x v="962"/>
  </r>
  <r>
    <d v="2023-05-13T00:00:00"/>
    <x v="1"/>
    <x v="1"/>
    <s v="Ягоды"/>
    <s v="Смородина черная"/>
    <n v="1505"/>
    <n v="46"/>
    <x v="707"/>
  </r>
  <r>
    <d v="2023-05-13T00:00:00"/>
    <x v="1"/>
    <x v="5"/>
    <s v="Фрукты"/>
    <s v="Груши"/>
    <n v="1420"/>
    <n v="40"/>
    <x v="963"/>
  </r>
  <r>
    <d v="2023-05-13T00:00:00"/>
    <x v="2"/>
    <x v="6"/>
    <s v="Зелень"/>
    <s v="Укроп"/>
    <n v="650"/>
    <n v="23"/>
    <x v="522"/>
  </r>
  <r>
    <d v="2023-05-13T00:00:00"/>
    <x v="4"/>
    <x v="6"/>
    <s v="Овощи"/>
    <s v="Картофель"/>
    <n v="690"/>
    <n v="66"/>
    <x v="744"/>
  </r>
  <r>
    <s v="13.05.2023 Итог"/>
    <x v="3"/>
    <x v="2"/>
    <m/>
    <m/>
    <m/>
    <m/>
    <x v="964"/>
  </r>
  <r>
    <d v="2023-05-14T00:00:00"/>
    <x v="1"/>
    <x v="3"/>
    <s v="Зелень"/>
    <s v="Укроп"/>
    <n v="650"/>
    <n v="96"/>
    <x v="423"/>
  </r>
  <r>
    <d v="2023-05-14T00:00:00"/>
    <x v="4"/>
    <x v="0"/>
    <s v="Зелень"/>
    <s v="Укроп"/>
    <n v="650"/>
    <n v="32"/>
    <x v="237"/>
  </r>
  <r>
    <d v="2023-05-14T00:00:00"/>
    <x v="4"/>
    <x v="4"/>
    <s v="Овощи"/>
    <s v="Баклажаны"/>
    <n v="890"/>
    <n v="38"/>
    <x v="636"/>
  </r>
  <r>
    <d v="2023-05-14T00:00:00"/>
    <x v="1"/>
    <x v="1"/>
    <s v="Зелень"/>
    <s v="Салат римский"/>
    <n v="540"/>
    <n v="73"/>
    <x v="44"/>
  </r>
  <r>
    <d v="2023-05-14T00:00:00"/>
    <x v="4"/>
    <x v="5"/>
    <s v="Зелень"/>
    <s v="Салат римский"/>
    <n v="540"/>
    <n v="81"/>
    <x v="915"/>
  </r>
  <r>
    <d v="2023-05-14T00:00:00"/>
    <x v="0"/>
    <x v="5"/>
    <s v="Зелень"/>
    <s v="Салат римский"/>
    <n v="540"/>
    <n v="36"/>
    <x v="965"/>
  </r>
  <r>
    <d v="2023-05-14T00:00:00"/>
    <x v="0"/>
    <x v="5"/>
    <s v="Фрукты"/>
    <s v="Бананы"/>
    <n v="2400"/>
    <n v="22"/>
    <x v="94"/>
  </r>
  <r>
    <s v="14.05.2023 Итог"/>
    <x v="3"/>
    <x v="2"/>
    <m/>
    <m/>
    <m/>
    <m/>
    <x v="966"/>
  </r>
  <r>
    <d v="2023-05-15T00:00:00"/>
    <x v="4"/>
    <x v="3"/>
    <s v="Овощи"/>
    <s v="Баклажаны"/>
    <n v="890"/>
    <n v="50"/>
    <x v="916"/>
  </r>
  <r>
    <d v="2023-05-15T00:00:00"/>
    <x v="2"/>
    <x v="3"/>
    <s v="Фрукты"/>
    <s v="Абрикосы"/>
    <n v="1320"/>
    <n v="91"/>
    <x v="521"/>
  </r>
  <r>
    <d v="2023-05-15T00:00:00"/>
    <x v="1"/>
    <x v="0"/>
    <s v="Фрукты"/>
    <s v="Яблоки"/>
    <n v="1230"/>
    <n v="20"/>
    <x v="864"/>
  </r>
  <r>
    <d v="2023-05-15T00:00:00"/>
    <x v="4"/>
    <x v="0"/>
    <s v="Ягоды"/>
    <s v="Черешня"/>
    <n v="1760"/>
    <n v="44"/>
    <x v="499"/>
  </r>
  <r>
    <d v="2023-05-15T00:00:00"/>
    <x v="4"/>
    <x v="4"/>
    <s v="Овощи"/>
    <s v="Морковь"/>
    <n v="715"/>
    <n v="31"/>
    <x v="615"/>
  </r>
  <r>
    <d v="2023-05-15T00:00:00"/>
    <x v="2"/>
    <x v="4"/>
    <s v="Ягоды"/>
    <s v="Брусника"/>
    <n v="1670"/>
    <n v="69"/>
    <x v="967"/>
  </r>
  <r>
    <d v="2023-05-15T00:00:00"/>
    <x v="1"/>
    <x v="1"/>
    <s v="Овощи"/>
    <s v="Баклажаны"/>
    <n v="890"/>
    <n v="46"/>
    <x v="402"/>
  </r>
  <r>
    <d v="2023-05-15T00:00:00"/>
    <x v="1"/>
    <x v="5"/>
    <s v="Ягоды"/>
    <s v="Брусника"/>
    <n v="1670"/>
    <n v="18"/>
    <x v="968"/>
  </r>
  <r>
    <s v="15.05.2023 Итог"/>
    <x v="3"/>
    <x v="2"/>
    <m/>
    <m/>
    <m/>
    <m/>
    <x v="969"/>
  </r>
  <r>
    <d v="2023-05-16T00:00:00"/>
    <x v="1"/>
    <x v="3"/>
    <s v="Зелень"/>
    <s v="Салат айсберг"/>
    <n v="1380"/>
    <n v="43"/>
    <x v="147"/>
  </r>
  <r>
    <d v="2023-05-16T00:00:00"/>
    <x v="2"/>
    <x v="3"/>
    <s v="Фрукты"/>
    <s v="Апельсины"/>
    <n v="2540"/>
    <n v="21"/>
    <x v="658"/>
  </r>
  <r>
    <d v="2023-05-16T00:00:00"/>
    <x v="2"/>
    <x v="3"/>
    <s v="Ягоды"/>
    <s v="Клубника"/>
    <n v="2460"/>
    <n v="72"/>
    <x v="970"/>
  </r>
  <r>
    <d v="2023-05-16T00:00:00"/>
    <x v="0"/>
    <x v="0"/>
    <s v="Зелень"/>
    <s v="Салат айсберг"/>
    <n v="1380"/>
    <n v="79"/>
    <x v="971"/>
  </r>
  <r>
    <d v="2023-05-16T00:00:00"/>
    <x v="1"/>
    <x v="0"/>
    <s v="Зелень"/>
    <s v="Лук зеленый"/>
    <n v="705"/>
    <n v="74"/>
    <x v="972"/>
  </r>
  <r>
    <d v="2023-05-16T00:00:00"/>
    <x v="4"/>
    <x v="4"/>
    <s v="Зелень"/>
    <s v="Петрушка"/>
    <n v="640"/>
    <n v="98"/>
    <x v="649"/>
  </r>
  <r>
    <d v="2023-05-16T00:00:00"/>
    <x v="4"/>
    <x v="1"/>
    <s v="Ягоды"/>
    <s v="Голубика"/>
    <n v="3205"/>
    <n v="38"/>
    <x v="201"/>
  </r>
  <r>
    <d v="2023-05-16T00:00:00"/>
    <x v="1"/>
    <x v="5"/>
    <s v="Овощи"/>
    <s v="Картофель"/>
    <n v="690"/>
    <n v="19"/>
    <x v="973"/>
  </r>
  <r>
    <d v="2023-05-16T00:00:00"/>
    <x v="1"/>
    <x v="6"/>
    <s v="Зелень"/>
    <s v="Кинза"/>
    <n v="650"/>
    <n v="34"/>
    <x v="199"/>
  </r>
  <r>
    <d v="2023-05-16T00:00:00"/>
    <x v="2"/>
    <x v="6"/>
    <s v="Зелень"/>
    <s v="Петрушка"/>
    <n v="640"/>
    <n v="21"/>
    <x v="974"/>
  </r>
  <r>
    <s v="16.05.2023 Итог"/>
    <x v="3"/>
    <x v="2"/>
    <m/>
    <m/>
    <m/>
    <m/>
    <x v="975"/>
  </r>
  <r>
    <d v="2023-05-17T00:00:00"/>
    <x v="1"/>
    <x v="3"/>
    <s v="Зелень"/>
    <s v="Кинза"/>
    <n v="650"/>
    <n v="27"/>
    <x v="689"/>
  </r>
  <r>
    <d v="2023-05-17T00:00:00"/>
    <x v="2"/>
    <x v="3"/>
    <s v="Зелень"/>
    <s v="Лук зеленый"/>
    <n v="705"/>
    <n v="57"/>
    <x v="205"/>
  </r>
  <r>
    <d v="2023-05-17T00:00:00"/>
    <x v="0"/>
    <x v="3"/>
    <s v="Фрукты"/>
    <s v="Груши"/>
    <n v="1420"/>
    <n v="100"/>
    <x v="976"/>
  </r>
  <r>
    <d v="2023-05-17T00:00:00"/>
    <x v="2"/>
    <x v="3"/>
    <s v="Фрукты"/>
    <s v="Бананы"/>
    <n v="2400"/>
    <n v="41"/>
    <x v="549"/>
  </r>
  <r>
    <d v="2023-05-17T00:00:00"/>
    <x v="4"/>
    <x v="3"/>
    <s v="Ягоды"/>
    <s v="Голубика"/>
    <n v="3205"/>
    <n v="78"/>
    <x v="977"/>
  </r>
  <r>
    <d v="2023-05-17T00:00:00"/>
    <x v="2"/>
    <x v="0"/>
    <s v="Овощи"/>
    <s v="Баклажаны"/>
    <n v="890"/>
    <n v="75"/>
    <x v="54"/>
  </r>
  <r>
    <d v="2023-05-17T00:00:00"/>
    <x v="0"/>
    <x v="4"/>
    <s v="Фрукты"/>
    <s v="Бананы"/>
    <n v="2400"/>
    <n v="43"/>
    <x v="978"/>
  </r>
  <r>
    <d v="2023-05-17T00:00:00"/>
    <x v="1"/>
    <x v="4"/>
    <s v="Ягоды"/>
    <s v="Малина"/>
    <n v="2970"/>
    <n v="27"/>
    <x v="576"/>
  </r>
  <r>
    <d v="2023-05-17T00:00:00"/>
    <x v="0"/>
    <x v="1"/>
    <s v="Овощи"/>
    <s v="Капуста"/>
    <n v="460"/>
    <n v="59"/>
    <x v="840"/>
  </r>
  <r>
    <d v="2023-05-17T00:00:00"/>
    <x v="0"/>
    <x v="1"/>
    <s v="Ягоды"/>
    <s v="Смородина черная"/>
    <n v="1505"/>
    <n v="98"/>
    <x v="979"/>
  </r>
  <r>
    <s v="17.05.2023 Итог"/>
    <x v="3"/>
    <x v="2"/>
    <m/>
    <m/>
    <m/>
    <m/>
    <x v="980"/>
  </r>
  <r>
    <d v="2023-05-18T00:00:00"/>
    <x v="1"/>
    <x v="3"/>
    <s v="Овощи"/>
    <s v="Баклажаны"/>
    <n v="890"/>
    <n v="21"/>
    <x v="981"/>
  </r>
  <r>
    <d v="2023-05-18T00:00:00"/>
    <x v="2"/>
    <x v="0"/>
    <s v="Зелень"/>
    <s v="Салат айсберг"/>
    <n v="1380"/>
    <n v="18"/>
    <x v="200"/>
  </r>
  <r>
    <d v="2023-05-18T00:00:00"/>
    <x v="0"/>
    <x v="0"/>
    <s v="Овощи"/>
    <s v="Свекла"/>
    <n v="450"/>
    <n v="97"/>
    <x v="321"/>
  </r>
  <r>
    <d v="2023-05-18T00:00:00"/>
    <x v="4"/>
    <x v="0"/>
    <s v="Овощи"/>
    <s v="Морковь"/>
    <n v="715"/>
    <n v="89"/>
    <x v="982"/>
  </r>
  <r>
    <d v="2023-05-18T00:00:00"/>
    <x v="1"/>
    <x v="1"/>
    <s v="Зелень"/>
    <s v="Петрушка"/>
    <n v="640"/>
    <n v="40"/>
    <x v="676"/>
  </r>
  <r>
    <d v="2023-05-18T00:00:00"/>
    <x v="2"/>
    <x v="1"/>
    <s v="Зелень"/>
    <s v="Петрушка"/>
    <n v="640"/>
    <n v="75"/>
    <x v="77"/>
  </r>
  <r>
    <d v="2023-05-18T00:00:00"/>
    <x v="1"/>
    <x v="1"/>
    <s v="Ягоды"/>
    <s v="Малина"/>
    <n v="2970"/>
    <n v="59"/>
    <x v="598"/>
  </r>
  <r>
    <d v="2023-05-18T00:00:00"/>
    <x v="2"/>
    <x v="5"/>
    <s v="Ягоды"/>
    <s v="Черешня"/>
    <n v="1760"/>
    <n v="24"/>
    <x v="11"/>
  </r>
  <r>
    <d v="2023-05-18T00:00:00"/>
    <x v="2"/>
    <x v="6"/>
    <s v="Ягоды"/>
    <s v="Клубника"/>
    <n v="2460"/>
    <n v="5"/>
    <x v="481"/>
  </r>
  <r>
    <s v="18.05.2023 Итог"/>
    <x v="3"/>
    <x v="2"/>
    <m/>
    <m/>
    <m/>
    <m/>
    <x v="983"/>
  </r>
  <r>
    <d v="2023-05-19T00:00:00"/>
    <x v="4"/>
    <x v="3"/>
    <s v="Зелень"/>
    <s v="Петрушка"/>
    <n v="640"/>
    <n v="60"/>
    <x v="193"/>
  </r>
  <r>
    <d v="2023-05-19T00:00:00"/>
    <x v="1"/>
    <x v="3"/>
    <s v="Овощи"/>
    <s v="Свекла"/>
    <n v="450"/>
    <n v="86"/>
    <x v="984"/>
  </r>
  <r>
    <d v="2023-05-19T00:00:00"/>
    <x v="4"/>
    <x v="3"/>
    <s v="Фрукты"/>
    <s v="Бананы"/>
    <n v="2400"/>
    <n v="23"/>
    <x v="985"/>
  </r>
  <r>
    <d v="2023-05-19T00:00:00"/>
    <x v="1"/>
    <x v="0"/>
    <s v="Овощи"/>
    <s v="Кабачки"/>
    <n v="325"/>
    <n v="48"/>
    <x v="337"/>
  </r>
  <r>
    <d v="2023-05-19T00:00:00"/>
    <x v="0"/>
    <x v="4"/>
    <s v="Ягоды"/>
    <s v="Малина"/>
    <n v="2970"/>
    <n v="59"/>
    <x v="598"/>
  </r>
  <r>
    <d v="2023-05-19T00:00:00"/>
    <x v="4"/>
    <x v="4"/>
    <s v="Ягоды"/>
    <s v="Черешня"/>
    <n v="1760"/>
    <n v="30"/>
    <x v="94"/>
  </r>
  <r>
    <d v="2023-05-19T00:00:00"/>
    <x v="0"/>
    <x v="1"/>
    <s v="Овощи"/>
    <s v="Капуста"/>
    <n v="460"/>
    <n v="23"/>
    <x v="986"/>
  </r>
  <r>
    <d v="2023-05-19T00:00:00"/>
    <x v="2"/>
    <x v="5"/>
    <s v="Овощи"/>
    <s v="Баклажаны"/>
    <n v="890"/>
    <n v="27"/>
    <x v="287"/>
  </r>
  <r>
    <d v="2023-05-19T00:00:00"/>
    <x v="4"/>
    <x v="5"/>
    <s v="Ягоды"/>
    <s v="Брусника"/>
    <n v="1670"/>
    <n v="32"/>
    <x v="987"/>
  </r>
  <r>
    <d v="2023-05-19T00:00:00"/>
    <x v="0"/>
    <x v="6"/>
    <s v="Фрукты"/>
    <s v="Абрикосы"/>
    <n v="1320"/>
    <n v="15"/>
    <x v="4"/>
  </r>
  <r>
    <d v="2023-05-19T00:00:00"/>
    <x v="4"/>
    <x v="6"/>
    <s v="Ягоды"/>
    <s v="Голубика"/>
    <n v="3205"/>
    <n v="46"/>
    <x v="371"/>
  </r>
  <r>
    <s v="19.05.2023 Итог"/>
    <x v="3"/>
    <x v="2"/>
    <m/>
    <m/>
    <m/>
    <m/>
    <x v="988"/>
  </r>
  <r>
    <d v="2023-05-20T00:00:00"/>
    <x v="0"/>
    <x v="3"/>
    <s v="Фрукты"/>
    <s v="Груши"/>
    <n v="1420"/>
    <n v="74"/>
    <x v="384"/>
  </r>
  <r>
    <d v="2023-05-20T00:00:00"/>
    <x v="4"/>
    <x v="0"/>
    <s v="Ягоды"/>
    <s v="Смородина черная"/>
    <n v="1505"/>
    <n v="49"/>
    <x v="886"/>
  </r>
  <r>
    <d v="2023-05-20T00:00:00"/>
    <x v="4"/>
    <x v="4"/>
    <s v="Фрукты"/>
    <s v="Абрикосы"/>
    <n v="1320"/>
    <n v="45"/>
    <x v="12"/>
  </r>
  <r>
    <d v="2023-05-20T00:00:00"/>
    <x v="4"/>
    <x v="1"/>
    <s v="Овощи"/>
    <s v="Кабачки"/>
    <n v="325"/>
    <n v="46"/>
    <x v="522"/>
  </r>
  <r>
    <d v="2023-05-20T00:00:00"/>
    <x v="0"/>
    <x v="5"/>
    <s v="Овощи"/>
    <s v="Картофель"/>
    <n v="690"/>
    <n v="37"/>
    <x v="490"/>
  </r>
  <r>
    <d v="2023-05-20T00:00:00"/>
    <x v="1"/>
    <x v="5"/>
    <s v="Фрукты"/>
    <s v="Сливы"/>
    <n v="930"/>
    <n v="18"/>
    <x v="378"/>
  </r>
  <r>
    <d v="2023-05-20T00:00:00"/>
    <x v="4"/>
    <x v="6"/>
    <s v="Зелень"/>
    <s v="Укроп"/>
    <n v="650"/>
    <n v="98"/>
    <x v="833"/>
  </r>
  <r>
    <d v="2023-05-20T00:00:00"/>
    <x v="2"/>
    <x v="6"/>
    <s v="Овощи"/>
    <s v="Картофель"/>
    <n v="690"/>
    <n v="16"/>
    <x v="51"/>
  </r>
  <r>
    <d v="2023-05-20T00:00:00"/>
    <x v="2"/>
    <x v="6"/>
    <s v="Ягоды"/>
    <s v="Черешня"/>
    <n v="1760"/>
    <n v="24"/>
    <x v="11"/>
  </r>
  <r>
    <s v="20.05.2023 Итог"/>
    <x v="3"/>
    <x v="2"/>
    <m/>
    <m/>
    <m/>
    <m/>
    <x v="989"/>
  </r>
  <r>
    <d v="2023-05-21T00:00:00"/>
    <x v="1"/>
    <x v="3"/>
    <s v="Фрукты"/>
    <s v="Апельсины"/>
    <n v="2540"/>
    <n v="61"/>
    <x v="990"/>
  </r>
  <r>
    <d v="2023-05-21T00:00:00"/>
    <x v="4"/>
    <x v="0"/>
    <s v="Зелень"/>
    <s v="Салат айсберг"/>
    <n v="1380"/>
    <n v="54"/>
    <x v="991"/>
  </r>
  <r>
    <d v="2023-05-21T00:00:00"/>
    <x v="1"/>
    <x v="0"/>
    <s v="Овощи"/>
    <s v="Морковь"/>
    <n v="715"/>
    <n v="17"/>
    <x v="992"/>
  </r>
  <r>
    <d v="2023-05-21T00:00:00"/>
    <x v="0"/>
    <x v="0"/>
    <s v="Фрукты"/>
    <s v="Сливы"/>
    <n v="930"/>
    <n v="35"/>
    <x v="993"/>
  </r>
  <r>
    <d v="2023-05-21T00:00:00"/>
    <x v="4"/>
    <x v="0"/>
    <s v="Фрукты"/>
    <s v="Апельсины"/>
    <n v="2540"/>
    <n v="7"/>
    <x v="208"/>
  </r>
  <r>
    <d v="2023-05-21T00:00:00"/>
    <x v="1"/>
    <x v="4"/>
    <s v="Овощи"/>
    <s v="Морковь"/>
    <n v="715"/>
    <n v="20"/>
    <x v="994"/>
  </r>
  <r>
    <d v="2023-05-21T00:00:00"/>
    <x v="4"/>
    <x v="4"/>
    <s v="Ягоды"/>
    <s v="Малина"/>
    <n v="2970"/>
    <n v="72"/>
    <x v="492"/>
  </r>
  <r>
    <d v="2023-05-21T00:00:00"/>
    <x v="2"/>
    <x v="1"/>
    <s v="Зелень"/>
    <s v="Салат римский"/>
    <n v="540"/>
    <n v="100"/>
    <x v="995"/>
  </r>
  <r>
    <d v="2023-05-21T00:00:00"/>
    <x v="1"/>
    <x v="1"/>
    <s v="Зелень"/>
    <s v="Кинза"/>
    <n v="650"/>
    <n v="27"/>
    <x v="689"/>
  </r>
  <r>
    <d v="2023-05-21T00:00:00"/>
    <x v="1"/>
    <x v="6"/>
    <s v="Зелень"/>
    <s v="Кинза"/>
    <n v="650"/>
    <n v="62"/>
    <x v="699"/>
  </r>
  <r>
    <d v="2023-05-21T00:00:00"/>
    <x v="4"/>
    <x v="6"/>
    <s v="Фрукты"/>
    <s v="Апельсины"/>
    <n v="2540"/>
    <n v="94"/>
    <x v="996"/>
  </r>
  <r>
    <d v="2023-05-21T00:00:00"/>
    <x v="1"/>
    <x v="6"/>
    <s v="Ягоды"/>
    <s v="Клубника"/>
    <n v="2460"/>
    <n v="31"/>
    <x v="997"/>
  </r>
  <r>
    <s v="21.05.2023 Итог"/>
    <x v="3"/>
    <x v="2"/>
    <m/>
    <m/>
    <m/>
    <m/>
    <x v="998"/>
  </r>
  <r>
    <d v="2023-05-22T00:00:00"/>
    <x v="0"/>
    <x v="3"/>
    <s v="Зелень"/>
    <s v="Салат римский"/>
    <n v="540"/>
    <n v="59"/>
    <x v="449"/>
  </r>
  <r>
    <d v="2023-05-22T00:00:00"/>
    <x v="4"/>
    <x v="4"/>
    <s v="Овощи"/>
    <s v="Капуста"/>
    <n v="460"/>
    <n v="52"/>
    <x v="999"/>
  </r>
  <r>
    <d v="2023-05-22T00:00:00"/>
    <x v="0"/>
    <x v="1"/>
    <s v="Зелень"/>
    <s v="Лук зеленый"/>
    <n v="705"/>
    <n v="25"/>
    <x v="1000"/>
  </r>
  <r>
    <d v="2023-05-22T00:00:00"/>
    <x v="2"/>
    <x v="5"/>
    <s v="Фрукты"/>
    <s v="Апельсины"/>
    <n v="2540"/>
    <n v="87"/>
    <x v="962"/>
  </r>
  <r>
    <d v="2023-05-22T00:00:00"/>
    <x v="4"/>
    <x v="6"/>
    <s v="Ягоды"/>
    <s v="Голубика"/>
    <n v="3205"/>
    <n v="90"/>
    <x v="169"/>
  </r>
  <r>
    <s v="22.05.2023 Итог"/>
    <x v="3"/>
    <x v="2"/>
    <m/>
    <m/>
    <m/>
    <m/>
    <x v="1001"/>
  </r>
  <r>
    <d v="2023-05-23T00:00:00"/>
    <x v="2"/>
    <x v="3"/>
    <s v="Фрукты"/>
    <s v="Апельсины"/>
    <n v="2540"/>
    <n v="57"/>
    <x v="1002"/>
  </r>
  <r>
    <d v="2023-05-23T00:00:00"/>
    <x v="0"/>
    <x v="0"/>
    <s v="Зелень"/>
    <s v="Укроп"/>
    <n v="650"/>
    <n v="8"/>
    <x v="672"/>
  </r>
  <r>
    <d v="2023-05-23T00:00:00"/>
    <x v="4"/>
    <x v="0"/>
    <s v="Овощи"/>
    <s v="Капуста"/>
    <n v="460"/>
    <n v="39"/>
    <x v="275"/>
  </r>
  <r>
    <d v="2023-05-23T00:00:00"/>
    <x v="1"/>
    <x v="4"/>
    <s v="Зелень"/>
    <s v="Укроп"/>
    <n v="650"/>
    <n v="55"/>
    <x v="677"/>
  </r>
  <r>
    <d v="2023-05-23T00:00:00"/>
    <x v="1"/>
    <x v="1"/>
    <s v="Овощи"/>
    <s v="Свекла"/>
    <n v="450"/>
    <n v="86"/>
    <x v="984"/>
  </r>
  <r>
    <d v="2023-05-23T00:00:00"/>
    <x v="4"/>
    <x v="5"/>
    <s v="Фрукты"/>
    <s v="Сливы"/>
    <n v="930"/>
    <n v="45"/>
    <x v="820"/>
  </r>
  <r>
    <d v="2023-05-23T00:00:00"/>
    <x v="1"/>
    <x v="5"/>
    <s v="Фрукты"/>
    <s v="Абрикосы"/>
    <n v="1320"/>
    <n v="82"/>
    <x v="456"/>
  </r>
  <r>
    <d v="2023-05-23T00:00:00"/>
    <x v="4"/>
    <x v="6"/>
    <s v="Фрукты"/>
    <s v="Апельсины"/>
    <n v="2540"/>
    <n v="97"/>
    <x v="1003"/>
  </r>
  <r>
    <d v="2023-05-23T00:00:00"/>
    <x v="4"/>
    <x v="6"/>
    <s v="Ягоды"/>
    <s v="Смородина черная"/>
    <n v="1505"/>
    <n v="32"/>
    <x v="1004"/>
  </r>
  <r>
    <s v="23.05.2023 Итог"/>
    <x v="3"/>
    <x v="2"/>
    <m/>
    <m/>
    <m/>
    <m/>
    <x v="1005"/>
  </r>
  <r>
    <d v="2023-05-24T00:00:00"/>
    <x v="2"/>
    <x v="3"/>
    <s v="Овощи"/>
    <s v="Капуста"/>
    <n v="460"/>
    <n v="8"/>
    <x v="1006"/>
  </r>
  <r>
    <d v="2023-05-24T00:00:00"/>
    <x v="4"/>
    <x v="3"/>
    <s v="Ягоды"/>
    <s v="Клубника"/>
    <n v="2460"/>
    <n v="8"/>
    <x v="254"/>
  </r>
  <r>
    <d v="2023-05-24T00:00:00"/>
    <x v="4"/>
    <x v="4"/>
    <s v="Ягоды"/>
    <s v="Малина"/>
    <n v="2970"/>
    <n v="27"/>
    <x v="576"/>
  </r>
  <r>
    <d v="2023-05-24T00:00:00"/>
    <x v="2"/>
    <x v="1"/>
    <s v="Зелень"/>
    <s v="Салат римский"/>
    <n v="540"/>
    <n v="60"/>
    <x v="1007"/>
  </r>
  <r>
    <d v="2023-05-24T00:00:00"/>
    <x v="2"/>
    <x v="1"/>
    <s v="Овощи"/>
    <s v="Кабачки"/>
    <n v="325"/>
    <n v="12"/>
    <x v="342"/>
  </r>
  <r>
    <d v="2023-05-24T00:00:00"/>
    <x v="0"/>
    <x v="1"/>
    <s v="Овощи"/>
    <s v="Кабачки"/>
    <n v="325"/>
    <n v="17"/>
    <x v="38"/>
  </r>
  <r>
    <d v="2023-05-24T00:00:00"/>
    <x v="1"/>
    <x v="1"/>
    <s v="Фрукты"/>
    <s v="Бананы"/>
    <n v="2400"/>
    <n v="36"/>
    <x v="1008"/>
  </r>
  <r>
    <d v="2023-05-24T00:00:00"/>
    <x v="2"/>
    <x v="5"/>
    <s v="Зелень"/>
    <s v="Салат римский"/>
    <n v="540"/>
    <n v="19"/>
    <x v="1009"/>
  </r>
  <r>
    <d v="2023-05-24T00:00:00"/>
    <x v="0"/>
    <x v="5"/>
    <s v="Овощи"/>
    <s v="Картофель"/>
    <n v="690"/>
    <n v="20"/>
    <x v="505"/>
  </r>
  <r>
    <d v="2023-05-24T00:00:00"/>
    <x v="1"/>
    <x v="5"/>
    <s v="Ягоды"/>
    <s v="Черешня"/>
    <n v="1760"/>
    <n v="48"/>
    <x v="432"/>
  </r>
  <r>
    <s v="24.05.2023 Итог"/>
    <x v="3"/>
    <x v="2"/>
    <m/>
    <m/>
    <m/>
    <m/>
    <x v="1010"/>
  </r>
  <r>
    <d v="2023-05-25T00:00:00"/>
    <x v="2"/>
    <x v="3"/>
    <s v="Зелень"/>
    <s v="Салат айсберг"/>
    <n v="1380"/>
    <n v="83"/>
    <x v="939"/>
  </r>
  <r>
    <d v="2023-05-25T00:00:00"/>
    <x v="0"/>
    <x v="3"/>
    <s v="Ягоды"/>
    <s v="Смородина черная"/>
    <n v="1505"/>
    <n v="63"/>
    <x v="855"/>
  </r>
  <r>
    <d v="2023-05-25T00:00:00"/>
    <x v="0"/>
    <x v="0"/>
    <s v="Овощи"/>
    <s v="Картофель"/>
    <n v="690"/>
    <n v="13"/>
    <x v="1011"/>
  </r>
  <r>
    <d v="2023-05-25T00:00:00"/>
    <x v="1"/>
    <x v="0"/>
    <s v="Овощи"/>
    <s v="Баклажаны"/>
    <n v="890"/>
    <n v="69"/>
    <x v="1012"/>
  </r>
  <r>
    <d v="2023-05-25T00:00:00"/>
    <x v="2"/>
    <x v="0"/>
    <s v="Овощи"/>
    <s v="Баклажаны"/>
    <n v="890"/>
    <n v="86"/>
    <x v="771"/>
  </r>
  <r>
    <d v="2023-05-25T00:00:00"/>
    <x v="0"/>
    <x v="0"/>
    <s v="Овощи"/>
    <s v="Морковь"/>
    <n v="715"/>
    <n v="88"/>
    <x v="1013"/>
  </r>
  <r>
    <d v="2023-05-25T00:00:00"/>
    <x v="1"/>
    <x v="0"/>
    <s v="Ягоды"/>
    <s v="Брусника"/>
    <n v="1670"/>
    <n v="44"/>
    <x v="1014"/>
  </r>
  <r>
    <d v="2023-05-25T00:00:00"/>
    <x v="0"/>
    <x v="4"/>
    <s v="Зелень"/>
    <s v="Укроп"/>
    <n v="650"/>
    <n v="72"/>
    <x v="925"/>
  </r>
  <r>
    <d v="2023-05-25T00:00:00"/>
    <x v="1"/>
    <x v="4"/>
    <s v="Зелень"/>
    <s v="Салат римский"/>
    <n v="540"/>
    <n v="91"/>
    <x v="1015"/>
  </r>
  <r>
    <d v="2023-05-25T00:00:00"/>
    <x v="4"/>
    <x v="5"/>
    <s v="Овощи"/>
    <s v="Кабачки"/>
    <n v="325"/>
    <n v="61"/>
    <x v="1016"/>
  </r>
  <r>
    <d v="2023-05-25T00:00:00"/>
    <x v="4"/>
    <x v="5"/>
    <s v="Фрукты"/>
    <s v="Груши"/>
    <n v="1420"/>
    <n v="82"/>
    <x v="632"/>
  </r>
  <r>
    <d v="2023-05-25T00:00:00"/>
    <x v="4"/>
    <x v="5"/>
    <s v="Ягоды"/>
    <s v="Смородина черная"/>
    <n v="1505"/>
    <n v="59"/>
    <x v="754"/>
  </r>
  <r>
    <d v="2023-05-25T00:00:00"/>
    <x v="2"/>
    <x v="6"/>
    <s v="Зелень"/>
    <s v="Лук зеленый"/>
    <n v="705"/>
    <n v="50"/>
    <x v="1017"/>
  </r>
  <r>
    <s v="25.05.2023 Итог"/>
    <x v="3"/>
    <x v="2"/>
    <m/>
    <m/>
    <m/>
    <m/>
    <x v="1018"/>
  </r>
  <r>
    <d v="2023-05-26T00:00:00"/>
    <x v="1"/>
    <x v="3"/>
    <s v="Овощи"/>
    <s v="Свекла"/>
    <n v="450"/>
    <n v="89"/>
    <x v="1019"/>
  </r>
  <r>
    <d v="2023-05-26T00:00:00"/>
    <x v="4"/>
    <x v="3"/>
    <s v="Овощи"/>
    <s v="Баклажаны"/>
    <n v="890"/>
    <n v="97"/>
    <x v="1020"/>
  </r>
  <r>
    <d v="2023-05-26T00:00:00"/>
    <x v="4"/>
    <x v="3"/>
    <s v="Овощи"/>
    <s v="Картофель"/>
    <n v="690"/>
    <n v="95"/>
    <x v="1021"/>
  </r>
  <r>
    <d v="2023-05-26T00:00:00"/>
    <x v="0"/>
    <x v="3"/>
    <s v="Овощи"/>
    <s v="Капуста"/>
    <n v="460"/>
    <n v="21"/>
    <x v="75"/>
  </r>
  <r>
    <d v="2023-05-26T00:00:00"/>
    <x v="1"/>
    <x v="3"/>
    <s v="Овощи"/>
    <s v="Баклажаны"/>
    <n v="890"/>
    <n v="9"/>
    <x v="1022"/>
  </r>
  <r>
    <d v="2023-05-26T00:00:00"/>
    <x v="1"/>
    <x v="3"/>
    <s v="Фрукты"/>
    <s v="Абрикосы"/>
    <n v="1320"/>
    <n v="22"/>
    <x v="1023"/>
  </r>
  <r>
    <d v="2023-05-26T00:00:00"/>
    <x v="4"/>
    <x v="3"/>
    <s v="Ягоды"/>
    <s v="Брусника"/>
    <n v="1670"/>
    <n v="90"/>
    <x v="1024"/>
  </r>
  <r>
    <d v="2023-05-26T00:00:00"/>
    <x v="0"/>
    <x v="4"/>
    <s v="Фрукты"/>
    <s v="Апельсины"/>
    <n v="2540"/>
    <n v="97"/>
    <x v="1003"/>
  </r>
  <r>
    <d v="2023-05-26T00:00:00"/>
    <x v="1"/>
    <x v="4"/>
    <s v="Ягоды"/>
    <s v="Брусника"/>
    <n v="1670"/>
    <n v="14"/>
    <x v="1025"/>
  </r>
  <r>
    <d v="2023-05-26T00:00:00"/>
    <x v="2"/>
    <x v="1"/>
    <s v="Зелень"/>
    <s v="Укроп"/>
    <n v="650"/>
    <n v="30"/>
    <x v="469"/>
  </r>
  <r>
    <d v="2023-05-26T00:00:00"/>
    <x v="0"/>
    <x v="1"/>
    <s v="Овощи"/>
    <s v="Свекла"/>
    <n v="450"/>
    <n v="52"/>
    <x v="756"/>
  </r>
  <r>
    <d v="2023-05-26T00:00:00"/>
    <x v="0"/>
    <x v="6"/>
    <s v="Овощи"/>
    <s v="Свекла"/>
    <n v="450"/>
    <n v="61"/>
    <x v="631"/>
  </r>
  <r>
    <s v="26.05.2023 Итог"/>
    <x v="3"/>
    <x v="2"/>
    <m/>
    <m/>
    <m/>
    <m/>
    <x v="1026"/>
  </r>
  <r>
    <d v="2023-05-27T00:00:00"/>
    <x v="4"/>
    <x v="3"/>
    <s v="Зелень"/>
    <s v="Салат айсберг"/>
    <n v="1380"/>
    <n v="10"/>
    <x v="505"/>
  </r>
  <r>
    <d v="2023-05-27T00:00:00"/>
    <x v="4"/>
    <x v="3"/>
    <s v="Ягоды"/>
    <s v="Брусника"/>
    <n v="1670"/>
    <n v="85"/>
    <x v="1027"/>
  </r>
  <r>
    <d v="2023-05-27T00:00:00"/>
    <x v="0"/>
    <x v="4"/>
    <s v="Зелень"/>
    <s v="Укроп"/>
    <n v="650"/>
    <n v="58"/>
    <x v="173"/>
  </r>
  <r>
    <d v="2023-05-27T00:00:00"/>
    <x v="0"/>
    <x v="4"/>
    <s v="Фрукты"/>
    <s v="Абрикосы"/>
    <n v="1320"/>
    <n v="61"/>
    <x v="819"/>
  </r>
  <r>
    <d v="2023-05-27T00:00:00"/>
    <x v="1"/>
    <x v="5"/>
    <s v="Ягоды"/>
    <s v="Черешня"/>
    <n v="1760"/>
    <n v="45"/>
    <x v="30"/>
  </r>
  <r>
    <d v="2023-05-27T00:00:00"/>
    <x v="0"/>
    <x v="5"/>
    <s v="Ягоды"/>
    <s v="Клубника"/>
    <n v="2460"/>
    <n v="5"/>
    <x v="481"/>
  </r>
  <r>
    <s v="27.05.2023 Итог"/>
    <x v="3"/>
    <x v="2"/>
    <m/>
    <m/>
    <m/>
    <m/>
    <x v="1028"/>
  </r>
  <r>
    <d v="2023-05-28T00:00:00"/>
    <x v="1"/>
    <x v="0"/>
    <s v="Овощи"/>
    <s v="Морковь"/>
    <n v="715"/>
    <n v="75"/>
    <x v="37"/>
  </r>
  <r>
    <d v="2023-05-28T00:00:00"/>
    <x v="1"/>
    <x v="4"/>
    <s v="Ягоды"/>
    <s v="Брусника"/>
    <n v="1670"/>
    <n v="37"/>
    <x v="265"/>
  </r>
  <r>
    <d v="2023-05-28T00:00:00"/>
    <x v="4"/>
    <x v="5"/>
    <s v="Фрукты"/>
    <s v="Сливы"/>
    <n v="930"/>
    <n v="56"/>
    <x v="1029"/>
  </r>
  <r>
    <d v="2023-05-28T00:00:00"/>
    <x v="4"/>
    <x v="6"/>
    <s v="Овощи"/>
    <s v="Баклажаны"/>
    <n v="890"/>
    <n v="25"/>
    <x v="48"/>
  </r>
  <r>
    <d v="2023-05-28T00:00:00"/>
    <x v="2"/>
    <x v="6"/>
    <s v="Фрукты"/>
    <s v="Бананы"/>
    <n v="2400"/>
    <n v="67"/>
    <x v="59"/>
  </r>
  <r>
    <s v="28.05.2023 Итог"/>
    <x v="3"/>
    <x v="2"/>
    <m/>
    <m/>
    <m/>
    <m/>
    <x v="1030"/>
  </r>
  <r>
    <d v="2023-05-29T00:00:00"/>
    <x v="4"/>
    <x v="3"/>
    <s v="Зелень"/>
    <s v="Петрушка"/>
    <n v="640"/>
    <n v="7"/>
    <x v="1031"/>
  </r>
  <r>
    <d v="2023-05-29T00:00:00"/>
    <x v="1"/>
    <x v="0"/>
    <s v="Зелень"/>
    <s v="Петрушка"/>
    <n v="640"/>
    <n v="52"/>
    <x v="67"/>
  </r>
  <r>
    <d v="2023-05-29T00:00:00"/>
    <x v="0"/>
    <x v="0"/>
    <s v="Фрукты"/>
    <s v="Груши"/>
    <n v="1420"/>
    <n v="93"/>
    <x v="1032"/>
  </r>
  <r>
    <d v="2023-05-29T00:00:00"/>
    <x v="2"/>
    <x v="0"/>
    <s v="Ягоды"/>
    <s v="Брусника"/>
    <n v="1670"/>
    <n v="6"/>
    <x v="1033"/>
  </r>
  <r>
    <d v="2023-05-29T00:00:00"/>
    <x v="0"/>
    <x v="4"/>
    <s v="Овощи"/>
    <s v="Свекла"/>
    <n v="450"/>
    <n v="18"/>
    <x v="93"/>
  </r>
  <r>
    <d v="2023-05-29T00:00:00"/>
    <x v="0"/>
    <x v="4"/>
    <s v="Овощи"/>
    <s v="Капуста"/>
    <n v="460"/>
    <n v="17"/>
    <x v="1034"/>
  </r>
  <r>
    <d v="2023-05-29T00:00:00"/>
    <x v="4"/>
    <x v="4"/>
    <s v="Фрукты"/>
    <s v="Бананы"/>
    <n v="2400"/>
    <n v="88"/>
    <x v="1035"/>
  </r>
  <r>
    <d v="2023-05-29T00:00:00"/>
    <x v="0"/>
    <x v="4"/>
    <s v="Ягоды"/>
    <s v="Малина"/>
    <n v="2970"/>
    <n v="68"/>
    <x v="1036"/>
  </r>
  <r>
    <d v="2023-05-29T00:00:00"/>
    <x v="1"/>
    <x v="1"/>
    <s v="Овощи"/>
    <s v="Баклажаны"/>
    <n v="890"/>
    <n v="95"/>
    <x v="1037"/>
  </r>
  <r>
    <d v="2023-05-29T00:00:00"/>
    <x v="4"/>
    <x v="1"/>
    <s v="Ягоды"/>
    <s v="Голубика"/>
    <n v="3205"/>
    <n v="94"/>
    <x v="139"/>
  </r>
  <r>
    <d v="2023-05-29T00:00:00"/>
    <x v="4"/>
    <x v="5"/>
    <s v="Овощи"/>
    <s v="Картофель"/>
    <n v="690"/>
    <n v="30"/>
    <x v="812"/>
  </r>
  <r>
    <d v="2023-05-29T00:00:00"/>
    <x v="4"/>
    <x v="5"/>
    <s v="Фрукты"/>
    <s v="Яблоки"/>
    <n v="1230"/>
    <n v="68"/>
    <x v="281"/>
  </r>
  <r>
    <d v="2023-05-29T00:00:00"/>
    <x v="1"/>
    <x v="5"/>
    <s v="Фрукты"/>
    <s v="Яблоки"/>
    <n v="1230"/>
    <n v="32"/>
    <x v="581"/>
  </r>
  <r>
    <d v="2023-05-29T00:00:00"/>
    <x v="2"/>
    <x v="6"/>
    <s v="Зелень"/>
    <s v="Кинза"/>
    <n v="650"/>
    <n v="17"/>
    <x v="1038"/>
  </r>
  <r>
    <s v="29.05.2023 Итог"/>
    <x v="3"/>
    <x v="2"/>
    <m/>
    <m/>
    <m/>
    <m/>
    <x v="1039"/>
  </r>
  <r>
    <d v="2023-05-30T00:00:00"/>
    <x v="4"/>
    <x v="0"/>
    <s v="Овощи"/>
    <s v="Морковь"/>
    <n v="715"/>
    <n v="91"/>
    <x v="298"/>
  </r>
  <r>
    <d v="2023-05-30T00:00:00"/>
    <x v="4"/>
    <x v="0"/>
    <s v="Ягоды"/>
    <s v="Смородина черная"/>
    <n v="1505"/>
    <n v="35"/>
    <x v="1040"/>
  </r>
  <r>
    <d v="2023-05-30T00:00:00"/>
    <x v="1"/>
    <x v="1"/>
    <s v="Овощи"/>
    <s v="Морковь"/>
    <n v="715"/>
    <n v="8"/>
    <x v="398"/>
  </r>
  <r>
    <d v="2023-05-30T00:00:00"/>
    <x v="2"/>
    <x v="1"/>
    <s v="Овощи"/>
    <s v="Картофель"/>
    <n v="690"/>
    <n v="42"/>
    <x v="554"/>
  </r>
  <r>
    <d v="2023-05-30T00:00:00"/>
    <x v="4"/>
    <x v="1"/>
    <s v="Ягоды"/>
    <s v="Клубника"/>
    <n v="2460"/>
    <n v="11"/>
    <x v="131"/>
  </r>
  <r>
    <d v="2023-05-30T00:00:00"/>
    <x v="4"/>
    <x v="5"/>
    <s v="Ягоды"/>
    <s v="Черешня"/>
    <n v="1760"/>
    <n v="63"/>
    <x v="95"/>
  </r>
  <r>
    <d v="2023-05-30T00:00:00"/>
    <x v="2"/>
    <x v="6"/>
    <s v="Овощи"/>
    <s v="Морковь"/>
    <n v="715"/>
    <n v="12"/>
    <x v="1041"/>
  </r>
  <r>
    <d v="2023-05-30T00:00:00"/>
    <x v="4"/>
    <x v="6"/>
    <s v="Фрукты"/>
    <s v="Абрикосы"/>
    <n v="1320"/>
    <n v="24"/>
    <x v="1042"/>
  </r>
  <r>
    <s v="30.05.2023 Итог"/>
    <x v="3"/>
    <x v="2"/>
    <m/>
    <m/>
    <m/>
    <m/>
    <x v="1043"/>
  </r>
  <r>
    <d v="2023-05-31T00:00:00"/>
    <x v="0"/>
    <x v="3"/>
    <s v="Фрукты"/>
    <s v="Абрикосы"/>
    <n v="1320"/>
    <n v="36"/>
    <x v="413"/>
  </r>
  <r>
    <d v="2023-05-31T00:00:00"/>
    <x v="1"/>
    <x v="3"/>
    <s v="Фрукты"/>
    <s v="Яблоки"/>
    <n v="1230"/>
    <n v="36"/>
    <x v="1044"/>
  </r>
  <r>
    <d v="2023-05-31T00:00:00"/>
    <x v="0"/>
    <x v="0"/>
    <s v="Зелень"/>
    <s v="Лук зеленый"/>
    <n v="705"/>
    <n v="70"/>
    <x v="1045"/>
  </r>
  <r>
    <d v="2023-05-31T00:00:00"/>
    <x v="4"/>
    <x v="0"/>
    <s v="Овощи"/>
    <s v="Картофель"/>
    <n v="690"/>
    <n v="94"/>
    <x v="752"/>
  </r>
  <r>
    <d v="2023-05-31T00:00:00"/>
    <x v="4"/>
    <x v="0"/>
    <s v="Ягоды"/>
    <s v="Малина"/>
    <n v="2970"/>
    <n v="38"/>
    <x v="440"/>
  </r>
  <r>
    <d v="2023-05-31T00:00:00"/>
    <x v="1"/>
    <x v="4"/>
    <s v="Овощи"/>
    <s v="Свекла"/>
    <n v="450"/>
    <n v="62"/>
    <x v="1046"/>
  </r>
  <r>
    <d v="2023-05-31T00:00:00"/>
    <x v="4"/>
    <x v="1"/>
    <s v="Зелень"/>
    <s v="Петрушка"/>
    <n v="640"/>
    <n v="73"/>
    <x v="1047"/>
  </r>
  <r>
    <d v="2023-05-31T00:00:00"/>
    <x v="2"/>
    <x v="5"/>
    <s v="Зелень"/>
    <s v="Лук зеленый"/>
    <n v="705"/>
    <n v="26"/>
    <x v="1048"/>
  </r>
  <r>
    <d v="2023-05-31T00:00:00"/>
    <x v="2"/>
    <x v="5"/>
    <s v="Овощи"/>
    <s v="Капуста"/>
    <n v="460"/>
    <n v="48"/>
    <x v="253"/>
  </r>
  <r>
    <d v="2023-05-31T00:00:00"/>
    <x v="1"/>
    <x v="6"/>
    <s v="Овощи"/>
    <s v="Капуста"/>
    <n v="460"/>
    <n v="63"/>
    <x v="554"/>
  </r>
  <r>
    <d v="2023-05-31T00:00:00"/>
    <x v="0"/>
    <x v="6"/>
    <s v="Ягоды"/>
    <s v="Голубика"/>
    <n v="3205"/>
    <n v="99"/>
    <x v="1049"/>
  </r>
  <r>
    <s v="31.05.2023 Итог"/>
    <x v="3"/>
    <x v="2"/>
    <m/>
    <m/>
    <m/>
    <m/>
    <x v="1050"/>
  </r>
  <r>
    <d v="2023-06-01T00:00:00"/>
    <x v="2"/>
    <x v="3"/>
    <s v="Зелень"/>
    <s v="Салат римский"/>
    <n v="540"/>
    <n v="28"/>
    <x v="1051"/>
  </r>
  <r>
    <d v="2023-06-01T00:00:00"/>
    <x v="1"/>
    <x v="3"/>
    <s v="Ягоды"/>
    <s v="Клубника"/>
    <n v="2460"/>
    <n v="73"/>
    <x v="897"/>
  </r>
  <r>
    <d v="2023-06-01T00:00:00"/>
    <x v="4"/>
    <x v="3"/>
    <s v="Ягоды"/>
    <s v="Брусника"/>
    <n v="1670"/>
    <n v="30"/>
    <x v="1052"/>
  </r>
  <r>
    <d v="2023-06-01T00:00:00"/>
    <x v="4"/>
    <x v="0"/>
    <s v="Овощи"/>
    <s v="Свекла"/>
    <n v="450"/>
    <n v="9"/>
    <x v="181"/>
  </r>
  <r>
    <d v="2023-06-01T00:00:00"/>
    <x v="1"/>
    <x v="1"/>
    <s v="Зелень"/>
    <s v="Кинза"/>
    <n v="650"/>
    <n v="28"/>
    <x v="568"/>
  </r>
  <r>
    <d v="2023-06-01T00:00:00"/>
    <x v="2"/>
    <x v="1"/>
    <s v="Фрукты"/>
    <s v="Апельсины"/>
    <n v="2540"/>
    <n v="44"/>
    <x v="1053"/>
  </r>
  <r>
    <d v="2023-06-01T00:00:00"/>
    <x v="4"/>
    <x v="1"/>
    <s v="Ягоды"/>
    <s v="Черешня"/>
    <n v="1760"/>
    <n v="72"/>
    <x v="107"/>
  </r>
  <r>
    <d v="2023-06-01T00:00:00"/>
    <x v="4"/>
    <x v="1"/>
    <s v="Ягоды"/>
    <s v="Малина"/>
    <n v="2970"/>
    <n v="72"/>
    <x v="492"/>
  </r>
  <r>
    <d v="2023-06-01T00:00:00"/>
    <x v="2"/>
    <x v="5"/>
    <s v="Зелень"/>
    <s v="Салат айсберг"/>
    <n v="1380"/>
    <n v="51"/>
    <x v="1054"/>
  </r>
  <r>
    <d v="2023-06-01T00:00:00"/>
    <x v="2"/>
    <x v="5"/>
    <s v="Фрукты"/>
    <s v="Абрикосы"/>
    <n v="1320"/>
    <n v="73"/>
    <x v="1055"/>
  </r>
  <r>
    <d v="2023-06-01T00:00:00"/>
    <x v="4"/>
    <x v="6"/>
    <s v="Фрукты"/>
    <s v="Груши"/>
    <n v="1420"/>
    <n v="53"/>
    <x v="411"/>
  </r>
  <r>
    <d v="2023-06-01T00:00:00"/>
    <x v="4"/>
    <x v="6"/>
    <s v="Фрукты"/>
    <s v="Абрикосы"/>
    <n v="1320"/>
    <n v="61"/>
    <x v="819"/>
  </r>
  <r>
    <s v="01.06.2023 Итог"/>
    <x v="3"/>
    <x v="2"/>
    <m/>
    <m/>
    <m/>
    <m/>
    <x v="1056"/>
  </r>
  <r>
    <d v="2023-06-02T00:00:00"/>
    <x v="2"/>
    <x v="0"/>
    <s v="Овощи"/>
    <s v="Картофель"/>
    <n v="690"/>
    <n v="50"/>
    <x v="1057"/>
  </r>
  <r>
    <d v="2023-06-02T00:00:00"/>
    <x v="0"/>
    <x v="0"/>
    <s v="Овощи"/>
    <s v="Картофель"/>
    <n v="690"/>
    <n v="82"/>
    <x v="556"/>
  </r>
  <r>
    <d v="2023-06-02T00:00:00"/>
    <x v="4"/>
    <x v="5"/>
    <s v="Фрукты"/>
    <s v="Сливы"/>
    <n v="930"/>
    <n v="43"/>
    <x v="1058"/>
  </r>
  <r>
    <d v="2023-06-02T00:00:00"/>
    <x v="1"/>
    <x v="5"/>
    <s v="Ягоды"/>
    <s v="Малина"/>
    <n v="2970"/>
    <n v="61"/>
    <x v="1059"/>
  </r>
  <r>
    <d v="2023-06-02T00:00:00"/>
    <x v="2"/>
    <x v="6"/>
    <s v="Зелень"/>
    <s v="Лук зеленый"/>
    <n v="705"/>
    <n v="70"/>
    <x v="1045"/>
  </r>
  <r>
    <d v="2023-06-02T00:00:00"/>
    <x v="2"/>
    <x v="6"/>
    <s v="Зелень"/>
    <s v="Салат римский"/>
    <n v="540"/>
    <n v="76"/>
    <x v="709"/>
  </r>
  <r>
    <s v="02.06.2023 Итог"/>
    <x v="3"/>
    <x v="2"/>
    <m/>
    <m/>
    <m/>
    <m/>
    <x v="1060"/>
  </r>
  <r>
    <d v="2023-06-03T00:00:00"/>
    <x v="0"/>
    <x v="1"/>
    <s v="Зелень"/>
    <s v="Салат римский"/>
    <n v="540"/>
    <n v="62"/>
    <x v="206"/>
  </r>
  <r>
    <d v="2023-06-03T00:00:00"/>
    <x v="4"/>
    <x v="5"/>
    <s v="Зелень"/>
    <s v="Укроп"/>
    <n v="650"/>
    <n v="12"/>
    <x v="625"/>
  </r>
  <r>
    <d v="2023-06-03T00:00:00"/>
    <x v="2"/>
    <x v="5"/>
    <s v="Овощи"/>
    <s v="Картофель"/>
    <n v="690"/>
    <n v="69"/>
    <x v="422"/>
  </r>
  <r>
    <d v="2023-06-03T00:00:00"/>
    <x v="2"/>
    <x v="6"/>
    <s v="Зелень"/>
    <s v="Кинза"/>
    <n v="650"/>
    <n v="69"/>
    <x v="317"/>
  </r>
  <r>
    <s v="03.06.2023 Итог"/>
    <x v="3"/>
    <x v="2"/>
    <m/>
    <m/>
    <m/>
    <m/>
    <x v="1061"/>
  </r>
  <r>
    <d v="2023-06-04T00:00:00"/>
    <x v="2"/>
    <x v="3"/>
    <s v="Овощи"/>
    <s v="Кабачки"/>
    <n v="325"/>
    <n v="69"/>
    <x v="1062"/>
  </r>
  <r>
    <d v="2023-06-04T00:00:00"/>
    <x v="1"/>
    <x v="0"/>
    <s v="Зелень"/>
    <s v="Петрушка"/>
    <n v="640"/>
    <n v="6"/>
    <x v="1063"/>
  </r>
  <r>
    <d v="2023-06-04T00:00:00"/>
    <x v="0"/>
    <x v="0"/>
    <s v="Овощи"/>
    <s v="Морковь"/>
    <n v="715"/>
    <n v="82"/>
    <x v="842"/>
  </r>
  <r>
    <d v="2023-06-04T00:00:00"/>
    <x v="4"/>
    <x v="4"/>
    <s v="Зелень"/>
    <s v="Кинза"/>
    <n v="650"/>
    <n v="31"/>
    <x v="306"/>
  </r>
  <r>
    <d v="2023-06-04T00:00:00"/>
    <x v="4"/>
    <x v="4"/>
    <s v="Фрукты"/>
    <s v="Груши"/>
    <n v="1420"/>
    <n v="61"/>
    <x v="1064"/>
  </r>
  <r>
    <d v="2023-06-04T00:00:00"/>
    <x v="2"/>
    <x v="1"/>
    <s v="Ягоды"/>
    <s v="Смородина черная"/>
    <n v="1505"/>
    <n v="67"/>
    <x v="1065"/>
  </r>
  <r>
    <d v="2023-06-04T00:00:00"/>
    <x v="0"/>
    <x v="5"/>
    <s v="Зелень"/>
    <s v="Кинза"/>
    <n v="650"/>
    <n v="50"/>
    <x v="392"/>
  </r>
  <r>
    <d v="2023-06-04T00:00:00"/>
    <x v="2"/>
    <x v="5"/>
    <s v="Зелень"/>
    <s v="Кинза"/>
    <n v="650"/>
    <n v="27"/>
    <x v="689"/>
  </r>
  <r>
    <d v="2023-06-04T00:00:00"/>
    <x v="2"/>
    <x v="5"/>
    <s v="Зелень"/>
    <s v="Петрушка"/>
    <n v="640"/>
    <n v="99"/>
    <x v="203"/>
  </r>
  <r>
    <d v="2023-06-04T00:00:00"/>
    <x v="2"/>
    <x v="5"/>
    <s v="Ягоды"/>
    <s v="Голубика"/>
    <n v="3205"/>
    <n v="89"/>
    <x v="751"/>
  </r>
  <r>
    <d v="2023-06-04T00:00:00"/>
    <x v="4"/>
    <x v="6"/>
    <s v="Зелень"/>
    <s v="Салат римский"/>
    <n v="540"/>
    <n v="38"/>
    <x v="1066"/>
  </r>
  <r>
    <s v="04.06.2023 Итог"/>
    <x v="3"/>
    <x v="2"/>
    <m/>
    <m/>
    <m/>
    <m/>
    <x v="1067"/>
  </r>
  <r>
    <d v="2023-06-05T00:00:00"/>
    <x v="4"/>
    <x v="3"/>
    <s v="Зелень"/>
    <s v="Салат римский"/>
    <n v="540"/>
    <n v="81"/>
    <x v="915"/>
  </r>
  <r>
    <d v="2023-06-05T00:00:00"/>
    <x v="4"/>
    <x v="3"/>
    <s v="Зелень"/>
    <s v="Кинза"/>
    <n v="650"/>
    <n v="7"/>
    <x v="928"/>
  </r>
  <r>
    <d v="2023-06-05T00:00:00"/>
    <x v="2"/>
    <x v="3"/>
    <s v="Фрукты"/>
    <s v="Груши"/>
    <n v="1420"/>
    <n v="49"/>
    <x v="1068"/>
  </r>
  <r>
    <d v="2023-06-05T00:00:00"/>
    <x v="0"/>
    <x v="0"/>
    <s v="Овощи"/>
    <s v="Капуста"/>
    <n v="460"/>
    <n v="79"/>
    <x v="1069"/>
  </r>
  <r>
    <d v="2023-06-05T00:00:00"/>
    <x v="1"/>
    <x v="0"/>
    <s v="Овощи"/>
    <s v="Морковь"/>
    <n v="715"/>
    <n v="13"/>
    <x v="1070"/>
  </r>
  <r>
    <d v="2023-06-05T00:00:00"/>
    <x v="4"/>
    <x v="4"/>
    <s v="Зелень"/>
    <s v="Кинза"/>
    <n v="650"/>
    <n v="44"/>
    <x v="853"/>
  </r>
  <r>
    <d v="2023-06-05T00:00:00"/>
    <x v="0"/>
    <x v="4"/>
    <s v="Овощи"/>
    <s v="Картофель"/>
    <n v="690"/>
    <n v="6"/>
    <x v="1071"/>
  </r>
  <r>
    <d v="2023-06-05T00:00:00"/>
    <x v="0"/>
    <x v="5"/>
    <s v="Зелень"/>
    <s v="Кинза"/>
    <n v="650"/>
    <n v="98"/>
    <x v="833"/>
  </r>
  <r>
    <d v="2023-06-05T00:00:00"/>
    <x v="1"/>
    <x v="6"/>
    <s v="Зелень"/>
    <s v="Укроп"/>
    <n v="650"/>
    <n v="86"/>
    <x v="1072"/>
  </r>
  <r>
    <s v="05.06.2023 Итог"/>
    <x v="3"/>
    <x v="2"/>
    <m/>
    <m/>
    <m/>
    <m/>
    <x v="1073"/>
  </r>
  <r>
    <d v="2023-06-06T00:00:00"/>
    <x v="2"/>
    <x v="3"/>
    <s v="Зелень"/>
    <s v="Лук зеленый"/>
    <n v="705"/>
    <n v="48"/>
    <x v="1074"/>
  </r>
  <r>
    <d v="2023-06-06T00:00:00"/>
    <x v="2"/>
    <x v="3"/>
    <s v="Ягоды"/>
    <s v="Смородина черная"/>
    <n v="1505"/>
    <n v="57"/>
    <x v="1075"/>
  </r>
  <r>
    <d v="2023-06-06T00:00:00"/>
    <x v="1"/>
    <x v="0"/>
    <s v="Фрукты"/>
    <s v="Яблоки"/>
    <n v="1230"/>
    <n v="14"/>
    <x v="1076"/>
  </r>
  <r>
    <d v="2023-06-06T00:00:00"/>
    <x v="4"/>
    <x v="1"/>
    <s v="Зелень"/>
    <s v="Укроп"/>
    <n v="650"/>
    <n v="25"/>
    <x v="45"/>
  </r>
  <r>
    <d v="2023-06-06T00:00:00"/>
    <x v="2"/>
    <x v="5"/>
    <s v="Овощи"/>
    <s v="Капуста"/>
    <n v="460"/>
    <n v="37"/>
    <x v="1077"/>
  </r>
  <r>
    <d v="2023-06-06T00:00:00"/>
    <x v="0"/>
    <x v="5"/>
    <s v="Овощи"/>
    <s v="Свекла"/>
    <n v="450"/>
    <n v="7"/>
    <x v="1078"/>
  </r>
  <r>
    <d v="2023-06-06T00:00:00"/>
    <x v="4"/>
    <x v="5"/>
    <s v="Ягоды"/>
    <s v="Черешня"/>
    <n v="1760"/>
    <n v="58"/>
    <x v="1079"/>
  </r>
  <r>
    <d v="2023-06-06T00:00:00"/>
    <x v="4"/>
    <x v="6"/>
    <s v="Ягоды"/>
    <s v="Голубика"/>
    <n v="3205"/>
    <n v="57"/>
    <x v="1080"/>
  </r>
  <r>
    <s v="06.06.2023 Итог"/>
    <x v="3"/>
    <x v="2"/>
    <m/>
    <m/>
    <m/>
    <m/>
    <x v="1081"/>
  </r>
  <r>
    <d v="2023-06-07T00:00:00"/>
    <x v="4"/>
    <x v="3"/>
    <s v="Зелень"/>
    <s v="Петрушка"/>
    <n v="640"/>
    <n v="23"/>
    <x v="172"/>
  </r>
  <r>
    <d v="2023-06-07T00:00:00"/>
    <x v="4"/>
    <x v="3"/>
    <s v="Ягоды"/>
    <s v="Черешня"/>
    <n v="1760"/>
    <n v="62"/>
    <x v="1082"/>
  </r>
  <r>
    <d v="2023-06-07T00:00:00"/>
    <x v="1"/>
    <x v="0"/>
    <s v="Ягоды"/>
    <s v="Смородина черная"/>
    <n v="1505"/>
    <n v="77"/>
    <x v="1083"/>
  </r>
  <r>
    <d v="2023-06-07T00:00:00"/>
    <x v="0"/>
    <x v="4"/>
    <s v="Ягоды"/>
    <s v="Малина"/>
    <n v="2970"/>
    <n v="23"/>
    <x v="834"/>
  </r>
  <r>
    <d v="2023-06-07T00:00:00"/>
    <x v="2"/>
    <x v="1"/>
    <s v="Зелень"/>
    <s v="Салат айсберг"/>
    <n v="1380"/>
    <n v="90"/>
    <x v="583"/>
  </r>
  <r>
    <d v="2023-06-07T00:00:00"/>
    <x v="1"/>
    <x v="1"/>
    <s v="Зелень"/>
    <s v="Лук зеленый"/>
    <n v="705"/>
    <n v="27"/>
    <x v="1084"/>
  </r>
  <r>
    <d v="2023-06-07T00:00:00"/>
    <x v="1"/>
    <x v="1"/>
    <s v="Фрукты"/>
    <s v="Бананы"/>
    <n v="2400"/>
    <n v="44"/>
    <x v="769"/>
  </r>
  <r>
    <d v="2023-06-07T00:00:00"/>
    <x v="0"/>
    <x v="1"/>
    <s v="Ягоды"/>
    <s v="Голубика"/>
    <n v="3205"/>
    <n v="70"/>
    <x v="1085"/>
  </r>
  <r>
    <d v="2023-06-07T00:00:00"/>
    <x v="2"/>
    <x v="5"/>
    <s v="Зелень"/>
    <s v="Лук зеленый"/>
    <n v="705"/>
    <n v="58"/>
    <x v="1086"/>
  </r>
  <r>
    <d v="2023-06-07T00:00:00"/>
    <x v="4"/>
    <x v="5"/>
    <s v="Зелень"/>
    <s v="Укроп"/>
    <n v="650"/>
    <n v="46"/>
    <x v="667"/>
  </r>
  <r>
    <d v="2023-06-07T00:00:00"/>
    <x v="1"/>
    <x v="5"/>
    <s v="Фрукты"/>
    <s v="Бананы"/>
    <n v="2400"/>
    <n v="90"/>
    <x v="435"/>
  </r>
  <r>
    <d v="2023-06-07T00:00:00"/>
    <x v="2"/>
    <x v="6"/>
    <s v="Фрукты"/>
    <s v="Бананы"/>
    <n v="2400"/>
    <n v="46"/>
    <x v="1087"/>
  </r>
  <r>
    <s v="07.06.2023 Итог"/>
    <x v="3"/>
    <x v="2"/>
    <m/>
    <m/>
    <m/>
    <m/>
    <x v="1088"/>
  </r>
  <r>
    <d v="2023-06-08T00:00:00"/>
    <x v="1"/>
    <x v="3"/>
    <s v="Овощи"/>
    <s v="Кабачки"/>
    <n v="325"/>
    <n v="61"/>
    <x v="1016"/>
  </r>
  <r>
    <d v="2023-06-08T00:00:00"/>
    <x v="4"/>
    <x v="3"/>
    <s v="Ягоды"/>
    <s v="Брусника"/>
    <n v="1670"/>
    <n v="71"/>
    <x v="811"/>
  </r>
  <r>
    <d v="2023-06-08T00:00:00"/>
    <x v="1"/>
    <x v="3"/>
    <s v="Ягоды"/>
    <s v="Смородина черная"/>
    <n v="1505"/>
    <n v="41"/>
    <x v="1089"/>
  </r>
  <r>
    <d v="2023-06-08T00:00:00"/>
    <x v="0"/>
    <x v="0"/>
    <s v="Зелень"/>
    <s v="Лук зеленый"/>
    <n v="705"/>
    <n v="17"/>
    <x v="684"/>
  </r>
  <r>
    <d v="2023-06-08T00:00:00"/>
    <x v="0"/>
    <x v="0"/>
    <s v="Фрукты"/>
    <s v="Абрикосы"/>
    <n v="1320"/>
    <n v="83"/>
    <x v="463"/>
  </r>
  <r>
    <d v="2023-06-08T00:00:00"/>
    <x v="1"/>
    <x v="4"/>
    <s v="Фрукты"/>
    <s v="Яблоки"/>
    <n v="1230"/>
    <n v="23"/>
    <x v="738"/>
  </r>
  <r>
    <d v="2023-06-08T00:00:00"/>
    <x v="1"/>
    <x v="4"/>
    <s v="Ягоды"/>
    <s v="Голубика"/>
    <n v="3205"/>
    <n v="18"/>
    <x v="688"/>
  </r>
  <r>
    <d v="2023-06-08T00:00:00"/>
    <x v="0"/>
    <x v="5"/>
    <s v="Зелень"/>
    <s v="Петрушка"/>
    <n v="640"/>
    <n v="97"/>
    <x v="1090"/>
  </r>
  <r>
    <d v="2023-06-08T00:00:00"/>
    <x v="2"/>
    <x v="5"/>
    <s v="Зелень"/>
    <s v="Укроп"/>
    <n v="650"/>
    <n v="47"/>
    <x v="1091"/>
  </r>
  <r>
    <d v="2023-06-08T00:00:00"/>
    <x v="1"/>
    <x v="5"/>
    <s v="Овощи"/>
    <s v="Кабачки"/>
    <n v="325"/>
    <n v="35"/>
    <x v="1092"/>
  </r>
  <r>
    <d v="2023-06-08T00:00:00"/>
    <x v="4"/>
    <x v="6"/>
    <s v="Зелень"/>
    <s v="Кинза"/>
    <n v="650"/>
    <n v="45"/>
    <x v="1093"/>
  </r>
  <r>
    <d v="2023-06-08T00:00:00"/>
    <x v="4"/>
    <x v="6"/>
    <s v="Фрукты"/>
    <s v="Яблоки"/>
    <n v="1230"/>
    <n v="92"/>
    <x v="1094"/>
  </r>
  <r>
    <s v="08.06.2023 Итог"/>
    <x v="3"/>
    <x v="2"/>
    <m/>
    <m/>
    <m/>
    <m/>
    <x v="1095"/>
  </r>
  <r>
    <d v="2023-06-09T00:00:00"/>
    <x v="2"/>
    <x v="3"/>
    <s v="Овощи"/>
    <s v="Картофель"/>
    <n v="690"/>
    <n v="58"/>
    <x v="215"/>
  </r>
  <r>
    <d v="2023-06-09T00:00:00"/>
    <x v="1"/>
    <x v="3"/>
    <s v="Фрукты"/>
    <s v="Бананы"/>
    <n v="2400"/>
    <n v="75"/>
    <x v="848"/>
  </r>
  <r>
    <d v="2023-06-09T00:00:00"/>
    <x v="4"/>
    <x v="3"/>
    <s v="Фрукты"/>
    <s v="Груши"/>
    <n v="1420"/>
    <n v="58"/>
    <x v="888"/>
  </r>
  <r>
    <d v="2023-06-09T00:00:00"/>
    <x v="1"/>
    <x v="3"/>
    <s v="Ягоды"/>
    <s v="Малина"/>
    <n v="2970"/>
    <n v="72"/>
    <x v="492"/>
  </r>
  <r>
    <d v="2023-06-09T00:00:00"/>
    <x v="2"/>
    <x v="4"/>
    <s v="Зелень"/>
    <s v="Укроп"/>
    <n v="650"/>
    <n v="91"/>
    <x v="1096"/>
  </r>
  <r>
    <d v="2023-06-09T00:00:00"/>
    <x v="4"/>
    <x v="4"/>
    <s v="Зелень"/>
    <s v="Салат римский"/>
    <n v="540"/>
    <n v="77"/>
    <x v="52"/>
  </r>
  <r>
    <d v="2023-06-09T00:00:00"/>
    <x v="1"/>
    <x v="4"/>
    <s v="Ягоды"/>
    <s v="Голубика"/>
    <n v="3205"/>
    <n v="43"/>
    <x v="949"/>
  </r>
  <r>
    <d v="2023-06-09T00:00:00"/>
    <x v="1"/>
    <x v="1"/>
    <s v="Зелень"/>
    <s v="Салат римский"/>
    <n v="540"/>
    <n v="98"/>
    <x v="136"/>
  </r>
  <r>
    <d v="2023-06-09T00:00:00"/>
    <x v="0"/>
    <x v="1"/>
    <s v="Ягоды"/>
    <s v="Малина"/>
    <n v="2970"/>
    <n v="34"/>
    <x v="1097"/>
  </r>
  <r>
    <s v="09.06.2023 Итог"/>
    <x v="3"/>
    <x v="2"/>
    <m/>
    <m/>
    <m/>
    <m/>
    <x v="1098"/>
  </r>
  <r>
    <d v="2023-06-10T00:00:00"/>
    <x v="1"/>
    <x v="3"/>
    <s v="Овощи"/>
    <s v="Картофель"/>
    <n v="690"/>
    <n v="66"/>
    <x v="744"/>
  </r>
  <r>
    <d v="2023-06-10T00:00:00"/>
    <x v="0"/>
    <x v="3"/>
    <s v="Овощи"/>
    <s v="Свекла"/>
    <n v="450"/>
    <n v="39"/>
    <x v="689"/>
  </r>
  <r>
    <d v="2023-06-10T00:00:00"/>
    <x v="4"/>
    <x v="3"/>
    <s v="Овощи"/>
    <s v="Свекла"/>
    <n v="450"/>
    <n v="27"/>
    <x v="664"/>
  </r>
  <r>
    <d v="2023-06-10T00:00:00"/>
    <x v="4"/>
    <x v="3"/>
    <s v="Овощи"/>
    <s v="Капуста"/>
    <n v="460"/>
    <n v="56"/>
    <x v="1099"/>
  </r>
  <r>
    <d v="2023-06-10T00:00:00"/>
    <x v="2"/>
    <x v="3"/>
    <s v="Ягоды"/>
    <s v="Смородина черная"/>
    <n v="1505"/>
    <n v="33"/>
    <x v="1100"/>
  </r>
  <r>
    <d v="2023-06-10T00:00:00"/>
    <x v="1"/>
    <x v="0"/>
    <s v="Овощи"/>
    <s v="Картофель"/>
    <n v="690"/>
    <n v="71"/>
    <x v="1101"/>
  </r>
  <r>
    <d v="2023-06-10T00:00:00"/>
    <x v="1"/>
    <x v="0"/>
    <s v="Ягоды"/>
    <s v="Смородина черная"/>
    <n v="1505"/>
    <n v="7"/>
    <x v="1102"/>
  </r>
  <r>
    <d v="2023-06-10T00:00:00"/>
    <x v="2"/>
    <x v="4"/>
    <s v="Овощи"/>
    <s v="Картофель"/>
    <n v="690"/>
    <n v="20"/>
    <x v="505"/>
  </r>
  <r>
    <d v="2023-06-10T00:00:00"/>
    <x v="2"/>
    <x v="5"/>
    <s v="Зелень"/>
    <s v="Салат айсберг"/>
    <n v="1380"/>
    <n v="44"/>
    <x v="1103"/>
  </r>
  <r>
    <d v="2023-06-10T00:00:00"/>
    <x v="1"/>
    <x v="5"/>
    <s v="Ягоды"/>
    <s v="Смородина черная"/>
    <n v="1505"/>
    <n v="44"/>
    <x v="1104"/>
  </r>
  <r>
    <d v="2023-06-10T00:00:00"/>
    <x v="0"/>
    <x v="6"/>
    <s v="Ягоды"/>
    <s v="Смородина черная"/>
    <n v="1505"/>
    <n v="42"/>
    <x v="936"/>
  </r>
  <r>
    <d v="2023-06-10T00:00:00"/>
    <x v="2"/>
    <x v="6"/>
    <s v="Ягоды"/>
    <s v="Малина"/>
    <n v="2970"/>
    <n v="51"/>
    <x v="846"/>
  </r>
  <r>
    <s v="10.06.2023 Итог"/>
    <x v="3"/>
    <x v="2"/>
    <m/>
    <m/>
    <m/>
    <m/>
    <x v="1105"/>
  </r>
  <r>
    <d v="2023-06-11T00:00:00"/>
    <x v="0"/>
    <x v="3"/>
    <s v="Фрукты"/>
    <s v="Бананы"/>
    <n v="2400"/>
    <n v="99"/>
    <x v="41"/>
  </r>
  <r>
    <d v="2023-06-11T00:00:00"/>
    <x v="4"/>
    <x v="3"/>
    <s v="Фрукты"/>
    <s v="Груши"/>
    <n v="1420"/>
    <n v="32"/>
    <x v="487"/>
  </r>
  <r>
    <d v="2023-06-11T00:00:00"/>
    <x v="1"/>
    <x v="4"/>
    <s v="Овощи"/>
    <s v="Свекла"/>
    <n v="450"/>
    <n v="46"/>
    <x v="812"/>
  </r>
  <r>
    <d v="2023-06-11T00:00:00"/>
    <x v="0"/>
    <x v="1"/>
    <s v="Зелень"/>
    <s v="Петрушка"/>
    <n v="640"/>
    <n v="24"/>
    <x v="1106"/>
  </r>
  <r>
    <d v="2023-06-11T00:00:00"/>
    <x v="4"/>
    <x v="1"/>
    <s v="Ягоды"/>
    <s v="Клубника"/>
    <n v="2460"/>
    <n v="94"/>
    <x v="1107"/>
  </r>
  <r>
    <d v="2023-06-11T00:00:00"/>
    <x v="0"/>
    <x v="5"/>
    <s v="Овощи"/>
    <s v="Морковь"/>
    <n v="715"/>
    <n v="77"/>
    <x v="1108"/>
  </r>
  <r>
    <d v="2023-06-11T00:00:00"/>
    <x v="0"/>
    <x v="5"/>
    <s v="Овощи"/>
    <s v="Капуста"/>
    <n v="460"/>
    <n v="86"/>
    <x v="1109"/>
  </r>
  <r>
    <d v="2023-06-11T00:00:00"/>
    <x v="4"/>
    <x v="5"/>
    <s v="Фрукты"/>
    <s v="Бананы"/>
    <n v="2400"/>
    <n v="64"/>
    <x v="1110"/>
  </r>
  <r>
    <d v="2023-06-11T00:00:00"/>
    <x v="2"/>
    <x v="6"/>
    <s v="Зелень"/>
    <s v="Салат айсберг"/>
    <n v="1380"/>
    <n v="60"/>
    <x v="1111"/>
  </r>
  <r>
    <s v="11.06.2023 Итог"/>
    <x v="3"/>
    <x v="2"/>
    <m/>
    <m/>
    <m/>
    <m/>
    <x v="1112"/>
  </r>
  <r>
    <d v="2023-06-12T00:00:00"/>
    <x v="4"/>
    <x v="3"/>
    <s v="Ягоды"/>
    <s v="Черешня"/>
    <n v="1760"/>
    <n v="84"/>
    <x v="7"/>
  </r>
  <r>
    <d v="2023-06-12T00:00:00"/>
    <x v="1"/>
    <x v="0"/>
    <s v="Овощи"/>
    <s v="Картофель"/>
    <n v="690"/>
    <n v="39"/>
    <x v="1113"/>
  </r>
  <r>
    <d v="2023-06-12T00:00:00"/>
    <x v="4"/>
    <x v="4"/>
    <s v="Овощи"/>
    <s v="Кабачки"/>
    <n v="325"/>
    <n v="79"/>
    <x v="1114"/>
  </r>
  <r>
    <d v="2023-06-12T00:00:00"/>
    <x v="4"/>
    <x v="4"/>
    <s v="Ягоды"/>
    <s v="Клубника"/>
    <n v="2460"/>
    <n v="43"/>
    <x v="465"/>
  </r>
  <r>
    <d v="2023-06-12T00:00:00"/>
    <x v="2"/>
    <x v="1"/>
    <s v="Зелень"/>
    <s v="Укроп"/>
    <n v="650"/>
    <n v="71"/>
    <x v="161"/>
  </r>
  <r>
    <d v="2023-06-12T00:00:00"/>
    <x v="0"/>
    <x v="6"/>
    <s v="Зелень"/>
    <s v="Лук зеленый"/>
    <n v="705"/>
    <n v="15"/>
    <x v="893"/>
  </r>
  <r>
    <s v="12.06.2023 Итог"/>
    <x v="3"/>
    <x v="2"/>
    <m/>
    <m/>
    <m/>
    <m/>
    <x v="1115"/>
  </r>
  <r>
    <d v="2023-06-13T00:00:00"/>
    <x v="0"/>
    <x v="3"/>
    <s v="Фрукты"/>
    <s v="Бананы"/>
    <n v="2400"/>
    <n v="50"/>
    <x v="1116"/>
  </r>
  <r>
    <d v="2023-06-13T00:00:00"/>
    <x v="2"/>
    <x v="0"/>
    <s v="Зелень"/>
    <s v="Салат айсберг"/>
    <n v="1380"/>
    <n v="76"/>
    <x v="307"/>
  </r>
  <r>
    <d v="2023-06-13T00:00:00"/>
    <x v="4"/>
    <x v="0"/>
    <s v="Фрукты"/>
    <s v="Абрикосы"/>
    <n v="1320"/>
    <n v="18"/>
    <x v="1117"/>
  </r>
  <r>
    <d v="2023-06-13T00:00:00"/>
    <x v="4"/>
    <x v="4"/>
    <s v="Овощи"/>
    <s v="Кабачки"/>
    <n v="325"/>
    <n v="32"/>
    <x v="673"/>
  </r>
  <r>
    <d v="2023-06-13T00:00:00"/>
    <x v="1"/>
    <x v="4"/>
    <s v="Фрукты"/>
    <s v="Сливы"/>
    <n v="930"/>
    <n v="45"/>
    <x v="820"/>
  </r>
  <r>
    <d v="2023-06-13T00:00:00"/>
    <x v="1"/>
    <x v="1"/>
    <s v="Зелень"/>
    <s v="Лук зеленый"/>
    <n v="705"/>
    <n v="6"/>
    <x v="1118"/>
  </r>
  <r>
    <d v="2023-06-13T00:00:00"/>
    <x v="4"/>
    <x v="1"/>
    <s v="Овощи"/>
    <s v="Баклажаны"/>
    <n v="890"/>
    <n v="40"/>
    <x v="877"/>
  </r>
  <r>
    <d v="2023-06-13T00:00:00"/>
    <x v="1"/>
    <x v="1"/>
    <s v="Фрукты"/>
    <s v="Груши"/>
    <n v="1420"/>
    <n v="66"/>
    <x v="115"/>
  </r>
  <r>
    <d v="2023-06-13T00:00:00"/>
    <x v="0"/>
    <x v="6"/>
    <s v="Зелень"/>
    <s v="Салат айсберг"/>
    <n v="1380"/>
    <n v="43"/>
    <x v="147"/>
  </r>
  <r>
    <d v="2023-06-13T00:00:00"/>
    <x v="2"/>
    <x v="6"/>
    <s v="Фрукты"/>
    <s v="Апельсины"/>
    <n v="2540"/>
    <n v="72"/>
    <x v="1119"/>
  </r>
  <r>
    <s v="13.06.2023 Итог"/>
    <x v="3"/>
    <x v="2"/>
    <m/>
    <m/>
    <m/>
    <m/>
    <x v="1120"/>
  </r>
  <r>
    <d v="2023-06-14T00:00:00"/>
    <x v="2"/>
    <x v="3"/>
    <s v="Овощи"/>
    <s v="Кабачки"/>
    <n v="325"/>
    <n v="33"/>
    <x v="28"/>
  </r>
  <r>
    <d v="2023-06-14T00:00:00"/>
    <x v="0"/>
    <x v="3"/>
    <s v="Фрукты"/>
    <s v="Сливы"/>
    <n v="930"/>
    <n v="43"/>
    <x v="1058"/>
  </r>
  <r>
    <d v="2023-06-14T00:00:00"/>
    <x v="4"/>
    <x v="0"/>
    <s v="Зелень"/>
    <s v="Лук зеленый"/>
    <n v="705"/>
    <n v="40"/>
    <x v="1121"/>
  </r>
  <r>
    <d v="2023-06-14T00:00:00"/>
    <x v="4"/>
    <x v="0"/>
    <s v="Фрукты"/>
    <s v="Бананы"/>
    <n v="2400"/>
    <n v="8"/>
    <x v="191"/>
  </r>
  <r>
    <d v="2023-06-14T00:00:00"/>
    <x v="1"/>
    <x v="0"/>
    <s v="Фрукты"/>
    <s v="Груши"/>
    <n v="1420"/>
    <n v="87"/>
    <x v="1122"/>
  </r>
  <r>
    <d v="2023-06-14T00:00:00"/>
    <x v="1"/>
    <x v="4"/>
    <s v="Овощи"/>
    <s v="Баклажаны"/>
    <n v="890"/>
    <n v="67"/>
    <x v="1123"/>
  </r>
  <r>
    <d v="2023-06-14T00:00:00"/>
    <x v="0"/>
    <x v="1"/>
    <s v="Овощи"/>
    <s v="Кабачки"/>
    <n v="325"/>
    <n v="100"/>
    <x v="392"/>
  </r>
  <r>
    <d v="2023-06-14T00:00:00"/>
    <x v="2"/>
    <x v="1"/>
    <s v="Фрукты"/>
    <s v="Груши"/>
    <n v="1420"/>
    <n v="33"/>
    <x v="767"/>
  </r>
  <r>
    <d v="2023-06-14T00:00:00"/>
    <x v="1"/>
    <x v="5"/>
    <s v="Фрукты"/>
    <s v="Сливы"/>
    <n v="930"/>
    <n v="67"/>
    <x v="668"/>
  </r>
  <r>
    <d v="2023-06-14T00:00:00"/>
    <x v="1"/>
    <x v="5"/>
    <s v="Ягоды"/>
    <s v="Черешня"/>
    <n v="1760"/>
    <n v="62"/>
    <x v="1082"/>
  </r>
  <r>
    <d v="2023-06-14T00:00:00"/>
    <x v="0"/>
    <x v="5"/>
    <s v="Ягоды"/>
    <s v="Черешня"/>
    <n v="1760"/>
    <n v="91"/>
    <x v="703"/>
  </r>
  <r>
    <d v="2023-06-14T00:00:00"/>
    <x v="1"/>
    <x v="6"/>
    <s v="Ягоды"/>
    <s v="Малина"/>
    <n v="2970"/>
    <n v="66"/>
    <x v="781"/>
  </r>
  <r>
    <d v="2023-06-14T00:00:00"/>
    <x v="1"/>
    <x v="6"/>
    <s v="Ягоды"/>
    <s v="Голубика"/>
    <n v="3205"/>
    <n v="22"/>
    <x v="311"/>
  </r>
  <r>
    <s v="14.06.2023 Итог"/>
    <x v="3"/>
    <x v="2"/>
    <m/>
    <m/>
    <m/>
    <m/>
    <x v="1124"/>
  </r>
  <r>
    <d v="2023-06-15T00:00:00"/>
    <x v="2"/>
    <x v="3"/>
    <s v="Зелень"/>
    <s v="Лук зеленый"/>
    <n v="705"/>
    <n v="42"/>
    <x v="1125"/>
  </r>
  <r>
    <d v="2023-06-15T00:00:00"/>
    <x v="0"/>
    <x v="0"/>
    <s v="Ягоды"/>
    <s v="Голубика"/>
    <n v="3205"/>
    <n v="46"/>
    <x v="371"/>
  </r>
  <r>
    <d v="2023-06-15T00:00:00"/>
    <x v="0"/>
    <x v="4"/>
    <s v="Ягоды"/>
    <s v="Брусника"/>
    <n v="1670"/>
    <n v="96"/>
    <x v="394"/>
  </r>
  <r>
    <d v="2023-06-15T00:00:00"/>
    <x v="0"/>
    <x v="1"/>
    <s v="Ягоды"/>
    <s v="Малина"/>
    <n v="2970"/>
    <n v="6"/>
    <x v="924"/>
  </r>
  <r>
    <d v="2023-06-15T00:00:00"/>
    <x v="4"/>
    <x v="1"/>
    <s v="Ягоды"/>
    <s v="Клубника"/>
    <n v="2460"/>
    <n v="23"/>
    <x v="556"/>
  </r>
  <r>
    <s v="15.06.2023 Итог"/>
    <x v="3"/>
    <x v="2"/>
    <m/>
    <m/>
    <m/>
    <m/>
    <x v="1126"/>
  </r>
  <r>
    <d v="2023-06-16T00:00:00"/>
    <x v="0"/>
    <x v="3"/>
    <s v="Овощи"/>
    <s v="Картофель"/>
    <n v="690"/>
    <n v="45"/>
    <x v="17"/>
  </r>
  <r>
    <d v="2023-06-16T00:00:00"/>
    <x v="4"/>
    <x v="3"/>
    <s v="Ягоды"/>
    <s v="Черешня"/>
    <n v="1760"/>
    <n v="43"/>
    <x v="1127"/>
  </r>
  <r>
    <d v="2023-06-16T00:00:00"/>
    <x v="1"/>
    <x v="0"/>
    <s v="Ягоды"/>
    <s v="Малина"/>
    <n v="2970"/>
    <n v="57"/>
    <x v="1128"/>
  </r>
  <r>
    <d v="2023-06-16T00:00:00"/>
    <x v="4"/>
    <x v="4"/>
    <s v="Фрукты"/>
    <s v="Бананы"/>
    <n v="2400"/>
    <n v="90"/>
    <x v="435"/>
  </r>
  <r>
    <d v="2023-06-16T00:00:00"/>
    <x v="4"/>
    <x v="4"/>
    <s v="Ягоды"/>
    <s v="Малина"/>
    <n v="2970"/>
    <n v="47"/>
    <x v="1129"/>
  </r>
  <r>
    <d v="2023-06-16T00:00:00"/>
    <x v="4"/>
    <x v="1"/>
    <s v="Ягоды"/>
    <s v="Брусника"/>
    <n v="1670"/>
    <n v="7"/>
    <x v="1130"/>
  </r>
  <r>
    <d v="2023-06-16T00:00:00"/>
    <x v="4"/>
    <x v="5"/>
    <s v="Зелень"/>
    <s v="Салат айсберг"/>
    <n v="1380"/>
    <n v="33"/>
    <x v="744"/>
  </r>
  <r>
    <d v="2023-06-16T00:00:00"/>
    <x v="2"/>
    <x v="6"/>
    <s v="Зелень"/>
    <s v="Кинза"/>
    <n v="650"/>
    <n v="43"/>
    <x v="1131"/>
  </r>
  <r>
    <d v="2023-06-16T00:00:00"/>
    <x v="4"/>
    <x v="6"/>
    <s v="Зелень"/>
    <s v="Петрушка"/>
    <n v="640"/>
    <n v="73"/>
    <x v="1047"/>
  </r>
  <r>
    <d v="2023-06-16T00:00:00"/>
    <x v="2"/>
    <x v="6"/>
    <s v="Фрукты"/>
    <s v="Бананы"/>
    <n v="2400"/>
    <n v="18"/>
    <x v="20"/>
  </r>
  <r>
    <d v="2023-06-16T00:00:00"/>
    <x v="4"/>
    <x v="6"/>
    <s v="Фрукты"/>
    <s v="Груши"/>
    <n v="1420"/>
    <n v="53"/>
    <x v="411"/>
  </r>
  <r>
    <d v="2023-06-16T00:00:00"/>
    <x v="2"/>
    <x v="6"/>
    <s v="Ягоды"/>
    <s v="Голубика"/>
    <n v="3205"/>
    <n v="40"/>
    <x v="1132"/>
  </r>
  <r>
    <s v="16.06.2023 Итог"/>
    <x v="3"/>
    <x v="2"/>
    <m/>
    <m/>
    <m/>
    <m/>
    <x v="1133"/>
  </r>
  <r>
    <d v="2023-06-17T00:00:00"/>
    <x v="0"/>
    <x v="3"/>
    <s v="Овощи"/>
    <s v="Капуста"/>
    <n v="460"/>
    <n v="41"/>
    <x v="361"/>
  </r>
  <r>
    <d v="2023-06-17T00:00:00"/>
    <x v="1"/>
    <x v="3"/>
    <s v="Ягоды"/>
    <s v="Голубика"/>
    <n v="3205"/>
    <n v="13"/>
    <x v="1134"/>
  </r>
  <r>
    <d v="2023-06-17T00:00:00"/>
    <x v="1"/>
    <x v="0"/>
    <s v="Зелень"/>
    <s v="Кинза"/>
    <n v="650"/>
    <n v="50"/>
    <x v="392"/>
  </r>
  <r>
    <d v="2023-06-17T00:00:00"/>
    <x v="0"/>
    <x v="0"/>
    <s v="Зелень"/>
    <s v="Салат айсберг"/>
    <n v="1380"/>
    <n v="70"/>
    <x v="405"/>
  </r>
  <r>
    <d v="2023-06-17T00:00:00"/>
    <x v="4"/>
    <x v="0"/>
    <s v="Фрукты"/>
    <s v="Апельсины"/>
    <n v="2540"/>
    <n v="76"/>
    <x v="1135"/>
  </r>
  <r>
    <d v="2023-06-17T00:00:00"/>
    <x v="0"/>
    <x v="4"/>
    <s v="Фрукты"/>
    <s v="Апельсины"/>
    <n v="2540"/>
    <n v="21"/>
    <x v="658"/>
  </r>
  <r>
    <d v="2023-06-17T00:00:00"/>
    <x v="1"/>
    <x v="4"/>
    <s v="Фрукты"/>
    <s v="Яблоки"/>
    <n v="1230"/>
    <n v="16"/>
    <x v="254"/>
  </r>
  <r>
    <d v="2023-06-17T00:00:00"/>
    <x v="1"/>
    <x v="1"/>
    <s v="Зелень"/>
    <s v="Салат айсберг"/>
    <n v="1380"/>
    <n v="39"/>
    <x v="197"/>
  </r>
  <r>
    <d v="2023-06-17T00:00:00"/>
    <x v="0"/>
    <x v="1"/>
    <s v="Овощи"/>
    <s v="Баклажаны"/>
    <n v="890"/>
    <n v="97"/>
    <x v="1020"/>
  </r>
  <r>
    <d v="2023-06-17T00:00:00"/>
    <x v="2"/>
    <x v="1"/>
    <s v="Фрукты"/>
    <s v="Сливы"/>
    <n v="930"/>
    <n v="76"/>
    <x v="1136"/>
  </r>
  <r>
    <d v="2023-06-17T00:00:00"/>
    <x v="2"/>
    <x v="5"/>
    <s v="Фрукты"/>
    <s v="Абрикосы"/>
    <n v="1320"/>
    <n v="91"/>
    <x v="521"/>
  </r>
  <r>
    <d v="2023-06-17T00:00:00"/>
    <x v="2"/>
    <x v="5"/>
    <s v="Фрукты"/>
    <s v="Сливы"/>
    <n v="930"/>
    <n v="69"/>
    <x v="1137"/>
  </r>
  <r>
    <d v="2023-06-17T00:00:00"/>
    <x v="2"/>
    <x v="5"/>
    <s v="Ягоды"/>
    <s v="Голубика"/>
    <n v="3205"/>
    <n v="91"/>
    <x v="1138"/>
  </r>
  <r>
    <s v="17.06.2023 Итог"/>
    <x v="3"/>
    <x v="2"/>
    <m/>
    <m/>
    <m/>
    <m/>
    <x v="1139"/>
  </r>
  <r>
    <d v="2023-06-18T00:00:00"/>
    <x v="0"/>
    <x v="3"/>
    <s v="Зелень"/>
    <s v="Салат айсберг"/>
    <n v="1380"/>
    <n v="15"/>
    <x v="812"/>
  </r>
  <r>
    <d v="2023-06-18T00:00:00"/>
    <x v="0"/>
    <x v="0"/>
    <s v="Овощи"/>
    <s v="Свекла"/>
    <n v="450"/>
    <n v="9"/>
    <x v="181"/>
  </r>
  <r>
    <d v="2023-06-18T00:00:00"/>
    <x v="2"/>
    <x v="4"/>
    <s v="Фрукты"/>
    <s v="Абрикосы"/>
    <n v="1320"/>
    <n v="42"/>
    <x v="1140"/>
  </r>
  <r>
    <d v="2023-06-18T00:00:00"/>
    <x v="4"/>
    <x v="1"/>
    <s v="Зелень"/>
    <s v="Укроп"/>
    <n v="650"/>
    <n v="89"/>
    <x v="218"/>
  </r>
  <r>
    <d v="2023-06-18T00:00:00"/>
    <x v="2"/>
    <x v="1"/>
    <s v="Овощи"/>
    <s v="Баклажаны"/>
    <n v="890"/>
    <n v="71"/>
    <x v="1141"/>
  </r>
  <r>
    <d v="2023-06-18T00:00:00"/>
    <x v="4"/>
    <x v="1"/>
    <s v="Фрукты"/>
    <s v="Абрикосы"/>
    <n v="1320"/>
    <n v="22"/>
    <x v="1023"/>
  </r>
  <r>
    <d v="2023-06-18T00:00:00"/>
    <x v="2"/>
    <x v="6"/>
    <s v="Овощи"/>
    <s v="Капуста"/>
    <n v="460"/>
    <n v="82"/>
    <x v="1142"/>
  </r>
  <r>
    <d v="2023-06-18T00:00:00"/>
    <x v="1"/>
    <x v="6"/>
    <s v="Фрукты"/>
    <s v="Апельсины"/>
    <n v="2540"/>
    <n v="30"/>
    <x v="1143"/>
  </r>
  <r>
    <s v="18.06.2023 Итог"/>
    <x v="3"/>
    <x v="2"/>
    <m/>
    <m/>
    <m/>
    <m/>
    <x v="1144"/>
  </r>
  <r>
    <d v="2023-06-19T00:00:00"/>
    <x v="1"/>
    <x v="3"/>
    <s v="Овощи"/>
    <s v="Картофель"/>
    <n v="690"/>
    <n v="67"/>
    <x v="1145"/>
  </r>
  <r>
    <d v="2023-06-19T00:00:00"/>
    <x v="1"/>
    <x v="0"/>
    <s v="Фрукты"/>
    <s v="Абрикосы"/>
    <n v="1320"/>
    <n v="9"/>
    <x v="1146"/>
  </r>
  <r>
    <d v="2023-06-19T00:00:00"/>
    <x v="2"/>
    <x v="0"/>
    <s v="Ягоды"/>
    <s v="Голубика"/>
    <n v="3205"/>
    <n v="63"/>
    <x v="793"/>
  </r>
  <r>
    <d v="2023-06-19T00:00:00"/>
    <x v="2"/>
    <x v="4"/>
    <s v="Овощи"/>
    <s v="Картофель"/>
    <n v="690"/>
    <n v="35"/>
    <x v="22"/>
  </r>
  <r>
    <d v="2023-06-19T00:00:00"/>
    <x v="1"/>
    <x v="1"/>
    <s v="Фрукты"/>
    <s v="Сливы"/>
    <n v="930"/>
    <n v="50"/>
    <x v="143"/>
  </r>
  <r>
    <d v="2023-06-19T00:00:00"/>
    <x v="1"/>
    <x v="1"/>
    <s v="Ягоды"/>
    <s v="Черешня"/>
    <n v="1760"/>
    <n v="65"/>
    <x v="1147"/>
  </r>
  <r>
    <d v="2023-06-19T00:00:00"/>
    <x v="4"/>
    <x v="5"/>
    <s v="Овощи"/>
    <s v="Свекла"/>
    <n v="450"/>
    <n v="26"/>
    <x v="480"/>
  </r>
  <r>
    <d v="2023-06-19T00:00:00"/>
    <x v="4"/>
    <x v="5"/>
    <s v="Фрукты"/>
    <s v="Абрикосы"/>
    <n v="1320"/>
    <n v="66"/>
    <x v="1148"/>
  </r>
  <r>
    <d v="2023-06-19T00:00:00"/>
    <x v="0"/>
    <x v="5"/>
    <s v="Ягоды"/>
    <s v="Малина"/>
    <n v="2970"/>
    <n v="75"/>
    <x v="1149"/>
  </r>
  <r>
    <d v="2023-06-19T00:00:00"/>
    <x v="4"/>
    <x v="5"/>
    <s v="Ягоды"/>
    <s v="Черешня"/>
    <n v="1760"/>
    <n v="49"/>
    <x v="399"/>
  </r>
  <r>
    <d v="2023-06-19T00:00:00"/>
    <x v="1"/>
    <x v="6"/>
    <s v="Зелень"/>
    <s v="Салат римский"/>
    <n v="540"/>
    <n v="71"/>
    <x v="434"/>
  </r>
  <r>
    <s v="19.06.2023 Итог"/>
    <x v="3"/>
    <x v="2"/>
    <m/>
    <m/>
    <m/>
    <m/>
    <x v="1150"/>
  </r>
  <r>
    <d v="2023-06-20T00:00:00"/>
    <x v="4"/>
    <x v="3"/>
    <s v="Овощи"/>
    <s v="Капуста"/>
    <n v="460"/>
    <n v="14"/>
    <x v="1151"/>
  </r>
  <r>
    <d v="2023-06-20T00:00:00"/>
    <x v="0"/>
    <x v="0"/>
    <s v="Фрукты"/>
    <s v="Апельсины"/>
    <n v="2540"/>
    <n v="29"/>
    <x v="358"/>
  </r>
  <r>
    <d v="2023-06-20T00:00:00"/>
    <x v="2"/>
    <x v="0"/>
    <s v="Фрукты"/>
    <s v="Абрикосы"/>
    <n v="1320"/>
    <n v="5"/>
    <x v="182"/>
  </r>
  <r>
    <d v="2023-06-20T00:00:00"/>
    <x v="1"/>
    <x v="1"/>
    <s v="Зелень"/>
    <s v="Петрушка"/>
    <n v="640"/>
    <n v="91"/>
    <x v="1152"/>
  </r>
  <r>
    <d v="2023-06-20T00:00:00"/>
    <x v="2"/>
    <x v="1"/>
    <s v="Зелень"/>
    <s v="Петрушка"/>
    <n v="640"/>
    <n v="79"/>
    <x v="222"/>
  </r>
  <r>
    <d v="2023-06-20T00:00:00"/>
    <x v="1"/>
    <x v="1"/>
    <s v="Зелень"/>
    <s v="Петрушка"/>
    <n v="640"/>
    <n v="69"/>
    <x v="797"/>
  </r>
  <r>
    <d v="2023-06-20T00:00:00"/>
    <x v="4"/>
    <x v="5"/>
    <s v="Овощи"/>
    <s v="Свекла"/>
    <n v="450"/>
    <n v="42"/>
    <x v="1153"/>
  </r>
  <r>
    <d v="2023-06-20T00:00:00"/>
    <x v="4"/>
    <x v="5"/>
    <s v="Ягоды"/>
    <s v="Малина"/>
    <n v="2970"/>
    <n v="53"/>
    <x v="246"/>
  </r>
  <r>
    <d v="2023-06-20T00:00:00"/>
    <x v="2"/>
    <x v="5"/>
    <s v="Ягоды"/>
    <s v="Клубника"/>
    <n v="2460"/>
    <n v="14"/>
    <x v="555"/>
  </r>
  <r>
    <d v="2023-06-20T00:00:00"/>
    <x v="0"/>
    <x v="6"/>
    <s v="Фрукты"/>
    <s v="Груши"/>
    <n v="1420"/>
    <n v="80"/>
    <x v="826"/>
  </r>
  <r>
    <d v="2023-06-20T00:00:00"/>
    <x v="2"/>
    <x v="6"/>
    <s v="Фрукты"/>
    <s v="Бананы"/>
    <n v="2400"/>
    <n v="59"/>
    <x v="1154"/>
  </r>
  <r>
    <s v="20.06.2023 Итог"/>
    <x v="3"/>
    <x v="2"/>
    <m/>
    <m/>
    <m/>
    <m/>
    <x v="1155"/>
  </r>
  <r>
    <d v="2023-06-21T00:00:00"/>
    <x v="4"/>
    <x v="0"/>
    <s v="Зелень"/>
    <s v="Укроп"/>
    <n v="650"/>
    <n v="7"/>
    <x v="928"/>
  </r>
  <r>
    <d v="2023-06-21T00:00:00"/>
    <x v="0"/>
    <x v="4"/>
    <s v="Фрукты"/>
    <s v="Яблоки"/>
    <n v="1230"/>
    <n v="8"/>
    <x v="1156"/>
  </r>
  <r>
    <d v="2023-06-21T00:00:00"/>
    <x v="2"/>
    <x v="4"/>
    <s v="Ягоды"/>
    <s v="Брусника"/>
    <n v="1670"/>
    <n v="25"/>
    <x v="1157"/>
  </r>
  <r>
    <d v="2023-06-21T00:00:00"/>
    <x v="4"/>
    <x v="4"/>
    <s v="Ягоды"/>
    <s v="Брусника"/>
    <n v="1670"/>
    <n v="75"/>
    <x v="1158"/>
  </r>
  <r>
    <d v="2023-06-21T00:00:00"/>
    <x v="4"/>
    <x v="6"/>
    <s v="Ягоды"/>
    <s v="Смородина черная"/>
    <n v="1505"/>
    <n v="49"/>
    <x v="886"/>
  </r>
  <r>
    <s v="21.06.2023 Итог"/>
    <x v="3"/>
    <x v="2"/>
    <m/>
    <m/>
    <m/>
    <m/>
    <x v="1159"/>
  </r>
  <r>
    <d v="2023-06-22T00:00:00"/>
    <x v="2"/>
    <x v="3"/>
    <s v="Зелень"/>
    <s v="Лук зеленый"/>
    <n v="705"/>
    <n v="48"/>
    <x v="1074"/>
  </r>
  <r>
    <d v="2023-06-22T00:00:00"/>
    <x v="1"/>
    <x v="3"/>
    <s v="Овощи"/>
    <s v="Баклажаны"/>
    <n v="890"/>
    <n v="21"/>
    <x v="981"/>
  </r>
  <r>
    <d v="2023-06-22T00:00:00"/>
    <x v="1"/>
    <x v="3"/>
    <s v="Ягоды"/>
    <s v="Голубика"/>
    <n v="3205"/>
    <n v="82"/>
    <x v="231"/>
  </r>
  <r>
    <d v="2023-06-22T00:00:00"/>
    <x v="2"/>
    <x v="0"/>
    <s v="Ягоды"/>
    <s v="Голубика"/>
    <n v="3205"/>
    <n v="66"/>
    <x v="1160"/>
  </r>
  <r>
    <d v="2023-06-22T00:00:00"/>
    <x v="4"/>
    <x v="4"/>
    <s v="Овощи"/>
    <s v="Кабачки"/>
    <n v="325"/>
    <n v="62"/>
    <x v="306"/>
  </r>
  <r>
    <d v="2023-06-22T00:00:00"/>
    <x v="1"/>
    <x v="4"/>
    <s v="Фрукты"/>
    <s v="Апельсины"/>
    <n v="2540"/>
    <n v="36"/>
    <x v="1161"/>
  </r>
  <r>
    <d v="2023-06-22T00:00:00"/>
    <x v="1"/>
    <x v="1"/>
    <s v="Овощи"/>
    <s v="Кабачки"/>
    <n v="325"/>
    <n v="39"/>
    <x v="1162"/>
  </r>
  <r>
    <d v="2023-06-22T00:00:00"/>
    <x v="4"/>
    <x v="5"/>
    <s v="Зелень"/>
    <s v="Петрушка"/>
    <n v="640"/>
    <n v="30"/>
    <x v="191"/>
  </r>
  <r>
    <d v="2023-06-22T00:00:00"/>
    <x v="1"/>
    <x v="5"/>
    <s v="Овощи"/>
    <s v="Свекла"/>
    <n v="450"/>
    <n v="28"/>
    <x v="1163"/>
  </r>
  <r>
    <d v="2023-06-22T00:00:00"/>
    <x v="4"/>
    <x v="6"/>
    <s v="Зелень"/>
    <s v="Салат айсберг"/>
    <n v="1380"/>
    <n v="78"/>
    <x v="1164"/>
  </r>
  <r>
    <s v="22.06.2023 Итог"/>
    <x v="3"/>
    <x v="2"/>
    <m/>
    <m/>
    <m/>
    <m/>
    <x v="1165"/>
  </r>
  <r>
    <d v="2023-06-23T00:00:00"/>
    <x v="2"/>
    <x v="3"/>
    <s v="Ягоды"/>
    <s v="Малина"/>
    <n v="2970"/>
    <n v="70"/>
    <x v="258"/>
  </r>
  <r>
    <d v="2023-06-23T00:00:00"/>
    <x v="0"/>
    <x v="3"/>
    <s v="Ягоды"/>
    <s v="Клубника"/>
    <n v="2460"/>
    <n v="11"/>
    <x v="131"/>
  </r>
  <r>
    <d v="2023-06-23T00:00:00"/>
    <x v="4"/>
    <x v="0"/>
    <s v="Фрукты"/>
    <s v="Абрикосы"/>
    <n v="1320"/>
    <n v="95"/>
    <x v="1166"/>
  </r>
  <r>
    <d v="2023-06-23T00:00:00"/>
    <x v="4"/>
    <x v="4"/>
    <s v="Овощи"/>
    <s v="Морковь"/>
    <n v="715"/>
    <n v="67"/>
    <x v="23"/>
  </r>
  <r>
    <d v="2023-06-23T00:00:00"/>
    <x v="1"/>
    <x v="4"/>
    <s v="Ягоды"/>
    <s v="Черешня"/>
    <n v="1760"/>
    <n v="31"/>
    <x v="1167"/>
  </r>
  <r>
    <d v="2023-06-23T00:00:00"/>
    <x v="4"/>
    <x v="1"/>
    <s v="Зелень"/>
    <s v="Салат римский"/>
    <n v="540"/>
    <n v="24"/>
    <x v="1168"/>
  </r>
  <r>
    <d v="2023-06-23T00:00:00"/>
    <x v="4"/>
    <x v="5"/>
    <s v="Зелень"/>
    <s v="Салат айсберг"/>
    <n v="1380"/>
    <n v="42"/>
    <x v="69"/>
  </r>
  <r>
    <d v="2023-06-23T00:00:00"/>
    <x v="1"/>
    <x v="6"/>
    <s v="Ягоды"/>
    <s v="Клубника"/>
    <n v="2460"/>
    <n v="70"/>
    <x v="74"/>
  </r>
  <r>
    <s v="23.06.2023 Итог"/>
    <x v="3"/>
    <x v="2"/>
    <m/>
    <m/>
    <m/>
    <m/>
    <x v="1169"/>
  </r>
  <r>
    <d v="2023-06-24T00:00:00"/>
    <x v="4"/>
    <x v="3"/>
    <s v="Зелень"/>
    <s v="Лук зеленый"/>
    <n v="705"/>
    <n v="47"/>
    <x v="1170"/>
  </r>
  <r>
    <d v="2023-06-24T00:00:00"/>
    <x v="2"/>
    <x v="0"/>
    <s v="Фрукты"/>
    <s v="Абрикосы"/>
    <n v="1320"/>
    <n v="8"/>
    <x v="1171"/>
  </r>
  <r>
    <d v="2023-06-24T00:00:00"/>
    <x v="1"/>
    <x v="4"/>
    <s v="Фрукты"/>
    <s v="Груши"/>
    <n v="1420"/>
    <n v="46"/>
    <x v="1172"/>
  </r>
  <r>
    <d v="2023-06-24T00:00:00"/>
    <x v="4"/>
    <x v="4"/>
    <s v="Фрукты"/>
    <s v="Яблоки"/>
    <n v="1230"/>
    <n v="98"/>
    <x v="1173"/>
  </r>
  <r>
    <d v="2023-06-24T00:00:00"/>
    <x v="0"/>
    <x v="1"/>
    <s v="Зелень"/>
    <s v="Салат римский"/>
    <n v="540"/>
    <n v="100"/>
    <x v="995"/>
  </r>
  <r>
    <d v="2023-06-24T00:00:00"/>
    <x v="2"/>
    <x v="1"/>
    <s v="Овощи"/>
    <s v="Картофель"/>
    <n v="690"/>
    <n v="91"/>
    <x v="1174"/>
  </r>
  <r>
    <d v="2023-06-24T00:00:00"/>
    <x v="0"/>
    <x v="5"/>
    <s v="Зелень"/>
    <s v="Укроп"/>
    <n v="650"/>
    <n v="48"/>
    <x v="447"/>
  </r>
  <r>
    <d v="2023-06-24T00:00:00"/>
    <x v="2"/>
    <x v="5"/>
    <s v="Фрукты"/>
    <s v="Бананы"/>
    <n v="2400"/>
    <n v="6"/>
    <x v="1175"/>
  </r>
  <r>
    <s v="24.06.2023 Итог"/>
    <x v="3"/>
    <x v="2"/>
    <m/>
    <m/>
    <m/>
    <m/>
    <x v="1176"/>
  </r>
  <r>
    <d v="2023-06-25T00:00:00"/>
    <x v="1"/>
    <x v="3"/>
    <s v="Зелень"/>
    <s v="Салат айсберг"/>
    <n v="1380"/>
    <n v="39"/>
    <x v="197"/>
  </r>
  <r>
    <d v="2023-06-25T00:00:00"/>
    <x v="4"/>
    <x v="3"/>
    <s v="Овощи"/>
    <s v="Капуста"/>
    <n v="460"/>
    <n v="25"/>
    <x v="1177"/>
  </r>
  <r>
    <d v="2023-06-25T00:00:00"/>
    <x v="2"/>
    <x v="3"/>
    <s v="Фрукты"/>
    <s v="Апельсины"/>
    <n v="2540"/>
    <n v="61"/>
    <x v="990"/>
  </r>
  <r>
    <d v="2023-06-25T00:00:00"/>
    <x v="4"/>
    <x v="3"/>
    <s v="Ягоды"/>
    <s v="Малина"/>
    <n v="2970"/>
    <n v="57"/>
    <x v="1128"/>
  </r>
  <r>
    <d v="2023-06-25T00:00:00"/>
    <x v="0"/>
    <x v="3"/>
    <s v="Ягоды"/>
    <s v="Голубика"/>
    <n v="3205"/>
    <n v="88"/>
    <x v="1178"/>
  </r>
  <r>
    <d v="2023-06-25T00:00:00"/>
    <x v="1"/>
    <x v="1"/>
    <s v="Зелень"/>
    <s v="Салат айсберг"/>
    <n v="1380"/>
    <n v="50"/>
    <x v="1179"/>
  </r>
  <r>
    <d v="2023-06-25T00:00:00"/>
    <x v="0"/>
    <x v="6"/>
    <s v="Ягоды"/>
    <s v="Черешня"/>
    <n v="1760"/>
    <n v="47"/>
    <x v="1180"/>
  </r>
  <r>
    <s v="25.06.2023 Итог"/>
    <x v="3"/>
    <x v="2"/>
    <m/>
    <m/>
    <m/>
    <m/>
    <x v="1181"/>
  </r>
  <r>
    <d v="2023-06-26T00:00:00"/>
    <x v="1"/>
    <x v="3"/>
    <s v="Зелень"/>
    <s v="Лук зеленый"/>
    <n v="705"/>
    <n v="43"/>
    <x v="938"/>
  </r>
  <r>
    <d v="2023-06-26T00:00:00"/>
    <x v="4"/>
    <x v="3"/>
    <s v="Овощи"/>
    <s v="Морковь"/>
    <n v="715"/>
    <n v="90"/>
    <x v="221"/>
  </r>
  <r>
    <d v="2023-06-26T00:00:00"/>
    <x v="2"/>
    <x v="3"/>
    <s v="Овощи"/>
    <s v="Капуста"/>
    <n v="460"/>
    <n v="65"/>
    <x v="667"/>
  </r>
  <r>
    <d v="2023-06-26T00:00:00"/>
    <x v="0"/>
    <x v="3"/>
    <s v="Фрукты"/>
    <s v="Сливы"/>
    <n v="930"/>
    <n v="52"/>
    <x v="1182"/>
  </r>
  <r>
    <d v="2023-06-26T00:00:00"/>
    <x v="1"/>
    <x v="3"/>
    <s v="Фрукты"/>
    <s v="Яблоки"/>
    <n v="1230"/>
    <n v="36"/>
    <x v="1044"/>
  </r>
  <r>
    <d v="2023-06-26T00:00:00"/>
    <x v="1"/>
    <x v="3"/>
    <s v="Ягоды"/>
    <s v="Черешня"/>
    <n v="1760"/>
    <n v="47"/>
    <x v="1180"/>
  </r>
  <r>
    <d v="2023-06-26T00:00:00"/>
    <x v="4"/>
    <x v="3"/>
    <s v="Ягоды"/>
    <s v="Смородина черная"/>
    <n v="1505"/>
    <n v="63"/>
    <x v="855"/>
  </r>
  <r>
    <d v="2023-06-26T00:00:00"/>
    <x v="4"/>
    <x v="4"/>
    <s v="Ягоды"/>
    <s v="Смородина черная"/>
    <n v="1505"/>
    <n v="69"/>
    <x v="1183"/>
  </r>
  <r>
    <d v="2023-06-26T00:00:00"/>
    <x v="2"/>
    <x v="5"/>
    <s v="Ягоды"/>
    <s v="Голубика"/>
    <n v="3205"/>
    <n v="74"/>
    <x v="557"/>
  </r>
  <r>
    <d v="2023-06-26T00:00:00"/>
    <x v="4"/>
    <x v="5"/>
    <s v="Ягоды"/>
    <s v="Брусника"/>
    <n v="1670"/>
    <n v="12"/>
    <x v="1184"/>
  </r>
  <r>
    <s v="26.06.2023 Итог"/>
    <x v="3"/>
    <x v="2"/>
    <m/>
    <m/>
    <m/>
    <m/>
    <x v="1185"/>
  </r>
  <r>
    <d v="2023-06-27T00:00:00"/>
    <x v="2"/>
    <x v="3"/>
    <s v="Овощи"/>
    <s v="Картофель"/>
    <n v="690"/>
    <n v="39"/>
    <x v="1113"/>
  </r>
  <r>
    <d v="2023-06-27T00:00:00"/>
    <x v="2"/>
    <x v="0"/>
    <s v="Овощи"/>
    <s v="Капуста"/>
    <n v="460"/>
    <n v="43"/>
    <x v="86"/>
  </r>
  <r>
    <d v="2023-06-27T00:00:00"/>
    <x v="2"/>
    <x v="0"/>
    <s v="Фрукты"/>
    <s v="Бананы"/>
    <n v="2400"/>
    <n v="95"/>
    <x v="952"/>
  </r>
  <r>
    <d v="2023-06-27T00:00:00"/>
    <x v="4"/>
    <x v="4"/>
    <s v="Зелень"/>
    <s v="Салат айсберг"/>
    <n v="1380"/>
    <n v="23"/>
    <x v="610"/>
  </r>
  <r>
    <d v="2023-06-27T00:00:00"/>
    <x v="2"/>
    <x v="4"/>
    <s v="Зелень"/>
    <s v="Петрушка"/>
    <n v="640"/>
    <n v="95"/>
    <x v="493"/>
  </r>
  <r>
    <d v="2023-06-27T00:00:00"/>
    <x v="2"/>
    <x v="1"/>
    <s v="Зелень"/>
    <s v="Укроп"/>
    <n v="650"/>
    <n v="28"/>
    <x v="568"/>
  </r>
  <r>
    <d v="2023-06-27T00:00:00"/>
    <x v="1"/>
    <x v="5"/>
    <s v="Овощи"/>
    <s v="Капуста"/>
    <n v="460"/>
    <n v="69"/>
    <x v="610"/>
  </r>
  <r>
    <d v="2023-06-27T00:00:00"/>
    <x v="4"/>
    <x v="5"/>
    <s v="Ягоды"/>
    <s v="Голубика"/>
    <n v="3205"/>
    <n v="27"/>
    <x v="340"/>
  </r>
  <r>
    <d v="2023-06-27T00:00:00"/>
    <x v="4"/>
    <x v="6"/>
    <s v="Фрукты"/>
    <s v="Яблоки"/>
    <n v="1230"/>
    <n v="76"/>
    <x v="485"/>
  </r>
  <r>
    <d v="2023-06-27T00:00:00"/>
    <x v="2"/>
    <x v="6"/>
    <s v="Ягоды"/>
    <s v="Голубика"/>
    <n v="3205"/>
    <n v="86"/>
    <x v="164"/>
  </r>
  <r>
    <s v="27.06.2023 Итог"/>
    <x v="3"/>
    <x v="2"/>
    <m/>
    <m/>
    <m/>
    <m/>
    <x v="1186"/>
  </r>
  <r>
    <d v="2023-06-28T00:00:00"/>
    <x v="1"/>
    <x v="3"/>
    <s v="Овощи"/>
    <s v="Капуста"/>
    <n v="460"/>
    <n v="40"/>
    <x v="1187"/>
  </r>
  <r>
    <d v="2023-06-28T00:00:00"/>
    <x v="4"/>
    <x v="3"/>
    <s v="Ягоды"/>
    <s v="Черешня"/>
    <n v="1760"/>
    <n v="49"/>
    <x v="399"/>
  </r>
  <r>
    <d v="2023-06-28T00:00:00"/>
    <x v="4"/>
    <x v="0"/>
    <s v="Фрукты"/>
    <s v="Яблоки"/>
    <n v="1230"/>
    <n v="13"/>
    <x v="590"/>
  </r>
  <r>
    <d v="2023-06-28T00:00:00"/>
    <x v="4"/>
    <x v="4"/>
    <s v="Зелень"/>
    <s v="Кинза"/>
    <n v="650"/>
    <n v="13"/>
    <x v="375"/>
  </r>
  <r>
    <d v="2023-06-28T00:00:00"/>
    <x v="4"/>
    <x v="4"/>
    <s v="Фрукты"/>
    <s v="Бананы"/>
    <n v="2400"/>
    <n v="73"/>
    <x v="1188"/>
  </r>
  <r>
    <d v="2023-06-28T00:00:00"/>
    <x v="4"/>
    <x v="4"/>
    <s v="Ягоды"/>
    <s v="Малина"/>
    <n v="2970"/>
    <n v="95"/>
    <x v="1189"/>
  </r>
  <r>
    <d v="2023-06-28T00:00:00"/>
    <x v="1"/>
    <x v="1"/>
    <s v="Зелень"/>
    <s v="Кинза"/>
    <n v="650"/>
    <n v="58"/>
    <x v="173"/>
  </r>
  <r>
    <d v="2023-06-28T00:00:00"/>
    <x v="1"/>
    <x v="1"/>
    <s v="Овощи"/>
    <s v="Свекла"/>
    <n v="450"/>
    <n v="71"/>
    <x v="1190"/>
  </r>
  <r>
    <d v="2023-06-28T00:00:00"/>
    <x v="0"/>
    <x v="5"/>
    <s v="Зелень"/>
    <s v="Петрушка"/>
    <n v="640"/>
    <n v="50"/>
    <x v="1191"/>
  </r>
  <r>
    <d v="2023-06-28T00:00:00"/>
    <x v="2"/>
    <x v="5"/>
    <s v="Овощи"/>
    <s v="Кабачки"/>
    <n v="325"/>
    <n v="26"/>
    <x v="375"/>
  </r>
  <r>
    <d v="2023-06-28T00:00:00"/>
    <x v="0"/>
    <x v="6"/>
    <s v="Овощи"/>
    <s v="Кабачки"/>
    <n v="325"/>
    <n v="96"/>
    <x v="447"/>
  </r>
  <r>
    <s v="28.06.2023 Итог"/>
    <x v="3"/>
    <x v="2"/>
    <m/>
    <m/>
    <m/>
    <m/>
    <x v="1192"/>
  </r>
  <r>
    <d v="2023-06-29T00:00:00"/>
    <x v="4"/>
    <x v="3"/>
    <s v="Зелень"/>
    <s v="Лук зеленый"/>
    <n v="705"/>
    <n v="30"/>
    <x v="230"/>
  </r>
  <r>
    <d v="2023-06-29T00:00:00"/>
    <x v="4"/>
    <x v="1"/>
    <s v="Фрукты"/>
    <s v="Яблоки"/>
    <n v="1230"/>
    <n v="90"/>
    <x v="415"/>
  </r>
  <r>
    <d v="2023-06-29T00:00:00"/>
    <x v="1"/>
    <x v="6"/>
    <s v="Овощи"/>
    <s v="Картофель"/>
    <n v="690"/>
    <n v="90"/>
    <x v="1193"/>
  </r>
  <r>
    <d v="2023-06-29T00:00:00"/>
    <x v="2"/>
    <x v="6"/>
    <s v="Ягоды"/>
    <s v="Голубика"/>
    <n v="3205"/>
    <n v="85"/>
    <x v="299"/>
  </r>
  <r>
    <s v="29.06.2023 Итог"/>
    <x v="3"/>
    <x v="2"/>
    <m/>
    <m/>
    <m/>
    <m/>
    <x v="1194"/>
  </r>
  <r>
    <d v="2023-06-30T00:00:00"/>
    <x v="1"/>
    <x v="3"/>
    <s v="Зелень"/>
    <s v="Кинза"/>
    <n v="650"/>
    <n v="84"/>
    <x v="747"/>
  </r>
  <r>
    <d v="2023-06-30T00:00:00"/>
    <x v="4"/>
    <x v="0"/>
    <s v="Овощи"/>
    <s v="Баклажаны"/>
    <n v="890"/>
    <n v="44"/>
    <x v="1195"/>
  </r>
  <r>
    <d v="2023-06-30T00:00:00"/>
    <x v="0"/>
    <x v="4"/>
    <s v="Овощи"/>
    <s v="Картофель"/>
    <n v="690"/>
    <n v="42"/>
    <x v="554"/>
  </r>
  <r>
    <d v="2023-06-30T00:00:00"/>
    <x v="4"/>
    <x v="5"/>
    <s v="Зелень"/>
    <s v="Салат римский"/>
    <n v="540"/>
    <n v="10"/>
    <x v="148"/>
  </r>
  <r>
    <d v="2023-06-30T00:00:00"/>
    <x v="1"/>
    <x v="6"/>
    <s v="Фрукты"/>
    <s v="Бананы"/>
    <n v="2400"/>
    <n v="17"/>
    <x v="1196"/>
  </r>
  <r>
    <s v="30.06.2023 Итог"/>
    <x v="3"/>
    <x v="2"/>
    <m/>
    <m/>
    <m/>
    <m/>
    <x v="1197"/>
  </r>
  <r>
    <d v="2023-07-01T00:00:00"/>
    <x v="1"/>
    <x v="3"/>
    <s v="Зелень"/>
    <s v="Укроп"/>
    <n v="650"/>
    <n v="88"/>
    <x v="83"/>
  </r>
  <r>
    <d v="2023-07-01T00:00:00"/>
    <x v="0"/>
    <x v="3"/>
    <s v="Фрукты"/>
    <s v="Бананы"/>
    <n v="2400"/>
    <n v="38"/>
    <x v="1198"/>
  </r>
  <r>
    <d v="2023-07-01T00:00:00"/>
    <x v="2"/>
    <x v="0"/>
    <s v="Зелень"/>
    <s v="Кинза"/>
    <n v="650"/>
    <n v="68"/>
    <x v="267"/>
  </r>
  <r>
    <d v="2023-07-01T00:00:00"/>
    <x v="1"/>
    <x v="0"/>
    <s v="Зелень"/>
    <s v="Салат айсберг"/>
    <n v="1380"/>
    <n v="92"/>
    <x v="403"/>
  </r>
  <r>
    <d v="2023-07-01T00:00:00"/>
    <x v="0"/>
    <x v="0"/>
    <s v="Овощи"/>
    <s v="Баклажаны"/>
    <n v="890"/>
    <n v="61"/>
    <x v="1199"/>
  </r>
  <r>
    <d v="2023-07-01T00:00:00"/>
    <x v="2"/>
    <x v="0"/>
    <s v="Ягоды"/>
    <s v="Малина"/>
    <n v="2970"/>
    <n v="30"/>
    <x v="1200"/>
  </r>
  <r>
    <d v="2023-07-01T00:00:00"/>
    <x v="4"/>
    <x v="0"/>
    <s v="Ягоды"/>
    <s v="Смородина черная"/>
    <n v="1505"/>
    <n v="55"/>
    <x v="238"/>
  </r>
  <r>
    <d v="2023-07-01T00:00:00"/>
    <x v="2"/>
    <x v="4"/>
    <s v="Овощи"/>
    <s v="Баклажаны"/>
    <n v="890"/>
    <n v="46"/>
    <x v="402"/>
  </r>
  <r>
    <d v="2023-07-01T00:00:00"/>
    <x v="2"/>
    <x v="4"/>
    <s v="Фрукты"/>
    <s v="Сливы"/>
    <n v="930"/>
    <n v="68"/>
    <x v="1201"/>
  </r>
  <r>
    <d v="2023-07-01T00:00:00"/>
    <x v="1"/>
    <x v="5"/>
    <s v="Овощи"/>
    <s v="Кабачки"/>
    <n v="325"/>
    <n v="86"/>
    <x v="1131"/>
  </r>
  <r>
    <d v="2023-07-01T00:00:00"/>
    <x v="4"/>
    <x v="6"/>
    <s v="Зелень"/>
    <s v="Укроп"/>
    <n v="650"/>
    <n v="84"/>
    <x v="747"/>
  </r>
  <r>
    <d v="2023-07-01T00:00:00"/>
    <x v="4"/>
    <x v="6"/>
    <s v="Ягоды"/>
    <s v="Клубника"/>
    <n v="2460"/>
    <n v="12"/>
    <x v="600"/>
  </r>
  <r>
    <s v="01.07.2023 Итог"/>
    <x v="3"/>
    <x v="2"/>
    <m/>
    <m/>
    <m/>
    <m/>
    <x v="1202"/>
  </r>
  <r>
    <d v="2023-07-02T00:00:00"/>
    <x v="2"/>
    <x v="3"/>
    <s v="Зелень"/>
    <s v="Салат римский"/>
    <n v="540"/>
    <n v="48"/>
    <x v="364"/>
  </r>
  <r>
    <d v="2023-07-02T00:00:00"/>
    <x v="4"/>
    <x v="3"/>
    <s v="Овощи"/>
    <s v="Капуста"/>
    <n v="460"/>
    <n v="57"/>
    <x v="217"/>
  </r>
  <r>
    <d v="2023-07-02T00:00:00"/>
    <x v="1"/>
    <x v="3"/>
    <s v="Овощи"/>
    <s v="Капуста"/>
    <n v="460"/>
    <n v="72"/>
    <x v="441"/>
  </r>
  <r>
    <d v="2023-07-02T00:00:00"/>
    <x v="1"/>
    <x v="3"/>
    <s v="Фрукты"/>
    <s v="Яблоки"/>
    <n v="1230"/>
    <n v="76"/>
    <x v="485"/>
  </r>
  <r>
    <d v="2023-07-02T00:00:00"/>
    <x v="4"/>
    <x v="3"/>
    <s v="Фрукты"/>
    <s v="Абрикосы"/>
    <n v="1320"/>
    <n v="42"/>
    <x v="1140"/>
  </r>
  <r>
    <d v="2023-07-02T00:00:00"/>
    <x v="2"/>
    <x v="0"/>
    <s v="Фрукты"/>
    <s v="Яблоки"/>
    <n v="1230"/>
    <n v="90"/>
    <x v="415"/>
  </r>
  <r>
    <d v="2023-07-02T00:00:00"/>
    <x v="2"/>
    <x v="4"/>
    <s v="Зелень"/>
    <s v="Салат айсберг"/>
    <n v="1380"/>
    <n v="25"/>
    <x v="1057"/>
  </r>
  <r>
    <d v="2023-07-02T00:00:00"/>
    <x v="1"/>
    <x v="1"/>
    <s v="Зелень"/>
    <s v="Салат айсберг"/>
    <n v="1380"/>
    <n v="54"/>
    <x v="991"/>
  </r>
  <r>
    <d v="2023-07-02T00:00:00"/>
    <x v="1"/>
    <x v="1"/>
    <s v="Овощи"/>
    <s v="Морковь"/>
    <n v="715"/>
    <n v="27"/>
    <x v="1203"/>
  </r>
  <r>
    <d v="2023-07-02T00:00:00"/>
    <x v="2"/>
    <x v="1"/>
    <s v="Овощи"/>
    <s v="Картофель"/>
    <n v="690"/>
    <n v="28"/>
    <x v="1204"/>
  </r>
  <r>
    <d v="2023-07-02T00:00:00"/>
    <x v="1"/>
    <x v="6"/>
    <s v="Фрукты"/>
    <s v="Бананы"/>
    <n v="2400"/>
    <n v="72"/>
    <x v="727"/>
  </r>
  <r>
    <s v="02.07.2023 Итог"/>
    <x v="3"/>
    <x v="2"/>
    <m/>
    <m/>
    <m/>
    <m/>
    <x v="1205"/>
  </r>
  <r>
    <d v="2023-07-03T00:00:00"/>
    <x v="0"/>
    <x v="3"/>
    <s v="Зелень"/>
    <s v="Укроп"/>
    <n v="650"/>
    <n v="67"/>
    <x v="498"/>
  </r>
  <r>
    <d v="2023-07-03T00:00:00"/>
    <x v="1"/>
    <x v="3"/>
    <s v="Овощи"/>
    <s v="Морковь"/>
    <n v="715"/>
    <n v="34"/>
    <x v="104"/>
  </r>
  <r>
    <d v="2023-07-03T00:00:00"/>
    <x v="0"/>
    <x v="3"/>
    <s v="Овощи"/>
    <s v="Кабачки"/>
    <n v="325"/>
    <n v="57"/>
    <x v="1206"/>
  </r>
  <r>
    <d v="2023-07-03T00:00:00"/>
    <x v="1"/>
    <x v="0"/>
    <s v="Зелень"/>
    <s v="Лук зеленый"/>
    <n v="705"/>
    <n v="14"/>
    <x v="1207"/>
  </r>
  <r>
    <d v="2023-07-03T00:00:00"/>
    <x v="0"/>
    <x v="0"/>
    <s v="Овощи"/>
    <s v="Картофель"/>
    <n v="690"/>
    <n v="64"/>
    <x v="797"/>
  </r>
  <r>
    <d v="2023-07-03T00:00:00"/>
    <x v="1"/>
    <x v="1"/>
    <s v="Овощи"/>
    <s v="Свекла"/>
    <n v="450"/>
    <n v="87"/>
    <x v="903"/>
  </r>
  <r>
    <d v="2023-07-03T00:00:00"/>
    <x v="4"/>
    <x v="1"/>
    <s v="Фрукты"/>
    <s v="Абрикосы"/>
    <n v="1320"/>
    <n v="61"/>
    <x v="819"/>
  </r>
  <r>
    <d v="2023-07-03T00:00:00"/>
    <x v="4"/>
    <x v="5"/>
    <s v="Зелень"/>
    <s v="Кинза"/>
    <n v="650"/>
    <n v="70"/>
    <x v="1208"/>
  </r>
  <r>
    <d v="2023-07-03T00:00:00"/>
    <x v="4"/>
    <x v="6"/>
    <s v="Овощи"/>
    <s v="Капуста"/>
    <n v="460"/>
    <n v="23"/>
    <x v="986"/>
  </r>
  <r>
    <d v="2023-07-03T00:00:00"/>
    <x v="0"/>
    <x v="6"/>
    <s v="Ягоды"/>
    <s v="Смородина черная"/>
    <n v="1505"/>
    <n v="44"/>
    <x v="1104"/>
  </r>
  <r>
    <s v="03.07.2023 Итог"/>
    <x v="3"/>
    <x v="2"/>
    <m/>
    <m/>
    <m/>
    <m/>
    <x v="1209"/>
  </r>
  <r>
    <d v="2023-07-04T00:00:00"/>
    <x v="1"/>
    <x v="3"/>
    <s v="Овощи"/>
    <s v="Морковь"/>
    <n v="715"/>
    <n v="9"/>
    <x v="1210"/>
  </r>
  <r>
    <d v="2023-07-04T00:00:00"/>
    <x v="0"/>
    <x v="3"/>
    <s v="Фрукты"/>
    <s v="Абрикосы"/>
    <n v="1320"/>
    <n v="27"/>
    <x v="577"/>
  </r>
  <r>
    <d v="2023-07-04T00:00:00"/>
    <x v="0"/>
    <x v="3"/>
    <s v="Фрукты"/>
    <s v="Бананы"/>
    <n v="2400"/>
    <n v="81"/>
    <x v="589"/>
  </r>
  <r>
    <d v="2023-07-04T00:00:00"/>
    <x v="4"/>
    <x v="3"/>
    <s v="Ягоды"/>
    <s v="Черешня"/>
    <n v="1760"/>
    <n v="95"/>
    <x v="1211"/>
  </r>
  <r>
    <d v="2023-07-04T00:00:00"/>
    <x v="4"/>
    <x v="0"/>
    <s v="Зелень"/>
    <s v="Салат айсберг"/>
    <n v="1380"/>
    <n v="99"/>
    <x v="1212"/>
  </r>
  <r>
    <d v="2023-07-04T00:00:00"/>
    <x v="2"/>
    <x v="4"/>
    <s v="Зелень"/>
    <s v="Кинза"/>
    <n v="650"/>
    <n v="77"/>
    <x v="1213"/>
  </r>
  <r>
    <d v="2023-07-04T00:00:00"/>
    <x v="0"/>
    <x v="4"/>
    <s v="Зелень"/>
    <s v="Салат римский"/>
    <n v="540"/>
    <n v="33"/>
    <x v="924"/>
  </r>
  <r>
    <d v="2023-07-04T00:00:00"/>
    <x v="0"/>
    <x v="4"/>
    <s v="Овощи"/>
    <s v="Картофель"/>
    <n v="690"/>
    <n v="71"/>
    <x v="1101"/>
  </r>
  <r>
    <d v="2023-07-04T00:00:00"/>
    <x v="0"/>
    <x v="1"/>
    <s v="Зелень"/>
    <s v="Укроп"/>
    <n v="650"/>
    <n v="33"/>
    <x v="360"/>
  </r>
  <r>
    <d v="2023-07-04T00:00:00"/>
    <x v="4"/>
    <x v="1"/>
    <s v="Фрукты"/>
    <s v="Яблоки"/>
    <n v="1230"/>
    <n v="30"/>
    <x v="1214"/>
  </r>
  <r>
    <d v="2023-07-04T00:00:00"/>
    <x v="4"/>
    <x v="6"/>
    <s v="Овощи"/>
    <s v="Капуста"/>
    <n v="460"/>
    <n v="7"/>
    <x v="278"/>
  </r>
  <r>
    <d v="2023-07-04T00:00:00"/>
    <x v="1"/>
    <x v="6"/>
    <s v="Ягоды"/>
    <s v="Клубника"/>
    <n v="2460"/>
    <n v="70"/>
    <x v="74"/>
  </r>
  <r>
    <s v="04.07.2023 Итог"/>
    <x v="3"/>
    <x v="2"/>
    <m/>
    <m/>
    <m/>
    <m/>
    <x v="1215"/>
  </r>
  <r>
    <d v="2023-07-05T00:00:00"/>
    <x v="4"/>
    <x v="3"/>
    <s v="Зелень"/>
    <s v="Кинза"/>
    <n v="650"/>
    <n v="53"/>
    <x v="782"/>
  </r>
  <r>
    <d v="2023-07-05T00:00:00"/>
    <x v="1"/>
    <x v="3"/>
    <s v="Фрукты"/>
    <s v="Сливы"/>
    <n v="930"/>
    <n v="43"/>
    <x v="1058"/>
  </r>
  <r>
    <d v="2023-07-05T00:00:00"/>
    <x v="0"/>
    <x v="0"/>
    <s v="Зелень"/>
    <s v="Салат римский"/>
    <n v="540"/>
    <n v="23"/>
    <x v="1216"/>
  </r>
  <r>
    <d v="2023-07-05T00:00:00"/>
    <x v="4"/>
    <x v="0"/>
    <s v="Овощи"/>
    <s v="Капуста"/>
    <n v="460"/>
    <n v="26"/>
    <x v="114"/>
  </r>
  <r>
    <d v="2023-07-05T00:00:00"/>
    <x v="4"/>
    <x v="0"/>
    <s v="Ягоды"/>
    <s v="Смородина черная"/>
    <n v="1505"/>
    <n v="63"/>
    <x v="855"/>
  </r>
  <r>
    <d v="2023-07-05T00:00:00"/>
    <x v="1"/>
    <x v="4"/>
    <s v="Овощи"/>
    <s v="Картофель"/>
    <n v="690"/>
    <n v="88"/>
    <x v="1103"/>
  </r>
  <r>
    <d v="2023-07-05T00:00:00"/>
    <x v="0"/>
    <x v="4"/>
    <s v="Фрукты"/>
    <s v="Абрикосы"/>
    <n v="1320"/>
    <n v="18"/>
    <x v="1117"/>
  </r>
  <r>
    <d v="2023-07-05T00:00:00"/>
    <x v="2"/>
    <x v="1"/>
    <s v="Ягоды"/>
    <s v="Малина"/>
    <n v="2970"/>
    <n v="46"/>
    <x v="1212"/>
  </r>
  <r>
    <d v="2023-07-05T00:00:00"/>
    <x v="4"/>
    <x v="5"/>
    <s v="Ягоды"/>
    <s v="Клубника"/>
    <n v="2460"/>
    <n v="25"/>
    <x v="1217"/>
  </r>
  <r>
    <d v="2023-07-05T00:00:00"/>
    <x v="0"/>
    <x v="6"/>
    <s v="Фрукты"/>
    <s v="Абрикосы"/>
    <n v="1320"/>
    <n v="68"/>
    <x v="336"/>
  </r>
  <r>
    <s v="05.07.2023 Итог"/>
    <x v="3"/>
    <x v="2"/>
    <m/>
    <m/>
    <m/>
    <m/>
    <x v="1218"/>
  </r>
  <r>
    <d v="2023-07-06T00:00:00"/>
    <x v="0"/>
    <x v="3"/>
    <s v="Зелень"/>
    <s v="Петрушка"/>
    <n v="640"/>
    <n v="17"/>
    <x v="460"/>
  </r>
  <r>
    <d v="2023-07-06T00:00:00"/>
    <x v="0"/>
    <x v="3"/>
    <s v="Зелень"/>
    <s v="Кинза"/>
    <n v="650"/>
    <n v="23"/>
    <x v="522"/>
  </r>
  <r>
    <d v="2023-07-06T00:00:00"/>
    <x v="2"/>
    <x v="3"/>
    <s v="Ягоды"/>
    <s v="Черешня"/>
    <n v="1760"/>
    <n v="15"/>
    <x v="257"/>
  </r>
  <r>
    <d v="2023-07-06T00:00:00"/>
    <x v="4"/>
    <x v="0"/>
    <s v="Зелень"/>
    <s v="Лук зеленый"/>
    <n v="705"/>
    <n v="27"/>
    <x v="1084"/>
  </r>
  <r>
    <d v="2023-07-06T00:00:00"/>
    <x v="0"/>
    <x v="4"/>
    <s v="Зелень"/>
    <s v="Салат айсберг"/>
    <n v="1380"/>
    <n v="43"/>
    <x v="147"/>
  </r>
  <r>
    <d v="2023-07-06T00:00:00"/>
    <x v="2"/>
    <x v="5"/>
    <s v="Овощи"/>
    <s v="Свекла"/>
    <n v="450"/>
    <n v="8"/>
    <x v="1219"/>
  </r>
  <r>
    <d v="2023-07-06T00:00:00"/>
    <x v="2"/>
    <x v="5"/>
    <s v="Овощи"/>
    <s v="Капуста"/>
    <n v="460"/>
    <n v="15"/>
    <x v="726"/>
  </r>
  <r>
    <d v="2023-07-06T00:00:00"/>
    <x v="4"/>
    <x v="5"/>
    <s v="Фрукты"/>
    <s v="Груши"/>
    <n v="1420"/>
    <n v="71"/>
    <x v="1220"/>
  </r>
  <r>
    <d v="2023-07-06T00:00:00"/>
    <x v="2"/>
    <x v="6"/>
    <s v="Зелень"/>
    <s v="Лук зеленый"/>
    <n v="705"/>
    <n v="83"/>
    <x v="1221"/>
  </r>
  <r>
    <s v="06.07.2023 Итог"/>
    <x v="3"/>
    <x v="2"/>
    <m/>
    <m/>
    <m/>
    <m/>
    <x v="1222"/>
  </r>
  <r>
    <d v="2023-07-07T00:00:00"/>
    <x v="1"/>
    <x v="0"/>
    <s v="Зелень"/>
    <s v="Салат римский"/>
    <n v="540"/>
    <n v="19"/>
    <x v="1009"/>
  </r>
  <r>
    <d v="2023-07-07T00:00:00"/>
    <x v="0"/>
    <x v="0"/>
    <s v="Ягоды"/>
    <s v="Голубика"/>
    <n v="3205"/>
    <n v="96"/>
    <x v="50"/>
  </r>
  <r>
    <d v="2023-07-07T00:00:00"/>
    <x v="2"/>
    <x v="4"/>
    <s v="Зелень"/>
    <s v="Лук зеленый"/>
    <n v="705"/>
    <n v="83"/>
    <x v="1221"/>
  </r>
  <r>
    <d v="2023-07-07T00:00:00"/>
    <x v="0"/>
    <x v="1"/>
    <s v="Овощи"/>
    <s v="Кабачки"/>
    <n v="325"/>
    <n v="32"/>
    <x v="673"/>
  </r>
  <r>
    <d v="2023-07-07T00:00:00"/>
    <x v="4"/>
    <x v="1"/>
    <s v="Ягоды"/>
    <s v="Голубика"/>
    <n v="3205"/>
    <n v="88"/>
    <x v="1178"/>
  </r>
  <r>
    <d v="2023-07-07T00:00:00"/>
    <x v="1"/>
    <x v="5"/>
    <s v="Зелень"/>
    <s v="Салат айсберг"/>
    <n v="1380"/>
    <n v="29"/>
    <x v="215"/>
  </r>
  <r>
    <d v="2023-07-07T00:00:00"/>
    <x v="1"/>
    <x v="5"/>
    <s v="Фрукты"/>
    <s v="Сливы"/>
    <n v="930"/>
    <n v="18"/>
    <x v="378"/>
  </r>
  <r>
    <d v="2023-07-07T00:00:00"/>
    <x v="4"/>
    <x v="6"/>
    <s v="Зелень"/>
    <s v="Салат айсберг"/>
    <n v="1380"/>
    <n v="63"/>
    <x v="329"/>
  </r>
  <r>
    <d v="2023-07-07T00:00:00"/>
    <x v="4"/>
    <x v="6"/>
    <s v="Зелень"/>
    <s v="Салат римский"/>
    <n v="540"/>
    <n v="21"/>
    <x v="286"/>
  </r>
  <r>
    <d v="2023-07-07T00:00:00"/>
    <x v="4"/>
    <x v="6"/>
    <s v="Фрукты"/>
    <s v="Сливы"/>
    <n v="930"/>
    <n v="70"/>
    <x v="1223"/>
  </r>
  <r>
    <s v="07.07.2023 Итог"/>
    <x v="3"/>
    <x v="2"/>
    <m/>
    <m/>
    <m/>
    <m/>
    <x v="1224"/>
  </r>
  <r>
    <d v="2023-07-08T00:00:00"/>
    <x v="4"/>
    <x v="3"/>
    <s v="Зелень"/>
    <s v="Салат римский"/>
    <n v="540"/>
    <n v="12"/>
    <x v="1225"/>
  </r>
  <r>
    <d v="2023-07-08T00:00:00"/>
    <x v="2"/>
    <x v="3"/>
    <s v="Ягоды"/>
    <s v="Смородина черная"/>
    <n v="1505"/>
    <n v="40"/>
    <x v="1226"/>
  </r>
  <r>
    <d v="2023-07-08T00:00:00"/>
    <x v="4"/>
    <x v="0"/>
    <s v="Ягоды"/>
    <s v="Малина"/>
    <n v="2970"/>
    <n v="85"/>
    <x v="646"/>
  </r>
  <r>
    <d v="2023-07-08T00:00:00"/>
    <x v="4"/>
    <x v="4"/>
    <s v="Фрукты"/>
    <s v="Бананы"/>
    <n v="2400"/>
    <n v="47"/>
    <x v="1227"/>
  </r>
  <r>
    <d v="2023-07-08T00:00:00"/>
    <x v="2"/>
    <x v="1"/>
    <s v="Фрукты"/>
    <s v="Абрикосы"/>
    <n v="1320"/>
    <n v="47"/>
    <x v="541"/>
  </r>
  <r>
    <d v="2023-07-08T00:00:00"/>
    <x v="1"/>
    <x v="5"/>
    <s v="Овощи"/>
    <s v="Картофель"/>
    <n v="690"/>
    <n v="12"/>
    <x v="244"/>
  </r>
  <r>
    <d v="2023-07-08T00:00:00"/>
    <x v="4"/>
    <x v="5"/>
    <s v="Ягоды"/>
    <s v="Голубика"/>
    <n v="3205"/>
    <n v="50"/>
    <x v="1228"/>
  </r>
  <r>
    <d v="2023-07-08T00:00:00"/>
    <x v="1"/>
    <x v="6"/>
    <s v="Овощи"/>
    <s v="Капуста"/>
    <n v="460"/>
    <n v="82"/>
    <x v="1142"/>
  </r>
  <r>
    <d v="2023-07-08T00:00:00"/>
    <x v="2"/>
    <x v="6"/>
    <s v="Ягоды"/>
    <s v="Малина"/>
    <n v="2970"/>
    <n v="42"/>
    <x v="580"/>
  </r>
  <r>
    <s v="08.07.2023 Итог"/>
    <x v="3"/>
    <x v="2"/>
    <m/>
    <m/>
    <m/>
    <m/>
    <x v="1229"/>
  </r>
  <r>
    <d v="2023-07-09T00:00:00"/>
    <x v="0"/>
    <x v="3"/>
    <s v="Фрукты"/>
    <s v="Абрикосы"/>
    <n v="1320"/>
    <n v="93"/>
    <x v="121"/>
  </r>
  <r>
    <d v="2023-07-09T00:00:00"/>
    <x v="0"/>
    <x v="3"/>
    <s v="Фрукты"/>
    <s v="Бананы"/>
    <n v="2400"/>
    <n v="100"/>
    <x v="1230"/>
  </r>
  <r>
    <d v="2023-07-09T00:00:00"/>
    <x v="2"/>
    <x v="0"/>
    <s v="Овощи"/>
    <s v="Баклажаны"/>
    <n v="890"/>
    <n v="26"/>
    <x v="29"/>
  </r>
  <r>
    <d v="2023-07-09T00:00:00"/>
    <x v="4"/>
    <x v="4"/>
    <s v="Фрукты"/>
    <s v="Апельсины"/>
    <n v="2540"/>
    <n v="50"/>
    <x v="1231"/>
  </r>
  <r>
    <d v="2023-07-09T00:00:00"/>
    <x v="2"/>
    <x v="4"/>
    <s v="Ягоды"/>
    <s v="Смородина черная"/>
    <n v="1505"/>
    <n v="13"/>
    <x v="1232"/>
  </r>
  <r>
    <d v="2023-07-09T00:00:00"/>
    <x v="2"/>
    <x v="1"/>
    <s v="Зелень"/>
    <s v="Укроп"/>
    <n v="650"/>
    <n v="79"/>
    <x v="1233"/>
  </r>
  <r>
    <d v="2023-07-09T00:00:00"/>
    <x v="1"/>
    <x v="1"/>
    <s v="Фрукты"/>
    <s v="Абрикосы"/>
    <n v="1320"/>
    <n v="58"/>
    <x v="1234"/>
  </r>
  <r>
    <d v="2023-07-09T00:00:00"/>
    <x v="1"/>
    <x v="1"/>
    <s v="Фрукты"/>
    <s v="Сливы"/>
    <n v="930"/>
    <n v="42"/>
    <x v="488"/>
  </r>
  <r>
    <d v="2023-07-09T00:00:00"/>
    <x v="4"/>
    <x v="6"/>
    <s v="Зелень"/>
    <s v="Кинза"/>
    <n v="650"/>
    <n v="54"/>
    <x v="158"/>
  </r>
  <r>
    <d v="2023-07-09T00:00:00"/>
    <x v="0"/>
    <x v="6"/>
    <s v="Фрукты"/>
    <s v="Бананы"/>
    <n v="2400"/>
    <n v="81"/>
    <x v="589"/>
  </r>
  <r>
    <s v="09.07.2023 Итог"/>
    <x v="3"/>
    <x v="2"/>
    <m/>
    <m/>
    <m/>
    <m/>
    <x v="1235"/>
  </r>
  <r>
    <d v="2023-07-10T00:00:00"/>
    <x v="1"/>
    <x v="3"/>
    <s v="Ягоды"/>
    <s v="Голубика"/>
    <n v="3205"/>
    <n v="35"/>
    <x v="1236"/>
  </r>
  <r>
    <d v="2023-07-10T00:00:00"/>
    <x v="2"/>
    <x v="4"/>
    <s v="Овощи"/>
    <s v="Капуста"/>
    <n v="460"/>
    <n v="14"/>
    <x v="1151"/>
  </r>
  <r>
    <d v="2023-07-10T00:00:00"/>
    <x v="0"/>
    <x v="1"/>
    <s v="Овощи"/>
    <s v="Свекла"/>
    <n v="450"/>
    <n v="87"/>
    <x v="903"/>
  </r>
  <r>
    <d v="2023-07-10T00:00:00"/>
    <x v="0"/>
    <x v="1"/>
    <s v="Фрукты"/>
    <s v="Яблоки"/>
    <n v="1230"/>
    <n v="66"/>
    <x v="194"/>
  </r>
  <r>
    <d v="2023-07-10T00:00:00"/>
    <x v="1"/>
    <x v="5"/>
    <s v="Овощи"/>
    <s v="Картофель"/>
    <n v="690"/>
    <n v="23"/>
    <x v="1237"/>
  </r>
  <r>
    <d v="2023-07-10T00:00:00"/>
    <x v="0"/>
    <x v="5"/>
    <s v="Овощи"/>
    <s v="Картофель"/>
    <n v="690"/>
    <n v="38"/>
    <x v="217"/>
  </r>
  <r>
    <d v="2023-07-10T00:00:00"/>
    <x v="2"/>
    <x v="5"/>
    <s v="Фрукты"/>
    <s v="Абрикосы"/>
    <n v="1320"/>
    <n v="15"/>
    <x v="4"/>
  </r>
  <r>
    <d v="2023-07-10T00:00:00"/>
    <x v="1"/>
    <x v="6"/>
    <s v="Зелень"/>
    <s v="Лук зеленый"/>
    <n v="705"/>
    <n v="46"/>
    <x v="816"/>
  </r>
  <r>
    <d v="2023-07-10T00:00:00"/>
    <x v="0"/>
    <x v="6"/>
    <s v="Зелень"/>
    <s v="Укроп"/>
    <n v="650"/>
    <n v="36"/>
    <x v="756"/>
  </r>
  <r>
    <d v="2023-07-10T00:00:00"/>
    <x v="1"/>
    <x v="6"/>
    <s v="Овощи"/>
    <s v="Кабачки"/>
    <n v="325"/>
    <n v="38"/>
    <x v="1238"/>
  </r>
  <r>
    <d v="2023-07-10T00:00:00"/>
    <x v="4"/>
    <x v="6"/>
    <s v="Овощи"/>
    <s v="Баклажаны"/>
    <n v="890"/>
    <n v="66"/>
    <x v="1239"/>
  </r>
  <r>
    <s v="10.07.2023 Итог"/>
    <x v="3"/>
    <x v="2"/>
    <m/>
    <m/>
    <m/>
    <m/>
    <x v="1240"/>
  </r>
  <r>
    <d v="2023-07-11T00:00:00"/>
    <x v="1"/>
    <x v="3"/>
    <s v="Ягоды"/>
    <s v="Малина"/>
    <n v="2970"/>
    <n v="27"/>
    <x v="576"/>
  </r>
  <r>
    <d v="2023-07-11T00:00:00"/>
    <x v="1"/>
    <x v="0"/>
    <s v="Зелень"/>
    <s v="Кинза"/>
    <n v="650"/>
    <n v="68"/>
    <x v="267"/>
  </r>
  <r>
    <d v="2023-07-11T00:00:00"/>
    <x v="4"/>
    <x v="0"/>
    <s v="Овощи"/>
    <s v="Баклажаны"/>
    <n v="890"/>
    <n v="32"/>
    <x v="426"/>
  </r>
  <r>
    <d v="2023-07-11T00:00:00"/>
    <x v="2"/>
    <x v="1"/>
    <s v="Зелень"/>
    <s v="Кинза"/>
    <n v="650"/>
    <n v="13"/>
    <x v="375"/>
  </r>
  <r>
    <d v="2023-07-11T00:00:00"/>
    <x v="0"/>
    <x v="1"/>
    <s v="Зелень"/>
    <s v="Салат римский"/>
    <n v="540"/>
    <n v="91"/>
    <x v="1015"/>
  </r>
  <r>
    <d v="2023-07-11T00:00:00"/>
    <x v="1"/>
    <x v="1"/>
    <s v="Ягоды"/>
    <s v="Черешня"/>
    <n v="1760"/>
    <n v="67"/>
    <x v="1241"/>
  </r>
  <r>
    <d v="2023-07-11T00:00:00"/>
    <x v="1"/>
    <x v="5"/>
    <s v="Зелень"/>
    <s v="Укроп"/>
    <n v="650"/>
    <n v="42"/>
    <x v="189"/>
  </r>
  <r>
    <s v="11.07.2023 Итог"/>
    <x v="3"/>
    <x v="2"/>
    <m/>
    <m/>
    <m/>
    <m/>
    <x v="1242"/>
  </r>
  <r>
    <d v="2023-07-12T00:00:00"/>
    <x v="2"/>
    <x v="3"/>
    <s v="Зелень"/>
    <s v="Кинза"/>
    <n v="650"/>
    <n v="90"/>
    <x v="226"/>
  </r>
  <r>
    <d v="2023-07-12T00:00:00"/>
    <x v="2"/>
    <x v="0"/>
    <s v="Зелень"/>
    <s v="Кинза"/>
    <n v="650"/>
    <n v="41"/>
    <x v="645"/>
  </r>
  <r>
    <d v="2023-07-12T00:00:00"/>
    <x v="0"/>
    <x v="0"/>
    <s v="Овощи"/>
    <s v="Картофель"/>
    <n v="690"/>
    <n v="51"/>
    <x v="228"/>
  </r>
  <r>
    <d v="2023-07-12T00:00:00"/>
    <x v="4"/>
    <x v="4"/>
    <s v="Ягоды"/>
    <s v="Брусника"/>
    <n v="1670"/>
    <n v="46"/>
    <x v="478"/>
  </r>
  <r>
    <d v="2023-07-12T00:00:00"/>
    <x v="1"/>
    <x v="1"/>
    <s v="Фрукты"/>
    <s v="Апельсины"/>
    <n v="2540"/>
    <n v="15"/>
    <x v="1243"/>
  </r>
  <r>
    <d v="2023-07-12T00:00:00"/>
    <x v="1"/>
    <x v="1"/>
    <s v="Ягоды"/>
    <s v="Брусника"/>
    <n v="1670"/>
    <n v="53"/>
    <x v="1244"/>
  </r>
  <r>
    <d v="2023-07-12T00:00:00"/>
    <x v="0"/>
    <x v="6"/>
    <s v="Овощи"/>
    <s v="Свекла"/>
    <n v="450"/>
    <n v="40"/>
    <x v="1245"/>
  </r>
  <r>
    <d v="2023-07-12T00:00:00"/>
    <x v="1"/>
    <x v="6"/>
    <s v="Ягоды"/>
    <s v="Малина"/>
    <n v="2970"/>
    <n v="83"/>
    <x v="1246"/>
  </r>
  <r>
    <s v="12.07.2023 Итог"/>
    <x v="3"/>
    <x v="2"/>
    <m/>
    <m/>
    <m/>
    <m/>
    <x v="1247"/>
  </r>
  <r>
    <d v="2023-07-13T00:00:00"/>
    <x v="0"/>
    <x v="3"/>
    <s v="Овощи"/>
    <s v="Баклажаны"/>
    <n v="890"/>
    <n v="74"/>
    <x v="137"/>
  </r>
  <r>
    <d v="2023-07-13T00:00:00"/>
    <x v="1"/>
    <x v="3"/>
    <s v="Овощи"/>
    <s v="Баклажаны"/>
    <n v="890"/>
    <n v="38"/>
    <x v="636"/>
  </r>
  <r>
    <d v="2023-07-13T00:00:00"/>
    <x v="2"/>
    <x v="3"/>
    <s v="Ягоды"/>
    <s v="Голубика"/>
    <n v="3205"/>
    <n v="83"/>
    <x v="1248"/>
  </r>
  <r>
    <d v="2023-07-13T00:00:00"/>
    <x v="4"/>
    <x v="5"/>
    <s v="Зелень"/>
    <s v="Петрушка"/>
    <n v="640"/>
    <n v="42"/>
    <x v="961"/>
  </r>
  <r>
    <d v="2023-07-13T00:00:00"/>
    <x v="4"/>
    <x v="5"/>
    <s v="Овощи"/>
    <s v="Капуста"/>
    <n v="460"/>
    <n v="5"/>
    <x v="1249"/>
  </r>
  <r>
    <d v="2023-07-13T00:00:00"/>
    <x v="4"/>
    <x v="5"/>
    <s v="Ягоды"/>
    <s v="Смородина черная"/>
    <n v="1505"/>
    <n v="22"/>
    <x v="1250"/>
  </r>
  <r>
    <d v="2023-07-13T00:00:00"/>
    <x v="4"/>
    <x v="6"/>
    <s v="Овощи"/>
    <s v="Кабачки"/>
    <n v="325"/>
    <n v="72"/>
    <x v="756"/>
  </r>
  <r>
    <s v="13.07.2023 Итог"/>
    <x v="3"/>
    <x v="2"/>
    <m/>
    <m/>
    <m/>
    <m/>
    <x v="1251"/>
  </r>
  <r>
    <d v="2023-07-14T00:00:00"/>
    <x v="2"/>
    <x v="3"/>
    <s v="Зелень"/>
    <s v="Лук зеленый"/>
    <n v="705"/>
    <n v="86"/>
    <x v="586"/>
  </r>
  <r>
    <d v="2023-07-14T00:00:00"/>
    <x v="1"/>
    <x v="3"/>
    <s v="Овощи"/>
    <s v="Кабачки"/>
    <n v="325"/>
    <n v="35"/>
    <x v="1092"/>
  </r>
  <r>
    <d v="2023-07-14T00:00:00"/>
    <x v="1"/>
    <x v="3"/>
    <s v="Ягоды"/>
    <s v="Клубника"/>
    <n v="2460"/>
    <n v="67"/>
    <x v="34"/>
  </r>
  <r>
    <d v="2023-07-14T00:00:00"/>
    <x v="4"/>
    <x v="0"/>
    <s v="Ягоды"/>
    <s v="Клубника"/>
    <n v="2460"/>
    <n v="59"/>
    <x v="1252"/>
  </r>
  <r>
    <d v="2023-07-14T00:00:00"/>
    <x v="1"/>
    <x v="4"/>
    <s v="Зелень"/>
    <s v="Лук зеленый"/>
    <n v="705"/>
    <n v="83"/>
    <x v="1221"/>
  </r>
  <r>
    <d v="2023-07-14T00:00:00"/>
    <x v="4"/>
    <x v="4"/>
    <s v="Зелень"/>
    <s v="Кинза"/>
    <n v="650"/>
    <n v="74"/>
    <x v="1253"/>
  </r>
  <r>
    <d v="2023-07-14T00:00:00"/>
    <x v="0"/>
    <x v="1"/>
    <s v="Зелень"/>
    <s v="Петрушка"/>
    <n v="640"/>
    <n v="65"/>
    <x v="15"/>
  </r>
  <r>
    <d v="2023-07-14T00:00:00"/>
    <x v="1"/>
    <x v="1"/>
    <s v="Овощи"/>
    <s v="Баклажаны"/>
    <n v="890"/>
    <n v="64"/>
    <x v="880"/>
  </r>
  <r>
    <d v="2023-07-14T00:00:00"/>
    <x v="0"/>
    <x v="5"/>
    <s v="Зелень"/>
    <s v="Кинза"/>
    <n v="650"/>
    <n v="29"/>
    <x v="46"/>
  </r>
  <r>
    <d v="2023-07-14T00:00:00"/>
    <x v="4"/>
    <x v="6"/>
    <s v="Овощи"/>
    <s v="Баклажаны"/>
    <n v="890"/>
    <n v="93"/>
    <x v="729"/>
  </r>
  <r>
    <d v="2023-07-14T00:00:00"/>
    <x v="0"/>
    <x v="6"/>
    <s v="Овощи"/>
    <s v="Свекла"/>
    <n v="450"/>
    <n v="53"/>
    <x v="1254"/>
  </r>
  <r>
    <d v="2023-07-14T00:00:00"/>
    <x v="4"/>
    <x v="6"/>
    <s v="Ягоды"/>
    <s v="Малина"/>
    <n v="2970"/>
    <n v="72"/>
    <x v="492"/>
  </r>
  <r>
    <s v="14.07.2023 Итог"/>
    <x v="3"/>
    <x v="2"/>
    <m/>
    <m/>
    <m/>
    <m/>
    <x v="1255"/>
  </r>
  <r>
    <d v="2023-07-15T00:00:00"/>
    <x v="1"/>
    <x v="3"/>
    <s v="Ягоды"/>
    <s v="Черешня"/>
    <n v="1760"/>
    <n v="33"/>
    <x v="660"/>
  </r>
  <r>
    <d v="2023-07-15T00:00:00"/>
    <x v="4"/>
    <x v="4"/>
    <s v="Зелень"/>
    <s v="Укроп"/>
    <n v="650"/>
    <n v="44"/>
    <x v="853"/>
  </r>
  <r>
    <d v="2023-07-15T00:00:00"/>
    <x v="0"/>
    <x v="1"/>
    <s v="Овощи"/>
    <s v="Картофель"/>
    <n v="690"/>
    <n v="33"/>
    <x v="1256"/>
  </r>
  <r>
    <d v="2023-07-15T00:00:00"/>
    <x v="1"/>
    <x v="1"/>
    <s v="Фрукты"/>
    <s v="Яблоки"/>
    <n v="1230"/>
    <n v="51"/>
    <x v="1257"/>
  </r>
  <r>
    <d v="2023-07-15T00:00:00"/>
    <x v="2"/>
    <x v="5"/>
    <s v="Зелень"/>
    <s v="Укроп"/>
    <n v="650"/>
    <n v="34"/>
    <x v="199"/>
  </r>
  <r>
    <d v="2023-07-15T00:00:00"/>
    <x v="0"/>
    <x v="5"/>
    <s v="Ягоды"/>
    <s v="Черешня"/>
    <n v="1760"/>
    <n v="57"/>
    <x v="759"/>
  </r>
  <r>
    <d v="2023-07-15T00:00:00"/>
    <x v="1"/>
    <x v="6"/>
    <s v="Зелень"/>
    <s v="Лук зеленый"/>
    <n v="705"/>
    <n v="38"/>
    <x v="1258"/>
  </r>
  <r>
    <d v="2023-07-15T00:00:00"/>
    <x v="2"/>
    <x v="6"/>
    <s v="Фрукты"/>
    <s v="Бананы"/>
    <n v="2400"/>
    <n v="10"/>
    <x v="1259"/>
  </r>
  <r>
    <s v="15.07.2023 Итог"/>
    <x v="3"/>
    <x v="2"/>
    <m/>
    <m/>
    <m/>
    <m/>
    <x v="1260"/>
  </r>
  <r>
    <d v="2023-07-16T00:00:00"/>
    <x v="2"/>
    <x v="3"/>
    <s v="Зелень"/>
    <s v="Укроп"/>
    <n v="650"/>
    <n v="7"/>
    <x v="928"/>
  </r>
  <r>
    <d v="2023-07-16T00:00:00"/>
    <x v="1"/>
    <x v="3"/>
    <s v="Овощи"/>
    <s v="Баклажаны"/>
    <n v="890"/>
    <n v="19"/>
    <x v="1261"/>
  </r>
  <r>
    <d v="2023-07-16T00:00:00"/>
    <x v="4"/>
    <x v="3"/>
    <s v="Ягоды"/>
    <s v="Черешня"/>
    <n v="1760"/>
    <n v="6"/>
    <x v="1171"/>
  </r>
  <r>
    <d v="2023-07-16T00:00:00"/>
    <x v="4"/>
    <x v="0"/>
    <s v="Зелень"/>
    <s v="Лук зеленый"/>
    <n v="705"/>
    <n v="6"/>
    <x v="1118"/>
  </r>
  <r>
    <d v="2023-07-16T00:00:00"/>
    <x v="4"/>
    <x v="0"/>
    <s v="Овощи"/>
    <s v="Морковь"/>
    <n v="715"/>
    <n v="13"/>
    <x v="1070"/>
  </r>
  <r>
    <d v="2023-07-16T00:00:00"/>
    <x v="1"/>
    <x v="4"/>
    <s v="Зелень"/>
    <s v="Лук зеленый"/>
    <n v="705"/>
    <n v="14"/>
    <x v="1207"/>
  </r>
  <r>
    <d v="2023-07-16T00:00:00"/>
    <x v="1"/>
    <x v="4"/>
    <s v="Овощи"/>
    <s v="Баклажаны"/>
    <n v="890"/>
    <n v="44"/>
    <x v="1195"/>
  </r>
  <r>
    <d v="2023-07-16T00:00:00"/>
    <x v="0"/>
    <x v="1"/>
    <s v="Фрукты"/>
    <s v="Груши"/>
    <n v="1420"/>
    <n v="34"/>
    <x v="1262"/>
  </r>
  <r>
    <d v="2023-07-16T00:00:00"/>
    <x v="1"/>
    <x v="5"/>
    <s v="Зелень"/>
    <s v="Петрушка"/>
    <n v="640"/>
    <n v="85"/>
    <x v="946"/>
  </r>
  <r>
    <d v="2023-07-16T00:00:00"/>
    <x v="1"/>
    <x v="5"/>
    <s v="Овощи"/>
    <s v="Кабачки"/>
    <n v="325"/>
    <n v="89"/>
    <x v="266"/>
  </r>
  <r>
    <d v="2023-07-16T00:00:00"/>
    <x v="2"/>
    <x v="5"/>
    <s v="Ягоды"/>
    <s v="Смородина черная"/>
    <n v="1505"/>
    <n v="53"/>
    <x v="235"/>
  </r>
  <r>
    <d v="2023-07-16T00:00:00"/>
    <x v="4"/>
    <x v="6"/>
    <s v="Зелень"/>
    <s v="Петрушка"/>
    <n v="640"/>
    <n v="66"/>
    <x v="11"/>
  </r>
  <r>
    <d v="2023-07-16T00:00:00"/>
    <x v="2"/>
    <x v="6"/>
    <s v="Ягоды"/>
    <s v="Смородина черная"/>
    <n v="1505"/>
    <n v="41"/>
    <x v="1089"/>
  </r>
  <r>
    <s v="16.07.2023 Итог"/>
    <x v="3"/>
    <x v="2"/>
    <m/>
    <m/>
    <m/>
    <m/>
    <x v="1263"/>
  </r>
  <r>
    <d v="2023-07-17T00:00:00"/>
    <x v="4"/>
    <x v="3"/>
    <s v="Зелень"/>
    <s v="Салат айсберг"/>
    <n v="1380"/>
    <n v="72"/>
    <x v="1264"/>
  </r>
  <r>
    <d v="2023-07-17T00:00:00"/>
    <x v="4"/>
    <x v="0"/>
    <s v="Ягоды"/>
    <s v="Черешня"/>
    <n v="1760"/>
    <n v="39"/>
    <x v="1265"/>
  </r>
  <r>
    <d v="2023-07-17T00:00:00"/>
    <x v="1"/>
    <x v="4"/>
    <s v="Зелень"/>
    <s v="Салат айсберг"/>
    <n v="1380"/>
    <n v="61"/>
    <x v="390"/>
  </r>
  <r>
    <d v="2023-07-17T00:00:00"/>
    <x v="2"/>
    <x v="4"/>
    <s v="Зелень"/>
    <s v="Салат айсберг"/>
    <n v="1380"/>
    <n v="55"/>
    <x v="1266"/>
  </r>
  <r>
    <d v="2023-07-17T00:00:00"/>
    <x v="1"/>
    <x v="4"/>
    <s v="Овощи"/>
    <s v="Капуста"/>
    <n v="460"/>
    <n v="78"/>
    <x v="690"/>
  </r>
  <r>
    <d v="2023-07-17T00:00:00"/>
    <x v="1"/>
    <x v="4"/>
    <s v="Фрукты"/>
    <s v="Сливы"/>
    <n v="930"/>
    <n v="87"/>
    <x v="1267"/>
  </r>
  <r>
    <d v="2023-07-17T00:00:00"/>
    <x v="0"/>
    <x v="4"/>
    <s v="Фрукты"/>
    <s v="Апельсины"/>
    <n v="2540"/>
    <n v="69"/>
    <x v="1268"/>
  </r>
  <r>
    <d v="2023-07-17T00:00:00"/>
    <x v="1"/>
    <x v="1"/>
    <s v="Овощи"/>
    <s v="Морковь"/>
    <n v="715"/>
    <n v="97"/>
    <x v="1269"/>
  </r>
  <r>
    <d v="2023-07-17T00:00:00"/>
    <x v="2"/>
    <x v="1"/>
    <s v="Фрукты"/>
    <s v="Груши"/>
    <n v="1420"/>
    <n v="44"/>
    <x v="1270"/>
  </r>
  <r>
    <d v="2023-07-17T00:00:00"/>
    <x v="4"/>
    <x v="1"/>
    <s v="Фрукты"/>
    <s v="Яблоки"/>
    <n v="1230"/>
    <n v="48"/>
    <x v="1271"/>
  </r>
  <r>
    <d v="2023-07-17T00:00:00"/>
    <x v="4"/>
    <x v="1"/>
    <s v="Ягоды"/>
    <s v="Черешня"/>
    <n v="1760"/>
    <n v="14"/>
    <x v="1272"/>
  </r>
  <r>
    <d v="2023-07-17T00:00:00"/>
    <x v="0"/>
    <x v="5"/>
    <s v="Овощи"/>
    <s v="Морковь"/>
    <n v="715"/>
    <n v="76"/>
    <x v="1273"/>
  </r>
  <r>
    <d v="2023-07-17T00:00:00"/>
    <x v="4"/>
    <x v="6"/>
    <s v="Овощи"/>
    <s v="Свекла"/>
    <n v="450"/>
    <n v="27"/>
    <x v="664"/>
  </r>
  <r>
    <s v="17.07.2023 Итог"/>
    <x v="3"/>
    <x v="2"/>
    <m/>
    <m/>
    <m/>
    <m/>
    <x v="1274"/>
  </r>
  <r>
    <d v="2023-07-18T00:00:00"/>
    <x v="0"/>
    <x v="3"/>
    <s v="Зелень"/>
    <s v="Салат айсберг"/>
    <n v="1380"/>
    <n v="46"/>
    <x v="1275"/>
  </r>
  <r>
    <d v="2023-07-18T00:00:00"/>
    <x v="1"/>
    <x v="3"/>
    <s v="Фрукты"/>
    <s v="Груши"/>
    <n v="1420"/>
    <n v="44"/>
    <x v="1270"/>
  </r>
  <r>
    <d v="2023-07-18T00:00:00"/>
    <x v="0"/>
    <x v="0"/>
    <s v="Ягоды"/>
    <s v="Клубника"/>
    <n v="2460"/>
    <n v="78"/>
    <x v="380"/>
  </r>
  <r>
    <d v="2023-07-18T00:00:00"/>
    <x v="2"/>
    <x v="0"/>
    <s v="Ягоды"/>
    <s v="Малина"/>
    <n v="2970"/>
    <n v="26"/>
    <x v="892"/>
  </r>
  <r>
    <d v="2023-07-18T00:00:00"/>
    <x v="1"/>
    <x v="4"/>
    <s v="Фрукты"/>
    <s v="Абрикосы"/>
    <n v="1320"/>
    <n v="88"/>
    <x v="1276"/>
  </r>
  <r>
    <d v="2023-07-18T00:00:00"/>
    <x v="0"/>
    <x v="4"/>
    <s v="Ягоды"/>
    <s v="Клубника"/>
    <n v="2460"/>
    <n v="41"/>
    <x v="831"/>
  </r>
  <r>
    <d v="2023-07-18T00:00:00"/>
    <x v="4"/>
    <x v="1"/>
    <s v="Зелень"/>
    <s v="Кинза"/>
    <n v="650"/>
    <n v="74"/>
    <x v="1253"/>
  </r>
  <r>
    <d v="2023-07-18T00:00:00"/>
    <x v="4"/>
    <x v="1"/>
    <s v="Зелень"/>
    <s v="Кинза"/>
    <n v="650"/>
    <n v="75"/>
    <x v="359"/>
  </r>
  <r>
    <d v="2023-07-18T00:00:00"/>
    <x v="0"/>
    <x v="6"/>
    <s v="Ягоды"/>
    <s v="Смородина черная"/>
    <n v="1505"/>
    <n v="100"/>
    <x v="920"/>
  </r>
  <r>
    <d v="2023-07-18T00:00:00"/>
    <x v="0"/>
    <x v="6"/>
    <s v="Ягоды"/>
    <s v="Малина"/>
    <n v="2970"/>
    <n v="47"/>
    <x v="1129"/>
  </r>
  <r>
    <d v="2023-07-18T00:00:00"/>
    <x v="1"/>
    <x v="6"/>
    <s v="Ягоды"/>
    <s v="Голубика"/>
    <n v="3205"/>
    <n v="76"/>
    <x v="489"/>
  </r>
  <r>
    <s v="18.07.2023 Итог"/>
    <x v="3"/>
    <x v="2"/>
    <m/>
    <m/>
    <m/>
    <m/>
    <x v="1277"/>
  </r>
  <r>
    <d v="2023-07-19T00:00:00"/>
    <x v="4"/>
    <x v="3"/>
    <s v="Овощи"/>
    <s v="Картофель"/>
    <n v="690"/>
    <n v="57"/>
    <x v="1278"/>
  </r>
  <r>
    <d v="2023-07-19T00:00:00"/>
    <x v="1"/>
    <x v="3"/>
    <s v="Овощи"/>
    <s v="Баклажаны"/>
    <n v="890"/>
    <n v="82"/>
    <x v="1279"/>
  </r>
  <r>
    <d v="2023-07-19T00:00:00"/>
    <x v="0"/>
    <x v="3"/>
    <s v="Фрукты"/>
    <s v="Яблоки"/>
    <n v="1230"/>
    <n v="92"/>
    <x v="1094"/>
  </r>
  <r>
    <d v="2023-07-19T00:00:00"/>
    <x v="1"/>
    <x v="3"/>
    <s v="Фрукты"/>
    <s v="Сливы"/>
    <n v="930"/>
    <n v="80"/>
    <x v="575"/>
  </r>
  <r>
    <d v="2023-07-19T00:00:00"/>
    <x v="1"/>
    <x v="0"/>
    <s v="Фрукты"/>
    <s v="Абрикосы"/>
    <n v="1320"/>
    <n v="70"/>
    <x v="918"/>
  </r>
  <r>
    <d v="2023-07-19T00:00:00"/>
    <x v="4"/>
    <x v="4"/>
    <s v="Зелень"/>
    <s v="Кинза"/>
    <n v="650"/>
    <n v="48"/>
    <x v="447"/>
  </r>
  <r>
    <d v="2023-07-19T00:00:00"/>
    <x v="2"/>
    <x v="4"/>
    <s v="Ягоды"/>
    <s v="Голубика"/>
    <n v="3205"/>
    <n v="70"/>
    <x v="1085"/>
  </r>
  <r>
    <d v="2023-07-19T00:00:00"/>
    <x v="2"/>
    <x v="4"/>
    <s v="Ягоды"/>
    <s v="Черешня"/>
    <n v="1760"/>
    <n v="29"/>
    <x v="1280"/>
  </r>
  <r>
    <d v="2023-07-19T00:00:00"/>
    <x v="2"/>
    <x v="1"/>
    <s v="Овощи"/>
    <s v="Капуста"/>
    <n v="460"/>
    <n v="96"/>
    <x v="797"/>
  </r>
  <r>
    <d v="2023-07-19T00:00:00"/>
    <x v="0"/>
    <x v="1"/>
    <s v="Фрукты"/>
    <s v="Бананы"/>
    <n v="2400"/>
    <n v="96"/>
    <x v="1281"/>
  </r>
  <r>
    <d v="2023-07-19T00:00:00"/>
    <x v="4"/>
    <x v="5"/>
    <s v="Овощи"/>
    <s v="Свекла"/>
    <n v="450"/>
    <n v="7"/>
    <x v="1078"/>
  </r>
  <r>
    <d v="2023-07-19T00:00:00"/>
    <x v="1"/>
    <x v="6"/>
    <s v="Фрукты"/>
    <s v="Бананы"/>
    <n v="2400"/>
    <n v="32"/>
    <x v="1282"/>
  </r>
  <r>
    <s v="19.07.2023 Итог"/>
    <x v="3"/>
    <x v="2"/>
    <m/>
    <m/>
    <m/>
    <m/>
    <x v="1283"/>
  </r>
  <r>
    <d v="2023-07-20T00:00:00"/>
    <x v="4"/>
    <x v="3"/>
    <s v="Зелень"/>
    <s v="Лук зеленый"/>
    <n v="705"/>
    <n v="26"/>
    <x v="1048"/>
  </r>
  <r>
    <d v="2023-07-20T00:00:00"/>
    <x v="4"/>
    <x v="3"/>
    <s v="Овощи"/>
    <s v="Картофель"/>
    <n v="690"/>
    <n v="21"/>
    <x v="1284"/>
  </r>
  <r>
    <d v="2023-07-20T00:00:00"/>
    <x v="4"/>
    <x v="3"/>
    <s v="Фрукты"/>
    <s v="Бананы"/>
    <n v="2400"/>
    <n v="83"/>
    <x v="1285"/>
  </r>
  <r>
    <d v="2023-07-20T00:00:00"/>
    <x v="0"/>
    <x v="3"/>
    <s v="Ягоды"/>
    <s v="Голубика"/>
    <n v="3205"/>
    <n v="55"/>
    <x v="1286"/>
  </r>
  <r>
    <d v="2023-07-20T00:00:00"/>
    <x v="0"/>
    <x v="0"/>
    <s v="Овощи"/>
    <s v="Кабачки"/>
    <n v="325"/>
    <n v="85"/>
    <x v="762"/>
  </r>
  <r>
    <d v="2023-07-20T00:00:00"/>
    <x v="0"/>
    <x v="1"/>
    <s v="Фрукты"/>
    <s v="Сливы"/>
    <n v="930"/>
    <n v="40"/>
    <x v="372"/>
  </r>
  <r>
    <d v="2023-07-20T00:00:00"/>
    <x v="1"/>
    <x v="1"/>
    <s v="Фрукты"/>
    <s v="Бананы"/>
    <n v="2400"/>
    <n v="94"/>
    <x v="1287"/>
  </r>
  <r>
    <d v="2023-07-20T00:00:00"/>
    <x v="1"/>
    <x v="5"/>
    <s v="Овощи"/>
    <s v="Баклажаны"/>
    <n v="890"/>
    <n v="100"/>
    <x v="604"/>
  </r>
  <r>
    <d v="2023-07-20T00:00:00"/>
    <x v="0"/>
    <x v="6"/>
    <s v="Зелень"/>
    <s v="Салат римский"/>
    <n v="540"/>
    <n v="53"/>
    <x v="1288"/>
  </r>
  <r>
    <d v="2023-07-20T00:00:00"/>
    <x v="1"/>
    <x v="6"/>
    <s v="Зелень"/>
    <s v="Лук зеленый"/>
    <n v="705"/>
    <n v="29"/>
    <x v="799"/>
  </r>
  <r>
    <d v="2023-07-20T00:00:00"/>
    <x v="4"/>
    <x v="6"/>
    <s v="Фрукты"/>
    <s v="Абрикосы"/>
    <n v="1320"/>
    <n v="42"/>
    <x v="1140"/>
  </r>
  <r>
    <d v="2023-07-20T00:00:00"/>
    <x v="2"/>
    <x v="6"/>
    <s v="Ягоды"/>
    <s v="Брусника"/>
    <n v="1670"/>
    <n v="76"/>
    <x v="933"/>
  </r>
  <r>
    <s v="20.07.2023 Итог"/>
    <x v="3"/>
    <x v="2"/>
    <m/>
    <m/>
    <m/>
    <m/>
    <x v="1289"/>
  </r>
  <r>
    <d v="2023-07-21T00:00:00"/>
    <x v="1"/>
    <x v="3"/>
    <s v="Овощи"/>
    <s v="Баклажаны"/>
    <n v="890"/>
    <n v="28"/>
    <x v="546"/>
  </r>
  <r>
    <d v="2023-07-21T00:00:00"/>
    <x v="1"/>
    <x v="3"/>
    <s v="Ягоды"/>
    <s v="Смородина черная"/>
    <n v="1505"/>
    <n v="75"/>
    <x v="592"/>
  </r>
  <r>
    <d v="2023-07-21T00:00:00"/>
    <x v="1"/>
    <x v="0"/>
    <s v="Овощи"/>
    <s v="Кабачки"/>
    <n v="325"/>
    <n v="71"/>
    <x v="1290"/>
  </r>
  <r>
    <d v="2023-07-21T00:00:00"/>
    <x v="0"/>
    <x v="4"/>
    <s v="Овощи"/>
    <s v="Баклажаны"/>
    <n v="890"/>
    <n v="26"/>
    <x v="29"/>
  </r>
  <r>
    <d v="2023-07-21T00:00:00"/>
    <x v="2"/>
    <x v="4"/>
    <s v="Ягоды"/>
    <s v="Брусника"/>
    <n v="1670"/>
    <n v="82"/>
    <x v="1291"/>
  </r>
  <r>
    <d v="2023-07-21T00:00:00"/>
    <x v="4"/>
    <x v="4"/>
    <s v="Ягоды"/>
    <s v="Клубника"/>
    <n v="2460"/>
    <n v="74"/>
    <x v="1292"/>
  </r>
  <r>
    <d v="2023-07-21T00:00:00"/>
    <x v="1"/>
    <x v="1"/>
    <s v="Овощи"/>
    <s v="Картофель"/>
    <n v="690"/>
    <n v="66"/>
    <x v="744"/>
  </r>
  <r>
    <d v="2023-07-21T00:00:00"/>
    <x v="0"/>
    <x v="1"/>
    <s v="Ягоды"/>
    <s v="Малина"/>
    <n v="2970"/>
    <n v="68"/>
    <x v="1036"/>
  </r>
  <r>
    <d v="2023-07-21T00:00:00"/>
    <x v="1"/>
    <x v="5"/>
    <s v="Зелень"/>
    <s v="Салат римский"/>
    <n v="540"/>
    <n v="23"/>
    <x v="1216"/>
  </r>
  <r>
    <d v="2023-07-21T00:00:00"/>
    <x v="2"/>
    <x v="5"/>
    <s v="Овощи"/>
    <s v="Свекла"/>
    <n v="450"/>
    <n v="62"/>
    <x v="1046"/>
  </r>
  <r>
    <d v="2023-07-21T00:00:00"/>
    <x v="1"/>
    <x v="5"/>
    <s v="Фрукты"/>
    <s v="Абрикосы"/>
    <n v="1320"/>
    <n v="27"/>
    <x v="577"/>
  </r>
  <r>
    <d v="2023-07-21T00:00:00"/>
    <x v="0"/>
    <x v="5"/>
    <s v="Ягоды"/>
    <s v="Смородина черная"/>
    <n v="1505"/>
    <n v="67"/>
    <x v="1065"/>
  </r>
  <r>
    <d v="2023-07-21T00:00:00"/>
    <x v="2"/>
    <x v="6"/>
    <s v="Зелень"/>
    <s v="Кинза"/>
    <n v="650"/>
    <n v="51"/>
    <x v="516"/>
  </r>
  <r>
    <s v="21.07.2023 Итог"/>
    <x v="3"/>
    <x v="2"/>
    <m/>
    <m/>
    <m/>
    <m/>
    <x v="1293"/>
  </r>
  <r>
    <d v="2023-07-22T00:00:00"/>
    <x v="0"/>
    <x v="3"/>
    <s v="Зелень"/>
    <s v="Салат айсберг"/>
    <n v="1380"/>
    <n v="32"/>
    <x v="797"/>
  </r>
  <r>
    <d v="2023-07-22T00:00:00"/>
    <x v="0"/>
    <x v="3"/>
    <s v="Ягоды"/>
    <s v="Малина"/>
    <n v="2970"/>
    <n v="95"/>
    <x v="1189"/>
  </r>
  <r>
    <d v="2023-07-22T00:00:00"/>
    <x v="1"/>
    <x v="0"/>
    <s v="Зелень"/>
    <s v="Петрушка"/>
    <n v="640"/>
    <n v="56"/>
    <x v="1294"/>
  </r>
  <r>
    <d v="2023-07-22T00:00:00"/>
    <x v="0"/>
    <x v="0"/>
    <s v="Зелень"/>
    <s v="Салат римский"/>
    <n v="540"/>
    <n v="58"/>
    <x v="1295"/>
  </r>
  <r>
    <d v="2023-07-22T00:00:00"/>
    <x v="4"/>
    <x v="0"/>
    <s v="Фрукты"/>
    <s v="Бананы"/>
    <n v="2400"/>
    <n v="17"/>
    <x v="1196"/>
  </r>
  <r>
    <d v="2023-07-22T00:00:00"/>
    <x v="2"/>
    <x v="1"/>
    <s v="Фрукты"/>
    <s v="Апельсины"/>
    <n v="2540"/>
    <n v="66"/>
    <x v="1296"/>
  </r>
  <r>
    <d v="2023-07-22T00:00:00"/>
    <x v="1"/>
    <x v="5"/>
    <s v="Овощи"/>
    <s v="Капуста"/>
    <n v="460"/>
    <n v="21"/>
    <x v="75"/>
  </r>
  <r>
    <d v="2023-07-22T00:00:00"/>
    <x v="2"/>
    <x v="5"/>
    <s v="Овощи"/>
    <s v="Картофель"/>
    <n v="690"/>
    <n v="39"/>
    <x v="1113"/>
  </r>
  <r>
    <d v="2023-07-22T00:00:00"/>
    <x v="2"/>
    <x v="6"/>
    <s v="Фрукты"/>
    <s v="Апельсины"/>
    <n v="2540"/>
    <n v="57"/>
    <x v="1002"/>
  </r>
  <r>
    <s v="22.07.2023 Итог"/>
    <x v="3"/>
    <x v="2"/>
    <m/>
    <m/>
    <m/>
    <m/>
    <x v="1297"/>
  </r>
  <r>
    <d v="2023-07-23T00:00:00"/>
    <x v="4"/>
    <x v="3"/>
    <s v="Фрукты"/>
    <s v="Бананы"/>
    <n v="2400"/>
    <n v="89"/>
    <x v="507"/>
  </r>
  <r>
    <d v="2023-07-23T00:00:00"/>
    <x v="1"/>
    <x v="3"/>
    <s v="Ягоды"/>
    <s v="Смородина черная"/>
    <n v="1505"/>
    <n v="33"/>
    <x v="1100"/>
  </r>
  <r>
    <d v="2023-07-23T00:00:00"/>
    <x v="2"/>
    <x v="4"/>
    <s v="Овощи"/>
    <s v="Капуста"/>
    <n v="460"/>
    <n v="88"/>
    <x v="539"/>
  </r>
  <r>
    <d v="2023-07-23T00:00:00"/>
    <x v="0"/>
    <x v="4"/>
    <s v="Овощи"/>
    <s v="Морковь"/>
    <n v="715"/>
    <n v="69"/>
    <x v="1298"/>
  </r>
  <r>
    <d v="2023-07-23T00:00:00"/>
    <x v="4"/>
    <x v="4"/>
    <s v="Фрукты"/>
    <s v="Яблоки"/>
    <n v="1230"/>
    <n v="90"/>
    <x v="415"/>
  </r>
  <r>
    <d v="2023-07-23T00:00:00"/>
    <x v="1"/>
    <x v="1"/>
    <s v="Зелень"/>
    <s v="Салат айсберг"/>
    <n v="1380"/>
    <n v="58"/>
    <x v="618"/>
  </r>
  <r>
    <d v="2023-07-23T00:00:00"/>
    <x v="1"/>
    <x v="1"/>
    <s v="Зелень"/>
    <s v="Салат айсберг"/>
    <n v="1380"/>
    <n v="66"/>
    <x v="1299"/>
  </r>
  <r>
    <d v="2023-07-23T00:00:00"/>
    <x v="0"/>
    <x v="1"/>
    <s v="Зелень"/>
    <s v="Кинза"/>
    <n v="650"/>
    <n v="8"/>
    <x v="672"/>
  </r>
  <r>
    <d v="2023-07-23T00:00:00"/>
    <x v="4"/>
    <x v="1"/>
    <s v="Ягоды"/>
    <s v="Голубика"/>
    <n v="3205"/>
    <n v="85"/>
    <x v="299"/>
  </r>
  <r>
    <d v="2023-07-23T00:00:00"/>
    <x v="4"/>
    <x v="5"/>
    <s v="Зелень"/>
    <s v="Кинза"/>
    <n v="650"/>
    <n v="31"/>
    <x v="306"/>
  </r>
  <r>
    <d v="2023-07-23T00:00:00"/>
    <x v="0"/>
    <x v="6"/>
    <s v="Ягоды"/>
    <s v="Малина"/>
    <n v="2970"/>
    <n v="47"/>
    <x v="1129"/>
  </r>
  <r>
    <s v="23.07.2023 Итог"/>
    <x v="3"/>
    <x v="2"/>
    <m/>
    <m/>
    <m/>
    <m/>
    <x v="1300"/>
  </r>
  <r>
    <d v="2023-07-24T00:00:00"/>
    <x v="4"/>
    <x v="3"/>
    <s v="Овощи"/>
    <s v="Картофель"/>
    <n v="690"/>
    <n v="21"/>
    <x v="1284"/>
  </r>
  <r>
    <d v="2023-07-24T00:00:00"/>
    <x v="4"/>
    <x v="3"/>
    <s v="Фрукты"/>
    <s v="Груши"/>
    <n v="1420"/>
    <n v="51"/>
    <x v="571"/>
  </r>
  <r>
    <d v="2023-07-24T00:00:00"/>
    <x v="0"/>
    <x v="3"/>
    <s v="Фрукты"/>
    <s v="Бананы"/>
    <n v="2400"/>
    <n v="40"/>
    <x v="1301"/>
  </r>
  <r>
    <d v="2023-07-24T00:00:00"/>
    <x v="2"/>
    <x v="3"/>
    <s v="Фрукты"/>
    <s v="Груши"/>
    <n v="1420"/>
    <n v="76"/>
    <x v="56"/>
  </r>
  <r>
    <d v="2023-07-24T00:00:00"/>
    <x v="2"/>
    <x v="4"/>
    <s v="Овощи"/>
    <s v="Морковь"/>
    <n v="715"/>
    <n v="7"/>
    <x v="839"/>
  </r>
  <r>
    <d v="2023-07-24T00:00:00"/>
    <x v="1"/>
    <x v="1"/>
    <s v="Зелень"/>
    <s v="Укроп"/>
    <n v="650"/>
    <n v="75"/>
    <x v="359"/>
  </r>
  <r>
    <d v="2023-07-24T00:00:00"/>
    <x v="2"/>
    <x v="1"/>
    <s v="Зелень"/>
    <s v="Салат римский"/>
    <n v="540"/>
    <n v="5"/>
    <x v="412"/>
  </r>
  <r>
    <d v="2023-07-24T00:00:00"/>
    <x v="0"/>
    <x v="1"/>
    <s v="Овощи"/>
    <s v="Свекла"/>
    <n v="450"/>
    <n v="56"/>
    <x v="715"/>
  </r>
  <r>
    <d v="2023-07-24T00:00:00"/>
    <x v="4"/>
    <x v="5"/>
    <s v="Зелень"/>
    <s v="Кинза"/>
    <n v="650"/>
    <n v="23"/>
    <x v="522"/>
  </r>
  <r>
    <d v="2023-07-24T00:00:00"/>
    <x v="4"/>
    <x v="5"/>
    <s v="Фрукты"/>
    <s v="Груши"/>
    <n v="1420"/>
    <n v="7"/>
    <x v="1302"/>
  </r>
  <r>
    <d v="2023-07-24T00:00:00"/>
    <x v="0"/>
    <x v="6"/>
    <s v="Овощи"/>
    <s v="Кабачки"/>
    <n v="325"/>
    <n v="61"/>
    <x v="1016"/>
  </r>
  <r>
    <s v="24.07.2023 Итог"/>
    <x v="3"/>
    <x v="2"/>
    <m/>
    <m/>
    <m/>
    <m/>
    <x v="1303"/>
  </r>
  <r>
    <d v="2023-07-25T00:00:00"/>
    <x v="4"/>
    <x v="3"/>
    <s v="Зелень"/>
    <s v="Петрушка"/>
    <n v="640"/>
    <n v="17"/>
    <x v="460"/>
  </r>
  <r>
    <d v="2023-07-25T00:00:00"/>
    <x v="0"/>
    <x v="3"/>
    <s v="Зелень"/>
    <s v="Лук зеленый"/>
    <n v="705"/>
    <n v="40"/>
    <x v="1121"/>
  </r>
  <r>
    <d v="2023-07-25T00:00:00"/>
    <x v="1"/>
    <x v="3"/>
    <s v="Овощи"/>
    <s v="Морковь"/>
    <n v="715"/>
    <n v="58"/>
    <x v="1304"/>
  </r>
  <r>
    <d v="2023-07-25T00:00:00"/>
    <x v="0"/>
    <x v="0"/>
    <s v="Зелень"/>
    <s v="Салат римский"/>
    <n v="540"/>
    <n v="11"/>
    <x v="53"/>
  </r>
  <r>
    <d v="2023-07-25T00:00:00"/>
    <x v="0"/>
    <x v="0"/>
    <s v="Фрукты"/>
    <s v="Апельсины"/>
    <n v="2540"/>
    <n v="21"/>
    <x v="658"/>
  </r>
  <r>
    <d v="2023-07-25T00:00:00"/>
    <x v="0"/>
    <x v="1"/>
    <s v="Овощи"/>
    <s v="Свекла"/>
    <n v="450"/>
    <n v="66"/>
    <x v="227"/>
  </r>
  <r>
    <d v="2023-07-25T00:00:00"/>
    <x v="2"/>
    <x v="1"/>
    <s v="Фрукты"/>
    <s v="Сливы"/>
    <n v="930"/>
    <n v="96"/>
    <x v="1305"/>
  </r>
  <r>
    <d v="2023-07-25T00:00:00"/>
    <x v="2"/>
    <x v="6"/>
    <s v="Овощи"/>
    <s v="Свекла"/>
    <n v="450"/>
    <n v="48"/>
    <x v="387"/>
  </r>
  <r>
    <s v="25.07.2023 Итог"/>
    <x v="3"/>
    <x v="2"/>
    <m/>
    <m/>
    <m/>
    <m/>
    <x v="1306"/>
  </r>
  <r>
    <d v="2023-07-26T00:00:00"/>
    <x v="4"/>
    <x v="3"/>
    <s v="Зелень"/>
    <s v="Петрушка"/>
    <n v="640"/>
    <n v="72"/>
    <x v="6"/>
  </r>
  <r>
    <d v="2023-07-26T00:00:00"/>
    <x v="4"/>
    <x v="3"/>
    <s v="Зелень"/>
    <s v="Салат римский"/>
    <n v="540"/>
    <n v="51"/>
    <x v="1307"/>
  </r>
  <r>
    <d v="2023-07-26T00:00:00"/>
    <x v="2"/>
    <x v="0"/>
    <s v="Овощи"/>
    <s v="Баклажаны"/>
    <n v="890"/>
    <n v="38"/>
    <x v="636"/>
  </r>
  <r>
    <d v="2023-07-26T00:00:00"/>
    <x v="0"/>
    <x v="4"/>
    <s v="Фрукты"/>
    <s v="Груши"/>
    <n v="1420"/>
    <n v="91"/>
    <x v="1308"/>
  </r>
  <r>
    <d v="2023-07-26T00:00:00"/>
    <x v="0"/>
    <x v="6"/>
    <s v="Зелень"/>
    <s v="Салат римский"/>
    <n v="540"/>
    <n v="56"/>
    <x v="1309"/>
  </r>
  <r>
    <d v="2023-07-26T00:00:00"/>
    <x v="4"/>
    <x v="6"/>
    <s v="Зелень"/>
    <s v="Салат айсберг"/>
    <n v="1380"/>
    <n v="53"/>
    <x v="734"/>
  </r>
  <r>
    <d v="2023-07-26T00:00:00"/>
    <x v="4"/>
    <x v="6"/>
    <s v="Овощи"/>
    <s v="Баклажаны"/>
    <n v="890"/>
    <n v="67"/>
    <x v="1123"/>
  </r>
  <r>
    <d v="2023-07-26T00:00:00"/>
    <x v="0"/>
    <x v="6"/>
    <s v="Ягоды"/>
    <s v="Малина"/>
    <n v="2970"/>
    <n v="29"/>
    <x v="315"/>
  </r>
  <r>
    <s v="26.07.2023 Итог"/>
    <x v="3"/>
    <x v="2"/>
    <m/>
    <m/>
    <m/>
    <m/>
    <x v="1310"/>
  </r>
  <r>
    <d v="2023-07-27T00:00:00"/>
    <x v="1"/>
    <x v="0"/>
    <s v="Фрукты"/>
    <s v="Яблоки"/>
    <n v="1230"/>
    <n v="93"/>
    <x v="1311"/>
  </r>
  <r>
    <d v="2023-07-27T00:00:00"/>
    <x v="4"/>
    <x v="1"/>
    <s v="Овощи"/>
    <s v="Баклажаны"/>
    <n v="890"/>
    <n v="26"/>
    <x v="29"/>
  </r>
  <r>
    <d v="2023-07-27T00:00:00"/>
    <x v="1"/>
    <x v="1"/>
    <s v="Фрукты"/>
    <s v="Апельсины"/>
    <n v="2540"/>
    <n v="97"/>
    <x v="1003"/>
  </r>
  <r>
    <d v="2023-07-27T00:00:00"/>
    <x v="2"/>
    <x v="1"/>
    <s v="Фрукты"/>
    <s v="Груши"/>
    <n v="1420"/>
    <n v="45"/>
    <x v="1312"/>
  </r>
  <r>
    <d v="2023-07-27T00:00:00"/>
    <x v="2"/>
    <x v="5"/>
    <s v="Зелень"/>
    <s v="Кинза"/>
    <n v="650"/>
    <n v="30"/>
    <x v="469"/>
  </r>
  <r>
    <d v="2023-07-27T00:00:00"/>
    <x v="1"/>
    <x v="6"/>
    <s v="Ягоды"/>
    <s v="Клубника"/>
    <n v="2460"/>
    <n v="84"/>
    <x v="1313"/>
  </r>
  <r>
    <s v="27.07.2023 Итог"/>
    <x v="3"/>
    <x v="2"/>
    <m/>
    <m/>
    <m/>
    <m/>
    <x v="1314"/>
  </r>
  <r>
    <d v="2023-07-28T00:00:00"/>
    <x v="0"/>
    <x v="3"/>
    <s v="Ягоды"/>
    <s v="Голубика"/>
    <n v="3205"/>
    <n v="82"/>
    <x v="231"/>
  </r>
  <r>
    <d v="2023-07-28T00:00:00"/>
    <x v="0"/>
    <x v="4"/>
    <s v="Зелень"/>
    <s v="Кинза"/>
    <n v="650"/>
    <n v="9"/>
    <x v="683"/>
  </r>
  <r>
    <d v="2023-07-28T00:00:00"/>
    <x v="4"/>
    <x v="1"/>
    <s v="Фрукты"/>
    <s v="Яблоки"/>
    <n v="1230"/>
    <n v="36"/>
    <x v="1044"/>
  </r>
  <r>
    <d v="2023-07-28T00:00:00"/>
    <x v="2"/>
    <x v="5"/>
    <s v="Зелень"/>
    <s v="Укроп"/>
    <n v="650"/>
    <n v="15"/>
    <x v="857"/>
  </r>
  <r>
    <d v="2023-07-28T00:00:00"/>
    <x v="4"/>
    <x v="5"/>
    <s v="Фрукты"/>
    <s v="Груши"/>
    <n v="1420"/>
    <n v="54"/>
    <x v="88"/>
  </r>
  <r>
    <d v="2023-07-28T00:00:00"/>
    <x v="1"/>
    <x v="6"/>
    <s v="Овощи"/>
    <s v="Капуста"/>
    <n v="460"/>
    <n v="8"/>
    <x v="1006"/>
  </r>
  <r>
    <s v="28.07.2023 Итог"/>
    <x v="3"/>
    <x v="2"/>
    <m/>
    <m/>
    <m/>
    <m/>
    <x v="1315"/>
  </r>
  <r>
    <d v="2023-07-29T00:00:00"/>
    <x v="1"/>
    <x v="3"/>
    <s v="Овощи"/>
    <s v="Картофель"/>
    <n v="690"/>
    <n v="68"/>
    <x v="180"/>
  </r>
  <r>
    <d v="2023-07-29T00:00:00"/>
    <x v="2"/>
    <x v="3"/>
    <s v="Фрукты"/>
    <s v="Апельсины"/>
    <n v="2540"/>
    <n v="81"/>
    <x v="1316"/>
  </r>
  <r>
    <d v="2023-07-29T00:00:00"/>
    <x v="1"/>
    <x v="4"/>
    <s v="Зелень"/>
    <s v="Укроп"/>
    <n v="650"/>
    <n v="84"/>
    <x v="747"/>
  </r>
  <r>
    <d v="2023-07-29T00:00:00"/>
    <x v="1"/>
    <x v="4"/>
    <s v="Фрукты"/>
    <s v="Бананы"/>
    <n v="2400"/>
    <n v="54"/>
    <x v="1317"/>
  </r>
  <r>
    <d v="2023-07-29T00:00:00"/>
    <x v="2"/>
    <x v="4"/>
    <s v="Фрукты"/>
    <s v="Яблоки"/>
    <n v="1230"/>
    <n v="27"/>
    <x v="1318"/>
  </r>
  <r>
    <d v="2023-07-29T00:00:00"/>
    <x v="0"/>
    <x v="1"/>
    <s v="Зелень"/>
    <s v="Лук зеленый"/>
    <n v="705"/>
    <n v="85"/>
    <x v="1319"/>
  </r>
  <r>
    <d v="2023-07-29T00:00:00"/>
    <x v="0"/>
    <x v="1"/>
    <s v="Ягоды"/>
    <s v="Голубика"/>
    <n v="3205"/>
    <n v="41"/>
    <x v="662"/>
  </r>
  <r>
    <d v="2023-07-29T00:00:00"/>
    <x v="1"/>
    <x v="1"/>
    <s v="Ягоды"/>
    <s v="Малина"/>
    <n v="2970"/>
    <n v="8"/>
    <x v="1117"/>
  </r>
  <r>
    <d v="2023-07-29T00:00:00"/>
    <x v="1"/>
    <x v="5"/>
    <s v="Овощи"/>
    <s v="Свекла"/>
    <n v="450"/>
    <n v="86"/>
    <x v="984"/>
  </r>
  <r>
    <s v="29.07.2023 Итог"/>
    <x v="3"/>
    <x v="2"/>
    <m/>
    <m/>
    <m/>
    <m/>
    <x v="1320"/>
  </r>
  <r>
    <d v="2023-07-30T00:00:00"/>
    <x v="0"/>
    <x v="3"/>
    <s v="Овощи"/>
    <s v="Кабачки"/>
    <n v="325"/>
    <n v="99"/>
    <x v="807"/>
  </r>
  <r>
    <d v="2023-07-30T00:00:00"/>
    <x v="0"/>
    <x v="0"/>
    <s v="Фрукты"/>
    <s v="Бананы"/>
    <n v="2400"/>
    <n v="91"/>
    <x v="113"/>
  </r>
  <r>
    <d v="2023-07-30T00:00:00"/>
    <x v="2"/>
    <x v="0"/>
    <s v="Ягоды"/>
    <s v="Смородина черная"/>
    <n v="1505"/>
    <n v="86"/>
    <x v="1321"/>
  </r>
  <r>
    <d v="2023-07-30T00:00:00"/>
    <x v="2"/>
    <x v="4"/>
    <s v="Зелень"/>
    <s v="Лук зеленый"/>
    <n v="705"/>
    <n v="25"/>
    <x v="1000"/>
  </r>
  <r>
    <d v="2023-07-30T00:00:00"/>
    <x v="0"/>
    <x v="4"/>
    <s v="Овощи"/>
    <s v="Баклажаны"/>
    <n v="890"/>
    <n v="63"/>
    <x v="1322"/>
  </r>
  <r>
    <d v="2023-07-30T00:00:00"/>
    <x v="1"/>
    <x v="1"/>
    <s v="Овощи"/>
    <s v="Кабачки"/>
    <n v="325"/>
    <n v="18"/>
    <x v="683"/>
  </r>
  <r>
    <d v="2023-07-30T00:00:00"/>
    <x v="0"/>
    <x v="1"/>
    <s v="Овощи"/>
    <s v="Свекла"/>
    <n v="450"/>
    <n v="56"/>
    <x v="715"/>
  </r>
  <r>
    <d v="2023-07-30T00:00:00"/>
    <x v="0"/>
    <x v="1"/>
    <s v="Фрукты"/>
    <s v="Сливы"/>
    <n v="930"/>
    <n v="30"/>
    <x v="1046"/>
  </r>
  <r>
    <d v="2023-07-30T00:00:00"/>
    <x v="0"/>
    <x v="1"/>
    <s v="Ягоды"/>
    <s v="Черешня"/>
    <n v="1760"/>
    <n v="25"/>
    <x v="1323"/>
  </r>
  <r>
    <d v="2023-07-30T00:00:00"/>
    <x v="4"/>
    <x v="5"/>
    <s v="Овощи"/>
    <s v="Кабачки"/>
    <n v="325"/>
    <n v="26"/>
    <x v="375"/>
  </r>
  <r>
    <d v="2023-07-30T00:00:00"/>
    <x v="4"/>
    <x v="6"/>
    <s v="Ягоды"/>
    <s v="Клубника"/>
    <n v="2460"/>
    <n v="22"/>
    <x v="142"/>
  </r>
  <r>
    <s v="30.07.2023 Итог"/>
    <x v="3"/>
    <x v="2"/>
    <m/>
    <m/>
    <m/>
    <m/>
    <x v="1324"/>
  </r>
  <r>
    <d v="2023-07-31T00:00:00"/>
    <x v="0"/>
    <x v="3"/>
    <s v="Зелень"/>
    <s v="Укроп"/>
    <n v="650"/>
    <n v="33"/>
    <x v="360"/>
  </r>
  <r>
    <d v="2023-07-31T00:00:00"/>
    <x v="1"/>
    <x v="3"/>
    <s v="Овощи"/>
    <s v="Кабачки"/>
    <n v="325"/>
    <n v="31"/>
    <x v="558"/>
  </r>
  <r>
    <d v="2023-07-31T00:00:00"/>
    <x v="1"/>
    <x v="3"/>
    <s v="Фрукты"/>
    <s v="Груши"/>
    <n v="1420"/>
    <n v="19"/>
    <x v="951"/>
  </r>
  <r>
    <d v="2023-07-31T00:00:00"/>
    <x v="0"/>
    <x v="4"/>
    <s v="Фрукты"/>
    <s v="Груши"/>
    <n v="1420"/>
    <n v="40"/>
    <x v="963"/>
  </r>
  <r>
    <d v="2023-07-31T00:00:00"/>
    <x v="4"/>
    <x v="5"/>
    <s v="Овощи"/>
    <s v="Капуста"/>
    <n v="460"/>
    <n v="36"/>
    <x v="160"/>
  </r>
  <r>
    <s v="31.07.2023 Итог"/>
    <x v="3"/>
    <x v="2"/>
    <m/>
    <m/>
    <m/>
    <m/>
    <x v="1325"/>
  </r>
  <r>
    <d v="2023-08-01T00:00:00"/>
    <x v="0"/>
    <x v="3"/>
    <s v="Овощи"/>
    <s v="Капуста"/>
    <n v="460"/>
    <n v="70"/>
    <x v="1326"/>
  </r>
  <r>
    <d v="2023-08-01T00:00:00"/>
    <x v="2"/>
    <x v="3"/>
    <s v="Фрукты"/>
    <s v="Яблоки"/>
    <n v="1230"/>
    <n v="94"/>
    <x v="732"/>
  </r>
  <r>
    <d v="2023-08-01T00:00:00"/>
    <x v="2"/>
    <x v="4"/>
    <s v="Ягоды"/>
    <s v="Брусника"/>
    <n v="1670"/>
    <n v="73"/>
    <x v="1327"/>
  </r>
  <r>
    <d v="2023-08-01T00:00:00"/>
    <x v="0"/>
    <x v="1"/>
    <s v="Фрукты"/>
    <s v="Апельсины"/>
    <n v="2540"/>
    <n v="92"/>
    <x v="1328"/>
  </r>
  <r>
    <d v="2023-08-01T00:00:00"/>
    <x v="2"/>
    <x v="1"/>
    <s v="Ягоды"/>
    <s v="Голубика"/>
    <n v="3205"/>
    <n v="57"/>
    <x v="1080"/>
  </r>
  <r>
    <d v="2023-08-01T00:00:00"/>
    <x v="2"/>
    <x v="5"/>
    <s v="Зелень"/>
    <s v="Укроп"/>
    <n v="650"/>
    <n v="31"/>
    <x v="306"/>
  </r>
  <r>
    <d v="2023-08-01T00:00:00"/>
    <x v="2"/>
    <x v="5"/>
    <s v="Фрукты"/>
    <s v="Сливы"/>
    <n v="930"/>
    <n v="47"/>
    <x v="713"/>
  </r>
  <r>
    <d v="2023-08-01T00:00:00"/>
    <x v="4"/>
    <x v="5"/>
    <s v="Фрукты"/>
    <s v="Яблоки"/>
    <n v="1230"/>
    <n v="17"/>
    <x v="1329"/>
  </r>
  <r>
    <d v="2023-08-01T00:00:00"/>
    <x v="4"/>
    <x v="6"/>
    <s v="Овощи"/>
    <s v="Кабачки"/>
    <n v="325"/>
    <n v="15"/>
    <x v="1330"/>
  </r>
  <r>
    <s v="01.08.2023 Итог"/>
    <x v="3"/>
    <x v="2"/>
    <m/>
    <m/>
    <m/>
    <m/>
    <x v="1331"/>
  </r>
  <r>
    <d v="2023-08-02T00:00:00"/>
    <x v="0"/>
    <x v="3"/>
    <s v="Зелень"/>
    <s v="Салат айсберг"/>
    <n v="1380"/>
    <n v="68"/>
    <x v="721"/>
  </r>
  <r>
    <d v="2023-08-02T00:00:00"/>
    <x v="0"/>
    <x v="3"/>
    <s v="Овощи"/>
    <s v="Баклажаны"/>
    <n v="890"/>
    <n v="26"/>
    <x v="29"/>
  </r>
  <r>
    <d v="2023-08-02T00:00:00"/>
    <x v="2"/>
    <x v="3"/>
    <s v="Фрукты"/>
    <s v="Яблоки"/>
    <n v="1230"/>
    <n v="37"/>
    <x v="1332"/>
  </r>
  <r>
    <d v="2023-08-02T00:00:00"/>
    <x v="1"/>
    <x v="3"/>
    <s v="Ягоды"/>
    <s v="Малина"/>
    <n v="2970"/>
    <n v="16"/>
    <x v="413"/>
  </r>
  <r>
    <d v="2023-08-02T00:00:00"/>
    <x v="2"/>
    <x v="3"/>
    <s v="Ягоды"/>
    <s v="Смородина черная"/>
    <n v="1505"/>
    <n v="78"/>
    <x v="702"/>
  </r>
  <r>
    <d v="2023-08-02T00:00:00"/>
    <x v="2"/>
    <x v="0"/>
    <s v="Овощи"/>
    <s v="Баклажаны"/>
    <n v="890"/>
    <n v="86"/>
    <x v="771"/>
  </r>
  <r>
    <d v="2023-08-02T00:00:00"/>
    <x v="1"/>
    <x v="0"/>
    <s v="Ягоды"/>
    <s v="Малина"/>
    <n v="2970"/>
    <n v="97"/>
    <x v="1333"/>
  </r>
  <r>
    <d v="2023-08-02T00:00:00"/>
    <x v="0"/>
    <x v="0"/>
    <s v="Ягоды"/>
    <s v="Малина"/>
    <n v="2970"/>
    <n v="87"/>
    <x v="1334"/>
  </r>
  <r>
    <d v="2023-08-02T00:00:00"/>
    <x v="0"/>
    <x v="4"/>
    <s v="Ягоды"/>
    <s v="Малина"/>
    <n v="2970"/>
    <n v="86"/>
    <x v="1335"/>
  </r>
  <r>
    <d v="2023-08-02T00:00:00"/>
    <x v="2"/>
    <x v="5"/>
    <s v="Зелень"/>
    <s v="Петрушка"/>
    <n v="640"/>
    <n v="48"/>
    <x v="1336"/>
  </r>
  <r>
    <s v="02.08.2023 Итог"/>
    <x v="3"/>
    <x v="2"/>
    <m/>
    <m/>
    <m/>
    <m/>
    <x v="1337"/>
  </r>
  <r>
    <d v="2023-08-03T00:00:00"/>
    <x v="0"/>
    <x v="3"/>
    <s v="Овощи"/>
    <s v="Картофель"/>
    <n v="690"/>
    <n v="61"/>
    <x v="941"/>
  </r>
  <r>
    <d v="2023-08-03T00:00:00"/>
    <x v="1"/>
    <x v="3"/>
    <s v="Фрукты"/>
    <s v="Апельсины"/>
    <n v="2540"/>
    <n v="56"/>
    <x v="127"/>
  </r>
  <r>
    <d v="2023-08-03T00:00:00"/>
    <x v="4"/>
    <x v="3"/>
    <s v="Фрукты"/>
    <s v="Яблоки"/>
    <n v="1230"/>
    <n v="20"/>
    <x v="864"/>
  </r>
  <r>
    <d v="2023-08-03T00:00:00"/>
    <x v="2"/>
    <x v="0"/>
    <s v="Овощи"/>
    <s v="Морковь"/>
    <n v="715"/>
    <n v="70"/>
    <x v="1213"/>
  </r>
  <r>
    <d v="2023-08-03T00:00:00"/>
    <x v="4"/>
    <x v="0"/>
    <s v="Овощи"/>
    <s v="Капуста"/>
    <n v="460"/>
    <n v="90"/>
    <x v="356"/>
  </r>
  <r>
    <d v="2023-08-03T00:00:00"/>
    <x v="4"/>
    <x v="0"/>
    <s v="Фрукты"/>
    <s v="Сливы"/>
    <n v="930"/>
    <n v="11"/>
    <x v="1338"/>
  </r>
  <r>
    <d v="2023-08-03T00:00:00"/>
    <x v="0"/>
    <x v="0"/>
    <s v="Ягоды"/>
    <s v="Смородина черная"/>
    <n v="1505"/>
    <n v="52"/>
    <x v="1339"/>
  </r>
  <r>
    <d v="2023-08-03T00:00:00"/>
    <x v="1"/>
    <x v="1"/>
    <s v="Овощи"/>
    <s v="Кабачки"/>
    <n v="325"/>
    <n v="87"/>
    <x v="1340"/>
  </r>
  <r>
    <d v="2023-08-03T00:00:00"/>
    <x v="1"/>
    <x v="5"/>
    <s v="Овощи"/>
    <s v="Морковь"/>
    <n v="715"/>
    <n v="82"/>
    <x v="842"/>
  </r>
  <r>
    <d v="2023-08-03T00:00:00"/>
    <x v="1"/>
    <x v="6"/>
    <s v="Фрукты"/>
    <s v="Яблоки"/>
    <n v="1230"/>
    <n v="81"/>
    <x v="373"/>
  </r>
  <r>
    <s v="03.08.2023 Итог"/>
    <x v="3"/>
    <x v="2"/>
    <m/>
    <m/>
    <m/>
    <m/>
    <x v="1341"/>
  </r>
  <r>
    <d v="2023-08-04T00:00:00"/>
    <x v="2"/>
    <x v="3"/>
    <s v="Зелень"/>
    <s v="Салат римский"/>
    <n v="540"/>
    <n v="56"/>
    <x v="1309"/>
  </r>
  <r>
    <d v="2023-08-04T00:00:00"/>
    <x v="4"/>
    <x v="3"/>
    <s v="Фрукты"/>
    <s v="Груши"/>
    <n v="1420"/>
    <n v="52"/>
    <x v="1342"/>
  </r>
  <r>
    <d v="2023-08-04T00:00:00"/>
    <x v="4"/>
    <x v="3"/>
    <s v="Ягоды"/>
    <s v="Смородина черная"/>
    <n v="1505"/>
    <n v="7"/>
    <x v="1102"/>
  </r>
  <r>
    <d v="2023-08-04T00:00:00"/>
    <x v="2"/>
    <x v="3"/>
    <s v="Ягоды"/>
    <s v="Черешня"/>
    <n v="1760"/>
    <n v="94"/>
    <x v="1343"/>
  </r>
  <r>
    <d v="2023-08-04T00:00:00"/>
    <x v="1"/>
    <x v="0"/>
    <s v="Зелень"/>
    <s v="Лук зеленый"/>
    <n v="705"/>
    <n v="97"/>
    <x v="1344"/>
  </r>
  <r>
    <d v="2023-08-04T00:00:00"/>
    <x v="0"/>
    <x v="0"/>
    <s v="Ягоды"/>
    <s v="Смородина черная"/>
    <n v="1505"/>
    <n v="45"/>
    <x v="1345"/>
  </r>
  <r>
    <d v="2023-08-04T00:00:00"/>
    <x v="4"/>
    <x v="0"/>
    <s v="Ягоды"/>
    <s v="Клубника"/>
    <n v="2460"/>
    <n v="73"/>
    <x v="897"/>
  </r>
  <r>
    <d v="2023-08-04T00:00:00"/>
    <x v="1"/>
    <x v="1"/>
    <s v="Овощи"/>
    <s v="Морковь"/>
    <n v="715"/>
    <n v="47"/>
    <x v="1346"/>
  </r>
  <r>
    <d v="2023-08-04T00:00:00"/>
    <x v="0"/>
    <x v="1"/>
    <s v="Фрукты"/>
    <s v="Апельсины"/>
    <n v="2540"/>
    <n v="32"/>
    <x v="1347"/>
  </r>
  <r>
    <d v="2023-08-04T00:00:00"/>
    <x v="0"/>
    <x v="5"/>
    <s v="Зелень"/>
    <s v="Салат айсберг"/>
    <n v="1380"/>
    <n v="54"/>
    <x v="991"/>
  </r>
  <r>
    <d v="2023-08-04T00:00:00"/>
    <x v="4"/>
    <x v="6"/>
    <s v="Овощи"/>
    <s v="Морковь"/>
    <n v="715"/>
    <n v="69"/>
    <x v="1298"/>
  </r>
  <r>
    <s v="04.08.2023 Итог"/>
    <x v="3"/>
    <x v="2"/>
    <m/>
    <m/>
    <m/>
    <m/>
    <x v="1348"/>
  </r>
  <r>
    <d v="2023-08-05T00:00:00"/>
    <x v="1"/>
    <x v="1"/>
    <s v="Зелень"/>
    <s v="Петрушка"/>
    <n v="640"/>
    <n v="34"/>
    <x v="800"/>
  </r>
  <r>
    <d v="2023-08-05T00:00:00"/>
    <x v="2"/>
    <x v="6"/>
    <s v="Фрукты"/>
    <s v="Сливы"/>
    <n v="930"/>
    <n v="63"/>
    <x v="1349"/>
  </r>
  <r>
    <s v="05.08.2023 Итог"/>
    <x v="3"/>
    <x v="2"/>
    <m/>
    <m/>
    <m/>
    <m/>
    <x v="1350"/>
  </r>
  <r>
    <d v="2023-08-06T00:00:00"/>
    <x v="1"/>
    <x v="0"/>
    <s v="Зелень"/>
    <s v="Лук зеленый"/>
    <n v="705"/>
    <n v="65"/>
    <x v="1351"/>
  </r>
  <r>
    <d v="2023-08-06T00:00:00"/>
    <x v="1"/>
    <x v="0"/>
    <s v="Овощи"/>
    <s v="Кабачки"/>
    <n v="325"/>
    <n v="46"/>
    <x v="522"/>
  </r>
  <r>
    <d v="2023-08-06T00:00:00"/>
    <x v="1"/>
    <x v="4"/>
    <s v="Овощи"/>
    <s v="Баклажаны"/>
    <n v="890"/>
    <n v="68"/>
    <x v="866"/>
  </r>
  <r>
    <d v="2023-08-06T00:00:00"/>
    <x v="0"/>
    <x v="1"/>
    <s v="Зелень"/>
    <s v="Лук зеленый"/>
    <n v="705"/>
    <n v="36"/>
    <x v="641"/>
  </r>
  <r>
    <d v="2023-08-06T00:00:00"/>
    <x v="0"/>
    <x v="1"/>
    <s v="Ягоды"/>
    <s v="Черешня"/>
    <n v="1760"/>
    <n v="36"/>
    <x v="203"/>
  </r>
  <r>
    <d v="2023-08-06T00:00:00"/>
    <x v="0"/>
    <x v="1"/>
    <s v="Ягоды"/>
    <s v="Малина"/>
    <n v="2970"/>
    <n v="76"/>
    <x v="344"/>
  </r>
  <r>
    <d v="2023-08-06T00:00:00"/>
    <x v="2"/>
    <x v="5"/>
    <s v="Зелень"/>
    <s v="Салат римский"/>
    <n v="540"/>
    <n v="100"/>
    <x v="995"/>
  </r>
  <r>
    <d v="2023-08-06T00:00:00"/>
    <x v="0"/>
    <x v="5"/>
    <s v="Фрукты"/>
    <s v="Сливы"/>
    <n v="930"/>
    <n v="58"/>
    <x v="1352"/>
  </r>
  <r>
    <s v="06.08.2023 Итог"/>
    <x v="3"/>
    <x v="2"/>
    <m/>
    <m/>
    <m/>
    <m/>
    <x v="1353"/>
  </r>
  <r>
    <d v="2023-08-07T00:00:00"/>
    <x v="1"/>
    <x v="3"/>
    <s v="Овощи"/>
    <s v="Картофель"/>
    <n v="690"/>
    <n v="30"/>
    <x v="812"/>
  </r>
  <r>
    <d v="2023-08-07T00:00:00"/>
    <x v="2"/>
    <x v="3"/>
    <s v="Овощи"/>
    <s v="Свекла"/>
    <n v="450"/>
    <n v="43"/>
    <x v="1354"/>
  </r>
  <r>
    <d v="2023-08-07T00:00:00"/>
    <x v="0"/>
    <x v="3"/>
    <s v="Фрукты"/>
    <s v="Бананы"/>
    <n v="2400"/>
    <n v="69"/>
    <x v="1355"/>
  </r>
  <r>
    <d v="2023-08-07T00:00:00"/>
    <x v="1"/>
    <x v="0"/>
    <s v="Зелень"/>
    <s v="Салат айсберг"/>
    <n v="1380"/>
    <n v="57"/>
    <x v="890"/>
  </r>
  <r>
    <d v="2023-08-07T00:00:00"/>
    <x v="1"/>
    <x v="0"/>
    <s v="Овощи"/>
    <s v="Свекла"/>
    <n v="450"/>
    <n v="80"/>
    <x v="770"/>
  </r>
  <r>
    <d v="2023-08-07T00:00:00"/>
    <x v="0"/>
    <x v="4"/>
    <s v="Фрукты"/>
    <s v="Бананы"/>
    <n v="2400"/>
    <n v="45"/>
    <x v="1356"/>
  </r>
  <r>
    <d v="2023-08-07T00:00:00"/>
    <x v="2"/>
    <x v="1"/>
    <s v="Овощи"/>
    <s v="Морковь"/>
    <n v="715"/>
    <n v="73"/>
    <x v="211"/>
  </r>
  <r>
    <d v="2023-08-07T00:00:00"/>
    <x v="1"/>
    <x v="1"/>
    <s v="Фрукты"/>
    <s v="Бананы"/>
    <n v="2400"/>
    <n v="43"/>
    <x v="978"/>
  </r>
  <r>
    <d v="2023-08-07T00:00:00"/>
    <x v="0"/>
    <x v="5"/>
    <s v="Овощи"/>
    <s v="Баклажаны"/>
    <n v="890"/>
    <n v="50"/>
    <x v="916"/>
  </r>
  <r>
    <d v="2023-08-07T00:00:00"/>
    <x v="1"/>
    <x v="5"/>
    <s v="Ягоды"/>
    <s v="Малина"/>
    <n v="2970"/>
    <n v="95"/>
    <x v="1189"/>
  </r>
  <r>
    <s v="07.08.2023 Итог"/>
    <x v="3"/>
    <x v="2"/>
    <m/>
    <m/>
    <m/>
    <m/>
    <x v="1357"/>
  </r>
  <r>
    <d v="2023-08-08T00:00:00"/>
    <x v="4"/>
    <x v="3"/>
    <s v="Зелень"/>
    <s v="Салат римский"/>
    <n v="540"/>
    <n v="68"/>
    <x v="60"/>
  </r>
  <r>
    <d v="2023-08-08T00:00:00"/>
    <x v="4"/>
    <x v="3"/>
    <s v="Ягоды"/>
    <s v="Клубника"/>
    <n v="2460"/>
    <n v="21"/>
    <x v="930"/>
  </r>
  <r>
    <d v="2023-08-08T00:00:00"/>
    <x v="0"/>
    <x v="4"/>
    <s v="Зелень"/>
    <s v="Салат римский"/>
    <n v="540"/>
    <n v="21"/>
    <x v="286"/>
  </r>
  <r>
    <d v="2023-08-08T00:00:00"/>
    <x v="2"/>
    <x v="4"/>
    <s v="Зелень"/>
    <s v="Салат айсберг"/>
    <n v="1380"/>
    <n v="96"/>
    <x v="563"/>
  </r>
  <r>
    <d v="2023-08-08T00:00:00"/>
    <x v="4"/>
    <x v="4"/>
    <s v="Фрукты"/>
    <s v="Груши"/>
    <n v="1420"/>
    <n v="66"/>
    <x v="115"/>
  </r>
  <r>
    <d v="2023-08-08T00:00:00"/>
    <x v="4"/>
    <x v="4"/>
    <s v="Ягоды"/>
    <s v="Клубника"/>
    <n v="2460"/>
    <n v="38"/>
    <x v="485"/>
  </r>
  <r>
    <d v="2023-08-08T00:00:00"/>
    <x v="1"/>
    <x v="1"/>
    <s v="Фрукты"/>
    <s v="Яблоки"/>
    <n v="1230"/>
    <n v="35"/>
    <x v="1358"/>
  </r>
  <r>
    <d v="2023-08-08T00:00:00"/>
    <x v="1"/>
    <x v="1"/>
    <s v="Ягоды"/>
    <s v="Голубика"/>
    <n v="3205"/>
    <n v="38"/>
    <x v="201"/>
  </r>
  <r>
    <d v="2023-08-08T00:00:00"/>
    <x v="2"/>
    <x v="5"/>
    <s v="Фрукты"/>
    <s v="Бананы"/>
    <n v="2400"/>
    <n v="88"/>
    <x v="1035"/>
  </r>
  <r>
    <d v="2023-08-08T00:00:00"/>
    <x v="0"/>
    <x v="5"/>
    <s v="Ягоды"/>
    <s v="Черешня"/>
    <n v="1760"/>
    <n v="39"/>
    <x v="1265"/>
  </r>
  <r>
    <d v="2023-08-08T00:00:00"/>
    <x v="2"/>
    <x v="6"/>
    <s v="Фрукты"/>
    <s v="Сливы"/>
    <n v="930"/>
    <n v="76"/>
    <x v="1136"/>
  </r>
  <r>
    <d v="2023-08-08T00:00:00"/>
    <x v="4"/>
    <x v="6"/>
    <s v="Фрукты"/>
    <s v="Бананы"/>
    <n v="2400"/>
    <n v="65"/>
    <x v="1359"/>
  </r>
  <r>
    <s v="08.08.2023 Итог"/>
    <x v="3"/>
    <x v="2"/>
    <m/>
    <m/>
    <m/>
    <m/>
    <x v="1360"/>
  </r>
  <r>
    <d v="2023-08-09T00:00:00"/>
    <x v="0"/>
    <x v="3"/>
    <s v="Овощи"/>
    <s v="Свекла"/>
    <n v="450"/>
    <n v="43"/>
    <x v="1354"/>
  </r>
  <r>
    <d v="2023-08-09T00:00:00"/>
    <x v="2"/>
    <x v="0"/>
    <s v="Зелень"/>
    <s v="Лук зеленый"/>
    <n v="705"/>
    <n v="80"/>
    <x v="1361"/>
  </r>
  <r>
    <d v="2023-08-09T00:00:00"/>
    <x v="1"/>
    <x v="0"/>
    <s v="Зелень"/>
    <s v="Кинза"/>
    <n v="650"/>
    <n v="69"/>
    <x v="317"/>
  </r>
  <r>
    <d v="2023-08-09T00:00:00"/>
    <x v="4"/>
    <x v="0"/>
    <s v="Зелень"/>
    <s v="Петрушка"/>
    <n v="640"/>
    <n v="81"/>
    <x v="1362"/>
  </r>
  <r>
    <d v="2023-08-09T00:00:00"/>
    <x v="4"/>
    <x v="0"/>
    <s v="Овощи"/>
    <s v="Кабачки"/>
    <n v="325"/>
    <n v="64"/>
    <x v="237"/>
  </r>
  <r>
    <d v="2023-08-09T00:00:00"/>
    <x v="2"/>
    <x v="0"/>
    <s v="Ягоды"/>
    <s v="Брусника"/>
    <n v="1670"/>
    <n v="100"/>
    <x v="1363"/>
  </r>
  <r>
    <d v="2023-08-09T00:00:00"/>
    <x v="2"/>
    <x v="0"/>
    <s v="Ягоды"/>
    <s v="Малина"/>
    <n v="2970"/>
    <n v="12"/>
    <x v="577"/>
  </r>
  <r>
    <d v="2023-08-09T00:00:00"/>
    <x v="0"/>
    <x v="0"/>
    <s v="Ягоды"/>
    <s v="Клубника"/>
    <n v="2460"/>
    <n v="23"/>
    <x v="556"/>
  </r>
  <r>
    <d v="2023-08-09T00:00:00"/>
    <x v="0"/>
    <x v="4"/>
    <s v="Овощи"/>
    <s v="Морковь"/>
    <n v="715"/>
    <n v="80"/>
    <x v="83"/>
  </r>
  <r>
    <d v="2023-08-09T00:00:00"/>
    <x v="2"/>
    <x v="4"/>
    <s v="Ягоды"/>
    <s v="Малина"/>
    <n v="2970"/>
    <n v="47"/>
    <x v="1129"/>
  </r>
  <r>
    <d v="2023-08-09T00:00:00"/>
    <x v="0"/>
    <x v="1"/>
    <s v="Ягоды"/>
    <s v="Клубника"/>
    <n v="2460"/>
    <n v="54"/>
    <x v="1364"/>
  </r>
  <r>
    <d v="2023-08-09T00:00:00"/>
    <x v="2"/>
    <x v="5"/>
    <s v="Ягоды"/>
    <s v="Смородина черная"/>
    <n v="1505"/>
    <n v="31"/>
    <x v="374"/>
  </r>
  <r>
    <d v="2023-08-09T00:00:00"/>
    <x v="2"/>
    <x v="5"/>
    <s v="Ягоды"/>
    <s v="Смородина черная"/>
    <n v="1505"/>
    <n v="22"/>
    <x v="1250"/>
  </r>
  <r>
    <d v="2023-08-09T00:00:00"/>
    <x v="4"/>
    <x v="6"/>
    <s v="Овощи"/>
    <s v="Кабачки"/>
    <n v="325"/>
    <n v="77"/>
    <x v="768"/>
  </r>
  <r>
    <s v="09.08.2023 Итог"/>
    <x v="3"/>
    <x v="2"/>
    <m/>
    <m/>
    <m/>
    <m/>
    <x v="1365"/>
  </r>
  <r>
    <d v="2023-08-10T00:00:00"/>
    <x v="4"/>
    <x v="3"/>
    <s v="Фрукты"/>
    <s v="Абрикосы"/>
    <n v="1320"/>
    <n v="31"/>
    <x v="36"/>
  </r>
  <r>
    <d v="2023-08-10T00:00:00"/>
    <x v="1"/>
    <x v="3"/>
    <s v="Фрукты"/>
    <s v="Абрикосы"/>
    <n v="1320"/>
    <n v="46"/>
    <x v="1103"/>
  </r>
  <r>
    <d v="2023-08-10T00:00:00"/>
    <x v="2"/>
    <x v="0"/>
    <s v="Зелень"/>
    <s v="Петрушка"/>
    <n v="640"/>
    <n v="23"/>
    <x v="172"/>
  </r>
  <r>
    <d v="2023-08-10T00:00:00"/>
    <x v="0"/>
    <x v="4"/>
    <s v="Зелень"/>
    <s v="Кинза"/>
    <n v="650"/>
    <n v="15"/>
    <x v="857"/>
  </r>
  <r>
    <d v="2023-08-10T00:00:00"/>
    <x v="2"/>
    <x v="4"/>
    <s v="Фрукты"/>
    <s v="Абрикосы"/>
    <n v="1320"/>
    <n v="82"/>
    <x v="456"/>
  </r>
  <r>
    <d v="2023-08-10T00:00:00"/>
    <x v="1"/>
    <x v="1"/>
    <s v="Фрукты"/>
    <s v="Бананы"/>
    <n v="2400"/>
    <n v="45"/>
    <x v="1356"/>
  </r>
  <r>
    <d v="2023-08-10T00:00:00"/>
    <x v="2"/>
    <x v="1"/>
    <s v="Фрукты"/>
    <s v="Бананы"/>
    <n v="2400"/>
    <n v="35"/>
    <x v="49"/>
  </r>
  <r>
    <d v="2023-08-10T00:00:00"/>
    <x v="2"/>
    <x v="1"/>
    <s v="Ягоды"/>
    <s v="Голубика"/>
    <n v="3205"/>
    <n v="28"/>
    <x v="1366"/>
  </r>
  <r>
    <d v="2023-08-10T00:00:00"/>
    <x v="4"/>
    <x v="5"/>
    <s v="Зелень"/>
    <s v="Петрушка"/>
    <n v="640"/>
    <n v="68"/>
    <x v="530"/>
  </r>
  <r>
    <d v="2023-08-10T00:00:00"/>
    <x v="4"/>
    <x v="5"/>
    <s v="Зелень"/>
    <s v="Салат айсберг"/>
    <n v="1380"/>
    <n v="89"/>
    <x v="1367"/>
  </r>
  <r>
    <d v="2023-08-10T00:00:00"/>
    <x v="1"/>
    <x v="6"/>
    <s v="Овощи"/>
    <s v="Морковь"/>
    <n v="715"/>
    <n v="42"/>
    <x v="1368"/>
  </r>
  <r>
    <s v="10.08.2023 Итог"/>
    <x v="3"/>
    <x v="2"/>
    <m/>
    <m/>
    <m/>
    <m/>
    <x v="1369"/>
  </r>
  <r>
    <d v="2023-08-11T00:00:00"/>
    <x v="2"/>
    <x v="3"/>
    <s v="Фрукты"/>
    <s v="Сливы"/>
    <n v="930"/>
    <n v="67"/>
    <x v="668"/>
  </r>
  <r>
    <d v="2023-08-11T00:00:00"/>
    <x v="2"/>
    <x v="3"/>
    <s v="Ягоды"/>
    <s v="Смородина черная"/>
    <n v="1505"/>
    <n v="80"/>
    <x v="910"/>
  </r>
  <r>
    <d v="2023-08-11T00:00:00"/>
    <x v="0"/>
    <x v="0"/>
    <s v="Зелень"/>
    <s v="Лук зеленый"/>
    <n v="705"/>
    <n v="88"/>
    <x v="541"/>
  </r>
  <r>
    <d v="2023-08-11T00:00:00"/>
    <x v="2"/>
    <x v="0"/>
    <s v="Зелень"/>
    <s v="Лук зеленый"/>
    <n v="705"/>
    <n v="46"/>
    <x v="816"/>
  </r>
  <r>
    <d v="2023-08-11T00:00:00"/>
    <x v="1"/>
    <x v="4"/>
    <s v="Овощи"/>
    <s v="Картофель"/>
    <n v="690"/>
    <n v="93"/>
    <x v="1137"/>
  </r>
  <r>
    <d v="2023-08-11T00:00:00"/>
    <x v="1"/>
    <x v="1"/>
    <s v="Фрукты"/>
    <s v="Апельсины"/>
    <n v="2540"/>
    <n v="29"/>
    <x v="358"/>
  </r>
  <r>
    <d v="2023-08-11T00:00:00"/>
    <x v="1"/>
    <x v="1"/>
    <s v="Фрукты"/>
    <s v="Бананы"/>
    <n v="2400"/>
    <n v="99"/>
    <x v="41"/>
  </r>
  <r>
    <d v="2023-08-11T00:00:00"/>
    <x v="4"/>
    <x v="1"/>
    <s v="Фрукты"/>
    <s v="Бананы"/>
    <n v="2400"/>
    <n v="68"/>
    <x v="1370"/>
  </r>
  <r>
    <d v="2023-08-11T00:00:00"/>
    <x v="4"/>
    <x v="5"/>
    <s v="Зелень"/>
    <s v="Кинза"/>
    <n v="650"/>
    <n v="79"/>
    <x v="1233"/>
  </r>
  <r>
    <d v="2023-08-11T00:00:00"/>
    <x v="2"/>
    <x v="5"/>
    <s v="Овощи"/>
    <s v="Картофель"/>
    <n v="690"/>
    <n v="78"/>
    <x v="197"/>
  </r>
  <r>
    <d v="2023-08-11T00:00:00"/>
    <x v="0"/>
    <x v="5"/>
    <s v="Фрукты"/>
    <s v="Яблоки"/>
    <n v="1230"/>
    <n v="34"/>
    <x v="187"/>
  </r>
  <r>
    <d v="2023-08-11T00:00:00"/>
    <x v="1"/>
    <x v="5"/>
    <s v="Фрукты"/>
    <s v="Сливы"/>
    <n v="930"/>
    <n v="32"/>
    <x v="1371"/>
  </r>
  <r>
    <d v="2023-08-11T00:00:00"/>
    <x v="2"/>
    <x v="6"/>
    <s v="Фрукты"/>
    <s v="Груши"/>
    <n v="1420"/>
    <n v="12"/>
    <x v="134"/>
  </r>
  <r>
    <s v="11.08.2023 Итог"/>
    <x v="3"/>
    <x v="2"/>
    <m/>
    <m/>
    <m/>
    <m/>
    <x v="1372"/>
  </r>
  <r>
    <d v="2023-08-12T00:00:00"/>
    <x v="0"/>
    <x v="3"/>
    <s v="Овощи"/>
    <s v="Кабачки"/>
    <n v="325"/>
    <n v="60"/>
    <x v="469"/>
  </r>
  <r>
    <d v="2023-08-12T00:00:00"/>
    <x v="0"/>
    <x v="3"/>
    <s v="Фрукты"/>
    <s v="Сливы"/>
    <n v="930"/>
    <n v="12"/>
    <x v="1373"/>
  </r>
  <r>
    <d v="2023-08-12T00:00:00"/>
    <x v="4"/>
    <x v="3"/>
    <s v="Ягоды"/>
    <s v="Смородина черная"/>
    <n v="1505"/>
    <n v="52"/>
    <x v="1339"/>
  </r>
  <r>
    <d v="2023-08-12T00:00:00"/>
    <x v="1"/>
    <x v="0"/>
    <s v="Фрукты"/>
    <s v="Сливы"/>
    <n v="930"/>
    <n v="12"/>
    <x v="1373"/>
  </r>
  <r>
    <d v="2023-08-12T00:00:00"/>
    <x v="2"/>
    <x v="0"/>
    <s v="Фрукты"/>
    <s v="Сливы"/>
    <n v="930"/>
    <n v="81"/>
    <x v="1374"/>
  </r>
  <r>
    <d v="2023-08-12T00:00:00"/>
    <x v="1"/>
    <x v="4"/>
    <s v="Фрукты"/>
    <s v="Абрикосы"/>
    <n v="1320"/>
    <n v="80"/>
    <x v="769"/>
  </r>
  <r>
    <d v="2023-08-12T00:00:00"/>
    <x v="2"/>
    <x v="4"/>
    <s v="Фрукты"/>
    <s v="Яблоки"/>
    <n v="1230"/>
    <n v="40"/>
    <x v="369"/>
  </r>
  <r>
    <d v="2023-08-12T00:00:00"/>
    <x v="0"/>
    <x v="1"/>
    <s v="Зелень"/>
    <s v="Кинза"/>
    <n v="650"/>
    <n v="37"/>
    <x v="1375"/>
  </r>
  <r>
    <d v="2023-08-12T00:00:00"/>
    <x v="1"/>
    <x v="1"/>
    <s v="Овощи"/>
    <s v="Морковь"/>
    <n v="715"/>
    <n v="68"/>
    <x v="1376"/>
  </r>
  <r>
    <d v="2023-08-12T00:00:00"/>
    <x v="2"/>
    <x v="1"/>
    <s v="Овощи"/>
    <s v="Баклажаны"/>
    <n v="890"/>
    <n v="62"/>
    <x v="1377"/>
  </r>
  <r>
    <d v="2023-08-12T00:00:00"/>
    <x v="4"/>
    <x v="5"/>
    <s v="Зелень"/>
    <s v="Салат айсберг"/>
    <n v="1380"/>
    <n v="88"/>
    <x v="935"/>
  </r>
  <r>
    <d v="2023-08-12T00:00:00"/>
    <x v="2"/>
    <x v="5"/>
    <s v="Ягоды"/>
    <s v="Брусника"/>
    <n v="1670"/>
    <n v="88"/>
    <x v="1378"/>
  </r>
  <r>
    <d v="2023-08-12T00:00:00"/>
    <x v="0"/>
    <x v="5"/>
    <s v="Ягоды"/>
    <s v="Голубика"/>
    <n v="3205"/>
    <n v="12"/>
    <x v="1379"/>
  </r>
  <r>
    <d v="2023-08-12T00:00:00"/>
    <x v="2"/>
    <x v="6"/>
    <s v="Зелень"/>
    <s v="Лук зеленый"/>
    <n v="705"/>
    <n v="61"/>
    <x v="504"/>
  </r>
  <r>
    <d v="2023-08-12T00:00:00"/>
    <x v="0"/>
    <x v="6"/>
    <s v="Овощи"/>
    <s v="Картофель"/>
    <n v="690"/>
    <n v="42"/>
    <x v="554"/>
  </r>
  <r>
    <d v="2023-08-12T00:00:00"/>
    <x v="1"/>
    <x v="6"/>
    <s v="Овощи"/>
    <s v="Картофель"/>
    <n v="690"/>
    <n v="68"/>
    <x v="180"/>
  </r>
  <r>
    <s v="12.08.2023 Итог"/>
    <x v="3"/>
    <x v="2"/>
    <m/>
    <m/>
    <m/>
    <m/>
    <x v="1380"/>
  </r>
  <r>
    <d v="2023-08-13T00:00:00"/>
    <x v="1"/>
    <x v="3"/>
    <s v="Фрукты"/>
    <s v="Груши"/>
    <n v="1420"/>
    <n v="67"/>
    <x v="1381"/>
  </r>
  <r>
    <d v="2023-08-13T00:00:00"/>
    <x v="0"/>
    <x v="4"/>
    <s v="Овощи"/>
    <s v="Морковь"/>
    <n v="715"/>
    <n v="39"/>
    <x v="33"/>
  </r>
  <r>
    <d v="2023-08-13T00:00:00"/>
    <x v="1"/>
    <x v="1"/>
    <s v="Овощи"/>
    <s v="Морковь"/>
    <n v="715"/>
    <n v="25"/>
    <x v="149"/>
  </r>
  <r>
    <d v="2023-08-13T00:00:00"/>
    <x v="2"/>
    <x v="1"/>
    <s v="Ягоды"/>
    <s v="Смородина черная"/>
    <n v="1505"/>
    <n v="12"/>
    <x v="1382"/>
  </r>
  <r>
    <d v="2023-08-13T00:00:00"/>
    <x v="1"/>
    <x v="1"/>
    <s v="Ягоды"/>
    <s v="Черешня"/>
    <n v="1760"/>
    <n v="92"/>
    <x v="176"/>
  </r>
  <r>
    <d v="2023-08-13T00:00:00"/>
    <x v="0"/>
    <x v="5"/>
    <s v="Фрукты"/>
    <s v="Сливы"/>
    <n v="930"/>
    <n v="7"/>
    <x v="1383"/>
  </r>
  <r>
    <d v="2023-08-13T00:00:00"/>
    <x v="2"/>
    <x v="5"/>
    <s v="Фрукты"/>
    <s v="Бананы"/>
    <n v="2400"/>
    <n v="12"/>
    <x v="242"/>
  </r>
  <r>
    <d v="2023-08-13T00:00:00"/>
    <x v="2"/>
    <x v="6"/>
    <s v="Ягоды"/>
    <s v="Клубника"/>
    <n v="2460"/>
    <n v="61"/>
    <x v="502"/>
  </r>
  <r>
    <s v="13.08.2023 Итог"/>
    <x v="3"/>
    <x v="2"/>
    <m/>
    <m/>
    <m/>
    <m/>
    <x v="1384"/>
  </r>
  <r>
    <d v="2023-08-14T00:00:00"/>
    <x v="4"/>
    <x v="3"/>
    <s v="Зелень"/>
    <s v="Лук зеленый"/>
    <n v="705"/>
    <n v="62"/>
    <x v="713"/>
  </r>
  <r>
    <d v="2023-08-14T00:00:00"/>
    <x v="1"/>
    <x v="4"/>
    <s v="Ягоды"/>
    <s v="Малина"/>
    <n v="2970"/>
    <n v="39"/>
    <x v="1385"/>
  </r>
  <r>
    <d v="2023-08-14T00:00:00"/>
    <x v="1"/>
    <x v="1"/>
    <s v="Зелень"/>
    <s v="Салат римский"/>
    <n v="540"/>
    <n v="49"/>
    <x v="885"/>
  </r>
  <r>
    <d v="2023-08-14T00:00:00"/>
    <x v="1"/>
    <x v="1"/>
    <s v="Овощи"/>
    <s v="Картофель"/>
    <n v="690"/>
    <n v="25"/>
    <x v="1386"/>
  </r>
  <r>
    <d v="2023-08-14T00:00:00"/>
    <x v="1"/>
    <x v="5"/>
    <s v="Ягоды"/>
    <s v="Клубника"/>
    <n v="2460"/>
    <n v="75"/>
    <x v="323"/>
  </r>
  <r>
    <d v="2023-08-14T00:00:00"/>
    <x v="1"/>
    <x v="5"/>
    <s v="Ягоды"/>
    <s v="Смородина черная"/>
    <n v="1505"/>
    <n v="90"/>
    <x v="209"/>
  </r>
  <r>
    <d v="2023-08-14T00:00:00"/>
    <x v="0"/>
    <x v="6"/>
    <s v="Фрукты"/>
    <s v="Сливы"/>
    <n v="930"/>
    <n v="7"/>
    <x v="1383"/>
  </r>
  <r>
    <d v="2023-08-14T00:00:00"/>
    <x v="4"/>
    <x v="6"/>
    <s v="Ягоды"/>
    <s v="Смородина черная"/>
    <n v="1505"/>
    <n v="56"/>
    <x v="617"/>
  </r>
  <r>
    <s v="14.08.2023 Итог"/>
    <x v="3"/>
    <x v="2"/>
    <m/>
    <m/>
    <m/>
    <m/>
    <x v="1387"/>
  </r>
  <r>
    <d v="2023-08-15T00:00:00"/>
    <x v="4"/>
    <x v="3"/>
    <s v="Овощи"/>
    <s v="Свекла"/>
    <n v="450"/>
    <n v="6"/>
    <x v="412"/>
  </r>
  <r>
    <d v="2023-08-15T00:00:00"/>
    <x v="1"/>
    <x v="3"/>
    <s v="Овощи"/>
    <s v="Свекла"/>
    <n v="450"/>
    <n v="7"/>
    <x v="1078"/>
  </r>
  <r>
    <d v="2023-08-15T00:00:00"/>
    <x v="0"/>
    <x v="3"/>
    <s v="Овощи"/>
    <s v="Кабачки"/>
    <n v="325"/>
    <n v="66"/>
    <x v="360"/>
  </r>
  <r>
    <d v="2023-08-15T00:00:00"/>
    <x v="1"/>
    <x v="3"/>
    <s v="Фрукты"/>
    <s v="Яблоки"/>
    <n v="1230"/>
    <n v="70"/>
    <x v="1388"/>
  </r>
  <r>
    <d v="2023-08-15T00:00:00"/>
    <x v="4"/>
    <x v="0"/>
    <s v="Фрукты"/>
    <s v="Сливы"/>
    <n v="930"/>
    <n v="64"/>
    <x v="457"/>
  </r>
  <r>
    <d v="2023-08-15T00:00:00"/>
    <x v="0"/>
    <x v="4"/>
    <s v="Овощи"/>
    <s v="Свекла"/>
    <n v="450"/>
    <n v="52"/>
    <x v="756"/>
  </r>
  <r>
    <d v="2023-08-15T00:00:00"/>
    <x v="4"/>
    <x v="4"/>
    <s v="Ягоды"/>
    <s v="Голубика"/>
    <n v="3205"/>
    <n v="42"/>
    <x v="642"/>
  </r>
  <r>
    <d v="2023-08-15T00:00:00"/>
    <x v="4"/>
    <x v="4"/>
    <s v="Ягоды"/>
    <s v="Брусника"/>
    <n v="1670"/>
    <n v="88"/>
    <x v="1378"/>
  </r>
  <r>
    <d v="2023-08-15T00:00:00"/>
    <x v="2"/>
    <x v="1"/>
    <s v="Зелень"/>
    <s v="Лук зеленый"/>
    <n v="705"/>
    <n v="63"/>
    <x v="1389"/>
  </r>
  <r>
    <d v="2023-08-15T00:00:00"/>
    <x v="4"/>
    <x v="1"/>
    <s v="Зелень"/>
    <s v="Петрушка"/>
    <n v="640"/>
    <n v="23"/>
    <x v="172"/>
  </r>
  <r>
    <d v="2023-08-15T00:00:00"/>
    <x v="1"/>
    <x v="1"/>
    <s v="Ягоды"/>
    <s v="Клубника"/>
    <n v="2460"/>
    <n v="64"/>
    <x v="479"/>
  </r>
  <r>
    <d v="2023-08-15T00:00:00"/>
    <x v="1"/>
    <x v="5"/>
    <s v="Ягоды"/>
    <s v="Черешня"/>
    <n v="1760"/>
    <n v="81"/>
    <x v="296"/>
  </r>
  <r>
    <s v="15.08.2023 Итог"/>
    <x v="3"/>
    <x v="2"/>
    <m/>
    <m/>
    <m/>
    <m/>
    <x v="1390"/>
  </r>
  <r>
    <d v="2023-08-16T00:00:00"/>
    <x v="1"/>
    <x v="3"/>
    <s v="Зелень"/>
    <s v="Петрушка"/>
    <n v="640"/>
    <n v="36"/>
    <x v="512"/>
  </r>
  <r>
    <d v="2023-08-16T00:00:00"/>
    <x v="1"/>
    <x v="3"/>
    <s v="Фрукты"/>
    <s v="Яблоки"/>
    <n v="1230"/>
    <n v="11"/>
    <x v="1391"/>
  </r>
  <r>
    <d v="2023-08-16T00:00:00"/>
    <x v="0"/>
    <x v="4"/>
    <s v="Фрукты"/>
    <s v="Бананы"/>
    <n v="2400"/>
    <n v="6"/>
    <x v="1175"/>
  </r>
  <r>
    <d v="2023-08-16T00:00:00"/>
    <x v="4"/>
    <x v="1"/>
    <s v="Ягоды"/>
    <s v="Малина"/>
    <n v="2970"/>
    <n v="43"/>
    <x v="1392"/>
  </r>
  <r>
    <d v="2023-08-16T00:00:00"/>
    <x v="4"/>
    <x v="5"/>
    <s v="Зелень"/>
    <s v="Петрушка"/>
    <n v="640"/>
    <n v="36"/>
    <x v="512"/>
  </r>
  <r>
    <d v="2023-08-16T00:00:00"/>
    <x v="0"/>
    <x v="5"/>
    <s v="Овощи"/>
    <s v="Капуста"/>
    <n v="460"/>
    <n v="43"/>
    <x v="86"/>
  </r>
  <r>
    <d v="2023-08-16T00:00:00"/>
    <x v="1"/>
    <x v="6"/>
    <s v="Ягоды"/>
    <s v="Смородина черная"/>
    <n v="1505"/>
    <n v="90"/>
    <x v="209"/>
  </r>
  <r>
    <s v="16.08.2023 Итог"/>
    <x v="3"/>
    <x v="2"/>
    <m/>
    <m/>
    <m/>
    <m/>
    <x v="1393"/>
  </r>
  <r>
    <d v="2023-08-17T00:00:00"/>
    <x v="1"/>
    <x v="3"/>
    <s v="Зелень"/>
    <s v="Лук зеленый"/>
    <n v="705"/>
    <n v="40"/>
    <x v="1121"/>
  </r>
  <r>
    <d v="2023-08-17T00:00:00"/>
    <x v="1"/>
    <x v="3"/>
    <s v="Овощи"/>
    <s v="Свекла"/>
    <n v="450"/>
    <n v="91"/>
    <x v="175"/>
  </r>
  <r>
    <d v="2023-08-17T00:00:00"/>
    <x v="2"/>
    <x v="3"/>
    <s v="Фрукты"/>
    <s v="Сливы"/>
    <n v="930"/>
    <n v="34"/>
    <x v="653"/>
  </r>
  <r>
    <d v="2023-08-17T00:00:00"/>
    <x v="4"/>
    <x v="0"/>
    <s v="Овощи"/>
    <s v="Кабачки"/>
    <n v="325"/>
    <n v="83"/>
    <x v="1394"/>
  </r>
  <r>
    <d v="2023-08-17T00:00:00"/>
    <x v="2"/>
    <x v="0"/>
    <s v="Ягоды"/>
    <s v="Смородина черная"/>
    <n v="1505"/>
    <n v="32"/>
    <x v="1004"/>
  </r>
  <r>
    <d v="2023-08-17T00:00:00"/>
    <x v="2"/>
    <x v="1"/>
    <s v="Зелень"/>
    <s v="Лук зеленый"/>
    <n v="705"/>
    <n v="8"/>
    <x v="1395"/>
  </r>
  <r>
    <d v="2023-08-17T00:00:00"/>
    <x v="2"/>
    <x v="6"/>
    <s v="Овощи"/>
    <s v="Кабачки"/>
    <n v="325"/>
    <n v="67"/>
    <x v="64"/>
  </r>
  <r>
    <d v="2023-08-17T00:00:00"/>
    <x v="4"/>
    <x v="6"/>
    <s v="Фрукты"/>
    <s v="Сливы"/>
    <n v="930"/>
    <n v="85"/>
    <x v="1396"/>
  </r>
  <r>
    <d v="2023-08-17T00:00:00"/>
    <x v="4"/>
    <x v="6"/>
    <s v="Фрукты"/>
    <s v="Яблоки"/>
    <n v="1230"/>
    <n v="100"/>
    <x v="284"/>
  </r>
  <r>
    <d v="2023-08-17T00:00:00"/>
    <x v="0"/>
    <x v="6"/>
    <s v="Ягоды"/>
    <s v="Брусника"/>
    <n v="1670"/>
    <n v="66"/>
    <x v="1397"/>
  </r>
  <r>
    <d v="2023-08-17T00:00:00"/>
    <x v="4"/>
    <x v="6"/>
    <s v="Ягоды"/>
    <s v="Голубика"/>
    <n v="3205"/>
    <n v="69"/>
    <x v="343"/>
  </r>
  <r>
    <s v="17.08.2023 Итог"/>
    <x v="3"/>
    <x v="2"/>
    <m/>
    <m/>
    <m/>
    <m/>
    <x v="1398"/>
  </r>
  <r>
    <d v="2023-08-18T00:00:00"/>
    <x v="4"/>
    <x v="3"/>
    <s v="Овощи"/>
    <s v="Кабачки"/>
    <n v="325"/>
    <n v="97"/>
    <x v="785"/>
  </r>
  <r>
    <d v="2023-08-18T00:00:00"/>
    <x v="4"/>
    <x v="3"/>
    <s v="Ягоды"/>
    <s v="Черешня"/>
    <n v="1760"/>
    <n v="16"/>
    <x v="1399"/>
  </r>
  <r>
    <d v="2023-08-18T00:00:00"/>
    <x v="1"/>
    <x v="3"/>
    <s v="Ягоды"/>
    <s v="Смородина черная"/>
    <n v="1505"/>
    <n v="92"/>
    <x v="1400"/>
  </r>
  <r>
    <d v="2023-08-18T00:00:00"/>
    <x v="0"/>
    <x v="3"/>
    <s v="Ягоды"/>
    <s v="Голубика"/>
    <n v="3205"/>
    <n v="44"/>
    <x v="871"/>
  </r>
  <r>
    <d v="2023-08-18T00:00:00"/>
    <x v="4"/>
    <x v="0"/>
    <s v="Фрукты"/>
    <s v="Апельсины"/>
    <n v="2540"/>
    <n v="53"/>
    <x v="1401"/>
  </r>
  <r>
    <d v="2023-08-18T00:00:00"/>
    <x v="2"/>
    <x v="6"/>
    <s v="Фрукты"/>
    <s v="Апельсины"/>
    <n v="2540"/>
    <n v="43"/>
    <x v="1402"/>
  </r>
  <r>
    <s v="18.08.2023 Итог"/>
    <x v="3"/>
    <x v="2"/>
    <m/>
    <m/>
    <m/>
    <m/>
    <x v="1403"/>
  </r>
  <r>
    <d v="2023-08-19T00:00:00"/>
    <x v="0"/>
    <x v="0"/>
    <s v="Зелень"/>
    <s v="Салат айсберг"/>
    <n v="1380"/>
    <n v="29"/>
    <x v="215"/>
  </r>
  <r>
    <d v="2023-08-19T00:00:00"/>
    <x v="2"/>
    <x v="0"/>
    <s v="Фрукты"/>
    <s v="Яблоки"/>
    <n v="1230"/>
    <n v="56"/>
    <x v="168"/>
  </r>
  <r>
    <d v="2023-08-19T00:00:00"/>
    <x v="1"/>
    <x v="0"/>
    <s v="Фрукты"/>
    <s v="Яблоки"/>
    <n v="1230"/>
    <n v="100"/>
    <x v="284"/>
  </r>
  <r>
    <d v="2023-08-19T00:00:00"/>
    <x v="4"/>
    <x v="4"/>
    <s v="Ягоды"/>
    <s v="Малина"/>
    <n v="2970"/>
    <n v="77"/>
    <x v="1404"/>
  </r>
  <r>
    <d v="2023-08-19T00:00:00"/>
    <x v="1"/>
    <x v="1"/>
    <s v="Зелень"/>
    <s v="Укроп"/>
    <n v="650"/>
    <n v="34"/>
    <x v="199"/>
  </r>
  <r>
    <d v="2023-08-19T00:00:00"/>
    <x v="4"/>
    <x v="5"/>
    <s v="Зелень"/>
    <s v="Салат римский"/>
    <n v="540"/>
    <n v="56"/>
    <x v="1309"/>
  </r>
  <r>
    <d v="2023-08-19T00:00:00"/>
    <x v="0"/>
    <x v="5"/>
    <s v="Фрукты"/>
    <s v="Бананы"/>
    <n v="2400"/>
    <n v="66"/>
    <x v="1405"/>
  </r>
  <r>
    <d v="2023-08-19T00:00:00"/>
    <x v="2"/>
    <x v="5"/>
    <s v="Ягоды"/>
    <s v="Черешня"/>
    <n v="1760"/>
    <n v="51"/>
    <x v="336"/>
  </r>
  <r>
    <s v="19.08.2023 Итог"/>
    <x v="3"/>
    <x v="2"/>
    <m/>
    <m/>
    <m/>
    <m/>
    <x v="1406"/>
  </r>
  <r>
    <d v="2023-08-20T00:00:00"/>
    <x v="1"/>
    <x v="0"/>
    <s v="Зелень"/>
    <s v="Петрушка"/>
    <n v="640"/>
    <n v="65"/>
    <x v="15"/>
  </r>
  <r>
    <d v="2023-08-20T00:00:00"/>
    <x v="1"/>
    <x v="4"/>
    <s v="Овощи"/>
    <s v="Морковь"/>
    <n v="715"/>
    <n v="59"/>
    <x v="409"/>
  </r>
  <r>
    <d v="2023-08-20T00:00:00"/>
    <x v="0"/>
    <x v="5"/>
    <s v="Зелень"/>
    <s v="Укроп"/>
    <n v="650"/>
    <n v="48"/>
    <x v="447"/>
  </r>
  <r>
    <d v="2023-08-20T00:00:00"/>
    <x v="2"/>
    <x v="5"/>
    <s v="Ягоды"/>
    <s v="Голубика"/>
    <n v="3205"/>
    <n v="65"/>
    <x v="1407"/>
  </r>
  <r>
    <d v="2023-08-20T00:00:00"/>
    <x v="0"/>
    <x v="6"/>
    <s v="Овощи"/>
    <s v="Картофель"/>
    <n v="690"/>
    <n v="45"/>
    <x v="17"/>
  </r>
  <r>
    <d v="2023-08-20T00:00:00"/>
    <x v="1"/>
    <x v="6"/>
    <s v="Фрукты"/>
    <s v="Абрикосы"/>
    <n v="1320"/>
    <n v="12"/>
    <x v="1408"/>
  </r>
  <r>
    <d v="2023-08-20T00:00:00"/>
    <x v="2"/>
    <x v="6"/>
    <s v="Ягоды"/>
    <s v="Смородина черная"/>
    <n v="1505"/>
    <n v="32"/>
    <x v="1004"/>
  </r>
  <r>
    <s v="20.08.2023 Итог"/>
    <x v="3"/>
    <x v="2"/>
    <m/>
    <m/>
    <m/>
    <m/>
    <x v="1409"/>
  </r>
  <r>
    <d v="2023-08-21T00:00:00"/>
    <x v="2"/>
    <x v="3"/>
    <s v="Зелень"/>
    <s v="Кинза"/>
    <n v="650"/>
    <n v="21"/>
    <x v="327"/>
  </r>
  <r>
    <d v="2023-08-21T00:00:00"/>
    <x v="4"/>
    <x v="0"/>
    <s v="Овощи"/>
    <s v="Морковь"/>
    <n v="715"/>
    <n v="22"/>
    <x v="141"/>
  </r>
  <r>
    <d v="2023-08-21T00:00:00"/>
    <x v="2"/>
    <x v="0"/>
    <s v="Фрукты"/>
    <s v="Апельсины"/>
    <n v="2540"/>
    <n v="40"/>
    <x v="755"/>
  </r>
  <r>
    <d v="2023-08-21T00:00:00"/>
    <x v="0"/>
    <x v="4"/>
    <s v="Ягоды"/>
    <s v="Брусника"/>
    <n v="1670"/>
    <n v="68"/>
    <x v="1410"/>
  </r>
  <r>
    <d v="2023-08-21T00:00:00"/>
    <x v="0"/>
    <x v="1"/>
    <s v="Ягоды"/>
    <s v="Голубика"/>
    <n v="3205"/>
    <n v="10"/>
    <x v="1411"/>
  </r>
  <r>
    <d v="2023-08-21T00:00:00"/>
    <x v="2"/>
    <x v="5"/>
    <s v="Зелень"/>
    <s v="Лук зеленый"/>
    <n v="705"/>
    <n v="18"/>
    <x v="1412"/>
  </r>
  <r>
    <d v="2023-08-21T00:00:00"/>
    <x v="0"/>
    <x v="5"/>
    <s v="Ягоды"/>
    <s v="Клубника"/>
    <n v="2460"/>
    <n v="84"/>
    <x v="1313"/>
  </r>
  <r>
    <d v="2023-08-21T00:00:00"/>
    <x v="2"/>
    <x v="6"/>
    <s v="Зелень"/>
    <s v="Петрушка"/>
    <n v="640"/>
    <n v="9"/>
    <x v="1413"/>
  </r>
  <r>
    <s v="21.08.2023 Итог"/>
    <x v="3"/>
    <x v="2"/>
    <m/>
    <m/>
    <m/>
    <m/>
    <x v="1414"/>
  </r>
  <r>
    <d v="2023-08-22T00:00:00"/>
    <x v="2"/>
    <x v="3"/>
    <s v="Зелень"/>
    <s v="Салат римский"/>
    <n v="540"/>
    <n v="60"/>
    <x v="1007"/>
  </r>
  <r>
    <d v="2023-08-22T00:00:00"/>
    <x v="0"/>
    <x v="4"/>
    <s v="Зелень"/>
    <s v="Петрушка"/>
    <n v="640"/>
    <n v="62"/>
    <x v="1415"/>
  </r>
  <r>
    <d v="2023-08-22T00:00:00"/>
    <x v="2"/>
    <x v="4"/>
    <s v="Зелень"/>
    <s v="Петрушка"/>
    <n v="640"/>
    <n v="76"/>
    <x v="1416"/>
  </r>
  <r>
    <d v="2023-08-22T00:00:00"/>
    <x v="2"/>
    <x v="1"/>
    <s v="Фрукты"/>
    <s v="Апельсины"/>
    <n v="2540"/>
    <n v="75"/>
    <x v="98"/>
  </r>
  <r>
    <d v="2023-08-22T00:00:00"/>
    <x v="4"/>
    <x v="6"/>
    <s v="Овощи"/>
    <s v="Капуста"/>
    <n v="460"/>
    <n v="74"/>
    <x v="1417"/>
  </r>
  <r>
    <s v="22.08.2023 Итог"/>
    <x v="3"/>
    <x v="2"/>
    <m/>
    <m/>
    <m/>
    <m/>
    <x v="1418"/>
  </r>
  <r>
    <d v="2023-08-23T00:00:00"/>
    <x v="4"/>
    <x v="0"/>
    <s v="Овощи"/>
    <s v="Морковь"/>
    <n v="715"/>
    <n v="6"/>
    <x v="1419"/>
  </r>
  <r>
    <d v="2023-08-23T00:00:00"/>
    <x v="2"/>
    <x v="4"/>
    <s v="Зелень"/>
    <s v="Кинза"/>
    <n v="650"/>
    <n v="11"/>
    <x v="73"/>
  </r>
  <r>
    <d v="2023-08-23T00:00:00"/>
    <x v="2"/>
    <x v="4"/>
    <s v="Фрукты"/>
    <s v="Груши"/>
    <n v="1420"/>
    <n v="8"/>
    <x v="1420"/>
  </r>
  <r>
    <d v="2023-08-23T00:00:00"/>
    <x v="4"/>
    <x v="5"/>
    <s v="Ягоды"/>
    <s v="Брусника"/>
    <n v="1670"/>
    <n v="52"/>
    <x v="501"/>
  </r>
  <r>
    <s v="23.08.2023 Итог"/>
    <x v="3"/>
    <x v="2"/>
    <m/>
    <m/>
    <m/>
    <m/>
    <x v="1421"/>
  </r>
  <r>
    <d v="2023-08-24T00:00:00"/>
    <x v="4"/>
    <x v="3"/>
    <s v="Овощи"/>
    <s v="Картофель"/>
    <n v="690"/>
    <n v="46"/>
    <x v="610"/>
  </r>
  <r>
    <d v="2023-08-24T00:00:00"/>
    <x v="1"/>
    <x v="3"/>
    <s v="Ягоды"/>
    <s v="Клубника"/>
    <n v="2460"/>
    <n v="26"/>
    <x v="1422"/>
  </r>
  <r>
    <d v="2023-08-24T00:00:00"/>
    <x v="1"/>
    <x v="0"/>
    <s v="Овощи"/>
    <s v="Баклажаны"/>
    <n v="890"/>
    <n v="19"/>
    <x v="1261"/>
  </r>
  <r>
    <d v="2023-08-24T00:00:00"/>
    <x v="0"/>
    <x v="0"/>
    <s v="Фрукты"/>
    <s v="Абрикосы"/>
    <n v="1320"/>
    <n v="89"/>
    <x v="779"/>
  </r>
  <r>
    <d v="2023-08-24T00:00:00"/>
    <x v="2"/>
    <x v="4"/>
    <s v="Ягоды"/>
    <s v="Черешня"/>
    <n v="1760"/>
    <n v="30"/>
    <x v="94"/>
  </r>
  <r>
    <d v="2023-08-24T00:00:00"/>
    <x v="4"/>
    <x v="5"/>
    <s v="Ягоды"/>
    <s v="Брусника"/>
    <n v="1670"/>
    <n v="92"/>
    <x v="1423"/>
  </r>
  <r>
    <d v="2023-08-24T00:00:00"/>
    <x v="1"/>
    <x v="6"/>
    <s v="Фрукты"/>
    <s v="Груши"/>
    <n v="1420"/>
    <n v="41"/>
    <x v="1424"/>
  </r>
  <r>
    <d v="2023-08-24T00:00:00"/>
    <x v="0"/>
    <x v="6"/>
    <s v="Фрукты"/>
    <s v="Сливы"/>
    <n v="930"/>
    <n v="45"/>
    <x v="820"/>
  </r>
  <r>
    <s v="24.08.2023 Итог"/>
    <x v="3"/>
    <x v="2"/>
    <m/>
    <m/>
    <m/>
    <m/>
    <x v="1425"/>
  </r>
  <r>
    <d v="2023-08-25T00:00:00"/>
    <x v="2"/>
    <x v="3"/>
    <s v="Ягоды"/>
    <s v="Голубика"/>
    <n v="3205"/>
    <n v="17"/>
    <x v="608"/>
  </r>
  <r>
    <d v="2023-08-25T00:00:00"/>
    <x v="1"/>
    <x v="4"/>
    <s v="Фрукты"/>
    <s v="Яблоки"/>
    <n v="1230"/>
    <n v="39"/>
    <x v="10"/>
  </r>
  <r>
    <d v="2023-08-25T00:00:00"/>
    <x v="1"/>
    <x v="4"/>
    <s v="Ягоды"/>
    <s v="Брусника"/>
    <n v="1670"/>
    <n v="76"/>
    <x v="933"/>
  </r>
  <r>
    <d v="2023-08-25T00:00:00"/>
    <x v="0"/>
    <x v="4"/>
    <s v="Ягоды"/>
    <s v="Смородина черная"/>
    <n v="1505"/>
    <n v="58"/>
    <x v="91"/>
  </r>
  <r>
    <d v="2023-08-25T00:00:00"/>
    <x v="0"/>
    <x v="5"/>
    <s v="Фрукты"/>
    <s v="Сливы"/>
    <n v="930"/>
    <n v="60"/>
    <x v="99"/>
  </r>
  <r>
    <d v="2023-08-25T00:00:00"/>
    <x v="2"/>
    <x v="6"/>
    <s v="Зелень"/>
    <s v="Салат айсберг"/>
    <n v="1380"/>
    <n v="40"/>
    <x v="985"/>
  </r>
  <r>
    <d v="2023-08-25T00:00:00"/>
    <x v="2"/>
    <x v="6"/>
    <s v="Овощи"/>
    <s v="Свекла"/>
    <n v="450"/>
    <n v="67"/>
    <x v="1426"/>
  </r>
  <r>
    <d v="2023-08-25T00:00:00"/>
    <x v="0"/>
    <x v="6"/>
    <s v="Овощи"/>
    <s v="Баклажаны"/>
    <n v="890"/>
    <n v="30"/>
    <x v="1427"/>
  </r>
  <r>
    <d v="2023-08-25T00:00:00"/>
    <x v="2"/>
    <x v="6"/>
    <s v="Фрукты"/>
    <s v="Яблоки"/>
    <n v="1230"/>
    <n v="34"/>
    <x v="187"/>
  </r>
  <r>
    <d v="2023-08-25T00:00:00"/>
    <x v="4"/>
    <x v="6"/>
    <s v="Ягоды"/>
    <s v="Клубника"/>
    <n v="2460"/>
    <n v="75"/>
    <x v="323"/>
  </r>
  <r>
    <s v="25.08.2023 Итог"/>
    <x v="3"/>
    <x v="2"/>
    <m/>
    <m/>
    <m/>
    <m/>
    <x v="1428"/>
  </r>
  <r>
    <d v="2023-08-26T00:00:00"/>
    <x v="4"/>
    <x v="3"/>
    <s v="Зелень"/>
    <s v="Укроп"/>
    <n v="650"/>
    <n v="36"/>
    <x v="756"/>
  </r>
  <r>
    <d v="2023-08-26T00:00:00"/>
    <x v="2"/>
    <x v="3"/>
    <s v="Ягоды"/>
    <s v="Клубника"/>
    <n v="2460"/>
    <n v="31"/>
    <x v="997"/>
  </r>
  <r>
    <d v="2023-08-26T00:00:00"/>
    <x v="0"/>
    <x v="0"/>
    <s v="Ягоды"/>
    <s v="Черешня"/>
    <n v="1760"/>
    <n v="62"/>
    <x v="1082"/>
  </r>
  <r>
    <d v="2023-08-26T00:00:00"/>
    <x v="2"/>
    <x v="4"/>
    <s v="Зелень"/>
    <s v="Салат айсберг"/>
    <n v="1380"/>
    <n v="45"/>
    <x v="1193"/>
  </r>
  <r>
    <d v="2023-08-26T00:00:00"/>
    <x v="1"/>
    <x v="4"/>
    <s v="Фрукты"/>
    <s v="Сливы"/>
    <n v="930"/>
    <n v="31"/>
    <x v="1429"/>
  </r>
  <r>
    <d v="2023-08-26T00:00:00"/>
    <x v="0"/>
    <x v="4"/>
    <s v="Фрукты"/>
    <s v="Бананы"/>
    <n v="2400"/>
    <n v="82"/>
    <x v="1430"/>
  </r>
  <r>
    <d v="2023-08-26T00:00:00"/>
    <x v="2"/>
    <x v="4"/>
    <s v="Ягоды"/>
    <s v="Черешня"/>
    <n v="1760"/>
    <n v="39"/>
    <x v="1265"/>
  </r>
  <r>
    <d v="2023-08-26T00:00:00"/>
    <x v="1"/>
    <x v="1"/>
    <s v="Ягоды"/>
    <s v="Клубника"/>
    <n v="2460"/>
    <n v="57"/>
    <x v="1431"/>
  </r>
  <r>
    <d v="2023-08-26T00:00:00"/>
    <x v="4"/>
    <x v="5"/>
    <s v="Овощи"/>
    <s v="Свекла"/>
    <n v="450"/>
    <n v="20"/>
    <x v="61"/>
  </r>
  <r>
    <d v="2023-08-26T00:00:00"/>
    <x v="1"/>
    <x v="5"/>
    <s v="Ягоды"/>
    <s v="Голубика"/>
    <n v="3205"/>
    <n v="87"/>
    <x v="1432"/>
  </r>
  <r>
    <d v="2023-08-26T00:00:00"/>
    <x v="4"/>
    <x v="6"/>
    <s v="Овощи"/>
    <s v="Морковь"/>
    <n v="715"/>
    <n v="92"/>
    <x v="824"/>
  </r>
  <r>
    <d v="2023-08-26T00:00:00"/>
    <x v="0"/>
    <x v="6"/>
    <s v="Фрукты"/>
    <s v="Сливы"/>
    <n v="930"/>
    <n v="56"/>
    <x v="1029"/>
  </r>
  <r>
    <d v="2023-08-26T00:00:00"/>
    <x v="4"/>
    <x v="6"/>
    <s v="Ягоды"/>
    <s v="Голубика"/>
    <n v="3205"/>
    <n v="51"/>
    <x v="1433"/>
  </r>
  <r>
    <s v="26.08.2023 Итог"/>
    <x v="3"/>
    <x v="2"/>
    <m/>
    <m/>
    <m/>
    <m/>
    <x v="1434"/>
  </r>
  <r>
    <d v="2023-08-27T00:00:00"/>
    <x v="1"/>
    <x v="3"/>
    <s v="Ягоды"/>
    <s v="Смородина черная"/>
    <n v="1505"/>
    <n v="80"/>
    <x v="910"/>
  </r>
  <r>
    <d v="2023-08-27T00:00:00"/>
    <x v="2"/>
    <x v="0"/>
    <s v="Зелень"/>
    <s v="Салат римский"/>
    <n v="540"/>
    <n v="62"/>
    <x v="206"/>
  </r>
  <r>
    <d v="2023-08-27T00:00:00"/>
    <x v="1"/>
    <x v="1"/>
    <s v="Овощи"/>
    <s v="Картофель"/>
    <n v="690"/>
    <n v="7"/>
    <x v="495"/>
  </r>
  <r>
    <d v="2023-08-27T00:00:00"/>
    <x v="4"/>
    <x v="1"/>
    <s v="Фрукты"/>
    <s v="Бананы"/>
    <n v="2400"/>
    <n v="11"/>
    <x v="257"/>
  </r>
  <r>
    <d v="2023-08-27T00:00:00"/>
    <x v="2"/>
    <x v="5"/>
    <s v="Ягоды"/>
    <s v="Голубика"/>
    <n v="3205"/>
    <n v="23"/>
    <x v="1435"/>
  </r>
  <r>
    <d v="2023-08-27T00:00:00"/>
    <x v="0"/>
    <x v="6"/>
    <s v="Овощи"/>
    <s v="Кабачки"/>
    <n v="325"/>
    <n v="63"/>
    <x v="1436"/>
  </r>
  <r>
    <d v="2023-08-27T00:00:00"/>
    <x v="4"/>
    <x v="6"/>
    <s v="Овощи"/>
    <s v="Капуста"/>
    <n v="460"/>
    <n v="80"/>
    <x v="467"/>
  </r>
  <r>
    <d v="2023-08-27T00:00:00"/>
    <x v="2"/>
    <x v="6"/>
    <s v="Фрукты"/>
    <s v="Груши"/>
    <n v="1420"/>
    <n v="22"/>
    <x v="1437"/>
  </r>
  <r>
    <d v="2023-08-27T00:00:00"/>
    <x v="4"/>
    <x v="6"/>
    <s v="Фрукты"/>
    <s v="Яблоки"/>
    <n v="1230"/>
    <n v="69"/>
    <x v="1438"/>
  </r>
  <r>
    <d v="2023-08-27T00:00:00"/>
    <x v="1"/>
    <x v="6"/>
    <s v="Ягоды"/>
    <s v="Голубика"/>
    <n v="3205"/>
    <n v="84"/>
    <x v="1439"/>
  </r>
  <r>
    <s v="27.08.2023 Итог"/>
    <x v="3"/>
    <x v="2"/>
    <m/>
    <m/>
    <m/>
    <m/>
    <x v="1440"/>
  </r>
  <r>
    <d v="2023-08-28T00:00:00"/>
    <x v="0"/>
    <x v="3"/>
    <s v="Овощи"/>
    <s v="Свекла"/>
    <n v="450"/>
    <n v="26"/>
    <x v="480"/>
  </r>
  <r>
    <d v="2023-08-28T00:00:00"/>
    <x v="2"/>
    <x v="0"/>
    <s v="Овощи"/>
    <s v="Картофель"/>
    <n v="690"/>
    <n v="92"/>
    <x v="1275"/>
  </r>
  <r>
    <d v="2023-08-28T00:00:00"/>
    <x v="4"/>
    <x v="0"/>
    <s v="Ягоды"/>
    <s v="Голубика"/>
    <n v="3205"/>
    <n v="63"/>
    <x v="793"/>
  </r>
  <r>
    <d v="2023-08-28T00:00:00"/>
    <x v="2"/>
    <x v="0"/>
    <s v="Ягоды"/>
    <s v="Брусника"/>
    <n v="1670"/>
    <n v="19"/>
    <x v="1441"/>
  </r>
  <r>
    <d v="2023-08-28T00:00:00"/>
    <x v="1"/>
    <x v="4"/>
    <s v="Зелень"/>
    <s v="Лук зеленый"/>
    <n v="705"/>
    <n v="71"/>
    <x v="101"/>
  </r>
  <r>
    <d v="2023-08-28T00:00:00"/>
    <x v="0"/>
    <x v="4"/>
    <s v="Овощи"/>
    <s v="Кабачки"/>
    <n v="325"/>
    <n v="50"/>
    <x v="45"/>
  </r>
  <r>
    <d v="2023-08-28T00:00:00"/>
    <x v="4"/>
    <x v="4"/>
    <s v="Фрукты"/>
    <s v="Сливы"/>
    <n v="930"/>
    <n v="96"/>
    <x v="1305"/>
  </r>
  <r>
    <d v="2023-08-28T00:00:00"/>
    <x v="2"/>
    <x v="4"/>
    <s v="Ягоды"/>
    <s v="Смородина черная"/>
    <n v="1505"/>
    <n v="92"/>
    <x v="1400"/>
  </r>
  <r>
    <d v="2023-08-28T00:00:00"/>
    <x v="0"/>
    <x v="1"/>
    <s v="Зелень"/>
    <s v="Укроп"/>
    <n v="650"/>
    <n v="47"/>
    <x v="1091"/>
  </r>
  <r>
    <d v="2023-08-28T00:00:00"/>
    <x v="0"/>
    <x v="5"/>
    <s v="Овощи"/>
    <s v="Кабачки"/>
    <n v="325"/>
    <n v="59"/>
    <x v="229"/>
  </r>
  <r>
    <s v="28.08.2023 Итог"/>
    <x v="3"/>
    <x v="2"/>
    <m/>
    <m/>
    <m/>
    <m/>
    <x v="1442"/>
  </r>
  <r>
    <d v="2023-08-29T00:00:00"/>
    <x v="0"/>
    <x v="3"/>
    <s v="Ягоды"/>
    <s v="Смородина черная"/>
    <n v="1505"/>
    <n v="13"/>
    <x v="1232"/>
  </r>
  <r>
    <d v="2023-08-29T00:00:00"/>
    <x v="2"/>
    <x v="0"/>
    <s v="Зелень"/>
    <s v="Салат айсберг"/>
    <n v="1380"/>
    <n v="28"/>
    <x v="471"/>
  </r>
  <r>
    <d v="2023-08-29T00:00:00"/>
    <x v="2"/>
    <x v="0"/>
    <s v="Фрукты"/>
    <s v="Груши"/>
    <n v="1420"/>
    <n v="58"/>
    <x v="888"/>
  </r>
  <r>
    <d v="2023-08-29T00:00:00"/>
    <x v="0"/>
    <x v="0"/>
    <s v="Ягоды"/>
    <s v="Брусника"/>
    <n v="1670"/>
    <n v="75"/>
    <x v="1158"/>
  </r>
  <r>
    <d v="2023-08-29T00:00:00"/>
    <x v="4"/>
    <x v="0"/>
    <s v="Ягоды"/>
    <s v="Черешня"/>
    <n v="1760"/>
    <n v="51"/>
    <x v="336"/>
  </r>
  <r>
    <d v="2023-08-29T00:00:00"/>
    <x v="2"/>
    <x v="4"/>
    <s v="Овощи"/>
    <s v="Капуста"/>
    <n v="460"/>
    <n v="54"/>
    <x v="200"/>
  </r>
  <r>
    <d v="2023-08-29T00:00:00"/>
    <x v="1"/>
    <x v="4"/>
    <s v="Фрукты"/>
    <s v="Бананы"/>
    <n v="2400"/>
    <n v="86"/>
    <x v="564"/>
  </r>
  <r>
    <d v="2023-08-29T00:00:00"/>
    <x v="4"/>
    <x v="1"/>
    <s v="Ягоды"/>
    <s v="Черешня"/>
    <n v="1760"/>
    <n v="21"/>
    <x v="597"/>
  </r>
  <r>
    <d v="2023-08-29T00:00:00"/>
    <x v="4"/>
    <x v="6"/>
    <s v="Зелень"/>
    <s v="Укроп"/>
    <n v="650"/>
    <n v="70"/>
    <x v="1208"/>
  </r>
  <r>
    <d v="2023-08-29T00:00:00"/>
    <x v="1"/>
    <x v="6"/>
    <s v="Овощи"/>
    <s v="Кабачки"/>
    <n v="325"/>
    <n v="24"/>
    <x v="625"/>
  </r>
  <r>
    <d v="2023-08-29T00:00:00"/>
    <x v="0"/>
    <x v="6"/>
    <s v="Ягоды"/>
    <s v="Черешня"/>
    <n v="1760"/>
    <n v="15"/>
    <x v="257"/>
  </r>
  <r>
    <s v="29.08.2023 Итог"/>
    <x v="3"/>
    <x v="2"/>
    <m/>
    <m/>
    <m/>
    <m/>
    <x v="1443"/>
  </r>
  <r>
    <d v="2023-08-30T00:00:00"/>
    <x v="1"/>
    <x v="3"/>
    <s v="Ягоды"/>
    <s v="Клубника"/>
    <n v="2460"/>
    <n v="78"/>
    <x v="380"/>
  </r>
  <r>
    <d v="2023-08-30T00:00:00"/>
    <x v="4"/>
    <x v="3"/>
    <s v="Ягоды"/>
    <s v="Голубика"/>
    <n v="3205"/>
    <n v="21"/>
    <x v="320"/>
  </r>
  <r>
    <d v="2023-08-30T00:00:00"/>
    <x v="2"/>
    <x v="4"/>
    <s v="Овощи"/>
    <s v="Капуста"/>
    <n v="460"/>
    <n v="49"/>
    <x v="940"/>
  </r>
  <r>
    <d v="2023-08-30T00:00:00"/>
    <x v="4"/>
    <x v="4"/>
    <s v="Фрукты"/>
    <s v="Сливы"/>
    <n v="930"/>
    <n v="74"/>
    <x v="1444"/>
  </r>
  <r>
    <d v="2023-08-30T00:00:00"/>
    <x v="2"/>
    <x v="1"/>
    <s v="Овощи"/>
    <s v="Морковь"/>
    <n v="715"/>
    <n v="45"/>
    <x v="807"/>
  </r>
  <r>
    <d v="2023-08-30T00:00:00"/>
    <x v="2"/>
    <x v="5"/>
    <s v="Овощи"/>
    <s v="Картофель"/>
    <n v="690"/>
    <n v="70"/>
    <x v="455"/>
  </r>
  <r>
    <d v="2023-08-30T00:00:00"/>
    <x v="2"/>
    <x v="5"/>
    <s v="Ягоды"/>
    <s v="Брусника"/>
    <n v="1670"/>
    <n v="70"/>
    <x v="102"/>
  </r>
  <r>
    <d v="2023-08-30T00:00:00"/>
    <x v="2"/>
    <x v="5"/>
    <s v="Ягоды"/>
    <s v="Брусника"/>
    <n v="1670"/>
    <n v="14"/>
    <x v="1025"/>
  </r>
  <r>
    <d v="2023-08-30T00:00:00"/>
    <x v="2"/>
    <x v="6"/>
    <s v="Зелень"/>
    <s v="Укроп"/>
    <n v="650"/>
    <n v="23"/>
    <x v="522"/>
  </r>
  <r>
    <d v="2023-08-30T00:00:00"/>
    <x v="1"/>
    <x v="6"/>
    <s v="Фрукты"/>
    <s v="Абрикосы"/>
    <n v="1320"/>
    <n v="60"/>
    <x v="30"/>
  </r>
  <r>
    <s v="30.08.2023 Итог"/>
    <x v="3"/>
    <x v="2"/>
    <m/>
    <m/>
    <m/>
    <m/>
    <x v="1445"/>
  </r>
  <r>
    <d v="2023-08-31T00:00:00"/>
    <x v="1"/>
    <x v="3"/>
    <s v="Зелень"/>
    <s v="Салат римский"/>
    <n v="540"/>
    <n v="69"/>
    <x v="1"/>
  </r>
  <r>
    <d v="2023-08-31T00:00:00"/>
    <x v="2"/>
    <x v="3"/>
    <s v="Ягоды"/>
    <s v="Брусника"/>
    <n v="1670"/>
    <n v="87"/>
    <x v="1446"/>
  </r>
  <r>
    <d v="2023-08-31T00:00:00"/>
    <x v="2"/>
    <x v="0"/>
    <s v="Фрукты"/>
    <s v="Абрикосы"/>
    <n v="1320"/>
    <n v="10"/>
    <x v="1447"/>
  </r>
  <r>
    <d v="2023-08-31T00:00:00"/>
    <x v="1"/>
    <x v="0"/>
    <s v="Ягоды"/>
    <s v="Малина"/>
    <n v="2970"/>
    <n v="74"/>
    <x v="188"/>
  </r>
  <r>
    <d v="2023-08-31T00:00:00"/>
    <x v="0"/>
    <x v="4"/>
    <s v="Фрукты"/>
    <s v="Яблоки"/>
    <n v="1230"/>
    <n v="70"/>
    <x v="1388"/>
  </r>
  <r>
    <s v="31.08.2023 Итог"/>
    <x v="3"/>
    <x v="2"/>
    <m/>
    <m/>
    <m/>
    <m/>
    <x v="1448"/>
  </r>
  <r>
    <d v="2023-09-01T00:00:00"/>
    <x v="1"/>
    <x v="3"/>
    <s v="Зелень"/>
    <s v="Кинза"/>
    <n v="650"/>
    <n v="30"/>
    <x v="469"/>
  </r>
  <r>
    <d v="2023-09-01T00:00:00"/>
    <x v="4"/>
    <x v="0"/>
    <s v="Фрукты"/>
    <s v="Груши"/>
    <n v="1420"/>
    <n v="7"/>
    <x v="1302"/>
  </r>
  <r>
    <d v="2023-09-01T00:00:00"/>
    <x v="4"/>
    <x v="0"/>
    <s v="Ягоды"/>
    <s v="Малина"/>
    <n v="2970"/>
    <n v="8"/>
    <x v="1117"/>
  </r>
  <r>
    <d v="2023-09-01T00:00:00"/>
    <x v="2"/>
    <x v="0"/>
    <s v="Ягоды"/>
    <s v="Смородина черная"/>
    <n v="1505"/>
    <n v="93"/>
    <x v="1449"/>
  </r>
  <r>
    <d v="2023-09-01T00:00:00"/>
    <x v="1"/>
    <x v="4"/>
    <s v="Зелень"/>
    <s v="Кинза"/>
    <n v="650"/>
    <n v="74"/>
    <x v="1253"/>
  </r>
  <r>
    <d v="2023-09-01T00:00:00"/>
    <x v="4"/>
    <x v="5"/>
    <s v="Зелень"/>
    <s v="Кинза"/>
    <n v="650"/>
    <n v="24"/>
    <x v="337"/>
  </r>
  <r>
    <d v="2023-09-01T00:00:00"/>
    <x v="1"/>
    <x v="6"/>
    <s v="Зелень"/>
    <s v="Салат римский"/>
    <n v="540"/>
    <n v="28"/>
    <x v="1051"/>
  </r>
  <r>
    <d v="2023-09-01T00:00:00"/>
    <x v="0"/>
    <x v="6"/>
    <s v="Фрукты"/>
    <s v="Груши"/>
    <n v="1420"/>
    <n v="20"/>
    <x v="657"/>
  </r>
  <r>
    <s v="01.09.2023 Итог"/>
    <x v="3"/>
    <x v="2"/>
    <m/>
    <m/>
    <m/>
    <m/>
    <x v="1450"/>
  </r>
  <r>
    <d v="2023-09-02T00:00:00"/>
    <x v="1"/>
    <x v="3"/>
    <s v="Зелень"/>
    <s v="Петрушка"/>
    <n v="640"/>
    <n v="52"/>
    <x v="67"/>
  </r>
  <r>
    <d v="2023-09-02T00:00:00"/>
    <x v="2"/>
    <x v="3"/>
    <s v="Ягоды"/>
    <s v="Смородина черная"/>
    <n v="1505"/>
    <n v="76"/>
    <x v="1451"/>
  </r>
  <r>
    <d v="2023-09-02T00:00:00"/>
    <x v="4"/>
    <x v="0"/>
    <s v="Овощи"/>
    <s v="Свекла"/>
    <n v="450"/>
    <n v="71"/>
    <x v="1190"/>
  </r>
  <r>
    <d v="2023-09-02T00:00:00"/>
    <x v="1"/>
    <x v="0"/>
    <s v="Ягоды"/>
    <s v="Смородина черная"/>
    <n v="1505"/>
    <n v="8"/>
    <x v="509"/>
  </r>
  <r>
    <d v="2023-09-02T00:00:00"/>
    <x v="4"/>
    <x v="1"/>
    <s v="Овощи"/>
    <s v="Свекла"/>
    <n v="450"/>
    <n v="51"/>
    <x v="458"/>
  </r>
  <r>
    <d v="2023-09-02T00:00:00"/>
    <x v="2"/>
    <x v="5"/>
    <s v="Овощи"/>
    <s v="Кабачки"/>
    <n v="325"/>
    <n v="19"/>
    <x v="1452"/>
  </r>
  <r>
    <d v="2023-09-02T00:00:00"/>
    <x v="4"/>
    <x v="6"/>
    <s v="Овощи"/>
    <s v="Капуста"/>
    <n v="460"/>
    <n v="75"/>
    <x v="1057"/>
  </r>
  <r>
    <d v="2023-09-02T00:00:00"/>
    <x v="0"/>
    <x v="6"/>
    <s v="Фрукты"/>
    <s v="Бананы"/>
    <n v="2400"/>
    <n v="68"/>
    <x v="1370"/>
  </r>
  <r>
    <s v="02.09.2023 Итог"/>
    <x v="3"/>
    <x v="2"/>
    <m/>
    <m/>
    <m/>
    <m/>
    <x v="1453"/>
  </r>
  <r>
    <d v="2023-09-03T00:00:00"/>
    <x v="4"/>
    <x v="0"/>
    <s v="Ягоды"/>
    <s v="Черешня"/>
    <n v="1760"/>
    <n v="57"/>
    <x v="759"/>
  </r>
  <r>
    <d v="2023-09-03T00:00:00"/>
    <x v="0"/>
    <x v="1"/>
    <s v="Овощи"/>
    <s v="Свекла"/>
    <n v="450"/>
    <n v="37"/>
    <x v="325"/>
  </r>
  <r>
    <d v="2023-09-03T00:00:00"/>
    <x v="1"/>
    <x v="1"/>
    <s v="Овощи"/>
    <s v="Капуста"/>
    <n v="460"/>
    <n v="39"/>
    <x v="275"/>
  </r>
  <r>
    <d v="2023-09-03T00:00:00"/>
    <x v="0"/>
    <x v="1"/>
    <s v="Фрукты"/>
    <s v="Сливы"/>
    <n v="930"/>
    <n v="35"/>
    <x v="993"/>
  </r>
  <r>
    <d v="2023-09-03T00:00:00"/>
    <x v="2"/>
    <x v="1"/>
    <s v="Фрукты"/>
    <s v="Апельсины"/>
    <n v="2540"/>
    <n v="49"/>
    <x v="510"/>
  </r>
  <r>
    <d v="2023-09-03T00:00:00"/>
    <x v="2"/>
    <x v="5"/>
    <s v="Овощи"/>
    <s v="Баклажаны"/>
    <n v="890"/>
    <n v="10"/>
    <x v="445"/>
  </r>
  <r>
    <d v="2023-09-03T00:00:00"/>
    <x v="0"/>
    <x v="6"/>
    <s v="Ягоды"/>
    <s v="Голубика"/>
    <n v="3205"/>
    <n v="32"/>
    <x v="854"/>
  </r>
  <r>
    <s v="03.09.2023 Итог"/>
    <x v="3"/>
    <x v="2"/>
    <m/>
    <m/>
    <m/>
    <m/>
    <x v="1454"/>
  </r>
  <r>
    <d v="2023-09-04T00:00:00"/>
    <x v="4"/>
    <x v="3"/>
    <s v="Зелень"/>
    <s v="Салат римский"/>
    <n v="540"/>
    <n v="69"/>
    <x v="1"/>
  </r>
  <r>
    <d v="2023-09-04T00:00:00"/>
    <x v="2"/>
    <x v="3"/>
    <s v="Овощи"/>
    <s v="Кабачки"/>
    <n v="325"/>
    <n v="40"/>
    <x v="1455"/>
  </r>
  <r>
    <d v="2023-09-04T00:00:00"/>
    <x v="1"/>
    <x v="3"/>
    <s v="Ягоды"/>
    <s v="Малина"/>
    <n v="2970"/>
    <n v="46"/>
    <x v="1212"/>
  </r>
  <r>
    <d v="2023-09-04T00:00:00"/>
    <x v="2"/>
    <x v="3"/>
    <s v="Ягоды"/>
    <s v="Черешня"/>
    <n v="1760"/>
    <n v="98"/>
    <x v="536"/>
  </r>
  <r>
    <d v="2023-09-04T00:00:00"/>
    <x v="1"/>
    <x v="0"/>
    <s v="Овощи"/>
    <s v="Баклажаны"/>
    <n v="890"/>
    <n v="53"/>
    <x v="1456"/>
  </r>
  <r>
    <d v="2023-09-04T00:00:00"/>
    <x v="2"/>
    <x v="4"/>
    <s v="Зелень"/>
    <s v="Петрушка"/>
    <n v="640"/>
    <n v="24"/>
    <x v="1106"/>
  </r>
  <r>
    <d v="2023-09-04T00:00:00"/>
    <x v="2"/>
    <x v="1"/>
    <s v="Зелень"/>
    <s v="Салат римский"/>
    <n v="540"/>
    <n v="88"/>
    <x v="413"/>
  </r>
  <r>
    <d v="2023-09-04T00:00:00"/>
    <x v="2"/>
    <x v="1"/>
    <s v="Ягоды"/>
    <s v="Голубика"/>
    <n v="3205"/>
    <n v="11"/>
    <x v="661"/>
  </r>
  <r>
    <d v="2023-09-04T00:00:00"/>
    <x v="1"/>
    <x v="5"/>
    <s v="Зелень"/>
    <s v="Петрушка"/>
    <n v="640"/>
    <n v="81"/>
    <x v="1362"/>
  </r>
  <r>
    <d v="2023-09-04T00:00:00"/>
    <x v="4"/>
    <x v="5"/>
    <s v="Ягоды"/>
    <s v="Смородина черная"/>
    <n v="1505"/>
    <n v="41"/>
    <x v="1089"/>
  </r>
  <r>
    <d v="2023-09-04T00:00:00"/>
    <x v="1"/>
    <x v="6"/>
    <s v="Фрукты"/>
    <s v="Груши"/>
    <n v="1420"/>
    <n v="74"/>
    <x v="384"/>
  </r>
  <r>
    <s v="04.09.2023 Итог"/>
    <x v="3"/>
    <x v="2"/>
    <m/>
    <m/>
    <m/>
    <m/>
    <x v="1457"/>
  </r>
  <r>
    <d v="2023-09-05T00:00:00"/>
    <x v="4"/>
    <x v="3"/>
    <s v="Зелень"/>
    <s v="Салат айсберг"/>
    <n v="1380"/>
    <n v="93"/>
    <x v="902"/>
  </r>
  <r>
    <d v="2023-09-05T00:00:00"/>
    <x v="1"/>
    <x v="3"/>
    <s v="Овощи"/>
    <s v="Кабачки"/>
    <n v="325"/>
    <n v="58"/>
    <x v="46"/>
  </r>
  <r>
    <d v="2023-09-05T00:00:00"/>
    <x v="1"/>
    <x v="3"/>
    <s v="Фрукты"/>
    <s v="Апельсины"/>
    <n v="2540"/>
    <n v="21"/>
    <x v="658"/>
  </r>
  <r>
    <d v="2023-09-05T00:00:00"/>
    <x v="1"/>
    <x v="4"/>
    <s v="Ягоды"/>
    <s v="Малина"/>
    <n v="2970"/>
    <n v="36"/>
    <x v="1458"/>
  </r>
  <r>
    <d v="2023-09-05T00:00:00"/>
    <x v="1"/>
    <x v="4"/>
    <s v="Ягоды"/>
    <s v="Брусника"/>
    <n v="1670"/>
    <n v="53"/>
    <x v="1244"/>
  </r>
  <r>
    <d v="2023-09-05T00:00:00"/>
    <x v="4"/>
    <x v="1"/>
    <s v="Овощи"/>
    <s v="Баклажаны"/>
    <n v="890"/>
    <n v="79"/>
    <x v="1459"/>
  </r>
  <r>
    <d v="2023-09-05T00:00:00"/>
    <x v="2"/>
    <x v="5"/>
    <s v="Зелень"/>
    <s v="Салат римский"/>
    <n v="540"/>
    <n v="43"/>
    <x v="1460"/>
  </r>
  <r>
    <d v="2023-09-05T00:00:00"/>
    <x v="1"/>
    <x v="5"/>
    <s v="Зелень"/>
    <s v="Салат римский"/>
    <n v="540"/>
    <n v="39"/>
    <x v="1461"/>
  </r>
  <r>
    <d v="2023-09-05T00:00:00"/>
    <x v="4"/>
    <x v="6"/>
    <s v="Ягоды"/>
    <s v="Черешня"/>
    <n v="1760"/>
    <n v="18"/>
    <x v="1042"/>
  </r>
  <r>
    <s v="05.09.2023 Итог"/>
    <x v="3"/>
    <x v="2"/>
    <m/>
    <m/>
    <m/>
    <m/>
    <x v="1462"/>
  </r>
  <r>
    <d v="2023-09-06T00:00:00"/>
    <x v="1"/>
    <x v="0"/>
    <s v="Ягоды"/>
    <s v="Черешня"/>
    <n v="1760"/>
    <n v="99"/>
    <x v="386"/>
  </r>
  <r>
    <d v="2023-09-06T00:00:00"/>
    <x v="0"/>
    <x v="4"/>
    <s v="Овощи"/>
    <s v="Картофель"/>
    <n v="690"/>
    <n v="6"/>
    <x v="1071"/>
  </r>
  <r>
    <d v="2023-09-06T00:00:00"/>
    <x v="4"/>
    <x v="4"/>
    <s v="Овощи"/>
    <s v="Баклажаны"/>
    <n v="890"/>
    <n v="80"/>
    <x v="821"/>
  </r>
  <r>
    <d v="2023-09-06T00:00:00"/>
    <x v="1"/>
    <x v="4"/>
    <s v="Фрукты"/>
    <s v="Груши"/>
    <n v="1420"/>
    <n v="12"/>
    <x v="134"/>
  </r>
  <r>
    <d v="2023-09-06T00:00:00"/>
    <x v="2"/>
    <x v="4"/>
    <s v="Ягоды"/>
    <s v="Брусника"/>
    <n v="1670"/>
    <n v="94"/>
    <x v="1463"/>
  </r>
  <r>
    <s v="06.09.2023 Итог"/>
    <x v="3"/>
    <x v="2"/>
    <m/>
    <m/>
    <m/>
    <m/>
    <x v="1464"/>
  </r>
  <r>
    <d v="2023-09-07T00:00:00"/>
    <x v="0"/>
    <x v="3"/>
    <s v="Ягоды"/>
    <s v="Клубника"/>
    <n v="2460"/>
    <n v="52"/>
    <x v="1465"/>
  </r>
  <r>
    <d v="2023-09-07T00:00:00"/>
    <x v="1"/>
    <x v="0"/>
    <s v="Зелень"/>
    <s v="Салат айсберг"/>
    <n v="1380"/>
    <n v="14"/>
    <x v="1204"/>
  </r>
  <r>
    <d v="2023-09-07T00:00:00"/>
    <x v="0"/>
    <x v="0"/>
    <s v="Зелень"/>
    <s v="Петрушка"/>
    <n v="640"/>
    <n v="54"/>
    <x v="1466"/>
  </r>
  <r>
    <d v="2023-09-07T00:00:00"/>
    <x v="4"/>
    <x v="0"/>
    <s v="Ягоды"/>
    <s v="Клубника"/>
    <n v="2460"/>
    <n v="73"/>
    <x v="897"/>
  </r>
  <r>
    <d v="2023-09-07T00:00:00"/>
    <x v="1"/>
    <x v="4"/>
    <s v="Овощи"/>
    <s v="Капуста"/>
    <n v="460"/>
    <n v="59"/>
    <x v="840"/>
  </r>
  <r>
    <d v="2023-09-07T00:00:00"/>
    <x v="4"/>
    <x v="5"/>
    <s v="Овощи"/>
    <s v="Картофель"/>
    <n v="690"/>
    <n v="28"/>
    <x v="1204"/>
  </r>
  <r>
    <d v="2023-09-07T00:00:00"/>
    <x v="1"/>
    <x v="5"/>
    <s v="Ягоды"/>
    <s v="Смородина черная"/>
    <n v="1505"/>
    <n v="76"/>
    <x v="1451"/>
  </r>
  <r>
    <d v="2023-09-07T00:00:00"/>
    <x v="4"/>
    <x v="6"/>
    <s v="Ягоды"/>
    <s v="Клубника"/>
    <n v="2460"/>
    <n v="78"/>
    <x v="380"/>
  </r>
  <r>
    <s v="07.09.2023 Итог"/>
    <x v="3"/>
    <x v="2"/>
    <m/>
    <m/>
    <m/>
    <m/>
    <x v="1467"/>
  </r>
  <r>
    <d v="2023-09-08T00:00:00"/>
    <x v="1"/>
    <x v="3"/>
    <s v="Фрукты"/>
    <s v="Апельсины"/>
    <n v="2540"/>
    <n v="82"/>
    <x v="263"/>
  </r>
  <r>
    <d v="2023-09-08T00:00:00"/>
    <x v="1"/>
    <x v="0"/>
    <s v="Фрукты"/>
    <s v="Сливы"/>
    <n v="930"/>
    <n v="34"/>
    <x v="653"/>
  </r>
  <r>
    <d v="2023-09-08T00:00:00"/>
    <x v="4"/>
    <x v="4"/>
    <s v="Зелень"/>
    <s v="Укроп"/>
    <n v="650"/>
    <n v="32"/>
    <x v="237"/>
  </r>
  <r>
    <s v="08.09.2023 Итог"/>
    <x v="3"/>
    <x v="2"/>
    <m/>
    <m/>
    <m/>
    <m/>
    <x v="1468"/>
  </r>
  <r>
    <d v="2023-09-09T00:00:00"/>
    <x v="2"/>
    <x v="3"/>
    <s v="Зелень"/>
    <s v="Лук зеленый"/>
    <n v="705"/>
    <n v="41"/>
    <x v="1469"/>
  </r>
  <r>
    <d v="2023-09-09T00:00:00"/>
    <x v="0"/>
    <x v="3"/>
    <s v="Овощи"/>
    <s v="Капуста"/>
    <n v="460"/>
    <n v="69"/>
    <x v="610"/>
  </r>
  <r>
    <d v="2023-09-09T00:00:00"/>
    <x v="2"/>
    <x v="0"/>
    <s v="Овощи"/>
    <s v="Капуста"/>
    <n v="460"/>
    <n v="50"/>
    <x v="1470"/>
  </r>
  <r>
    <d v="2023-09-09T00:00:00"/>
    <x v="0"/>
    <x v="0"/>
    <s v="Овощи"/>
    <s v="Свекла"/>
    <n v="450"/>
    <n v="10"/>
    <x v="862"/>
  </r>
  <r>
    <d v="2023-09-09T00:00:00"/>
    <x v="4"/>
    <x v="0"/>
    <s v="Фрукты"/>
    <s v="Груши"/>
    <n v="1420"/>
    <n v="43"/>
    <x v="777"/>
  </r>
  <r>
    <d v="2023-09-09T00:00:00"/>
    <x v="4"/>
    <x v="4"/>
    <s v="Зелень"/>
    <s v="Кинза"/>
    <n v="650"/>
    <n v="10"/>
    <x v="562"/>
  </r>
  <r>
    <d v="2023-09-09T00:00:00"/>
    <x v="1"/>
    <x v="4"/>
    <s v="Овощи"/>
    <s v="Картофель"/>
    <n v="690"/>
    <n v="94"/>
    <x v="752"/>
  </r>
  <r>
    <d v="2023-09-09T00:00:00"/>
    <x v="0"/>
    <x v="1"/>
    <s v="Ягоды"/>
    <s v="Черешня"/>
    <n v="1760"/>
    <n v="86"/>
    <x v="1471"/>
  </r>
  <r>
    <d v="2023-09-09T00:00:00"/>
    <x v="4"/>
    <x v="6"/>
    <s v="Зелень"/>
    <s v="Петрушка"/>
    <n v="640"/>
    <n v="46"/>
    <x v="582"/>
  </r>
  <r>
    <d v="2023-09-09T00:00:00"/>
    <x v="0"/>
    <x v="6"/>
    <s v="Зелень"/>
    <s v="Лук зеленый"/>
    <n v="705"/>
    <n v="84"/>
    <x v="1472"/>
  </r>
  <r>
    <d v="2023-09-09T00:00:00"/>
    <x v="2"/>
    <x v="6"/>
    <s v="Овощи"/>
    <s v="Морковь"/>
    <n v="715"/>
    <n v="14"/>
    <x v="13"/>
  </r>
  <r>
    <s v="09.09.2023 Итог"/>
    <x v="3"/>
    <x v="2"/>
    <m/>
    <m/>
    <m/>
    <m/>
    <x v="1473"/>
  </r>
  <r>
    <d v="2023-09-10T00:00:00"/>
    <x v="4"/>
    <x v="3"/>
    <s v="Фрукты"/>
    <s v="Бананы"/>
    <n v="2400"/>
    <n v="12"/>
    <x v="242"/>
  </r>
  <r>
    <d v="2023-09-10T00:00:00"/>
    <x v="4"/>
    <x v="0"/>
    <s v="Фрукты"/>
    <s v="Бананы"/>
    <n v="2400"/>
    <n v="51"/>
    <x v="152"/>
  </r>
  <r>
    <d v="2023-09-10T00:00:00"/>
    <x v="2"/>
    <x v="1"/>
    <s v="Фрукты"/>
    <s v="Абрикосы"/>
    <n v="1320"/>
    <n v="21"/>
    <x v="1474"/>
  </r>
  <r>
    <d v="2023-09-10T00:00:00"/>
    <x v="2"/>
    <x v="1"/>
    <s v="Ягоды"/>
    <s v="Малина"/>
    <n v="2970"/>
    <n v="45"/>
    <x v="784"/>
  </r>
  <r>
    <d v="2023-09-10T00:00:00"/>
    <x v="2"/>
    <x v="5"/>
    <s v="Овощи"/>
    <s v="Морковь"/>
    <n v="715"/>
    <n v="82"/>
    <x v="842"/>
  </r>
  <r>
    <s v="10.09.2023 Итог"/>
    <x v="3"/>
    <x v="2"/>
    <m/>
    <m/>
    <m/>
    <m/>
    <x v="1475"/>
  </r>
  <r>
    <d v="2023-09-11T00:00:00"/>
    <x v="2"/>
    <x v="4"/>
    <s v="Овощи"/>
    <s v="Свекла"/>
    <n v="450"/>
    <n v="92"/>
    <x v="356"/>
  </r>
  <r>
    <d v="2023-09-11T00:00:00"/>
    <x v="1"/>
    <x v="1"/>
    <s v="Зелень"/>
    <s v="Кинза"/>
    <n v="650"/>
    <n v="7"/>
    <x v="928"/>
  </r>
  <r>
    <d v="2023-09-11T00:00:00"/>
    <x v="4"/>
    <x v="1"/>
    <s v="Овощи"/>
    <s v="Капуста"/>
    <n v="460"/>
    <n v="78"/>
    <x v="690"/>
  </r>
  <r>
    <d v="2023-09-11T00:00:00"/>
    <x v="0"/>
    <x v="1"/>
    <s v="Фрукты"/>
    <s v="Яблоки"/>
    <n v="1230"/>
    <n v="72"/>
    <x v="272"/>
  </r>
  <r>
    <d v="2023-09-11T00:00:00"/>
    <x v="4"/>
    <x v="6"/>
    <s v="Ягоды"/>
    <s v="Голубика"/>
    <n v="3205"/>
    <n v="89"/>
    <x v="751"/>
  </r>
  <r>
    <s v="11.09.2023 Итог"/>
    <x v="3"/>
    <x v="2"/>
    <m/>
    <m/>
    <m/>
    <m/>
    <x v="1476"/>
  </r>
  <r>
    <d v="2023-09-12T00:00:00"/>
    <x v="0"/>
    <x v="3"/>
    <s v="Фрукты"/>
    <s v="Апельсины"/>
    <n v="2540"/>
    <n v="37"/>
    <x v="300"/>
  </r>
  <r>
    <d v="2023-09-12T00:00:00"/>
    <x v="0"/>
    <x v="3"/>
    <s v="Ягоды"/>
    <s v="Клубника"/>
    <n v="2460"/>
    <n v="48"/>
    <x v="491"/>
  </r>
  <r>
    <d v="2023-09-12T00:00:00"/>
    <x v="4"/>
    <x v="1"/>
    <s v="Овощи"/>
    <s v="Свекла"/>
    <n v="450"/>
    <n v="55"/>
    <x v="418"/>
  </r>
  <r>
    <d v="2023-09-12T00:00:00"/>
    <x v="4"/>
    <x v="1"/>
    <s v="Ягоды"/>
    <s v="Клубника"/>
    <n v="2460"/>
    <n v="50"/>
    <x v="284"/>
  </r>
  <r>
    <d v="2023-09-12T00:00:00"/>
    <x v="2"/>
    <x v="5"/>
    <s v="Овощи"/>
    <s v="Баклажаны"/>
    <n v="890"/>
    <n v="9"/>
    <x v="1022"/>
  </r>
  <r>
    <d v="2023-09-12T00:00:00"/>
    <x v="4"/>
    <x v="6"/>
    <s v="Зелень"/>
    <s v="Лук зеленый"/>
    <n v="705"/>
    <n v="21"/>
    <x v="130"/>
  </r>
  <r>
    <d v="2023-09-12T00:00:00"/>
    <x v="1"/>
    <x v="6"/>
    <s v="Овощи"/>
    <s v="Капуста"/>
    <n v="460"/>
    <n v="7"/>
    <x v="278"/>
  </r>
  <r>
    <d v="2023-09-12T00:00:00"/>
    <x v="2"/>
    <x v="6"/>
    <s v="Овощи"/>
    <s v="Кабачки"/>
    <n v="325"/>
    <n v="76"/>
    <x v="573"/>
  </r>
  <r>
    <d v="2023-09-12T00:00:00"/>
    <x v="4"/>
    <x v="6"/>
    <s v="Фрукты"/>
    <s v="Абрикосы"/>
    <n v="1320"/>
    <n v="60"/>
    <x v="30"/>
  </r>
  <r>
    <s v="12.09.2023 Итог"/>
    <x v="3"/>
    <x v="2"/>
    <m/>
    <m/>
    <m/>
    <m/>
    <x v="1477"/>
  </r>
  <r>
    <d v="2023-09-13T00:00:00"/>
    <x v="1"/>
    <x v="3"/>
    <s v="Зелень"/>
    <s v="Лук зеленый"/>
    <n v="705"/>
    <n v="35"/>
    <x v="1478"/>
  </r>
  <r>
    <d v="2023-09-13T00:00:00"/>
    <x v="4"/>
    <x v="3"/>
    <s v="Фрукты"/>
    <s v="Сливы"/>
    <n v="930"/>
    <n v="93"/>
    <x v="1479"/>
  </r>
  <r>
    <d v="2023-09-13T00:00:00"/>
    <x v="4"/>
    <x v="0"/>
    <s v="Ягоды"/>
    <s v="Смородина черная"/>
    <n v="1505"/>
    <n v="74"/>
    <x v="731"/>
  </r>
  <r>
    <d v="2023-09-13T00:00:00"/>
    <x v="2"/>
    <x v="4"/>
    <s v="Овощи"/>
    <s v="Баклажаны"/>
    <n v="890"/>
    <n v="46"/>
    <x v="402"/>
  </r>
  <r>
    <d v="2023-09-13T00:00:00"/>
    <x v="2"/>
    <x v="4"/>
    <s v="Ягоды"/>
    <s v="Смородина черная"/>
    <n v="1505"/>
    <n v="76"/>
    <x v="1451"/>
  </r>
  <r>
    <d v="2023-09-13T00:00:00"/>
    <x v="0"/>
    <x v="4"/>
    <s v="Ягоды"/>
    <s v="Брусника"/>
    <n v="1670"/>
    <n v="83"/>
    <x v="1480"/>
  </r>
  <r>
    <d v="2023-09-13T00:00:00"/>
    <x v="1"/>
    <x v="1"/>
    <s v="Фрукты"/>
    <s v="Груши"/>
    <n v="1420"/>
    <n v="11"/>
    <x v="309"/>
  </r>
  <r>
    <d v="2023-09-13T00:00:00"/>
    <x v="4"/>
    <x v="1"/>
    <s v="Фрукты"/>
    <s v="Сливы"/>
    <n v="930"/>
    <n v="47"/>
    <x v="713"/>
  </r>
  <r>
    <d v="2023-09-13T00:00:00"/>
    <x v="4"/>
    <x v="1"/>
    <s v="Фрукты"/>
    <s v="Яблоки"/>
    <n v="1230"/>
    <n v="32"/>
    <x v="581"/>
  </r>
  <r>
    <d v="2023-09-13T00:00:00"/>
    <x v="0"/>
    <x v="1"/>
    <s v="Ягоды"/>
    <s v="Черешня"/>
    <n v="1760"/>
    <n v="33"/>
    <x v="660"/>
  </r>
  <r>
    <s v="13.09.2023 Итог"/>
    <x v="3"/>
    <x v="2"/>
    <m/>
    <m/>
    <m/>
    <m/>
    <x v="1481"/>
  </r>
  <r>
    <d v="2023-09-14T00:00:00"/>
    <x v="0"/>
    <x v="0"/>
    <s v="Овощи"/>
    <s v="Свекла"/>
    <n v="450"/>
    <n v="97"/>
    <x v="321"/>
  </r>
  <r>
    <d v="2023-09-14T00:00:00"/>
    <x v="1"/>
    <x v="0"/>
    <s v="Овощи"/>
    <s v="Капуста"/>
    <n v="460"/>
    <n v="88"/>
    <x v="539"/>
  </r>
  <r>
    <d v="2023-09-14T00:00:00"/>
    <x v="2"/>
    <x v="0"/>
    <s v="Фрукты"/>
    <s v="Яблоки"/>
    <n v="1230"/>
    <n v="97"/>
    <x v="1482"/>
  </r>
  <r>
    <d v="2023-09-14T00:00:00"/>
    <x v="1"/>
    <x v="0"/>
    <s v="Фрукты"/>
    <s v="Абрикосы"/>
    <n v="1320"/>
    <n v="74"/>
    <x v="1483"/>
  </r>
  <r>
    <d v="2023-09-14T00:00:00"/>
    <x v="0"/>
    <x v="4"/>
    <s v="Зелень"/>
    <s v="Кинза"/>
    <n v="650"/>
    <n v="54"/>
    <x v="158"/>
  </r>
  <r>
    <d v="2023-09-14T00:00:00"/>
    <x v="4"/>
    <x v="4"/>
    <s v="Фрукты"/>
    <s v="Апельсины"/>
    <n v="2540"/>
    <n v="9"/>
    <x v="1484"/>
  </r>
  <r>
    <d v="2023-09-14T00:00:00"/>
    <x v="1"/>
    <x v="1"/>
    <s v="Фрукты"/>
    <s v="Бананы"/>
    <n v="2400"/>
    <n v="45"/>
    <x v="1356"/>
  </r>
  <r>
    <d v="2023-09-14T00:00:00"/>
    <x v="0"/>
    <x v="5"/>
    <s v="Зелень"/>
    <s v="Кинза"/>
    <n v="650"/>
    <n v="86"/>
    <x v="1072"/>
  </r>
  <r>
    <d v="2023-09-14T00:00:00"/>
    <x v="2"/>
    <x v="5"/>
    <s v="Зелень"/>
    <s v="Лук зеленый"/>
    <n v="705"/>
    <n v="21"/>
    <x v="130"/>
  </r>
  <r>
    <d v="2023-09-14T00:00:00"/>
    <x v="4"/>
    <x v="5"/>
    <s v="Зелень"/>
    <s v="Салат римский"/>
    <n v="540"/>
    <n v="98"/>
    <x v="136"/>
  </r>
  <r>
    <d v="2023-09-14T00:00:00"/>
    <x v="0"/>
    <x v="5"/>
    <s v="Ягоды"/>
    <s v="Голубика"/>
    <n v="3205"/>
    <n v="21"/>
    <x v="320"/>
  </r>
  <r>
    <d v="2023-09-14T00:00:00"/>
    <x v="4"/>
    <x v="6"/>
    <s v="Ягоды"/>
    <s v="Смородина черная"/>
    <n v="1505"/>
    <n v="65"/>
    <x v="911"/>
  </r>
  <r>
    <d v="2023-09-14T00:00:00"/>
    <x v="4"/>
    <x v="6"/>
    <s v="Ягоды"/>
    <s v="Малина"/>
    <n v="2970"/>
    <n v="17"/>
    <x v="249"/>
  </r>
  <r>
    <s v="14.09.2023 Итог"/>
    <x v="3"/>
    <x v="2"/>
    <m/>
    <m/>
    <m/>
    <m/>
    <x v="1485"/>
  </r>
  <r>
    <d v="2023-09-15T00:00:00"/>
    <x v="1"/>
    <x v="3"/>
    <s v="Ягоды"/>
    <s v="Малина"/>
    <n v="2970"/>
    <n v="69"/>
    <x v="1486"/>
  </r>
  <r>
    <d v="2023-09-15T00:00:00"/>
    <x v="1"/>
    <x v="4"/>
    <s v="Зелень"/>
    <s v="Лук зеленый"/>
    <n v="705"/>
    <n v="32"/>
    <x v="1487"/>
  </r>
  <r>
    <d v="2023-09-15T00:00:00"/>
    <x v="1"/>
    <x v="4"/>
    <s v="Фрукты"/>
    <s v="Абрикосы"/>
    <n v="1320"/>
    <n v="87"/>
    <x v="525"/>
  </r>
  <r>
    <d v="2023-09-15T00:00:00"/>
    <x v="1"/>
    <x v="4"/>
    <s v="Фрукты"/>
    <s v="Сливы"/>
    <n v="930"/>
    <n v="27"/>
    <x v="1488"/>
  </r>
  <r>
    <d v="2023-09-15T00:00:00"/>
    <x v="1"/>
    <x v="4"/>
    <s v="Фрукты"/>
    <s v="Абрикосы"/>
    <n v="1320"/>
    <n v="98"/>
    <x v="1489"/>
  </r>
  <r>
    <d v="2023-09-15T00:00:00"/>
    <x v="0"/>
    <x v="1"/>
    <s v="Ягоды"/>
    <s v="Клубника"/>
    <n v="2460"/>
    <n v="57"/>
    <x v="1431"/>
  </r>
  <r>
    <d v="2023-09-15T00:00:00"/>
    <x v="2"/>
    <x v="6"/>
    <s v="Зелень"/>
    <s v="Салат айсберг"/>
    <n v="1380"/>
    <n v="57"/>
    <x v="890"/>
  </r>
  <r>
    <d v="2023-09-15T00:00:00"/>
    <x v="4"/>
    <x v="6"/>
    <s v="Ягоды"/>
    <s v="Голубика"/>
    <n v="3205"/>
    <n v="24"/>
    <x v="867"/>
  </r>
  <r>
    <s v="15.09.2023 Итог"/>
    <x v="3"/>
    <x v="2"/>
    <m/>
    <m/>
    <m/>
    <m/>
    <x v="1490"/>
  </r>
  <r>
    <d v="2023-09-16T00:00:00"/>
    <x v="4"/>
    <x v="3"/>
    <s v="Зелень"/>
    <s v="Салат айсберг"/>
    <n v="1380"/>
    <n v="40"/>
    <x v="985"/>
  </r>
  <r>
    <d v="2023-09-16T00:00:00"/>
    <x v="0"/>
    <x v="3"/>
    <s v="Овощи"/>
    <s v="Кабачки"/>
    <n v="325"/>
    <n v="72"/>
    <x v="756"/>
  </r>
  <r>
    <d v="2023-09-16T00:00:00"/>
    <x v="1"/>
    <x v="4"/>
    <s v="Зелень"/>
    <s v="Лук зеленый"/>
    <n v="705"/>
    <n v="42"/>
    <x v="1125"/>
  </r>
  <r>
    <d v="2023-09-16T00:00:00"/>
    <x v="4"/>
    <x v="4"/>
    <s v="Зелень"/>
    <s v="Укроп"/>
    <n v="650"/>
    <n v="16"/>
    <x v="673"/>
  </r>
  <r>
    <d v="2023-09-16T00:00:00"/>
    <x v="0"/>
    <x v="1"/>
    <s v="Фрукты"/>
    <s v="Яблоки"/>
    <n v="1230"/>
    <n v="38"/>
    <x v="1491"/>
  </r>
  <r>
    <d v="2023-09-16T00:00:00"/>
    <x v="2"/>
    <x v="5"/>
    <s v="Ягоды"/>
    <s v="Смородина черная"/>
    <n v="1505"/>
    <n v="88"/>
    <x v="1492"/>
  </r>
  <r>
    <d v="2023-09-16T00:00:00"/>
    <x v="0"/>
    <x v="6"/>
    <s v="Зелень"/>
    <s v="Кинза"/>
    <n v="650"/>
    <n v="31"/>
    <x v="306"/>
  </r>
  <r>
    <d v="2023-09-16T00:00:00"/>
    <x v="1"/>
    <x v="6"/>
    <s v="Ягоды"/>
    <s v="Черешня"/>
    <n v="1760"/>
    <n v="71"/>
    <x v="444"/>
  </r>
  <r>
    <s v="16.09.2023 Итог"/>
    <x v="3"/>
    <x v="2"/>
    <m/>
    <m/>
    <m/>
    <m/>
    <x v="1493"/>
  </r>
  <r>
    <d v="2023-09-17T00:00:00"/>
    <x v="4"/>
    <x v="3"/>
    <s v="Зелень"/>
    <s v="Салат римский"/>
    <n v="540"/>
    <n v="54"/>
    <x v="789"/>
  </r>
  <r>
    <d v="2023-09-17T00:00:00"/>
    <x v="1"/>
    <x v="3"/>
    <s v="Овощи"/>
    <s v="Баклажаны"/>
    <n v="890"/>
    <n v="92"/>
    <x v="595"/>
  </r>
  <r>
    <d v="2023-09-17T00:00:00"/>
    <x v="0"/>
    <x v="3"/>
    <s v="Ягоды"/>
    <s v="Голубика"/>
    <n v="3205"/>
    <n v="59"/>
    <x v="109"/>
  </r>
  <r>
    <d v="2023-09-17T00:00:00"/>
    <x v="2"/>
    <x v="4"/>
    <s v="Овощи"/>
    <s v="Картофель"/>
    <n v="690"/>
    <n v="50"/>
    <x v="1057"/>
  </r>
  <r>
    <d v="2023-09-17T00:00:00"/>
    <x v="1"/>
    <x v="4"/>
    <s v="Фрукты"/>
    <s v="Бананы"/>
    <n v="2400"/>
    <n v="96"/>
    <x v="1281"/>
  </r>
  <r>
    <d v="2023-09-17T00:00:00"/>
    <x v="2"/>
    <x v="1"/>
    <s v="Зелень"/>
    <s v="Салат римский"/>
    <n v="540"/>
    <n v="99"/>
    <x v="804"/>
  </r>
  <r>
    <d v="2023-09-17T00:00:00"/>
    <x v="4"/>
    <x v="5"/>
    <s v="Фрукты"/>
    <s v="Сливы"/>
    <n v="930"/>
    <n v="21"/>
    <x v="1494"/>
  </r>
  <r>
    <s v="17.09.2023 Итог"/>
    <x v="3"/>
    <x v="2"/>
    <m/>
    <m/>
    <m/>
    <m/>
    <x v="1495"/>
  </r>
  <r>
    <d v="2023-09-18T00:00:00"/>
    <x v="2"/>
    <x v="3"/>
    <s v="Овощи"/>
    <s v="Баклажаны"/>
    <n v="890"/>
    <n v="76"/>
    <x v="1496"/>
  </r>
  <r>
    <d v="2023-09-18T00:00:00"/>
    <x v="0"/>
    <x v="3"/>
    <s v="Ягоды"/>
    <s v="Малина"/>
    <n v="2970"/>
    <n v="19"/>
    <x v="844"/>
  </r>
  <r>
    <d v="2023-09-18T00:00:00"/>
    <x v="2"/>
    <x v="0"/>
    <s v="Зелень"/>
    <s v="Укроп"/>
    <n v="650"/>
    <n v="20"/>
    <x v="1455"/>
  </r>
  <r>
    <d v="2023-09-18T00:00:00"/>
    <x v="2"/>
    <x v="0"/>
    <s v="Фрукты"/>
    <s v="Яблоки"/>
    <n v="1230"/>
    <n v="79"/>
    <x v="808"/>
  </r>
  <r>
    <d v="2023-09-18T00:00:00"/>
    <x v="0"/>
    <x v="0"/>
    <s v="Ягоды"/>
    <s v="Малина"/>
    <n v="2970"/>
    <n v="25"/>
    <x v="1497"/>
  </r>
  <r>
    <d v="2023-09-18T00:00:00"/>
    <x v="0"/>
    <x v="4"/>
    <s v="Овощи"/>
    <s v="Баклажаны"/>
    <n v="890"/>
    <n v="91"/>
    <x v="1498"/>
  </r>
  <r>
    <d v="2023-09-18T00:00:00"/>
    <x v="0"/>
    <x v="4"/>
    <s v="Овощи"/>
    <s v="Картофель"/>
    <n v="690"/>
    <n v="91"/>
    <x v="1174"/>
  </r>
  <r>
    <d v="2023-09-18T00:00:00"/>
    <x v="2"/>
    <x v="4"/>
    <s v="Ягоды"/>
    <s v="Смородина черная"/>
    <n v="1505"/>
    <n v="19"/>
    <x v="945"/>
  </r>
  <r>
    <d v="2023-09-18T00:00:00"/>
    <x v="1"/>
    <x v="5"/>
    <s v="Зелень"/>
    <s v="Салат айсберг"/>
    <n v="1380"/>
    <n v="10"/>
    <x v="505"/>
  </r>
  <r>
    <d v="2023-09-18T00:00:00"/>
    <x v="0"/>
    <x v="5"/>
    <s v="Зелень"/>
    <s v="Салат римский"/>
    <n v="540"/>
    <n v="48"/>
    <x v="364"/>
  </r>
  <r>
    <d v="2023-09-18T00:00:00"/>
    <x v="4"/>
    <x v="5"/>
    <s v="Ягоды"/>
    <s v="Малина"/>
    <n v="2970"/>
    <n v="72"/>
    <x v="492"/>
  </r>
  <r>
    <d v="2023-09-18T00:00:00"/>
    <x v="0"/>
    <x v="5"/>
    <s v="Ягоды"/>
    <s v="Смородина черная"/>
    <n v="1505"/>
    <n v="7"/>
    <x v="1102"/>
  </r>
  <r>
    <d v="2023-09-18T00:00:00"/>
    <x v="1"/>
    <x v="6"/>
    <s v="Зелень"/>
    <s v="Укроп"/>
    <n v="650"/>
    <n v="24"/>
    <x v="337"/>
  </r>
  <r>
    <d v="2023-09-18T00:00:00"/>
    <x v="2"/>
    <x v="6"/>
    <s v="Ягоды"/>
    <s v="Малина"/>
    <n v="2970"/>
    <n v="74"/>
    <x v="188"/>
  </r>
  <r>
    <d v="2023-09-18T00:00:00"/>
    <x v="1"/>
    <x v="6"/>
    <s v="Ягоды"/>
    <s v="Брусника"/>
    <n v="1670"/>
    <n v="36"/>
    <x v="500"/>
  </r>
  <r>
    <s v="18.09.2023 Итог"/>
    <x v="3"/>
    <x v="2"/>
    <m/>
    <m/>
    <m/>
    <m/>
    <x v="1499"/>
  </r>
  <r>
    <d v="2023-09-19T00:00:00"/>
    <x v="0"/>
    <x v="0"/>
    <s v="Ягоды"/>
    <s v="Черешня"/>
    <n v="1760"/>
    <n v="45"/>
    <x v="30"/>
  </r>
  <r>
    <d v="2023-09-19T00:00:00"/>
    <x v="0"/>
    <x v="0"/>
    <s v="Ягоды"/>
    <s v="Брусника"/>
    <n v="1670"/>
    <n v="100"/>
    <x v="1363"/>
  </r>
  <r>
    <d v="2023-09-19T00:00:00"/>
    <x v="4"/>
    <x v="1"/>
    <s v="Овощи"/>
    <s v="Морковь"/>
    <n v="715"/>
    <n v="95"/>
    <x v="1500"/>
  </r>
  <r>
    <d v="2023-09-19T00:00:00"/>
    <x v="0"/>
    <x v="1"/>
    <s v="Ягоды"/>
    <s v="Брусника"/>
    <n v="1670"/>
    <n v="68"/>
    <x v="1410"/>
  </r>
  <r>
    <d v="2023-09-19T00:00:00"/>
    <x v="0"/>
    <x v="5"/>
    <s v="Зелень"/>
    <s v="Лук зеленый"/>
    <n v="705"/>
    <n v="18"/>
    <x v="1412"/>
  </r>
  <r>
    <d v="2023-09-19T00:00:00"/>
    <x v="2"/>
    <x v="6"/>
    <s v="Фрукты"/>
    <s v="Бананы"/>
    <n v="2400"/>
    <n v="81"/>
    <x v="589"/>
  </r>
  <r>
    <d v="2023-09-19T00:00:00"/>
    <x v="4"/>
    <x v="6"/>
    <s v="Ягоды"/>
    <s v="Клубника"/>
    <n v="2460"/>
    <n v="6"/>
    <x v="154"/>
  </r>
  <r>
    <s v="19.09.2023 Итог"/>
    <x v="3"/>
    <x v="2"/>
    <m/>
    <m/>
    <m/>
    <m/>
    <x v="1501"/>
  </r>
  <r>
    <d v="2023-09-20T00:00:00"/>
    <x v="1"/>
    <x v="3"/>
    <s v="Зелень"/>
    <s v="Петрушка"/>
    <n v="640"/>
    <n v="34"/>
    <x v="800"/>
  </r>
  <r>
    <d v="2023-09-20T00:00:00"/>
    <x v="4"/>
    <x v="3"/>
    <s v="Ягоды"/>
    <s v="Малина"/>
    <n v="2970"/>
    <n v="5"/>
    <x v="612"/>
  </r>
  <r>
    <d v="2023-09-20T00:00:00"/>
    <x v="2"/>
    <x v="0"/>
    <s v="Зелень"/>
    <s v="Салат айсберг"/>
    <n v="1380"/>
    <n v="85"/>
    <x v="806"/>
  </r>
  <r>
    <d v="2023-09-20T00:00:00"/>
    <x v="0"/>
    <x v="0"/>
    <s v="Зелень"/>
    <s v="Салат айсберг"/>
    <n v="1380"/>
    <n v="96"/>
    <x v="563"/>
  </r>
  <r>
    <d v="2023-09-20T00:00:00"/>
    <x v="4"/>
    <x v="0"/>
    <s v="Фрукты"/>
    <s v="Сливы"/>
    <n v="930"/>
    <n v="41"/>
    <x v="796"/>
  </r>
  <r>
    <d v="2023-09-20T00:00:00"/>
    <x v="2"/>
    <x v="4"/>
    <s v="Ягоды"/>
    <s v="Голубика"/>
    <n v="3205"/>
    <n v="23"/>
    <x v="1435"/>
  </r>
  <r>
    <d v="2023-09-20T00:00:00"/>
    <x v="0"/>
    <x v="1"/>
    <s v="Зелень"/>
    <s v="Укроп"/>
    <n v="650"/>
    <n v="51"/>
    <x v="516"/>
  </r>
  <r>
    <d v="2023-09-20T00:00:00"/>
    <x v="2"/>
    <x v="1"/>
    <s v="Зелень"/>
    <s v="Укроп"/>
    <n v="650"/>
    <n v="88"/>
    <x v="83"/>
  </r>
  <r>
    <d v="2023-09-20T00:00:00"/>
    <x v="4"/>
    <x v="1"/>
    <s v="Фрукты"/>
    <s v="Бананы"/>
    <n v="2400"/>
    <n v="11"/>
    <x v="257"/>
  </r>
  <r>
    <d v="2023-09-20T00:00:00"/>
    <x v="1"/>
    <x v="5"/>
    <s v="Овощи"/>
    <s v="Морковь"/>
    <n v="715"/>
    <n v="79"/>
    <x v="240"/>
  </r>
  <r>
    <d v="2023-09-20T00:00:00"/>
    <x v="0"/>
    <x v="5"/>
    <s v="Фрукты"/>
    <s v="Яблоки"/>
    <n v="1230"/>
    <n v="50"/>
    <x v="1217"/>
  </r>
  <r>
    <d v="2023-09-20T00:00:00"/>
    <x v="2"/>
    <x v="6"/>
    <s v="Фрукты"/>
    <s v="Апельсины"/>
    <n v="2540"/>
    <n v="55"/>
    <x v="207"/>
  </r>
  <r>
    <s v="20.09.2023 Итог"/>
    <x v="3"/>
    <x v="2"/>
    <m/>
    <m/>
    <m/>
    <m/>
    <x v="1502"/>
  </r>
  <r>
    <d v="2023-09-21T00:00:00"/>
    <x v="0"/>
    <x v="3"/>
    <s v="Зелень"/>
    <s v="Салат айсберг"/>
    <n v="1380"/>
    <n v="43"/>
    <x v="147"/>
  </r>
  <r>
    <d v="2023-09-21T00:00:00"/>
    <x v="2"/>
    <x v="3"/>
    <s v="Овощи"/>
    <s v="Кабачки"/>
    <n v="325"/>
    <n v="45"/>
    <x v="1503"/>
  </r>
  <r>
    <d v="2023-09-21T00:00:00"/>
    <x v="0"/>
    <x v="3"/>
    <s v="Фрукты"/>
    <s v="Абрикосы"/>
    <n v="1320"/>
    <n v="17"/>
    <x v="659"/>
  </r>
  <r>
    <d v="2023-09-21T00:00:00"/>
    <x v="0"/>
    <x v="3"/>
    <s v="Фрукты"/>
    <s v="Апельсины"/>
    <n v="2540"/>
    <n v="52"/>
    <x v="894"/>
  </r>
  <r>
    <d v="2023-09-21T00:00:00"/>
    <x v="2"/>
    <x v="0"/>
    <s v="Зелень"/>
    <s v="Лук зеленый"/>
    <n v="705"/>
    <n v="40"/>
    <x v="1121"/>
  </r>
  <r>
    <d v="2023-09-21T00:00:00"/>
    <x v="1"/>
    <x v="0"/>
    <s v="Фрукты"/>
    <s v="Апельсины"/>
    <n v="2540"/>
    <n v="56"/>
    <x v="127"/>
  </r>
  <r>
    <d v="2023-09-21T00:00:00"/>
    <x v="2"/>
    <x v="0"/>
    <s v="Фрукты"/>
    <s v="Груши"/>
    <n v="1420"/>
    <n v="92"/>
    <x v="508"/>
  </r>
  <r>
    <d v="2023-09-21T00:00:00"/>
    <x v="2"/>
    <x v="0"/>
    <s v="Фрукты"/>
    <s v="Бананы"/>
    <n v="2400"/>
    <n v="99"/>
    <x v="41"/>
  </r>
  <r>
    <d v="2023-09-21T00:00:00"/>
    <x v="2"/>
    <x v="1"/>
    <s v="Зелень"/>
    <s v="Петрушка"/>
    <n v="640"/>
    <n v="84"/>
    <x v="1504"/>
  </r>
  <r>
    <d v="2023-09-21T00:00:00"/>
    <x v="4"/>
    <x v="1"/>
    <s v="Фрукты"/>
    <s v="Сливы"/>
    <n v="930"/>
    <n v="83"/>
    <x v="1505"/>
  </r>
  <r>
    <d v="2023-09-21T00:00:00"/>
    <x v="4"/>
    <x v="1"/>
    <s v="Ягоды"/>
    <s v="Черешня"/>
    <n v="1760"/>
    <n v="30"/>
    <x v="94"/>
  </r>
  <r>
    <d v="2023-09-21T00:00:00"/>
    <x v="2"/>
    <x v="5"/>
    <s v="Овощи"/>
    <s v="Картофель"/>
    <n v="690"/>
    <n v="9"/>
    <x v="24"/>
  </r>
  <r>
    <d v="2023-09-21T00:00:00"/>
    <x v="0"/>
    <x v="5"/>
    <s v="Ягоды"/>
    <s v="Смородина черная"/>
    <n v="1505"/>
    <n v="47"/>
    <x v="1506"/>
  </r>
  <r>
    <d v="2023-09-21T00:00:00"/>
    <x v="2"/>
    <x v="6"/>
    <s v="Зелень"/>
    <s v="Салат римский"/>
    <n v="540"/>
    <n v="16"/>
    <x v="431"/>
  </r>
  <r>
    <d v="2023-09-21T00:00:00"/>
    <x v="1"/>
    <x v="6"/>
    <s v="Ягоды"/>
    <s v="Брусника"/>
    <n v="1670"/>
    <n v="29"/>
    <x v="1507"/>
  </r>
  <r>
    <s v="21.09.2023 Итог"/>
    <x v="3"/>
    <x v="2"/>
    <m/>
    <m/>
    <m/>
    <m/>
    <x v="1508"/>
  </r>
  <r>
    <d v="2023-09-22T00:00:00"/>
    <x v="0"/>
    <x v="3"/>
    <s v="Ягоды"/>
    <s v="Смородина черная"/>
    <n v="1505"/>
    <n v="77"/>
    <x v="1083"/>
  </r>
  <r>
    <d v="2023-09-22T00:00:00"/>
    <x v="2"/>
    <x v="0"/>
    <s v="Зелень"/>
    <s v="Салат римский"/>
    <n v="540"/>
    <n v="76"/>
    <x v="709"/>
  </r>
  <r>
    <d v="2023-09-22T00:00:00"/>
    <x v="2"/>
    <x v="0"/>
    <s v="Зелень"/>
    <s v="Лук зеленый"/>
    <n v="705"/>
    <n v="60"/>
    <x v="1509"/>
  </r>
  <r>
    <d v="2023-09-22T00:00:00"/>
    <x v="1"/>
    <x v="0"/>
    <s v="Фрукты"/>
    <s v="Бананы"/>
    <n v="2400"/>
    <n v="93"/>
    <x v="1510"/>
  </r>
  <r>
    <d v="2023-09-22T00:00:00"/>
    <x v="2"/>
    <x v="4"/>
    <s v="Фрукты"/>
    <s v="Сливы"/>
    <n v="930"/>
    <n v="17"/>
    <x v="1511"/>
  </r>
  <r>
    <d v="2023-09-22T00:00:00"/>
    <x v="0"/>
    <x v="4"/>
    <s v="Фрукты"/>
    <s v="Апельсины"/>
    <n v="2540"/>
    <n v="14"/>
    <x v="1512"/>
  </r>
  <r>
    <d v="2023-09-22T00:00:00"/>
    <x v="0"/>
    <x v="5"/>
    <s v="Фрукты"/>
    <s v="Груши"/>
    <n v="1420"/>
    <n v="25"/>
    <x v="1513"/>
  </r>
  <r>
    <d v="2023-09-22T00:00:00"/>
    <x v="2"/>
    <x v="5"/>
    <s v="Фрукты"/>
    <s v="Груши"/>
    <n v="1420"/>
    <n v="15"/>
    <x v="1514"/>
  </r>
  <r>
    <d v="2023-09-22T00:00:00"/>
    <x v="2"/>
    <x v="5"/>
    <s v="Ягоды"/>
    <s v="Малина"/>
    <n v="2970"/>
    <n v="72"/>
    <x v="492"/>
  </r>
  <r>
    <d v="2023-09-22T00:00:00"/>
    <x v="4"/>
    <x v="6"/>
    <s v="Зелень"/>
    <s v="Укроп"/>
    <n v="650"/>
    <n v="35"/>
    <x v="1515"/>
  </r>
  <r>
    <d v="2023-09-22T00:00:00"/>
    <x v="1"/>
    <x v="6"/>
    <s v="Овощи"/>
    <s v="Картофель"/>
    <n v="690"/>
    <n v="57"/>
    <x v="1278"/>
  </r>
  <r>
    <d v="2023-09-22T00:00:00"/>
    <x v="1"/>
    <x v="6"/>
    <s v="Овощи"/>
    <s v="Кабачки"/>
    <n v="325"/>
    <n v="42"/>
    <x v="327"/>
  </r>
  <r>
    <d v="2023-09-22T00:00:00"/>
    <x v="1"/>
    <x v="6"/>
    <s v="Фрукты"/>
    <s v="Абрикосы"/>
    <n v="1320"/>
    <n v="72"/>
    <x v="1516"/>
  </r>
  <r>
    <s v="22.09.2023 Итог"/>
    <x v="3"/>
    <x v="2"/>
    <m/>
    <m/>
    <m/>
    <m/>
    <x v="1517"/>
  </r>
  <r>
    <d v="2023-09-23T00:00:00"/>
    <x v="4"/>
    <x v="3"/>
    <s v="Зелень"/>
    <s v="Салат айсберг"/>
    <n v="1380"/>
    <n v="83"/>
    <x v="939"/>
  </r>
  <r>
    <d v="2023-09-23T00:00:00"/>
    <x v="4"/>
    <x v="3"/>
    <s v="Овощи"/>
    <s v="Баклажаны"/>
    <n v="890"/>
    <n v="30"/>
    <x v="1427"/>
  </r>
  <r>
    <d v="2023-09-23T00:00:00"/>
    <x v="2"/>
    <x v="3"/>
    <s v="Ягоды"/>
    <s v="Голубика"/>
    <n v="3205"/>
    <n v="43"/>
    <x v="949"/>
  </r>
  <r>
    <d v="2023-09-23T00:00:00"/>
    <x v="4"/>
    <x v="3"/>
    <s v="Ягоды"/>
    <s v="Голубика"/>
    <n v="3205"/>
    <n v="17"/>
    <x v="608"/>
  </r>
  <r>
    <d v="2023-09-23T00:00:00"/>
    <x v="1"/>
    <x v="0"/>
    <s v="Ягоды"/>
    <s v="Клубника"/>
    <n v="2460"/>
    <n v="8"/>
    <x v="254"/>
  </r>
  <r>
    <d v="2023-09-23T00:00:00"/>
    <x v="0"/>
    <x v="4"/>
    <s v="Зелень"/>
    <s v="Кинза"/>
    <n v="650"/>
    <n v="71"/>
    <x v="161"/>
  </r>
  <r>
    <d v="2023-09-23T00:00:00"/>
    <x v="0"/>
    <x v="4"/>
    <s v="Овощи"/>
    <s v="Морковь"/>
    <n v="715"/>
    <n v="88"/>
    <x v="1013"/>
  </r>
  <r>
    <d v="2023-09-23T00:00:00"/>
    <x v="1"/>
    <x v="1"/>
    <s v="Зелень"/>
    <s v="Салат римский"/>
    <n v="540"/>
    <n v="65"/>
    <x v="158"/>
  </r>
  <r>
    <d v="2023-09-23T00:00:00"/>
    <x v="2"/>
    <x v="1"/>
    <s v="Овощи"/>
    <s v="Капуста"/>
    <n v="460"/>
    <n v="13"/>
    <x v="1518"/>
  </r>
  <r>
    <d v="2023-09-23T00:00:00"/>
    <x v="1"/>
    <x v="1"/>
    <s v="Фрукты"/>
    <s v="Апельсины"/>
    <n v="2540"/>
    <n v="97"/>
    <x v="1003"/>
  </r>
  <r>
    <d v="2023-09-23T00:00:00"/>
    <x v="1"/>
    <x v="5"/>
    <s v="Ягоды"/>
    <s v="Черешня"/>
    <n v="1760"/>
    <n v="41"/>
    <x v="363"/>
  </r>
  <r>
    <s v="23.09.2023 Итог"/>
    <x v="3"/>
    <x v="2"/>
    <m/>
    <m/>
    <m/>
    <m/>
    <x v="1519"/>
  </r>
  <r>
    <d v="2023-09-24T00:00:00"/>
    <x v="0"/>
    <x v="3"/>
    <s v="Зелень"/>
    <s v="Петрушка"/>
    <n v="640"/>
    <n v="57"/>
    <x v="349"/>
  </r>
  <r>
    <d v="2023-09-24T00:00:00"/>
    <x v="0"/>
    <x v="0"/>
    <s v="Зелень"/>
    <s v="Лук зеленый"/>
    <n v="705"/>
    <n v="28"/>
    <x v="1520"/>
  </r>
  <r>
    <d v="2023-09-24T00:00:00"/>
    <x v="1"/>
    <x v="0"/>
    <s v="Овощи"/>
    <s v="Кабачки"/>
    <n v="325"/>
    <n v="17"/>
    <x v="38"/>
  </r>
  <r>
    <d v="2023-09-24T00:00:00"/>
    <x v="4"/>
    <x v="1"/>
    <s v="Зелень"/>
    <s v="Укроп"/>
    <n v="650"/>
    <n v="26"/>
    <x v="619"/>
  </r>
  <r>
    <d v="2023-09-24T00:00:00"/>
    <x v="2"/>
    <x v="1"/>
    <s v="Ягоды"/>
    <s v="Черешня"/>
    <n v="1760"/>
    <n v="45"/>
    <x v="30"/>
  </r>
  <r>
    <d v="2023-09-24T00:00:00"/>
    <x v="4"/>
    <x v="5"/>
    <s v="Зелень"/>
    <s v="Лук зеленый"/>
    <n v="705"/>
    <n v="35"/>
    <x v="1478"/>
  </r>
  <r>
    <d v="2023-09-24T00:00:00"/>
    <x v="0"/>
    <x v="5"/>
    <s v="Овощи"/>
    <s v="Картофель"/>
    <n v="690"/>
    <n v="25"/>
    <x v="1386"/>
  </r>
  <r>
    <d v="2023-09-24T00:00:00"/>
    <x v="0"/>
    <x v="6"/>
    <s v="Зелень"/>
    <s v="Укроп"/>
    <n v="650"/>
    <n v="28"/>
    <x v="568"/>
  </r>
  <r>
    <d v="2023-09-24T00:00:00"/>
    <x v="0"/>
    <x v="6"/>
    <s v="Овощи"/>
    <s v="Кабачки"/>
    <n v="325"/>
    <n v="48"/>
    <x v="337"/>
  </r>
  <r>
    <d v="2023-09-24T00:00:00"/>
    <x v="1"/>
    <x v="6"/>
    <s v="Овощи"/>
    <s v="Кабачки"/>
    <n v="325"/>
    <n v="32"/>
    <x v="673"/>
  </r>
  <r>
    <d v="2023-09-24T00:00:00"/>
    <x v="4"/>
    <x v="6"/>
    <s v="Ягоды"/>
    <s v="Смородина черная"/>
    <n v="1505"/>
    <n v="93"/>
    <x v="1449"/>
  </r>
  <r>
    <s v="24.09.2023 Итог"/>
    <x v="3"/>
    <x v="2"/>
    <m/>
    <m/>
    <m/>
    <m/>
    <x v="1521"/>
  </r>
  <r>
    <d v="2023-09-25T00:00:00"/>
    <x v="4"/>
    <x v="1"/>
    <s v="Зелень"/>
    <s v="Укроп"/>
    <n v="650"/>
    <n v="26"/>
    <x v="619"/>
  </r>
  <r>
    <d v="2023-09-25T00:00:00"/>
    <x v="0"/>
    <x v="1"/>
    <s v="Фрукты"/>
    <s v="Яблоки"/>
    <n v="1230"/>
    <n v="40"/>
    <x v="369"/>
  </r>
  <r>
    <d v="2023-09-25T00:00:00"/>
    <x v="0"/>
    <x v="1"/>
    <s v="Ягоды"/>
    <s v="Клубника"/>
    <n v="2460"/>
    <n v="92"/>
    <x v="869"/>
  </r>
  <r>
    <s v="25.09.2023 Итог"/>
    <x v="3"/>
    <x v="2"/>
    <m/>
    <m/>
    <m/>
    <m/>
    <x v="1522"/>
  </r>
  <r>
    <d v="2023-09-26T00:00:00"/>
    <x v="2"/>
    <x v="3"/>
    <s v="Ягоды"/>
    <s v="Брусника"/>
    <n v="1670"/>
    <n v="9"/>
    <x v="1523"/>
  </r>
  <r>
    <d v="2023-09-26T00:00:00"/>
    <x v="4"/>
    <x v="1"/>
    <s v="Ягоды"/>
    <s v="Клубника"/>
    <n v="2460"/>
    <n v="53"/>
    <x v="1524"/>
  </r>
  <r>
    <d v="2023-09-26T00:00:00"/>
    <x v="1"/>
    <x v="5"/>
    <s v="Зелень"/>
    <s v="Укроп"/>
    <n v="650"/>
    <n v="82"/>
    <x v="1525"/>
  </r>
  <r>
    <d v="2023-09-26T00:00:00"/>
    <x v="1"/>
    <x v="5"/>
    <s v="Фрукты"/>
    <s v="Бананы"/>
    <n v="2400"/>
    <n v="43"/>
    <x v="978"/>
  </r>
  <r>
    <d v="2023-09-26T00:00:00"/>
    <x v="0"/>
    <x v="5"/>
    <s v="Ягоды"/>
    <s v="Клубника"/>
    <n v="2460"/>
    <n v="94"/>
    <x v="1107"/>
  </r>
  <r>
    <d v="2023-09-26T00:00:00"/>
    <x v="0"/>
    <x v="6"/>
    <s v="Фрукты"/>
    <s v="Апельсины"/>
    <n v="2540"/>
    <n v="8"/>
    <x v="1526"/>
  </r>
  <r>
    <d v="2023-09-26T00:00:00"/>
    <x v="0"/>
    <x v="6"/>
    <s v="Ягоды"/>
    <s v="Малина"/>
    <n v="2970"/>
    <n v="74"/>
    <x v="188"/>
  </r>
  <r>
    <s v="26.09.2023 Итог"/>
    <x v="3"/>
    <x v="2"/>
    <m/>
    <m/>
    <m/>
    <m/>
    <x v="1527"/>
  </r>
  <r>
    <d v="2023-09-27T00:00:00"/>
    <x v="0"/>
    <x v="3"/>
    <s v="Зелень"/>
    <s v="Кинза"/>
    <n v="650"/>
    <n v="60"/>
    <x v="1528"/>
  </r>
  <r>
    <d v="2023-09-27T00:00:00"/>
    <x v="0"/>
    <x v="4"/>
    <s v="Овощи"/>
    <s v="Капуста"/>
    <n v="460"/>
    <n v="39"/>
    <x v="275"/>
  </r>
  <r>
    <d v="2023-09-27T00:00:00"/>
    <x v="0"/>
    <x v="4"/>
    <s v="Фрукты"/>
    <s v="Абрикосы"/>
    <n v="1320"/>
    <n v="82"/>
    <x v="456"/>
  </r>
  <r>
    <d v="2023-09-27T00:00:00"/>
    <x v="4"/>
    <x v="1"/>
    <s v="Зелень"/>
    <s v="Лук зеленый"/>
    <n v="705"/>
    <n v="48"/>
    <x v="1074"/>
  </r>
  <r>
    <d v="2023-09-27T00:00:00"/>
    <x v="2"/>
    <x v="1"/>
    <s v="Овощи"/>
    <s v="Морковь"/>
    <n v="715"/>
    <n v="46"/>
    <x v="1529"/>
  </r>
  <r>
    <d v="2023-09-27T00:00:00"/>
    <x v="0"/>
    <x v="5"/>
    <s v="Ягоды"/>
    <s v="Голубика"/>
    <n v="3205"/>
    <n v="97"/>
    <x v="259"/>
  </r>
  <r>
    <d v="2023-09-27T00:00:00"/>
    <x v="1"/>
    <x v="6"/>
    <s v="Фрукты"/>
    <s v="Бананы"/>
    <n v="2400"/>
    <n v="96"/>
    <x v="1281"/>
  </r>
  <r>
    <s v="27.09.2023 Итог"/>
    <x v="3"/>
    <x v="2"/>
    <m/>
    <m/>
    <m/>
    <m/>
    <x v="1530"/>
  </r>
  <r>
    <d v="2023-09-28T00:00:00"/>
    <x v="2"/>
    <x v="3"/>
    <s v="Зелень"/>
    <s v="Салат римский"/>
    <n v="540"/>
    <n v="17"/>
    <x v="1531"/>
  </r>
  <r>
    <d v="2023-09-28T00:00:00"/>
    <x v="2"/>
    <x v="3"/>
    <s v="Зелень"/>
    <s v="Салат римский"/>
    <n v="540"/>
    <n v="83"/>
    <x v="629"/>
  </r>
  <r>
    <d v="2023-09-28T00:00:00"/>
    <x v="2"/>
    <x v="3"/>
    <s v="Овощи"/>
    <s v="Свекла"/>
    <n v="450"/>
    <n v="74"/>
    <x v="124"/>
  </r>
  <r>
    <d v="2023-09-28T00:00:00"/>
    <x v="1"/>
    <x v="0"/>
    <s v="Овощи"/>
    <s v="Кабачки"/>
    <n v="325"/>
    <n v="97"/>
    <x v="785"/>
  </r>
  <r>
    <d v="2023-09-28T00:00:00"/>
    <x v="0"/>
    <x v="4"/>
    <s v="Зелень"/>
    <s v="Лук зеленый"/>
    <n v="705"/>
    <n v="29"/>
    <x v="799"/>
  </r>
  <r>
    <d v="2023-09-28T00:00:00"/>
    <x v="0"/>
    <x v="4"/>
    <s v="Фрукты"/>
    <s v="Груши"/>
    <n v="1420"/>
    <n v="30"/>
    <x v="1532"/>
  </r>
  <r>
    <d v="2023-09-28T00:00:00"/>
    <x v="4"/>
    <x v="1"/>
    <s v="Фрукты"/>
    <s v="Сливы"/>
    <n v="930"/>
    <n v="40"/>
    <x v="372"/>
  </r>
  <r>
    <d v="2023-09-28T00:00:00"/>
    <x v="0"/>
    <x v="5"/>
    <s v="Овощи"/>
    <s v="Баклажаны"/>
    <n v="890"/>
    <n v="36"/>
    <x v="365"/>
  </r>
  <r>
    <d v="2023-09-28T00:00:00"/>
    <x v="0"/>
    <x v="5"/>
    <s v="Ягоды"/>
    <s v="Брусника"/>
    <n v="1670"/>
    <n v="22"/>
    <x v="1533"/>
  </r>
  <r>
    <d v="2023-09-28T00:00:00"/>
    <x v="2"/>
    <x v="6"/>
    <s v="Зелень"/>
    <s v="Кинза"/>
    <n v="650"/>
    <n v="67"/>
    <x v="498"/>
  </r>
  <r>
    <s v="28.09.2023 Итог"/>
    <x v="3"/>
    <x v="2"/>
    <m/>
    <m/>
    <m/>
    <m/>
    <x v="1534"/>
  </r>
  <r>
    <d v="2023-09-29T00:00:00"/>
    <x v="4"/>
    <x v="3"/>
    <s v="Зелень"/>
    <s v="Салат айсберг"/>
    <n v="1380"/>
    <n v="58"/>
    <x v="618"/>
  </r>
  <r>
    <d v="2023-09-29T00:00:00"/>
    <x v="0"/>
    <x v="3"/>
    <s v="Фрукты"/>
    <s v="Яблоки"/>
    <n v="1230"/>
    <n v="20"/>
    <x v="864"/>
  </r>
  <r>
    <d v="2023-09-29T00:00:00"/>
    <x v="4"/>
    <x v="4"/>
    <s v="Ягоды"/>
    <s v="Брусника"/>
    <n v="1670"/>
    <n v="67"/>
    <x v="339"/>
  </r>
  <r>
    <d v="2023-09-29T00:00:00"/>
    <x v="1"/>
    <x v="1"/>
    <s v="Зелень"/>
    <s v="Лук зеленый"/>
    <n v="705"/>
    <n v="59"/>
    <x v="417"/>
  </r>
  <r>
    <d v="2023-09-29T00:00:00"/>
    <x v="0"/>
    <x v="5"/>
    <s v="Овощи"/>
    <s v="Кабачки"/>
    <n v="325"/>
    <n v="52"/>
    <x v="619"/>
  </r>
  <r>
    <d v="2023-09-29T00:00:00"/>
    <x v="1"/>
    <x v="5"/>
    <s v="Фрукты"/>
    <s v="Яблоки"/>
    <n v="1230"/>
    <n v="22"/>
    <x v="131"/>
  </r>
  <r>
    <d v="2023-09-29T00:00:00"/>
    <x v="2"/>
    <x v="5"/>
    <s v="Фрукты"/>
    <s v="Абрикосы"/>
    <n v="1320"/>
    <n v="5"/>
    <x v="182"/>
  </r>
  <r>
    <d v="2023-09-29T00:00:00"/>
    <x v="1"/>
    <x v="6"/>
    <s v="Зелень"/>
    <s v="Укроп"/>
    <n v="650"/>
    <n v="25"/>
    <x v="45"/>
  </r>
  <r>
    <s v="29.09.2023 Итог"/>
    <x v="3"/>
    <x v="2"/>
    <m/>
    <m/>
    <m/>
    <m/>
    <x v="1535"/>
  </r>
  <r>
    <d v="2023-09-30T00:00:00"/>
    <x v="2"/>
    <x v="3"/>
    <s v="Фрукты"/>
    <s v="Абрикосы"/>
    <n v="1320"/>
    <n v="11"/>
    <x v="84"/>
  </r>
  <r>
    <d v="2023-09-30T00:00:00"/>
    <x v="0"/>
    <x v="3"/>
    <s v="Фрукты"/>
    <s v="Апельсины"/>
    <n v="2540"/>
    <n v="86"/>
    <x v="1536"/>
  </r>
  <r>
    <d v="2023-09-30T00:00:00"/>
    <x v="2"/>
    <x v="3"/>
    <s v="Фрукты"/>
    <s v="Яблоки"/>
    <n v="1230"/>
    <n v="42"/>
    <x v="930"/>
  </r>
  <r>
    <d v="2023-09-30T00:00:00"/>
    <x v="2"/>
    <x v="3"/>
    <s v="Ягоды"/>
    <s v="Брусника"/>
    <n v="1670"/>
    <n v="73"/>
    <x v="1327"/>
  </r>
  <r>
    <d v="2023-09-30T00:00:00"/>
    <x v="2"/>
    <x v="0"/>
    <s v="Зелень"/>
    <s v="Укроп"/>
    <n v="650"/>
    <n v="12"/>
    <x v="625"/>
  </r>
  <r>
    <d v="2023-09-30T00:00:00"/>
    <x v="4"/>
    <x v="0"/>
    <s v="Овощи"/>
    <s v="Морковь"/>
    <n v="715"/>
    <n v="36"/>
    <x v="1537"/>
  </r>
  <r>
    <d v="2023-09-30T00:00:00"/>
    <x v="4"/>
    <x v="0"/>
    <s v="Овощи"/>
    <s v="Баклажаны"/>
    <n v="890"/>
    <n v="75"/>
    <x v="54"/>
  </r>
  <r>
    <d v="2023-09-30T00:00:00"/>
    <x v="2"/>
    <x v="0"/>
    <s v="Ягоды"/>
    <s v="Смородина черная"/>
    <n v="1505"/>
    <n v="8"/>
    <x v="509"/>
  </r>
  <r>
    <d v="2023-09-30T00:00:00"/>
    <x v="1"/>
    <x v="4"/>
    <s v="Зелень"/>
    <s v="Укроп"/>
    <n v="650"/>
    <n v="45"/>
    <x v="1093"/>
  </r>
  <r>
    <d v="2023-09-30T00:00:00"/>
    <x v="0"/>
    <x v="4"/>
    <s v="Фрукты"/>
    <s v="Яблоки"/>
    <n v="1230"/>
    <n v="28"/>
    <x v="555"/>
  </r>
  <r>
    <d v="2023-09-30T00:00:00"/>
    <x v="2"/>
    <x v="4"/>
    <s v="Ягоды"/>
    <s v="Клубника"/>
    <n v="2460"/>
    <n v="32"/>
    <x v="424"/>
  </r>
  <r>
    <d v="2023-09-30T00:00:00"/>
    <x v="1"/>
    <x v="1"/>
    <s v="Зелень"/>
    <s v="Лук зеленый"/>
    <n v="705"/>
    <n v="44"/>
    <x v="1538"/>
  </r>
  <r>
    <d v="2023-09-30T00:00:00"/>
    <x v="4"/>
    <x v="5"/>
    <s v="Овощи"/>
    <s v="Кабачки"/>
    <n v="325"/>
    <n v="43"/>
    <x v="291"/>
  </r>
  <r>
    <d v="2023-09-30T00:00:00"/>
    <x v="0"/>
    <x v="5"/>
    <s v="Овощи"/>
    <s v="Свекла"/>
    <n v="450"/>
    <n v="17"/>
    <x v="1539"/>
  </r>
  <r>
    <s v="30.09.2023 Итог"/>
    <x v="3"/>
    <x v="2"/>
    <m/>
    <m/>
    <m/>
    <m/>
    <x v="1540"/>
  </r>
  <r>
    <d v="2023-10-01T00:00:00"/>
    <x v="2"/>
    <x v="3"/>
    <s v="Овощи"/>
    <s v="Картофель"/>
    <n v="690"/>
    <n v="13"/>
    <x v="1011"/>
  </r>
  <r>
    <d v="2023-10-01T00:00:00"/>
    <x v="2"/>
    <x v="3"/>
    <s v="Фрукты"/>
    <s v="Яблоки"/>
    <n v="1230"/>
    <n v="76"/>
    <x v="485"/>
  </r>
  <r>
    <d v="2023-10-01T00:00:00"/>
    <x v="0"/>
    <x v="3"/>
    <s v="Фрукты"/>
    <s v="Абрикосы"/>
    <n v="1320"/>
    <n v="39"/>
    <x v="623"/>
  </r>
  <r>
    <d v="2023-10-01T00:00:00"/>
    <x v="1"/>
    <x v="0"/>
    <s v="Овощи"/>
    <s v="Морковь"/>
    <n v="715"/>
    <n v="36"/>
    <x v="1537"/>
  </r>
  <r>
    <d v="2023-10-01T00:00:00"/>
    <x v="0"/>
    <x v="0"/>
    <s v="Фрукты"/>
    <s v="Сливы"/>
    <n v="930"/>
    <n v="25"/>
    <x v="212"/>
  </r>
  <r>
    <d v="2023-10-01T00:00:00"/>
    <x v="0"/>
    <x v="0"/>
    <s v="Ягоды"/>
    <s v="Смородина черная"/>
    <n v="1505"/>
    <n v="87"/>
    <x v="484"/>
  </r>
  <r>
    <d v="2023-10-01T00:00:00"/>
    <x v="4"/>
    <x v="0"/>
    <s v="Ягоды"/>
    <s v="Смородина черная"/>
    <n v="1505"/>
    <n v="11"/>
    <x v="1541"/>
  </r>
  <r>
    <d v="2023-10-01T00:00:00"/>
    <x v="4"/>
    <x v="4"/>
    <s v="Фрукты"/>
    <s v="Яблоки"/>
    <n v="1230"/>
    <n v="7"/>
    <x v="1542"/>
  </r>
  <r>
    <d v="2023-10-01T00:00:00"/>
    <x v="4"/>
    <x v="4"/>
    <s v="Фрукты"/>
    <s v="Сливы"/>
    <n v="930"/>
    <n v="49"/>
    <x v="899"/>
  </r>
  <r>
    <d v="2023-10-01T00:00:00"/>
    <x v="0"/>
    <x v="1"/>
    <s v="Зелень"/>
    <s v="Укроп"/>
    <n v="650"/>
    <n v="89"/>
    <x v="218"/>
  </r>
  <r>
    <d v="2023-10-01T00:00:00"/>
    <x v="1"/>
    <x v="6"/>
    <s v="Овощи"/>
    <s v="Свекла"/>
    <n v="450"/>
    <n v="28"/>
    <x v="1163"/>
  </r>
  <r>
    <d v="2023-10-01T00:00:00"/>
    <x v="1"/>
    <x v="6"/>
    <s v="Ягоды"/>
    <s v="Брусника"/>
    <n v="1670"/>
    <n v="99"/>
    <x v="293"/>
  </r>
  <r>
    <s v="01.10.2023 Итог"/>
    <x v="3"/>
    <x v="2"/>
    <m/>
    <m/>
    <m/>
    <m/>
    <x v="1543"/>
  </r>
  <r>
    <d v="2023-10-02T00:00:00"/>
    <x v="2"/>
    <x v="3"/>
    <s v="Овощи"/>
    <s v="Кабачки"/>
    <n v="325"/>
    <n v="99"/>
    <x v="807"/>
  </r>
  <r>
    <d v="2023-10-02T00:00:00"/>
    <x v="4"/>
    <x v="3"/>
    <s v="Фрукты"/>
    <s v="Абрикосы"/>
    <n v="1320"/>
    <n v="60"/>
    <x v="30"/>
  </r>
  <r>
    <d v="2023-10-02T00:00:00"/>
    <x v="1"/>
    <x v="0"/>
    <s v="Овощи"/>
    <s v="Кабачки"/>
    <n v="325"/>
    <n v="91"/>
    <x v="1544"/>
  </r>
  <r>
    <d v="2023-10-02T00:00:00"/>
    <x v="0"/>
    <x v="0"/>
    <s v="Ягоды"/>
    <s v="Малина"/>
    <n v="2970"/>
    <n v="52"/>
    <x v="1545"/>
  </r>
  <r>
    <d v="2023-10-02T00:00:00"/>
    <x v="4"/>
    <x v="4"/>
    <s v="Фрукты"/>
    <s v="Груши"/>
    <n v="1420"/>
    <n v="53"/>
    <x v="411"/>
  </r>
  <r>
    <d v="2023-10-02T00:00:00"/>
    <x v="4"/>
    <x v="1"/>
    <s v="Ягоды"/>
    <s v="Голубика"/>
    <n v="3205"/>
    <n v="82"/>
    <x v="231"/>
  </r>
  <r>
    <d v="2023-10-02T00:00:00"/>
    <x v="0"/>
    <x v="5"/>
    <s v="Фрукты"/>
    <s v="Апельсины"/>
    <n v="2540"/>
    <n v="29"/>
    <x v="358"/>
  </r>
  <r>
    <d v="2023-10-02T00:00:00"/>
    <x v="4"/>
    <x v="6"/>
    <s v="Фрукты"/>
    <s v="Бананы"/>
    <n v="2400"/>
    <n v="38"/>
    <x v="1198"/>
  </r>
  <r>
    <s v="02.10.2023 Итог"/>
    <x v="3"/>
    <x v="2"/>
    <m/>
    <m/>
    <m/>
    <m/>
    <x v="1546"/>
  </r>
  <r>
    <d v="2023-10-03T00:00:00"/>
    <x v="2"/>
    <x v="3"/>
    <s v="Зелень"/>
    <s v="Петрушка"/>
    <n v="640"/>
    <n v="22"/>
    <x v="904"/>
  </r>
  <r>
    <d v="2023-10-03T00:00:00"/>
    <x v="0"/>
    <x v="3"/>
    <s v="Фрукты"/>
    <s v="Бананы"/>
    <n v="2400"/>
    <n v="77"/>
    <x v="1547"/>
  </r>
  <r>
    <d v="2023-10-03T00:00:00"/>
    <x v="4"/>
    <x v="3"/>
    <s v="Фрукты"/>
    <s v="Сливы"/>
    <n v="930"/>
    <n v="41"/>
    <x v="796"/>
  </r>
  <r>
    <d v="2023-10-03T00:00:00"/>
    <x v="4"/>
    <x v="3"/>
    <s v="Ягоды"/>
    <s v="Голубика"/>
    <n v="3205"/>
    <n v="57"/>
    <x v="1080"/>
  </r>
  <r>
    <d v="2023-10-03T00:00:00"/>
    <x v="4"/>
    <x v="4"/>
    <s v="Фрукты"/>
    <s v="Абрикосы"/>
    <n v="1320"/>
    <n v="29"/>
    <x v="907"/>
  </r>
  <r>
    <d v="2023-10-03T00:00:00"/>
    <x v="0"/>
    <x v="4"/>
    <s v="Фрукты"/>
    <s v="Груши"/>
    <n v="1420"/>
    <n v="88"/>
    <x v="444"/>
  </r>
  <r>
    <d v="2023-10-03T00:00:00"/>
    <x v="0"/>
    <x v="1"/>
    <s v="Фрукты"/>
    <s v="Абрикосы"/>
    <n v="1320"/>
    <n v="70"/>
    <x v="918"/>
  </r>
  <r>
    <d v="2023-10-03T00:00:00"/>
    <x v="0"/>
    <x v="1"/>
    <s v="Фрукты"/>
    <s v="Апельсины"/>
    <n v="2540"/>
    <n v="15"/>
    <x v="1243"/>
  </r>
  <r>
    <d v="2023-10-03T00:00:00"/>
    <x v="4"/>
    <x v="5"/>
    <s v="Фрукты"/>
    <s v="Сливы"/>
    <n v="930"/>
    <n v="70"/>
    <x v="1223"/>
  </r>
  <r>
    <d v="2023-10-03T00:00:00"/>
    <x v="2"/>
    <x v="5"/>
    <s v="Фрукты"/>
    <s v="Груши"/>
    <n v="1420"/>
    <n v="68"/>
    <x v="443"/>
  </r>
  <r>
    <d v="2023-10-03T00:00:00"/>
    <x v="2"/>
    <x v="6"/>
    <s v="Овощи"/>
    <s v="Кабачки"/>
    <n v="325"/>
    <n v="57"/>
    <x v="1206"/>
  </r>
  <r>
    <s v="03.10.2023 Итог"/>
    <x v="3"/>
    <x v="2"/>
    <m/>
    <m/>
    <m/>
    <m/>
    <x v="1548"/>
  </r>
  <r>
    <d v="2023-10-04T00:00:00"/>
    <x v="2"/>
    <x v="0"/>
    <s v="Овощи"/>
    <s v="Свекла"/>
    <n v="450"/>
    <n v="99"/>
    <x v="414"/>
  </r>
  <r>
    <d v="2023-10-04T00:00:00"/>
    <x v="0"/>
    <x v="4"/>
    <s v="Овощи"/>
    <s v="Капуста"/>
    <n v="460"/>
    <n v="97"/>
    <x v="1549"/>
  </r>
  <r>
    <d v="2023-10-04T00:00:00"/>
    <x v="1"/>
    <x v="4"/>
    <s v="Овощи"/>
    <s v="Капуста"/>
    <n v="460"/>
    <n v="48"/>
    <x v="253"/>
  </r>
  <r>
    <d v="2023-10-04T00:00:00"/>
    <x v="0"/>
    <x v="1"/>
    <s v="Овощи"/>
    <s v="Свекла"/>
    <n v="450"/>
    <n v="53"/>
    <x v="1254"/>
  </r>
  <r>
    <d v="2023-10-04T00:00:00"/>
    <x v="2"/>
    <x v="1"/>
    <s v="Фрукты"/>
    <s v="Сливы"/>
    <n v="930"/>
    <n v="100"/>
    <x v="381"/>
  </r>
  <r>
    <d v="2023-10-04T00:00:00"/>
    <x v="1"/>
    <x v="1"/>
    <s v="Ягоды"/>
    <s v="Малина"/>
    <n v="2970"/>
    <n v="11"/>
    <x v="878"/>
  </r>
  <r>
    <d v="2023-10-04T00:00:00"/>
    <x v="4"/>
    <x v="1"/>
    <s v="Ягоды"/>
    <s v="Голубика"/>
    <n v="3205"/>
    <n v="50"/>
    <x v="1228"/>
  </r>
  <r>
    <d v="2023-10-04T00:00:00"/>
    <x v="1"/>
    <x v="5"/>
    <s v="Овощи"/>
    <s v="Баклажаны"/>
    <n v="890"/>
    <n v="90"/>
    <x v="1550"/>
  </r>
  <r>
    <d v="2023-10-04T00:00:00"/>
    <x v="0"/>
    <x v="5"/>
    <s v="Фрукты"/>
    <s v="Абрикосы"/>
    <n v="1320"/>
    <n v="32"/>
    <x v="11"/>
  </r>
  <r>
    <d v="2023-10-04T00:00:00"/>
    <x v="2"/>
    <x v="6"/>
    <s v="Зелень"/>
    <s v="Салат айсберг"/>
    <n v="1380"/>
    <n v="17"/>
    <x v="450"/>
  </r>
  <r>
    <d v="2023-10-04T00:00:00"/>
    <x v="4"/>
    <x v="6"/>
    <s v="Фрукты"/>
    <s v="Яблоки"/>
    <n v="1230"/>
    <n v="44"/>
    <x v="142"/>
  </r>
  <r>
    <d v="2023-10-04T00:00:00"/>
    <x v="2"/>
    <x v="6"/>
    <s v="Ягоды"/>
    <s v="Клубника"/>
    <n v="2460"/>
    <n v="90"/>
    <x v="153"/>
  </r>
  <r>
    <s v="04.10.2023 Итог"/>
    <x v="3"/>
    <x v="2"/>
    <m/>
    <m/>
    <m/>
    <m/>
    <x v="1551"/>
  </r>
  <r>
    <d v="2023-10-05T00:00:00"/>
    <x v="4"/>
    <x v="3"/>
    <s v="Фрукты"/>
    <s v="Апельсины"/>
    <n v="2540"/>
    <n v="87"/>
    <x v="962"/>
  </r>
  <r>
    <d v="2023-10-05T00:00:00"/>
    <x v="1"/>
    <x v="1"/>
    <s v="Зелень"/>
    <s v="Салат римский"/>
    <n v="540"/>
    <n v="17"/>
    <x v="1531"/>
  </r>
  <r>
    <d v="2023-10-05T00:00:00"/>
    <x v="1"/>
    <x v="1"/>
    <s v="Ягоды"/>
    <s v="Черешня"/>
    <n v="1760"/>
    <n v="61"/>
    <x v="889"/>
  </r>
  <r>
    <d v="2023-10-05T00:00:00"/>
    <x v="2"/>
    <x v="1"/>
    <s v="Ягоды"/>
    <s v="Смородина черная"/>
    <n v="1505"/>
    <n v="47"/>
    <x v="1506"/>
  </r>
  <r>
    <d v="2023-10-05T00:00:00"/>
    <x v="4"/>
    <x v="5"/>
    <s v="Зелень"/>
    <s v="Кинза"/>
    <n v="650"/>
    <n v="49"/>
    <x v="163"/>
  </r>
  <r>
    <d v="2023-10-05T00:00:00"/>
    <x v="4"/>
    <x v="5"/>
    <s v="Овощи"/>
    <s v="Кабачки"/>
    <n v="325"/>
    <n v="43"/>
    <x v="291"/>
  </r>
  <r>
    <d v="2023-10-05T00:00:00"/>
    <x v="1"/>
    <x v="6"/>
    <s v="Зелень"/>
    <s v="Салат римский"/>
    <n v="540"/>
    <n v="15"/>
    <x v="93"/>
  </r>
  <r>
    <d v="2023-10-05T00:00:00"/>
    <x v="0"/>
    <x v="6"/>
    <s v="Зелень"/>
    <s v="Лук зеленый"/>
    <n v="705"/>
    <n v="99"/>
    <x v="1552"/>
  </r>
  <r>
    <d v="2023-10-05T00:00:00"/>
    <x v="0"/>
    <x v="6"/>
    <s v="Ягоды"/>
    <s v="Брусника"/>
    <n v="1670"/>
    <n v="77"/>
    <x v="396"/>
  </r>
  <r>
    <s v="05.10.2023 Итог"/>
    <x v="3"/>
    <x v="2"/>
    <m/>
    <m/>
    <m/>
    <m/>
    <x v="1553"/>
  </r>
  <r>
    <d v="2023-10-06T00:00:00"/>
    <x v="1"/>
    <x v="0"/>
    <s v="Зелень"/>
    <s v="Салат айсберг"/>
    <n v="1380"/>
    <n v="80"/>
    <x v="1087"/>
  </r>
  <r>
    <d v="2023-10-06T00:00:00"/>
    <x v="1"/>
    <x v="0"/>
    <s v="Овощи"/>
    <s v="Свекла"/>
    <n v="450"/>
    <n v="21"/>
    <x v="470"/>
  </r>
  <r>
    <d v="2023-10-06T00:00:00"/>
    <x v="0"/>
    <x v="4"/>
    <s v="Ягоды"/>
    <s v="Брусника"/>
    <n v="1670"/>
    <n v="32"/>
    <x v="987"/>
  </r>
  <r>
    <d v="2023-10-06T00:00:00"/>
    <x v="2"/>
    <x v="1"/>
    <s v="Овощи"/>
    <s v="Морковь"/>
    <n v="715"/>
    <n v="81"/>
    <x v="1554"/>
  </r>
  <r>
    <d v="2023-10-06T00:00:00"/>
    <x v="2"/>
    <x v="5"/>
    <s v="Зелень"/>
    <s v="Петрушка"/>
    <n v="640"/>
    <n v="60"/>
    <x v="193"/>
  </r>
  <r>
    <d v="2023-10-06T00:00:00"/>
    <x v="4"/>
    <x v="5"/>
    <s v="Фрукты"/>
    <s v="Апельсины"/>
    <n v="2540"/>
    <n v="58"/>
    <x v="1555"/>
  </r>
  <r>
    <s v="06.10.2023 Итог"/>
    <x v="3"/>
    <x v="2"/>
    <m/>
    <m/>
    <m/>
    <m/>
    <x v="1556"/>
  </r>
  <r>
    <d v="2023-10-07T00:00:00"/>
    <x v="4"/>
    <x v="3"/>
    <s v="Зелень"/>
    <s v="Укроп"/>
    <n v="650"/>
    <n v="86"/>
    <x v="1072"/>
  </r>
  <r>
    <d v="2023-10-07T00:00:00"/>
    <x v="4"/>
    <x v="3"/>
    <s v="Овощи"/>
    <s v="Морковь"/>
    <n v="715"/>
    <n v="49"/>
    <x v="917"/>
  </r>
  <r>
    <d v="2023-10-07T00:00:00"/>
    <x v="2"/>
    <x v="3"/>
    <s v="Фрукты"/>
    <s v="Груши"/>
    <n v="1420"/>
    <n v="96"/>
    <x v="1557"/>
  </r>
  <r>
    <d v="2023-10-07T00:00:00"/>
    <x v="2"/>
    <x v="3"/>
    <s v="Фрукты"/>
    <s v="Апельсины"/>
    <n v="2540"/>
    <n v="68"/>
    <x v="832"/>
  </r>
  <r>
    <d v="2023-10-07T00:00:00"/>
    <x v="2"/>
    <x v="0"/>
    <s v="Зелень"/>
    <s v="Лук зеленый"/>
    <n v="705"/>
    <n v="65"/>
    <x v="1351"/>
  </r>
  <r>
    <d v="2023-10-07T00:00:00"/>
    <x v="0"/>
    <x v="4"/>
    <s v="Овощи"/>
    <s v="Кабачки"/>
    <n v="325"/>
    <n v="52"/>
    <x v="619"/>
  </r>
  <r>
    <d v="2023-10-07T00:00:00"/>
    <x v="4"/>
    <x v="1"/>
    <s v="Зелень"/>
    <s v="Укроп"/>
    <n v="650"/>
    <n v="79"/>
    <x v="1233"/>
  </r>
  <r>
    <d v="2023-10-07T00:00:00"/>
    <x v="1"/>
    <x v="5"/>
    <s v="Ягоды"/>
    <s v="Брусника"/>
    <n v="1670"/>
    <n v="14"/>
    <x v="1025"/>
  </r>
  <r>
    <s v="07.10.2023 Итог"/>
    <x v="3"/>
    <x v="2"/>
    <m/>
    <m/>
    <m/>
    <m/>
    <x v="1558"/>
  </r>
  <r>
    <d v="2023-10-08T00:00:00"/>
    <x v="2"/>
    <x v="0"/>
    <s v="Зелень"/>
    <s v="Салат римский"/>
    <n v="540"/>
    <n v="26"/>
    <x v="155"/>
  </r>
  <r>
    <d v="2023-10-08T00:00:00"/>
    <x v="4"/>
    <x v="0"/>
    <s v="Овощи"/>
    <s v="Баклажаны"/>
    <n v="890"/>
    <n v="15"/>
    <x v="1559"/>
  </r>
  <r>
    <d v="2023-10-08T00:00:00"/>
    <x v="0"/>
    <x v="4"/>
    <s v="Овощи"/>
    <s v="Кабачки"/>
    <n v="325"/>
    <n v="64"/>
    <x v="237"/>
  </r>
  <r>
    <d v="2023-10-08T00:00:00"/>
    <x v="0"/>
    <x v="5"/>
    <s v="Фрукты"/>
    <s v="Груши"/>
    <n v="1420"/>
    <n v="70"/>
    <x v="861"/>
  </r>
  <r>
    <d v="2023-10-08T00:00:00"/>
    <x v="4"/>
    <x v="5"/>
    <s v="Ягоды"/>
    <s v="Смородина черная"/>
    <n v="1505"/>
    <n v="21"/>
    <x v="27"/>
  </r>
  <r>
    <d v="2023-10-08T00:00:00"/>
    <x v="4"/>
    <x v="6"/>
    <s v="Овощи"/>
    <s v="Баклажаны"/>
    <n v="890"/>
    <n v="67"/>
    <x v="1123"/>
  </r>
  <r>
    <d v="2023-10-08T00:00:00"/>
    <x v="0"/>
    <x v="6"/>
    <s v="Ягоды"/>
    <s v="Голубика"/>
    <n v="3205"/>
    <n v="9"/>
    <x v="1560"/>
  </r>
  <r>
    <s v="08.10.2023 Итог"/>
    <x v="3"/>
    <x v="2"/>
    <m/>
    <m/>
    <m/>
    <m/>
    <x v="1561"/>
  </r>
  <r>
    <d v="2023-10-09T00:00:00"/>
    <x v="1"/>
    <x v="3"/>
    <s v="Зелень"/>
    <s v="Салат римский"/>
    <n v="540"/>
    <n v="36"/>
    <x v="965"/>
  </r>
  <r>
    <d v="2023-10-09T00:00:00"/>
    <x v="1"/>
    <x v="3"/>
    <s v="Фрукты"/>
    <s v="Сливы"/>
    <n v="930"/>
    <n v="99"/>
    <x v="579"/>
  </r>
  <r>
    <d v="2023-10-09T00:00:00"/>
    <x v="0"/>
    <x v="4"/>
    <s v="Зелень"/>
    <s v="Салат римский"/>
    <n v="540"/>
    <n v="19"/>
    <x v="1009"/>
  </r>
  <r>
    <d v="2023-10-09T00:00:00"/>
    <x v="4"/>
    <x v="1"/>
    <s v="Овощи"/>
    <s v="Свекла"/>
    <n v="450"/>
    <n v="66"/>
    <x v="227"/>
  </r>
  <r>
    <d v="2023-10-09T00:00:00"/>
    <x v="4"/>
    <x v="1"/>
    <s v="Фрукты"/>
    <s v="Абрикосы"/>
    <n v="1320"/>
    <n v="79"/>
    <x v="1562"/>
  </r>
  <r>
    <d v="2023-10-09T00:00:00"/>
    <x v="1"/>
    <x v="1"/>
    <s v="Фрукты"/>
    <s v="Яблоки"/>
    <n v="1230"/>
    <n v="8"/>
    <x v="1156"/>
  </r>
  <r>
    <d v="2023-10-09T00:00:00"/>
    <x v="4"/>
    <x v="1"/>
    <s v="Ягоды"/>
    <s v="Смородина черная"/>
    <n v="1505"/>
    <n v="85"/>
    <x v="144"/>
  </r>
  <r>
    <d v="2023-10-09T00:00:00"/>
    <x v="0"/>
    <x v="6"/>
    <s v="Фрукты"/>
    <s v="Бананы"/>
    <n v="2400"/>
    <n v="10"/>
    <x v="1259"/>
  </r>
  <r>
    <d v="2023-10-09T00:00:00"/>
    <x v="2"/>
    <x v="6"/>
    <s v="Фрукты"/>
    <s v="Апельсины"/>
    <n v="2540"/>
    <n v="67"/>
    <x v="1563"/>
  </r>
  <r>
    <s v="09.10.2023 Итог"/>
    <x v="3"/>
    <x v="2"/>
    <m/>
    <m/>
    <m/>
    <m/>
    <x v="1564"/>
  </r>
  <r>
    <d v="2023-10-10T00:00:00"/>
    <x v="2"/>
    <x v="0"/>
    <s v="Фрукты"/>
    <s v="Абрикосы"/>
    <n v="1320"/>
    <n v="11"/>
    <x v="84"/>
  </r>
  <r>
    <d v="2023-10-10T00:00:00"/>
    <x v="1"/>
    <x v="4"/>
    <s v="Овощи"/>
    <s v="Баклажаны"/>
    <n v="890"/>
    <n v="50"/>
    <x v="916"/>
  </r>
  <r>
    <d v="2023-10-10T00:00:00"/>
    <x v="1"/>
    <x v="4"/>
    <s v="Фрукты"/>
    <s v="Сливы"/>
    <n v="930"/>
    <n v="48"/>
    <x v="1565"/>
  </r>
  <r>
    <d v="2023-10-10T00:00:00"/>
    <x v="0"/>
    <x v="1"/>
    <s v="Овощи"/>
    <s v="Свекла"/>
    <n v="450"/>
    <n v="89"/>
    <x v="1019"/>
  </r>
  <r>
    <d v="2023-10-10T00:00:00"/>
    <x v="2"/>
    <x v="1"/>
    <s v="Фрукты"/>
    <s v="Бананы"/>
    <n v="2400"/>
    <n v="14"/>
    <x v="1566"/>
  </r>
  <r>
    <d v="2023-10-10T00:00:00"/>
    <x v="2"/>
    <x v="1"/>
    <s v="Ягоды"/>
    <s v="Смородина черная"/>
    <n v="1505"/>
    <n v="83"/>
    <x v="1567"/>
  </r>
  <r>
    <d v="2023-10-10T00:00:00"/>
    <x v="2"/>
    <x v="5"/>
    <s v="Зелень"/>
    <s v="Салат айсберг"/>
    <n v="1380"/>
    <n v="85"/>
    <x v="806"/>
  </r>
  <r>
    <d v="2023-10-10T00:00:00"/>
    <x v="0"/>
    <x v="6"/>
    <s v="Зелень"/>
    <s v="Кинза"/>
    <n v="650"/>
    <n v="59"/>
    <x v="1568"/>
  </r>
  <r>
    <s v="10.10.2023 Итог"/>
    <x v="3"/>
    <x v="2"/>
    <m/>
    <m/>
    <m/>
    <m/>
    <x v="1569"/>
  </r>
  <r>
    <d v="2023-10-11T00:00:00"/>
    <x v="2"/>
    <x v="3"/>
    <s v="Зелень"/>
    <s v="Кинза"/>
    <n v="650"/>
    <n v="76"/>
    <x v="1570"/>
  </r>
  <r>
    <d v="2023-10-11T00:00:00"/>
    <x v="0"/>
    <x v="3"/>
    <s v="Овощи"/>
    <s v="Баклажаны"/>
    <n v="890"/>
    <n v="52"/>
    <x v="1571"/>
  </r>
  <r>
    <d v="2023-10-11T00:00:00"/>
    <x v="4"/>
    <x v="0"/>
    <s v="Зелень"/>
    <s v="Салат айсберг"/>
    <n v="1380"/>
    <n v="38"/>
    <x v="1572"/>
  </r>
  <r>
    <d v="2023-10-11T00:00:00"/>
    <x v="2"/>
    <x v="0"/>
    <s v="Фрукты"/>
    <s v="Апельсины"/>
    <n v="2540"/>
    <n v="95"/>
    <x v="518"/>
  </r>
  <r>
    <d v="2023-10-11T00:00:00"/>
    <x v="4"/>
    <x v="4"/>
    <s v="Зелень"/>
    <s v="Салат айсберг"/>
    <n v="1380"/>
    <n v="10"/>
    <x v="505"/>
  </r>
  <r>
    <d v="2023-10-11T00:00:00"/>
    <x v="2"/>
    <x v="1"/>
    <s v="Зелень"/>
    <s v="Салат айсберг"/>
    <n v="1380"/>
    <n v="23"/>
    <x v="610"/>
  </r>
  <r>
    <d v="2023-10-11T00:00:00"/>
    <x v="1"/>
    <x v="1"/>
    <s v="Овощи"/>
    <s v="Картофель"/>
    <n v="690"/>
    <n v="74"/>
    <x v="270"/>
  </r>
  <r>
    <d v="2023-10-11T00:00:00"/>
    <x v="2"/>
    <x v="1"/>
    <s v="Ягоды"/>
    <s v="Малина"/>
    <n v="2970"/>
    <n v="48"/>
    <x v="296"/>
  </r>
  <r>
    <d v="2023-10-11T00:00:00"/>
    <x v="2"/>
    <x v="5"/>
    <s v="Зелень"/>
    <s v="Салат римский"/>
    <n v="540"/>
    <n v="64"/>
    <x v="1466"/>
  </r>
  <r>
    <d v="2023-10-11T00:00:00"/>
    <x v="4"/>
    <x v="5"/>
    <s v="Зелень"/>
    <s v="Кинза"/>
    <n v="650"/>
    <n v="26"/>
    <x v="619"/>
  </r>
  <r>
    <d v="2023-10-11T00:00:00"/>
    <x v="2"/>
    <x v="5"/>
    <s v="Овощи"/>
    <s v="Кабачки"/>
    <n v="325"/>
    <n v="94"/>
    <x v="1091"/>
  </r>
  <r>
    <d v="2023-10-11T00:00:00"/>
    <x v="2"/>
    <x v="5"/>
    <s v="Фрукты"/>
    <s v="Груши"/>
    <n v="1420"/>
    <n v="61"/>
    <x v="1064"/>
  </r>
  <r>
    <d v="2023-10-11T00:00:00"/>
    <x v="1"/>
    <x v="6"/>
    <s v="Ягоды"/>
    <s v="Брусника"/>
    <n v="1670"/>
    <n v="48"/>
    <x v="1573"/>
  </r>
  <r>
    <s v="11.10.2023 Итог"/>
    <x v="3"/>
    <x v="2"/>
    <m/>
    <m/>
    <m/>
    <m/>
    <x v="1574"/>
  </r>
  <r>
    <d v="2023-10-12T00:00:00"/>
    <x v="2"/>
    <x v="3"/>
    <s v="Фрукты"/>
    <s v="Апельсины"/>
    <n v="2540"/>
    <n v="89"/>
    <x v="331"/>
  </r>
  <r>
    <d v="2023-10-12T00:00:00"/>
    <x v="2"/>
    <x v="3"/>
    <s v="Ягоды"/>
    <s v="Голубика"/>
    <n v="3205"/>
    <n v="41"/>
    <x v="662"/>
  </r>
  <r>
    <d v="2023-10-12T00:00:00"/>
    <x v="4"/>
    <x v="5"/>
    <s v="Овощи"/>
    <s v="Свекла"/>
    <n v="450"/>
    <n v="50"/>
    <x v="106"/>
  </r>
  <r>
    <s v="12.10.2023 Итог"/>
    <x v="3"/>
    <x v="2"/>
    <m/>
    <m/>
    <m/>
    <m/>
    <x v="1575"/>
  </r>
  <r>
    <d v="2023-10-13T00:00:00"/>
    <x v="1"/>
    <x v="3"/>
    <s v="Зелень"/>
    <s v="Салат айсберг"/>
    <n v="1380"/>
    <n v="44"/>
    <x v="1103"/>
  </r>
  <r>
    <d v="2023-10-13T00:00:00"/>
    <x v="1"/>
    <x v="0"/>
    <s v="Овощи"/>
    <s v="Баклажаны"/>
    <n v="890"/>
    <n v="83"/>
    <x v="1576"/>
  </r>
  <r>
    <d v="2023-10-13T00:00:00"/>
    <x v="2"/>
    <x v="0"/>
    <s v="Ягоды"/>
    <s v="Малина"/>
    <n v="2970"/>
    <n v="16"/>
    <x v="413"/>
  </r>
  <r>
    <d v="2023-10-13T00:00:00"/>
    <x v="0"/>
    <x v="4"/>
    <s v="Фрукты"/>
    <s v="Бананы"/>
    <n v="2400"/>
    <n v="83"/>
    <x v="1285"/>
  </r>
  <r>
    <d v="2023-10-13T00:00:00"/>
    <x v="2"/>
    <x v="4"/>
    <s v="Ягоды"/>
    <s v="Черешня"/>
    <n v="1760"/>
    <n v="27"/>
    <x v="413"/>
  </r>
  <r>
    <d v="2023-10-13T00:00:00"/>
    <x v="1"/>
    <x v="1"/>
    <s v="Ягоды"/>
    <s v="Голубика"/>
    <n v="3205"/>
    <n v="36"/>
    <x v="1577"/>
  </r>
  <r>
    <d v="2023-10-13T00:00:00"/>
    <x v="4"/>
    <x v="1"/>
    <s v="Ягоды"/>
    <s v="Черешня"/>
    <n v="1760"/>
    <n v="69"/>
    <x v="935"/>
  </r>
  <r>
    <d v="2023-10-13T00:00:00"/>
    <x v="4"/>
    <x v="5"/>
    <s v="Зелень"/>
    <s v="Лук зеленый"/>
    <n v="705"/>
    <n v="33"/>
    <x v="58"/>
  </r>
  <r>
    <d v="2023-10-13T00:00:00"/>
    <x v="0"/>
    <x v="5"/>
    <s v="Зелень"/>
    <s v="Петрушка"/>
    <n v="640"/>
    <n v="21"/>
    <x v="974"/>
  </r>
  <r>
    <d v="2023-10-13T00:00:00"/>
    <x v="2"/>
    <x v="6"/>
    <s v="Зелень"/>
    <s v="Петрушка"/>
    <n v="640"/>
    <n v="46"/>
    <x v="582"/>
  </r>
  <r>
    <d v="2023-10-13T00:00:00"/>
    <x v="0"/>
    <x v="6"/>
    <s v="Овощи"/>
    <s v="Свекла"/>
    <n v="450"/>
    <n v="34"/>
    <x v="1578"/>
  </r>
  <r>
    <d v="2023-10-13T00:00:00"/>
    <x v="0"/>
    <x v="6"/>
    <s v="Фрукты"/>
    <s v="Апельсины"/>
    <n v="2540"/>
    <n v="6"/>
    <x v="1579"/>
  </r>
  <r>
    <s v="13.10.2023 Итог"/>
    <x v="3"/>
    <x v="2"/>
    <m/>
    <m/>
    <m/>
    <m/>
    <x v="1580"/>
  </r>
  <r>
    <d v="2023-10-14T00:00:00"/>
    <x v="2"/>
    <x v="3"/>
    <s v="Ягоды"/>
    <s v="Смородина черная"/>
    <n v="1505"/>
    <n v="80"/>
    <x v="910"/>
  </r>
  <r>
    <d v="2023-10-14T00:00:00"/>
    <x v="1"/>
    <x v="0"/>
    <s v="Зелень"/>
    <s v="Салат римский"/>
    <n v="540"/>
    <n v="39"/>
    <x v="1461"/>
  </r>
  <r>
    <d v="2023-10-14T00:00:00"/>
    <x v="2"/>
    <x v="0"/>
    <s v="Овощи"/>
    <s v="Морковь"/>
    <n v="715"/>
    <n v="88"/>
    <x v="1013"/>
  </r>
  <r>
    <d v="2023-10-14T00:00:00"/>
    <x v="0"/>
    <x v="4"/>
    <s v="Зелень"/>
    <s v="Салат римский"/>
    <n v="540"/>
    <n v="38"/>
    <x v="1066"/>
  </r>
  <r>
    <d v="2023-10-14T00:00:00"/>
    <x v="0"/>
    <x v="4"/>
    <s v="Фрукты"/>
    <s v="Абрикосы"/>
    <n v="1320"/>
    <n v="30"/>
    <x v="425"/>
  </r>
  <r>
    <d v="2023-10-14T00:00:00"/>
    <x v="0"/>
    <x v="1"/>
    <s v="Зелень"/>
    <s v="Лук зеленый"/>
    <n v="705"/>
    <n v="81"/>
    <x v="179"/>
  </r>
  <r>
    <d v="2023-10-14T00:00:00"/>
    <x v="4"/>
    <x v="1"/>
    <s v="Зелень"/>
    <s v="Укроп"/>
    <n v="650"/>
    <n v="35"/>
    <x v="1515"/>
  </r>
  <r>
    <d v="2023-10-14T00:00:00"/>
    <x v="2"/>
    <x v="1"/>
    <s v="Зелень"/>
    <s v="Петрушка"/>
    <n v="640"/>
    <n v="63"/>
    <x v="1581"/>
  </r>
  <r>
    <d v="2023-10-14T00:00:00"/>
    <x v="2"/>
    <x v="5"/>
    <s v="Фрукты"/>
    <s v="Бананы"/>
    <n v="2400"/>
    <n v="70"/>
    <x v="330"/>
  </r>
  <r>
    <s v="14.10.2023 Итог"/>
    <x v="3"/>
    <x v="2"/>
    <m/>
    <m/>
    <m/>
    <m/>
    <x v="1582"/>
  </r>
  <r>
    <d v="2023-10-15T00:00:00"/>
    <x v="4"/>
    <x v="3"/>
    <s v="Зелень"/>
    <s v="Салат айсберг"/>
    <n v="1380"/>
    <n v="59"/>
    <x v="1583"/>
  </r>
  <r>
    <d v="2023-10-15T00:00:00"/>
    <x v="1"/>
    <x v="3"/>
    <s v="Фрукты"/>
    <s v="Бананы"/>
    <n v="2400"/>
    <n v="86"/>
    <x v="564"/>
  </r>
  <r>
    <d v="2023-10-15T00:00:00"/>
    <x v="2"/>
    <x v="3"/>
    <s v="Фрукты"/>
    <s v="Абрикосы"/>
    <n v="1320"/>
    <n v="40"/>
    <x v="94"/>
  </r>
  <r>
    <d v="2023-10-15T00:00:00"/>
    <x v="2"/>
    <x v="0"/>
    <s v="Зелень"/>
    <s v="Салат римский"/>
    <n v="540"/>
    <n v="23"/>
    <x v="1216"/>
  </r>
  <r>
    <d v="2023-10-15T00:00:00"/>
    <x v="1"/>
    <x v="0"/>
    <s v="Фрукты"/>
    <s v="Абрикосы"/>
    <n v="1320"/>
    <n v="68"/>
    <x v="336"/>
  </r>
  <r>
    <d v="2023-10-15T00:00:00"/>
    <x v="1"/>
    <x v="0"/>
    <s v="Ягоды"/>
    <s v="Малина"/>
    <n v="2970"/>
    <n v="20"/>
    <x v="12"/>
  </r>
  <r>
    <d v="2023-10-15T00:00:00"/>
    <x v="1"/>
    <x v="1"/>
    <s v="Зелень"/>
    <s v="Петрушка"/>
    <n v="640"/>
    <n v="83"/>
    <x v="526"/>
  </r>
  <r>
    <d v="2023-10-15T00:00:00"/>
    <x v="2"/>
    <x v="1"/>
    <s v="Овощи"/>
    <s v="Морковь"/>
    <n v="715"/>
    <n v="14"/>
    <x v="13"/>
  </r>
  <r>
    <d v="2023-10-15T00:00:00"/>
    <x v="1"/>
    <x v="1"/>
    <s v="Фрукты"/>
    <s v="Груши"/>
    <n v="1420"/>
    <n v="8"/>
    <x v="1420"/>
  </r>
  <r>
    <d v="2023-10-15T00:00:00"/>
    <x v="4"/>
    <x v="5"/>
    <s v="Зелень"/>
    <s v="Лук зеленый"/>
    <n v="705"/>
    <n v="21"/>
    <x v="130"/>
  </r>
  <r>
    <d v="2023-10-15T00:00:00"/>
    <x v="4"/>
    <x v="5"/>
    <s v="Фрукты"/>
    <s v="Апельсины"/>
    <n v="2540"/>
    <n v="72"/>
    <x v="1119"/>
  </r>
  <r>
    <d v="2023-10-15T00:00:00"/>
    <x v="2"/>
    <x v="5"/>
    <s v="Ягоды"/>
    <s v="Малина"/>
    <n v="2970"/>
    <n v="32"/>
    <x v="1516"/>
  </r>
  <r>
    <d v="2023-10-15T00:00:00"/>
    <x v="4"/>
    <x v="6"/>
    <s v="Зелень"/>
    <s v="Кинза"/>
    <n v="650"/>
    <n v="57"/>
    <x v="1584"/>
  </r>
  <r>
    <d v="2023-10-15T00:00:00"/>
    <x v="2"/>
    <x v="6"/>
    <s v="Фрукты"/>
    <s v="Бананы"/>
    <n v="2400"/>
    <n v="60"/>
    <x v="1585"/>
  </r>
  <r>
    <s v="15.10.2023 Итог"/>
    <x v="3"/>
    <x v="2"/>
    <m/>
    <m/>
    <m/>
    <m/>
    <x v="1586"/>
  </r>
  <r>
    <d v="2023-10-16T00:00:00"/>
    <x v="0"/>
    <x v="3"/>
    <s v="Фрукты"/>
    <s v="Яблоки"/>
    <n v="1230"/>
    <n v="51"/>
    <x v="1257"/>
  </r>
  <r>
    <d v="2023-10-16T00:00:00"/>
    <x v="1"/>
    <x v="0"/>
    <s v="Зелень"/>
    <s v="Укроп"/>
    <n v="650"/>
    <n v="95"/>
    <x v="1587"/>
  </r>
  <r>
    <d v="2023-10-16T00:00:00"/>
    <x v="2"/>
    <x v="0"/>
    <s v="Овощи"/>
    <s v="Морковь"/>
    <n v="715"/>
    <n v="80"/>
    <x v="83"/>
  </r>
  <r>
    <d v="2023-10-16T00:00:00"/>
    <x v="1"/>
    <x v="0"/>
    <s v="Овощи"/>
    <s v="Баклажаны"/>
    <n v="890"/>
    <n v="58"/>
    <x v="1588"/>
  </r>
  <r>
    <d v="2023-10-16T00:00:00"/>
    <x v="4"/>
    <x v="0"/>
    <s v="Ягоды"/>
    <s v="Клубника"/>
    <n v="2460"/>
    <n v="69"/>
    <x v="1589"/>
  </r>
  <r>
    <d v="2023-10-16T00:00:00"/>
    <x v="2"/>
    <x v="4"/>
    <s v="Зелень"/>
    <s v="Петрушка"/>
    <n v="640"/>
    <n v="97"/>
    <x v="1090"/>
  </r>
  <r>
    <d v="2023-10-16T00:00:00"/>
    <x v="4"/>
    <x v="6"/>
    <s v="Зелень"/>
    <s v="Салат айсберг"/>
    <n v="1380"/>
    <n v="45"/>
    <x v="1193"/>
  </r>
  <r>
    <d v="2023-10-16T00:00:00"/>
    <x v="0"/>
    <x v="6"/>
    <s v="Фрукты"/>
    <s v="Сливы"/>
    <n v="930"/>
    <n v="9"/>
    <x v="1590"/>
  </r>
  <r>
    <s v="16.10.2023 Итог"/>
    <x v="3"/>
    <x v="2"/>
    <m/>
    <m/>
    <m/>
    <m/>
    <x v="1591"/>
  </r>
  <r>
    <d v="2023-10-17T00:00:00"/>
    <x v="4"/>
    <x v="3"/>
    <s v="Ягоды"/>
    <s v="Голубика"/>
    <n v="3205"/>
    <n v="28"/>
    <x v="1366"/>
  </r>
  <r>
    <d v="2023-10-17T00:00:00"/>
    <x v="0"/>
    <x v="3"/>
    <s v="Ягоды"/>
    <s v="Малина"/>
    <n v="2970"/>
    <n v="84"/>
    <x v="0"/>
  </r>
  <r>
    <d v="2023-10-17T00:00:00"/>
    <x v="2"/>
    <x v="0"/>
    <s v="Овощи"/>
    <s v="Баклажаны"/>
    <n v="890"/>
    <n v="16"/>
    <x v="274"/>
  </r>
  <r>
    <d v="2023-10-17T00:00:00"/>
    <x v="0"/>
    <x v="0"/>
    <s v="Фрукты"/>
    <s v="Яблоки"/>
    <n v="1230"/>
    <n v="91"/>
    <x v="1592"/>
  </r>
  <r>
    <d v="2023-10-17T00:00:00"/>
    <x v="2"/>
    <x v="4"/>
    <s v="Ягоды"/>
    <s v="Черешня"/>
    <n v="1760"/>
    <n v="13"/>
    <x v="350"/>
  </r>
  <r>
    <d v="2023-10-17T00:00:00"/>
    <x v="0"/>
    <x v="4"/>
    <s v="Ягоды"/>
    <s v="Малина"/>
    <n v="2970"/>
    <n v="65"/>
    <x v="1593"/>
  </r>
  <r>
    <d v="2023-10-17T00:00:00"/>
    <x v="4"/>
    <x v="1"/>
    <s v="Овощи"/>
    <s v="Морковь"/>
    <n v="715"/>
    <n v="70"/>
    <x v="1213"/>
  </r>
  <r>
    <d v="2023-10-17T00:00:00"/>
    <x v="0"/>
    <x v="1"/>
    <s v="Ягоды"/>
    <s v="Смородина черная"/>
    <n v="1505"/>
    <n v="28"/>
    <x v="1594"/>
  </r>
  <r>
    <d v="2023-10-17T00:00:00"/>
    <x v="0"/>
    <x v="5"/>
    <s v="Зелень"/>
    <s v="Салат айсберг"/>
    <n v="1380"/>
    <n v="61"/>
    <x v="390"/>
  </r>
  <r>
    <d v="2023-10-17T00:00:00"/>
    <x v="1"/>
    <x v="5"/>
    <s v="Овощи"/>
    <s v="Баклажаны"/>
    <n v="890"/>
    <n v="25"/>
    <x v="48"/>
  </r>
  <r>
    <d v="2023-10-17T00:00:00"/>
    <x v="1"/>
    <x v="5"/>
    <s v="Фрукты"/>
    <s v="Бананы"/>
    <n v="2400"/>
    <n v="6"/>
    <x v="1175"/>
  </r>
  <r>
    <d v="2023-10-17T00:00:00"/>
    <x v="4"/>
    <x v="6"/>
    <s v="Зелень"/>
    <s v="Укроп"/>
    <n v="650"/>
    <n v="37"/>
    <x v="1375"/>
  </r>
  <r>
    <d v="2023-10-17T00:00:00"/>
    <x v="1"/>
    <x v="6"/>
    <s v="Зелень"/>
    <s v="Кинза"/>
    <n v="650"/>
    <n v="98"/>
    <x v="833"/>
  </r>
  <r>
    <d v="2023-10-17T00:00:00"/>
    <x v="0"/>
    <x v="6"/>
    <s v="Овощи"/>
    <s v="Капуста"/>
    <n v="460"/>
    <n v="31"/>
    <x v="1595"/>
  </r>
  <r>
    <d v="2023-10-17T00:00:00"/>
    <x v="4"/>
    <x v="6"/>
    <s v="Ягоды"/>
    <s v="Брусника"/>
    <n v="1670"/>
    <n v="7"/>
    <x v="1130"/>
  </r>
  <r>
    <s v="17.10.2023 Итог"/>
    <x v="3"/>
    <x v="2"/>
    <m/>
    <m/>
    <m/>
    <m/>
    <x v="1596"/>
  </r>
  <r>
    <d v="2023-10-18T00:00:00"/>
    <x v="4"/>
    <x v="3"/>
    <s v="Ягоды"/>
    <s v="Клубника"/>
    <n v="2460"/>
    <n v="8"/>
    <x v="254"/>
  </r>
  <r>
    <d v="2023-10-18T00:00:00"/>
    <x v="1"/>
    <x v="3"/>
    <s v="Ягоды"/>
    <s v="Голубика"/>
    <n v="3205"/>
    <n v="94"/>
    <x v="139"/>
  </r>
  <r>
    <d v="2023-10-18T00:00:00"/>
    <x v="2"/>
    <x v="0"/>
    <s v="Зелень"/>
    <s v="Петрушка"/>
    <n v="640"/>
    <n v="8"/>
    <x v="1597"/>
  </r>
  <r>
    <d v="2023-10-18T00:00:00"/>
    <x v="1"/>
    <x v="4"/>
    <s v="Ягоды"/>
    <s v="Малина"/>
    <n v="2970"/>
    <n v="62"/>
    <x v="436"/>
  </r>
  <r>
    <d v="2023-10-18T00:00:00"/>
    <x v="0"/>
    <x v="1"/>
    <s v="Фрукты"/>
    <s v="Абрикосы"/>
    <n v="1320"/>
    <n v="22"/>
    <x v="1023"/>
  </r>
  <r>
    <s v="18.10.2023 Итог"/>
    <x v="3"/>
    <x v="2"/>
    <m/>
    <m/>
    <m/>
    <m/>
    <x v="1598"/>
  </r>
  <r>
    <d v="2023-10-19T00:00:00"/>
    <x v="2"/>
    <x v="3"/>
    <s v="Зелень"/>
    <s v="Кинза"/>
    <n v="650"/>
    <n v="54"/>
    <x v="158"/>
  </r>
  <r>
    <d v="2023-10-19T00:00:00"/>
    <x v="1"/>
    <x v="0"/>
    <s v="Зелень"/>
    <s v="Салат айсберг"/>
    <n v="1380"/>
    <n v="13"/>
    <x v="275"/>
  </r>
  <r>
    <d v="2023-10-19T00:00:00"/>
    <x v="1"/>
    <x v="0"/>
    <s v="Ягоды"/>
    <s v="Смородина черная"/>
    <n v="1505"/>
    <n v="41"/>
    <x v="1089"/>
  </r>
  <r>
    <d v="2023-10-19T00:00:00"/>
    <x v="4"/>
    <x v="1"/>
    <s v="Зелень"/>
    <s v="Лук зеленый"/>
    <n v="705"/>
    <n v="62"/>
    <x v="713"/>
  </r>
  <r>
    <d v="2023-10-19T00:00:00"/>
    <x v="0"/>
    <x v="1"/>
    <s v="Фрукты"/>
    <s v="Абрикосы"/>
    <n v="1320"/>
    <n v="85"/>
    <x v="1599"/>
  </r>
  <r>
    <d v="2023-10-19T00:00:00"/>
    <x v="1"/>
    <x v="1"/>
    <s v="Ягоды"/>
    <s v="Малина"/>
    <n v="2970"/>
    <n v="23"/>
    <x v="834"/>
  </r>
  <r>
    <d v="2023-10-19T00:00:00"/>
    <x v="4"/>
    <x v="1"/>
    <s v="Ягоды"/>
    <s v="Смородина черная"/>
    <n v="1505"/>
    <n v="58"/>
    <x v="91"/>
  </r>
  <r>
    <d v="2023-10-19T00:00:00"/>
    <x v="2"/>
    <x v="5"/>
    <s v="Зелень"/>
    <s v="Кинза"/>
    <n v="650"/>
    <n v="83"/>
    <x v="442"/>
  </r>
  <r>
    <d v="2023-10-19T00:00:00"/>
    <x v="2"/>
    <x v="5"/>
    <s v="Овощи"/>
    <s v="Картофель"/>
    <n v="690"/>
    <n v="12"/>
    <x v="244"/>
  </r>
  <r>
    <d v="2023-10-19T00:00:00"/>
    <x v="4"/>
    <x v="5"/>
    <s v="Ягоды"/>
    <s v="Брусника"/>
    <n v="1670"/>
    <n v="74"/>
    <x v="1600"/>
  </r>
  <r>
    <d v="2023-10-19T00:00:00"/>
    <x v="2"/>
    <x v="6"/>
    <s v="Фрукты"/>
    <s v="Бананы"/>
    <n v="2400"/>
    <n v="64"/>
    <x v="1110"/>
  </r>
  <r>
    <d v="2023-10-19T00:00:00"/>
    <x v="4"/>
    <x v="6"/>
    <s v="Фрукты"/>
    <s v="Яблоки"/>
    <n v="1230"/>
    <n v="85"/>
    <x v="792"/>
  </r>
  <r>
    <d v="2023-10-19T00:00:00"/>
    <x v="0"/>
    <x v="6"/>
    <s v="Ягоды"/>
    <s v="Малина"/>
    <n v="2970"/>
    <n v="96"/>
    <x v="883"/>
  </r>
  <r>
    <s v="19.10.2023 Итог"/>
    <x v="3"/>
    <x v="2"/>
    <m/>
    <m/>
    <m/>
    <m/>
    <x v="1601"/>
  </r>
  <r>
    <d v="2023-10-20T00:00:00"/>
    <x v="0"/>
    <x v="3"/>
    <s v="Зелень"/>
    <s v="Салат айсберг"/>
    <n v="1380"/>
    <n v="18"/>
    <x v="200"/>
  </r>
  <r>
    <d v="2023-10-20T00:00:00"/>
    <x v="1"/>
    <x v="3"/>
    <s v="Овощи"/>
    <s v="Морковь"/>
    <n v="715"/>
    <n v="25"/>
    <x v="149"/>
  </r>
  <r>
    <d v="2023-10-20T00:00:00"/>
    <x v="0"/>
    <x v="3"/>
    <s v="Овощи"/>
    <s v="Капуста"/>
    <n v="460"/>
    <n v="87"/>
    <x v="215"/>
  </r>
  <r>
    <d v="2023-10-20T00:00:00"/>
    <x v="2"/>
    <x v="3"/>
    <s v="Фрукты"/>
    <s v="Абрикосы"/>
    <n v="1320"/>
    <n v="74"/>
    <x v="1483"/>
  </r>
  <r>
    <d v="2023-10-20T00:00:00"/>
    <x v="0"/>
    <x v="4"/>
    <s v="Овощи"/>
    <s v="Баклажаны"/>
    <n v="890"/>
    <n v="30"/>
    <x v="1427"/>
  </r>
  <r>
    <d v="2023-10-20T00:00:00"/>
    <x v="1"/>
    <x v="4"/>
    <s v="Овощи"/>
    <s v="Картофель"/>
    <n v="690"/>
    <n v="96"/>
    <x v="210"/>
  </r>
  <r>
    <d v="2023-10-20T00:00:00"/>
    <x v="0"/>
    <x v="1"/>
    <s v="Овощи"/>
    <s v="Капуста"/>
    <n v="460"/>
    <n v="75"/>
    <x v="1057"/>
  </r>
  <r>
    <d v="2023-10-20T00:00:00"/>
    <x v="1"/>
    <x v="1"/>
    <s v="Овощи"/>
    <s v="Свекла"/>
    <n v="450"/>
    <n v="76"/>
    <x v="570"/>
  </r>
  <r>
    <d v="2023-10-20T00:00:00"/>
    <x v="2"/>
    <x v="1"/>
    <s v="Овощи"/>
    <s v="Свекла"/>
    <n v="450"/>
    <n v="12"/>
    <x v="148"/>
  </r>
  <r>
    <d v="2023-10-20T00:00:00"/>
    <x v="4"/>
    <x v="1"/>
    <s v="Фрукты"/>
    <s v="Апельсины"/>
    <n v="2540"/>
    <n v="22"/>
    <x v="1602"/>
  </r>
  <r>
    <d v="2023-10-20T00:00:00"/>
    <x v="4"/>
    <x v="5"/>
    <s v="Зелень"/>
    <s v="Укроп"/>
    <n v="650"/>
    <n v="98"/>
    <x v="833"/>
  </r>
  <r>
    <d v="2023-10-20T00:00:00"/>
    <x v="4"/>
    <x v="5"/>
    <s v="Зелень"/>
    <s v="Петрушка"/>
    <n v="640"/>
    <n v="63"/>
    <x v="1581"/>
  </r>
  <r>
    <s v="20.10.2023 Итог"/>
    <x v="3"/>
    <x v="2"/>
    <m/>
    <m/>
    <m/>
    <m/>
    <x v="1603"/>
  </r>
  <r>
    <d v="2023-10-21T00:00:00"/>
    <x v="4"/>
    <x v="3"/>
    <s v="Ягоды"/>
    <s v="Черешня"/>
    <n v="1760"/>
    <n v="17"/>
    <x v="1604"/>
  </r>
  <r>
    <d v="2023-10-21T00:00:00"/>
    <x v="1"/>
    <x v="0"/>
    <s v="Ягоды"/>
    <s v="Клубника"/>
    <n v="2460"/>
    <n v="80"/>
    <x v="1430"/>
  </r>
  <r>
    <d v="2023-10-21T00:00:00"/>
    <x v="1"/>
    <x v="4"/>
    <s v="Зелень"/>
    <s v="Петрушка"/>
    <n v="640"/>
    <n v="98"/>
    <x v="649"/>
  </r>
  <r>
    <d v="2023-10-21T00:00:00"/>
    <x v="0"/>
    <x v="4"/>
    <s v="Фрукты"/>
    <s v="Сливы"/>
    <n v="930"/>
    <n v="81"/>
    <x v="1374"/>
  </r>
  <r>
    <d v="2023-10-21T00:00:00"/>
    <x v="0"/>
    <x v="1"/>
    <s v="Фрукты"/>
    <s v="Сливы"/>
    <n v="930"/>
    <n v="29"/>
    <x v="638"/>
  </r>
  <r>
    <d v="2023-10-21T00:00:00"/>
    <x v="4"/>
    <x v="1"/>
    <s v="Ягоды"/>
    <s v="Малина"/>
    <n v="2970"/>
    <n v="98"/>
    <x v="790"/>
  </r>
  <r>
    <d v="2023-10-21T00:00:00"/>
    <x v="2"/>
    <x v="5"/>
    <s v="Зелень"/>
    <s v="Салат айсберг"/>
    <n v="1380"/>
    <n v="62"/>
    <x v="345"/>
  </r>
  <r>
    <d v="2023-10-21T00:00:00"/>
    <x v="0"/>
    <x v="5"/>
    <s v="Фрукты"/>
    <s v="Груши"/>
    <n v="1420"/>
    <n v="44"/>
    <x v="1270"/>
  </r>
  <r>
    <s v="21.10.2023 Итог"/>
    <x v="3"/>
    <x v="2"/>
    <m/>
    <m/>
    <m/>
    <m/>
    <x v="1605"/>
  </r>
  <r>
    <d v="2023-10-22T00:00:00"/>
    <x v="4"/>
    <x v="3"/>
    <s v="Зелень"/>
    <s v="Лук зеленый"/>
    <n v="705"/>
    <n v="67"/>
    <x v="318"/>
  </r>
  <r>
    <d v="2023-10-22T00:00:00"/>
    <x v="4"/>
    <x v="4"/>
    <s v="Овощи"/>
    <s v="Морковь"/>
    <n v="715"/>
    <n v="65"/>
    <x v="1606"/>
  </r>
  <r>
    <d v="2023-10-22T00:00:00"/>
    <x v="0"/>
    <x v="4"/>
    <s v="Ягоды"/>
    <s v="Брусника"/>
    <n v="1670"/>
    <n v="68"/>
    <x v="1410"/>
  </r>
  <r>
    <d v="2023-10-22T00:00:00"/>
    <x v="0"/>
    <x v="4"/>
    <s v="Ягоды"/>
    <s v="Голубика"/>
    <n v="3205"/>
    <n v="48"/>
    <x v="859"/>
  </r>
  <r>
    <d v="2023-10-22T00:00:00"/>
    <x v="1"/>
    <x v="6"/>
    <s v="Зелень"/>
    <s v="Петрушка"/>
    <n v="640"/>
    <n v="70"/>
    <x v="103"/>
  </r>
  <r>
    <d v="2023-10-22T00:00:00"/>
    <x v="4"/>
    <x v="6"/>
    <s v="Фрукты"/>
    <s v="Абрикосы"/>
    <n v="1320"/>
    <n v="79"/>
    <x v="1562"/>
  </r>
  <r>
    <s v="22.10.2023 Итог"/>
    <x v="3"/>
    <x v="2"/>
    <m/>
    <m/>
    <m/>
    <m/>
    <x v="1607"/>
  </r>
  <r>
    <d v="2023-10-23T00:00:00"/>
    <x v="4"/>
    <x v="3"/>
    <s v="Фрукты"/>
    <s v="Абрикосы"/>
    <n v="1320"/>
    <n v="69"/>
    <x v="1299"/>
  </r>
  <r>
    <d v="2023-10-23T00:00:00"/>
    <x v="4"/>
    <x v="0"/>
    <s v="Овощи"/>
    <s v="Морковь"/>
    <n v="715"/>
    <n v="30"/>
    <x v="360"/>
  </r>
  <r>
    <d v="2023-10-23T00:00:00"/>
    <x v="2"/>
    <x v="0"/>
    <s v="Фрукты"/>
    <s v="Груши"/>
    <n v="1420"/>
    <n v="82"/>
    <x v="632"/>
  </r>
  <r>
    <d v="2023-10-23T00:00:00"/>
    <x v="2"/>
    <x v="4"/>
    <s v="Овощи"/>
    <s v="Свекла"/>
    <n v="450"/>
    <n v="81"/>
    <x v="519"/>
  </r>
  <r>
    <d v="2023-10-23T00:00:00"/>
    <x v="4"/>
    <x v="4"/>
    <s v="Ягоды"/>
    <s v="Малина"/>
    <n v="2970"/>
    <n v="52"/>
    <x v="1545"/>
  </r>
  <r>
    <d v="2023-10-23T00:00:00"/>
    <x v="1"/>
    <x v="1"/>
    <s v="Зелень"/>
    <s v="Салат айсберг"/>
    <n v="1380"/>
    <n v="97"/>
    <x v="1608"/>
  </r>
  <r>
    <d v="2023-10-23T00:00:00"/>
    <x v="0"/>
    <x v="5"/>
    <s v="Овощи"/>
    <s v="Капуста"/>
    <n v="460"/>
    <n v="70"/>
    <x v="1326"/>
  </r>
  <r>
    <d v="2023-10-23T00:00:00"/>
    <x v="2"/>
    <x v="5"/>
    <s v="Фрукты"/>
    <s v="Абрикосы"/>
    <n v="1320"/>
    <n v="50"/>
    <x v="1609"/>
  </r>
  <r>
    <d v="2023-10-23T00:00:00"/>
    <x v="0"/>
    <x v="6"/>
    <s v="Фрукты"/>
    <s v="Апельсины"/>
    <n v="2540"/>
    <n v="93"/>
    <x v="419"/>
  </r>
  <r>
    <d v="2023-10-23T00:00:00"/>
    <x v="0"/>
    <x v="6"/>
    <s v="Фрукты"/>
    <s v="Бананы"/>
    <n v="2400"/>
    <n v="33"/>
    <x v="30"/>
  </r>
  <r>
    <s v="23.10.2023 Итог"/>
    <x v="3"/>
    <x v="2"/>
    <m/>
    <m/>
    <m/>
    <m/>
    <x v="1610"/>
  </r>
  <r>
    <d v="2023-10-24T00:00:00"/>
    <x v="1"/>
    <x v="3"/>
    <s v="Фрукты"/>
    <s v="Груши"/>
    <n v="1420"/>
    <n v="25"/>
    <x v="1513"/>
  </r>
  <r>
    <d v="2023-10-24T00:00:00"/>
    <x v="4"/>
    <x v="0"/>
    <s v="Зелень"/>
    <s v="Петрушка"/>
    <n v="640"/>
    <n v="76"/>
    <x v="1416"/>
  </r>
  <r>
    <d v="2023-10-24T00:00:00"/>
    <x v="2"/>
    <x v="0"/>
    <s v="Фрукты"/>
    <s v="Абрикосы"/>
    <n v="1320"/>
    <n v="53"/>
    <x v="1611"/>
  </r>
  <r>
    <d v="2023-10-24T00:00:00"/>
    <x v="1"/>
    <x v="0"/>
    <s v="Ягоды"/>
    <s v="Голубика"/>
    <n v="3205"/>
    <n v="12"/>
    <x v="1379"/>
  </r>
  <r>
    <d v="2023-10-24T00:00:00"/>
    <x v="4"/>
    <x v="4"/>
    <s v="Зелень"/>
    <s v="Петрушка"/>
    <n v="640"/>
    <n v="43"/>
    <x v="1612"/>
  </r>
  <r>
    <d v="2023-10-24T00:00:00"/>
    <x v="4"/>
    <x v="4"/>
    <s v="Ягоды"/>
    <s v="Малина"/>
    <n v="2970"/>
    <n v="36"/>
    <x v="1458"/>
  </r>
  <r>
    <d v="2023-10-24T00:00:00"/>
    <x v="0"/>
    <x v="1"/>
    <s v="Ягоды"/>
    <s v="Черешня"/>
    <n v="1760"/>
    <n v="13"/>
    <x v="350"/>
  </r>
  <r>
    <d v="2023-10-24T00:00:00"/>
    <x v="1"/>
    <x v="5"/>
    <s v="Ягоды"/>
    <s v="Черешня"/>
    <n v="1760"/>
    <n v="100"/>
    <x v="1613"/>
  </r>
  <r>
    <d v="2023-10-24T00:00:00"/>
    <x v="1"/>
    <x v="6"/>
    <s v="Зелень"/>
    <s v="Кинза"/>
    <n v="650"/>
    <n v="33"/>
    <x v="360"/>
  </r>
  <r>
    <d v="2023-10-24T00:00:00"/>
    <x v="0"/>
    <x v="6"/>
    <s v="Фрукты"/>
    <s v="Груши"/>
    <n v="1420"/>
    <n v="23"/>
    <x v="408"/>
  </r>
  <r>
    <d v="2023-10-24T00:00:00"/>
    <x v="4"/>
    <x v="6"/>
    <s v="Фрукты"/>
    <s v="Груши"/>
    <n v="1420"/>
    <n v="19"/>
    <x v="951"/>
  </r>
  <r>
    <s v="24.10.2023 Итог"/>
    <x v="3"/>
    <x v="2"/>
    <m/>
    <m/>
    <m/>
    <m/>
    <x v="1614"/>
  </r>
  <r>
    <d v="2023-10-25T00:00:00"/>
    <x v="0"/>
    <x v="0"/>
    <s v="Овощи"/>
    <s v="Картофель"/>
    <n v="690"/>
    <n v="39"/>
    <x v="1113"/>
  </r>
  <r>
    <d v="2023-10-25T00:00:00"/>
    <x v="2"/>
    <x v="0"/>
    <s v="Овощи"/>
    <s v="Кабачки"/>
    <n v="325"/>
    <n v="51"/>
    <x v="1615"/>
  </r>
  <r>
    <d v="2023-10-25T00:00:00"/>
    <x v="2"/>
    <x v="5"/>
    <s v="Овощи"/>
    <s v="Морковь"/>
    <n v="715"/>
    <n v="86"/>
    <x v="1616"/>
  </r>
  <r>
    <d v="2023-10-25T00:00:00"/>
    <x v="2"/>
    <x v="5"/>
    <s v="Овощи"/>
    <s v="Баклажаны"/>
    <n v="890"/>
    <n v="61"/>
    <x v="1199"/>
  </r>
  <r>
    <d v="2023-10-25T00:00:00"/>
    <x v="0"/>
    <x v="5"/>
    <s v="Фрукты"/>
    <s v="Абрикосы"/>
    <n v="1320"/>
    <n v="89"/>
    <x v="779"/>
  </r>
  <r>
    <d v="2023-10-25T00:00:00"/>
    <x v="4"/>
    <x v="6"/>
    <s v="Зелень"/>
    <s v="Кинза"/>
    <n v="650"/>
    <n v="64"/>
    <x v="15"/>
  </r>
  <r>
    <d v="2023-10-25T00:00:00"/>
    <x v="1"/>
    <x v="6"/>
    <s v="Фрукты"/>
    <s v="Сливы"/>
    <n v="930"/>
    <n v="89"/>
    <x v="729"/>
  </r>
  <r>
    <s v="25.10.2023 Итог"/>
    <x v="3"/>
    <x v="2"/>
    <m/>
    <m/>
    <m/>
    <m/>
    <x v="1617"/>
  </r>
  <r>
    <d v="2023-10-26T00:00:00"/>
    <x v="4"/>
    <x v="3"/>
    <s v="Фрукты"/>
    <s v="Апельсины"/>
    <n v="2540"/>
    <n v="75"/>
    <x v="98"/>
  </r>
  <r>
    <d v="2023-10-26T00:00:00"/>
    <x v="0"/>
    <x v="0"/>
    <s v="Фрукты"/>
    <s v="Сливы"/>
    <n v="930"/>
    <n v="48"/>
    <x v="1565"/>
  </r>
  <r>
    <d v="2023-10-26T00:00:00"/>
    <x v="4"/>
    <x v="0"/>
    <s v="Фрукты"/>
    <s v="Сливы"/>
    <n v="930"/>
    <n v="70"/>
    <x v="1223"/>
  </r>
  <r>
    <d v="2023-10-26T00:00:00"/>
    <x v="4"/>
    <x v="4"/>
    <s v="Овощи"/>
    <s v="Свекла"/>
    <n v="450"/>
    <n v="58"/>
    <x v="620"/>
  </r>
  <r>
    <d v="2023-10-26T00:00:00"/>
    <x v="0"/>
    <x v="4"/>
    <s v="Фрукты"/>
    <s v="Апельсины"/>
    <n v="2540"/>
    <n v="30"/>
    <x v="1143"/>
  </r>
  <r>
    <d v="2023-10-26T00:00:00"/>
    <x v="1"/>
    <x v="4"/>
    <s v="Фрукты"/>
    <s v="Апельсины"/>
    <n v="2540"/>
    <n v="53"/>
    <x v="1401"/>
  </r>
  <r>
    <d v="2023-10-26T00:00:00"/>
    <x v="1"/>
    <x v="4"/>
    <s v="Ягоды"/>
    <s v="Черешня"/>
    <n v="1760"/>
    <n v="89"/>
    <x v="1618"/>
  </r>
  <r>
    <d v="2023-10-26T00:00:00"/>
    <x v="2"/>
    <x v="4"/>
    <s v="Ягоды"/>
    <s v="Брусника"/>
    <n v="1670"/>
    <n v="23"/>
    <x v="1619"/>
  </r>
  <r>
    <d v="2023-10-26T00:00:00"/>
    <x v="0"/>
    <x v="1"/>
    <s v="Зелень"/>
    <s v="Петрушка"/>
    <n v="640"/>
    <n v="8"/>
    <x v="1597"/>
  </r>
  <r>
    <d v="2023-10-26T00:00:00"/>
    <x v="4"/>
    <x v="1"/>
    <s v="Овощи"/>
    <s v="Свекла"/>
    <n v="450"/>
    <n v="91"/>
    <x v="175"/>
  </r>
  <r>
    <d v="2023-10-26T00:00:00"/>
    <x v="0"/>
    <x v="5"/>
    <s v="Зелень"/>
    <s v="Кинза"/>
    <n v="650"/>
    <n v="11"/>
    <x v="73"/>
  </r>
  <r>
    <d v="2023-10-26T00:00:00"/>
    <x v="2"/>
    <x v="5"/>
    <s v="Овощи"/>
    <s v="Баклажаны"/>
    <n v="890"/>
    <n v="95"/>
    <x v="1037"/>
  </r>
  <r>
    <d v="2023-10-26T00:00:00"/>
    <x v="0"/>
    <x v="5"/>
    <s v="Ягоды"/>
    <s v="Черешня"/>
    <n v="1760"/>
    <n v="23"/>
    <x v="539"/>
  </r>
  <r>
    <s v="26.10.2023 Итог"/>
    <x v="3"/>
    <x v="2"/>
    <m/>
    <m/>
    <m/>
    <m/>
    <x v="1620"/>
  </r>
  <r>
    <d v="2023-10-27T00:00:00"/>
    <x v="4"/>
    <x v="3"/>
    <s v="Фрукты"/>
    <s v="Яблоки"/>
    <n v="1230"/>
    <n v="86"/>
    <x v="465"/>
  </r>
  <r>
    <d v="2023-10-27T00:00:00"/>
    <x v="4"/>
    <x v="3"/>
    <s v="Фрукты"/>
    <s v="Сливы"/>
    <n v="930"/>
    <n v="19"/>
    <x v="1621"/>
  </r>
  <r>
    <d v="2023-10-27T00:00:00"/>
    <x v="4"/>
    <x v="0"/>
    <s v="Зелень"/>
    <s v="Салат римский"/>
    <n v="540"/>
    <n v="97"/>
    <x v="282"/>
  </r>
  <r>
    <d v="2023-10-27T00:00:00"/>
    <x v="1"/>
    <x v="0"/>
    <s v="Зелень"/>
    <s v="Петрушка"/>
    <n v="640"/>
    <n v="5"/>
    <x v="1622"/>
  </r>
  <r>
    <d v="2023-10-27T00:00:00"/>
    <x v="0"/>
    <x v="0"/>
    <s v="Ягоды"/>
    <s v="Брусника"/>
    <n v="1670"/>
    <n v="54"/>
    <x v="1623"/>
  </r>
  <r>
    <d v="2023-10-27T00:00:00"/>
    <x v="4"/>
    <x v="0"/>
    <s v="Ягоды"/>
    <s v="Брусника"/>
    <n v="1670"/>
    <n v="26"/>
    <x v="140"/>
  </r>
  <r>
    <d v="2023-10-27T00:00:00"/>
    <x v="2"/>
    <x v="4"/>
    <s v="Зелень"/>
    <s v="Лук зеленый"/>
    <n v="705"/>
    <n v="49"/>
    <x v="332"/>
  </r>
  <r>
    <d v="2023-10-27T00:00:00"/>
    <x v="4"/>
    <x v="4"/>
    <s v="Фрукты"/>
    <s v="Бананы"/>
    <n v="2400"/>
    <n v="73"/>
    <x v="1188"/>
  </r>
  <r>
    <d v="2023-10-27T00:00:00"/>
    <x v="1"/>
    <x v="1"/>
    <s v="Зелень"/>
    <s v="Салат айсберг"/>
    <n v="1380"/>
    <n v="98"/>
    <x v="1624"/>
  </r>
  <r>
    <d v="2023-10-27T00:00:00"/>
    <x v="0"/>
    <x v="1"/>
    <s v="Овощи"/>
    <s v="Морковь"/>
    <n v="715"/>
    <n v="55"/>
    <x v="1625"/>
  </r>
  <r>
    <d v="2023-10-27T00:00:00"/>
    <x v="1"/>
    <x v="5"/>
    <s v="Фрукты"/>
    <s v="Яблоки"/>
    <n v="1230"/>
    <n v="51"/>
    <x v="1257"/>
  </r>
  <r>
    <d v="2023-10-27T00:00:00"/>
    <x v="4"/>
    <x v="5"/>
    <s v="Фрукты"/>
    <s v="Абрикосы"/>
    <n v="1320"/>
    <n v="33"/>
    <x v="451"/>
  </r>
  <r>
    <d v="2023-10-27T00:00:00"/>
    <x v="1"/>
    <x v="6"/>
    <s v="Овощи"/>
    <s v="Капуста"/>
    <n v="460"/>
    <n v="74"/>
    <x v="1417"/>
  </r>
  <r>
    <s v="27.10.2023 Итог"/>
    <x v="3"/>
    <x v="2"/>
    <m/>
    <m/>
    <m/>
    <m/>
    <x v="1626"/>
  </r>
  <r>
    <d v="2023-10-28T00:00:00"/>
    <x v="0"/>
    <x v="3"/>
    <s v="Зелень"/>
    <s v="Салат айсберг"/>
    <n v="1380"/>
    <n v="16"/>
    <x v="253"/>
  </r>
  <r>
    <d v="2023-10-28T00:00:00"/>
    <x v="0"/>
    <x v="3"/>
    <s v="Овощи"/>
    <s v="Капуста"/>
    <n v="460"/>
    <n v="92"/>
    <x v="1627"/>
  </r>
  <r>
    <d v="2023-10-28T00:00:00"/>
    <x v="2"/>
    <x v="3"/>
    <s v="Овощи"/>
    <s v="Кабачки"/>
    <n v="325"/>
    <n v="88"/>
    <x v="853"/>
  </r>
  <r>
    <d v="2023-10-28T00:00:00"/>
    <x v="2"/>
    <x v="3"/>
    <s v="Фрукты"/>
    <s v="Груши"/>
    <n v="1420"/>
    <n v="89"/>
    <x v="655"/>
  </r>
  <r>
    <d v="2023-10-28T00:00:00"/>
    <x v="2"/>
    <x v="0"/>
    <s v="Зелень"/>
    <s v="Лук зеленый"/>
    <n v="705"/>
    <n v="38"/>
    <x v="1258"/>
  </r>
  <r>
    <d v="2023-10-28T00:00:00"/>
    <x v="1"/>
    <x v="0"/>
    <s v="Овощи"/>
    <s v="Морковь"/>
    <n v="715"/>
    <n v="25"/>
    <x v="149"/>
  </r>
  <r>
    <d v="2023-10-28T00:00:00"/>
    <x v="0"/>
    <x v="0"/>
    <s v="Фрукты"/>
    <s v="Бананы"/>
    <n v="2400"/>
    <n v="92"/>
    <x v="1628"/>
  </r>
  <r>
    <d v="2023-10-28T00:00:00"/>
    <x v="2"/>
    <x v="4"/>
    <s v="Зелень"/>
    <s v="Салат айсберг"/>
    <n v="1380"/>
    <n v="36"/>
    <x v="1629"/>
  </r>
  <r>
    <d v="2023-10-28T00:00:00"/>
    <x v="2"/>
    <x v="4"/>
    <s v="Фрукты"/>
    <s v="Абрикосы"/>
    <n v="1320"/>
    <n v="46"/>
    <x v="1103"/>
  </r>
  <r>
    <d v="2023-10-28T00:00:00"/>
    <x v="2"/>
    <x v="4"/>
    <s v="Ягоды"/>
    <s v="Голубика"/>
    <n v="3205"/>
    <n v="77"/>
    <x v="1630"/>
  </r>
  <r>
    <s v="28.10.2023 Итог"/>
    <x v="3"/>
    <x v="2"/>
    <m/>
    <m/>
    <m/>
    <m/>
    <x v="1631"/>
  </r>
  <r>
    <d v="2023-10-29T00:00:00"/>
    <x v="4"/>
    <x v="3"/>
    <s v="Фрукты"/>
    <s v="Абрикосы"/>
    <n v="1320"/>
    <n v="46"/>
    <x v="1103"/>
  </r>
  <r>
    <d v="2023-10-29T00:00:00"/>
    <x v="1"/>
    <x v="3"/>
    <s v="Ягоды"/>
    <s v="Голубика"/>
    <n v="3205"/>
    <n v="51"/>
    <x v="1433"/>
  </r>
  <r>
    <d v="2023-10-29T00:00:00"/>
    <x v="4"/>
    <x v="1"/>
    <s v="Зелень"/>
    <s v="Салат айсберг"/>
    <n v="1380"/>
    <n v="86"/>
    <x v="932"/>
  </r>
  <r>
    <d v="2023-10-29T00:00:00"/>
    <x v="2"/>
    <x v="1"/>
    <s v="Зелень"/>
    <s v="Салат айсберг"/>
    <n v="1380"/>
    <n v="50"/>
    <x v="1179"/>
  </r>
  <r>
    <d v="2023-10-29T00:00:00"/>
    <x v="1"/>
    <x v="1"/>
    <s v="Фрукты"/>
    <s v="Яблоки"/>
    <n v="1230"/>
    <n v="90"/>
    <x v="415"/>
  </r>
  <r>
    <d v="2023-10-29T00:00:00"/>
    <x v="4"/>
    <x v="5"/>
    <s v="Зелень"/>
    <s v="Кинза"/>
    <n v="650"/>
    <n v="59"/>
    <x v="1568"/>
  </r>
  <r>
    <s v="29.10.2023 Итог"/>
    <x v="3"/>
    <x v="2"/>
    <m/>
    <m/>
    <m/>
    <m/>
    <x v="1632"/>
  </r>
  <r>
    <d v="2023-10-30T00:00:00"/>
    <x v="2"/>
    <x v="3"/>
    <s v="Зелень"/>
    <s v="Укроп"/>
    <n v="650"/>
    <n v="15"/>
    <x v="857"/>
  </r>
  <r>
    <d v="2023-10-30T00:00:00"/>
    <x v="2"/>
    <x v="3"/>
    <s v="Овощи"/>
    <s v="Капуста"/>
    <n v="460"/>
    <n v="33"/>
    <x v="628"/>
  </r>
  <r>
    <d v="2023-10-30T00:00:00"/>
    <x v="0"/>
    <x v="3"/>
    <s v="Ягоды"/>
    <s v="Малина"/>
    <n v="2970"/>
    <n v="100"/>
    <x v="1633"/>
  </r>
  <r>
    <d v="2023-10-30T00:00:00"/>
    <x v="2"/>
    <x v="3"/>
    <s v="Ягоды"/>
    <s v="Малина"/>
    <n v="2970"/>
    <n v="13"/>
    <x v="603"/>
  </r>
  <r>
    <d v="2023-10-30T00:00:00"/>
    <x v="0"/>
    <x v="0"/>
    <s v="Зелень"/>
    <s v="Лук зеленый"/>
    <n v="705"/>
    <n v="53"/>
    <x v="1634"/>
  </r>
  <r>
    <d v="2023-10-30T00:00:00"/>
    <x v="2"/>
    <x v="0"/>
    <s v="Овощи"/>
    <s v="Капуста"/>
    <n v="460"/>
    <n v="47"/>
    <x v="1635"/>
  </r>
  <r>
    <d v="2023-10-30T00:00:00"/>
    <x v="2"/>
    <x v="0"/>
    <s v="Фрукты"/>
    <s v="Груши"/>
    <n v="1420"/>
    <n v="75"/>
    <x v="232"/>
  </r>
  <r>
    <d v="2023-10-30T00:00:00"/>
    <x v="1"/>
    <x v="4"/>
    <s v="Фрукты"/>
    <s v="Бананы"/>
    <n v="2400"/>
    <n v="60"/>
    <x v="1585"/>
  </r>
  <r>
    <d v="2023-10-30T00:00:00"/>
    <x v="4"/>
    <x v="1"/>
    <s v="Овощи"/>
    <s v="Морковь"/>
    <n v="715"/>
    <n v="64"/>
    <x v="185"/>
  </r>
  <r>
    <d v="2023-10-30T00:00:00"/>
    <x v="1"/>
    <x v="1"/>
    <s v="Овощи"/>
    <s v="Баклажаны"/>
    <n v="890"/>
    <n v="70"/>
    <x v="578"/>
  </r>
  <r>
    <d v="2023-10-30T00:00:00"/>
    <x v="0"/>
    <x v="5"/>
    <s v="Овощи"/>
    <s v="Капуста"/>
    <n v="460"/>
    <n v="43"/>
    <x v="86"/>
  </r>
  <r>
    <d v="2023-10-30T00:00:00"/>
    <x v="0"/>
    <x v="6"/>
    <s v="Зелень"/>
    <s v="Салат айсберг"/>
    <n v="1380"/>
    <n v="46"/>
    <x v="1275"/>
  </r>
  <r>
    <d v="2023-10-30T00:00:00"/>
    <x v="2"/>
    <x v="6"/>
    <s v="Фрукты"/>
    <s v="Бананы"/>
    <n v="2400"/>
    <n v="20"/>
    <x v="77"/>
  </r>
  <r>
    <d v="2023-10-30T00:00:00"/>
    <x v="0"/>
    <x v="6"/>
    <s v="Ягоды"/>
    <s v="Голубика"/>
    <n v="3205"/>
    <n v="66"/>
    <x v="1160"/>
  </r>
  <r>
    <s v="30.10.2023 Итог"/>
    <x v="3"/>
    <x v="2"/>
    <m/>
    <m/>
    <m/>
    <m/>
    <x v="1636"/>
  </r>
  <r>
    <d v="2023-10-31T00:00:00"/>
    <x v="0"/>
    <x v="4"/>
    <s v="Зелень"/>
    <s v="Салат айсберг"/>
    <n v="1380"/>
    <n v="53"/>
    <x v="734"/>
  </r>
  <r>
    <d v="2023-10-31T00:00:00"/>
    <x v="0"/>
    <x v="4"/>
    <s v="Овощи"/>
    <s v="Морковь"/>
    <n v="715"/>
    <n v="15"/>
    <x v="28"/>
  </r>
  <r>
    <d v="2023-10-31T00:00:00"/>
    <x v="1"/>
    <x v="4"/>
    <s v="Фрукты"/>
    <s v="Груши"/>
    <n v="1420"/>
    <n v="50"/>
    <x v="1637"/>
  </r>
  <r>
    <d v="2023-10-31T00:00:00"/>
    <x v="1"/>
    <x v="4"/>
    <s v="Фрукты"/>
    <s v="Груши"/>
    <n v="1420"/>
    <n v="100"/>
    <x v="976"/>
  </r>
  <r>
    <d v="2023-10-31T00:00:00"/>
    <x v="1"/>
    <x v="4"/>
    <s v="Ягоды"/>
    <s v="Голубика"/>
    <n v="3205"/>
    <n v="22"/>
    <x v="311"/>
  </r>
  <r>
    <d v="2023-10-31T00:00:00"/>
    <x v="2"/>
    <x v="5"/>
    <s v="Овощи"/>
    <s v="Картофель"/>
    <n v="690"/>
    <n v="41"/>
    <x v="738"/>
  </r>
  <r>
    <d v="2023-10-31T00:00:00"/>
    <x v="2"/>
    <x v="6"/>
    <s v="Зелень"/>
    <s v="Кинза"/>
    <n v="650"/>
    <n v="83"/>
    <x v="442"/>
  </r>
  <r>
    <s v="31.10.2023 Итог"/>
    <x v="3"/>
    <x v="2"/>
    <m/>
    <m/>
    <m/>
    <m/>
    <x v="1638"/>
  </r>
  <r>
    <d v="2023-11-01T00:00:00"/>
    <x v="2"/>
    <x v="3"/>
    <s v="Овощи"/>
    <s v="Кабачки"/>
    <n v="325"/>
    <n v="51"/>
    <x v="1615"/>
  </r>
  <r>
    <d v="2023-11-01T00:00:00"/>
    <x v="0"/>
    <x v="3"/>
    <s v="Фрукты"/>
    <s v="Сливы"/>
    <n v="930"/>
    <n v="40"/>
    <x v="372"/>
  </r>
  <r>
    <d v="2023-11-01T00:00:00"/>
    <x v="0"/>
    <x v="0"/>
    <s v="Зелень"/>
    <s v="Салат айсберг"/>
    <n v="1380"/>
    <n v="26"/>
    <x v="690"/>
  </r>
  <r>
    <d v="2023-11-01T00:00:00"/>
    <x v="2"/>
    <x v="0"/>
    <s v="Овощи"/>
    <s v="Кабачки"/>
    <n v="325"/>
    <n v="7"/>
    <x v="574"/>
  </r>
  <r>
    <d v="2023-11-01T00:00:00"/>
    <x v="2"/>
    <x v="0"/>
    <s v="Фрукты"/>
    <s v="Абрикосы"/>
    <n v="1320"/>
    <n v="42"/>
    <x v="1140"/>
  </r>
  <r>
    <d v="2023-11-01T00:00:00"/>
    <x v="4"/>
    <x v="0"/>
    <s v="Ягоды"/>
    <s v="Смородина черная"/>
    <n v="1505"/>
    <n v="95"/>
    <x v="1639"/>
  </r>
  <r>
    <d v="2023-11-01T00:00:00"/>
    <x v="0"/>
    <x v="4"/>
    <s v="Фрукты"/>
    <s v="Абрикосы"/>
    <n v="1320"/>
    <n v="83"/>
    <x v="463"/>
  </r>
  <r>
    <d v="2023-11-01T00:00:00"/>
    <x v="2"/>
    <x v="4"/>
    <s v="Ягоды"/>
    <s v="Брусника"/>
    <n v="1670"/>
    <n v="75"/>
    <x v="1158"/>
  </r>
  <r>
    <d v="2023-11-01T00:00:00"/>
    <x v="0"/>
    <x v="1"/>
    <s v="Зелень"/>
    <s v="Салат римский"/>
    <n v="540"/>
    <n v="36"/>
    <x v="965"/>
  </r>
  <r>
    <d v="2023-11-01T00:00:00"/>
    <x v="1"/>
    <x v="1"/>
    <s v="Овощи"/>
    <s v="Морковь"/>
    <n v="715"/>
    <n v="100"/>
    <x v="1640"/>
  </r>
  <r>
    <d v="2023-11-01T00:00:00"/>
    <x v="0"/>
    <x v="1"/>
    <s v="Овощи"/>
    <s v="Морковь"/>
    <n v="715"/>
    <n v="64"/>
    <x v="185"/>
  </r>
  <r>
    <d v="2023-11-01T00:00:00"/>
    <x v="2"/>
    <x v="1"/>
    <s v="Фрукты"/>
    <s v="Яблоки"/>
    <n v="1230"/>
    <n v="97"/>
    <x v="1482"/>
  </r>
  <r>
    <d v="2023-11-01T00:00:00"/>
    <x v="2"/>
    <x v="1"/>
    <s v="Фрукты"/>
    <s v="Яблоки"/>
    <n v="1230"/>
    <n v="27"/>
    <x v="1318"/>
  </r>
  <r>
    <d v="2023-11-01T00:00:00"/>
    <x v="0"/>
    <x v="6"/>
    <s v="Фрукты"/>
    <s v="Яблоки"/>
    <n v="1230"/>
    <n v="90"/>
    <x v="415"/>
  </r>
  <r>
    <s v="01.11.2023 Итог"/>
    <x v="3"/>
    <x v="2"/>
    <m/>
    <m/>
    <m/>
    <m/>
    <x v="1641"/>
  </r>
  <r>
    <d v="2023-11-02T00:00:00"/>
    <x v="4"/>
    <x v="3"/>
    <s v="Зелень"/>
    <s v="Петрушка"/>
    <n v="640"/>
    <n v="66"/>
    <x v="11"/>
  </r>
  <r>
    <d v="2023-11-02T00:00:00"/>
    <x v="1"/>
    <x v="0"/>
    <s v="Зелень"/>
    <s v="Лук зеленый"/>
    <n v="705"/>
    <n v="17"/>
    <x v="684"/>
  </r>
  <r>
    <d v="2023-11-02T00:00:00"/>
    <x v="2"/>
    <x v="0"/>
    <s v="Овощи"/>
    <s v="Морковь"/>
    <n v="715"/>
    <n v="8"/>
    <x v="398"/>
  </r>
  <r>
    <d v="2023-11-02T00:00:00"/>
    <x v="1"/>
    <x v="5"/>
    <s v="Овощи"/>
    <s v="Морковь"/>
    <n v="715"/>
    <n v="63"/>
    <x v="1642"/>
  </r>
  <r>
    <d v="2023-11-02T00:00:00"/>
    <x v="4"/>
    <x v="6"/>
    <s v="Зелень"/>
    <s v="Салат айсберг"/>
    <n v="1380"/>
    <n v="22"/>
    <x v="1643"/>
  </r>
  <r>
    <d v="2023-11-02T00:00:00"/>
    <x v="4"/>
    <x v="6"/>
    <s v="Ягоды"/>
    <s v="Клубника"/>
    <n v="2460"/>
    <n v="13"/>
    <x v="108"/>
  </r>
  <r>
    <d v="2023-11-02T00:00:00"/>
    <x v="2"/>
    <x v="6"/>
    <s v="Ягоды"/>
    <s v="Клубника"/>
    <n v="2460"/>
    <n v="22"/>
    <x v="142"/>
  </r>
  <r>
    <d v="2023-11-02T00:00:00"/>
    <x v="2"/>
    <x v="6"/>
    <s v="Ягоды"/>
    <s v="Черешня"/>
    <n v="1760"/>
    <n v="9"/>
    <x v="1408"/>
  </r>
  <r>
    <s v="02.11.2023 Итог"/>
    <x v="3"/>
    <x v="2"/>
    <m/>
    <m/>
    <m/>
    <m/>
    <x v="1644"/>
  </r>
  <r>
    <d v="2023-11-03T00:00:00"/>
    <x v="4"/>
    <x v="3"/>
    <s v="Ягоды"/>
    <s v="Клубника"/>
    <n v="2460"/>
    <n v="12"/>
    <x v="600"/>
  </r>
  <r>
    <d v="2023-11-03T00:00:00"/>
    <x v="0"/>
    <x v="0"/>
    <s v="Зелень"/>
    <s v="Лук зеленый"/>
    <n v="705"/>
    <n v="73"/>
    <x v="1645"/>
  </r>
  <r>
    <d v="2023-11-03T00:00:00"/>
    <x v="1"/>
    <x v="0"/>
    <s v="Овощи"/>
    <s v="Капуста"/>
    <n v="460"/>
    <n v="87"/>
    <x v="215"/>
  </r>
  <r>
    <d v="2023-11-03T00:00:00"/>
    <x v="1"/>
    <x v="0"/>
    <s v="Ягоды"/>
    <s v="Малина"/>
    <n v="2970"/>
    <n v="53"/>
    <x v="246"/>
  </r>
  <r>
    <d v="2023-11-03T00:00:00"/>
    <x v="1"/>
    <x v="4"/>
    <s v="Овощи"/>
    <s v="Капуста"/>
    <n v="460"/>
    <n v="80"/>
    <x v="467"/>
  </r>
  <r>
    <d v="2023-11-03T00:00:00"/>
    <x v="1"/>
    <x v="4"/>
    <s v="Фрукты"/>
    <s v="Апельсины"/>
    <n v="2540"/>
    <n v="44"/>
    <x v="1053"/>
  </r>
  <r>
    <d v="2023-11-03T00:00:00"/>
    <x v="2"/>
    <x v="4"/>
    <s v="Ягоды"/>
    <s v="Черешня"/>
    <n v="1760"/>
    <n v="82"/>
    <x v="852"/>
  </r>
  <r>
    <d v="2023-11-03T00:00:00"/>
    <x v="2"/>
    <x v="5"/>
    <s v="Ягоды"/>
    <s v="Черешня"/>
    <n v="1760"/>
    <n v="55"/>
    <x v="1646"/>
  </r>
  <r>
    <d v="2023-11-03T00:00:00"/>
    <x v="2"/>
    <x v="6"/>
    <s v="Зелень"/>
    <s v="Салат римский"/>
    <n v="540"/>
    <n v="83"/>
    <x v="629"/>
  </r>
  <r>
    <d v="2023-11-03T00:00:00"/>
    <x v="1"/>
    <x v="6"/>
    <s v="Фрукты"/>
    <s v="Яблоки"/>
    <n v="1230"/>
    <n v="46"/>
    <x v="556"/>
  </r>
  <r>
    <d v="2023-11-03T00:00:00"/>
    <x v="4"/>
    <x v="6"/>
    <s v="Фрукты"/>
    <s v="Груши"/>
    <n v="1420"/>
    <n v="58"/>
    <x v="888"/>
  </r>
  <r>
    <d v="2023-11-03T00:00:00"/>
    <x v="2"/>
    <x v="6"/>
    <s v="Ягоды"/>
    <s v="Черешня"/>
    <n v="1760"/>
    <n v="75"/>
    <x v="524"/>
  </r>
  <r>
    <s v="03.11.2023 Итог"/>
    <x v="3"/>
    <x v="2"/>
    <m/>
    <m/>
    <m/>
    <m/>
    <x v="1647"/>
  </r>
  <r>
    <d v="2023-11-04T00:00:00"/>
    <x v="1"/>
    <x v="3"/>
    <s v="Зелень"/>
    <s v="Салат римский"/>
    <n v="540"/>
    <n v="85"/>
    <x v="1648"/>
  </r>
  <r>
    <d v="2023-11-04T00:00:00"/>
    <x v="4"/>
    <x v="3"/>
    <s v="Овощи"/>
    <s v="Капуста"/>
    <n v="460"/>
    <n v="75"/>
    <x v="1057"/>
  </r>
  <r>
    <d v="2023-11-04T00:00:00"/>
    <x v="0"/>
    <x v="3"/>
    <s v="Фрукты"/>
    <s v="Сливы"/>
    <n v="930"/>
    <n v="36"/>
    <x v="206"/>
  </r>
  <r>
    <d v="2023-11-04T00:00:00"/>
    <x v="4"/>
    <x v="3"/>
    <s v="Фрукты"/>
    <s v="Яблоки"/>
    <n v="1230"/>
    <n v="78"/>
    <x v="906"/>
  </r>
  <r>
    <d v="2023-11-04T00:00:00"/>
    <x v="2"/>
    <x v="0"/>
    <s v="Зелень"/>
    <s v="Укроп"/>
    <n v="650"/>
    <n v="80"/>
    <x v="1649"/>
  </r>
  <r>
    <d v="2023-11-04T00:00:00"/>
    <x v="4"/>
    <x v="4"/>
    <s v="Зелень"/>
    <s v="Салат айсберг"/>
    <n v="1380"/>
    <n v="15"/>
    <x v="812"/>
  </r>
  <r>
    <d v="2023-11-04T00:00:00"/>
    <x v="4"/>
    <x v="4"/>
    <s v="Овощи"/>
    <s v="Баклажаны"/>
    <n v="890"/>
    <n v="66"/>
    <x v="1239"/>
  </r>
  <r>
    <d v="2023-11-04T00:00:00"/>
    <x v="1"/>
    <x v="4"/>
    <s v="Фрукты"/>
    <s v="Сливы"/>
    <n v="930"/>
    <n v="89"/>
    <x v="729"/>
  </r>
  <r>
    <d v="2023-11-04T00:00:00"/>
    <x v="2"/>
    <x v="4"/>
    <s v="Ягоды"/>
    <s v="Малина"/>
    <n v="2970"/>
    <n v="39"/>
    <x v="1385"/>
  </r>
  <r>
    <d v="2023-11-04T00:00:00"/>
    <x v="1"/>
    <x v="1"/>
    <s v="Зелень"/>
    <s v="Салат римский"/>
    <n v="540"/>
    <n v="8"/>
    <x v="814"/>
  </r>
  <r>
    <d v="2023-11-04T00:00:00"/>
    <x v="1"/>
    <x v="6"/>
    <s v="Ягоды"/>
    <s v="Клубника"/>
    <n v="2460"/>
    <n v="32"/>
    <x v="424"/>
  </r>
  <r>
    <s v="04.11.2023 Итог"/>
    <x v="3"/>
    <x v="2"/>
    <m/>
    <m/>
    <m/>
    <m/>
    <x v="1650"/>
  </r>
  <r>
    <d v="2023-11-05T00:00:00"/>
    <x v="2"/>
    <x v="3"/>
    <s v="Зелень"/>
    <s v="Салат айсберг"/>
    <n v="1380"/>
    <n v="6"/>
    <x v="244"/>
  </r>
  <r>
    <d v="2023-11-05T00:00:00"/>
    <x v="4"/>
    <x v="3"/>
    <s v="Фрукты"/>
    <s v="Груши"/>
    <n v="1420"/>
    <n v="75"/>
    <x v="232"/>
  </r>
  <r>
    <d v="2023-11-05T00:00:00"/>
    <x v="2"/>
    <x v="3"/>
    <s v="Ягоды"/>
    <s v="Смородина черная"/>
    <n v="1505"/>
    <n v="88"/>
    <x v="1492"/>
  </r>
  <r>
    <d v="2023-11-05T00:00:00"/>
    <x v="2"/>
    <x v="0"/>
    <s v="Зелень"/>
    <s v="Лук зеленый"/>
    <n v="705"/>
    <n v="5"/>
    <x v="708"/>
  </r>
  <r>
    <d v="2023-11-05T00:00:00"/>
    <x v="1"/>
    <x v="0"/>
    <s v="Овощи"/>
    <s v="Кабачки"/>
    <n v="325"/>
    <n v="40"/>
    <x v="1455"/>
  </r>
  <r>
    <d v="2023-11-05T00:00:00"/>
    <x v="2"/>
    <x v="4"/>
    <s v="Фрукты"/>
    <s v="Бананы"/>
    <n v="2400"/>
    <n v="22"/>
    <x v="94"/>
  </r>
  <r>
    <d v="2023-11-05T00:00:00"/>
    <x v="4"/>
    <x v="1"/>
    <s v="Зелень"/>
    <s v="Кинза"/>
    <n v="650"/>
    <n v="10"/>
    <x v="562"/>
  </r>
  <r>
    <d v="2023-11-05T00:00:00"/>
    <x v="4"/>
    <x v="1"/>
    <s v="Фрукты"/>
    <s v="Яблоки"/>
    <n v="1230"/>
    <n v="34"/>
    <x v="187"/>
  </r>
  <r>
    <s v="05.11.2023 Итог"/>
    <x v="3"/>
    <x v="2"/>
    <m/>
    <m/>
    <m/>
    <m/>
    <x v="1651"/>
  </r>
  <r>
    <d v="2023-11-06T00:00:00"/>
    <x v="1"/>
    <x v="3"/>
    <s v="Фрукты"/>
    <s v="Бананы"/>
    <n v="2400"/>
    <n v="6"/>
    <x v="1175"/>
  </r>
  <r>
    <d v="2023-11-06T00:00:00"/>
    <x v="2"/>
    <x v="3"/>
    <s v="Фрукты"/>
    <s v="Сливы"/>
    <n v="930"/>
    <n v="54"/>
    <x v="955"/>
  </r>
  <r>
    <d v="2023-11-06T00:00:00"/>
    <x v="0"/>
    <x v="0"/>
    <s v="Овощи"/>
    <s v="Морковь"/>
    <n v="715"/>
    <n v="91"/>
    <x v="298"/>
  </r>
  <r>
    <d v="2023-11-06T00:00:00"/>
    <x v="2"/>
    <x v="0"/>
    <s v="Овощи"/>
    <s v="Морковь"/>
    <n v="715"/>
    <n v="90"/>
    <x v="221"/>
  </r>
  <r>
    <d v="2023-11-06T00:00:00"/>
    <x v="4"/>
    <x v="0"/>
    <s v="Фрукты"/>
    <s v="Сливы"/>
    <n v="930"/>
    <n v="81"/>
    <x v="1374"/>
  </r>
  <r>
    <d v="2023-11-06T00:00:00"/>
    <x v="2"/>
    <x v="1"/>
    <s v="Зелень"/>
    <s v="Укроп"/>
    <n v="650"/>
    <n v="93"/>
    <x v="875"/>
  </r>
  <r>
    <d v="2023-11-06T00:00:00"/>
    <x v="1"/>
    <x v="1"/>
    <s v="Овощи"/>
    <s v="Баклажаны"/>
    <n v="890"/>
    <n v="51"/>
    <x v="773"/>
  </r>
  <r>
    <d v="2023-11-06T00:00:00"/>
    <x v="1"/>
    <x v="1"/>
    <s v="Фрукты"/>
    <s v="Сливы"/>
    <n v="930"/>
    <n v="57"/>
    <x v="1652"/>
  </r>
  <r>
    <d v="2023-11-06T00:00:00"/>
    <x v="2"/>
    <x v="1"/>
    <s v="Ягоды"/>
    <s v="Черешня"/>
    <n v="1760"/>
    <n v="26"/>
    <x v="185"/>
  </r>
  <r>
    <d v="2023-11-06T00:00:00"/>
    <x v="2"/>
    <x v="1"/>
    <s v="Ягоды"/>
    <s v="Смородина черная"/>
    <n v="1505"/>
    <n v="28"/>
    <x v="1594"/>
  </r>
  <r>
    <d v="2023-11-06T00:00:00"/>
    <x v="2"/>
    <x v="5"/>
    <s v="Зелень"/>
    <s v="Салат римский"/>
    <n v="540"/>
    <n v="42"/>
    <x v="1653"/>
  </r>
  <r>
    <d v="2023-11-06T00:00:00"/>
    <x v="4"/>
    <x v="6"/>
    <s v="Зелень"/>
    <s v="Кинза"/>
    <n v="650"/>
    <n v="59"/>
    <x v="1568"/>
  </r>
  <r>
    <d v="2023-11-06T00:00:00"/>
    <x v="1"/>
    <x v="6"/>
    <s v="Овощи"/>
    <s v="Капуста"/>
    <n v="460"/>
    <n v="62"/>
    <x v="1654"/>
  </r>
  <r>
    <d v="2023-11-06T00:00:00"/>
    <x v="4"/>
    <x v="6"/>
    <s v="Овощи"/>
    <s v="Кабачки"/>
    <n v="325"/>
    <n v="37"/>
    <x v="260"/>
  </r>
  <r>
    <d v="2023-11-06T00:00:00"/>
    <x v="1"/>
    <x v="6"/>
    <s v="Фрукты"/>
    <s v="Груши"/>
    <n v="1420"/>
    <n v="20"/>
    <x v="657"/>
  </r>
  <r>
    <s v="06.11.2023 Итог"/>
    <x v="3"/>
    <x v="2"/>
    <m/>
    <m/>
    <m/>
    <m/>
    <x v="1655"/>
  </r>
  <r>
    <d v="2023-11-07T00:00:00"/>
    <x v="1"/>
    <x v="3"/>
    <s v="Зелень"/>
    <s v="Салат римский"/>
    <n v="540"/>
    <n v="62"/>
    <x v="206"/>
  </r>
  <r>
    <d v="2023-11-07T00:00:00"/>
    <x v="4"/>
    <x v="0"/>
    <s v="Зелень"/>
    <s v="Салат римский"/>
    <n v="540"/>
    <n v="11"/>
    <x v="53"/>
  </r>
  <r>
    <d v="2023-11-07T00:00:00"/>
    <x v="1"/>
    <x v="0"/>
    <s v="Фрукты"/>
    <s v="Абрикосы"/>
    <n v="1320"/>
    <n v="30"/>
    <x v="425"/>
  </r>
  <r>
    <d v="2023-11-07T00:00:00"/>
    <x v="1"/>
    <x v="1"/>
    <s v="Овощи"/>
    <s v="Кабачки"/>
    <n v="325"/>
    <n v="93"/>
    <x v="1656"/>
  </r>
  <r>
    <d v="2023-11-07T00:00:00"/>
    <x v="1"/>
    <x v="1"/>
    <s v="Овощи"/>
    <s v="Баклажаны"/>
    <n v="890"/>
    <n v="24"/>
    <x v="1657"/>
  </r>
  <r>
    <d v="2023-11-07T00:00:00"/>
    <x v="4"/>
    <x v="1"/>
    <s v="Ягоды"/>
    <s v="Клубника"/>
    <n v="2460"/>
    <n v="90"/>
    <x v="153"/>
  </r>
  <r>
    <d v="2023-11-07T00:00:00"/>
    <x v="2"/>
    <x v="1"/>
    <s v="Ягоды"/>
    <s v="Брусника"/>
    <n v="1670"/>
    <n v="88"/>
    <x v="1378"/>
  </r>
  <r>
    <d v="2023-11-07T00:00:00"/>
    <x v="1"/>
    <x v="1"/>
    <s v="Ягоды"/>
    <s v="Клубника"/>
    <n v="2460"/>
    <n v="88"/>
    <x v="1658"/>
  </r>
  <r>
    <d v="2023-11-07T00:00:00"/>
    <x v="0"/>
    <x v="5"/>
    <s v="Овощи"/>
    <s v="Морковь"/>
    <n v="715"/>
    <n v="46"/>
    <x v="1529"/>
  </r>
  <r>
    <d v="2023-11-07T00:00:00"/>
    <x v="1"/>
    <x v="6"/>
    <s v="Фрукты"/>
    <s v="Бананы"/>
    <n v="2400"/>
    <n v="11"/>
    <x v="257"/>
  </r>
  <r>
    <d v="2023-11-07T00:00:00"/>
    <x v="1"/>
    <x v="6"/>
    <s v="Фрукты"/>
    <s v="Сливы"/>
    <n v="930"/>
    <n v="86"/>
    <x v="5"/>
  </r>
  <r>
    <d v="2023-11-07T00:00:00"/>
    <x v="0"/>
    <x v="6"/>
    <s v="Ягоды"/>
    <s v="Голубика"/>
    <n v="3205"/>
    <n v="28"/>
    <x v="1366"/>
  </r>
  <r>
    <d v="2023-11-07T00:00:00"/>
    <x v="2"/>
    <x v="6"/>
    <s v="Ягоды"/>
    <s v="Брусника"/>
    <n v="1670"/>
    <n v="9"/>
    <x v="1523"/>
  </r>
  <r>
    <s v="07.11.2023 Итог"/>
    <x v="3"/>
    <x v="2"/>
    <m/>
    <m/>
    <m/>
    <m/>
    <x v="1659"/>
  </r>
  <r>
    <d v="2023-11-08T00:00:00"/>
    <x v="0"/>
    <x v="3"/>
    <s v="Овощи"/>
    <s v="Морковь"/>
    <n v="715"/>
    <n v="58"/>
    <x v="1304"/>
  </r>
  <r>
    <d v="2023-11-08T00:00:00"/>
    <x v="4"/>
    <x v="3"/>
    <s v="Фрукты"/>
    <s v="Груши"/>
    <n v="1420"/>
    <n v="58"/>
    <x v="888"/>
  </r>
  <r>
    <d v="2023-11-08T00:00:00"/>
    <x v="4"/>
    <x v="0"/>
    <s v="Фрукты"/>
    <s v="Сливы"/>
    <n v="930"/>
    <n v="50"/>
    <x v="143"/>
  </r>
  <r>
    <d v="2023-11-08T00:00:00"/>
    <x v="1"/>
    <x v="1"/>
    <s v="Зелень"/>
    <s v="Салат римский"/>
    <n v="540"/>
    <n v="51"/>
    <x v="1307"/>
  </r>
  <r>
    <d v="2023-11-08T00:00:00"/>
    <x v="4"/>
    <x v="5"/>
    <s v="Зелень"/>
    <s v="Кинза"/>
    <n v="650"/>
    <n v="32"/>
    <x v="237"/>
  </r>
  <r>
    <d v="2023-11-08T00:00:00"/>
    <x v="4"/>
    <x v="5"/>
    <s v="Фрукты"/>
    <s v="Груши"/>
    <n v="1420"/>
    <n v="73"/>
    <x v="448"/>
  </r>
  <r>
    <d v="2023-11-08T00:00:00"/>
    <x v="2"/>
    <x v="6"/>
    <s v="Зелень"/>
    <s v="Укроп"/>
    <n v="650"/>
    <n v="21"/>
    <x v="327"/>
  </r>
  <r>
    <d v="2023-11-08T00:00:00"/>
    <x v="1"/>
    <x v="6"/>
    <s v="Зелень"/>
    <s v="Кинза"/>
    <n v="650"/>
    <n v="99"/>
    <x v="221"/>
  </r>
  <r>
    <s v="08.11.2023 Итог"/>
    <x v="3"/>
    <x v="2"/>
    <m/>
    <m/>
    <m/>
    <m/>
    <x v="1660"/>
  </r>
  <r>
    <d v="2023-11-09T00:00:00"/>
    <x v="0"/>
    <x v="3"/>
    <s v="Ягоды"/>
    <s v="Смородина черная"/>
    <n v="1505"/>
    <n v="99"/>
    <x v="1661"/>
  </r>
  <r>
    <d v="2023-11-09T00:00:00"/>
    <x v="1"/>
    <x v="0"/>
    <s v="Овощи"/>
    <s v="Картофель"/>
    <n v="690"/>
    <n v="47"/>
    <x v="816"/>
  </r>
  <r>
    <d v="2023-11-09T00:00:00"/>
    <x v="2"/>
    <x v="1"/>
    <s v="Зелень"/>
    <s v="Кинза"/>
    <n v="650"/>
    <n v="13"/>
    <x v="375"/>
  </r>
  <r>
    <d v="2023-11-09T00:00:00"/>
    <x v="4"/>
    <x v="1"/>
    <s v="Ягоды"/>
    <s v="Клубника"/>
    <n v="2460"/>
    <n v="45"/>
    <x v="415"/>
  </r>
  <r>
    <d v="2023-11-09T00:00:00"/>
    <x v="2"/>
    <x v="5"/>
    <s v="Овощи"/>
    <s v="Кабачки"/>
    <n v="325"/>
    <n v="56"/>
    <x v="568"/>
  </r>
  <r>
    <d v="2023-11-09T00:00:00"/>
    <x v="4"/>
    <x v="5"/>
    <s v="Овощи"/>
    <s v="Свекла"/>
    <n v="450"/>
    <n v="33"/>
    <x v="612"/>
  </r>
  <r>
    <d v="2023-11-09T00:00:00"/>
    <x v="0"/>
    <x v="5"/>
    <s v="Фрукты"/>
    <s v="Апельсины"/>
    <n v="2540"/>
    <n v="77"/>
    <x v="1662"/>
  </r>
  <r>
    <d v="2023-11-09T00:00:00"/>
    <x v="1"/>
    <x v="5"/>
    <s v="Фрукты"/>
    <s v="Яблоки"/>
    <n v="1230"/>
    <n v="60"/>
    <x v="621"/>
  </r>
  <r>
    <d v="2023-11-09T00:00:00"/>
    <x v="0"/>
    <x v="5"/>
    <s v="Ягоды"/>
    <s v="Клубника"/>
    <n v="2460"/>
    <n v="62"/>
    <x v="1663"/>
  </r>
  <r>
    <d v="2023-11-09T00:00:00"/>
    <x v="2"/>
    <x v="6"/>
    <s v="Зелень"/>
    <s v="Салат римский"/>
    <n v="540"/>
    <n v="19"/>
    <x v="1009"/>
  </r>
  <r>
    <s v="09.11.2023 Итог"/>
    <x v="3"/>
    <x v="2"/>
    <m/>
    <m/>
    <m/>
    <m/>
    <x v="1664"/>
  </r>
  <r>
    <d v="2023-11-10T00:00:00"/>
    <x v="4"/>
    <x v="3"/>
    <s v="Овощи"/>
    <s v="Капуста"/>
    <n v="460"/>
    <n v="79"/>
    <x v="1069"/>
  </r>
  <r>
    <d v="2023-11-10T00:00:00"/>
    <x v="1"/>
    <x v="3"/>
    <s v="Фрукты"/>
    <s v="Абрикосы"/>
    <n v="1320"/>
    <n v="7"/>
    <x v="125"/>
  </r>
  <r>
    <d v="2023-11-10T00:00:00"/>
    <x v="0"/>
    <x v="3"/>
    <s v="Ягоды"/>
    <s v="Черешня"/>
    <n v="1760"/>
    <n v="13"/>
    <x v="350"/>
  </r>
  <r>
    <d v="2023-11-10T00:00:00"/>
    <x v="1"/>
    <x v="0"/>
    <s v="Овощи"/>
    <s v="Картофель"/>
    <n v="690"/>
    <n v="57"/>
    <x v="1278"/>
  </r>
  <r>
    <d v="2023-11-10T00:00:00"/>
    <x v="1"/>
    <x v="0"/>
    <s v="Фрукты"/>
    <s v="Груши"/>
    <n v="1420"/>
    <n v="11"/>
    <x v="309"/>
  </r>
  <r>
    <d v="2023-11-10T00:00:00"/>
    <x v="1"/>
    <x v="0"/>
    <s v="Ягоды"/>
    <s v="Малина"/>
    <n v="2970"/>
    <n v="54"/>
    <x v="1665"/>
  </r>
  <r>
    <d v="2023-11-10T00:00:00"/>
    <x v="2"/>
    <x v="1"/>
    <s v="Зелень"/>
    <s v="Салат айсберг"/>
    <n v="1380"/>
    <n v="74"/>
    <x v="602"/>
  </r>
  <r>
    <d v="2023-11-10T00:00:00"/>
    <x v="0"/>
    <x v="5"/>
    <s v="Овощи"/>
    <s v="Морковь"/>
    <n v="715"/>
    <n v="33"/>
    <x v="548"/>
  </r>
  <r>
    <d v="2023-11-10T00:00:00"/>
    <x v="0"/>
    <x v="5"/>
    <s v="Ягоды"/>
    <s v="Черешня"/>
    <n v="1760"/>
    <n v="90"/>
    <x v="1405"/>
  </r>
  <r>
    <d v="2023-11-10T00:00:00"/>
    <x v="2"/>
    <x v="6"/>
    <s v="Фрукты"/>
    <s v="Абрикосы"/>
    <n v="1320"/>
    <n v="40"/>
    <x v="94"/>
  </r>
  <r>
    <s v="10.11.2023 Итог"/>
    <x v="3"/>
    <x v="2"/>
    <m/>
    <m/>
    <m/>
    <m/>
    <x v="1666"/>
  </r>
  <r>
    <d v="2023-11-11T00:00:00"/>
    <x v="4"/>
    <x v="3"/>
    <s v="Ягоды"/>
    <s v="Голубика"/>
    <n v="3205"/>
    <n v="83"/>
    <x v="1248"/>
  </r>
  <r>
    <d v="2023-11-11T00:00:00"/>
    <x v="4"/>
    <x v="0"/>
    <s v="Фрукты"/>
    <s v="Сливы"/>
    <n v="930"/>
    <n v="33"/>
    <x v="1667"/>
  </r>
  <r>
    <d v="2023-11-11T00:00:00"/>
    <x v="2"/>
    <x v="0"/>
    <s v="Ягоды"/>
    <s v="Малина"/>
    <n v="2970"/>
    <n v="65"/>
    <x v="1593"/>
  </r>
  <r>
    <d v="2023-11-11T00:00:00"/>
    <x v="4"/>
    <x v="5"/>
    <s v="Овощи"/>
    <s v="Картофель"/>
    <n v="690"/>
    <n v="43"/>
    <x v="851"/>
  </r>
  <r>
    <d v="2023-11-11T00:00:00"/>
    <x v="0"/>
    <x v="5"/>
    <s v="Фрукты"/>
    <s v="Абрикосы"/>
    <n v="1320"/>
    <n v="58"/>
    <x v="1234"/>
  </r>
  <r>
    <d v="2023-11-11T00:00:00"/>
    <x v="4"/>
    <x v="5"/>
    <s v="Ягоды"/>
    <s v="Брусника"/>
    <n v="1670"/>
    <n v="25"/>
    <x v="1157"/>
  </r>
  <r>
    <d v="2023-11-11T00:00:00"/>
    <x v="2"/>
    <x v="6"/>
    <s v="Фрукты"/>
    <s v="Абрикосы"/>
    <n v="1320"/>
    <n v="13"/>
    <x v="1668"/>
  </r>
  <r>
    <d v="2023-11-11T00:00:00"/>
    <x v="2"/>
    <x v="6"/>
    <s v="Ягоды"/>
    <s v="Клубника"/>
    <n v="2460"/>
    <n v="81"/>
    <x v="1669"/>
  </r>
  <r>
    <s v="11.11.2023 Итог"/>
    <x v="3"/>
    <x v="2"/>
    <m/>
    <m/>
    <m/>
    <m/>
    <x v="1670"/>
  </r>
  <r>
    <d v="2023-11-12T00:00:00"/>
    <x v="4"/>
    <x v="3"/>
    <s v="Ягоды"/>
    <s v="Черешня"/>
    <n v="1760"/>
    <n v="28"/>
    <x v="297"/>
  </r>
  <r>
    <d v="2023-11-12T00:00:00"/>
    <x v="1"/>
    <x v="0"/>
    <s v="Фрукты"/>
    <s v="Абрикосы"/>
    <n v="1320"/>
    <n v="63"/>
    <x v="166"/>
  </r>
  <r>
    <d v="2023-11-12T00:00:00"/>
    <x v="4"/>
    <x v="4"/>
    <s v="Зелень"/>
    <s v="Петрушка"/>
    <n v="640"/>
    <n v="52"/>
    <x v="67"/>
  </r>
  <r>
    <d v="2023-11-12T00:00:00"/>
    <x v="0"/>
    <x v="5"/>
    <s v="Зелень"/>
    <s v="Салат римский"/>
    <n v="540"/>
    <n v="56"/>
    <x v="1309"/>
  </r>
  <r>
    <d v="2023-11-12T00:00:00"/>
    <x v="0"/>
    <x v="5"/>
    <s v="Фрукты"/>
    <s v="Сливы"/>
    <n v="930"/>
    <n v="92"/>
    <x v="345"/>
  </r>
  <r>
    <d v="2023-11-12T00:00:00"/>
    <x v="1"/>
    <x v="6"/>
    <s v="Зелень"/>
    <s v="Кинза"/>
    <n v="650"/>
    <n v="54"/>
    <x v="158"/>
  </r>
  <r>
    <d v="2023-11-12T00:00:00"/>
    <x v="1"/>
    <x v="6"/>
    <s v="Зелень"/>
    <s v="Петрушка"/>
    <n v="640"/>
    <n v="58"/>
    <x v="1671"/>
  </r>
  <r>
    <d v="2023-11-12T00:00:00"/>
    <x v="1"/>
    <x v="6"/>
    <s v="Овощи"/>
    <s v="Свекла"/>
    <n v="450"/>
    <n v="17"/>
    <x v="1539"/>
  </r>
  <r>
    <d v="2023-11-12T00:00:00"/>
    <x v="4"/>
    <x v="6"/>
    <s v="Ягоды"/>
    <s v="Клубника"/>
    <n v="2460"/>
    <n v="57"/>
    <x v="1431"/>
  </r>
  <r>
    <s v="12.11.2023 Итог"/>
    <x v="3"/>
    <x v="2"/>
    <m/>
    <m/>
    <m/>
    <m/>
    <x v="1672"/>
  </r>
  <r>
    <d v="2023-11-13T00:00:00"/>
    <x v="4"/>
    <x v="3"/>
    <s v="Фрукты"/>
    <s v="Груши"/>
    <n v="1420"/>
    <n v="67"/>
    <x v="1381"/>
  </r>
  <r>
    <d v="2023-11-13T00:00:00"/>
    <x v="0"/>
    <x v="0"/>
    <s v="Зелень"/>
    <s v="Укроп"/>
    <n v="650"/>
    <n v="12"/>
    <x v="625"/>
  </r>
  <r>
    <d v="2023-11-13T00:00:00"/>
    <x v="4"/>
    <x v="0"/>
    <s v="Ягоды"/>
    <s v="Смородина черная"/>
    <n v="1505"/>
    <n v="79"/>
    <x v="1673"/>
  </r>
  <r>
    <d v="2023-11-13T00:00:00"/>
    <x v="1"/>
    <x v="0"/>
    <s v="Ягоды"/>
    <s v="Малина"/>
    <n v="2970"/>
    <n v="28"/>
    <x v="166"/>
  </r>
  <r>
    <d v="2023-11-13T00:00:00"/>
    <x v="0"/>
    <x v="4"/>
    <s v="Овощи"/>
    <s v="Кабачки"/>
    <n v="325"/>
    <n v="44"/>
    <x v="994"/>
  </r>
  <r>
    <d v="2023-11-13T00:00:00"/>
    <x v="1"/>
    <x v="4"/>
    <s v="Овощи"/>
    <s v="Кабачки"/>
    <n v="325"/>
    <n v="60"/>
    <x v="469"/>
  </r>
  <r>
    <d v="2023-11-13T00:00:00"/>
    <x v="4"/>
    <x v="4"/>
    <s v="Фрукты"/>
    <s v="Груши"/>
    <n v="1420"/>
    <n v="72"/>
    <x v="1674"/>
  </r>
  <r>
    <d v="2023-11-13T00:00:00"/>
    <x v="1"/>
    <x v="1"/>
    <s v="Ягоды"/>
    <s v="Клубника"/>
    <n v="2460"/>
    <n v="83"/>
    <x v="914"/>
  </r>
  <r>
    <d v="2023-11-13T00:00:00"/>
    <x v="0"/>
    <x v="5"/>
    <s v="Зелень"/>
    <s v="Укроп"/>
    <n v="650"/>
    <n v="47"/>
    <x v="1091"/>
  </r>
  <r>
    <s v="13.11.2023 Итог"/>
    <x v="3"/>
    <x v="2"/>
    <m/>
    <m/>
    <m/>
    <m/>
    <x v="1675"/>
  </r>
  <r>
    <d v="2023-11-14T00:00:00"/>
    <x v="2"/>
    <x v="3"/>
    <s v="Зелень"/>
    <s v="Укроп"/>
    <n v="650"/>
    <n v="41"/>
    <x v="645"/>
  </r>
  <r>
    <d v="2023-11-14T00:00:00"/>
    <x v="1"/>
    <x v="0"/>
    <s v="Овощи"/>
    <s v="Картофель"/>
    <n v="690"/>
    <n v="23"/>
    <x v="1237"/>
  </r>
  <r>
    <d v="2023-11-14T00:00:00"/>
    <x v="4"/>
    <x v="0"/>
    <s v="Фрукты"/>
    <s v="Яблоки"/>
    <n v="1230"/>
    <n v="56"/>
    <x v="168"/>
  </r>
  <r>
    <d v="2023-11-14T00:00:00"/>
    <x v="2"/>
    <x v="0"/>
    <s v="Ягоды"/>
    <s v="Малина"/>
    <n v="2970"/>
    <n v="8"/>
    <x v="1117"/>
  </r>
  <r>
    <d v="2023-11-14T00:00:00"/>
    <x v="2"/>
    <x v="1"/>
    <s v="Овощи"/>
    <s v="Капуста"/>
    <n v="460"/>
    <n v="90"/>
    <x v="356"/>
  </r>
  <r>
    <d v="2023-11-14T00:00:00"/>
    <x v="2"/>
    <x v="1"/>
    <s v="Ягоды"/>
    <s v="Малина"/>
    <n v="2970"/>
    <n v="98"/>
    <x v="790"/>
  </r>
  <r>
    <d v="2023-11-14T00:00:00"/>
    <x v="1"/>
    <x v="6"/>
    <s v="Овощи"/>
    <s v="Кабачки"/>
    <n v="325"/>
    <n v="50"/>
    <x v="45"/>
  </r>
  <r>
    <d v="2023-11-14T00:00:00"/>
    <x v="1"/>
    <x v="6"/>
    <s v="Ягоды"/>
    <s v="Черешня"/>
    <n v="1760"/>
    <n v="57"/>
    <x v="759"/>
  </r>
  <r>
    <s v="14.11.2023 Итог"/>
    <x v="3"/>
    <x v="2"/>
    <m/>
    <m/>
    <m/>
    <m/>
    <x v="1676"/>
  </r>
  <r>
    <d v="2023-11-15T00:00:00"/>
    <x v="4"/>
    <x v="3"/>
    <s v="Зелень"/>
    <s v="Кинза"/>
    <n v="650"/>
    <n v="70"/>
    <x v="1208"/>
  </r>
  <r>
    <d v="2023-11-15T00:00:00"/>
    <x v="2"/>
    <x v="3"/>
    <s v="Фрукты"/>
    <s v="Сливы"/>
    <n v="930"/>
    <n v="11"/>
    <x v="1338"/>
  </r>
  <r>
    <d v="2023-11-15T00:00:00"/>
    <x v="0"/>
    <x v="4"/>
    <s v="Овощи"/>
    <s v="Морковь"/>
    <n v="715"/>
    <n v="93"/>
    <x v="1677"/>
  </r>
  <r>
    <d v="2023-11-15T00:00:00"/>
    <x v="4"/>
    <x v="1"/>
    <s v="Ягоды"/>
    <s v="Голубика"/>
    <n v="3205"/>
    <n v="27"/>
    <x v="340"/>
  </r>
  <r>
    <d v="2023-11-15T00:00:00"/>
    <x v="4"/>
    <x v="6"/>
    <s v="Ягоды"/>
    <s v="Черешня"/>
    <n v="1760"/>
    <n v="62"/>
    <x v="1082"/>
  </r>
  <r>
    <s v="15.11.2023 Итог"/>
    <x v="3"/>
    <x v="2"/>
    <m/>
    <m/>
    <m/>
    <m/>
    <x v="1678"/>
  </r>
  <r>
    <d v="2023-11-16T00:00:00"/>
    <x v="1"/>
    <x v="0"/>
    <s v="Ягоды"/>
    <s v="Малина"/>
    <n v="2970"/>
    <n v="77"/>
    <x v="1404"/>
  </r>
  <r>
    <d v="2023-11-16T00:00:00"/>
    <x v="1"/>
    <x v="4"/>
    <s v="Зелень"/>
    <s v="Петрушка"/>
    <n v="640"/>
    <n v="43"/>
    <x v="1612"/>
  </r>
  <r>
    <d v="2023-11-16T00:00:00"/>
    <x v="1"/>
    <x v="5"/>
    <s v="Ягоды"/>
    <s v="Малина"/>
    <n v="2970"/>
    <n v="37"/>
    <x v="354"/>
  </r>
  <r>
    <s v="16.11.2023 Итог"/>
    <x v="3"/>
    <x v="2"/>
    <m/>
    <m/>
    <m/>
    <m/>
    <x v="1679"/>
  </r>
  <r>
    <d v="2023-11-17T00:00:00"/>
    <x v="2"/>
    <x v="3"/>
    <s v="Овощи"/>
    <s v="Картофель"/>
    <n v="690"/>
    <n v="52"/>
    <x v="690"/>
  </r>
  <r>
    <d v="2023-11-17T00:00:00"/>
    <x v="2"/>
    <x v="0"/>
    <s v="Зелень"/>
    <s v="Салат римский"/>
    <n v="540"/>
    <n v="77"/>
    <x v="52"/>
  </r>
  <r>
    <d v="2023-11-17T00:00:00"/>
    <x v="1"/>
    <x v="0"/>
    <s v="Овощи"/>
    <s v="Капуста"/>
    <n v="460"/>
    <n v="80"/>
    <x v="467"/>
  </r>
  <r>
    <d v="2023-11-17T00:00:00"/>
    <x v="2"/>
    <x v="0"/>
    <s v="Овощи"/>
    <s v="Картофель"/>
    <n v="690"/>
    <n v="86"/>
    <x v="147"/>
  </r>
  <r>
    <d v="2023-11-17T00:00:00"/>
    <x v="4"/>
    <x v="4"/>
    <s v="Ягоды"/>
    <s v="Черешня"/>
    <n v="1760"/>
    <n v="59"/>
    <x v="32"/>
  </r>
  <r>
    <d v="2023-11-17T00:00:00"/>
    <x v="1"/>
    <x v="1"/>
    <s v="Фрукты"/>
    <s v="Сливы"/>
    <n v="930"/>
    <n v="97"/>
    <x v="40"/>
  </r>
  <r>
    <d v="2023-11-17T00:00:00"/>
    <x v="4"/>
    <x v="1"/>
    <s v="Ягоды"/>
    <s v="Малина"/>
    <n v="2970"/>
    <n v="91"/>
    <x v="1680"/>
  </r>
  <r>
    <d v="2023-11-17T00:00:00"/>
    <x v="2"/>
    <x v="6"/>
    <s v="Фрукты"/>
    <s v="Абрикосы"/>
    <n v="1320"/>
    <n v="33"/>
    <x v="451"/>
  </r>
  <r>
    <s v="17.11.2023 Итог"/>
    <x v="3"/>
    <x v="2"/>
    <m/>
    <m/>
    <m/>
    <m/>
    <x v="1681"/>
  </r>
  <r>
    <d v="2023-11-18T00:00:00"/>
    <x v="0"/>
    <x v="3"/>
    <s v="Зелень"/>
    <s v="Салат айсберг"/>
    <n v="1380"/>
    <n v="67"/>
    <x v="1682"/>
  </r>
  <r>
    <d v="2023-11-18T00:00:00"/>
    <x v="4"/>
    <x v="3"/>
    <s v="Ягоды"/>
    <s v="Смородина черная"/>
    <n v="1505"/>
    <n v="55"/>
    <x v="238"/>
  </r>
  <r>
    <d v="2023-11-18T00:00:00"/>
    <x v="1"/>
    <x v="1"/>
    <s v="Фрукты"/>
    <s v="Бананы"/>
    <n v="2400"/>
    <n v="11"/>
    <x v="257"/>
  </r>
  <r>
    <d v="2023-11-18T00:00:00"/>
    <x v="4"/>
    <x v="1"/>
    <s v="Ягоды"/>
    <s v="Смородина черная"/>
    <n v="1505"/>
    <n v="53"/>
    <x v="235"/>
  </r>
  <r>
    <d v="2023-11-18T00:00:00"/>
    <x v="4"/>
    <x v="1"/>
    <s v="Ягоды"/>
    <s v="Клубника"/>
    <n v="2460"/>
    <n v="82"/>
    <x v="1683"/>
  </r>
  <r>
    <d v="2023-11-18T00:00:00"/>
    <x v="0"/>
    <x v="5"/>
    <s v="Зелень"/>
    <s v="Лук зеленый"/>
    <n v="705"/>
    <n v="62"/>
    <x v="713"/>
  </r>
  <r>
    <s v="18.11.2023 Итог"/>
    <x v="3"/>
    <x v="2"/>
    <m/>
    <m/>
    <m/>
    <m/>
    <x v="1684"/>
  </r>
  <r>
    <d v="2023-11-19T00:00:00"/>
    <x v="0"/>
    <x v="3"/>
    <s v="Овощи"/>
    <s v="Картофель"/>
    <n v="690"/>
    <n v="82"/>
    <x v="556"/>
  </r>
  <r>
    <d v="2023-11-19T00:00:00"/>
    <x v="2"/>
    <x v="3"/>
    <s v="Фрукты"/>
    <s v="Груши"/>
    <n v="1420"/>
    <n v="25"/>
    <x v="1513"/>
  </r>
  <r>
    <d v="2023-11-19T00:00:00"/>
    <x v="4"/>
    <x v="3"/>
    <s v="Ягоды"/>
    <s v="Голубика"/>
    <n v="3205"/>
    <n v="97"/>
    <x v="259"/>
  </r>
  <r>
    <d v="2023-11-19T00:00:00"/>
    <x v="1"/>
    <x v="0"/>
    <s v="Зелень"/>
    <s v="Укроп"/>
    <n v="650"/>
    <n v="88"/>
    <x v="83"/>
  </r>
  <r>
    <d v="2023-11-19T00:00:00"/>
    <x v="0"/>
    <x v="4"/>
    <s v="Зелень"/>
    <s v="Салат айсберг"/>
    <n v="1380"/>
    <n v="78"/>
    <x v="1164"/>
  </r>
  <r>
    <d v="2023-11-19T00:00:00"/>
    <x v="1"/>
    <x v="4"/>
    <s v="Фрукты"/>
    <s v="Груши"/>
    <n v="1420"/>
    <n v="72"/>
    <x v="1674"/>
  </r>
  <r>
    <d v="2023-11-19T00:00:00"/>
    <x v="1"/>
    <x v="1"/>
    <s v="Зелень"/>
    <s v="Лук зеленый"/>
    <n v="705"/>
    <n v="85"/>
    <x v="1319"/>
  </r>
  <r>
    <d v="2023-11-19T00:00:00"/>
    <x v="4"/>
    <x v="1"/>
    <s v="Зелень"/>
    <s v="Лук зеленый"/>
    <n v="705"/>
    <n v="8"/>
    <x v="1395"/>
  </r>
  <r>
    <d v="2023-11-19T00:00:00"/>
    <x v="1"/>
    <x v="5"/>
    <s v="Зелень"/>
    <s v="Салат айсберг"/>
    <n v="1380"/>
    <n v="30"/>
    <x v="356"/>
  </r>
  <r>
    <d v="2023-11-19T00:00:00"/>
    <x v="4"/>
    <x v="5"/>
    <s v="Фрукты"/>
    <s v="Сливы"/>
    <n v="930"/>
    <n v="12"/>
    <x v="1373"/>
  </r>
  <r>
    <d v="2023-11-19T00:00:00"/>
    <x v="1"/>
    <x v="5"/>
    <s v="Ягоды"/>
    <s v="Брусника"/>
    <n v="1670"/>
    <n v="31"/>
    <x v="1685"/>
  </r>
  <r>
    <d v="2023-11-19T00:00:00"/>
    <x v="1"/>
    <x v="5"/>
    <s v="Ягоды"/>
    <s v="Голубика"/>
    <n v="3205"/>
    <n v="54"/>
    <x v="133"/>
  </r>
  <r>
    <d v="2023-11-19T00:00:00"/>
    <x v="2"/>
    <x v="6"/>
    <s v="Зелень"/>
    <s v="Салат айсберг"/>
    <n v="1380"/>
    <n v="9"/>
    <x v="1216"/>
  </r>
  <r>
    <s v="19.11.2023 Итог"/>
    <x v="3"/>
    <x v="2"/>
    <m/>
    <m/>
    <m/>
    <m/>
    <x v="1686"/>
  </r>
  <r>
    <d v="2023-11-20T00:00:00"/>
    <x v="0"/>
    <x v="0"/>
    <s v="Овощи"/>
    <s v="Картофель"/>
    <n v="690"/>
    <n v="31"/>
    <x v="506"/>
  </r>
  <r>
    <d v="2023-11-20T00:00:00"/>
    <x v="4"/>
    <x v="4"/>
    <s v="Фрукты"/>
    <s v="Апельсины"/>
    <n v="2540"/>
    <n v="9"/>
    <x v="1484"/>
  </r>
  <r>
    <d v="2023-11-20T00:00:00"/>
    <x v="0"/>
    <x v="1"/>
    <s v="Зелень"/>
    <s v="Салат айсберг"/>
    <n v="1380"/>
    <n v="25"/>
    <x v="1057"/>
  </r>
  <r>
    <d v="2023-11-20T00:00:00"/>
    <x v="4"/>
    <x v="1"/>
    <s v="Зелень"/>
    <s v="Салат айсберг"/>
    <n v="1380"/>
    <n v="66"/>
    <x v="1299"/>
  </r>
  <r>
    <d v="2023-11-20T00:00:00"/>
    <x v="4"/>
    <x v="1"/>
    <s v="Овощи"/>
    <s v="Баклажаны"/>
    <n v="890"/>
    <n v="47"/>
    <x v="1687"/>
  </r>
  <r>
    <d v="2023-11-20T00:00:00"/>
    <x v="2"/>
    <x v="5"/>
    <s v="Ягоды"/>
    <s v="Клубника"/>
    <n v="2460"/>
    <n v="79"/>
    <x v="1688"/>
  </r>
  <r>
    <s v="20.11.2023 Итог"/>
    <x v="3"/>
    <x v="2"/>
    <m/>
    <m/>
    <m/>
    <m/>
    <x v="1689"/>
  </r>
  <r>
    <d v="2023-11-21T00:00:00"/>
    <x v="2"/>
    <x v="3"/>
    <s v="Овощи"/>
    <s v="Картофель"/>
    <n v="690"/>
    <n v="90"/>
    <x v="1193"/>
  </r>
  <r>
    <d v="2023-11-21T00:00:00"/>
    <x v="1"/>
    <x v="3"/>
    <s v="Овощи"/>
    <s v="Морковь"/>
    <n v="715"/>
    <n v="20"/>
    <x v="994"/>
  </r>
  <r>
    <d v="2023-11-21T00:00:00"/>
    <x v="0"/>
    <x v="3"/>
    <s v="Фрукты"/>
    <s v="Бананы"/>
    <n v="2400"/>
    <n v="81"/>
    <x v="589"/>
  </r>
  <r>
    <d v="2023-11-21T00:00:00"/>
    <x v="2"/>
    <x v="0"/>
    <s v="Зелень"/>
    <s v="Кинза"/>
    <n v="650"/>
    <n v="81"/>
    <x v="1690"/>
  </r>
  <r>
    <d v="2023-11-21T00:00:00"/>
    <x v="1"/>
    <x v="0"/>
    <s v="Овощи"/>
    <s v="Свекла"/>
    <n v="450"/>
    <n v="79"/>
    <x v="393"/>
  </r>
  <r>
    <d v="2023-11-21T00:00:00"/>
    <x v="1"/>
    <x v="0"/>
    <s v="Фрукты"/>
    <s v="Бананы"/>
    <n v="2400"/>
    <n v="84"/>
    <x v="1691"/>
  </r>
  <r>
    <d v="2023-11-21T00:00:00"/>
    <x v="0"/>
    <x v="0"/>
    <s v="Ягоды"/>
    <s v="Малина"/>
    <n v="2970"/>
    <n v="36"/>
    <x v="1458"/>
  </r>
  <r>
    <d v="2023-11-21T00:00:00"/>
    <x v="1"/>
    <x v="4"/>
    <s v="Зелень"/>
    <s v="Салат айсберг"/>
    <n v="1380"/>
    <n v="70"/>
    <x v="405"/>
  </r>
  <r>
    <d v="2023-11-21T00:00:00"/>
    <x v="1"/>
    <x v="4"/>
    <s v="Ягоды"/>
    <s v="Клубника"/>
    <n v="2460"/>
    <n v="62"/>
    <x v="1663"/>
  </r>
  <r>
    <d v="2023-11-21T00:00:00"/>
    <x v="1"/>
    <x v="1"/>
    <s v="Фрукты"/>
    <s v="Груши"/>
    <n v="1420"/>
    <n v="62"/>
    <x v="1692"/>
  </r>
  <r>
    <d v="2023-11-21T00:00:00"/>
    <x v="1"/>
    <x v="1"/>
    <s v="Фрукты"/>
    <s v="Апельсины"/>
    <n v="2540"/>
    <n v="63"/>
    <x v="1693"/>
  </r>
  <r>
    <d v="2023-11-21T00:00:00"/>
    <x v="1"/>
    <x v="1"/>
    <s v="Ягоды"/>
    <s v="Клубника"/>
    <n v="2460"/>
    <n v="70"/>
    <x v="74"/>
  </r>
  <r>
    <d v="2023-11-21T00:00:00"/>
    <x v="1"/>
    <x v="5"/>
    <s v="Овощи"/>
    <s v="Морковь"/>
    <n v="715"/>
    <n v="55"/>
    <x v="1625"/>
  </r>
  <r>
    <d v="2023-11-21T00:00:00"/>
    <x v="2"/>
    <x v="6"/>
    <s v="Фрукты"/>
    <s v="Абрикосы"/>
    <n v="1320"/>
    <n v="39"/>
    <x v="623"/>
  </r>
  <r>
    <s v="21.11.2023 Итог"/>
    <x v="3"/>
    <x v="2"/>
    <m/>
    <m/>
    <m/>
    <m/>
    <x v="1694"/>
  </r>
  <r>
    <d v="2023-11-22T00:00:00"/>
    <x v="4"/>
    <x v="3"/>
    <s v="Зелень"/>
    <s v="Лук зеленый"/>
    <n v="705"/>
    <n v="34"/>
    <x v="1695"/>
  </r>
  <r>
    <d v="2023-11-22T00:00:00"/>
    <x v="2"/>
    <x v="0"/>
    <s v="Фрукты"/>
    <s v="Бананы"/>
    <n v="2400"/>
    <n v="43"/>
    <x v="978"/>
  </r>
  <r>
    <d v="2023-11-22T00:00:00"/>
    <x v="0"/>
    <x v="0"/>
    <s v="Ягоды"/>
    <s v="Смородина черная"/>
    <n v="1505"/>
    <n v="6"/>
    <x v="14"/>
  </r>
  <r>
    <d v="2023-11-22T00:00:00"/>
    <x v="2"/>
    <x v="4"/>
    <s v="Зелень"/>
    <s v="Лук зеленый"/>
    <n v="705"/>
    <n v="23"/>
    <x v="370"/>
  </r>
  <r>
    <d v="2023-11-22T00:00:00"/>
    <x v="0"/>
    <x v="4"/>
    <s v="Овощи"/>
    <s v="Кабачки"/>
    <n v="325"/>
    <n v="88"/>
    <x v="853"/>
  </r>
  <r>
    <d v="2023-11-22T00:00:00"/>
    <x v="2"/>
    <x v="4"/>
    <s v="Ягоды"/>
    <s v="Смородина черная"/>
    <n v="1505"/>
    <n v="92"/>
    <x v="1400"/>
  </r>
  <r>
    <d v="2023-11-22T00:00:00"/>
    <x v="1"/>
    <x v="1"/>
    <s v="Зелень"/>
    <s v="Кинза"/>
    <n v="650"/>
    <n v="93"/>
    <x v="875"/>
  </r>
  <r>
    <d v="2023-11-22T00:00:00"/>
    <x v="4"/>
    <x v="1"/>
    <s v="Овощи"/>
    <s v="Кабачки"/>
    <n v="325"/>
    <n v="48"/>
    <x v="337"/>
  </r>
  <r>
    <d v="2023-11-22T00:00:00"/>
    <x v="4"/>
    <x v="5"/>
    <s v="Зелень"/>
    <s v="Лук зеленый"/>
    <n v="705"/>
    <n v="53"/>
    <x v="1634"/>
  </r>
  <r>
    <d v="2023-11-22T00:00:00"/>
    <x v="4"/>
    <x v="5"/>
    <s v="Фрукты"/>
    <s v="Груши"/>
    <n v="1420"/>
    <n v="64"/>
    <x v="845"/>
  </r>
  <r>
    <d v="2023-11-22T00:00:00"/>
    <x v="1"/>
    <x v="6"/>
    <s v="Фрукты"/>
    <s v="Яблоки"/>
    <n v="1230"/>
    <n v="22"/>
    <x v="131"/>
  </r>
  <r>
    <s v="22.11.2023 Итог"/>
    <x v="3"/>
    <x v="2"/>
    <m/>
    <m/>
    <m/>
    <m/>
    <x v="1696"/>
  </r>
  <r>
    <d v="2023-11-23T00:00:00"/>
    <x v="1"/>
    <x v="3"/>
    <s v="Овощи"/>
    <s v="Картофель"/>
    <n v="690"/>
    <n v="89"/>
    <x v="1012"/>
  </r>
  <r>
    <d v="2023-11-23T00:00:00"/>
    <x v="2"/>
    <x v="4"/>
    <s v="Зелень"/>
    <s v="Петрушка"/>
    <n v="640"/>
    <n v="38"/>
    <x v="1697"/>
  </r>
  <r>
    <d v="2023-11-23T00:00:00"/>
    <x v="4"/>
    <x v="1"/>
    <s v="Зелень"/>
    <s v="Лук зеленый"/>
    <n v="705"/>
    <n v="37"/>
    <x v="1698"/>
  </r>
  <r>
    <d v="2023-11-23T00:00:00"/>
    <x v="2"/>
    <x v="1"/>
    <s v="Овощи"/>
    <s v="Кабачки"/>
    <n v="325"/>
    <n v="75"/>
    <x v="1699"/>
  </r>
  <r>
    <d v="2023-11-23T00:00:00"/>
    <x v="2"/>
    <x v="1"/>
    <s v="Фрукты"/>
    <s v="Груши"/>
    <n v="1420"/>
    <n v="95"/>
    <x v="366"/>
  </r>
  <r>
    <d v="2023-11-23T00:00:00"/>
    <x v="4"/>
    <x v="5"/>
    <s v="Зелень"/>
    <s v="Салат айсберг"/>
    <n v="1380"/>
    <n v="14"/>
    <x v="1204"/>
  </r>
  <r>
    <d v="2023-11-23T00:00:00"/>
    <x v="4"/>
    <x v="5"/>
    <s v="Ягоды"/>
    <s v="Смородина черная"/>
    <n v="1505"/>
    <n v="90"/>
    <x v="209"/>
  </r>
  <r>
    <s v="23.11.2023 Итог"/>
    <x v="3"/>
    <x v="2"/>
    <m/>
    <m/>
    <m/>
    <m/>
    <x v="1700"/>
  </r>
  <r>
    <d v="2023-11-24T00:00:00"/>
    <x v="1"/>
    <x v="3"/>
    <s v="Фрукты"/>
    <s v="Яблоки"/>
    <n v="1230"/>
    <n v="42"/>
    <x v="930"/>
  </r>
  <r>
    <d v="2023-11-24T00:00:00"/>
    <x v="2"/>
    <x v="0"/>
    <s v="Фрукты"/>
    <s v="Яблоки"/>
    <n v="1230"/>
    <n v="46"/>
    <x v="556"/>
  </r>
  <r>
    <d v="2023-11-24T00:00:00"/>
    <x v="1"/>
    <x v="4"/>
    <s v="Фрукты"/>
    <s v="Груши"/>
    <n v="1420"/>
    <n v="45"/>
    <x v="1312"/>
  </r>
  <r>
    <d v="2023-11-24T00:00:00"/>
    <x v="4"/>
    <x v="4"/>
    <s v="Фрукты"/>
    <s v="Сливы"/>
    <n v="930"/>
    <n v="93"/>
    <x v="1479"/>
  </r>
  <r>
    <d v="2023-11-24T00:00:00"/>
    <x v="4"/>
    <x v="4"/>
    <s v="Ягоды"/>
    <s v="Голубика"/>
    <n v="3205"/>
    <n v="82"/>
    <x v="231"/>
  </r>
  <r>
    <d v="2023-11-24T00:00:00"/>
    <x v="0"/>
    <x v="1"/>
    <s v="Фрукты"/>
    <s v="Апельсины"/>
    <n v="2540"/>
    <n v="48"/>
    <x v="706"/>
  </r>
  <r>
    <d v="2023-11-24T00:00:00"/>
    <x v="0"/>
    <x v="1"/>
    <s v="Фрукты"/>
    <s v="Бананы"/>
    <n v="2400"/>
    <n v="36"/>
    <x v="1008"/>
  </r>
  <r>
    <d v="2023-11-24T00:00:00"/>
    <x v="1"/>
    <x v="1"/>
    <s v="Фрукты"/>
    <s v="Сливы"/>
    <n v="930"/>
    <n v="58"/>
    <x v="1352"/>
  </r>
  <r>
    <d v="2023-11-24T00:00:00"/>
    <x v="1"/>
    <x v="1"/>
    <s v="Ягоды"/>
    <s v="Малина"/>
    <n v="2970"/>
    <n v="68"/>
    <x v="1036"/>
  </r>
  <r>
    <d v="2023-11-24T00:00:00"/>
    <x v="2"/>
    <x v="1"/>
    <s v="Ягоды"/>
    <s v="Клубника"/>
    <n v="2460"/>
    <n v="28"/>
    <x v="168"/>
  </r>
  <r>
    <d v="2023-11-24T00:00:00"/>
    <x v="0"/>
    <x v="5"/>
    <s v="Ягоды"/>
    <s v="Смородина черная"/>
    <n v="1505"/>
    <n v="29"/>
    <x v="1701"/>
  </r>
  <r>
    <d v="2023-11-24T00:00:00"/>
    <x v="4"/>
    <x v="6"/>
    <s v="Овощи"/>
    <s v="Капуста"/>
    <n v="460"/>
    <n v="28"/>
    <x v="735"/>
  </r>
  <r>
    <s v="24.11.2023 Итог"/>
    <x v="3"/>
    <x v="2"/>
    <m/>
    <m/>
    <m/>
    <m/>
    <x v="1702"/>
  </r>
  <r>
    <d v="2023-11-25T00:00:00"/>
    <x v="4"/>
    <x v="3"/>
    <s v="Зелень"/>
    <s v="Кинза"/>
    <n v="650"/>
    <n v="40"/>
    <x v="376"/>
  </r>
  <r>
    <d v="2023-11-25T00:00:00"/>
    <x v="1"/>
    <x v="0"/>
    <s v="Ягоды"/>
    <s v="Малина"/>
    <n v="2970"/>
    <n v="65"/>
    <x v="1593"/>
  </r>
  <r>
    <d v="2023-11-25T00:00:00"/>
    <x v="1"/>
    <x v="4"/>
    <s v="Фрукты"/>
    <s v="Абрикосы"/>
    <n v="1320"/>
    <n v="79"/>
    <x v="1562"/>
  </r>
  <r>
    <d v="2023-11-25T00:00:00"/>
    <x v="4"/>
    <x v="1"/>
    <s v="Фрукты"/>
    <s v="Груши"/>
    <n v="1420"/>
    <n v="62"/>
    <x v="1692"/>
  </r>
  <r>
    <d v="2023-11-25T00:00:00"/>
    <x v="2"/>
    <x v="1"/>
    <s v="Ягоды"/>
    <s v="Клубника"/>
    <n v="2460"/>
    <n v="51"/>
    <x v="295"/>
  </r>
  <r>
    <d v="2023-11-25T00:00:00"/>
    <x v="1"/>
    <x v="1"/>
    <s v="Ягоды"/>
    <s v="Смородина черная"/>
    <n v="1505"/>
    <n v="53"/>
    <x v="235"/>
  </r>
  <r>
    <d v="2023-11-25T00:00:00"/>
    <x v="1"/>
    <x v="5"/>
    <s v="Зелень"/>
    <s v="Лук зеленый"/>
    <n v="705"/>
    <n v="90"/>
    <x v="85"/>
  </r>
  <r>
    <d v="2023-11-25T00:00:00"/>
    <x v="1"/>
    <x v="5"/>
    <s v="Фрукты"/>
    <s v="Апельсины"/>
    <n v="2540"/>
    <n v="33"/>
    <x v="1703"/>
  </r>
  <r>
    <d v="2023-11-25T00:00:00"/>
    <x v="1"/>
    <x v="5"/>
    <s v="Фрукты"/>
    <s v="Апельсины"/>
    <n v="2540"/>
    <n v="9"/>
    <x v="1484"/>
  </r>
  <r>
    <d v="2023-11-25T00:00:00"/>
    <x v="2"/>
    <x v="5"/>
    <s v="Ягоды"/>
    <s v="Смородина черная"/>
    <n v="1505"/>
    <n v="53"/>
    <x v="235"/>
  </r>
  <r>
    <d v="2023-11-25T00:00:00"/>
    <x v="4"/>
    <x v="6"/>
    <s v="Овощи"/>
    <s v="Морковь"/>
    <n v="715"/>
    <n v="95"/>
    <x v="1500"/>
  </r>
  <r>
    <s v="25.11.2023 Итог"/>
    <x v="3"/>
    <x v="2"/>
    <m/>
    <m/>
    <m/>
    <m/>
    <x v="1704"/>
  </r>
  <r>
    <d v="2023-11-26T00:00:00"/>
    <x v="2"/>
    <x v="3"/>
    <s v="Зелень"/>
    <s v="Салат айсберг"/>
    <n v="1380"/>
    <n v="65"/>
    <x v="1705"/>
  </r>
  <r>
    <d v="2023-11-26T00:00:00"/>
    <x v="4"/>
    <x v="3"/>
    <s v="Овощи"/>
    <s v="Морковь"/>
    <n v="715"/>
    <n v="11"/>
    <x v="1706"/>
  </r>
  <r>
    <d v="2023-11-26T00:00:00"/>
    <x v="1"/>
    <x v="3"/>
    <s v="Фрукты"/>
    <s v="Яблоки"/>
    <n v="1230"/>
    <n v="18"/>
    <x v="533"/>
  </r>
  <r>
    <d v="2023-11-26T00:00:00"/>
    <x v="2"/>
    <x v="3"/>
    <s v="Фрукты"/>
    <s v="Груши"/>
    <n v="1420"/>
    <n v="42"/>
    <x v="1707"/>
  </r>
  <r>
    <d v="2023-11-26T00:00:00"/>
    <x v="4"/>
    <x v="0"/>
    <s v="Фрукты"/>
    <s v="Абрикосы"/>
    <n v="1320"/>
    <n v="66"/>
    <x v="1148"/>
  </r>
  <r>
    <d v="2023-11-26T00:00:00"/>
    <x v="4"/>
    <x v="4"/>
    <s v="Ягоды"/>
    <s v="Клубника"/>
    <n v="2460"/>
    <n v="21"/>
    <x v="930"/>
  </r>
  <r>
    <d v="2023-11-26T00:00:00"/>
    <x v="4"/>
    <x v="4"/>
    <s v="Ягоды"/>
    <s v="Брусника"/>
    <n v="1670"/>
    <n v="88"/>
    <x v="1378"/>
  </r>
  <r>
    <s v="26.11.2023 Итог"/>
    <x v="3"/>
    <x v="2"/>
    <m/>
    <m/>
    <m/>
    <m/>
    <x v="1708"/>
  </r>
  <r>
    <d v="2023-11-27T00:00:00"/>
    <x v="2"/>
    <x v="3"/>
    <s v="Зелень"/>
    <s v="Салат айсберг"/>
    <n v="1380"/>
    <n v="44"/>
    <x v="1103"/>
  </r>
  <r>
    <d v="2023-11-27T00:00:00"/>
    <x v="0"/>
    <x v="3"/>
    <s v="Овощи"/>
    <s v="Картофель"/>
    <n v="690"/>
    <n v="21"/>
    <x v="1284"/>
  </r>
  <r>
    <d v="2023-11-27T00:00:00"/>
    <x v="0"/>
    <x v="3"/>
    <s v="Ягоды"/>
    <s v="Голубика"/>
    <n v="3205"/>
    <n v="17"/>
    <x v="608"/>
  </r>
  <r>
    <d v="2023-11-27T00:00:00"/>
    <x v="1"/>
    <x v="3"/>
    <s v="Ягоды"/>
    <s v="Клубника"/>
    <n v="2460"/>
    <n v="33"/>
    <x v="194"/>
  </r>
  <r>
    <d v="2023-11-27T00:00:00"/>
    <x v="4"/>
    <x v="3"/>
    <s v="Ягоды"/>
    <s v="Черешня"/>
    <n v="1760"/>
    <n v="100"/>
    <x v="1613"/>
  </r>
  <r>
    <d v="2023-11-27T00:00:00"/>
    <x v="0"/>
    <x v="4"/>
    <s v="Овощи"/>
    <s v="Баклажаны"/>
    <n v="890"/>
    <n v="54"/>
    <x v="607"/>
  </r>
  <r>
    <d v="2023-11-27T00:00:00"/>
    <x v="0"/>
    <x v="4"/>
    <s v="Фрукты"/>
    <s v="Апельсины"/>
    <n v="2540"/>
    <n v="42"/>
    <x v="884"/>
  </r>
  <r>
    <d v="2023-11-27T00:00:00"/>
    <x v="0"/>
    <x v="4"/>
    <s v="Ягоды"/>
    <s v="Смородина черная"/>
    <n v="1505"/>
    <n v="40"/>
    <x v="1226"/>
  </r>
  <r>
    <d v="2023-11-27T00:00:00"/>
    <x v="4"/>
    <x v="1"/>
    <s v="Овощи"/>
    <s v="Баклажаны"/>
    <n v="890"/>
    <n v="95"/>
    <x v="1037"/>
  </r>
  <r>
    <d v="2023-11-27T00:00:00"/>
    <x v="4"/>
    <x v="1"/>
    <s v="Овощи"/>
    <s v="Баклажаны"/>
    <n v="890"/>
    <n v="52"/>
    <x v="1571"/>
  </r>
  <r>
    <d v="2023-11-27T00:00:00"/>
    <x v="0"/>
    <x v="1"/>
    <s v="Фрукты"/>
    <s v="Абрикосы"/>
    <n v="1320"/>
    <n v="77"/>
    <x v="473"/>
  </r>
  <r>
    <d v="2023-11-27T00:00:00"/>
    <x v="1"/>
    <x v="5"/>
    <s v="Овощи"/>
    <s v="Капуста"/>
    <n v="460"/>
    <n v="78"/>
    <x v="690"/>
  </r>
  <r>
    <d v="2023-11-27T00:00:00"/>
    <x v="0"/>
    <x v="5"/>
    <s v="Овощи"/>
    <s v="Капуста"/>
    <n v="460"/>
    <n v="98"/>
    <x v="1709"/>
  </r>
  <r>
    <d v="2023-11-27T00:00:00"/>
    <x v="2"/>
    <x v="5"/>
    <s v="Фрукты"/>
    <s v="Сливы"/>
    <n v="930"/>
    <n v="12"/>
    <x v="1373"/>
  </r>
  <r>
    <d v="2023-11-27T00:00:00"/>
    <x v="0"/>
    <x v="5"/>
    <s v="Фрукты"/>
    <s v="Яблоки"/>
    <n v="1230"/>
    <n v="59"/>
    <x v="1710"/>
  </r>
  <r>
    <d v="2023-11-27T00:00:00"/>
    <x v="2"/>
    <x v="5"/>
    <s v="Ягоды"/>
    <s v="Смородина черная"/>
    <n v="1505"/>
    <n v="63"/>
    <x v="855"/>
  </r>
  <r>
    <d v="2023-11-27T00:00:00"/>
    <x v="4"/>
    <x v="6"/>
    <s v="Зелень"/>
    <s v="Салат айсберг"/>
    <n v="1380"/>
    <n v="30"/>
    <x v="356"/>
  </r>
  <r>
    <s v="27.11.2023 Итог"/>
    <x v="3"/>
    <x v="2"/>
    <m/>
    <m/>
    <m/>
    <m/>
    <x v="1711"/>
  </r>
  <r>
    <d v="2023-11-28T00:00:00"/>
    <x v="4"/>
    <x v="3"/>
    <s v="Овощи"/>
    <s v="Свекла"/>
    <n v="450"/>
    <n v="88"/>
    <x v="425"/>
  </r>
  <r>
    <d v="2023-11-28T00:00:00"/>
    <x v="1"/>
    <x v="3"/>
    <s v="Овощи"/>
    <s v="Баклажаны"/>
    <n v="890"/>
    <n v="22"/>
    <x v="397"/>
  </r>
  <r>
    <d v="2023-11-28T00:00:00"/>
    <x v="2"/>
    <x v="0"/>
    <s v="Овощи"/>
    <s v="Картофель"/>
    <n v="690"/>
    <n v="35"/>
    <x v="22"/>
  </r>
  <r>
    <d v="2023-11-28T00:00:00"/>
    <x v="2"/>
    <x v="4"/>
    <s v="Овощи"/>
    <s v="Кабачки"/>
    <n v="325"/>
    <n v="70"/>
    <x v="1515"/>
  </r>
  <r>
    <d v="2023-11-28T00:00:00"/>
    <x v="2"/>
    <x v="4"/>
    <s v="Овощи"/>
    <s v="Морковь"/>
    <n v="715"/>
    <n v="31"/>
    <x v="615"/>
  </r>
  <r>
    <d v="2023-11-28T00:00:00"/>
    <x v="1"/>
    <x v="4"/>
    <s v="Ягоды"/>
    <s v="Голубика"/>
    <n v="3205"/>
    <n v="8"/>
    <x v="427"/>
  </r>
  <r>
    <d v="2023-11-28T00:00:00"/>
    <x v="2"/>
    <x v="1"/>
    <s v="Зелень"/>
    <s v="Кинза"/>
    <n v="650"/>
    <n v="24"/>
    <x v="337"/>
  </r>
  <r>
    <d v="2023-11-28T00:00:00"/>
    <x v="1"/>
    <x v="1"/>
    <s v="Зелень"/>
    <s v="Петрушка"/>
    <n v="640"/>
    <n v="12"/>
    <x v="1712"/>
  </r>
  <r>
    <d v="2023-11-28T00:00:00"/>
    <x v="4"/>
    <x v="1"/>
    <s v="Фрукты"/>
    <s v="Груши"/>
    <n v="1420"/>
    <n v="7"/>
    <x v="1302"/>
  </r>
  <r>
    <d v="2023-11-28T00:00:00"/>
    <x v="1"/>
    <x v="5"/>
    <s v="Ягоды"/>
    <s v="Клубника"/>
    <n v="2460"/>
    <n v="10"/>
    <x v="864"/>
  </r>
  <r>
    <d v="2023-11-28T00:00:00"/>
    <x v="0"/>
    <x v="6"/>
    <s v="Овощи"/>
    <s v="Свекла"/>
    <n v="450"/>
    <n v="99"/>
    <x v="414"/>
  </r>
  <r>
    <s v="28.11.2023 Итог"/>
    <x v="3"/>
    <x v="2"/>
    <m/>
    <m/>
    <m/>
    <m/>
    <x v="1713"/>
  </r>
  <r>
    <d v="2023-11-29T00:00:00"/>
    <x v="1"/>
    <x v="4"/>
    <s v="Ягоды"/>
    <s v="Смородина черная"/>
    <n v="1505"/>
    <n v="54"/>
    <x v="1714"/>
  </r>
  <r>
    <d v="2023-11-29T00:00:00"/>
    <x v="1"/>
    <x v="1"/>
    <s v="Овощи"/>
    <s v="Картофель"/>
    <n v="690"/>
    <n v="7"/>
    <x v="495"/>
  </r>
  <r>
    <d v="2023-11-29T00:00:00"/>
    <x v="2"/>
    <x v="1"/>
    <s v="Фрукты"/>
    <s v="Апельсины"/>
    <n v="2540"/>
    <n v="28"/>
    <x v="1715"/>
  </r>
  <r>
    <d v="2023-11-29T00:00:00"/>
    <x v="2"/>
    <x v="5"/>
    <s v="Зелень"/>
    <s v="Петрушка"/>
    <n v="640"/>
    <n v="87"/>
    <x v="1716"/>
  </r>
  <r>
    <d v="2023-11-29T00:00:00"/>
    <x v="2"/>
    <x v="5"/>
    <s v="Зелень"/>
    <s v="Лук зеленый"/>
    <n v="705"/>
    <n v="65"/>
    <x v="1351"/>
  </r>
  <r>
    <d v="2023-11-29T00:00:00"/>
    <x v="2"/>
    <x v="5"/>
    <s v="Ягоды"/>
    <s v="Брусника"/>
    <n v="1670"/>
    <n v="81"/>
    <x v="1717"/>
  </r>
  <r>
    <d v="2023-11-29T00:00:00"/>
    <x v="0"/>
    <x v="5"/>
    <s v="Ягоды"/>
    <s v="Брусника"/>
    <n v="1670"/>
    <n v="60"/>
    <x v="1718"/>
  </r>
  <r>
    <d v="2023-11-29T00:00:00"/>
    <x v="0"/>
    <x v="6"/>
    <s v="Фрукты"/>
    <s v="Сливы"/>
    <n v="930"/>
    <n v="52"/>
    <x v="1182"/>
  </r>
  <r>
    <s v="29.11.2023 Итог"/>
    <x v="3"/>
    <x v="2"/>
    <m/>
    <m/>
    <m/>
    <m/>
    <x v="1719"/>
  </r>
  <r>
    <d v="2023-11-30T00:00:00"/>
    <x v="4"/>
    <x v="3"/>
    <s v="Ягоды"/>
    <s v="Клубника"/>
    <n v="2460"/>
    <n v="96"/>
    <x v="1720"/>
  </r>
  <r>
    <d v="2023-11-30T00:00:00"/>
    <x v="4"/>
    <x v="3"/>
    <s v="Ягоды"/>
    <s v="Черешня"/>
    <n v="1760"/>
    <n v="18"/>
    <x v="1042"/>
  </r>
  <r>
    <d v="2023-11-30T00:00:00"/>
    <x v="0"/>
    <x v="0"/>
    <s v="Ягоды"/>
    <s v="Клубника"/>
    <n v="2460"/>
    <n v="69"/>
    <x v="1589"/>
  </r>
  <r>
    <d v="2023-11-30T00:00:00"/>
    <x v="0"/>
    <x v="4"/>
    <s v="Овощи"/>
    <s v="Картофель"/>
    <n v="690"/>
    <n v="63"/>
    <x v="1721"/>
  </r>
  <r>
    <d v="2023-11-30T00:00:00"/>
    <x v="1"/>
    <x v="4"/>
    <s v="Ягоды"/>
    <s v="Брусника"/>
    <n v="1670"/>
    <n v="72"/>
    <x v="195"/>
  </r>
  <r>
    <d v="2023-11-30T00:00:00"/>
    <x v="2"/>
    <x v="5"/>
    <s v="Фрукты"/>
    <s v="Груши"/>
    <n v="1420"/>
    <n v="36"/>
    <x v="1722"/>
  </r>
  <r>
    <d v="2023-11-30T00:00:00"/>
    <x v="1"/>
    <x v="5"/>
    <s v="Ягоды"/>
    <s v="Смородина черная"/>
    <n v="1505"/>
    <n v="56"/>
    <x v="617"/>
  </r>
  <r>
    <d v="2023-11-30T00:00:00"/>
    <x v="4"/>
    <x v="5"/>
    <s v="Ягоды"/>
    <s v="Малина"/>
    <n v="2970"/>
    <n v="31"/>
    <x v="579"/>
  </r>
  <r>
    <s v="30.11.2023 Итог"/>
    <x v="3"/>
    <x v="2"/>
    <m/>
    <m/>
    <m/>
    <m/>
    <x v="1723"/>
  </r>
  <r>
    <d v="2023-12-01T00:00:00"/>
    <x v="1"/>
    <x v="3"/>
    <s v="Ягоды"/>
    <s v="Голубика"/>
    <n v="3205"/>
    <n v="67"/>
    <x v="1724"/>
  </r>
  <r>
    <d v="2023-12-01T00:00:00"/>
    <x v="2"/>
    <x v="3"/>
    <s v="Ягоды"/>
    <s v="Голубика"/>
    <n v="3205"/>
    <n v="84"/>
    <x v="1439"/>
  </r>
  <r>
    <d v="2023-12-01T00:00:00"/>
    <x v="0"/>
    <x v="4"/>
    <s v="Зелень"/>
    <s v="Укроп"/>
    <n v="650"/>
    <n v="79"/>
    <x v="1233"/>
  </r>
  <r>
    <d v="2023-12-01T00:00:00"/>
    <x v="4"/>
    <x v="4"/>
    <s v="Овощи"/>
    <s v="Баклажаны"/>
    <n v="890"/>
    <n v="67"/>
    <x v="1123"/>
  </r>
  <r>
    <d v="2023-12-01T00:00:00"/>
    <x v="1"/>
    <x v="4"/>
    <s v="Фрукты"/>
    <s v="Груши"/>
    <n v="1420"/>
    <n v="98"/>
    <x v="710"/>
  </r>
  <r>
    <d v="2023-12-01T00:00:00"/>
    <x v="0"/>
    <x v="4"/>
    <s v="Ягоды"/>
    <s v="Смородина черная"/>
    <n v="1505"/>
    <n v="33"/>
    <x v="1100"/>
  </r>
  <r>
    <d v="2023-12-01T00:00:00"/>
    <x v="4"/>
    <x v="1"/>
    <s v="Фрукты"/>
    <s v="Груши"/>
    <n v="1420"/>
    <n v="13"/>
    <x v="1725"/>
  </r>
  <r>
    <d v="2023-12-01T00:00:00"/>
    <x v="4"/>
    <x v="6"/>
    <s v="Зелень"/>
    <s v="Лук зеленый"/>
    <n v="705"/>
    <n v="22"/>
    <x v="671"/>
  </r>
  <r>
    <d v="2023-12-01T00:00:00"/>
    <x v="1"/>
    <x v="6"/>
    <s v="Ягоды"/>
    <s v="Клубника"/>
    <n v="2460"/>
    <n v="11"/>
    <x v="131"/>
  </r>
  <r>
    <s v="01.12.2023 Итог"/>
    <x v="3"/>
    <x v="2"/>
    <m/>
    <m/>
    <m/>
    <m/>
    <x v="1726"/>
  </r>
  <r>
    <d v="2023-12-02T00:00:00"/>
    <x v="2"/>
    <x v="3"/>
    <s v="Овощи"/>
    <s v="Морковь"/>
    <n v="715"/>
    <n v="45"/>
    <x v="807"/>
  </r>
  <r>
    <d v="2023-12-02T00:00:00"/>
    <x v="2"/>
    <x v="3"/>
    <s v="Овощи"/>
    <s v="Картофель"/>
    <n v="690"/>
    <n v="50"/>
    <x v="1057"/>
  </r>
  <r>
    <d v="2023-12-02T00:00:00"/>
    <x v="4"/>
    <x v="0"/>
    <s v="Зелень"/>
    <s v="Лук зеленый"/>
    <n v="705"/>
    <n v="70"/>
    <x v="1045"/>
  </r>
  <r>
    <d v="2023-12-02T00:00:00"/>
    <x v="1"/>
    <x v="0"/>
    <s v="Овощи"/>
    <s v="Свекла"/>
    <n v="450"/>
    <n v="40"/>
    <x v="1245"/>
  </r>
  <r>
    <d v="2023-12-02T00:00:00"/>
    <x v="0"/>
    <x v="0"/>
    <s v="Фрукты"/>
    <s v="Бананы"/>
    <n v="2400"/>
    <n v="57"/>
    <x v="410"/>
  </r>
  <r>
    <d v="2023-12-02T00:00:00"/>
    <x v="1"/>
    <x v="0"/>
    <s v="Ягоды"/>
    <s v="Брусника"/>
    <n v="1670"/>
    <n v="76"/>
    <x v="933"/>
  </r>
  <r>
    <d v="2023-12-02T00:00:00"/>
    <x v="0"/>
    <x v="0"/>
    <s v="Ягоды"/>
    <s v="Малина"/>
    <n v="2970"/>
    <n v="12"/>
    <x v="577"/>
  </r>
  <r>
    <d v="2023-12-02T00:00:00"/>
    <x v="2"/>
    <x v="4"/>
    <s v="Фрукты"/>
    <s v="Бананы"/>
    <n v="2400"/>
    <n v="90"/>
    <x v="435"/>
  </r>
  <r>
    <d v="2023-12-02T00:00:00"/>
    <x v="4"/>
    <x v="1"/>
    <s v="Овощи"/>
    <s v="Кабачки"/>
    <n v="325"/>
    <n v="29"/>
    <x v="753"/>
  </r>
  <r>
    <d v="2023-12-02T00:00:00"/>
    <x v="4"/>
    <x v="1"/>
    <s v="Ягоды"/>
    <s v="Брусника"/>
    <n v="1670"/>
    <n v="72"/>
    <x v="195"/>
  </r>
  <r>
    <d v="2023-12-02T00:00:00"/>
    <x v="2"/>
    <x v="5"/>
    <s v="Овощи"/>
    <s v="Свекла"/>
    <n v="450"/>
    <n v="53"/>
    <x v="1254"/>
  </r>
  <r>
    <d v="2023-12-02T00:00:00"/>
    <x v="1"/>
    <x v="5"/>
    <s v="Фрукты"/>
    <s v="Груши"/>
    <n v="1420"/>
    <n v="27"/>
    <x v="434"/>
  </r>
  <r>
    <d v="2023-12-02T00:00:00"/>
    <x v="0"/>
    <x v="6"/>
    <s v="Овощи"/>
    <s v="Кабачки"/>
    <n v="325"/>
    <n v="86"/>
    <x v="1131"/>
  </r>
  <r>
    <s v="02.12.2023 Итог"/>
    <x v="3"/>
    <x v="2"/>
    <m/>
    <m/>
    <m/>
    <m/>
    <x v="1727"/>
  </r>
  <r>
    <d v="2023-12-03T00:00:00"/>
    <x v="1"/>
    <x v="3"/>
    <s v="Зелень"/>
    <s v="Салат римский"/>
    <n v="540"/>
    <n v="52"/>
    <x v="654"/>
  </r>
  <r>
    <d v="2023-12-03T00:00:00"/>
    <x v="1"/>
    <x v="5"/>
    <s v="Ягоды"/>
    <s v="Голубика"/>
    <n v="3205"/>
    <n v="64"/>
    <x v="1728"/>
  </r>
  <r>
    <s v="03.12.2023 Итог"/>
    <x v="3"/>
    <x v="2"/>
    <m/>
    <m/>
    <m/>
    <m/>
    <x v="1729"/>
  </r>
  <r>
    <d v="2023-12-04T00:00:00"/>
    <x v="4"/>
    <x v="3"/>
    <s v="Зелень"/>
    <s v="Салат айсберг"/>
    <n v="1380"/>
    <n v="22"/>
    <x v="1643"/>
  </r>
  <r>
    <d v="2023-12-04T00:00:00"/>
    <x v="2"/>
    <x v="0"/>
    <s v="Зелень"/>
    <s v="Петрушка"/>
    <n v="640"/>
    <n v="37"/>
    <x v="1730"/>
  </r>
  <r>
    <d v="2023-12-04T00:00:00"/>
    <x v="2"/>
    <x v="4"/>
    <s v="Зелень"/>
    <s v="Кинза"/>
    <n v="650"/>
    <n v="26"/>
    <x v="619"/>
  </r>
  <r>
    <d v="2023-12-04T00:00:00"/>
    <x v="0"/>
    <x v="1"/>
    <s v="Овощи"/>
    <s v="Свекла"/>
    <n v="450"/>
    <n v="47"/>
    <x v="230"/>
  </r>
  <r>
    <d v="2023-12-04T00:00:00"/>
    <x v="0"/>
    <x v="1"/>
    <s v="Ягоды"/>
    <s v="Малина"/>
    <n v="2970"/>
    <n v="46"/>
    <x v="1212"/>
  </r>
  <r>
    <d v="2023-12-04T00:00:00"/>
    <x v="1"/>
    <x v="1"/>
    <s v="Ягоды"/>
    <s v="Малина"/>
    <n v="2970"/>
    <n v="24"/>
    <x v="26"/>
  </r>
  <r>
    <d v="2023-12-04T00:00:00"/>
    <x v="4"/>
    <x v="5"/>
    <s v="Овощи"/>
    <s v="Свекла"/>
    <n v="450"/>
    <n v="95"/>
    <x v="1731"/>
  </r>
  <r>
    <d v="2023-12-04T00:00:00"/>
    <x v="0"/>
    <x v="5"/>
    <s v="Овощи"/>
    <s v="Кабачки"/>
    <n v="325"/>
    <n v="42"/>
    <x v="327"/>
  </r>
  <r>
    <d v="2023-12-04T00:00:00"/>
    <x v="4"/>
    <x v="5"/>
    <s v="Ягоды"/>
    <s v="Голубика"/>
    <n v="3205"/>
    <n v="83"/>
    <x v="1248"/>
  </r>
  <r>
    <d v="2023-12-04T00:00:00"/>
    <x v="1"/>
    <x v="6"/>
    <s v="Зелень"/>
    <s v="Петрушка"/>
    <n v="640"/>
    <n v="68"/>
    <x v="530"/>
  </r>
  <r>
    <d v="2023-12-04T00:00:00"/>
    <x v="1"/>
    <x v="6"/>
    <s v="Зелень"/>
    <s v="Укроп"/>
    <n v="650"/>
    <n v="39"/>
    <x v="830"/>
  </r>
  <r>
    <d v="2023-12-04T00:00:00"/>
    <x v="2"/>
    <x v="6"/>
    <s v="Овощи"/>
    <s v="Баклажаны"/>
    <n v="890"/>
    <n v="20"/>
    <x v="1732"/>
  </r>
  <r>
    <s v="04.12.2023 Итог"/>
    <x v="3"/>
    <x v="2"/>
    <m/>
    <m/>
    <m/>
    <m/>
    <x v="1733"/>
  </r>
  <r>
    <d v="2023-12-05T00:00:00"/>
    <x v="4"/>
    <x v="3"/>
    <s v="Ягоды"/>
    <s v="Черешня"/>
    <n v="1760"/>
    <n v="13"/>
    <x v="350"/>
  </r>
  <r>
    <d v="2023-12-05T00:00:00"/>
    <x v="0"/>
    <x v="3"/>
    <s v="Ягоды"/>
    <s v="Клубника"/>
    <n v="2460"/>
    <n v="16"/>
    <x v="581"/>
  </r>
  <r>
    <d v="2023-12-05T00:00:00"/>
    <x v="0"/>
    <x v="0"/>
    <s v="Зелень"/>
    <s v="Укроп"/>
    <n v="650"/>
    <n v="93"/>
    <x v="875"/>
  </r>
  <r>
    <d v="2023-12-05T00:00:00"/>
    <x v="0"/>
    <x v="0"/>
    <s v="Зелень"/>
    <s v="Кинза"/>
    <n v="650"/>
    <n v="25"/>
    <x v="45"/>
  </r>
  <r>
    <d v="2023-12-05T00:00:00"/>
    <x v="1"/>
    <x v="0"/>
    <s v="Фрукты"/>
    <s v="Абрикосы"/>
    <n v="1320"/>
    <n v="50"/>
    <x v="1609"/>
  </r>
  <r>
    <d v="2023-12-05T00:00:00"/>
    <x v="2"/>
    <x v="4"/>
    <s v="Зелень"/>
    <s v="Укроп"/>
    <n v="650"/>
    <n v="55"/>
    <x v="677"/>
  </r>
  <r>
    <d v="2023-12-05T00:00:00"/>
    <x v="2"/>
    <x v="4"/>
    <s v="Фрукты"/>
    <s v="Бананы"/>
    <n v="2400"/>
    <n v="29"/>
    <x v="748"/>
  </r>
  <r>
    <d v="2023-12-05T00:00:00"/>
    <x v="1"/>
    <x v="4"/>
    <s v="Фрукты"/>
    <s v="Бананы"/>
    <n v="2400"/>
    <n v="99"/>
    <x v="41"/>
  </r>
  <r>
    <d v="2023-12-05T00:00:00"/>
    <x v="2"/>
    <x v="1"/>
    <s v="Зелень"/>
    <s v="Салат римский"/>
    <n v="540"/>
    <n v="39"/>
    <x v="1461"/>
  </r>
  <r>
    <d v="2023-12-05T00:00:00"/>
    <x v="0"/>
    <x v="1"/>
    <s v="Ягоды"/>
    <s v="Голубика"/>
    <n v="3205"/>
    <n v="95"/>
    <x v="1734"/>
  </r>
  <r>
    <d v="2023-12-05T00:00:00"/>
    <x v="0"/>
    <x v="5"/>
    <s v="Овощи"/>
    <s v="Свекла"/>
    <n v="450"/>
    <n v="52"/>
    <x v="756"/>
  </r>
  <r>
    <d v="2023-12-05T00:00:00"/>
    <x v="2"/>
    <x v="6"/>
    <s v="Ягоды"/>
    <s v="Малина"/>
    <n v="2970"/>
    <n v="62"/>
    <x v="436"/>
  </r>
  <r>
    <d v="2023-12-05T00:00:00"/>
    <x v="0"/>
    <x v="6"/>
    <s v="Ягоды"/>
    <s v="Черешня"/>
    <n v="1760"/>
    <n v="66"/>
    <x v="1276"/>
  </r>
  <r>
    <s v="05.12.2023 Итог"/>
    <x v="3"/>
    <x v="2"/>
    <m/>
    <m/>
    <m/>
    <m/>
    <x v="1735"/>
  </r>
  <r>
    <d v="2023-12-06T00:00:00"/>
    <x v="4"/>
    <x v="3"/>
    <s v="Овощи"/>
    <s v="Кабачки"/>
    <n v="325"/>
    <n v="58"/>
    <x v="46"/>
  </r>
  <r>
    <d v="2023-12-06T00:00:00"/>
    <x v="1"/>
    <x v="3"/>
    <s v="Овощи"/>
    <s v="Капуста"/>
    <n v="460"/>
    <n v="33"/>
    <x v="628"/>
  </r>
  <r>
    <d v="2023-12-06T00:00:00"/>
    <x v="0"/>
    <x v="3"/>
    <s v="Ягоды"/>
    <s v="Клубника"/>
    <n v="2460"/>
    <n v="58"/>
    <x v="18"/>
  </r>
  <r>
    <d v="2023-12-06T00:00:00"/>
    <x v="4"/>
    <x v="0"/>
    <s v="Фрукты"/>
    <s v="Груши"/>
    <n v="1420"/>
    <n v="87"/>
    <x v="1122"/>
  </r>
  <r>
    <d v="2023-12-06T00:00:00"/>
    <x v="1"/>
    <x v="1"/>
    <s v="Ягоды"/>
    <s v="Клубника"/>
    <n v="2460"/>
    <n v="77"/>
    <x v="428"/>
  </r>
  <r>
    <d v="2023-12-06T00:00:00"/>
    <x v="2"/>
    <x v="1"/>
    <s v="Ягоды"/>
    <s v="Черешня"/>
    <n v="1760"/>
    <n v="18"/>
    <x v="1042"/>
  </r>
  <r>
    <d v="2023-12-06T00:00:00"/>
    <x v="4"/>
    <x v="1"/>
    <s v="Ягоды"/>
    <s v="Клубника"/>
    <n v="2460"/>
    <n v="19"/>
    <x v="1491"/>
  </r>
  <r>
    <d v="2023-12-06T00:00:00"/>
    <x v="2"/>
    <x v="5"/>
    <s v="Овощи"/>
    <s v="Картофель"/>
    <n v="690"/>
    <n v="11"/>
    <x v="791"/>
  </r>
  <r>
    <d v="2023-12-06T00:00:00"/>
    <x v="2"/>
    <x v="5"/>
    <s v="Овощи"/>
    <s v="Кабачки"/>
    <n v="325"/>
    <n v="26"/>
    <x v="375"/>
  </r>
  <r>
    <d v="2023-12-06T00:00:00"/>
    <x v="4"/>
    <x v="5"/>
    <s v="Овощи"/>
    <s v="Кабачки"/>
    <n v="325"/>
    <n v="12"/>
    <x v="342"/>
  </r>
  <r>
    <d v="2023-12-06T00:00:00"/>
    <x v="0"/>
    <x v="5"/>
    <s v="Фрукты"/>
    <s v="Абрикосы"/>
    <n v="1320"/>
    <n v="83"/>
    <x v="463"/>
  </r>
  <r>
    <d v="2023-12-06T00:00:00"/>
    <x v="2"/>
    <x v="5"/>
    <s v="Ягоды"/>
    <s v="Брусника"/>
    <n v="1670"/>
    <n v="85"/>
    <x v="1027"/>
  </r>
  <r>
    <s v="06.12.2023 Итог"/>
    <x v="3"/>
    <x v="2"/>
    <m/>
    <m/>
    <m/>
    <m/>
    <x v="1736"/>
  </r>
  <r>
    <d v="2023-12-07T00:00:00"/>
    <x v="0"/>
    <x v="3"/>
    <s v="Овощи"/>
    <s v="Свекла"/>
    <n v="450"/>
    <n v="8"/>
    <x v="1219"/>
  </r>
  <r>
    <d v="2023-12-07T00:00:00"/>
    <x v="2"/>
    <x v="0"/>
    <s v="Овощи"/>
    <s v="Свекла"/>
    <n v="450"/>
    <n v="97"/>
    <x v="321"/>
  </r>
  <r>
    <d v="2023-12-07T00:00:00"/>
    <x v="1"/>
    <x v="0"/>
    <s v="Овощи"/>
    <s v="Баклажаны"/>
    <n v="890"/>
    <n v="5"/>
    <x v="407"/>
  </r>
  <r>
    <d v="2023-12-07T00:00:00"/>
    <x v="2"/>
    <x v="0"/>
    <s v="Овощи"/>
    <s v="Свекла"/>
    <n v="450"/>
    <n v="60"/>
    <x v="1737"/>
  </r>
  <r>
    <d v="2023-12-07T00:00:00"/>
    <x v="0"/>
    <x v="4"/>
    <s v="Ягоды"/>
    <s v="Малина"/>
    <n v="2970"/>
    <n v="15"/>
    <x v="414"/>
  </r>
  <r>
    <d v="2023-12-07T00:00:00"/>
    <x v="2"/>
    <x v="1"/>
    <s v="Овощи"/>
    <s v="Картофель"/>
    <n v="690"/>
    <n v="47"/>
    <x v="816"/>
  </r>
  <r>
    <d v="2023-12-07T00:00:00"/>
    <x v="1"/>
    <x v="5"/>
    <s v="Фрукты"/>
    <s v="Груши"/>
    <n v="1420"/>
    <n v="6"/>
    <x v="1738"/>
  </r>
  <r>
    <d v="2023-12-07T00:00:00"/>
    <x v="2"/>
    <x v="6"/>
    <s v="Зелень"/>
    <s v="Петрушка"/>
    <n v="640"/>
    <n v="40"/>
    <x v="676"/>
  </r>
  <r>
    <d v="2023-12-07T00:00:00"/>
    <x v="0"/>
    <x v="6"/>
    <s v="Фрукты"/>
    <s v="Бананы"/>
    <n v="2400"/>
    <n v="70"/>
    <x v="330"/>
  </r>
  <r>
    <d v="2023-12-07T00:00:00"/>
    <x v="0"/>
    <x v="6"/>
    <s v="Фрукты"/>
    <s v="Апельсины"/>
    <n v="2540"/>
    <n v="62"/>
    <x v="1739"/>
  </r>
  <r>
    <s v="07.12.2023 Итог"/>
    <x v="3"/>
    <x v="2"/>
    <m/>
    <m/>
    <m/>
    <m/>
    <x v="1740"/>
  </r>
  <r>
    <d v="2023-12-08T00:00:00"/>
    <x v="2"/>
    <x v="3"/>
    <s v="Овощи"/>
    <s v="Баклажаны"/>
    <n v="890"/>
    <n v="87"/>
    <x v="527"/>
  </r>
  <r>
    <d v="2023-12-08T00:00:00"/>
    <x v="2"/>
    <x v="3"/>
    <s v="Фрукты"/>
    <s v="Бананы"/>
    <n v="2400"/>
    <n v="22"/>
    <x v="94"/>
  </r>
  <r>
    <d v="2023-12-08T00:00:00"/>
    <x v="4"/>
    <x v="3"/>
    <s v="Фрукты"/>
    <s v="Апельсины"/>
    <n v="2540"/>
    <n v="52"/>
    <x v="894"/>
  </r>
  <r>
    <d v="2023-12-08T00:00:00"/>
    <x v="4"/>
    <x v="0"/>
    <s v="Фрукты"/>
    <s v="Сливы"/>
    <n v="930"/>
    <n v="19"/>
    <x v="1621"/>
  </r>
  <r>
    <d v="2023-12-08T00:00:00"/>
    <x v="0"/>
    <x v="0"/>
    <s v="Ягоды"/>
    <s v="Малина"/>
    <n v="2970"/>
    <n v="34"/>
    <x v="1097"/>
  </r>
  <r>
    <d v="2023-12-08T00:00:00"/>
    <x v="1"/>
    <x v="4"/>
    <s v="Зелень"/>
    <s v="Укроп"/>
    <n v="650"/>
    <n v="91"/>
    <x v="1096"/>
  </r>
  <r>
    <d v="2023-12-08T00:00:00"/>
    <x v="0"/>
    <x v="4"/>
    <s v="Зелень"/>
    <s v="Укроп"/>
    <n v="650"/>
    <n v="30"/>
    <x v="469"/>
  </r>
  <r>
    <d v="2023-12-08T00:00:00"/>
    <x v="4"/>
    <x v="4"/>
    <s v="Овощи"/>
    <s v="Кабачки"/>
    <n v="325"/>
    <n v="78"/>
    <x v="830"/>
  </r>
  <r>
    <d v="2023-12-08T00:00:00"/>
    <x v="1"/>
    <x v="4"/>
    <s v="Овощи"/>
    <s v="Картофель"/>
    <n v="690"/>
    <n v="72"/>
    <x v="1629"/>
  </r>
  <r>
    <d v="2023-12-08T00:00:00"/>
    <x v="2"/>
    <x v="4"/>
    <s v="Ягоды"/>
    <s v="Смородина черная"/>
    <n v="1505"/>
    <n v="77"/>
    <x v="1083"/>
  </r>
  <r>
    <d v="2023-12-08T00:00:00"/>
    <x v="1"/>
    <x v="1"/>
    <s v="Зелень"/>
    <s v="Укроп"/>
    <n v="650"/>
    <n v="36"/>
    <x v="756"/>
  </r>
  <r>
    <d v="2023-12-08T00:00:00"/>
    <x v="0"/>
    <x v="1"/>
    <s v="Зелень"/>
    <s v="Салат римский"/>
    <n v="540"/>
    <n v="40"/>
    <x v="387"/>
  </r>
  <r>
    <d v="2023-12-08T00:00:00"/>
    <x v="0"/>
    <x v="1"/>
    <s v="Фрукты"/>
    <s v="Яблоки"/>
    <n v="1230"/>
    <n v="14"/>
    <x v="1076"/>
  </r>
  <r>
    <d v="2023-12-08T00:00:00"/>
    <x v="4"/>
    <x v="5"/>
    <s v="Овощи"/>
    <s v="Морковь"/>
    <n v="715"/>
    <n v="33"/>
    <x v="548"/>
  </r>
  <r>
    <d v="2023-12-08T00:00:00"/>
    <x v="1"/>
    <x v="5"/>
    <s v="Ягоды"/>
    <s v="Брусника"/>
    <n v="1670"/>
    <n v="14"/>
    <x v="1025"/>
  </r>
  <r>
    <d v="2023-12-08T00:00:00"/>
    <x v="1"/>
    <x v="6"/>
    <s v="Фрукты"/>
    <s v="Абрикосы"/>
    <n v="1320"/>
    <n v="9"/>
    <x v="1146"/>
  </r>
  <r>
    <d v="2023-12-08T00:00:00"/>
    <x v="1"/>
    <x v="6"/>
    <s v="Ягоды"/>
    <s v="Черешня"/>
    <n v="1760"/>
    <n v="24"/>
    <x v="11"/>
  </r>
  <r>
    <s v="08.12.2023 Итог"/>
    <x v="3"/>
    <x v="2"/>
    <m/>
    <m/>
    <m/>
    <m/>
    <x v="1741"/>
  </r>
  <r>
    <d v="2023-12-09T00:00:00"/>
    <x v="4"/>
    <x v="3"/>
    <s v="Ягоды"/>
    <s v="Брусника"/>
    <n v="1670"/>
    <n v="6"/>
    <x v="1033"/>
  </r>
  <r>
    <d v="2023-12-09T00:00:00"/>
    <x v="1"/>
    <x v="4"/>
    <s v="Зелень"/>
    <s v="Кинза"/>
    <n v="650"/>
    <n v="46"/>
    <x v="667"/>
  </r>
  <r>
    <d v="2023-12-09T00:00:00"/>
    <x v="0"/>
    <x v="4"/>
    <s v="Фрукты"/>
    <s v="Абрикосы"/>
    <n v="1320"/>
    <n v="17"/>
    <x v="659"/>
  </r>
  <r>
    <d v="2023-12-09T00:00:00"/>
    <x v="4"/>
    <x v="4"/>
    <s v="Ягоды"/>
    <s v="Клубника"/>
    <n v="2460"/>
    <n v="5"/>
    <x v="481"/>
  </r>
  <r>
    <d v="2023-12-09T00:00:00"/>
    <x v="2"/>
    <x v="1"/>
    <s v="Фрукты"/>
    <s v="Яблоки"/>
    <n v="1230"/>
    <n v="90"/>
    <x v="415"/>
  </r>
  <r>
    <d v="2023-12-09T00:00:00"/>
    <x v="2"/>
    <x v="6"/>
    <s v="Овощи"/>
    <s v="Морковь"/>
    <n v="715"/>
    <n v="28"/>
    <x v="1742"/>
  </r>
  <r>
    <s v="09.12.2023 Итог"/>
    <x v="3"/>
    <x v="2"/>
    <m/>
    <m/>
    <m/>
    <m/>
    <x v="1743"/>
  </r>
  <r>
    <d v="2023-12-10T00:00:00"/>
    <x v="1"/>
    <x v="3"/>
    <s v="Овощи"/>
    <s v="Баклажаны"/>
    <n v="890"/>
    <n v="29"/>
    <x v="1744"/>
  </r>
  <r>
    <d v="2023-12-10T00:00:00"/>
    <x v="1"/>
    <x v="3"/>
    <s v="Овощи"/>
    <s v="Морковь"/>
    <n v="715"/>
    <n v="51"/>
    <x v="395"/>
  </r>
  <r>
    <d v="2023-12-10T00:00:00"/>
    <x v="1"/>
    <x v="3"/>
    <s v="Ягоды"/>
    <s v="Черешня"/>
    <n v="1760"/>
    <n v="86"/>
    <x v="1471"/>
  </r>
  <r>
    <d v="2023-12-10T00:00:00"/>
    <x v="4"/>
    <x v="0"/>
    <s v="Овощи"/>
    <s v="Картофель"/>
    <n v="690"/>
    <n v="97"/>
    <x v="538"/>
  </r>
  <r>
    <d v="2023-12-10T00:00:00"/>
    <x v="4"/>
    <x v="4"/>
    <s v="Овощи"/>
    <s v="Картофель"/>
    <n v="690"/>
    <n v="27"/>
    <x v="383"/>
  </r>
  <r>
    <d v="2023-12-10T00:00:00"/>
    <x v="2"/>
    <x v="4"/>
    <s v="Овощи"/>
    <s v="Баклажаны"/>
    <n v="890"/>
    <n v="68"/>
    <x v="866"/>
  </r>
  <r>
    <d v="2023-12-10T00:00:00"/>
    <x v="1"/>
    <x v="1"/>
    <s v="Зелень"/>
    <s v="Кинза"/>
    <n v="650"/>
    <n v="34"/>
    <x v="199"/>
  </r>
  <r>
    <d v="2023-12-10T00:00:00"/>
    <x v="1"/>
    <x v="1"/>
    <s v="Фрукты"/>
    <s v="Сливы"/>
    <n v="930"/>
    <n v="33"/>
    <x v="1667"/>
  </r>
  <r>
    <d v="2023-12-10T00:00:00"/>
    <x v="2"/>
    <x v="1"/>
    <s v="Ягоды"/>
    <s v="Черешня"/>
    <n v="1760"/>
    <n v="9"/>
    <x v="1408"/>
  </r>
  <r>
    <d v="2023-12-10T00:00:00"/>
    <x v="1"/>
    <x v="5"/>
    <s v="Ягоды"/>
    <s v="Смородина черная"/>
    <n v="1505"/>
    <n v="15"/>
    <x v="1745"/>
  </r>
  <r>
    <d v="2023-12-10T00:00:00"/>
    <x v="4"/>
    <x v="6"/>
    <s v="Зелень"/>
    <s v="Салат айсберг"/>
    <n v="1380"/>
    <n v="65"/>
    <x v="1705"/>
  </r>
  <r>
    <d v="2023-12-10T00:00:00"/>
    <x v="1"/>
    <x v="6"/>
    <s v="Овощи"/>
    <s v="Морковь"/>
    <n v="715"/>
    <n v="35"/>
    <x v="768"/>
  </r>
  <r>
    <d v="2023-12-10T00:00:00"/>
    <x v="0"/>
    <x v="6"/>
    <s v="Фрукты"/>
    <s v="Груши"/>
    <n v="1420"/>
    <n v="69"/>
    <x v="92"/>
  </r>
  <r>
    <s v="10.12.2023 Итог"/>
    <x v="3"/>
    <x v="2"/>
    <m/>
    <m/>
    <m/>
    <m/>
    <x v="1746"/>
  </r>
  <r>
    <d v="2023-12-11T00:00:00"/>
    <x v="2"/>
    <x v="3"/>
    <s v="Овощи"/>
    <s v="Кабачки"/>
    <n v="325"/>
    <n v="75"/>
    <x v="1699"/>
  </r>
  <r>
    <d v="2023-12-11T00:00:00"/>
    <x v="0"/>
    <x v="3"/>
    <s v="Овощи"/>
    <s v="Кабачки"/>
    <n v="325"/>
    <n v="87"/>
    <x v="1340"/>
  </r>
  <r>
    <d v="2023-12-11T00:00:00"/>
    <x v="1"/>
    <x v="6"/>
    <s v="Зелень"/>
    <s v="Петрушка"/>
    <n v="640"/>
    <n v="80"/>
    <x v="805"/>
  </r>
  <r>
    <d v="2023-12-11T00:00:00"/>
    <x v="4"/>
    <x v="6"/>
    <s v="Зелень"/>
    <s v="Петрушка"/>
    <n v="640"/>
    <n v="78"/>
    <x v="652"/>
  </r>
  <r>
    <d v="2023-12-11T00:00:00"/>
    <x v="4"/>
    <x v="6"/>
    <s v="Фрукты"/>
    <s v="Апельсины"/>
    <n v="2540"/>
    <n v="24"/>
    <x v="829"/>
  </r>
  <r>
    <s v="11.12.2023 Итог"/>
    <x v="3"/>
    <x v="2"/>
    <m/>
    <m/>
    <m/>
    <m/>
    <x v="1747"/>
  </r>
  <r>
    <d v="2023-12-12T00:00:00"/>
    <x v="4"/>
    <x v="3"/>
    <s v="Ягоды"/>
    <s v="Голубика"/>
    <n v="3205"/>
    <n v="10"/>
    <x v="1411"/>
  </r>
  <r>
    <d v="2023-12-12T00:00:00"/>
    <x v="4"/>
    <x v="0"/>
    <s v="Зелень"/>
    <s v="Лук зеленый"/>
    <n v="705"/>
    <n v="78"/>
    <x v="717"/>
  </r>
  <r>
    <d v="2023-12-12T00:00:00"/>
    <x v="1"/>
    <x v="4"/>
    <s v="Зелень"/>
    <s v="Укроп"/>
    <n v="650"/>
    <n v="69"/>
    <x v="317"/>
  </r>
  <r>
    <d v="2023-12-12T00:00:00"/>
    <x v="1"/>
    <x v="1"/>
    <s v="Фрукты"/>
    <s v="Бананы"/>
    <n v="2400"/>
    <n v="28"/>
    <x v="1748"/>
  </r>
  <r>
    <d v="2023-12-12T00:00:00"/>
    <x v="1"/>
    <x v="1"/>
    <s v="Ягоды"/>
    <s v="Черешня"/>
    <n v="1760"/>
    <n v="82"/>
    <x v="852"/>
  </r>
  <r>
    <d v="2023-12-12T00:00:00"/>
    <x v="0"/>
    <x v="1"/>
    <s v="Ягоды"/>
    <s v="Малина"/>
    <n v="2970"/>
    <n v="5"/>
    <x v="612"/>
  </r>
  <r>
    <d v="2023-12-12T00:00:00"/>
    <x v="0"/>
    <x v="5"/>
    <s v="Фрукты"/>
    <s v="Груши"/>
    <n v="1420"/>
    <n v="34"/>
    <x v="1262"/>
  </r>
  <r>
    <d v="2023-12-12T00:00:00"/>
    <x v="4"/>
    <x v="5"/>
    <s v="Ягоды"/>
    <s v="Голубика"/>
    <n v="3205"/>
    <n v="34"/>
    <x v="1749"/>
  </r>
  <r>
    <s v="12.12.2023 Итог"/>
    <x v="3"/>
    <x v="2"/>
    <m/>
    <m/>
    <m/>
    <m/>
    <x v="1750"/>
  </r>
  <r>
    <d v="2023-12-13T00:00:00"/>
    <x v="0"/>
    <x v="3"/>
    <s v="Овощи"/>
    <s v="Картофель"/>
    <n v="690"/>
    <n v="24"/>
    <x v="160"/>
  </r>
  <r>
    <d v="2023-12-13T00:00:00"/>
    <x v="1"/>
    <x v="3"/>
    <s v="Ягоды"/>
    <s v="Смородина черная"/>
    <n v="1505"/>
    <n v="9"/>
    <x v="856"/>
  </r>
  <r>
    <d v="2023-12-13T00:00:00"/>
    <x v="4"/>
    <x v="0"/>
    <s v="Фрукты"/>
    <s v="Груши"/>
    <n v="1420"/>
    <n v="29"/>
    <x v="849"/>
  </r>
  <r>
    <d v="2023-12-13T00:00:00"/>
    <x v="1"/>
    <x v="4"/>
    <s v="Зелень"/>
    <s v="Салат айсберг"/>
    <n v="1380"/>
    <n v="45"/>
    <x v="1193"/>
  </r>
  <r>
    <d v="2023-12-13T00:00:00"/>
    <x v="2"/>
    <x v="5"/>
    <s v="Ягоды"/>
    <s v="Брусника"/>
    <n v="1670"/>
    <n v="84"/>
    <x v="71"/>
  </r>
  <r>
    <s v="13.12.2023 Итог"/>
    <x v="3"/>
    <x v="2"/>
    <m/>
    <m/>
    <m/>
    <m/>
    <x v="1751"/>
  </r>
  <r>
    <d v="2023-12-14T00:00:00"/>
    <x v="2"/>
    <x v="3"/>
    <s v="Зелень"/>
    <s v="Кинза"/>
    <n v="650"/>
    <n v="33"/>
    <x v="360"/>
  </r>
  <r>
    <d v="2023-12-14T00:00:00"/>
    <x v="2"/>
    <x v="3"/>
    <s v="Овощи"/>
    <s v="Капуста"/>
    <n v="460"/>
    <n v="32"/>
    <x v="172"/>
  </r>
  <r>
    <d v="2023-12-14T00:00:00"/>
    <x v="1"/>
    <x v="3"/>
    <s v="Овощи"/>
    <s v="Морковь"/>
    <n v="715"/>
    <n v="22"/>
    <x v="141"/>
  </r>
  <r>
    <d v="2023-12-14T00:00:00"/>
    <x v="4"/>
    <x v="3"/>
    <s v="Фрукты"/>
    <s v="Яблоки"/>
    <n v="1230"/>
    <n v="17"/>
    <x v="1329"/>
  </r>
  <r>
    <d v="2023-12-14T00:00:00"/>
    <x v="1"/>
    <x v="3"/>
    <s v="Фрукты"/>
    <s v="Яблоки"/>
    <n v="1230"/>
    <n v="36"/>
    <x v="1044"/>
  </r>
  <r>
    <d v="2023-12-14T00:00:00"/>
    <x v="1"/>
    <x v="3"/>
    <s v="Фрукты"/>
    <s v="Апельсины"/>
    <n v="2540"/>
    <n v="7"/>
    <x v="208"/>
  </r>
  <r>
    <d v="2023-12-14T00:00:00"/>
    <x v="4"/>
    <x v="0"/>
    <s v="Зелень"/>
    <s v="Лук зеленый"/>
    <n v="705"/>
    <n v="76"/>
    <x v="760"/>
  </r>
  <r>
    <d v="2023-12-14T00:00:00"/>
    <x v="2"/>
    <x v="0"/>
    <s v="Ягоды"/>
    <s v="Голубика"/>
    <n v="3205"/>
    <n v="89"/>
    <x v="751"/>
  </r>
  <r>
    <d v="2023-12-14T00:00:00"/>
    <x v="2"/>
    <x v="4"/>
    <s v="Ягоды"/>
    <s v="Смородина черная"/>
    <n v="1505"/>
    <n v="97"/>
    <x v="896"/>
  </r>
  <r>
    <d v="2023-12-14T00:00:00"/>
    <x v="0"/>
    <x v="6"/>
    <s v="Фрукты"/>
    <s v="Яблоки"/>
    <n v="1230"/>
    <n v="64"/>
    <x v="424"/>
  </r>
  <r>
    <s v="14.12.2023 Итог"/>
    <x v="3"/>
    <x v="2"/>
    <m/>
    <m/>
    <m/>
    <m/>
    <x v="1752"/>
  </r>
  <r>
    <d v="2023-12-15T00:00:00"/>
    <x v="4"/>
    <x v="3"/>
    <s v="Ягоды"/>
    <s v="Смородина черная"/>
    <n v="1505"/>
    <n v="69"/>
    <x v="1183"/>
  </r>
  <r>
    <d v="2023-12-15T00:00:00"/>
    <x v="1"/>
    <x v="0"/>
    <s v="Зелень"/>
    <s v="Укроп"/>
    <n v="650"/>
    <n v="48"/>
    <x v="447"/>
  </r>
  <r>
    <d v="2023-12-15T00:00:00"/>
    <x v="4"/>
    <x v="0"/>
    <s v="Овощи"/>
    <s v="Свекла"/>
    <n v="450"/>
    <n v="98"/>
    <x v="929"/>
  </r>
  <r>
    <d v="2023-12-15T00:00:00"/>
    <x v="1"/>
    <x v="0"/>
    <s v="Фрукты"/>
    <s v="Абрикосы"/>
    <n v="1320"/>
    <n v="49"/>
    <x v="825"/>
  </r>
  <r>
    <d v="2023-12-15T00:00:00"/>
    <x v="0"/>
    <x v="0"/>
    <s v="Ягоды"/>
    <s v="Клубника"/>
    <n v="2460"/>
    <n v="85"/>
    <x v="1753"/>
  </r>
  <r>
    <d v="2023-12-15T00:00:00"/>
    <x v="1"/>
    <x v="4"/>
    <s v="Ягоды"/>
    <s v="Клубника"/>
    <n v="2460"/>
    <n v="74"/>
    <x v="1292"/>
  </r>
  <r>
    <d v="2023-12-15T00:00:00"/>
    <x v="1"/>
    <x v="4"/>
    <s v="Ягоды"/>
    <s v="Смородина черная"/>
    <n v="1505"/>
    <n v="82"/>
    <x v="1754"/>
  </r>
  <r>
    <d v="2023-12-15T00:00:00"/>
    <x v="1"/>
    <x v="1"/>
    <s v="Фрукты"/>
    <s v="Яблоки"/>
    <n v="1230"/>
    <n v="49"/>
    <x v="1755"/>
  </r>
  <r>
    <d v="2023-12-15T00:00:00"/>
    <x v="2"/>
    <x v="5"/>
    <s v="Овощи"/>
    <s v="Капуста"/>
    <n v="460"/>
    <n v="23"/>
    <x v="986"/>
  </r>
  <r>
    <d v="2023-12-15T00:00:00"/>
    <x v="4"/>
    <x v="6"/>
    <s v="Овощи"/>
    <s v="Кабачки"/>
    <n v="325"/>
    <n v="68"/>
    <x v="199"/>
  </r>
  <r>
    <d v="2023-12-15T00:00:00"/>
    <x v="0"/>
    <x v="6"/>
    <s v="Фрукты"/>
    <s v="Бананы"/>
    <n v="2400"/>
    <n v="24"/>
    <x v="605"/>
  </r>
  <r>
    <s v="15.12.2023 Итог"/>
    <x v="3"/>
    <x v="2"/>
    <m/>
    <m/>
    <m/>
    <m/>
    <x v="1756"/>
  </r>
  <r>
    <d v="2023-12-16T00:00:00"/>
    <x v="0"/>
    <x v="3"/>
    <s v="Овощи"/>
    <s v="Капуста"/>
    <n v="460"/>
    <n v="12"/>
    <x v="241"/>
  </r>
  <r>
    <d v="2023-12-16T00:00:00"/>
    <x v="2"/>
    <x v="3"/>
    <s v="Ягоды"/>
    <s v="Черешня"/>
    <n v="1760"/>
    <n v="58"/>
    <x v="1079"/>
  </r>
  <r>
    <d v="2023-12-16T00:00:00"/>
    <x v="2"/>
    <x v="0"/>
    <s v="Зелень"/>
    <s v="Петрушка"/>
    <n v="640"/>
    <n v="40"/>
    <x v="676"/>
  </r>
  <r>
    <d v="2023-12-16T00:00:00"/>
    <x v="4"/>
    <x v="1"/>
    <s v="Зелень"/>
    <s v="Салат римский"/>
    <n v="540"/>
    <n v="65"/>
    <x v="158"/>
  </r>
  <r>
    <d v="2023-12-16T00:00:00"/>
    <x v="4"/>
    <x v="6"/>
    <s v="Зелень"/>
    <s v="Салат айсберг"/>
    <n v="1380"/>
    <n v="44"/>
    <x v="1103"/>
  </r>
  <r>
    <d v="2023-12-16T00:00:00"/>
    <x v="2"/>
    <x v="6"/>
    <s v="Овощи"/>
    <s v="Баклажаны"/>
    <n v="890"/>
    <n v="63"/>
    <x v="1322"/>
  </r>
  <r>
    <d v="2023-12-16T00:00:00"/>
    <x v="0"/>
    <x v="6"/>
    <s v="Фрукты"/>
    <s v="Абрикосы"/>
    <n v="1320"/>
    <n v="54"/>
    <x v="26"/>
  </r>
  <r>
    <s v="16.12.2023 Итог"/>
    <x v="3"/>
    <x v="2"/>
    <m/>
    <m/>
    <m/>
    <m/>
    <x v="1757"/>
  </r>
  <r>
    <d v="2023-12-17T00:00:00"/>
    <x v="0"/>
    <x v="3"/>
    <s v="Зелень"/>
    <s v="Укроп"/>
    <n v="650"/>
    <n v="44"/>
    <x v="853"/>
  </r>
  <r>
    <d v="2023-12-17T00:00:00"/>
    <x v="0"/>
    <x v="3"/>
    <s v="Зелень"/>
    <s v="Кинза"/>
    <n v="650"/>
    <n v="26"/>
    <x v="619"/>
  </r>
  <r>
    <d v="2023-12-17T00:00:00"/>
    <x v="2"/>
    <x v="0"/>
    <s v="Фрукты"/>
    <s v="Сливы"/>
    <n v="930"/>
    <n v="87"/>
    <x v="1267"/>
  </r>
  <r>
    <d v="2023-12-17T00:00:00"/>
    <x v="0"/>
    <x v="0"/>
    <s v="Фрукты"/>
    <s v="Яблоки"/>
    <n v="1230"/>
    <n v="61"/>
    <x v="1758"/>
  </r>
  <r>
    <d v="2023-12-17T00:00:00"/>
    <x v="0"/>
    <x v="0"/>
    <s v="Фрукты"/>
    <s v="Яблоки"/>
    <n v="1230"/>
    <n v="17"/>
    <x v="1329"/>
  </r>
  <r>
    <d v="2023-12-17T00:00:00"/>
    <x v="4"/>
    <x v="4"/>
    <s v="Фрукты"/>
    <s v="Апельсины"/>
    <n v="2540"/>
    <n v="88"/>
    <x v="314"/>
  </r>
  <r>
    <d v="2023-12-17T00:00:00"/>
    <x v="0"/>
    <x v="4"/>
    <s v="Фрукты"/>
    <s v="Сливы"/>
    <n v="930"/>
    <n v="66"/>
    <x v="1759"/>
  </r>
  <r>
    <d v="2023-12-17T00:00:00"/>
    <x v="0"/>
    <x v="4"/>
    <s v="Фрукты"/>
    <s v="Абрикосы"/>
    <n v="1320"/>
    <n v="94"/>
    <x v="739"/>
  </r>
  <r>
    <d v="2023-12-17T00:00:00"/>
    <x v="4"/>
    <x v="1"/>
    <s v="Ягоды"/>
    <s v="Черешня"/>
    <n v="1760"/>
    <n v="20"/>
    <x v="1760"/>
  </r>
  <r>
    <d v="2023-12-17T00:00:00"/>
    <x v="4"/>
    <x v="6"/>
    <s v="Зелень"/>
    <s v="Салат айсберг"/>
    <n v="1380"/>
    <n v="22"/>
    <x v="1643"/>
  </r>
  <r>
    <d v="2023-12-17T00:00:00"/>
    <x v="1"/>
    <x v="6"/>
    <s v="Овощи"/>
    <s v="Баклажаны"/>
    <n v="890"/>
    <n v="95"/>
    <x v="1037"/>
  </r>
  <r>
    <s v="17.12.2023 Итог"/>
    <x v="3"/>
    <x v="2"/>
    <m/>
    <m/>
    <m/>
    <m/>
    <x v="1761"/>
  </r>
  <r>
    <d v="2023-12-18T00:00:00"/>
    <x v="0"/>
    <x v="3"/>
    <s v="Зелень"/>
    <s v="Петрушка"/>
    <n v="640"/>
    <n v="62"/>
    <x v="1415"/>
  </r>
  <r>
    <d v="2023-12-18T00:00:00"/>
    <x v="2"/>
    <x v="3"/>
    <s v="Фрукты"/>
    <s v="Сливы"/>
    <n v="930"/>
    <n v="35"/>
    <x v="993"/>
  </r>
  <r>
    <d v="2023-12-18T00:00:00"/>
    <x v="0"/>
    <x v="0"/>
    <s v="Овощи"/>
    <s v="Морковь"/>
    <n v="715"/>
    <n v="46"/>
    <x v="1529"/>
  </r>
  <r>
    <d v="2023-12-18T00:00:00"/>
    <x v="4"/>
    <x v="4"/>
    <s v="Овощи"/>
    <s v="Морковь"/>
    <n v="715"/>
    <n v="60"/>
    <x v="353"/>
  </r>
  <r>
    <d v="2023-12-18T00:00:00"/>
    <x v="0"/>
    <x v="4"/>
    <s v="Ягоды"/>
    <s v="Малина"/>
    <n v="2970"/>
    <n v="76"/>
    <x v="344"/>
  </r>
  <r>
    <d v="2023-12-18T00:00:00"/>
    <x v="1"/>
    <x v="1"/>
    <s v="Зелень"/>
    <s v="Салат римский"/>
    <n v="540"/>
    <n v="19"/>
    <x v="1009"/>
  </r>
  <r>
    <d v="2023-12-18T00:00:00"/>
    <x v="0"/>
    <x v="5"/>
    <s v="Овощи"/>
    <s v="Капуста"/>
    <n v="460"/>
    <n v="26"/>
    <x v="114"/>
  </r>
  <r>
    <d v="2023-12-18T00:00:00"/>
    <x v="2"/>
    <x v="5"/>
    <s v="Фрукты"/>
    <s v="Сливы"/>
    <n v="930"/>
    <n v="66"/>
    <x v="1759"/>
  </r>
  <r>
    <d v="2023-12-18T00:00:00"/>
    <x v="2"/>
    <x v="5"/>
    <s v="Ягоды"/>
    <s v="Смородина черная"/>
    <n v="1505"/>
    <n v="36"/>
    <x v="483"/>
  </r>
  <r>
    <s v="18.12.2023 Итог"/>
    <x v="3"/>
    <x v="2"/>
    <m/>
    <m/>
    <m/>
    <m/>
    <x v="1762"/>
  </r>
  <r>
    <d v="2023-12-19T00:00:00"/>
    <x v="0"/>
    <x v="3"/>
    <s v="Зелень"/>
    <s v="Салат римский"/>
    <n v="540"/>
    <n v="65"/>
    <x v="158"/>
  </r>
  <r>
    <d v="2023-12-19T00:00:00"/>
    <x v="0"/>
    <x v="3"/>
    <s v="Фрукты"/>
    <s v="Яблоки"/>
    <n v="1230"/>
    <n v="16"/>
    <x v="254"/>
  </r>
  <r>
    <d v="2023-12-19T00:00:00"/>
    <x v="2"/>
    <x v="3"/>
    <s v="Ягоды"/>
    <s v="Малина"/>
    <n v="2970"/>
    <n v="52"/>
    <x v="1545"/>
  </r>
  <r>
    <d v="2023-12-19T00:00:00"/>
    <x v="1"/>
    <x v="3"/>
    <s v="Ягоды"/>
    <s v="Клубника"/>
    <n v="2460"/>
    <n v="79"/>
    <x v="1688"/>
  </r>
  <r>
    <d v="2023-12-19T00:00:00"/>
    <x v="1"/>
    <x v="0"/>
    <s v="Ягоды"/>
    <s v="Черешня"/>
    <n v="1760"/>
    <n v="68"/>
    <x v="1763"/>
  </r>
  <r>
    <d v="2023-12-19T00:00:00"/>
    <x v="1"/>
    <x v="1"/>
    <s v="Овощи"/>
    <s v="Капуста"/>
    <n v="460"/>
    <n v="57"/>
    <x v="217"/>
  </r>
  <r>
    <d v="2023-12-19T00:00:00"/>
    <x v="4"/>
    <x v="1"/>
    <s v="Овощи"/>
    <s v="Кабачки"/>
    <n v="325"/>
    <n v="5"/>
    <x v="611"/>
  </r>
  <r>
    <d v="2023-12-19T00:00:00"/>
    <x v="0"/>
    <x v="1"/>
    <s v="Фрукты"/>
    <s v="Абрикосы"/>
    <n v="1320"/>
    <n v="82"/>
    <x v="456"/>
  </r>
  <r>
    <d v="2023-12-19T00:00:00"/>
    <x v="4"/>
    <x v="5"/>
    <s v="Зелень"/>
    <s v="Петрушка"/>
    <n v="640"/>
    <n v="45"/>
    <x v="242"/>
  </r>
  <r>
    <d v="2023-12-19T00:00:00"/>
    <x v="2"/>
    <x v="6"/>
    <s v="Зелень"/>
    <s v="Салат айсберг"/>
    <n v="1380"/>
    <n v="82"/>
    <x v="1094"/>
  </r>
  <r>
    <d v="2023-12-19T00:00:00"/>
    <x v="0"/>
    <x v="6"/>
    <s v="Зелень"/>
    <s v="Салат римский"/>
    <n v="540"/>
    <n v="70"/>
    <x v="1764"/>
  </r>
  <r>
    <d v="2023-12-19T00:00:00"/>
    <x v="0"/>
    <x v="6"/>
    <s v="Фрукты"/>
    <s v="Апельсины"/>
    <n v="2540"/>
    <n v="54"/>
    <x v="1765"/>
  </r>
  <r>
    <s v="19.12.2023 Итог"/>
    <x v="3"/>
    <x v="2"/>
    <m/>
    <m/>
    <m/>
    <m/>
    <x v="1766"/>
  </r>
  <r>
    <d v="2023-12-20T00:00:00"/>
    <x v="2"/>
    <x v="0"/>
    <s v="Овощи"/>
    <s v="Картофель"/>
    <n v="690"/>
    <n v="51"/>
    <x v="228"/>
  </r>
  <r>
    <d v="2023-12-20T00:00:00"/>
    <x v="0"/>
    <x v="0"/>
    <s v="Фрукты"/>
    <s v="Абрикосы"/>
    <n v="1320"/>
    <n v="84"/>
    <x v="95"/>
  </r>
  <r>
    <d v="2023-12-20T00:00:00"/>
    <x v="1"/>
    <x v="4"/>
    <s v="Ягоды"/>
    <s v="Смородина черная"/>
    <n v="1505"/>
    <n v="45"/>
    <x v="1345"/>
  </r>
  <r>
    <d v="2023-12-20T00:00:00"/>
    <x v="2"/>
    <x v="1"/>
    <s v="Овощи"/>
    <s v="Кабачки"/>
    <n v="325"/>
    <n v="15"/>
    <x v="1330"/>
  </r>
  <r>
    <d v="2023-12-20T00:00:00"/>
    <x v="0"/>
    <x v="1"/>
    <s v="Фрукты"/>
    <s v="Груши"/>
    <n v="1420"/>
    <n v="38"/>
    <x v="1767"/>
  </r>
  <r>
    <d v="2023-12-20T00:00:00"/>
    <x v="4"/>
    <x v="5"/>
    <s v="Зелень"/>
    <s v="Петрушка"/>
    <n v="640"/>
    <n v="45"/>
    <x v="242"/>
  </r>
  <r>
    <d v="2023-12-20T00:00:00"/>
    <x v="4"/>
    <x v="5"/>
    <s v="Овощи"/>
    <s v="Картофель"/>
    <n v="690"/>
    <n v="27"/>
    <x v="383"/>
  </r>
  <r>
    <d v="2023-12-20T00:00:00"/>
    <x v="2"/>
    <x v="5"/>
    <s v="Овощи"/>
    <s v="Кабачки"/>
    <n v="325"/>
    <n v="52"/>
    <x v="619"/>
  </r>
  <r>
    <d v="2023-12-20T00:00:00"/>
    <x v="2"/>
    <x v="5"/>
    <s v="Фрукты"/>
    <s v="Абрикосы"/>
    <n v="1320"/>
    <n v="42"/>
    <x v="1140"/>
  </r>
  <r>
    <d v="2023-12-20T00:00:00"/>
    <x v="2"/>
    <x v="5"/>
    <s v="Ягоды"/>
    <s v="Смородина черная"/>
    <n v="1505"/>
    <n v="30"/>
    <x v="1768"/>
  </r>
  <r>
    <d v="2023-12-20T00:00:00"/>
    <x v="2"/>
    <x v="6"/>
    <s v="Овощи"/>
    <s v="Морковь"/>
    <n v="715"/>
    <n v="62"/>
    <x v="42"/>
  </r>
  <r>
    <d v="2023-12-20T00:00:00"/>
    <x v="1"/>
    <x v="6"/>
    <s v="Овощи"/>
    <s v="Картофель"/>
    <n v="690"/>
    <n v="71"/>
    <x v="1101"/>
  </r>
  <r>
    <d v="2023-12-20T00:00:00"/>
    <x v="0"/>
    <x v="6"/>
    <s v="Овощи"/>
    <s v="Баклажаны"/>
    <n v="890"/>
    <n v="27"/>
    <x v="287"/>
  </r>
  <r>
    <s v="20.12.2023 Итог"/>
    <x v="3"/>
    <x v="2"/>
    <m/>
    <m/>
    <m/>
    <m/>
    <x v="1769"/>
  </r>
  <r>
    <d v="2023-12-21T00:00:00"/>
    <x v="4"/>
    <x v="4"/>
    <s v="Зелень"/>
    <s v="Лук зеленый"/>
    <n v="705"/>
    <n v="93"/>
    <x v="1770"/>
  </r>
  <r>
    <d v="2023-12-21T00:00:00"/>
    <x v="4"/>
    <x v="4"/>
    <s v="Ягоды"/>
    <s v="Смородина черная"/>
    <n v="1505"/>
    <n v="67"/>
    <x v="1065"/>
  </r>
  <r>
    <d v="2023-12-21T00:00:00"/>
    <x v="1"/>
    <x v="1"/>
    <s v="Фрукты"/>
    <s v="Яблоки"/>
    <n v="1230"/>
    <n v="40"/>
    <x v="369"/>
  </r>
  <r>
    <d v="2023-12-21T00:00:00"/>
    <x v="1"/>
    <x v="6"/>
    <s v="Зелень"/>
    <s v="Салат айсберг"/>
    <n v="1380"/>
    <n v="34"/>
    <x v="180"/>
  </r>
  <r>
    <d v="2023-12-21T00:00:00"/>
    <x v="0"/>
    <x v="6"/>
    <s v="Овощи"/>
    <s v="Кабачки"/>
    <n v="325"/>
    <n v="35"/>
    <x v="1092"/>
  </r>
  <r>
    <d v="2023-12-21T00:00:00"/>
    <x v="2"/>
    <x v="6"/>
    <s v="Овощи"/>
    <s v="Морковь"/>
    <n v="715"/>
    <n v="12"/>
    <x v="1041"/>
  </r>
  <r>
    <s v="21.12.2023 Итог"/>
    <x v="3"/>
    <x v="2"/>
    <m/>
    <m/>
    <m/>
    <m/>
    <x v="1771"/>
  </r>
  <r>
    <d v="2023-12-22T00:00:00"/>
    <x v="1"/>
    <x v="3"/>
    <s v="Овощи"/>
    <s v="Капуста"/>
    <n v="460"/>
    <n v="60"/>
    <x v="745"/>
  </r>
  <r>
    <d v="2023-12-22T00:00:00"/>
    <x v="1"/>
    <x v="0"/>
    <s v="Овощи"/>
    <s v="Свекла"/>
    <n v="450"/>
    <n v="14"/>
    <x v="1772"/>
  </r>
  <r>
    <d v="2023-12-22T00:00:00"/>
    <x v="1"/>
    <x v="4"/>
    <s v="Овощи"/>
    <s v="Капуста"/>
    <n v="460"/>
    <n v="23"/>
    <x v="986"/>
  </r>
  <r>
    <d v="2023-12-22T00:00:00"/>
    <x v="0"/>
    <x v="4"/>
    <s v="Ягоды"/>
    <s v="Голубика"/>
    <n v="3205"/>
    <n v="85"/>
    <x v="299"/>
  </r>
  <r>
    <d v="2023-12-22T00:00:00"/>
    <x v="2"/>
    <x v="5"/>
    <s v="Зелень"/>
    <s v="Петрушка"/>
    <n v="640"/>
    <n v="22"/>
    <x v="904"/>
  </r>
  <r>
    <d v="2023-12-22T00:00:00"/>
    <x v="2"/>
    <x v="5"/>
    <s v="Зелень"/>
    <s v="Кинза"/>
    <n v="650"/>
    <n v="54"/>
    <x v="158"/>
  </r>
  <r>
    <d v="2023-12-22T00:00:00"/>
    <x v="0"/>
    <x v="5"/>
    <s v="Фрукты"/>
    <s v="Сливы"/>
    <n v="930"/>
    <n v="93"/>
    <x v="1479"/>
  </r>
  <r>
    <d v="2023-12-22T00:00:00"/>
    <x v="1"/>
    <x v="6"/>
    <s v="Зелень"/>
    <s v="Укроп"/>
    <n v="650"/>
    <n v="66"/>
    <x v="353"/>
  </r>
  <r>
    <d v="2023-12-22T00:00:00"/>
    <x v="1"/>
    <x v="6"/>
    <s v="Зелень"/>
    <s v="Кинза"/>
    <n v="650"/>
    <n v="50"/>
    <x v="392"/>
  </r>
  <r>
    <d v="2023-12-22T00:00:00"/>
    <x v="2"/>
    <x v="6"/>
    <s v="Овощи"/>
    <s v="Морковь"/>
    <n v="715"/>
    <n v="66"/>
    <x v="1773"/>
  </r>
  <r>
    <d v="2023-12-22T00:00:00"/>
    <x v="2"/>
    <x v="6"/>
    <s v="Ягоды"/>
    <s v="Голубика"/>
    <n v="3205"/>
    <n v="71"/>
    <x v="1774"/>
  </r>
  <r>
    <s v="22.12.2023 Итог"/>
    <x v="3"/>
    <x v="2"/>
    <m/>
    <m/>
    <m/>
    <m/>
    <x v="1775"/>
  </r>
  <r>
    <d v="2023-12-23T00:00:00"/>
    <x v="2"/>
    <x v="3"/>
    <s v="Фрукты"/>
    <s v="Яблоки"/>
    <n v="1230"/>
    <n v="37"/>
    <x v="1332"/>
  </r>
  <r>
    <d v="2023-12-23T00:00:00"/>
    <x v="0"/>
    <x v="0"/>
    <s v="Зелень"/>
    <s v="Кинза"/>
    <n v="650"/>
    <n v="65"/>
    <x v="1776"/>
  </r>
  <r>
    <d v="2023-12-23T00:00:00"/>
    <x v="0"/>
    <x v="0"/>
    <s v="Овощи"/>
    <s v="Морковь"/>
    <n v="715"/>
    <n v="53"/>
    <x v="1777"/>
  </r>
  <r>
    <d v="2023-12-23T00:00:00"/>
    <x v="2"/>
    <x v="0"/>
    <s v="Ягоды"/>
    <s v="Клубника"/>
    <n v="2460"/>
    <n v="24"/>
    <x v="1271"/>
  </r>
  <r>
    <d v="2023-12-23T00:00:00"/>
    <x v="1"/>
    <x v="4"/>
    <s v="Овощи"/>
    <s v="Морковь"/>
    <n v="715"/>
    <n v="84"/>
    <x v="1778"/>
  </r>
  <r>
    <d v="2023-12-23T00:00:00"/>
    <x v="4"/>
    <x v="4"/>
    <s v="Фрукты"/>
    <s v="Бананы"/>
    <n v="2400"/>
    <n v="87"/>
    <x v="1779"/>
  </r>
  <r>
    <d v="2023-12-23T00:00:00"/>
    <x v="0"/>
    <x v="5"/>
    <s v="Зелень"/>
    <s v="Лук зеленый"/>
    <n v="705"/>
    <n v="15"/>
    <x v="893"/>
  </r>
  <r>
    <d v="2023-12-23T00:00:00"/>
    <x v="1"/>
    <x v="5"/>
    <s v="Овощи"/>
    <s v="Капуста"/>
    <n v="460"/>
    <n v="85"/>
    <x v="1780"/>
  </r>
  <r>
    <d v="2023-12-23T00:00:00"/>
    <x v="2"/>
    <x v="5"/>
    <s v="Овощи"/>
    <s v="Морковь"/>
    <n v="715"/>
    <n v="32"/>
    <x v="350"/>
  </r>
  <r>
    <d v="2023-12-23T00:00:00"/>
    <x v="1"/>
    <x v="5"/>
    <s v="Фрукты"/>
    <s v="Груши"/>
    <n v="1420"/>
    <n v="97"/>
    <x v="70"/>
  </r>
  <r>
    <s v="23.12.2023 Итог"/>
    <x v="3"/>
    <x v="2"/>
    <m/>
    <m/>
    <m/>
    <m/>
    <x v="1781"/>
  </r>
  <r>
    <d v="2023-12-24T00:00:00"/>
    <x v="0"/>
    <x v="3"/>
    <s v="Овощи"/>
    <s v="Капуста"/>
    <n v="460"/>
    <n v="69"/>
    <x v="610"/>
  </r>
  <r>
    <d v="2023-12-24T00:00:00"/>
    <x v="0"/>
    <x v="0"/>
    <s v="Зелень"/>
    <s v="Петрушка"/>
    <n v="640"/>
    <n v="24"/>
    <x v="1106"/>
  </r>
  <r>
    <d v="2023-12-24T00:00:00"/>
    <x v="2"/>
    <x v="0"/>
    <s v="Зелень"/>
    <s v="Салат айсберг"/>
    <n v="1380"/>
    <n v="61"/>
    <x v="390"/>
  </r>
  <r>
    <d v="2023-12-24T00:00:00"/>
    <x v="0"/>
    <x v="0"/>
    <s v="Ягоды"/>
    <s v="Малина"/>
    <n v="2970"/>
    <n v="42"/>
    <x v="580"/>
  </r>
  <r>
    <d v="2023-12-24T00:00:00"/>
    <x v="0"/>
    <x v="4"/>
    <s v="Фрукты"/>
    <s v="Сливы"/>
    <n v="930"/>
    <n v="38"/>
    <x v="280"/>
  </r>
  <r>
    <d v="2023-12-24T00:00:00"/>
    <x v="4"/>
    <x v="1"/>
    <s v="Овощи"/>
    <s v="Кабачки"/>
    <n v="325"/>
    <n v="81"/>
    <x v="190"/>
  </r>
  <r>
    <d v="2023-12-24T00:00:00"/>
    <x v="1"/>
    <x v="5"/>
    <s v="Фрукты"/>
    <s v="Апельсины"/>
    <n v="2540"/>
    <n v="43"/>
    <x v="1402"/>
  </r>
  <r>
    <d v="2023-12-24T00:00:00"/>
    <x v="0"/>
    <x v="5"/>
    <s v="Ягоды"/>
    <s v="Брусника"/>
    <n v="1670"/>
    <n v="6"/>
    <x v="1033"/>
  </r>
  <r>
    <d v="2023-12-24T00:00:00"/>
    <x v="0"/>
    <x v="6"/>
    <s v="Овощи"/>
    <s v="Баклажаны"/>
    <n v="890"/>
    <n v="97"/>
    <x v="1020"/>
  </r>
  <r>
    <d v="2023-12-24T00:00:00"/>
    <x v="1"/>
    <x v="6"/>
    <s v="Овощи"/>
    <s v="Морковь"/>
    <n v="715"/>
    <n v="51"/>
    <x v="395"/>
  </r>
  <r>
    <d v="2023-12-24T00:00:00"/>
    <x v="1"/>
    <x v="6"/>
    <s v="Овощи"/>
    <s v="Баклажаны"/>
    <n v="890"/>
    <n v="40"/>
    <x v="877"/>
  </r>
  <r>
    <s v="24.12.2023 Итог"/>
    <x v="3"/>
    <x v="2"/>
    <m/>
    <m/>
    <m/>
    <m/>
    <x v="1782"/>
  </r>
  <r>
    <d v="2023-12-25T00:00:00"/>
    <x v="4"/>
    <x v="3"/>
    <s v="Зелень"/>
    <s v="Кинза"/>
    <n v="650"/>
    <n v="20"/>
    <x v="1455"/>
  </r>
  <r>
    <d v="2023-12-25T00:00:00"/>
    <x v="2"/>
    <x v="3"/>
    <s v="Зелень"/>
    <s v="Петрушка"/>
    <n v="640"/>
    <n v="96"/>
    <x v="1783"/>
  </r>
  <r>
    <d v="2023-12-25T00:00:00"/>
    <x v="4"/>
    <x v="3"/>
    <s v="Овощи"/>
    <s v="Баклажаны"/>
    <n v="890"/>
    <n v="98"/>
    <x v="1784"/>
  </r>
  <r>
    <d v="2023-12-25T00:00:00"/>
    <x v="4"/>
    <x v="3"/>
    <s v="Овощи"/>
    <s v="Свекла"/>
    <n v="450"/>
    <n v="40"/>
    <x v="1245"/>
  </r>
  <r>
    <d v="2023-12-25T00:00:00"/>
    <x v="2"/>
    <x v="0"/>
    <s v="Овощи"/>
    <s v="Капуста"/>
    <n v="460"/>
    <n v="81"/>
    <x v="1"/>
  </r>
  <r>
    <d v="2023-12-25T00:00:00"/>
    <x v="1"/>
    <x v="4"/>
    <s v="Фрукты"/>
    <s v="Яблоки"/>
    <n v="1230"/>
    <n v="81"/>
    <x v="373"/>
  </r>
  <r>
    <d v="2023-12-25T00:00:00"/>
    <x v="0"/>
    <x v="6"/>
    <s v="Овощи"/>
    <s v="Картофель"/>
    <n v="690"/>
    <n v="13"/>
    <x v="1011"/>
  </r>
  <r>
    <s v="25.12.2023 Итог"/>
    <x v="3"/>
    <x v="2"/>
    <m/>
    <m/>
    <m/>
    <m/>
    <x v="1785"/>
  </r>
  <r>
    <d v="2023-12-26T00:00:00"/>
    <x v="2"/>
    <x v="3"/>
    <s v="Овощи"/>
    <s v="Кабачки"/>
    <n v="325"/>
    <n v="85"/>
    <x v="762"/>
  </r>
  <r>
    <d v="2023-12-26T00:00:00"/>
    <x v="0"/>
    <x v="3"/>
    <s v="Овощи"/>
    <s v="Кабачки"/>
    <n v="325"/>
    <n v="5"/>
    <x v="611"/>
  </r>
  <r>
    <d v="2023-12-26T00:00:00"/>
    <x v="2"/>
    <x v="3"/>
    <s v="Фрукты"/>
    <s v="Апельсины"/>
    <n v="2540"/>
    <n v="93"/>
    <x v="419"/>
  </r>
  <r>
    <d v="2023-12-26T00:00:00"/>
    <x v="0"/>
    <x v="3"/>
    <s v="Ягоды"/>
    <s v="Малина"/>
    <n v="2970"/>
    <n v="94"/>
    <x v="1786"/>
  </r>
  <r>
    <d v="2023-12-26T00:00:00"/>
    <x v="2"/>
    <x v="3"/>
    <s v="Ягоды"/>
    <s v="Брусника"/>
    <n v="1670"/>
    <n v="93"/>
    <x v="290"/>
  </r>
  <r>
    <d v="2023-12-26T00:00:00"/>
    <x v="2"/>
    <x v="0"/>
    <s v="Овощи"/>
    <s v="Морковь"/>
    <n v="715"/>
    <n v="57"/>
    <x v="1787"/>
  </r>
  <r>
    <d v="2023-12-26T00:00:00"/>
    <x v="4"/>
    <x v="0"/>
    <s v="Овощи"/>
    <s v="Картофель"/>
    <n v="690"/>
    <n v="61"/>
    <x v="941"/>
  </r>
  <r>
    <d v="2023-12-26T00:00:00"/>
    <x v="1"/>
    <x v="0"/>
    <s v="Овощи"/>
    <s v="Картофель"/>
    <n v="690"/>
    <n v="81"/>
    <x v="567"/>
  </r>
  <r>
    <d v="2023-12-26T00:00:00"/>
    <x v="0"/>
    <x v="4"/>
    <s v="Фрукты"/>
    <s v="Апельсины"/>
    <n v="2540"/>
    <n v="28"/>
    <x v="1715"/>
  </r>
  <r>
    <d v="2023-12-26T00:00:00"/>
    <x v="4"/>
    <x v="5"/>
    <s v="Зелень"/>
    <s v="Петрушка"/>
    <n v="640"/>
    <n v="47"/>
    <x v="1788"/>
  </r>
  <r>
    <d v="2023-12-26T00:00:00"/>
    <x v="4"/>
    <x v="5"/>
    <s v="Зелень"/>
    <s v="Салат айсберг"/>
    <n v="1380"/>
    <n v="19"/>
    <x v="217"/>
  </r>
  <r>
    <d v="2023-12-26T00:00:00"/>
    <x v="2"/>
    <x v="5"/>
    <s v="Фрукты"/>
    <s v="Бананы"/>
    <n v="2400"/>
    <n v="17"/>
    <x v="1196"/>
  </r>
  <r>
    <d v="2023-12-26T00:00:00"/>
    <x v="1"/>
    <x v="6"/>
    <s v="Овощи"/>
    <s v="Свекла"/>
    <n v="450"/>
    <n v="90"/>
    <x v="1789"/>
  </r>
  <r>
    <d v="2023-12-26T00:00:00"/>
    <x v="0"/>
    <x v="6"/>
    <s v="Ягоды"/>
    <s v="Брусника"/>
    <n v="1670"/>
    <n v="37"/>
    <x v="265"/>
  </r>
  <r>
    <s v="26.12.2023 Итог"/>
    <x v="3"/>
    <x v="2"/>
    <m/>
    <m/>
    <m/>
    <m/>
    <x v="1790"/>
  </r>
  <r>
    <d v="2023-12-27T00:00:00"/>
    <x v="1"/>
    <x v="3"/>
    <s v="Овощи"/>
    <s v="Кабачки"/>
    <n v="325"/>
    <n v="17"/>
    <x v="38"/>
  </r>
  <r>
    <d v="2023-12-27T00:00:00"/>
    <x v="0"/>
    <x v="3"/>
    <s v="Фрукты"/>
    <s v="Абрикосы"/>
    <n v="1320"/>
    <n v="88"/>
    <x v="1276"/>
  </r>
  <r>
    <d v="2023-12-27T00:00:00"/>
    <x v="0"/>
    <x v="0"/>
    <s v="Ягоды"/>
    <s v="Брусника"/>
    <n v="1670"/>
    <n v="99"/>
    <x v="293"/>
  </r>
  <r>
    <d v="2023-12-27T00:00:00"/>
    <x v="2"/>
    <x v="4"/>
    <s v="Овощи"/>
    <s v="Кабачки"/>
    <n v="325"/>
    <n v="55"/>
    <x v="149"/>
  </r>
  <r>
    <d v="2023-12-27T00:00:00"/>
    <x v="2"/>
    <x v="4"/>
    <s v="Ягоды"/>
    <s v="Смородина черная"/>
    <n v="1505"/>
    <n v="92"/>
    <x v="1400"/>
  </r>
  <r>
    <d v="2023-12-27T00:00:00"/>
    <x v="4"/>
    <x v="5"/>
    <s v="Зелень"/>
    <s v="Укроп"/>
    <n v="650"/>
    <n v="88"/>
    <x v="83"/>
  </r>
  <r>
    <d v="2023-12-27T00:00:00"/>
    <x v="2"/>
    <x v="5"/>
    <s v="Зелень"/>
    <s v="Салат айсберг"/>
    <n v="1380"/>
    <n v="66"/>
    <x v="1299"/>
  </r>
  <r>
    <d v="2023-12-27T00:00:00"/>
    <x v="0"/>
    <x v="5"/>
    <s v="Фрукты"/>
    <s v="Груши"/>
    <n v="1420"/>
    <n v="22"/>
    <x v="1437"/>
  </r>
  <r>
    <d v="2023-12-27T00:00:00"/>
    <x v="1"/>
    <x v="6"/>
    <s v="Фрукты"/>
    <s v="Груши"/>
    <n v="1420"/>
    <n v="6"/>
    <x v="1738"/>
  </r>
  <r>
    <d v="2023-12-27T00:00:00"/>
    <x v="4"/>
    <x v="6"/>
    <s v="Ягоды"/>
    <s v="Малина"/>
    <n v="2970"/>
    <n v="94"/>
    <x v="1786"/>
  </r>
  <r>
    <s v="27.12.2023 Итог"/>
    <x v="3"/>
    <x v="2"/>
    <m/>
    <m/>
    <m/>
    <m/>
    <x v="1791"/>
  </r>
  <r>
    <d v="2023-12-28T00:00:00"/>
    <x v="1"/>
    <x v="3"/>
    <s v="Зелень"/>
    <s v="Салат римский"/>
    <n v="540"/>
    <n v="56"/>
    <x v="1309"/>
  </r>
  <r>
    <d v="2023-12-28T00:00:00"/>
    <x v="1"/>
    <x v="0"/>
    <s v="Зелень"/>
    <s v="Салат айсберг"/>
    <n v="1380"/>
    <n v="61"/>
    <x v="390"/>
  </r>
  <r>
    <d v="2023-12-28T00:00:00"/>
    <x v="1"/>
    <x v="4"/>
    <s v="Зелень"/>
    <s v="Салат римский"/>
    <n v="540"/>
    <n v="5"/>
    <x v="412"/>
  </r>
  <r>
    <d v="2023-12-28T00:00:00"/>
    <x v="4"/>
    <x v="1"/>
    <s v="Овощи"/>
    <s v="Капуста"/>
    <n v="460"/>
    <n v="34"/>
    <x v="681"/>
  </r>
  <r>
    <d v="2023-12-28T00:00:00"/>
    <x v="4"/>
    <x v="1"/>
    <s v="Овощи"/>
    <s v="Картофель"/>
    <n v="690"/>
    <n v="56"/>
    <x v="471"/>
  </r>
  <r>
    <d v="2023-12-28T00:00:00"/>
    <x v="2"/>
    <x v="1"/>
    <s v="Овощи"/>
    <s v="Свекла"/>
    <n v="450"/>
    <n v="50"/>
    <x v="106"/>
  </r>
  <r>
    <d v="2023-12-28T00:00:00"/>
    <x v="0"/>
    <x v="1"/>
    <s v="Фрукты"/>
    <s v="Яблоки"/>
    <n v="1230"/>
    <n v="33"/>
    <x v="233"/>
  </r>
  <r>
    <d v="2023-12-28T00:00:00"/>
    <x v="4"/>
    <x v="1"/>
    <s v="Ягоды"/>
    <s v="Клубника"/>
    <n v="2460"/>
    <n v="12"/>
    <x v="600"/>
  </r>
  <r>
    <d v="2023-12-28T00:00:00"/>
    <x v="2"/>
    <x v="5"/>
    <s v="Зелень"/>
    <s v="Кинза"/>
    <n v="650"/>
    <n v="72"/>
    <x v="925"/>
  </r>
  <r>
    <d v="2023-12-28T00:00:00"/>
    <x v="4"/>
    <x v="5"/>
    <s v="Овощи"/>
    <s v="Свекла"/>
    <n v="450"/>
    <n v="41"/>
    <x v="772"/>
  </r>
  <r>
    <d v="2023-12-28T00:00:00"/>
    <x v="4"/>
    <x v="5"/>
    <s v="Фрукты"/>
    <s v="Яблоки"/>
    <n v="1230"/>
    <n v="80"/>
    <x v="549"/>
  </r>
  <r>
    <d v="2023-12-28T00:00:00"/>
    <x v="0"/>
    <x v="5"/>
    <s v="Фрукты"/>
    <s v="Бананы"/>
    <n v="2400"/>
    <n v="71"/>
    <x v="1792"/>
  </r>
  <r>
    <d v="2023-12-28T00:00:00"/>
    <x v="4"/>
    <x v="5"/>
    <s v="Ягоды"/>
    <s v="Черешня"/>
    <n v="1760"/>
    <n v="54"/>
    <x v="1516"/>
  </r>
  <r>
    <d v="2023-12-28T00:00:00"/>
    <x v="0"/>
    <x v="6"/>
    <s v="Зелень"/>
    <s v="Лук зеленый"/>
    <n v="705"/>
    <n v="95"/>
    <x v="90"/>
  </r>
  <r>
    <d v="2023-12-28T00:00:00"/>
    <x v="4"/>
    <x v="6"/>
    <s v="Фрукты"/>
    <s v="Абрикосы"/>
    <n v="1320"/>
    <n v="74"/>
    <x v="1483"/>
  </r>
  <r>
    <s v="28.12.2023 Итог"/>
    <x v="3"/>
    <x v="2"/>
    <m/>
    <m/>
    <m/>
    <m/>
    <x v="1793"/>
  </r>
  <r>
    <d v="2023-12-29T00:00:00"/>
    <x v="0"/>
    <x v="0"/>
    <s v="Зелень"/>
    <s v="Кинза"/>
    <n v="650"/>
    <n v="6"/>
    <x v="342"/>
  </r>
  <r>
    <d v="2023-12-29T00:00:00"/>
    <x v="1"/>
    <x v="0"/>
    <s v="Зелень"/>
    <s v="Салат римский"/>
    <n v="540"/>
    <n v="97"/>
    <x v="282"/>
  </r>
  <r>
    <d v="2023-12-29T00:00:00"/>
    <x v="1"/>
    <x v="0"/>
    <s v="Овощи"/>
    <s v="Морковь"/>
    <n v="715"/>
    <n v="91"/>
    <x v="298"/>
  </r>
  <r>
    <d v="2023-12-29T00:00:00"/>
    <x v="2"/>
    <x v="0"/>
    <s v="Овощи"/>
    <s v="Свекла"/>
    <n v="450"/>
    <n v="14"/>
    <x v="1772"/>
  </r>
  <r>
    <d v="2023-12-29T00:00:00"/>
    <x v="4"/>
    <x v="4"/>
    <s v="Зелень"/>
    <s v="Петрушка"/>
    <n v="640"/>
    <n v="46"/>
    <x v="582"/>
  </r>
  <r>
    <d v="2023-12-29T00:00:00"/>
    <x v="0"/>
    <x v="4"/>
    <s v="Ягоды"/>
    <s v="Голубика"/>
    <n v="3205"/>
    <n v="7"/>
    <x v="1794"/>
  </r>
  <r>
    <d v="2023-12-29T00:00:00"/>
    <x v="4"/>
    <x v="1"/>
    <s v="Овощи"/>
    <s v="Баклажаны"/>
    <n v="890"/>
    <n v="76"/>
    <x v="1496"/>
  </r>
  <r>
    <d v="2023-12-29T00:00:00"/>
    <x v="0"/>
    <x v="1"/>
    <s v="Фрукты"/>
    <s v="Сливы"/>
    <n v="930"/>
    <n v="36"/>
    <x v="206"/>
  </r>
  <r>
    <d v="2023-12-29T00:00:00"/>
    <x v="2"/>
    <x v="5"/>
    <s v="Овощи"/>
    <s v="Картофель"/>
    <n v="690"/>
    <n v="15"/>
    <x v="9"/>
  </r>
  <r>
    <d v="2023-12-29T00:00:00"/>
    <x v="2"/>
    <x v="5"/>
    <s v="Ягоды"/>
    <s v="Голубика"/>
    <n v="3205"/>
    <n v="37"/>
    <x v="1795"/>
  </r>
  <r>
    <d v="2023-12-29T00:00:00"/>
    <x v="2"/>
    <x v="5"/>
    <s v="Ягоды"/>
    <s v="Малина"/>
    <n v="2970"/>
    <n v="21"/>
    <x v="1796"/>
  </r>
  <r>
    <d v="2023-12-29T00:00:00"/>
    <x v="0"/>
    <x v="6"/>
    <s v="Фрукты"/>
    <s v="Бананы"/>
    <n v="2400"/>
    <n v="29"/>
    <x v="748"/>
  </r>
  <r>
    <s v="29.12.2023 Итог"/>
    <x v="3"/>
    <x v="2"/>
    <m/>
    <m/>
    <m/>
    <m/>
    <x v="1797"/>
  </r>
  <r>
    <d v="2023-12-30T00:00:00"/>
    <x v="0"/>
    <x v="3"/>
    <s v="Фрукты"/>
    <s v="Яблоки"/>
    <n v="1230"/>
    <n v="8"/>
    <x v="1156"/>
  </r>
  <r>
    <d v="2023-12-30T00:00:00"/>
    <x v="4"/>
    <x v="3"/>
    <s v="Ягоды"/>
    <s v="Смородина черная"/>
    <n v="1505"/>
    <n v="67"/>
    <x v="1065"/>
  </r>
  <r>
    <d v="2023-12-30T00:00:00"/>
    <x v="2"/>
    <x v="0"/>
    <s v="Фрукты"/>
    <s v="Груши"/>
    <n v="1420"/>
    <n v="46"/>
    <x v="1172"/>
  </r>
  <r>
    <d v="2023-12-30T00:00:00"/>
    <x v="0"/>
    <x v="0"/>
    <s v="Фрукты"/>
    <s v="Абрикосы"/>
    <n v="1320"/>
    <n v="67"/>
    <x v="1798"/>
  </r>
  <r>
    <d v="2023-12-30T00:00:00"/>
    <x v="2"/>
    <x v="4"/>
    <s v="Зелень"/>
    <s v="Салат айсберг"/>
    <n v="1380"/>
    <n v="85"/>
    <x v="806"/>
  </r>
  <r>
    <d v="2023-12-30T00:00:00"/>
    <x v="4"/>
    <x v="4"/>
    <s v="Овощи"/>
    <s v="Картофель"/>
    <n v="690"/>
    <n v="34"/>
    <x v="450"/>
  </r>
  <r>
    <d v="2023-12-30T00:00:00"/>
    <x v="0"/>
    <x v="4"/>
    <s v="Фрукты"/>
    <s v="Яблоки"/>
    <n v="1230"/>
    <n v="30"/>
    <x v="1214"/>
  </r>
  <r>
    <d v="2023-12-30T00:00:00"/>
    <x v="1"/>
    <x v="1"/>
    <s v="Зелень"/>
    <s v="Лук зеленый"/>
    <n v="705"/>
    <n v="93"/>
    <x v="1770"/>
  </r>
  <r>
    <d v="2023-12-30T00:00:00"/>
    <x v="1"/>
    <x v="5"/>
    <s v="Фрукты"/>
    <s v="Апельсины"/>
    <n v="2540"/>
    <n v="94"/>
    <x v="996"/>
  </r>
  <r>
    <d v="2023-12-30T00:00:00"/>
    <x v="0"/>
    <x v="5"/>
    <s v="Ягоды"/>
    <s v="Клубника"/>
    <n v="2460"/>
    <n v="16"/>
    <x v="581"/>
  </r>
  <r>
    <s v="30.12.2023 Итог"/>
    <x v="3"/>
    <x v="2"/>
    <m/>
    <m/>
    <m/>
    <m/>
    <x v="1799"/>
  </r>
  <r>
    <d v="2023-12-31T00:00:00"/>
    <x v="1"/>
    <x v="3"/>
    <s v="Фрукты"/>
    <s v="Яблоки"/>
    <n v="1230"/>
    <n v="29"/>
    <x v="719"/>
  </r>
  <r>
    <d v="2023-12-31T00:00:00"/>
    <x v="1"/>
    <x v="0"/>
    <s v="Зелень"/>
    <s v="Укроп"/>
    <n v="650"/>
    <n v="56"/>
    <x v="1800"/>
  </r>
  <r>
    <d v="2023-12-31T00:00:00"/>
    <x v="1"/>
    <x v="1"/>
    <s v="Ягоды"/>
    <s v="Клубника"/>
    <n v="2460"/>
    <n v="19"/>
    <x v="1491"/>
  </r>
  <r>
    <d v="2023-12-31T00:00:00"/>
    <x v="1"/>
    <x v="5"/>
    <s v="Ягоды"/>
    <s v="Клубника"/>
    <n v="2460"/>
    <n v="8"/>
    <x v="254"/>
  </r>
  <r>
    <d v="2023-12-31T00:00:00"/>
    <x v="2"/>
    <x v="6"/>
    <s v="Зелень"/>
    <s v="Петрушка"/>
    <n v="640"/>
    <n v="30"/>
    <x v="191"/>
  </r>
  <r>
    <s v="31.12.2023 Итог"/>
    <x v="3"/>
    <x v="2"/>
    <m/>
    <m/>
    <m/>
    <m/>
    <x v="1801"/>
  </r>
  <r>
    <d v="2025-10-25T00:00:00"/>
    <x v="5"/>
    <x v="0"/>
    <s v="Зелень"/>
    <s v="Лук зеленый"/>
    <n v="7050"/>
    <n v="588"/>
    <x v="1802"/>
  </r>
  <r>
    <s v="25.10.2025 Итог"/>
    <x v="3"/>
    <x v="2"/>
    <m/>
    <m/>
    <m/>
    <m/>
    <x v="1802"/>
  </r>
  <r>
    <s v="Общий итог"/>
    <x v="3"/>
    <x v="2"/>
    <m/>
    <m/>
    <m/>
    <m/>
    <x v="180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6">
  <r>
    <d v="2023-01-01T00:00:00"/>
    <x v="0"/>
    <s v="Борисов"/>
    <s v="Фрукты"/>
    <s v="Абрикосы"/>
    <n v="1320"/>
    <n v="189"/>
    <n v="249.48"/>
    <x v="0"/>
  </r>
  <r>
    <d v="2023-01-01T00:00:00"/>
    <x v="1"/>
    <s v="Минск"/>
    <s v="Зелень"/>
    <s v="Салат айсберг"/>
    <n v="1380"/>
    <n v="27"/>
    <n v="37.26"/>
    <x v="0"/>
  </r>
  <r>
    <d v="2023-01-01T00:00:00"/>
    <x v="2"/>
    <s v="Минск"/>
    <s v="Овощи"/>
    <s v="Кабачки"/>
    <n v="3250"/>
    <n v="20"/>
    <n v="65"/>
    <x v="0"/>
  </r>
  <r>
    <s v="01.01.2023 Итого"/>
    <x v="3"/>
    <m/>
    <m/>
    <m/>
    <m/>
    <m/>
    <n v="351.74"/>
    <x v="1"/>
  </r>
  <r>
    <d v="2023-02-01T00:00:00"/>
    <x v="0"/>
    <s v="Барановичи"/>
    <s v="Овощи"/>
    <s v="Свекла"/>
    <n v="450"/>
    <n v="44"/>
    <n v="19.8"/>
    <x v="2"/>
  </r>
  <r>
    <d v="2023-02-01T00:00:00"/>
    <x v="4"/>
    <s v="Барановичи"/>
    <s v="Фрукты"/>
    <s v="Сливы"/>
    <n v="930"/>
    <n v="86"/>
    <n v="79.98"/>
    <x v="2"/>
  </r>
  <r>
    <d v="2023-02-01T00:00:00"/>
    <x v="4"/>
    <s v="Борисов"/>
    <s v="Зелень"/>
    <s v="Петрушка"/>
    <n v="640"/>
    <n v="72"/>
    <n v="46.08"/>
    <x v="2"/>
  </r>
  <r>
    <d v="2023-02-01T00:00:00"/>
    <x v="1"/>
    <s v="Борисов"/>
    <s v="Ягоды"/>
    <s v="Черешня"/>
    <n v="1760"/>
    <n v="84"/>
    <n v="147.84"/>
    <x v="2"/>
  </r>
  <r>
    <d v="2023-02-01T00:00:00"/>
    <x v="4"/>
    <s v="Жодино"/>
    <s v="Овощи"/>
    <s v="Капуста"/>
    <n v="460"/>
    <n v="83"/>
    <n v="38.18"/>
    <x v="2"/>
  </r>
  <r>
    <d v="2023-02-01T00:00:00"/>
    <x v="4"/>
    <s v="Жодино"/>
    <s v="Овощи"/>
    <s v="Картофель"/>
    <n v="690"/>
    <n v="15"/>
    <n v="10.35"/>
    <x v="2"/>
  </r>
  <r>
    <d v="2023-02-01T00:00:00"/>
    <x v="4"/>
    <s v="Жодино"/>
    <s v="Фрукты"/>
    <s v="Яблоки"/>
    <n v="1230"/>
    <n v="39"/>
    <n v="47.97"/>
    <x v="2"/>
  </r>
  <r>
    <d v="2023-02-01T00:00:00"/>
    <x v="4"/>
    <s v="Жодино"/>
    <s v="Фрукты"/>
    <s v="Абрикосы"/>
    <n v="1320"/>
    <n v="32"/>
    <n v="42.24"/>
    <x v="2"/>
  </r>
  <r>
    <d v="2023-02-01T00:00:00"/>
    <x v="2"/>
    <s v="Жодино"/>
    <s v="Ягоды"/>
    <s v="Малина"/>
    <n v="2970"/>
    <n v="20"/>
    <n v="59.4"/>
    <x v="2"/>
  </r>
  <r>
    <d v="2023-02-01T00:00:00"/>
    <x v="2"/>
    <s v="Минск"/>
    <s v="Овощи"/>
    <s v="Морковь"/>
    <n v="715"/>
    <n v="14"/>
    <n v="10.01"/>
    <x v="2"/>
  </r>
  <r>
    <d v="2023-02-01T00:00:00"/>
    <x v="0"/>
    <s v="Минск"/>
    <s v="Ягоды"/>
    <s v="Смородина черная"/>
    <n v="1505"/>
    <n v="6"/>
    <n v="9.0299999999999994"/>
    <x v="2"/>
  </r>
  <r>
    <d v="2023-02-01T00:00:00"/>
    <x v="0"/>
    <s v="Столбцы"/>
    <s v="Зелень"/>
    <s v="Петрушка"/>
    <n v="640"/>
    <n v="65"/>
    <n v="41.6"/>
    <x v="2"/>
  </r>
  <r>
    <d v="2023-02-01T00:00:00"/>
    <x v="1"/>
    <s v="Столбцы"/>
    <s v="Ягоды"/>
    <s v="Брусника"/>
    <n v="1670"/>
    <n v="49"/>
    <n v="81.83"/>
    <x v="2"/>
  </r>
  <r>
    <d v="2023-02-01T00:00:00"/>
    <x v="1"/>
    <s v="Фаниполь"/>
    <s v="Овощи"/>
    <s v="Картофель"/>
    <n v="690"/>
    <n v="45"/>
    <n v="31.05"/>
    <x v="2"/>
  </r>
  <r>
    <d v="2023-02-01T00:00:00"/>
    <x v="2"/>
    <s v="Фаниполь"/>
    <s v="Ягоды"/>
    <s v="Клубника"/>
    <n v="2460"/>
    <n v="58"/>
    <n v="142.68"/>
    <x v="2"/>
  </r>
  <r>
    <s v="01.02.2023 Итого"/>
    <x v="3"/>
    <m/>
    <m/>
    <m/>
    <m/>
    <m/>
    <n v="808.04"/>
    <x v="2"/>
  </r>
  <r>
    <d v="2023-02-02T00:00:00"/>
    <x v="4"/>
    <s v="Барановичи"/>
    <s v="Овощи"/>
    <s v="Свекла"/>
    <n v="450"/>
    <n v="96"/>
    <n v="43.2"/>
    <x v="2"/>
  </r>
  <r>
    <d v="2023-02-02T00:00:00"/>
    <x v="0"/>
    <s v="Барановичи"/>
    <s v="Овощи"/>
    <s v="Морковь"/>
    <n v="715"/>
    <n v="94"/>
    <n v="67.209999999999994"/>
    <x v="2"/>
  </r>
  <r>
    <d v="2023-02-02T00:00:00"/>
    <x v="2"/>
    <s v="Барановичи"/>
    <s v="Овощи"/>
    <s v="Картофель"/>
    <n v="690"/>
    <n v="35"/>
    <n v="24.15"/>
    <x v="2"/>
  </r>
  <r>
    <d v="2023-02-02T00:00:00"/>
    <x v="4"/>
    <s v="Барановичи"/>
    <s v="Овощи"/>
    <s v="Морковь"/>
    <n v="715"/>
    <n v="67"/>
    <n v="47.905000000000001"/>
    <x v="2"/>
  </r>
  <r>
    <d v="2023-02-02T00:00:00"/>
    <x v="1"/>
    <s v="Борисов"/>
    <s v="Овощи"/>
    <s v="Картофель"/>
    <n v="690"/>
    <n v="9"/>
    <n v="6.21"/>
    <x v="2"/>
  </r>
  <r>
    <d v="2023-02-02T00:00:00"/>
    <x v="2"/>
    <s v="Жодино"/>
    <s v="Овощи"/>
    <s v="Кабачки"/>
    <n v="325"/>
    <n v="21"/>
    <n v="6.8250000000000002"/>
    <x v="2"/>
  </r>
  <r>
    <d v="2023-02-02T00:00:00"/>
    <x v="1"/>
    <s v="Жодино"/>
    <s v="Фрукты"/>
    <s v="Абрикосы"/>
    <n v="1320"/>
    <n v="54"/>
    <n v="71.28"/>
    <x v="2"/>
  </r>
  <r>
    <d v="2023-02-02T00:00:00"/>
    <x v="4"/>
    <s v="Жодино"/>
    <s v="Ягоды"/>
    <s v="Смородина черная"/>
    <n v="1505"/>
    <n v="21"/>
    <n v="31.605"/>
    <x v="2"/>
  </r>
  <r>
    <d v="2023-02-02T00:00:00"/>
    <x v="1"/>
    <s v="Столбцы"/>
    <s v="Овощи"/>
    <s v="Морковь"/>
    <n v="715"/>
    <n v="15"/>
    <n v="10.725"/>
    <x v="2"/>
  </r>
  <r>
    <d v="2023-02-02T00:00:00"/>
    <x v="2"/>
    <s v="Фаниполь"/>
    <s v="Овощи"/>
    <s v="Баклажаны"/>
    <n v="890"/>
    <n v="26"/>
    <n v="23.14"/>
    <x v="2"/>
  </r>
  <r>
    <d v="2023-02-02T00:00:00"/>
    <x v="0"/>
    <s v="Фаниполь"/>
    <s v="Фрукты"/>
    <s v="Бананы"/>
    <n v="2400"/>
    <n v="33"/>
    <n v="79.2"/>
    <x v="2"/>
  </r>
  <r>
    <s v="02.02.2023 Итог"/>
    <x v="3"/>
    <m/>
    <m/>
    <m/>
    <m/>
    <m/>
    <n v="411.45"/>
    <x v="2"/>
  </r>
  <r>
    <d v="2023-02-03T00:00:00"/>
    <x v="4"/>
    <s v="Барановичи"/>
    <s v="Ягоды"/>
    <s v="Черешня"/>
    <n v="1760"/>
    <n v="59"/>
    <n v="103.84"/>
    <x v="2"/>
  </r>
  <r>
    <d v="2023-02-03T00:00:00"/>
    <x v="1"/>
    <s v="Борисов"/>
    <s v="Овощи"/>
    <s v="Морковь"/>
    <n v="715"/>
    <n v="39"/>
    <n v="27.885000000000002"/>
    <x v="2"/>
  </r>
  <r>
    <d v="2023-02-03T00:00:00"/>
    <x v="2"/>
    <s v="Борисов"/>
    <s v="Ягоды"/>
    <s v="Клубника"/>
    <n v="2460"/>
    <n v="67"/>
    <n v="164.82"/>
    <x v="2"/>
  </r>
  <r>
    <d v="2023-02-03T00:00:00"/>
    <x v="2"/>
    <s v="Жодино"/>
    <s v="Овощи"/>
    <s v="Картофель"/>
    <n v="690"/>
    <n v="79"/>
    <n v="54.51"/>
    <x v="2"/>
  </r>
  <r>
    <d v="2023-02-03T00:00:00"/>
    <x v="4"/>
    <s v="Жодино"/>
    <s v="Фрукты"/>
    <s v="Сливы"/>
    <n v="930"/>
    <n v="44"/>
    <n v="40.92"/>
    <x v="2"/>
  </r>
  <r>
    <d v="2023-02-03T00:00:00"/>
    <x v="0"/>
    <s v="Минск"/>
    <s v="Овощи"/>
    <s v="Морковь"/>
    <n v="715"/>
    <n v="75"/>
    <n v="53.625"/>
    <x v="2"/>
  </r>
  <r>
    <d v="2023-02-03T00:00:00"/>
    <x v="2"/>
    <s v="Минск"/>
    <s v="Овощи"/>
    <s v="Кабачки"/>
    <n v="325"/>
    <n v="17"/>
    <n v="5.5250000000000004"/>
    <x v="2"/>
  </r>
  <r>
    <d v="2023-02-03T00:00:00"/>
    <x v="2"/>
    <s v="Столбцы"/>
    <s v="Зелень"/>
    <s v="Кинза"/>
    <n v="650"/>
    <n v="85"/>
    <n v="55.25"/>
    <x v="2"/>
  </r>
  <r>
    <d v="2023-02-03T00:00:00"/>
    <x v="2"/>
    <s v="Столбцы"/>
    <s v="Фрукты"/>
    <s v="Сливы"/>
    <n v="930"/>
    <n v="97"/>
    <n v="90.21"/>
    <x v="2"/>
  </r>
  <r>
    <d v="2023-02-03T00:00:00"/>
    <x v="1"/>
    <s v="Столбцы"/>
    <s v="Ягоды"/>
    <s v="Малина"/>
    <n v="2970"/>
    <n v="80"/>
    <n v="237.6"/>
    <x v="2"/>
  </r>
  <r>
    <d v="2023-02-03T00:00:00"/>
    <x v="4"/>
    <s v="Фаниполь"/>
    <s v="Овощи"/>
    <s v="Морковь"/>
    <n v="715"/>
    <n v="62"/>
    <n v="44.33"/>
    <x v="2"/>
  </r>
  <r>
    <s v="03.02.2023 Итог"/>
    <x v="3"/>
    <m/>
    <m/>
    <m/>
    <m/>
    <m/>
    <n v="878.51499999999999"/>
    <x v="2"/>
  </r>
  <r>
    <d v="2023-02-04T00:00:00"/>
    <x v="2"/>
    <s v="Барановичи"/>
    <s v="Зелень"/>
    <s v="Салат римский"/>
    <n v="540"/>
    <n v="73"/>
    <n v="39.42"/>
    <x v="2"/>
  </r>
  <r>
    <d v="2023-02-04T00:00:00"/>
    <x v="2"/>
    <s v="Барановичи"/>
    <s v="Овощи"/>
    <s v="Кабачки"/>
    <n v="325"/>
    <n v="50"/>
    <n v="16.25"/>
    <x v="2"/>
  </r>
  <r>
    <d v="2023-02-04T00:00:00"/>
    <x v="1"/>
    <s v="Жодино"/>
    <s v="Зелень"/>
    <s v="Укроп"/>
    <n v="650"/>
    <n v="29"/>
    <n v="18.850000000000001"/>
    <x v="2"/>
  </r>
  <r>
    <d v="2023-02-04T00:00:00"/>
    <x v="2"/>
    <s v="Жодино"/>
    <s v="Овощи"/>
    <s v="Морковь"/>
    <n v="715"/>
    <n v="39"/>
    <n v="27.885000000000002"/>
    <x v="2"/>
  </r>
  <r>
    <s v="04.02.2023 Итог"/>
    <x v="3"/>
    <m/>
    <m/>
    <m/>
    <m/>
    <m/>
    <n v="102.40500000000002"/>
    <x v="2"/>
  </r>
  <r>
    <d v="2023-02-05T00:00:00"/>
    <x v="2"/>
    <s v="Борисов"/>
    <s v="Овощи"/>
    <s v="Баклажаны"/>
    <n v="890"/>
    <n v="25"/>
    <n v="22.25"/>
    <x v="2"/>
  </r>
  <r>
    <d v="2023-02-05T00:00:00"/>
    <x v="0"/>
    <s v="Борисов"/>
    <s v="Фрукты"/>
    <s v="Бананы"/>
    <n v="2400"/>
    <n v="35"/>
    <n v="84"/>
    <x v="2"/>
  </r>
  <r>
    <d v="2023-02-05T00:00:00"/>
    <x v="1"/>
    <s v="Борисов"/>
    <s v="Ягоды"/>
    <s v="Голубика"/>
    <n v="3205"/>
    <n v="96"/>
    <n v="307.68"/>
    <x v="2"/>
  </r>
  <r>
    <d v="2023-02-05T00:00:00"/>
    <x v="2"/>
    <s v="Жодино"/>
    <s v="Овощи"/>
    <s v="Капуста"/>
    <n v="460"/>
    <n v="24"/>
    <n v="11.04"/>
    <x v="2"/>
  </r>
  <r>
    <d v="2023-02-05T00:00:00"/>
    <x v="2"/>
    <s v="Минск"/>
    <s v="Зелень"/>
    <s v="Салат римский"/>
    <n v="540"/>
    <n v="77"/>
    <n v="41.58"/>
    <x v="2"/>
  </r>
  <r>
    <d v="2023-02-05T00:00:00"/>
    <x v="2"/>
    <s v="Минск"/>
    <s v="Зелень"/>
    <s v="Салат римский"/>
    <n v="540"/>
    <n v="11"/>
    <n v="5.94"/>
    <x v="2"/>
  </r>
  <r>
    <d v="2023-02-05T00:00:00"/>
    <x v="4"/>
    <s v="Минск"/>
    <s v="Овощи"/>
    <s v="Баклажаны"/>
    <n v="890"/>
    <n v="75"/>
    <n v="66.75"/>
    <x v="2"/>
  </r>
  <r>
    <d v="2023-02-05T00:00:00"/>
    <x v="4"/>
    <s v="Минск"/>
    <s v="Ягоды"/>
    <s v="Клубника"/>
    <n v="2460"/>
    <n v="100"/>
    <n v="246"/>
    <x v="2"/>
  </r>
  <r>
    <d v="2023-02-05T00:00:00"/>
    <x v="1"/>
    <s v="Столбцы"/>
    <s v="Фрукты"/>
    <s v="Груши"/>
    <n v="1420"/>
    <n v="76"/>
    <n v="107.92"/>
    <x v="2"/>
  </r>
  <r>
    <s v="05.02.2023 Итог"/>
    <x v="3"/>
    <m/>
    <m/>
    <m/>
    <m/>
    <m/>
    <n v="893.16"/>
    <x v="2"/>
  </r>
  <r>
    <d v="2023-02-06T00:00:00"/>
    <x v="4"/>
    <s v="Барановичи"/>
    <s v="Зелень"/>
    <s v="Лук зеленый"/>
    <n v="705"/>
    <n v="33"/>
    <n v="23.265000000000001"/>
    <x v="2"/>
  </r>
  <r>
    <d v="2023-02-06T00:00:00"/>
    <x v="4"/>
    <s v="Барановичи"/>
    <s v="Фрукты"/>
    <s v="Бананы"/>
    <n v="2400"/>
    <n v="67"/>
    <n v="160.80000000000001"/>
    <x v="2"/>
  </r>
  <r>
    <d v="2023-02-06T00:00:00"/>
    <x v="4"/>
    <s v="Борисов"/>
    <s v="Зелень"/>
    <s v="Салат римский"/>
    <n v="540"/>
    <n v="68"/>
    <n v="36.72"/>
    <x v="2"/>
  </r>
  <r>
    <d v="2023-02-06T00:00:00"/>
    <x v="0"/>
    <s v="Жодино"/>
    <s v="Овощи"/>
    <s v="Свекла"/>
    <n v="450"/>
    <n v="20"/>
    <n v="9"/>
    <x v="2"/>
  </r>
  <r>
    <d v="2023-02-06T00:00:00"/>
    <x v="2"/>
    <s v="Столбцы"/>
    <s v="Зелень"/>
    <s v="Салат римский"/>
    <n v="540"/>
    <n v="79"/>
    <n v="42.66"/>
    <x v="2"/>
  </r>
  <r>
    <d v="2023-02-06T00:00:00"/>
    <x v="4"/>
    <s v="Столбцы"/>
    <s v="Ягоды"/>
    <s v="Черешня"/>
    <n v="1760"/>
    <n v="5"/>
    <n v="8.8000000000000007"/>
    <x v="2"/>
  </r>
  <r>
    <d v="2023-02-06T00:00:00"/>
    <x v="4"/>
    <s v="Фаниполь"/>
    <s v="Овощи"/>
    <s v="Кабачки"/>
    <n v="325"/>
    <n v="67"/>
    <n v="21.774999999999999"/>
    <x v="2"/>
  </r>
  <r>
    <d v="2023-02-06T00:00:00"/>
    <x v="2"/>
    <s v="Фаниполь"/>
    <s v="Фрукты"/>
    <s v="Сливы"/>
    <n v="930"/>
    <n v="26"/>
    <n v="24.18"/>
    <x v="2"/>
  </r>
  <r>
    <s v="06.02.2023 Итог"/>
    <x v="3"/>
    <m/>
    <m/>
    <m/>
    <m/>
    <m/>
    <n v="327.2"/>
    <x v="2"/>
  </r>
  <r>
    <d v="2023-02-07T00:00:00"/>
    <x v="1"/>
    <s v="Барановичи"/>
    <s v="Зелень"/>
    <s v="Петрушка"/>
    <n v="640"/>
    <n v="52"/>
    <n v="33.28"/>
    <x v="2"/>
  </r>
  <r>
    <d v="2023-02-07T00:00:00"/>
    <x v="2"/>
    <s v="Борисов"/>
    <s v="Ягоды"/>
    <s v="Черешня"/>
    <n v="1760"/>
    <n v="40"/>
    <n v="70.400000000000006"/>
    <x v="2"/>
  </r>
  <r>
    <d v="2023-02-07T00:00:00"/>
    <x v="2"/>
    <s v="Жодино"/>
    <s v="Овощи"/>
    <s v="Картофель"/>
    <n v="690"/>
    <n v="84"/>
    <n v="57.96"/>
    <x v="2"/>
  </r>
  <r>
    <d v="2023-02-07T00:00:00"/>
    <x v="4"/>
    <s v="Жодино"/>
    <s v="Фрукты"/>
    <s v="Груши"/>
    <n v="1420"/>
    <n v="97"/>
    <n v="137.74"/>
    <x v="2"/>
  </r>
  <r>
    <d v="2023-02-07T00:00:00"/>
    <x v="2"/>
    <s v="Жодино"/>
    <s v="Ягоды"/>
    <s v="Брусника"/>
    <n v="1670"/>
    <n v="84"/>
    <n v="140.28"/>
    <x v="2"/>
  </r>
  <r>
    <d v="2023-02-07T00:00:00"/>
    <x v="0"/>
    <s v="Жодино"/>
    <s v="Ягоды"/>
    <s v="Смородина черная"/>
    <n v="1505"/>
    <n v="20"/>
    <n v="30.1"/>
    <x v="2"/>
  </r>
  <r>
    <d v="2023-02-07T00:00:00"/>
    <x v="1"/>
    <s v="Минск"/>
    <s v="Зелень"/>
    <s v="Укроп"/>
    <n v="650"/>
    <n v="11"/>
    <n v="7.15"/>
    <x v="2"/>
  </r>
  <r>
    <d v="2023-02-07T00:00:00"/>
    <x v="4"/>
    <s v="Минск"/>
    <s v="Ягоды"/>
    <s v="Клубника"/>
    <n v="2460"/>
    <n v="70"/>
    <n v="172.2"/>
    <x v="2"/>
  </r>
  <r>
    <d v="2023-02-07T00:00:00"/>
    <x v="2"/>
    <s v="Столбцы"/>
    <s v="Овощи"/>
    <s v="Картофель"/>
    <n v="690"/>
    <n v="14"/>
    <n v="9.66"/>
    <x v="2"/>
  </r>
  <r>
    <d v="2023-02-07T00:00:00"/>
    <x v="0"/>
    <s v="Столбцы"/>
    <s v="Фрукты"/>
    <s v="Абрикосы"/>
    <n v="1320"/>
    <n v="90"/>
    <n v="118.8"/>
    <x v="2"/>
  </r>
  <r>
    <d v="2023-02-07T00:00:00"/>
    <x v="4"/>
    <s v="Столбцы"/>
    <s v="Фрукты"/>
    <s v="Бананы"/>
    <n v="2400"/>
    <n v="20"/>
    <n v="48"/>
    <x v="2"/>
  </r>
  <r>
    <d v="2023-02-07T00:00:00"/>
    <x v="0"/>
    <s v="Столбцы"/>
    <s v="Ягоды"/>
    <s v="Малина"/>
    <n v="2970"/>
    <n v="7"/>
    <n v="20.79"/>
    <x v="2"/>
  </r>
  <r>
    <d v="2023-02-07T00:00:00"/>
    <x v="2"/>
    <s v="Фаниполь"/>
    <s v="Овощи"/>
    <s v="Морковь"/>
    <n v="715"/>
    <n v="87"/>
    <n v="62.204999999999998"/>
    <x v="2"/>
  </r>
  <r>
    <s v="07.02.2023 Итог"/>
    <x v="3"/>
    <m/>
    <m/>
    <m/>
    <m/>
    <m/>
    <n v="908.56499999999983"/>
    <x v="2"/>
  </r>
  <r>
    <d v="2023-02-08T00:00:00"/>
    <x v="2"/>
    <s v="Барановичи"/>
    <s v="Фрукты"/>
    <s v="Абрикосы"/>
    <n v="1320"/>
    <n v="25"/>
    <n v="33"/>
    <x v="2"/>
  </r>
  <r>
    <d v="2023-02-08T00:00:00"/>
    <x v="1"/>
    <s v="Барановичи"/>
    <s v="Ягоды"/>
    <s v="Смородина черная"/>
    <n v="1505"/>
    <n v="89"/>
    <n v="133.94499999999999"/>
    <x v="2"/>
  </r>
  <r>
    <d v="2023-02-08T00:00:00"/>
    <x v="2"/>
    <s v="Борисов"/>
    <s v="Зелень"/>
    <s v="Укроп"/>
    <n v="650"/>
    <n v="88"/>
    <n v="57.2"/>
    <x v="2"/>
  </r>
  <r>
    <d v="2023-02-08T00:00:00"/>
    <x v="4"/>
    <s v="Минск"/>
    <s v="Фрукты"/>
    <s v="Абрикосы"/>
    <n v="1320"/>
    <n v="11"/>
    <n v="14.52"/>
    <x v="2"/>
  </r>
  <r>
    <d v="2023-02-08T00:00:00"/>
    <x v="2"/>
    <s v="Столбцы"/>
    <s v="Зелень"/>
    <s v="Лук зеленый"/>
    <n v="705"/>
    <n v="90"/>
    <n v="63.45"/>
    <x v="2"/>
  </r>
  <r>
    <d v="2023-02-08T00:00:00"/>
    <x v="1"/>
    <s v="Столбцы"/>
    <s v="Овощи"/>
    <s v="Капуста"/>
    <n v="460"/>
    <n v="43"/>
    <n v="19.78"/>
    <x v="2"/>
  </r>
  <r>
    <d v="2023-02-08T00:00:00"/>
    <x v="1"/>
    <s v="Столбцы"/>
    <s v="Фрукты"/>
    <s v="Апельсины"/>
    <n v="2540"/>
    <n v="70"/>
    <n v="177.8"/>
    <x v="2"/>
  </r>
  <r>
    <d v="2023-02-08T00:00:00"/>
    <x v="2"/>
    <s v="Фаниполь"/>
    <s v="Фрукты"/>
    <s v="Груши"/>
    <n v="1420"/>
    <n v="54"/>
    <n v="76.680000000000007"/>
    <x v="2"/>
  </r>
  <r>
    <s v="08.02.2023 Итог"/>
    <x v="3"/>
    <m/>
    <m/>
    <m/>
    <m/>
    <m/>
    <n v="576.375"/>
    <x v="2"/>
  </r>
  <r>
    <d v="2023-02-09T00:00:00"/>
    <x v="4"/>
    <s v="Барановичи"/>
    <s v="Зелень"/>
    <s v="Лук зеленый"/>
    <n v="705"/>
    <n v="95"/>
    <n v="66.974999999999994"/>
    <x v="2"/>
  </r>
  <r>
    <d v="2023-02-09T00:00:00"/>
    <x v="0"/>
    <s v="Барановичи"/>
    <s v="Ягоды"/>
    <s v="Смородина черная"/>
    <n v="1505"/>
    <n v="58"/>
    <n v="87.29"/>
    <x v="2"/>
  </r>
  <r>
    <d v="2023-02-09T00:00:00"/>
    <x v="2"/>
    <s v="Борисов"/>
    <s v="Зелень"/>
    <s v="Салат айсберг"/>
    <n v="1380"/>
    <n v="71"/>
    <n v="97.98"/>
    <x v="2"/>
  </r>
  <r>
    <d v="2023-02-09T00:00:00"/>
    <x v="1"/>
    <s v="Жодино"/>
    <s v="Зелень"/>
    <s v="Салат римский"/>
    <n v="540"/>
    <n v="15"/>
    <n v="8.1"/>
    <x v="2"/>
  </r>
  <r>
    <d v="2023-02-09T00:00:00"/>
    <x v="0"/>
    <s v="Столбцы"/>
    <s v="Фрукты"/>
    <s v="Абрикосы"/>
    <n v="1320"/>
    <n v="40"/>
    <n v="52.8"/>
    <x v="2"/>
  </r>
  <r>
    <d v="2023-02-09T00:00:00"/>
    <x v="1"/>
    <s v="Столбцы"/>
    <s v="Ягоды"/>
    <s v="Черешня"/>
    <n v="1760"/>
    <n v="63"/>
    <n v="110.88"/>
    <x v="2"/>
  </r>
  <r>
    <d v="2023-02-09T00:00:00"/>
    <x v="0"/>
    <s v="Столбцы"/>
    <s v="Ягоды"/>
    <s v="Черешня"/>
    <n v="1760"/>
    <n v="97"/>
    <n v="170.72"/>
    <x v="2"/>
  </r>
  <r>
    <d v="2023-02-09T00:00:00"/>
    <x v="2"/>
    <s v="Столбцы"/>
    <s v="Ягоды"/>
    <s v="Брусника"/>
    <n v="1670"/>
    <n v="27"/>
    <n v="45.09"/>
    <x v="2"/>
  </r>
  <r>
    <d v="2023-02-09T00:00:00"/>
    <x v="2"/>
    <s v="Фаниполь"/>
    <s v="Фрукты"/>
    <s v="Апельсины"/>
    <n v="2540"/>
    <n v="75"/>
    <n v="190.5"/>
    <x v="2"/>
  </r>
  <r>
    <d v="2023-02-09T00:00:00"/>
    <x v="1"/>
    <s v="Фаниполь"/>
    <s v="Фрукты"/>
    <s v="Сливы"/>
    <n v="930"/>
    <n v="60"/>
    <n v="55.8"/>
    <x v="2"/>
  </r>
  <r>
    <s v="09.02.2023 Итог"/>
    <x v="3"/>
    <m/>
    <m/>
    <m/>
    <m/>
    <m/>
    <n v="886.13499999999999"/>
    <x v="2"/>
  </r>
  <r>
    <d v="2023-02-10T00:00:00"/>
    <x v="2"/>
    <s v="Барановичи"/>
    <s v="Зелень"/>
    <s v="Лук зеленый"/>
    <n v="705"/>
    <n v="71"/>
    <n v="50.055"/>
    <x v="2"/>
  </r>
  <r>
    <d v="2023-02-10T00:00:00"/>
    <x v="1"/>
    <s v="Барановичи"/>
    <s v="Ягоды"/>
    <s v="Брусника"/>
    <n v="1670"/>
    <n v="70"/>
    <n v="116.9"/>
    <x v="2"/>
  </r>
  <r>
    <d v="2023-02-10T00:00:00"/>
    <x v="4"/>
    <s v="Борисов"/>
    <s v="Зелень"/>
    <s v="Петрушка"/>
    <n v="640"/>
    <n v="70"/>
    <n v="44.8"/>
    <x v="2"/>
  </r>
  <r>
    <d v="2023-02-10T00:00:00"/>
    <x v="1"/>
    <s v="Борисов"/>
    <s v="Овощи"/>
    <s v="Морковь"/>
    <n v="715"/>
    <n v="34"/>
    <n v="24.31"/>
    <x v="2"/>
  </r>
  <r>
    <d v="2023-02-10T00:00:00"/>
    <x v="1"/>
    <s v="Жодино"/>
    <s v="Ягоды"/>
    <s v="Смородина черная"/>
    <n v="1505"/>
    <n v="60"/>
    <n v="90.3"/>
    <x v="2"/>
  </r>
  <r>
    <d v="2023-02-10T00:00:00"/>
    <x v="1"/>
    <s v="Минск"/>
    <s v="Овощи"/>
    <s v="Свекла"/>
    <n v="450"/>
    <n v="50"/>
    <n v="22.5"/>
    <x v="2"/>
  </r>
  <r>
    <d v="2023-02-10T00:00:00"/>
    <x v="0"/>
    <s v="Столбцы"/>
    <s v="Фрукты"/>
    <s v="Абрикосы"/>
    <n v="1320"/>
    <n v="96"/>
    <n v="126.72"/>
    <x v="2"/>
  </r>
  <r>
    <d v="2023-02-10T00:00:00"/>
    <x v="1"/>
    <s v="Фаниполь"/>
    <s v="Ягоды"/>
    <s v="Клубника"/>
    <n v="2460"/>
    <n v="13"/>
    <n v="31.98"/>
    <x v="2"/>
  </r>
  <r>
    <d v="2023-02-10T00:00:00"/>
    <x v="0"/>
    <s v="Фаниполь"/>
    <s v="Ягоды"/>
    <s v="Голубика"/>
    <n v="3205"/>
    <n v="59"/>
    <n v="189.095"/>
    <x v="2"/>
  </r>
  <r>
    <s v="10.02.2023 Итог"/>
    <x v="3"/>
    <m/>
    <m/>
    <m/>
    <m/>
    <m/>
    <n v="696.66000000000008"/>
    <x v="2"/>
  </r>
  <r>
    <d v="2023-02-11T00:00:00"/>
    <x v="0"/>
    <s v="Барановичи"/>
    <s v="Фрукты"/>
    <s v="Сливы"/>
    <n v="930"/>
    <n v="26"/>
    <n v="24.18"/>
    <x v="2"/>
  </r>
  <r>
    <d v="2023-02-11T00:00:00"/>
    <x v="0"/>
    <s v="Борисов"/>
    <s v="Фрукты"/>
    <s v="Бананы"/>
    <n v="2400"/>
    <n v="34"/>
    <n v="81.599999999999994"/>
    <x v="2"/>
  </r>
  <r>
    <d v="2023-02-11T00:00:00"/>
    <x v="1"/>
    <s v="Борисов"/>
    <s v="Ягоды"/>
    <s v="Черешня"/>
    <n v="1760"/>
    <n v="38"/>
    <n v="66.88"/>
    <x v="2"/>
  </r>
  <r>
    <d v="2023-02-11T00:00:00"/>
    <x v="0"/>
    <s v="Жодино"/>
    <s v="Фрукты"/>
    <s v="Бананы"/>
    <n v="2400"/>
    <n v="91"/>
    <n v="218.4"/>
    <x v="2"/>
  </r>
  <r>
    <d v="2023-02-11T00:00:00"/>
    <x v="4"/>
    <s v="Минск"/>
    <s v="Овощи"/>
    <s v="Капуста"/>
    <n v="460"/>
    <n v="26"/>
    <n v="11.96"/>
    <x v="2"/>
  </r>
  <r>
    <d v="2023-02-11T00:00:00"/>
    <x v="4"/>
    <s v="Минск"/>
    <s v="Фрукты"/>
    <s v="Абрикосы"/>
    <n v="1320"/>
    <n v="71"/>
    <n v="93.72"/>
    <x v="2"/>
  </r>
  <r>
    <d v="2023-02-11T00:00:00"/>
    <x v="1"/>
    <s v="Минск"/>
    <s v="Ягоды"/>
    <s v="Брусника"/>
    <n v="1670"/>
    <n v="70"/>
    <n v="116.9"/>
    <x v="2"/>
  </r>
  <r>
    <d v="2023-02-11T00:00:00"/>
    <x v="0"/>
    <s v="Столбцы"/>
    <s v="Овощи"/>
    <s v="Кабачки"/>
    <n v="325"/>
    <n v="25"/>
    <n v="8.125"/>
    <x v="2"/>
  </r>
  <r>
    <d v="2023-02-11T00:00:00"/>
    <x v="1"/>
    <s v="Столбцы"/>
    <s v="Овощи"/>
    <s v="Баклажаны"/>
    <n v="890"/>
    <n v="31"/>
    <n v="27.59"/>
    <x v="2"/>
  </r>
  <r>
    <d v="2023-02-11T00:00:00"/>
    <x v="4"/>
    <s v="Столбцы"/>
    <s v="Овощи"/>
    <s v="Баклажаны"/>
    <n v="890"/>
    <n v="7"/>
    <n v="6.23"/>
    <x v="2"/>
  </r>
  <r>
    <s v="11.02.2023 Итог"/>
    <x v="3"/>
    <m/>
    <m/>
    <m/>
    <m/>
    <m/>
    <n v="655.58500000000004"/>
    <x v="2"/>
  </r>
  <r>
    <d v="2023-02-12T00:00:00"/>
    <x v="0"/>
    <s v="Барановичи"/>
    <s v="Фрукты"/>
    <s v="Сливы"/>
    <n v="930"/>
    <n v="22"/>
    <n v="20.46"/>
    <x v="2"/>
  </r>
  <r>
    <d v="2023-02-12T00:00:00"/>
    <x v="0"/>
    <s v="Барановичи"/>
    <s v="Фрукты"/>
    <s v="Абрикосы"/>
    <n v="1320"/>
    <n v="93"/>
    <n v="122.76"/>
    <x v="2"/>
  </r>
  <r>
    <d v="2023-02-12T00:00:00"/>
    <x v="4"/>
    <s v="Барановичи"/>
    <s v="Ягоды"/>
    <s v="Брусника"/>
    <n v="1670"/>
    <n v="97"/>
    <n v="161.99"/>
    <x v="2"/>
  </r>
  <r>
    <d v="2023-02-12T00:00:00"/>
    <x v="0"/>
    <s v="Барановичи"/>
    <s v="Ягоды"/>
    <s v="Брусника"/>
    <n v="1670"/>
    <n v="27"/>
    <n v="45.09"/>
    <x v="2"/>
  </r>
  <r>
    <d v="2023-02-12T00:00:00"/>
    <x v="1"/>
    <s v="Борисов"/>
    <s v="Ягоды"/>
    <s v="Малина"/>
    <n v="2970"/>
    <n v="55"/>
    <n v="163.35"/>
    <x v="2"/>
  </r>
  <r>
    <d v="2023-02-12T00:00:00"/>
    <x v="1"/>
    <s v="Столбцы"/>
    <s v="Овощи"/>
    <s v="Свекла"/>
    <n v="450"/>
    <n v="74"/>
    <n v="33.299999999999997"/>
    <x v="2"/>
  </r>
  <r>
    <d v="2023-02-12T00:00:00"/>
    <x v="0"/>
    <s v="Столбцы"/>
    <s v="Фрукты"/>
    <s v="Абрикосы"/>
    <n v="1320"/>
    <n v="7"/>
    <n v="9.24"/>
    <x v="2"/>
  </r>
  <r>
    <d v="2023-02-12T00:00:00"/>
    <x v="4"/>
    <s v="Столбцы"/>
    <s v="Ягоды"/>
    <s v="Голубика"/>
    <n v="3205"/>
    <n v="56"/>
    <n v="179.48"/>
    <x v="2"/>
  </r>
  <r>
    <d v="2023-02-12T00:00:00"/>
    <x v="4"/>
    <s v="Фаниполь"/>
    <s v="Фрукты"/>
    <s v="Апельсины"/>
    <n v="2540"/>
    <n v="56"/>
    <n v="142.24"/>
    <x v="2"/>
  </r>
  <r>
    <d v="2023-02-12T00:00:00"/>
    <x v="1"/>
    <s v="Борисов"/>
    <s v="Овощи"/>
    <s v="Картофель"/>
    <n v="690"/>
    <n v="29"/>
    <n v="20.010000000000002"/>
    <x v="2"/>
  </r>
  <r>
    <s v="12.02.2023 Итог"/>
    <x v="3"/>
    <m/>
    <m/>
    <m/>
    <m/>
    <m/>
    <n v="897.92000000000007"/>
    <x v="2"/>
  </r>
  <r>
    <d v="2023-02-13T00:00:00"/>
    <x v="2"/>
    <s v="Минск"/>
    <s v="Зелень"/>
    <s v="Лук зеленый"/>
    <n v="705"/>
    <n v="21"/>
    <n v="14.805"/>
    <x v="2"/>
  </r>
  <r>
    <d v="2023-02-13T00:00:00"/>
    <x v="2"/>
    <s v="Минск"/>
    <s v="Фрукты"/>
    <s v="Яблоки"/>
    <n v="1230"/>
    <n v="22"/>
    <n v="27.06"/>
    <x v="2"/>
  </r>
  <r>
    <d v="2023-02-13T00:00:00"/>
    <x v="2"/>
    <s v="Минск"/>
    <s v="Фрукты"/>
    <s v="Апельсины"/>
    <n v="2540"/>
    <n v="60"/>
    <n v="152.4"/>
    <x v="2"/>
  </r>
  <r>
    <d v="2023-02-13T00:00:00"/>
    <x v="0"/>
    <s v="Столбцы"/>
    <s v="Ягоды"/>
    <s v="Голубика"/>
    <n v="3205"/>
    <n v="54"/>
    <n v="173.07"/>
    <x v="2"/>
  </r>
  <r>
    <d v="2023-02-13T00:00:00"/>
    <x v="0"/>
    <s v="Борисов"/>
    <s v="Фрукты"/>
    <s v="Груши"/>
    <n v="1420"/>
    <n v="12"/>
    <n v="17.04"/>
    <x v="2"/>
  </r>
  <r>
    <s v="13.02.2023 Итог"/>
    <x v="3"/>
    <m/>
    <m/>
    <m/>
    <m/>
    <m/>
    <n v="384.375"/>
    <x v="2"/>
  </r>
  <r>
    <d v="2023-02-14T00:00:00"/>
    <x v="0"/>
    <s v="Барановичи"/>
    <s v="Зелень"/>
    <s v="Салат римский"/>
    <n v="540"/>
    <n v="98"/>
    <n v="52.92"/>
    <x v="2"/>
  </r>
  <r>
    <d v="2023-02-14T00:00:00"/>
    <x v="4"/>
    <s v="Борисов"/>
    <s v="Овощи"/>
    <s v="Баклажаны"/>
    <n v="890"/>
    <n v="74"/>
    <n v="65.86"/>
    <x v="2"/>
  </r>
  <r>
    <d v="2023-02-14T00:00:00"/>
    <x v="2"/>
    <s v="Борисов"/>
    <s v="Овощи"/>
    <s v="Баклажаны"/>
    <n v="890"/>
    <n v="88"/>
    <n v="78.319999999999993"/>
    <x v="2"/>
  </r>
  <r>
    <d v="2023-02-14T00:00:00"/>
    <x v="1"/>
    <s v="Борисов"/>
    <s v="Ягоды"/>
    <s v="Голубика"/>
    <n v="3205"/>
    <n v="94"/>
    <n v="301.27"/>
    <x v="2"/>
  </r>
  <r>
    <d v="2023-02-14T00:00:00"/>
    <x v="4"/>
    <s v="Борисов"/>
    <s v="Ягоды"/>
    <s v="Брусника"/>
    <n v="1670"/>
    <n v="26"/>
    <n v="43.42"/>
    <x v="2"/>
  </r>
  <r>
    <d v="2023-02-14T00:00:00"/>
    <x v="0"/>
    <s v="Жодино"/>
    <s v="Овощи"/>
    <s v="Морковь"/>
    <n v="715"/>
    <n v="22"/>
    <n v="15.73"/>
    <x v="2"/>
  </r>
  <r>
    <d v="2023-02-14T00:00:00"/>
    <x v="4"/>
    <s v="Жодино"/>
    <s v="Фрукты"/>
    <s v="Абрикосы"/>
    <n v="1320"/>
    <n v="41"/>
    <n v="54.12"/>
    <x v="2"/>
  </r>
  <r>
    <d v="2023-02-14T00:00:00"/>
    <x v="4"/>
    <s v="Жодино"/>
    <s v="Фрукты"/>
    <s v="Сливы"/>
    <n v="930"/>
    <n v="50"/>
    <n v="46.5"/>
    <x v="2"/>
  </r>
  <r>
    <d v="2023-02-14T00:00:00"/>
    <x v="1"/>
    <s v="Жодино"/>
    <s v="Ягоды"/>
    <s v="Смородина черная"/>
    <n v="1505"/>
    <n v="85"/>
    <n v="127.925"/>
    <x v="2"/>
  </r>
  <r>
    <d v="2023-02-14T00:00:00"/>
    <x v="1"/>
    <s v="Минск"/>
    <s v="Овощи"/>
    <s v="Морковь"/>
    <n v="715"/>
    <n v="14"/>
    <n v="10.01"/>
    <x v="2"/>
  </r>
  <r>
    <d v="2023-02-14T00:00:00"/>
    <x v="2"/>
    <s v="Минск"/>
    <s v="Фрукты"/>
    <s v="Бананы"/>
    <n v="2400"/>
    <n v="33"/>
    <n v="79.2"/>
    <x v="2"/>
  </r>
  <r>
    <d v="2023-02-14T00:00:00"/>
    <x v="1"/>
    <s v="Минск"/>
    <s v="Фрукты"/>
    <s v="Апельсины"/>
    <n v="2540"/>
    <n v="12"/>
    <n v="30.48"/>
    <x v="2"/>
  </r>
  <r>
    <d v="2023-02-14T00:00:00"/>
    <x v="0"/>
    <s v="Минск"/>
    <s v="Фрукты"/>
    <s v="Сливы"/>
    <n v="930"/>
    <n v="88"/>
    <n v="81.84"/>
    <x v="2"/>
  </r>
  <r>
    <d v="2023-02-14T00:00:00"/>
    <x v="2"/>
    <s v="Столбцы"/>
    <s v="Зелень"/>
    <s v="Салат айсберг"/>
    <n v="1380"/>
    <n v="43"/>
    <n v="59.34"/>
    <x v="2"/>
  </r>
  <r>
    <d v="2023-02-14T00:00:00"/>
    <x v="1"/>
    <s v="Столбцы"/>
    <s v="Ягоды"/>
    <s v="Голубика"/>
    <n v="3205"/>
    <n v="54"/>
    <n v="173.07"/>
    <x v="2"/>
  </r>
  <r>
    <d v="2023-02-14T00:00:00"/>
    <x v="0"/>
    <s v="Фаниполь"/>
    <s v="Зелень"/>
    <s v="Салат римский"/>
    <n v="540"/>
    <n v="10"/>
    <n v="5.4"/>
    <x v="2"/>
  </r>
  <r>
    <d v="2023-02-14T00:00:00"/>
    <x v="4"/>
    <s v="Фаниполь"/>
    <s v="Овощи"/>
    <s v="Кабачки"/>
    <n v="325"/>
    <n v="55"/>
    <n v="17.875"/>
    <x v="2"/>
  </r>
  <r>
    <d v="2023-02-14T00:00:00"/>
    <x v="4"/>
    <s v="Фаниполь"/>
    <s v="Фрукты"/>
    <s v="Апельсины"/>
    <n v="2540"/>
    <n v="41"/>
    <n v="104.14"/>
    <x v="2"/>
  </r>
  <r>
    <d v="2023-02-14T00:00:00"/>
    <x v="1"/>
    <s v="Борисов"/>
    <s v="Фрукты"/>
    <s v="Абрикосы"/>
    <n v="1320"/>
    <n v="31"/>
    <n v="40.92"/>
    <x v="2"/>
  </r>
  <r>
    <s v="14.02.2023 Итог"/>
    <x v="3"/>
    <m/>
    <m/>
    <m/>
    <m/>
    <m/>
    <n v="1388.3400000000001"/>
    <x v="2"/>
  </r>
  <r>
    <d v="2023-02-15T00:00:00"/>
    <x v="1"/>
    <s v="Барановичи"/>
    <s v="Зелень"/>
    <s v="Кинза"/>
    <n v="650"/>
    <n v="88"/>
    <n v="57.2"/>
    <x v="2"/>
  </r>
  <r>
    <d v="2023-02-15T00:00:00"/>
    <x v="0"/>
    <s v="Барановичи"/>
    <s v="Фрукты"/>
    <s v="Бананы"/>
    <n v="2400"/>
    <n v="51"/>
    <n v="122.4"/>
    <x v="2"/>
  </r>
  <r>
    <d v="2023-02-15T00:00:00"/>
    <x v="2"/>
    <s v="Барановичи"/>
    <s v="Ягоды"/>
    <s v="Клубника"/>
    <n v="2460"/>
    <n v="90"/>
    <n v="221.4"/>
    <x v="2"/>
  </r>
  <r>
    <d v="2023-02-15T00:00:00"/>
    <x v="4"/>
    <s v="Барановичи"/>
    <s v="Ягоды"/>
    <s v="Клубника"/>
    <n v="2460"/>
    <n v="6"/>
    <n v="14.76"/>
    <x v="2"/>
  </r>
  <r>
    <d v="2023-02-15T00:00:00"/>
    <x v="2"/>
    <s v="Борисов"/>
    <s v="Зелень"/>
    <s v="Салат римский"/>
    <n v="540"/>
    <n v="26"/>
    <n v="14.04"/>
    <x v="2"/>
  </r>
  <r>
    <d v="2023-02-15T00:00:00"/>
    <x v="2"/>
    <s v="Борисов"/>
    <s v="Овощи"/>
    <s v="Картофель"/>
    <n v="690"/>
    <n v="87"/>
    <n v="60.03"/>
    <x v="2"/>
  </r>
  <r>
    <d v="2023-02-15T00:00:00"/>
    <x v="0"/>
    <s v="Жодино"/>
    <s v="Зелень"/>
    <s v="Петрушка"/>
    <n v="640"/>
    <n v="26"/>
    <n v="16.64"/>
    <x v="2"/>
  </r>
  <r>
    <d v="2023-02-15T00:00:00"/>
    <x v="2"/>
    <s v="Жодино"/>
    <s v="Зелень"/>
    <s v="Кинза"/>
    <n v="650"/>
    <n v="54"/>
    <n v="35.1"/>
    <x v="2"/>
  </r>
  <r>
    <d v="2023-02-15T00:00:00"/>
    <x v="4"/>
    <s v="Жодино"/>
    <s v="Ягоды"/>
    <s v="Клубника"/>
    <n v="2460"/>
    <n v="56"/>
    <n v="137.76"/>
    <x v="2"/>
  </r>
  <r>
    <d v="2023-02-15T00:00:00"/>
    <x v="4"/>
    <s v="Минск"/>
    <s v="Овощи"/>
    <s v="Картофель"/>
    <n v="690"/>
    <n v="24"/>
    <n v="16.559999999999999"/>
    <x v="2"/>
  </r>
  <r>
    <d v="2023-02-15T00:00:00"/>
    <x v="4"/>
    <s v="Столбцы"/>
    <s v="Зелень"/>
    <s v="Кинза"/>
    <n v="650"/>
    <n v="71"/>
    <n v="46.15"/>
    <x v="2"/>
  </r>
  <r>
    <d v="2023-02-15T00:00:00"/>
    <x v="1"/>
    <s v="Столбцы"/>
    <s v="Овощи"/>
    <s v="Свекла"/>
    <n v="450"/>
    <n v="22"/>
    <n v="9.9"/>
    <x v="2"/>
  </r>
  <r>
    <d v="2023-02-15T00:00:00"/>
    <x v="2"/>
    <s v="Столбцы"/>
    <s v="Овощи"/>
    <s v="Кабачки"/>
    <n v="325"/>
    <n v="98"/>
    <n v="31.85"/>
    <x v="2"/>
  </r>
  <r>
    <d v="2023-02-15T00:00:00"/>
    <x v="2"/>
    <s v="Столбцы"/>
    <s v="Ягоды"/>
    <s v="Голубика"/>
    <n v="3205"/>
    <n v="86"/>
    <n v="275.63"/>
    <x v="2"/>
  </r>
  <r>
    <d v="2023-02-15T00:00:00"/>
    <x v="2"/>
    <s v="Столбцы"/>
    <s v="Ягоды"/>
    <s v="Голубика"/>
    <n v="3205"/>
    <n v="47"/>
    <n v="150.63499999999999"/>
    <x v="2"/>
  </r>
  <r>
    <d v="2023-02-15T00:00:00"/>
    <x v="4"/>
    <s v="Столбцы"/>
    <s v="Ягоды"/>
    <s v="Малина"/>
    <n v="2970"/>
    <n v="28"/>
    <n v="83.16"/>
    <x v="2"/>
  </r>
  <r>
    <d v="2023-02-15T00:00:00"/>
    <x v="4"/>
    <s v="Фаниполь"/>
    <s v="Зелень"/>
    <s v="Салат римский"/>
    <n v="540"/>
    <n v="34"/>
    <n v="18.36"/>
    <x v="2"/>
  </r>
  <r>
    <d v="2023-02-15T00:00:00"/>
    <x v="2"/>
    <s v="Фаниполь"/>
    <s v="Ягоды"/>
    <s v="Клубника"/>
    <n v="2460"/>
    <n v="28"/>
    <n v="68.88"/>
    <x v="2"/>
  </r>
  <r>
    <d v="2023-02-15T00:00:00"/>
    <x v="2"/>
    <s v="Фаниполь"/>
    <s v="Ягоды"/>
    <s v="Голубика"/>
    <n v="3205"/>
    <n v="90"/>
    <n v="288.45"/>
    <x v="2"/>
  </r>
  <r>
    <d v="2023-02-15T00:00:00"/>
    <x v="2"/>
    <s v="Жодино"/>
    <s v="Зелень"/>
    <s v="Лук зеленый"/>
    <n v="705"/>
    <n v="12"/>
    <n v="8.4600000000000009"/>
    <x v="2"/>
  </r>
  <r>
    <s v="15.02.2023 Итог"/>
    <x v="3"/>
    <m/>
    <m/>
    <m/>
    <m/>
    <m/>
    <n v="1677.365"/>
    <x v="2"/>
  </r>
  <r>
    <d v="2023-02-16T00:00:00"/>
    <x v="1"/>
    <s v="Барановичи"/>
    <s v="Зелень"/>
    <s v="Петрушка"/>
    <n v="640"/>
    <n v="23"/>
    <n v="14.72"/>
    <x v="2"/>
  </r>
  <r>
    <d v="2023-02-16T00:00:00"/>
    <x v="2"/>
    <s v="Барановичи"/>
    <s v="Овощи"/>
    <s v="Свекла"/>
    <n v="450"/>
    <n v="78"/>
    <n v="35.1"/>
    <x v="2"/>
  </r>
  <r>
    <d v="2023-02-16T00:00:00"/>
    <x v="2"/>
    <s v="Борисов"/>
    <s v="Зелень"/>
    <s v="Кинза"/>
    <n v="650"/>
    <n v="58"/>
    <n v="37.700000000000003"/>
    <x v="2"/>
  </r>
  <r>
    <d v="2023-02-16T00:00:00"/>
    <x v="4"/>
    <s v="Борисов"/>
    <s v="Зелень"/>
    <s v="Кинза"/>
    <n v="650"/>
    <n v="92"/>
    <n v="59.8"/>
    <x v="2"/>
  </r>
  <r>
    <d v="2023-02-16T00:00:00"/>
    <x v="1"/>
    <s v="Борисов"/>
    <s v="Овощи"/>
    <s v="Свекла"/>
    <n v="450"/>
    <n v="91"/>
    <n v="40.950000000000003"/>
    <x v="2"/>
  </r>
  <r>
    <d v="2023-02-16T00:00:00"/>
    <x v="4"/>
    <s v="Борисов"/>
    <s v="Ягоды"/>
    <s v="Черешня"/>
    <n v="1760"/>
    <n v="92"/>
    <n v="161.91999999999999"/>
    <x v="2"/>
  </r>
  <r>
    <d v="2023-02-16T00:00:00"/>
    <x v="2"/>
    <s v="Борисов"/>
    <s v="Ягоды"/>
    <s v="Смородина черная"/>
    <n v="1505"/>
    <n v="14"/>
    <n v="21.07"/>
    <x v="2"/>
  </r>
  <r>
    <d v="2023-02-16T00:00:00"/>
    <x v="2"/>
    <s v="Борисов"/>
    <s v="Ягоды"/>
    <s v="Брусника"/>
    <n v="1670"/>
    <n v="5"/>
    <n v="8.35"/>
    <x v="2"/>
  </r>
  <r>
    <d v="2023-02-16T00:00:00"/>
    <x v="2"/>
    <s v="Жодино"/>
    <s v="Зелень"/>
    <s v="Лук зеленый"/>
    <n v="705"/>
    <n v="81"/>
    <n v="57.104999999999997"/>
    <x v="2"/>
  </r>
  <r>
    <d v="2023-02-16T00:00:00"/>
    <x v="0"/>
    <s v="Жодино"/>
    <s v="Зелень"/>
    <s v="Салат айсберг"/>
    <n v="1380"/>
    <n v="34"/>
    <n v="46.92"/>
    <x v="2"/>
  </r>
  <r>
    <d v="2023-02-16T00:00:00"/>
    <x v="2"/>
    <s v="Жодино"/>
    <s v="Овощи"/>
    <s v="Свекла"/>
    <n v="450"/>
    <n v="9"/>
    <n v="4.05"/>
    <x v="2"/>
  </r>
  <r>
    <d v="2023-02-16T00:00:00"/>
    <x v="1"/>
    <s v="Жодино"/>
    <s v="Фрукты"/>
    <s v="Абрикосы"/>
    <n v="1320"/>
    <n v="5"/>
    <n v="6.6"/>
    <x v="2"/>
  </r>
  <r>
    <d v="2023-02-16T00:00:00"/>
    <x v="1"/>
    <s v="Жодино"/>
    <s v="Ягоды"/>
    <s v="Брусника"/>
    <n v="1670"/>
    <n v="63"/>
    <n v="105.21"/>
    <x v="2"/>
  </r>
  <r>
    <d v="2023-02-16T00:00:00"/>
    <x v="1"/>
    <s v="Жодино"/>
    <s v="Ягоды"/>
    <s v="Черешня"/>
    <n v="1760"/>
    <n v="12"/>
    <n v="21.12"/>
    <x v="2"/>
  </r>
  <r>
    <d v="2023-02-16T00:00:00"/>
    <x v="0"/>
    <s v="Минск"/>
    <s v="Овощи"/>
    <s v="Морковь"/>
    <n v="715"/>
    <n v="64"/>
    <n v="45.76"/>
    <x v="2"/>
  </r>
  <r>
    <d v="2023-02-16T00:00:00"/>
    <x v="4"/>
    <s v="Минск"/>
    <s v="Овощи"/>
    <s v="Баклажаны"/>
    <n v="890"/>
    <n v="84"/>
    <n v="74.760000000000005"/>
    <x v="2"/>
  </r>
  <r>
    <d v="2023-02-16T00:00:00"/>
    <x v="1"/>
    <s v="Минск"/>
    <s v="Фрукты"/>
    <s v="Яблоки"/>
    <n v="1230"/>
    <n v="34"/>
    <n v="41.82"/>
    <x v="2"/>
  </r>
  <r>
    <d v="2023-02-16T00:00:00"/>
    <x v="4"/>
    <s v="Минск"/>
    <s v="Ягоды"/>
    <s v="Малина"/>
    <n v="2970"/>
    <n v="74"/>
    <n v="219.78"/>
    <x v="2"/>
  </r>
  <r>
    <d v="2023-02-16T00:00:00"/>
    <x v="2"/>
    <s v="Столбцы"/>
    <s v="Зелень"/>
    <s v="Кинза"/>
    <n v="650"/>
    <n v="42"/>
    <n v="27.3"/>
    <x v="2"/>
  </r>
  <r>
    <d v="2023-02-16T00:00:00"/>
    <x v="2"/>
    <s v="Столбцы"/>
    <s v="Овощи"/>
    <s v="Кабачки"/>
    <n v="325"/>
    <n v="81"/>
    <n v="26.324999999999999"/>
    <x v="2"/>
  </r>
  <r>
    <d v="2023-02-16T00:00:00"/>
    <x v="2"/>
    <s v="Столбцы"/>
    <s v="Фрукты"/>
    <s v="Бананы"/>
    <n v="2400"/>
    <n v="8"/>
    <n v="19.2"/>
    <x v="2"/>
  </r>
  <r>
    <d v="2023-02-16T00:00:00"/>
    <x v="4"/>
    <s v="Столбцы"/>
    <s v="Ягоды"/>
    <s v="Малина"/>
    <n v="2970"/>
    <n v="28"/>
    <n v="83.16"/>
    <x v="2"/>
  </r>
  <r>
    <d v="2023-02-16T00:00:00"/>
    <x v="0"/>
    <s v="Столбцы"/>
    <s v="Ягоды"/>
    <s v="Голубика"/>
    <n v="3205"/>
    <n v="53"/>
    <n v="169.86500000000001"/>
    <x v="2"/>
  </r>
  <r>
    <d v="2023-02-16T00:00:00"/>
    <x v="1"/>
    <s v="Фаниполь"/>
    <s v="Фрукты"/>
    <s v="Бананы"/>
    <n v="2400"/>
    <n v="16"/>
    <n v="38.4"/>
    <x v="2"/>
  </r>
  <r>
    <d v="2023-02-16T00:00:00"/>
    <x v="4"/>
    <s v="Фаниполь"/>
    <s v="Фрукты"/>
    <s v="Яблоки"/>
    <n v="1230"/>
    <n v="66"/>
    <n v="81.180000000000007"/>
    <x v="2"/>
  </r>
  <r>
    <d v="2023-02-16T00:00:00"/>
    <x v="0"/>
    <s v="Фаниполь"/>
    <s v="Ягоды"/>
    <s v="Брусника"/>
    <n v="1670"/>
    <n v="72"/>
    <n v="120.24"/>
    <x v="2"/>
  </r>
  <r>
    <d v="2023-02-16T00:00:00"/>
    <x v="1"/>
    <s v="Фаниполь"/>
    <s v="Ягоды"/>
    <s v="Малина"/>
    <n v="2970"/>
    <n v="81"/>
    <n v="240.57"/>
    <x v="2"/>
  </r>
  <r>
    <d v="2023-02-16T00:00:00"/>
    <x v="1"/>
    <s v="Жодино"/>
    <s v="Овощи"/>
    <s v="Картофель"/>
    <n v="690"/>
    <n v="78"/>
    <n v="53.82"/>
    <x v="2"/>
  </r>
  <r>
    <s v="16.02.2023 Итог"/>
    <x v="3"/>
    <m/>
    <m/>
    <m/>
    <m/>
    <m/>
    <n v="1862.7950000000003"/>
    <x v="2"/>
  </r>
  <r>
    <d v="2023-02-17T00:00:00"/>
    <x v="2"/>
    <s v="Борисов"/>
    <s v="Зелень"/>
    <s v="Укроп"/>
    <n v="650"/>
    <n v="34"/>
    <n v="22.1"/>
    <x v="2"/>
  </r>
  <r>
    <d v="2023-02-17T00:00:00"/>
    <x v="2"/>
    <s v="Борисов"/>
    <s v="Зелень"/>
    <s v="Салат римский"/>
    <n v="540"/>
    <n v="46"/>
    <n v="24.84"/>
    <x v="2"/>
  </r>
  <r>
    <d v="2023-02-17T00:00:00"/>
    <x v="0"/>
    <s v="Борисов"/>
    <s v="Ягоды"/>
    <s v="Голубика"/>
    <n v="3205"/>
    <n v="38"/>
    <n v="121.79"/>
    <x v="2"/>
  </r>
  <r>
    <d v="2023-02-17T00:00:00"/>
    <x v="1"/>
    <s v="Жодино"/>
    <s v="Зелень"/>
    <s v="Салат римский"/>
    <n v="540"/>
    <n v="32"/>
    <n v="17.28"/>
    <x v="2"/>
  </r>
  <r>
    <d v="2023-02-17T00:00:00"/>
    <x v="0"/>
    <s v="Жодино"/>
    <s v="Ягоды"/>
    <s v="Черешня"/>
    <n v="1760"/>
    <n v="36"/>
    <n v="63.36"/>
    <x v="2"/>
  </r>
  <r>
    <d v="2023-02-17T00:00:00"/>
    <x v="4"/>
    <s v="Жодино"/>
    <s v="Ягоды"/>
    <s v="Клубника"/>
    <n v="2460"/>
    <n v="95"/>
    <n v="233.7"/>
    <x v="2"/>
  </r>
  <r>
    <d v="2023-02-17T00:00:00"/>
    <x v="4"/>
    <s v="Минск"/>
    <s v="Зелень"/>
    <s v="Лук зеленый"/>
    <n v="705"/>
    <n v="57"/>
    <n v="40.185000000000002"/>
    <x v="2"/>
  </r>
  <r>
    <d v="2023-02-17T00:00:00"/>
    <x v="1"/>
    <s v="Минск"/>
    <s v="Фрукты"/>
    <s v="Сливы"/>
    <n v="930"/>
    <n v="36"/>
    <n v="33.479999999999997"/>
    <x v="2"/>
  </r>
  <r>
    <d v="2023-02-17T00:00:00"/>
    <x v="4"/>
    <s v="Столбцы"/>
    <s v="Фрукты"/>
    <s v="Апельсины"/>
    <n v="2540"/>
    <n v="55"/>
    <n v="139.69999999999999"/>
    <x v="2"/>
  </r>
  <r>
    <d v="2023-02-17T00:00:00"/>
    <x v="2"/>
    <s v="Столбцы"/>
    <s v="Фрукты"/>
    <s v="Апельсины"/>
    <n v="2540"/>
    <n v="7"/>
    <n v="17.78"/>
    <x v="2"/>
  </r>
  <r>
    <d v="2023-02-17T00:00:00"/>
    <x v="4"/>
    <s v="Столбцы"/>
    <s v="Ягоды"/>
    <s v="Смородина черная"/>
    <n v="1505"/>
    <n v="90"/>
    <n v="135.44999999999999"/>
    <x v="2"/>
  </r>
  <r>
    <d v="2023-02-17T00:00:00"/>
    <x v="4"/>
    <s v="Фаниполь"/>
    <s v="Овощи"/>
    <s v="Картофель"/>
    <n v="690"/>
    <n v="96"/>
    <n v="66.239999999999995"/>
    <x v="2"/>
  </r>
  <r>
    <d v="2023-02-17T00:00:00"/>
    <x v="2"/>
    <s v="Фаниполь"/>
    <s v="Овощи"/>
    <s v="Морковь"/>
    <n v="715"/>
    <n v="73"/>
    <n v="52.195"/>
    <x v="2"/>
  </r>
  <r>
    <d v="2023-02-17T00:00:00"/>
    <x v="0"/>
    <s v="Фаниполь"/>
    <s v="Фрукты"/>
    <s v="Сливы"/>
    <n v="930"/>
    <n v="25"/>
    <n v="23.25"/>
    <x v="2"/>
  </r>
  <r>
    <d v="2023-02-17T00:00:00"/>
    <x v="2"/>
    <s v="Жодино"/>
    <s v="Ягоды"/>
    <s v="Смородина черная"/>
    <n v="1505"/>
    <n v="25"/>
    <n v="37.625"/>
    <x v="2"/>
  </r>
  <r>
    <s v="17.02.2023 Итог"/>
    <x v="3"/>
    <m/>
    <m/>
    <m/>
    <m/>
    <m/>
    <n v="1028.9749999999999"/>
    <x v="2"/>
  </r>
  <r>
    <d v="2023-02-18T00:00:00"/>
    <x v="1"/>
    <s v="Барановичи"/>
    <s v="Зелень"/>
    <s v="Салат айсберг"/>
    <n v="1380"/>
    <n v="29"/>
    <n v="40.020000000000003"/>
    <x v="2"/>
  </r>
  <r>
    <d v="2023-02-18T00:00:00"/>
    <x v="4"/>
    <s v="Барановичи"/>
    <s v="Фрукты"/>
    <s v="Груши"/>
    <n v="1420"/>
    <n v="84"/>
    <n v="119.28"/>
    <x v="2"/>
  </r>
  <r>
    <d v="2023-02-18T00:00:00"/>
    <x v="0"/>
    <s v="Борисов"/>
    <s v="Зелень"/>
    <s v="Салат айсберг"/>
    <n v="1380"/>
    <n v="19"/>
    <n v="26.22"/>
    <x v="2"/>
  </r>
  <r>
    <d v="2023-02-18T00:00:00"/>
    <x v="4"/>
    <s v="Борисов"/>
    <s v="Овощи"/>
    <s v="Баклажаны"/>
    <n v="890"/>
    <n v="65"/>
    <n v="57.85"/>
    <x v="2"/>
  </r>
  <r>
    <d v="2023-02-18T00:00:00"/>
    <x v="2"/>
    <s v="Борисов"/>
    <s v="Фрукты"/>
    <s v="Груши"/>
    <n v="1420"/>
    <n v="55"/>
    <n v="78.099999999999994"/>
    <x v="2"/>
  </r>
  <r>
    <d v="2023-02-18T00:00:00"/>
    <x v="2"/>
    <s v="Борисов"/>
    <s v="Ягоды"/>
    <s v="Голубика"/>
    <n v="3205"/>
    <n v="5"/>
    <n v="16.024999999999999"/>
    <x v="2"/>
  </r>
  <r>
    <d v="2023-02-18T00:00:00"/>
    <x v="1"/>
    <s v="Жодино"/>
    <s v="Зелень"/>
    <s v="Кинза"/>
    <n v="650"/>
    <n v="29"/>
    <n v="18.850000000000001"/>
    <x v="2"/>
  </r>
  <r>
    <d v="2023-02-18T00:00:00"/>
    <x v="2"/>
    <s v="Жодино"/>
    <s v="Зелень"/>
    <s v="Салат римский"/>
    <n v="540"/>
    <n v="79"/>
    <n v="42.66"/>
    <x v="2"/>
  </r>
  <r>
    <d v="2023-02-18T00:00:00"/>
    <x v="1"/>
    <s v="Жодино"/>
    <s v="Зелень"/>
    <s v="Кинза"/>
    <n v="650"/>
    <n v="99"/>
    <n v="64.349999999999994"/>
    <x v="2"/>
  </r>
  <r>
    <d v="2023-02-18T00:00:00"/>
    <x v="1"/>
    <s v="Жодино"/>
    <s v="Зелень"/>
    <s v="Петрушка"/>
    <n v="640"/>
    <n v="79"/>
    <n v="50.56"/>
    <x v="2"/>
  </r>
  <r>
    <d v="2023-02-18T00:00:00"/>
    <x v="2"/>
    <s v="Жодино"/>
    <s v="Овощи"/>
    <s v="Морковь"/>
    <n v="715"/>
    <n v="16"/>
    <n v="11.44"/>
    <x v="2"/>
  </r>
  <r>
    <d v="2023-02-18T00:00:00"/>
    <x v="2"/>
    <s v="Жодино"/>
    <s v="Фрукты"/>
    <s v="Сливы"/>
    <n v="930"/>
    <n v="46"/>
    <n v="42.78"/>
    <x v="2"/>
  </r>
  <r>
    <d v="2023-02-18T00:00:00"/>
    <x v="0"/>
    <s v="Жодино"/>
    <s v="Ягоды"/>
    <s v="Брусника"/>
    <n v="1670"/>
    <n v="13"/>
    <n v="21.71"/>
    <x v="2"/>
  </r>
  <r>
    <d v="2023-02-18T00:00:00"/>
    <x v="1"/>
    <s v="Минск"/>
    <s v="Зелень"/>
    <s v="Кинза"/>
    <n v="650"/>
    <n v="90"/>
    <n v="58.5"/>
    <x v="2"/>
  </r>
  <r>
    <d v="2023-02-18T00:00:00"/>
    <x v="0"/>
    <s v="Минск"/>
    <s v="Зелень"/>
    <s v="Салат римский"/>
    <n v="540"/>
    <n v="55"/>
    <n v="29.7"/>
    <x v="2"/>
  </r>
  <r>
    <d v="2023-02-18T00:00:00"/>
    <x v="1"/>
    <s v="Минск"/>
    <s v="Овощи"/>
    <s v="Картофель"/>
    <n v="690"/>
    <n v="51"/>
    <n v="35.19"/>
    <x v="2"/>
  </r>
  <r>
    <d v="2023-02-18T00:00:00"/>
    <x v="2"/>
    <s v="Минск"/>
    <s v="Овощи"/>
    <s v="Кабачки"/>
    <n v="325"/>
    <n v="59"/>
    <n v="19.175000000000001"/>
    <x v="2"/>
  </r>
  <r>
    <d v="2023-02-18T00:00:00"/>
    <x v="2"/>
    <s v="Столбцы"/>
    <s v="Овощи"/>
    <s v="Свекла"/>
    <n v="450"/>
    <n v="47"/>
    <n v="21.15"/>
    <x v="2"/>
  </r>
  <r>
    <d v="2023-02-18T00:00:00"/>
    <x v="2"/>
    <s v="Столбцы"/>
    <s v="Ягоды"/>
    <s v="Голубика"/>
    <n v="3205"/>
    <n v="82"/>
    <n v="262.81"/>
    <x v="2"/>
  </r>
  <r>
    <d v="2023-02-18T00:00:00"/>
    <x v="0"/>
    <s v="Фаниполь"/>
    <s v="Зелень"/>
    <s v="Петрушка"/>
    <n v="640"/>
    <n v="33"/>
    <n v="21.12"/>
    <x v="2"/>
  </r>
  <r>
    <d v="2023-02-18T00:00:00"/>
    <x v="1"/>
    <s v="Фаниполь"/>
    <s v="Зелень"/>
    <s v="Салат айсберг"/>
    <n v="1380"/>
    <n v="34"/>
    <n v="46.92"/>
    <x v="2"/>
  </r>
  <r>
    <d v="2023-02-18T00:00:00"/>
    <x v="4"/>
    <s v="Фаниполь"/>
    <s v="Фрукты"/>
    <s v="Сливы"/>
    <n v="930"/>
    <n v="46"/>
    <n v="42.78"/>
    <x v="2"/>
  </r>
  <r>
    <d v="2023-02-18T00:00:00"/>
    <x v="2"/>
    <s v="Фаниполь"/>
    <s v="Фрукты"/>
    <s v="Груши"/>
    <n v="1420"/>
    <n v="75"/>
    <n v="106.5"/>
    <x v="2"/>
  </r>
  <r>
    <d v="2023-02-18T00:00:00"/>
    <x v="2"/>
    <s v="Фаниполь"/>
    <s v="Фрукты"/>
    <s v="Абрикосы"/>
    <n v="1320"/>
    <n v="90"/>
    <n v="118.8"/>
    <x v="2"/>
  </r>
  <r>
    <d v="2023-02-18T00:00:00"/>
    <x v="1"/>
    <s v="Фаниполь"/>
    <s v="Фрукты"/>
    <s v="Яблоки"/>
    <n v="1230"/>
    <n v="33"/>
    <n v="40.590000000000003"/>
    <x v="2"/>
  </r>
  <r>
    <d v="2023-02-18T00:00:00"/>
    <x v="0"/>
    <s v="Фаниполь"/>
    <s v="Ягоды"/>
    <s v="Черешня"/>
    <n v="1760"/>
    <n v="80"/>
    <n v="140.80000000000001"/>
    <x v="2"/>
  </r>
  <r>
    <d v="2023-02-18T00:00:00"/>
    <x v="0"/>
    <s v="Жодино"/>
    <s v="Ягоды"/>
    <s v="Смородина черная"/>
    <n v="1505"/>
    <n v="53"/>
    <n v="79.765000000000001"/>
    <x v="2"/>
  </r>
  <r>
    <s v="18.02.2023 Итог"/>
    <x v="3"/>
    <m/>
    <m/>
    <m/>
    <m/>
    <m/>
    <n v="1613.645"/>
    <x v="2"/>
  </r>
  <r>
    <d v="2023-02-19T00:00:00"/>
    <x v="2"/>
    <s v="Барановичи"/>
    <s v="Зелень"/>
    <s v="Укроп"/>
    <n v="650"/>
    <n v="32"/>
    <n v="20.8"/>
    <x v="2"/>
  </r>
  <r>
    <d v="2023-02-19T00:00:00"/>
    <x v="4"/>
    <s v="Борисов"/>
    <s v="Ягоды"/>
    <s v="Смородина черная"/>
    <n v="1505"/>
    <n v="55"/>
    <n v="82.775000000000006"/>
    <x v="2"/>
  </r>
  <r>
    <d v="2023-02-19T00:00:00"/>
    <x v="0"/>
    <s v="Жодино"/>
    <s v="Овощи"/>
    <s v="Капуста"/>
    <n v="460"/>
    <n v="58"/>
    <n v="26.68"/>
    <x v="2"/>
  </r>
  <r>
    <d v="2023-02-19T00:00:00"/>
    <x v="0"/>
    <s v="Минск"/>
    <s v="Овощи"/>
    <s v="Морковь"/>
    <n v="715"/>
    <n v="79"/>
    <n v="56.484999999999999"/>
    <x v="2"/>
  </r>
  <r>
    <d v="2023-02-19T00:00:00"/>
    <x v="4"/>
    <s v="Минск"/>
    <s v="Овощи"/>
    <s v="Капуста"/>
    <n v="460"/>
    <n v="12"/>
    <n v="5.52"/>
    <x v="2"/>
  </r>
  <r>
    <d v="2023-02-19T00:00:00"/>
    <x v="1"/>
    <s v="Минск"/>
    <s v="Фрукты"/>
    <s v="Бананы"/>
    <n v="2400"/>
    <n v="12"/>
    <n v="28.8"/>
    <x v="2"/>
  </r>
  <r>
    <d v="2023-02-19T00:00:00"/>
    <x v="1"/>
    <s v="Минск"/>
    <s v="Ягоды"/>
    <s v="Малина"/>
    <n v="2970"/>
    <n v="56"/>
    <n v="166.32"/>
    <x v="2"/>
  </r>
  <r>
    <d v="2023-02-19T00:00:00"/>
    <x v="2"/>
    <s v="Столбцы"/>
    <s v="Овощи"/>
    <s v="Картофель"/>
    <n v="690"/>
    <n v="12"/>
    <n v="8.2799999999999994"/>
    <x v="2"/>
  </r>
  <r>
    <d v="2023-02-19T00:00:00"/>
    <x v="4"/>
    <s v="Столбцы"/>
    <s v="Овощи"/>
    <s v="Свекла"/>
    <n v="450"/>
    <n v="36"/>
    <n v="16.2"/>
    <x v="2"/>
  </r>
  <r>
    <d v="2023-02-19T00:00:00"/>
    <x v="1"/>
    <s v="Столбцы"/>
    <s v="Ягоды"/>
    <s v="Малина"/>
    <n v="2970"/>
    <n v="53"/>
    <n v="157.41"/>
    <x v="2"/>
  </r>
  <r>
    <d v="2023-02-19T00:00:00"/>
    <x v="1"/>
    <s v="Фаниполь"/>
    <s v="Зелень"/>
    <s v="Кинза"/>
    <n v="650"/>
    <n v="90"/>
    <n v="58.5"/>
    <x v="2"/>
  </r>
  <r>
    <d v="2023-02-19T00:00:00"/>
    <x v="4"/>
    <s v="Фаниполь"/>
    <s v="Фрукты"/>
    <s v="Яблоки"/>
    <n v="1230"/>
    <n v="54"/>
    <n v="66.42"/>
    <x v="2"/>
  </r>
  <r>
    <d v="2023-02-19T00:00:00"/>
    <x v="4"/>
    <s v="Борисов"/>
    <s v="Зелень"/>
    <s v="Лук зеленый"/>
    <n v="705"/>
    <n v="54"/>
    <n v="38.07"/>
    <x v="2"/>
  </r>
  <r>
    <d v="2023-02-19T00:00:00"/>
    <x v="0"/>
    <s v="Жодино"/>
    <s v="Ягоды"/>
    <s v="Малина"/>
    <n v="2970"/>
    <n v="17"/>
    <n v="50.49"/>
    <x v="2"/>
  </r>
  <r>
    <s v="19.02.2023 Итог"/>
    <x v="3"/>
    <m/>
    <m/>
    <m/>
    <m/>
    <m/>
    <n v="782.75"/>
    <x v="2"/>
  </r>
  <r>
    <d v="2023-02-20T00:00:00"/>
    <x v="0"/>
    <s v="Барановичи"/>
    <s v="Зелень"/>
    <s v="Лук зеленый"/>
    <n v="705"/>
    <n v="89"/>
    <n v="62.744999999999997"/>
    <x v="2"/>
  </r>
  <r>
    <d v="2023-02-20T00:00:00"/>
    <x v="2"/>
    <s v="Барановичи"/>
    <s v="Фрукты"/>
    <s v="Груши"/>
    <n v="1420"/>
    <n v="81"/>
    <n v="115.02"/>
    <x v="2"/>
  </r>
  <r>
    <d v="2023-02-20T00:00:00"/>
    <x v="4"/>
    <s v="Барановичи"/>
    <s v="Фрукты"/>
    <s v="Абрикосы"/>
    <n v="1320"/>
    <n v="5"/>
    <n v="6.6"/>
    <x v="2"/>
  </r>
  <r>
    <d v="2023-02-20T00:00:00"/>
    <x v="0"/>
    <s v="Борисов"/>
    <s v="Зелень"/>
    <s v="Салат римский"/>
    <n v="540"/>
    <n v="46"/>
    <n v="24.84"/>
    <x v="2"/>
  </r>
  <r>
    <d v="2023-02-20T00:00:00"/>
    <x v="4"/>
    <s v="Борисов"/>
    <s v="Овощи"/>
    <s v="Капуста"/>
    <n v="460"/>
    <n v="48"/>
    <n v="22.08"/>
    <x v="2"/>
  </r>
  <r>
    <d v="2023-02-20T00:00:00"/>
    <x v="0"/>
    <s v="Борисов"/>
    <s v="Фрукты"/>
    <s v="Яблоки"/>
    <n v="1230"/>
    <n v="16"/>
    <n v="19.68"/>
    <x v="2"/>
  </r>
  <r>
    <d v="2023-02-20T00:00:00"/>
    <x v="4"/>
    <s v="Борисов"/>
    <s v="Ягоды"/>
    <s v="Голубика"/>
    <n v="3205"/>
    <n v="30"/>
    <n v="96.15"/>
    <x v="2"/>
  </r>
  <r>
    <d v="2023-02-20T00:00:00"/>
    <x v="0"/>
    <s v="Жодино"/>
    <s v="Овощи"/>
    <s v="Картофель"/>
    <n v="690"/>
    <n v="49"/>
    <n v="33.81"/>
    <x v="2"/>
  </r>
  <r>
    <d v="2023-02-20T00:00:00"/>
    <x v="2"/>
    <s v="Жодино"/>
    <s v="Фрукты"/>
    <s v="Бананы"/>
    <n v="2400"/>
    <n v="11"/>
    <n v="26.4"/>
    <x v="2"/>
  </r>
  <r>
    <d v="2023-02-20T00:00:00"/>
    <x v="1"/>
    <s v="Жодино"/>
    <s v="Ягоды"/>
    <s v="Малина"/>
    <n v="2970"/>
    <n v="70"/>
    <n v="207.9"/>
    <x v="2"/>
  </r>
  <r>
    <d v="2023-02-20T00:00:00"/>
    <x v="2"/>
    <s v="Минск"/>
    <s v="Ягоды"/>
    <s v="Голубика"/>
    <n v="3205"/>
    <n v="97"/>
    <n v="310.88499999999999"/>
    <x v="2"/>
  </r>
  <r>
    <d v="2023-02-20T00:00:00"/>
    <x v="4"/>
    <s v="Столбцы"/>
    <s v="Зелень"/>
    <s v="Лук зеленый"/>
    <n v="705"/>
    <n v="90"/>
    <n v="63.45"/>
    <x v="2"/>
  </r>
  <r>
    <d v="2023-02-20T00:00:00"/>
    <x v="1"/>
    <s v="Столбцы"/>
    <s v="Овощи"/>
    <s v="Кабачки"/>
    <n v="325"/>
    <n v="37"/>
    <n v="12.025"/>
    <x v="2"/>
  </r>
  <r>
    <d v="2023-02-20T00:00:00"/>
    <x v="2"/>
    <s v="Столбцы"/>
    <s v="Ягоды"/>
    <s v="Смородина черная"/>
    <n v="1505"/>
    <n v="43"/>
    <n v="64.715000000000003"/>
    <x v="2"/>
  </r>
  <r>
    <d v="2023-02-20T00:00:00"/>
    <x v="2"/>
    <s v="Фаниполь"/>
    <s v="Фрукты"/>
    <s v="Сливы"/>
    <n v="930"/>
    <n v="55"/>
    <n v="51.15"/>
    <x v="2"/>
  </r>
  <r>
    <d v="2023-02-20T00:00:00"/>
    <x v="1"/>
    <s v="Фаниполь"/>
    <s v="Фрукты"/>
    <s v="Апельсины"/>
    <n v="2540"/>
    <n v="82"/>
    <n v="208.28"/>
    <x v="2"/>
  </r>
  <r>
    <d v="2023-02-20T00:00:00"/>
    <x v="2"/>
    <s v="Фаниполь"/>
    <s v="Ягоды"/>
    <s v="Брусника"/>
    <n v="1670"/>
    <n v="8"/>
    <n v="13.36"/>
    <x v="2"/>
  </r>
  <r>
    <d v="2023-02-20T00:00:00"/>
    <x v="4"/>
    <s v="Барановичи"/>
    <s v="Ягоды"/>
    <s v="Брусника"/>
    <n v="1670"/>
    <n v="37"/>
    <n v="61.79"/>
    <x v="2"/>
  </r>
  <r>
    <d v="2023-02-20T00:00:00"/>
    <x v="1"/>
    <s v="Борисов"/>
    <s v="Овощи"/>
    <s v="Кабачки"/>
    <n v="325"/>
    <n v="89"/>
    <n v="28.925000000000001"/>
    <x v="2"/>
  </r>
  <r>
    <d v="2023-02-20T00:00:00"/>
    <x v="2"/>
    <s v="Минск"/>
    <s v="Зелень"/>
    <s v="Кинза"/>
    <n v="650"/>
    <n v="68"/>
    <n v="44.2"/>
    <x v="2"/>
  </r>
  <r>
    <s v="20.02.2023 Итог"/>
    <x v="3"/>
    <m/>
    <m/>
    <m/>
    <m/>
    <m/>
    <n v="1474.0049999999999"/>
    <x v="2"/>
  </r>
  <r>
    <d v="2023-02-21T00:00:00"/>
    <x v="4"/>
    <s v="Барановичи"/>
    <s v="Зелень"/>
    <s v="Салат римский"/>
    <n v="540"/>
    <n v="80"/>
    <n v="43.2"/>
    <x v="2"/>
  </r>
  <r>
    <d v="2023-02-21T00:00:00"/>
    <x v="2"/>
    <s v="Барановичи"/>
    <s v="Овощи"/>
    <s v="Свекла"/>
    <n v="450"/>
    <n v="54"/>
    <n v="24.3"/>
    <x v="2"/>
  </r>
  <r>
    <d v="2023-02-21T00:00:00"/>
    <x v="2"/>
    <s v="Борисов"/>
    <s v="Зелень"/>
    <s v="Салат айсберг"/>
    <n v="1380"/>
    <n v="37"/>
    <n v="51.06"/>
    <x v="2"/>
  </r>
  <r>
    <d v="2023-02-21T00:00:00"/>
    <x v="2"/>
    <s v="Борисов"/>
    <s v="Овощи"/>
    <s v="Морковь"/>
    <n v="715"/>
    <n v="5"/>
    <n v="3.5750000000000002"/>
    <x v="2"/>
  </r>
  <r>
    <d v="2023-02-21T00:00:00"/>
    <x v="1"/>
    <s v="Борисов"/>
    <s v="Ягоды"/>
    <s v="Клубника"/>
    <n v="2460"/>
    <n v="36"/>
    <n v="88.56"/>
    <x v="2"/>
  </r>
  <r>
    <d v="2023-02-21T00:00:00"/>
    <x v="0"/>
    <s v="Борисов"/>
    <s v="Ягоды"/>
    <s v="Голубика"/>
    <n v="3205"/>
    <n v="15"/>
    <n v="48.075000000000003"/>
    <x v="2"/>
  </r>
  <r>
    <d v="2023-02-21T00:00:00"/>
    <x v="0"/>
    <s v="Жодино"/>
    <s v="Овощи"/>
    <s v="Баклажаны"/>
    <n v="890"/>
    <n v="16"/>
    <n v="14.24"/>
    <x v="2"/>
  </r>
  <r>
    <d v="2023-02-21T00:00:00"/>
    <x v="4"/>
    <s v="Жодино"/>
    <s v="Овощи"/>
    <s v="Капуста"/>
    <n v="460"/>
    <n v="39"/>
    <n v="17.940000000000001"/>
    <x v="2"/>
  </r>
  <r>
    <d v="2023-02-21T00:00:00"/>
    <x v="0"/>
    <s v="Столбцы"/>
    <s v="Овощи"/>
    <s v="Баклажаны"/>
    <n v="890"/>
    <n v="84"/>
    <n v="74.760000000000005"/>
    <x v="2"/>
  </r>
  <r>
    <d v="2023-02-21T00:00:00"/>
    <x v="1"/>
    <s v="Столбцы"/>
    <s v="Фрукты"/>
    <s v="Груши"/>
    <n v="1420"/>
    <n v="37"/>
    <n v="52.54"/>
    <x v="2"/>
  </r>
  <r>
    <d v="2023-02-21T00:00:00"/>
    <x v="0"/>
    <s v="Фаниполь"/>
    <s v="Зелень"/>
    <s v="Петрушка"/>
    <n v="640"/>
    <n v="19"/>
    <n v="12.16"/>
    <x v="2"/>
  </r>
  <r>
    <d v="2023-02-21T00:00:00"/>
    <x v="2"/>
    <s v="Фаниполь"/>
    <s v="Овощи"/>
    <s v="Капуста"/>
    <n v="460"/>
    <n v="7"/>
    <n v="3.22"/>
    <x v="2"/>
  </r>
  <r>
    <d v="2023-02-21T00:00:00"/>
    <x v="1"/>
    <s v="Фаниполь"/>
    <s v="Фрукты"/>
    <s v="Сливы"/>
    <n v="930"/>
    <n v="6"/>
    <n v="5.58"/>
    <x v="2"/>
  </r>
  <r>
    <d v="2023-02-21T00:00:00"/>
    <x v="4"/>
    <s v="Фаниполь"/>
    <s v="Фрукты"/>
    <s v="Абрикосы"/>
    <n v="1320"/>
    <n v="48"/>
    <n v="63.36"/>
    <x v="2"/>
  </r>
  <r>
    <d v="2023-02-21T00:00:00"/>
    <x v="4"/>
    <s v="Фаниполь"/>
    <s v="Фрукты"/>
    <s v="Сливы"/>
    <n v="930"/>
    <n v="38"/>
    <n v="35.340000000000003"/>
    <x v="2"/>
  </r>
  <r>
    <d v="2023-02-21T00:00:00"/>
    <x v="4"/>
    <s v="Фаниполь"/>
    <s v="Ягоды"/>
    <s v="Клубника"/>
    <n v="2460"/>
    <n v="34"/>
    <n v="83.64"/>
    <x v="2"/>
  </r>
  <r>
    <d v="2023-02-21T00:00:00"/>
    <x v="1"/>
    <s v="Барановичи"/>
    <s v="Ягоды"/>
    <s v="Клубника"/>
    <n v="2460"/>
    <n v="11"/>
    <n v="27.06"/>
    <x v="2"/>
  </r>
  <r>
    <d v="2023-02-21T00:00:00"/>
    <x v="0"/>
    <s v="Минск"/>
    <s v="Зелень"/>
    <s v="Салат римский"/>
    <n v="540"/>
    <n v="97"/>
    <n v="52.38"/>
    <x v="2"/>
  </r>
  <r>
    <s v="21.02.2023 Итог"/>
    <x v="3"/>
    <m/>
    <m/>
    <m/>
    <m/>
    <m/>
    <n v="700.99"/>
    <x v="2"/>
  </r>
  <r>
    <d v="2023-02-22T00:00:00"/>
    <x v="2"/>
    <s v="Барановичи"/>
    <s v="Зелень"/>
    <s v="Салат айсберг"/>
    <n v="1380"/>
    <n v="12"/>
    <n v="16.559999999999999"/>
    <x v="2"/>
  </r>
  <r>
    <d v="2023-02-22T00:00:00"/>
    <x v="4"/>
    <s v="Барановичи"/>
    <s v="Зелень"/>
    <s v="Салат айсберг"/>
    <n v="1380"/>
    <n v="39"/>
    <n v="53.82"/>
    <x v="2"/>
  </r>
  <r>
    <d v="2023-02-22T00:00:00"/>
    <x v="1"/>
    <s v="Борисов"/>
    <s v="Овощи"/>
    <s v="Картофель"/>
    <n v="690"/>
    <n v="26"/>
    <n v="17.940000000000001"/>
    <x v="2"/>
  </r>
  <r>
    <d v="2023-02-22T00:00:00"/>
    <x v="4"/>
    <s v="Борисов"/>
    <s v="Ягоды"/>
    <s v="Клубника"/>
    <n v="2460"/>
    <n v="50"/>
    <n v="123"/>
    <x v="2"/>
  </r>
  <r>
    <d v="2023-02-22T00:00:00"/>
    <x v="4"/>
    <s v="Жодино"/>
    <s v="Зелень"/>
    <s v="Лук зеленый"/>
    <n v="705"/>
    <n v="79"/>
    <n v="55.695"/>
    <x v="2"/>
  </r>
  <r>
    <d v="2023-02-22T00:00:00"/>
    <x v="1"/>
    <s v="Жодино"/>
    <s v="Зелень"/>
    <s v="Салат римский"/>
    <n v="540"/>
    <n v="21"/>
    <n v="11.34"/>
    <x v="2"/>
  </r>
  <r>
    <d v="2023-02-22T00:00:00"/>
    <x v="1"/>
    <s v="Жодино"/>
    <s v="Овощи"/>
    <s v="Баклажаны"/>
    <n v="890"/>
    <n v="27"/>
    <n v="24.03"/>
    <x v="2"/>
  </r>
  <r>
    <d v="2023-02-22T00:00:00"/>
    <x v="0"/>
    <s v="Жодино"/>
    <s v="Фрукты"/>
    <s v="Сливы"/>
    <n v="930"/>
    <n v="79"/>
    <n v="73.47"/>
    <x v="2"/>
  </r>
  <r>
    <d v="2023-02-22T00:00:00"/>
    <x v="0"/>
    <s v="Жодино"/>
    <s v="Фрукты"/>
    <s v="Абрикосы"/>
    <n v="1320"/>
    <n v="97"/>
    <n v="128.04"/>
    <x v="2"/>
  </r>
  <r>
    <d v="2023-02-22T00:00:00"/>
    <x v="0"/>
    <s v="Жодино"/>
    <s v="Ягоды"/>
    <s v="Брусника"/>
    <n v="1670"/>
    <n v="93"/>
    <n v="155.31"/>
    <x v="2"/>
  </r>
  <r>
    <d v="2023-02-22T00:00:00"/>
    <x v="4"/>
    <s v="Минск"/>
    <s v="Овощи"/>
    <s v="Кабачки"/>
    <n v="325"/>
    <n v="43"/>
    <n v="13.975"/>
    <x v="2"/>
  </r>
  <r>
    <d v="2023-02-22T00:00:00"/>
    <x v="4"/>
    <s v="Минск"/>
    <s v="Фрукты"/>
    <s v="Апельсины"/>
    <n v="2540"/>
    <n v="65"/>
    <n v="165.1"/>
    <x v="2"/>
  </r>
  <r>
    <d v="2023-02-22T00:00:00"/>
    <x v="2"/>
    <s v="Минск"/>
    <s v="Ягоды"/>
    <s v="Брусника"/>
    <n v="1670"/>
    <n v="99"/>
    <n v="165.33"/>
    <x v="2"/>
  </r>
  <r>
    <d v="2023-02-22T00:00:00"/>
    <x v="2"/>
    <s v="Столбцы"/>
    <s v="Зелень"/>
    <s v="Петрушка"/>
    <n v="640"/>
    <n v="20"/>
    <n v="12.8"/>
    <x v="2"/>
  </r>
  <r>
    <d v="2023-02-22T00:00:00"/>
    <x v="1"/>
    <s v="Столбцы"/>
    <s v="Ягоды"/>
    <s v="Клубника"/>
    <n v="2460"/>
    <n v="51"/>
    <n v="125.46"/>
    <x v="2"/>
  </r>
  <r>
    <d v="2023-02-22T00:00:00"/>
    <x v="4"/>
    <s v="Столбцы"/>
    <s v="Ягоды"/>
    <s v="Малина"/>
    <n v="2970"/>
    <n v="48"/>
    <n v="142.56"/>
    <x v="2"/>
  </r>
  <r>
    <d v="2023-02-22T00:00:00"/>
    <x v="0"/>
    <s v="Фаниполь"/>
    <s v="Зелень"/>
    <s v="Петрушка"/>
    <n v="640"/>
    <n v="77"/>
    <n v="49.28"/>
    <x v="2"/>
  </r>
  <r>
    <d v="2023-02-22T00:00:00"/>
    <x v="4"/>
    <s v="Фаниполь"/>
    <s v="Овощи"/>
    <s v="Морковь"/>
    <n v="715"/>
    <n v="91"/>
    <n v="65.064999999999998"/>
    <x v="2"/>
  </r>
  <r>
    <d v="2023-02-22T00:00:00"/>
    <x v="4"/>
    <s v="Фаниполь"/>
    <s v="Ягоды"/>
    <s v="Голубика"/>
    <n v="3205"/>
    <n v="85"/>
    <n v="272.42500000000001"/>
    <x v="2"/>
  </r>
  <r>
    <d v="2023-02-22T00:00:00"/>
    <x v="1"/>
    <s v="Минск"/>
    <s v="Фрукты"/>
    <s v="Апельсины"/>
    <n v="2540"/>
    <n v="37"/>
    <n v="93.98"/>
    <x v="2"/>
  </r>
  <r>
    <s v="22.02.2023 Итог"/>
    <x v="3"/>
    <m/>
    <m/>
    <m/>
    <m/>
    <m/>
    <n v="1765.1799999999998"/>
    <x v="2"/>
  </r>
  <r>
    <d v="2023-02-23T00:00:00"/>
    <x v="4"/>
    <s v="Барановичи"/>
    <s v="Зелень"/>
    <s v="Кинза"/>
    <n v="650"/>
    <n v="25"/>
    <n v="16.25"/>
    <x v="2"/>
  </r>
  <r>
    <d v="2023-02-23T00:00:00"/>
    <x v="1"/>
    <s v="Барановичи"/>
    <s v="Фрукты"/>
    <s v="Сливы"/>
    <n v="930"/>
    <n v="39"/>
    <n v="36.270000000000003"/>
    <x v="2"/>
  </r>
  <r>
    <d v="2023-02-23T00:00:00"/>
    <x v="0"/>
    <s v="Борисов"/>
    <s v="Зелень"/>
    <s v="Петрушка"/>
    <n v="640"/>
    <n v="11"/>
    <n v="7.04"/>
    <x v="2"/>
  </r>
  <r>
    <d v="2023-02-23T00:00:00"/>
    <x v="4"/>
    <s v="Борисов"/>
    <s v="Фрукты"/>
    <s v="Апельсины"/>
    <n v="2540"/>
    <n v="99"/>
    <n v="251.46"/>
    <x v="2"/>
  </r>
  <r>
    <d v="2023-02-23T00:00:00"/>
    <x v="1"/>
    <s v="Борисов"/>
    <s v="Фрукты"/>
    <s v="Груши"/>
    <n v="1420"/>
    <n v="79"/>
    <n v="112.18"/>
    <x v="2"/>
  </r>
  <r>
    <d v="2023-02-23T00:00:00"/>
    <x v="4"/>
    <s v="Жодино"/>
    <s v="Овощи"/>
    <s v="Кабачки"/>
    <n v="325"/>
    <n v="62"/>
    <n v="20.149999999999999"/>
    <x v="2"/>
  </r>
  <r>
    <d v="2023-02-23T00:00:00"/>
    <x v="2"/>
    <s v="Жодино"/>
    <s v="Фрукты"/>
    <s v="Абрикосы"/>
    <n v="1320"/>
    <n v="96"/>
    <n v="126.72"/>
    <x v="2"/>
  </r>
  <r>
    <d v="2023-02-23T00:00:00"/>
    <x v="4"/>
    <s v="Минск"/>
    <s v="Зелень"/>
    <s v="Салат айсберг"/>
    <n v="1380"/>
    <n v="76"/>
    <n v="104.88"/>
    <x v="2"/>
  </r>
  <r>
    <d v="2023-02-23T00:00:00"/>
    <x v="4"/>
    <s v="Минск"/>
    <s v="Овощи"/>
    <s v="Капуста"/>
    <n v="460"/>
    <n v="22"/>
    <n v="10.119999999999999"/>
    <x v="2"/>
  </r>
  <r>
    <d v="2023-02-23T00:00:00"/>
    <x v="1"/>
    <s v="Минск"/>
    <s v="Фрукты"/>
    <s v="Груши"/>
    <n v="1420"/>
    <n v="11"/>
    <n v="15.62"/>
    <x v="2"/>
  </r>
  <r>
    <d v="2023-02-23T00:00:00"/>
    <x v="1"/>
    <s v="Минск"/>
    <s v="Фрукты"/>
    <s v="Груши"/>
    <n v="1420"/>
    <n v="10"/>
    <n v="14.2"/>
    <x v="2"/>
  </r>
  <r>
    <d v="2023-02-23T00:00:00"/>
    <x v="1"/>
    <s v="Минск"/>
    <s v="Ягоды"/>
    <s v="Голубика"/>
    <n v="3205"/>
    <n v="22"/>
    <n v="70.510000000000005"/>
    <x v="2"/>
  </r>
  <r>
    <d v="2023-02-23T00:00:00"/>
    <x v="2"/>
    <s v="Столбцы"/>
    <s v="Зелень"/>
    <s v="Укроп"/>
    <n v="650"/>
    <n v="100"/>
    <n v="65"/>
    <x v="2"/>
  </r>
  <r>
    <d v="2023-02-23T00:00:00"/>
    <x v="2"/>
    <s v="Столбцы"/>
    <s v="Фрукты"/>
    <s v="Абрикосы"/>
    <n v="1320"/>
    <n v="97"/>
    <n v="128.04"/>
    <x v="2"/>
  </r>
  <r>
    <d v="2023-02-23T00:00:00"/>
    <x v="0"/>
    <s v="Столбцы"/>
    <s v="Фрукты"/>
    <s v="Бананы"/>
    <n v="2400"/>
    <n v="67"/>
    <n v="160.80000000000001"/>
    <x v="2"/>
  </r>
  <r>
    <d v="2023-02-23T00:00:00"/>
    <x v="4"/>
    <s v="Столбцы"/>
    <s v="Ягоды"/>
    <s v="Малина"/>
    <n v="2970"/>
    <n v="60"/>
    <n v="178.2"/>
    <x v="2"/>
  </r>
  <r>
    <d v="2023-02-23T00:00:00"/>
    <x v="2"/>
    <s v="Фаниполь"/>
    <s v="Зелень"/>
    <s v="Петрушка"/>
    <n v="640"/>
    <n v="31"/>
    <n v="19.84"/>
    <x v="2"/>
  </r>
  <r>
    <d v="2023-02-23T00:00:00"/>
    <x v="0"/>
    <s v="Барановичи"/>
    <s v="Фрукты"/>
    <s v="Апельсины"/>
    <n v="2540"/>
    <n v="88"/>
    <n v="223.52"/>
    <x v="2"/>
  </r>
  <r>
    <d v="2023-02-23T00:00:00"/>
    <x v="4"/>
    <s v="Минск"/>
    <s v="Ягоды"/>
    <s v="Малина"/>
    <n v="2970"/>
    <n v="29"/>
    <n v="86.13"/>
    <x v="2"/>
  </r>
  <r>
    <s v="23.02.2023 Итог"/>
    <x v="3"/>
    <m/>
    <m/>
    <m/>
    <m/>
    <m/>
    <n v="1646.9299999999998"/>
    <x v="2"/>
  </r>
  <r>
    <d v="2023-02-24T00:00:00"/>
    <x v="1"/>
    <s v="Барановичи"/>
    <s v="Зелень"/>
    <s v="Кинза"/>
    <n v="650"/>
    <n v="69"/>
    <n v="44.85"/>
    <x v="2"/>
  </r>
  <r>
    <d v="2023-02-24T00:00:00"/>
    <x v="0"/>
    <s v="Барановичи"/>
    <s v="Зелень"/>
    <s v="Лук зеленый"/>
    <n v="705"/>
    <n v="67"/>
    <n v="47.234999999999999"/>
    <x v="2"/>
  </r>
  <r>
    <d v="2023-02-24T00:00:00"/>
    <x v="2"/>
    <s v="Барановичи"/>
    <s v="Овощи"/>
    <s v="Морковь"/>
    <n v="715"/>
    <n v="56"/>
    <n v="40.04"/>
    <x v="2"/>
  </r>
  <r>
    <d v="2023-02-24T00:00:00"/>
    <x v="1"/>
    <s v="Барановичи"/>
    <s v="Ягоды"/>
    <s v="Голубика"/>
    <n v="3205"/>
    <n v="21"/>
    <n v="67.305000000000007"/>
    <x v="2"/>
  </r>
  <r>
    <d v="2023-02-24T00:00:00"/>
    <x v="0"/>
    <s v="Борисов"/>
    <s v="Зелень"/>
    <s v="Салат айсберг"/>
    <n v="1380"/>
    <n v="42"/>
    <n v="57.96"/>
    <x v="2"/>
  </r>
  <r>
    <d v="2023-02-24T00:00:00"/>
    <x v="2"/>
    <s v="Борисов"/>
    <s v="Овощи"/>
    <s v="Свекла"/>
    <n v="450"/>
    <n v="97"/>
    <n v="43.65"/>
    <x v="2"/>
  </r>
  <r>
    <d v="2023-02-24T00:00:00"/>
    <x v="4"/>
    <s v="Борисов"/>
    <s v="Фрукты"/>
    <s v="Апельсины"/>
    <n v="2540"/>
    <n v="91"/>
    <n v="231.14"/>
    <x v="2"/>
  </r>
  <r>
    <d v="2023-02-24T00:00:00"/>
    <x v="0"/>
    <s v="Жодино"/>
    <s v="Овощи"/>
    <s v="Картофель"/>
    <n v="690"/>
    <n v="9"/>
    <n v="6.21"/>
    <x v="2"/>
  </r>
  <r>
    <d v="2023-02-24T00:00:00"/>
    <x v="0"/>
    <s v="Жодино"/>
    <s v="Ягоды"/>
    <s v="Клубника"/>
    <n v="2460"/>
    <n v="75"/>
    <n v="184.5"/>
    <x v="2"/>
  </r>
  <r>
    <d v="2023-02-24T00:00:00"/>
    <x v="4"/>
    <s v="Минск"/>
    <s v="Овощи"/>
    <s v="Баклажаны"/>
    <n v="890"/>
    <n v="18"/>
    <n v="16.02"/>
    <x v="2"/>
  </r>
  <r>
    <d v="2023-02-24T00:00:00"/>
    <x v="2"/>
    <s v="Фаниполь"/>
    <s v="Овощи"/>
    <s v="Свекла"/>
    <n v="450"/>
    <n v="37"/>
    <n v="16.649999999999999"/>
    <x v="2"/>
  </r>
  <r>
    <d v="2023-02-24T00:00:00"/>
    <x v="4"/>
    <s v="Фаниполь"/>
    <s v="Фрукты"/>
    <s v="Яблоки"/>
    <n v="1230"/>
    <n v="99"/>
    <n v="121.77"/>
    <x v="2"/>
  </r>
  <r>
    <d v="2023-02-24T00:00:00"/>
    <x v="4"/>
    <s v="Столбцы"/>
    <s v="Зелень"/>
    <s v="Кинза"/>
    <n v="650"/>
    <n v="21"/>
    <n v="13.65"/>
    <x v="2"/>
  </r>
  <r>
    <s v="24.02.2023 Итог"/>
    <x v="3"/>
    <m/>
    <m/>
    <m/>
    <m/>
    <m/>
    <n v="890.9799999999999"/>
    <x v="2"/>
  </r>
  <r>
    <d v="2023-02-25T00:00:00"/>
    <x v="1"/>
    <s v="Барановичи"/>
    <s v="Зелень"/>
    <s v="Салат айсберг"/>
    <n v="1380"/>
    <n v="63"/>
    <n v="86.94"/>
    <x v="2"/>
  </r>
  <r>
    <d v="2023-02-25T00:00:00"/>
    <x v="1"/>
    <s v="Барановичи"/>
    <s v="Зелень"/>
    <s v="Кинза"/>
    <n v="650"/>
    <n v="21"/>
    <n v="13.65"/>
    <x v="2"/>
  </r>
  <r>
    <d v="2023-02-25T00:00:00"/>
    <x v="0"/>
    <s v="Барановичи"/>
    <s v="Фрукты"/>
    <s v="Бананы"/>
    <n v="2400"/>
    <n v="70"/>
    <n v="168"/>
    <x v="2"/>
  </r>
  <r>
    <d v="2023-02-25T00:00:00"/>
    <x v="0"/>
    <s v="Барановичи"/>
    <s v="Фрукты"/>
    <s v="Апельсины"/>
    <n v="2540"/>
    <n v="89"/>
    <n v="226.06"/>
    <x v="2"/>
  </r>
  <r>
    <d v="2023-02-25T00:00:00"/>
    <x v="1"/>
    <s v="Барановичи"/>
    <s v="Ягоды"/>
    <s v="Смородина черная"/>
    <n v="1505"/>
    <n v="53"/>
    <n v="79.765000000000001"/>
    <x v="2"/>
  </r>
  <r>
    <d v="2023-02-25T00:00:00"/>
    <x v="0"/>
    <s v="Борисов"/>
    <s v="Зелень"/>
    <s v="Лук зеленый"/>
    <n v="705"/>
    <n v="49"/>
    <n v="34.545000000000002"/>
    <x v="2"/>
  </r>
  <r>
    <d v="2023-02-25T00:00:00"/>
    <x v="1"/>
    <s v="Жодино"/>
    <s v="Зелень"/>
    <s v="Салат римский"/>
    <n v="540"/>
    <n v="27"/>
    <n v="14.58"/>
    <x v="2"/>
  </r>
  <r>
    <d v="2023-02-25T00:00:00"/>
    <x v="4"/>
    <s v="Жодино"/>
    <s v="Фрукты"/>
    <s v="Сливы"/>
    <n v="930"/>
    <n v="46"/>
    <n v="42.78"/>
    <x v="2"/>
  </r>
  <r>
    <d v="2023-02-25T00:00:00"/>
    <x v="1"/>
    <s v="Жодино"/>
    <s v="Ягоды"/>
    <s v="Смородина черная"/>
    <n v="1505"/>
    <n v="39"/>
    <n v="58.695"/>
    <x v="2"/>
  </r>
  <r>
    <d v="2023-02-25T00:00:00"/>
    <x v="1"/>
    <s v="Минск"/>
    <s v="Овощи"/>
    <s v="Кабачки"/>
    <n v="325"/>
    <n v="98"/>
    <n v="31.85"/>
    <x v="2"/>
  </r>
  <r>
    <d v="2023-02-25T00:00:00"/>
    <x v="0"/>
    <s v="Минск"/>
    <s v="Ягоды"/>
    <s v="Малина"/>
    <n v="2970"/>
    <n v="82"/>
    <n v="243.54"/>
    <x v="2"/>
  </r>
  <r>
    <d v="2023-02-25T00:00:00"/>
    <x v="0"/>
    <s v="Минск"/>
    <s v="Ягоды"/>
    <s v="Черешня"/>
    <n v="1760"/>
    <n v="51"/>
    <n v="89.76"/>
    <x v="2"/>
  </r>
  <r>
    <d v="2023-02-25T00:00:00"/>
    <x v="4"/>
    <s v="Столбцы"/>
    <s v="Овощи"/>
    <s v="Кабачки"/>
    <n v="325"/>
    <n v="48"/>
    <n v="15.6"/>
    <x v="2"/>
  </r>
  <r>
    <d v="2023-02-25T00:00:00"/>
    <x v="2"/>
    <s v="Фаниполь"/>
    <s v="Зелень"/>
    <s v="Салат айсберг"/>
    <n v="1380"/>
    <n v="84"/>
    <n v="115.92"/>
    <x v="2"/>
  </r>
  <r>
    <d v="2023-02-25T00:00:00"/>
    <x v="1"/>
    <s v="Фаниполь"/>
    <s v="Ягоды"/>
    <s v="Брусника"/>
    <n v="1670"/>
    <n v="67"/>
    <n v="111.89"/>
    <x v="2"/>
  </r>
  <r>
    <d v="2023-02-25T00:00:00"/>
    <x v="1"/>
    <s v="Фаниполь"/>
    <s v="Ягоды"/>
    <s v="Голубика"/>
    <n v="3205"/>
    <n v="38"/>
    <n v="121.79"/>
    <x v="2"/>
  </r>
  <r>
    <d v="2023-02-25T00:00:00"/>
    <x v="1"/>
    <s v="Столбцы"/>
    <s v="Ягоды"/>
    <s v="Голубика"/>
    <n v="3205"/>
    <n v="27"/>
    <n v="86.534999999999997"/>
    <x v="2"/>
  </r>
  <r>
    <s v="25.02.2023 Итог"/>
    <x v="3"/>
    <m/>
    <m/>
    <m/>
    <m/>
    <m/>
    <n v="1541.9000000000003"/>
    <x v="2"/>
  </r>
  <r>
    <d v="2023-02-26T00:00:00"/>
    <x v="1"/>
    <s v="Барановичи"/>
    <s v="Овощи"/>
    <s v="Кабачки"/>
    <n v="325"/>
    <n v="12"/>
    <n v="3.9"/>
    <x v="2"/>
  </r>
  <r>
    <d v="2023-02-26T00:00:00"/>
    <x v="1"/>
    <s v="Барановичи"/>
    <s v="Ягоды"/>
    <s v="Голубика"/>
    <n v="3205"/>
    <n v="69"/>
    <n v="221.14500000000001"/>
    <x v="2"/>
  </r>
  <r>
    <d v="2023-02-26T00:00:00"/>
    <x v="0"/>
    <s v="Жодино"/>
    <s v="Фрукты"/>
    <s v="Абрикосы"/>
    <n v="1320"/>
    <n v="60"/>
    <n v="79.2"/>
    <x v="2"/>
  </r>
  <r>
    <d v="2023-02-26T00:00:00"/>
    <x v="4"/>
    <s v="Жодино"/>
    <s v="Ягоды"/>
    <s v="Малина"/>
    <n v="2970"/>
    <n v="76"/>
    <n v="225.72"/>
    <x v="2"/>
  </r>
  <r>
    <d v="2023-02-26T00:00:00"/>
    <x v="0"/>
    <s v="Минск"/>
    <s v="Овощи"/>
    <s v="Капуста"/>
    <n v="460"/>
    <n v="24"/>
    <n v="11.04"/>
    <x v="2"/>
  </r>
  <r>
    <d v="2023-02-26T00:00:00"/>
    <x v="0"/>
    <s v="Минск"/>
    <s v="Фрукты"/>
    <s v="Сливы"/>
    <n v="930"/>
    <n v="92"/>
    <n v="85.56"/>
    <x v="2"/>
  </r>
  <r>
    <d v="2023-02-26T00:00:00"/>
    <x v="2"/>
    <s v="Минск"/>
    <s v="Ягоды"/>
    <s v="Черешня"/>
    <n v="1760"/>
    <n v="88"/>
    <n v="154.88"/>
    <x v="2"/>
  </r>
  <r>
    <d v="2023-02-26T00:00:00"/>
    <x v="4"/>
    <s v="Столбцы"/>
    <s v="Фрукты"/>
    <s v="Груши"/>
    <n v="1420"/>
    <n v="63"/>
    <n v="89.46"/>
    <x v="2"/>
  </r>
  <r>
    <d v="2023-02-26T00:00:00"/>
    <x v="2"/>
    <s v="Столбцы"/>
    <s v="Ягоды"/>
    <s v="Малина"/>
    <n v="2970"/>
    <n v="79"/>
    <n v="234.63"/>
    <x v="2"/>
  </r>
  <r>
    <d v="2023-02-26T00:00:00"/>
    <x v="1"/>
    <s v="Фаниполь"/>
    <s v="Зелень"/>
    <s v="Петрушка"/>
    <n v="640"/>
    <n v="57"/>
    <n v="36.479999999999997"/>
    <x v="2"/>
  </r>
  <r>
    <d v="2023-02-26T00:00:00"/>
    <x v="0"/>
    <s v="Фаниполь"/>
    <s v="Овощи"/>
    <s v="Морковь"/>
    <n v="715"/>
    <n v="32"/>
    <n v="22.88"/>
    <x v="2"/>
  </r>
  <r>
    <d v="2023-02-26T00:00:00"/>
    <x v="0"/>
    <s v="Фаниполь"/>
    <s v="Фрукты"/>
    <s v="Абрикосы"/>
    <n v="1320"/>
    <n v="43"/>
    <n v="56.76"/>
    <x v="2"/>
  </r>
  <r>
    <d v="2023-02-26T00:00:00"/>
    <x v="2"/>
    <s v="Фаниполь"/>
    <s v="Фрукты"/>
    <s v="Груши"/>
    <n v="1420"/>
    <n v="54"/>
    <n v="76.680000000000007"/>
    <x v="2"/>
  </r>
  <r>
    <d v="2023-02-26T00:00:00"/>
    <x v="2"/>
    <s v="Барановичи"/>
    <s v="Фрукты"/>
    <s v="Груши"/>
    <n v="1420"/>
    <n v="31"/>
    <n v="44.02"/>
    <x v="2"/>
  </r>
  <r>
    <d v="2023-02-26T00:00:00"/>
    <x v="1"/>
    <s v="Борисов"/>
    <s v="Овощи"/>
    <s v="Морковь"/>
    <n v="715"/>
    <n v="60"/>
    <n v="42.9"/>
    <x v="2"/>
  </r>
  <r>
    <d v="2023-02-26T00:00:00"/>
    <x v="0"/>
    <s v="Столбцы"/>
    <s v="Ягоды"/>
    <s v="Малина"/>
    <n v="2970"/>
    <n v="37"/>
    <n v="109.89"/>
    <x v="2"/>
  </r>
  <r>
    <s v="26.02.2023 Итог"/>
    <x v="3"/>
    <m/>
    <m/>
    <m/>
    <m/>
    <m/>
    <n v="1495.1450000000004"/>
    <x v="2"/>
  </r>
  <r>
    <d v="2023-02-27T00:00:00"/>
    <x v="4"/>
    <s v="Барановичи"/>
    <s v="Овощи"/>
    <s v="Капуста"/>
    <n v="460"/>
    <n v="90"/>
    <n v="41.4"/>
    <x v="2"/>
  </r>
  <r>
    <d v="2023-02-27T00:00:00"/>
    <x v="0"/>
    <s v="Борисов"/>
    <s v="Овощи"/>
    <s v="Кабачки"/>
    <n v="325"/>
    <n v="49"/>
    <n v="15.925000000000001"/>
    <x v="2"/>
  </r>
  <r>
    <d v="2023-02-27T00:00:00"/>
    <x v="0"/>
    <s v="Борисов"/>
    <s v="Фрукты"/>
    <s v="Апельсины"/>
    <n v="2540"/>
    <n v="29"/>
    <n v="73.66"/>
    <x v="2"/>
  </r>
  <r>
    <d v="2023-02-27T00:00:00"/>
    <x v="4"/>
    <s v="Жодино"/>
    <s v="Зелень"/>
    <s v="Укроп"/>
    <n v="650"/>
    <n v="75"/>
    <n v="48.75"/>
    <x v="2"/>
  </r>
  <r>
    <d v="2023-02-27T00:00:00"/>
    <x v="4"/>
    <s v="Жодино"/>
    <s v="Зелень"/>
    <s v="Укроп"/>
    <n v="650"/>
    <n v="33"/>
    <n v="21.45"/>
    <x v="2"/>
  </r>
  <r>
    <d v="2023-02-27T00:00:00"/>
    <x v="0"/>
    <s v="Жодино"/>
    <s v="Зелень"/>
    <s v="Салат айсберг"/>
    <n v="1380"/>
    <n v="6"/>
    <n v="8.2799999999999994"/>
    <x v="2"/>
  </r>
  <r>
    <d v="2023-02-27T00:00:00"/>
    <x v="4"/>
    <s v="Жодино"/>
    <s v="Овощи"/>
    <s v="Капуста"/>
    <n v="460"/>
    <n v="41"/>
    <n v="18.86"/>
    <x v="2"/>
  </r>
  <r>
    <d v="2023-02-27T00:00:00"/>
    <x v="4"/>
    <s v="Жодино"/>
    <s v="Ягоды"/>
    <s v="Черешня"/>
    <n v="1760"/>
    <n v="50"/>
    <n v="88"/>
    <x v="2"/>
  </r>
  <r>
    <d v="2023-02-27T00:00:00"/>
    <x v="4"/>
    <s v="Жодино"/>
    <s v="Ягоды"/>
    <s v="Черешня"/>
    <n v="1760"/>
    <n v="41"/>
    <n v="72.16"/>
    <x v="2"/>
  </r>
  <r>
    <d v="2023-02-27T00:00:00"/>
    <x v="4"/>
    <s v="Минск"/>
    <s v="Зелень"/>
    <s v="Салат римский"/>
    <n v="540"/>
    <n v="48"/>
    <n v="25.92"/>
    <x v="2"/>
  </r>
  <r>
    <d v="2023-02-27T00:00:00"/>
    <x v="0"/>
    <s v="Минск"/>
    <s v="Овощи"/>
    <s v="Кабачки"/>
    <n v="325"/>
    <n v="12"/>
    <n v="3.9"/>
    <x v="2"/>
  </r>
  <r>
    <d v="2023-02-27T00:00:00"/>
    <x v="1"/>
    <s v="Столбцы"/>
    <s v="Овощи"/>
    <s v="Свекла"/>
    <n v="450"/>
    <n v="69"/>
    <n v="31.05"/>
    <x v="2"/>
  </r>
  <r>
    <d v="2023-02-27T00:00:00"/>
    <x v="0"/>
    <s v="Столбцы"/>
    <s v="Овощи"/>
    <s v="Баклажаны"/>
    <n v="890"/>
    <n v="36"/>
    <n v="32.04"/>
    <x v="2"/>
  </r>
  <r>
    <d v="2023-02-27T00:00:00"/>
    <x v="0"/>
    <s v="Фаниполь"/>
    <s v="Фрукты"/>
    <s v="Груши"/>
    <n v="1420"/>
    <n v="95"/>
    <n v="134.9"/>
    <x v="2"/>
  </r>
  <r>
    <d v="2023-02-27T00:00:00"/>
    <x v="0"/>
    <s v="Столбцы"/>
    <s v="Ягоды"/>
    <s v="Малина"/>
    <n v="2970"/>
    <n v="55"/>
    <n v="163.35"/>
    <x v="2"/>
  </r>
  <r>
    <s v="27.02.2023 Итог"/>
    <x v="3"/>
    <m/>
    <m/>
    <m/>
    <m/>
    <m/>
    <n v="779.6450000000001"/>
    <x v="2"/>
  </r>
  <r>
    <d v="2023-02-28T00:00:00"/>
    <x v="0"/>
    <s v="Барановичи"/>
    <s v="Овощи"/>
    <s v="Кабачки"/>
    <n v="325"/>
    <n v="41"/>
    <n v="13.324999999999999"/>
    <x v="2"/>
  </r>
  <r>
    <d v="2023-02-28T00:00:00"/>
    <x v="0"/>
    <s v="Барановичи"/>
    <s v="Фрукты"/>
    <s v="Яблоки"/>
    <n v="1230"/>
    <n v="40"/>
    <n v="49.2"/>
    <x v="2"/>
  </r>
  <r>
    <d v="2023-02-28T00:00:00"/>
    <x v="2"/>
    <s v="Борисов"/>
    <s v="Зелень"/>
    <s v="Лук зеленый"/>
    <n v="705"/>
    <n v="23"/>
    <n v="16.215"/>
    <x v="2"/>
  </r>
  <r>
    <d v="2023-02-28T00:00:00"/>
    <x v="4"/>
    <s v="Борисов"/>
    <s v="Зелень"/>
    <s v="Салат римский"/>
    <n v="540"/>
    <n v="46"/>
    <n v="24.84"/>
    <x v="2"/>
  </r>
  <r>
    <d v="2023-02-28T00:00:00"/>
    <x v="4"/>
    <s v="Борисов"/>
    <s v="Овощи"/>
    <s v="Капуста"/>
    <n v="460"/>
    <n v="21"/>
    <n v="9.66"/>
    <x v="2"/>
  </r>
  <r>
    <d v="2023-02-28T00:00:00"/>
    <x v="2"/>
    <s v="Борисов"/>
    <s v="Ягоды"/>
    <s v="Голубика"/>
    <n v="3205"/>
    <n v="46"/>
    <n v="147.43"/>
    <x v="2"/>
  </r>
  <r>
    <d v="2023-02-28T00:00:00"/>
    <x v="2"/>
    <s v="Жодино"/>
    <s v="Фрукты"/>
    <s v="Сливы"/>
    <n v="930"/>
    <n v="40"/>
    <n v="37.200000000000003"/>
    <x v="2"/>
  </r>
  <r>
    <d v="2023-02-28T00:00:00"/>
    <x v="2"/>
    <s v="Жодино"/>
    <s v="Фрукты"/>
    <s v="Яблоки"/>
    <n v="1230"/>
    <n v="81"/>
    <n v="99.63"/>
    <x v="2"/>
  </r>
  <r>
    <d v="2023-02-28T00:00:00"/>
    <x v="4"/>
    <s v="Жодино"/>
    <s v="Ягоды"/>
    <s v="Смородина черная"/>
    <n v="1505"/>
    <n v="31"/>
    <n v="46.655000000000001"/>
    <x v="2"/>
  </r>
  <r>
    <d v="2023-02-28T00:00:00"/>
    <x v="4"/>
    <s v="Минск"/>
    <s v="Зелень"/>
    <s v="Укроп"/>
    <n v="650"/>
    <n v="13"/>
    <n v="8.4499999999999993"/>
    <x v="2"/>
  </r>
  <r>
    <d v="2023-02-28T00:00:00"/>
    <x v="1"/>
    <s v="Минск"/>
    <s v="Овощи"/>
    <s v="Кабачки"/>
    <n v="325"/>
    <n v="80"/>
    <n v="26"/>
    <x v="2"/>
  </r>
  <r>
    <d v="2023-02-28T00:00:00"/>
    <x v="4"/>
    <s v="Минск"/>
    <s v="Ягоды"/>
    <s v="Черешня"/>
    <n v="1760"/>
    <n v="46"/>
    <n v="80.959999999999994"/>
    <x v="2"/>
  </r>
  <r>
    <d v="2023-02-28T00:00:00"/>
    <x v="0"/>
    <s v="Столбцы"/>
    <s v="Фрукты"/>
    <s v="Сливы"/>
    <n v="930"/>
    <n v="18"/>
    <n v="16.739999999999998"/>
    <x v="2"/>
  </r>
  <r>
    <d v="2023-02-28T00:00:00"/>
    <x v="0"/>
    <s v="Столбцы"/>
    <s v="Ягоды"/>
    <s v="Брусника"/>
    <n v="1670"/>
    <n v="97"/>
    <n v="161.99"/>
    <x v="2"/>
  </r>
  <r>
    <d v="2023-02-28T00:00:00"/>
    <x v="1"/>
    <s v="Столбцы"/>
    <s v="Ягоды"/>
    <s v="Малина"/>
    <n v="2970"/>
    <n v="9"/>
    <n v="26.73"/>
    <x v="2"/>
  </r>
  <r>
    <d v="2023-02-28T00:00:00"/>
    <x v="4"/>
    <s v="Столбцы"/>
    <s v="Ягоды"/>
    <s v="Клубника"/>
    <n v="2460"/>
    <n v="78"/>
    <n v="191.88"/>
    <x v="2"/>
  </r>
  <r>
    <d v="2023-02-28T00:00:00"/>
    <x v="2"/>
    <s v="Фаниполь"/>
    <s v="Фрукты"/>
    <s v="Сливы"/>
    <n v="930"/>
    <n v="100"/>
    <n v="93"/>
    <x v="2"/>
  </r>
  <r>
    <d v="2023-02-28T00:00:00"/>
    <x v="0"/>
    <s v="Фаниполь"/>
    <s v="Зелень"/>
    <s v="Салат римский"/>
    <n v="540"/>
    <n v="98"/>
    <n v="52.92"/>
    <x v="2"/>
  </r>
  <r>
    <d v="2023-02-28T00:00:00"/>
    <x v="0"/>
    <s v="Фаниполь"/>
    <s v="Зелень"/>
    <s v="Лук зеленый"/>
    <n v="705"/>
    <n v="19"/>
    <n v="13.395"/>
    <x v="2"/>
  </r>
  <r>
    <d v="2023-02-28T00:00:00"/>
    <x v="0"/>
    <s v="Фаниполь"/>
    <s v="Овощи"/>
    <s v="Картофель"/>
    <n v="690"/>
    <n v="27"/>
    <n v="18.63"/>
    <x v="2"/>
  </r>
  <r>
    <d v="2023-02-28T00:00:00"/>
    <x v="2"/>
    <s v="Фаниполь"/>
    <s v="Фрукты"/>
    <s v="Груши"/>
    <n v="1420"/>
    <n v="74"/>
    <n v="105.08"/>
    <x v="2"/>
  </r>
  <r>
    <d v="2023-02-28T00:00:00"/>
    <x v="2"/>
    <s v="Фаниполь"/>
    <s v="Фрукты"/>
    <s v="Яблоки"/>
    <n v="1230"/>
    <n v="25"/>
    <n v="30.75"/>
    <x v="2"/>
  </r>
  <r>
    <d v="2023-02-28T00:00:00"/>
    <x v="1"/>
    <s v="Фаниполь"/>
    <s v="Ягоды"/>
    <s v="Черешня"/>
    <n v="1760"/>
    <n v="99"/>
    <n v="174.24"/>
    <x v="2"/>
  </r>
  <r>
    <d v="2023-02-28T00:00:00"/>
    <x v="1"/>
    <s v="Фаниполь"/>
    <s v="Ягоды"/>
    <s v="Голубика"/>
    <n v="3205"/>
    <n v="53"/>
    <n v="169.86500000000001"/>
    <x v="2"/>
  </r>
  <r>
    <d v="2023-02-28T00:00:00"/>
    <x v="2"/>
    <s v="Барановичи"/>
    <s v="Овощи"/>
    <s v="Свекла"/>
    <n v="450"/>
    <n v="48"/>
    <n v="21.6"/>
    <x v="2"/>
  </r>
  <r>
    <d v="2023-02-28T00:00:00"/>
    <x v="4"/>
    <s v="Барановичи"/>
    <s v="Фрукты"/>
    <s v="Апельсины"/>
    <n v="2540"/>
    <n v="96"/>
    <n v="243.84"/>
    <x v="2"/>
  </r>
  <r>
    <s v="28.02.2023 Итог"/>
    <x v="3"/>
    <m/>
    <m/>
    <m/>
    <m/>
    <m/>
    <n v="1880.2249999999999"/>
    <x v="1"/>
  </r>
  <r>
    <d v="2023-03-01T00:00:00"/>
    <x v="1"/>
    <s v="Барановичи"/>
    <s v="Зелень"/>
    <s v="Салат айсберг"/>
    <n v="1380"/>
    <n v="61"/>
    <n v="84.18"/>
    <x v="3"/>
  </r>
  <r>
    <d v="2023-03-01T00:00:00"/>
    <x v="0"/>
    <s v="Борисов"/>
    <s v="Зелень"/>
    <s v="Укроп"/>
    <n v="650"/>
    <n v="97"/>
    <n v="63.05"/>
    <x v="3"/>
  </r>
  <r>
    <d v="2023-03-01T00:00:00"/>
    <x v="0"/>
    <s v="Борисов"/>
    <s v="Овощи"/>
    <s v="Кабачки"/>
    <n v="325"/>
    <n v="100"/>
    <n v="32.5"/>
    <x v="3"/>
  </r>
  <r>
    <d v="2023-03-01T00:00:00"/>
    <x v="1"/>
    <s v="Борисов"/>
    <s v="Овощи"/>
    <s v="Картофель"/>
    <n v="690"/>
    <n v="68"/>
    <n v="46.92"/>
    <x v="3"/>
  </r>
  <r>
    <d v="2023-03-01T00:00:00"/>
    <x v="1"/>
    <s v="Борисов"/>
    <s v="Овощи"/>
    <s v="Свекла"/>
    <n v="450"/>
    <n v="79"/>
    <n v="35.549999999999997"/>
    <x v="3"/>
  </r>
  <r>
    <d v="2023-03-01T00:00:00"/>
    <x v="1"/>
    <s v="Борисов"/>
    <s v="Ягоды"/>
    <s v="Брусника"/>
    <n v="1670"/>
    <n v="96"/>
    <n v="160.32"/>
    <x v="3"/>
  </r>
  <r>
    <d v="2023-03-01T00:00:00"/>
    <x v="0"/>
    <s v="Жодино"/>
    <s v="Зелень"/>
    <s v="Кинза"/>
    <n v="650"/>
    <n v="64"/>
    <n v="41.6"/>
    <x v="3"/>
  </r>
  <r>
    <d v="2023-03-01T00:00:00"/>
    <x v="1"/>
    <s v="Жодино"/>
    <s v="Овощи"/>
    <s v="Морковь"/>
    <n v="715"/>
    <n v="51"/>
    <n v="36.465000000000003"/>
    <x v="3"/>
  </r>
  <r>
    <d v="2023-03-01T00:00:00"/>
    <x v="2"/>
    <s v="Жодино"/>
    <s v="Ягоды"/>
    <s v="Брусника"/>
    <n v="1670"/>
    <n v="77"/>
    <n v="128.59"/>
    <x v="3"/>
  </r>
  <r>
    <d v="2023-03-01T00:00:00"/>
    <x v="2"/>
    <s v="Минск"/>
    <s v="Овощи"/>
    <s v="Баклажаны"/>
    <n v="890"/>
    <n v="22"/>
    <n v="19.579999999999998"/>
    <x v="3"/>
  </r>
  <r>
    <d v="2023-03-01T00:00:00"/>
    <x v="0"/>
    <s v="Минск"/>
    <s v="Овощи"/>
    <s v="Морковь"/>
    <n v="715"/>
    <n v="8"/>
    <n v="5.72"/>
    <x v="3"/>
  </r>
  <r>
    <d v="2023-03-01T00:00:00"/>
    <x v="2"/>
    <s v="Минск"/>
    <s v="Овощи"/>
    <s v="Свекла"/>
    <n v="450"/>
    <n v="12"/>
    <n v="5.4"/>
    <x v="3"/>
  </r>
  <r>
    <d v="2023-03-01T00:00:00"/>
    <x v="4"/>
    <s v="Минск"/>
    <s v="Ягоды"/>
    <s v="Черешня"/>
    <n v="1760"/>
    <n v="49"/>
    <n v="86.24"/>
    <x v="3"/>
  </r>
  <r>
    <d v="2023-03-01T00:00:00"/>
    <x v="4"/>
    <s v="Минск"/>
    <s v="Ягоды"/>
    <s v="Черешня"/>
    <n v="1760"/>
    <n v="99"/>
    <n v="174.24"/>
    <x v="3"/>
  </r>
  <r>
    <d v="2023-03-01T00:00:00"/>
    <x v="1"/>
    <s v="Минск"/>
    <s v="Ягоды"/>
    <s v="Смородина черная"/>
    <n v="1505"/>
    <n v="96"/>
    <n v="144.47999999999999"/>
    <x v="3"/>
  </r>
  <r>
    <d v="2023-03-01T00:00:00"/>
    <x v="4"/>
    <s v="Столбцы"/>
    <s v="Зелень"/>
    <s v="Петрушка"/>
    <n v="640"/>
    <n v="25"/>
    <n v="16"/>
    <x v="3"/>
  </r>
  <r>
    <d v="2023-03-01T00:00:00"/>
    <x v="0"/>
    <s v="Столбцы"/>
    <s v="Овощи"/>
    <s v="Свекла"/>
    <n v="450"/>
    <n v="12"/>
    <n v="5.4"/>
    <x v="3"/>
  </r>
  <r>
    <d v="2023-03-01T00:00:00"/>
    <x v="1"/>
    <s v="Столбцы"/>
    <s v="Овощи"/>
    <s v="Капуста"/>
    <n v="460"/>
    <n v="89"/>
    <n v="40.94"/>
    <x v="3"/>
  </r>
  <r>
    <d v="2023-03-01T00:00:00"/>
    <x v="2"/>
    <s v="Столбцы"/>
    <s v="Фрукты"/>
    <s v="Абрикосы"/>
    <n v="1320"/>
    <n v="11"/>
    <n v="14.52"/>
    <x v="3"/>
  </r>
  <r>
    <d v="2023-03-01T00:00:00"/>
    <x v="4"/>
    <s v="Фаниполь"/>
    <s v="Зелень"/>
    <s v="Салат айсберг"/>
    <n v="1380"/>
    <n v="31"/>
    <n v="42.78"/>
    <x v="3"/>
  </r>
  <r>
    <d v="2023-03-01T00:00:00"/>
    <x v="2"/>
    <s v="Фаниполь"/>
    <s v="Зелень"/>
    <s v="Салат айсберг"/>
    <n v="1380"/>
    <n v="92"/>
    <n v="126.96"/>
    <x v="3"/>
  </r>
  <r>
    <s v="01.03.2023 Итог"/>
    <x v="3"/>
    <m/>
    <m/>
    <m/>
    <m/>
    <m/>
    <n v="1311.4350000000002"/>
    <x v="3"/>
  </r>
  <r>
    <d v="2023-03-02T00:00:00"/>
    <x v="0"/>
    <s v="Барановичи"/>
    <s v="Зелень"/>
    <s v="Салат римский"/>
    <n v="540"/>
    <n v="21"/>
    <n v="11.34"/>
    <x v="3"/>
  </r>
  <r>
    <d v="2023-03-02T00:00:00"/>
    <x v="0"/>
    <s v="Барановичи"/>
    <s v="Зелень"/>
    <s v="Салат айсберг"/>
    <n v="1380"/>
    <n v="70"/>
    <n v="96.6"/>
    <x v="3"/>
  </r>
  <r>
    <d v="2023-03-02T00:00:00"/>
    <x v="4"/>
    <s v="Барановичи"/>
    <s v="Овощи"/>
    <s v="Морковь"/>
    <n v="715"/>
    <n v="48"/>
    <n v="34.32"/>
    <x v="3"/>
  </r>
  <r>
    <d v="2023-03-02T00:00:00"/>
    <x v="0"/>
    <s v="Борисов"/>
    <s v="Зелень"/>
    <s v="Кинза"/>
    <n v="650"/>
    <n v="49"/>
    <n v="31.85"/>
    <x v="3"/>
  </r>
  <r>
    <d v="2023-03-02T00:00:00"/>
    <x v="2"/>
    <s v="Борисов"/>
    <s v="Овощи"/>
    <s v="Баклажаны"/>
    <n v="890"/>
    <n v="5"/>
    <n v="4.45"/>
    <x v="3"/>
  </r>
  <r>
    <d v="2023-03-02T00:00:00"/>
    <x v="2"/>
    <s v="Борисов"/>
    <s v="Овощи"/>
    <s v="Капуста"/>
    <n v="460"/>
    <n v="71"/>
    <n v="32.659999999999997"/>
    <x v="3"/>
  </r>
  <r>
    <d v="2023-03-02T00:00:00"/>
    <x v="2"/>
    <s v="Борисов"/>
    <s v="Овощи"/>
    <s v="Морковь"/>
    <n v="715"/>
    <n v="59"/>
    <n v="42.185000000000002"/>
    <x v="3"/>
  </r>
  <r>
    <d v="2023-03-02T00:00:00"/>
    <x v="2"/>
    <s v="Борисов"/>
    <s v="Фрукты"/>
    <s v="Бананы"/>
    <n v="2400"/>
    <n v="57"/>
    <n v="136.80000000000001"/>
    <x v="3"/>
  </r>
  <r>
    <d v="2023-03-02T00:00:00"/>
    <x v="2"/>
    <s v="Борисов"/>
    <s v="Фрукты"/>
    <s v="Груши"/>
    <n v="1420"/>
    <n v="53"/>
    <n v="75.260000000000005"/>
    <x v="3"/>
  </r>
  <r>
    <d v="2023-03-02T00:00:00"/>
    <x v="2"/>
    <s v="Минск"/>
    <s v="Зелень"/>
    <s v="Салат римский"/>
    <n v="540"/>
    <n v="5"/>
    <n v="2.7"/>
    <x v="3"/>
  </r>
  <r>
    <d v="2023-03-02T00:00:00"/>
    <x v="2"/>
    <s v="Минск"/>
    <s v="Фрукты"/>
    <s v="Абрикосы"/>
    <n v="1320"/>
    <n v="36"/>
    <n v="47.52"/>
    <x v="3"/>
  </r>
  <r>
    <d v="2023-03-02T00:00:00"/>
    <x v="4"/>
    <s v="Минск"/>
    <s v="Ягоды"/>
    <s v="Малина"/>
    <n v="2970"/>
    <n v="15"/>
    <n v="44.55"/>
    <x v="3"/>
  </r>
  <r>
    <d v="2023-03-02T00:00:00"/>
    <x v="0"/>
    <s v="Столбцы"/>
    <s v="Зелень"/>
    <s v="Петрушка"/>
    <n v="640"/>
    <n v="57"/>
    <n v="36.479999999999997"/>
    <x v="3"/>
  </r>
  <r>
    <d v="2023-03-02T00:00:00"/>
    <x v="1"/>
    <s v="Столбцы"/>
    <s v="Овощи"/>
    <s v="Кабачки"/>
    <n v="325"/>
    <n v="21"/>
    <n v="6.8250000000000002"/>
    <x v="3"/>
  </r>
  <r>
    <d v="2023-03-02T00:00:00"/>
    <x v="1"/>
    <s v="Столбцы"/>
    <s v="Ягоды"/>
    <s v="Брусника"/>
    <n v="1670"/>
    <n v="70"/>
    <n v="116.9"/>
    <x v="3"/>
  </r>
  <r>
    <d v="2023-03-02T00:00:00"/>
    <x v="2"/>
    <s v="Столбцы"/>
    <s v="Ягоды"/>
    <s v="Клубника"/>
    <n v="2460"/>
    <n v="45"/>
    <n v="110.7"/>
    <x v="3"/>
  </r>
  <r>
    <d v="2023-03-02T00:00:00"/>
    <x v="4"/>
    <s v="Фаниполь"/>
    <s v="Зелень"/>
    <s v="Лук зеленый"/>
    <n v="705"/>
    <n v="51"/>
    <n v="35.954999999999998"/>
    <x v="3"/>
  </r>
  <r>
    <d v="2023-03-02T00:00:00"/>
    <x v="2"/>
    <s v="Фаниполь"/>
    <s v="Зелень"/>
    <s v="Лук зеленый"/>
    <n v="705"/>
    <n v="59"/>
    <n v="41.594999999999999"/>
    <x v="3"/>
  </r>
  <r>
    <d v="2023-03-02T00:00:00"/>
    <x v="4"/>
    <s v="Фаниполь"/>
    <s v="Овощи"/>
    <s v="Свекла"/>
    <n v="450"/>
    <n v="55"/>
    <n v="24.75"/>
    <x v="3"/>
  </r>
  <r>
    <d v="2023-03-02T00:00:00"/>
    <x v="0"/>
    <s v="Фаниполь"/>
    <s v="Фрукты"/>
    <s v="Апельсины"/>
    <n v="2540"/>
    <n v="93"/>
    <n v="236.22"/>
    <x v="3"/>
  </r>
  <r>
    <s v="02.03.2023 Итог"/>
    <x v="3"/>
    <m/>
    <m/>
    <m/>
    <m/>
    <m/>
    <n v="1169.6600000000001"/>
    <x v="3"/>
  </r>
  <r>
    <d v="2023-03-03T00:00:00"/>
    <x v="1"/>
    <s v="Барановичи"/>
    <s v="Зелень"/>
    <s v="Кинза"/>
    <n v="650"/>
    <n v="34"/>
    <n v="22.1"/>
    <x v="3"/>
  </r>
  <r>
    <d v="2023-03-03T00:00:00"/>
    <x v="1"/>
    <s v="Барановичи"/>
    <s v="Овощи"/>
    <s v="Свекла"/>
    <n v="450"/>
    <n v="15"/>
    <n v="6.75"/>
    <x v="3"/>
  </r>
  <r>
    <d v="2023-03-03T00:00:00"/>
    <x v="0"/>
    <s v="Барановичи"/>
    <s v="Овощи"/>
    <s v="Картофель"/>
    <n v="690"/>
    <n v="69"/>
    <n v="47.61"/>
    <x v="3"/>
  </r>
  <r>
    <d v="2023-03-03T00:00:00"/>
    <x v="2"/>
    <s v="Барановичи"/>
    <s v="Овощи"/>
    <s v="Свекла"/>
    <n v="450"/>
    <n v="44"/>
    <n v="19.8"/>
    <x v="3"/>
  </r>
  <r>
    <d v="2023-03-03T00:00:00"/>
    <x v="4"/>
    <s v="Барановичи"/>
    <s v="Фрукты"/>
    <s v="Бананы"/>
    <n v="2400"/>
    <n v="26"/>
    <n v="62.4"/>
    <x v="3"/>
  </r>
  <r>
    <d v="2023-03-03T00:00:00"/>
    <x v="4"/>
    <s v="Барановичи"/>
    <s v="Ягоды"/>
    <s v="Клубника"/>
    <n v="2460"/>
    <n v="32"/>
    <n v="78.72"/>
    <x v="3"/>
  </r>
  <r>
    <d v="2023-03-03T00:00:00"/>
    <x v="0"/>
    <s v="Борисов"/>
    <s v="Овощи"/>
    <s v="Свекла"/>
    <n v="450"/>
    <n v="88"/>
    <n v="39.6"/>
    <x v="3"/>
  </r>
  <r>
    <d v="2023-03-03T00:00:00"/>
    <x v="1"/>
    <s v="Борисов"/>
    <s v="Овощи"/>
    <s v="Кабачки"/>
    <n v="325"/>
    <n v="21"/>
    <n v="6.8250000000000002"/>
    <x v="3"/>
  </r>
  <r>
    <d v="2023-03-03T00:00:00"/>
    <x v="4"/>
    <s v="Борисов"/>
    <s v="Овощи"/>
    <s v="Баклажаны"/>
    <n v="890"/>
    <n v="32"/>
    <n v="28.48"/>
    <x v="3"/>
  </r>
  <r>
    <d v="2023-03-03T00:00:00"/>
    <x v="0"/>
    <s v="Борисов"/>
    <s v="Ягоды"/>
    <s v="Голубика"/>
    <n v="3205"/>
    <n v="8"/>
    <n v="25.64"/>
    <x v="3"/>
  </r>
  <r>
    <d v="2023-03-03T00:00:00"/>
    <x v="0"/>
    <s v="Борисов"/>
    <s v="Ягоды"/>
    <s v="Клубника"/>
    <n v="2460"/>
    <n v="77"/>
    <n v="189.42"/>
    <x v="3"/>
  </r>
  <r>
    <d v="2023-03-03T00:00:00"/>
    <x v="4"/>
    <s v="Борисов"/>
    <s v="Ягоды"/>
    <s v="Черешня"/>
    <n v="1760"/>
    <n v="32"/>
    <n v="56.32"/>
    <x v="3"/>
  </r>
  <r>
    <d v="2023-03-03T00:00:00"/>
    <x v="4"/>
    <s v="Жодино"/>
    <s v="Зелень"/>
    <s v="Салат айсберг"/>
    <n v="1380"/>
    <n v="70"/>
    <n v="96.6"/>
    <x v="3"/>
  </r>
  <r>
    <d v="2023-03-03T00:00:00"/>
    <x v="0"/>
    <s v="Жодино"/>
    <s v="Зелень"/>
    <s v="Петрушка"/>
    <n v="640"/>
    <n v="74"/>
    <n v="47.36"/>
    <x v="3"/>
  </r>
  <r>
    <d v="2023-03-03T00:00:00"/>
    <x v="1"/>
    <s v="Минск"/>
    <s v="Зелень"/>
    <s v="Салат римский"/>
    <n v="540"/>
    <n v="16"/>
    <n v="8.64"/>
    <x v="3"/>
  </r>
  <r>
    <d v="2023-03-03T00:00:00"/>
    <x v="2"/>
    <s v="Минск"/>
    <s v="Ягоды"/>
    <s v="Черешня"/>
    <n v="1760"/>
    <n v="48"/>
    <n v="84.48"/>
    <x v="3"/>
  </r>
  <r>
    <d v="2023-03-03T00:00:00"/>
    <x v="4"/>
    <s v="Столбцы"/>
    <s v="Зелень"/>
    <s v="Салат римский"/>
    <n v="540"/>
    <n v="86"/>
    <n v="46.44"/>
    <x v="3"/>
  </r>
  <r>
    <d v="2023-03-03T00:00:00"/>
    <x v="4"/>
    <s v="Столбцы"/>
    <s v="Фрукты"/>
    <s v="Груши"/>
    <n v="1420"/>
    <n v="27"/>
    <n v="38.340000000000003"/>
    <x v="3"/>
  </r>
  <r>
    <d v="2023-03-03T00:00:00"/>
    <x v="0"/>
    <s v="Столбцы"/>
    <s v="Фрукты"/>
    <s v="Яблоки"/>
    <n v="1230"/>
    <n v="64"/>
    <n v="78.72"/>
    <x v="3"/>
  </r>
  <r>
    <d v="2023-03-03T00:00:00"/>
    <x v="1"/>
    <s v="Столбцы"/>
    <s v="Фрукты"/>
    <s v="Бананы"/>
    <n v="2400"/>
    <n v="90"/>
    <n v="216"/>
    <x v="3"/>
  </r>
  <r>
    <d v="2023-03-03T00:00:00"/>
    <x v="2"/>
    <s v="Фаниполь"/>
    <s v="Овощи"/>
    <s v="Свекла"/>
    <n v="450"/>
    <n v="12"/>
    <n v="5.4"/>
    <x v="3"/>
  </r>
  <r>
    <d v="2023-03-03T00:00:00"/>
    <x v="4"/>
    <s v="Фаниполь"/>
    <s v="Ягоды"/>
    <s v="Смородина черная"/>
    <n v="1505"/>
    <n v="25"/>
    <n v="37.625"/>
    <x v="3"/>
  </r>
  <r>
    <d v="2023-03-03T00:00:00"/>
    <x v="2"/>
    <s v="Фаниполь"/>
    <s v="Ягоды"/>
    <s v="Малина"/>
    <n v="2970"/>
    <n v="62"/>
    <n v="184.14"/>
    <x v="3"/>
  </r>
  <r>
    <s v="03.03.2023 Итог"/>
    <x v="3"/>
    <m/>
    <m/>
    <m/>
    <m/>
    <m/>
    <n v="1427.4100000000003"/>
    <x v="3"/>
  </r>
  <r>
    <d v="2023-03-04T00:00:00"/>
    <x v="1"/>
    <s v="Барановичи"/>
    <s v="Зелень"/>
    <s v="Петрушка"/>
    <n v="640"/>
    <n v="57"/>
    <n v="36.479999999999997"/>
    <x v="3"/>
  </r>
  <r>
    <d v="2023-03-04T00:00:00"/>
    <x v="1"/>
    <s v="Барановичи"/>
    <s v="Зелень"/>
    <s v="Салат римский"/>
    <n v="540"/>
    <n v="6"/>
    <n v="3.24"/>
    <x v="3"/>
  </r>
  <r>
    <d v="2023-03-04T00:00:00"/>
    <x v="4"/>
    <s v="Барановичи"/>
    <s v="Ягоды"/>
    <s v="Брусника"/>
    <n v="1670"/>
    <n v="65"/>
    <n v="108.55"/>
    <x v="3"/>
  </r>
  <r>
    <d v="2023-03-04T00:00:00"/>
    <x v="2"/>
    <s v="Барановичи"/>
    <s v="Ягоды"/>
    <s v="Малина"/>
    <n v="2970"/>
    <n v="38"/>
    <n v="112.86"/>
    <x v="3"/>
  </r>
  <r>
    <d v="2023-03-04T00:00:00"/>
    <x v="2"/>
    <s v="Борисов"/>
    <s v="Зелень"/>
    <s v="Салат айсберг"/>
    <n v="1380"/>
    <n v="24"/>
    <n v="33.119999999999997"/>
    <x v="3"/>
  </r>
  <r>
    <d v="2023-03-04T00:00:00"/>
    <x v="2"/>
    <s v="Борисов"/>
    <s v="Зелень"/>
    <s v="Укроп"/>
    <n v="650"/>
    <n v="83"/>
    <n v="53.95"/>
    <x v="3"/>
  </r>
  <r>
    <d v="2023-03-04T00:00:00"/>
    <x v="2"/>
    <s v="Борисов"/>
    <s v="Фрукты"/>
    <s v="Груши"/>
    <n v="1420"/>
    <n v="68"/>
    <n v="96.56"/>
    <x v="3"/>
  </r>
  <r>
    <d v="2023-03-04T00:00:00"/>
    <x v="4"/>
    <s v="Борисов"/>
    <s v="Фрукты"/>
    <s v="Груши"/>
    <n v="1420"/>
    <n v="88"/>
    <n v="124.96"/>
    <x v="3"/>
  </r>
  <r>
    <d v="2023-03-04T00:00:00"/>
    <x v="4"/>
    <s v="Жодино"/>
    <s v="Овощи"/>
    <s v="Баклажаны"/>
    <n v="890"/>
    <n v="10"/>
    <n v="8.9"/>
    <x v="3"/>
  </r>
  <r>
    <d v="2023-03-04T00:00:00"/>
    <x v="1"/>
    <s v="Жодино"/>
    <s v="Фрукты"/>
    <s v="Груши"/>
    <n v="1420"/>
    <n v="59"/>
    <n v="83.78"/>
    <x v="3"/>
  </r>
  <r>
    <d v="2023-03-04T00:00:00"/>
    <x v="4"/>
    <s v="Столбцы"/>
    <s v="Зелень"/>
    <s v="Укроп"/>
    <n v="650"/>
    <n v="48"/>
    <n v="31.2"/>
    <x v="3"/>
  </r>
  <r>
    <d v="2023-03-04T00:00:00"/>
    <x v="4"/>
    <s v="Столбцы"/>
    <s v="Фрукты"/>
    <s v="Груши"/>
    <n v="1420"/>
    <n v="73"/>
    <n v="103.66"/>
    <x v="3"/>
  </r>
  <r>
    <d v="2023-03-04T00:00:00"/>
    <x v="0"/>
    <s v="Столбцы"/>
    <s v="Фрукты"/>
    <s v="Груши"/>
    <n v="1420"/>
    <n v="75"/>
    <n v="106.5"/>
    <x v="3"/>
  </r>
  <r>
    <d v="2023-03-04T00:00:00"/>
    <x v="2"/>
    <s v="Фаниполь"/>
    <s v="Зелень"/>
    <s v="Салат римский"/>
    <n v="540"/>
    <n v="59"/>
    <n v="31.86"/>
    <x v="3"/>
  </r>
  <r>
    <d v="2023-03-04T00:00:00"/>
    <x v="2"/>
    <s v="Фаниполь"/>
    <s v="Овощи"/>
    <s v="Капуста"/>
    <n v="460"/>
    <n v="51"/>
    <n v="23.46"/>
    <x v="3"/>
  </r>
  <r>
    <d v="2023-03-04T00:00:00"/>
    <x v="2"/>
    <s v="Фаниполь"/>
    <s v="Фрукты"/>
    <s v="Абрикосы"/>
    <n v="1320"/>
    <n v="33"/>
    <n v="43.56"/>
    <x v="3"/>
  </r>
  <r>
    <d v="2023-03-04T00:00:00"/>
    <x v="0"/>
    <s v="Фаниполь"/>
    <s v="Ягоды"/>
    <s v="Малина"/>
    <n v="2970"/>
    <n v="50"/>
    <n v="148.5"/>
    <x v="3"/>
  </r>
  <r>
    <d v="2023-03-04T00:00:00"/>
    <x v="2"/>
    <s v="Фаниполь"/>
    <s v="Ягоды"/>
    <s v="Клубника"/>
    <n v="2460"/>
    <n v="63"/>
    <n v="154.97999999999999"/>
    <x v="3"/>
  </r>
  <r>
    <s v="04.03.2023 Итог"/>
    <x v="3"/>
    <m/>
    <m/>
    <m/>
    <m/>
    <m/>
    <n v="1306.1200000000001"/>
    <x v="3"/>
  </r>
  <r>
    <d v="2023-03-05T00:00:00"/>
    <x v="2"/>
    <s v="Барановичи"/>
    <s v="Зелень"/>
    <s v="Салат айсберг"/>
    <n v="1380"/>
    <n v="35"/>
    <n v="48.3"/>
    <x v="3"/>
  </r>
  <r>
    <d v="2023-03-05T00:00:00"/>
    <x v="4"/>
    <s v="Барановичи"/>
    <s v="Фрукты"/>
    <s v="Яблоки"/>
    <n v="1230"/>
    <n v="88"/>
    <n v="108.24"/>
    <x v="3"/>
  </r>
  <r>
    <d v="2023-03-05T00:00:00"/>
    <x v="1"/>
    <s v="Барановичи"/>
    <s v="Фрукты"/>
    <s v="Сливы"/>
    <n v="930"/>
    <n v="64"/>
    <n v="59.52"/>
    <x v="3"/>
  </r>
  <r>
    <d v="2023-03-05T00:00:00"/>
    <x v="1"/>
    <s v="Борисов"/>
    <s v="Овощи"/>
    <s v="Свекла"/>
    <n v="450"/>
    <n v="51"/>
    <n v="22.95"/>
    <x v="3"/>
  </r>
  <r>
    <d v="2023-03-05T00:00:00"/>
    <x v="0"/>
    <s v="Борисов"/>
    <s v="Овощи"/>
    <s v="Баклажаны"/>
    <n v="890"/>
    <n v="8"/>
    <n v="7.12"/>
    <x v="3"/>
  </r>
  <r>
    <d v="2023-03-05T00:00:00"/>
    <x v="1"/>
    <s v="Жодино"/>
    <s v="Зелень"/>
    <s v="Петрушка"/>
    <n v="640"/>
    <n v="17"/>
    <n v="10.88"/>
    <x v="3"/>
  </r>
  <r>
    <d v="2023-03-05T00:00:00"/>
    <x v="0"/>
    <s v="Жодино"/>
    <s v="Овощи"/>
    <s v="Баклажаны"/>
    <n v="890"/>
    <n v="16"/>
    <n v="14.24"/>
    <x v="3"/>
  </r>
  <r>
    <d v="2023-03-05T00:00:00"/>
    <x v="2"/>
    <s v="Минск"/>
    <s v="Зелень"/>
    <s v="Салат римский"/>
    <n v="540"/>
    <n v="98"/>
    <n v="52.92"/>
    <x v="3"/>
  </r>
  <r>
    <d v="2023-03-05T00:00:00"/>
    <x v="2"/>
    <s v="Минск"/>
    <s v="Зелень"/>
    <s v="Салат айсберг"/>
    <n v="1380"/>
    <n v="35"/>
    <n v="48.3"/>
    <x v="3"/>
  </r>
  <r>
    <d v="2023-03-05T00:00:00"/>
    <x v="2"/>
    <s v="Столбцы"/>
    <s v="Зелень"/>
    <s v="Кинза"/>
    <n v="650"/>
    <n v="99"/>
    <n v="64.349999999999994"/>
    <x v="3"/>
  </r>
  <r>
    <d v="2023-03-05T00:00:00"/>
    <x v="0"/>
    <s v="Столбцы"/>
    <s v="Фрукты"/>
    <s v="Апельсины"/>
    <n v="2540"/>
    <n v="46"/>
    <n v="116.84"/>
    <x v="3"/>
  </r>
  <r>
    <d v="2023-03-05T00:00:00"/>
    <x v="0"/>
    <s v="Столбцы"/>
    <s v="Фрукты"/>
    <s v="Бананы"/>
    <n v="2400"/>
    <n v="58"/>
    <n v="139.19999999999999"/>
    <x v="3"/>
  </r>
  <r>
    <d v="2023-03-05T00:00:00"/>
    <x v="4"/>
    <s v="Столбцы"/>
    <s v="Фрукты"/>
    <s v="Абрикосы"/>
    <n v="1320"/>
    <n v="83"/>
    <n v="109.56"/>
    <x v="3"/>
  </r>
  <r>
    <d v="2023-03-05T00:00:00"/>
    <x v="4"/>
    <s v="Столбцы"/>
    <s v="Фрукты"/>
    <s v="Абрикосы"/>
    <n v="1320"/>
    <n v="57"/>
    <n v="75.239999999999995"/>
    <x v="3"/>
  </r>
  <r>
    <d v="2023-03-05T00:00:00"/>
    <x v="0"/>
    <s v="Столбцы"/>
    <s v="Ягоды"/>
    <s v="Клубника"/>
    <n v="2460"/>
    <n v="43"/>
    <n v="105.78"/>
    <x v="3"/>
  </r>
  <r>
    <d v="2023-03-05T00:00:00"/>
    <x v="2"/>
    <s v="Фаниполь"/>
    <s v="Зелень"/>
    <s v="Кинза"/>
    <n v="650"/>
    <n v="71"/>
    <n v="46.15"/>
    <x v="3"/>
  </r>
  <r>
    <d v="2023-03-05T00:00:00"/>
    <x v="4"/>
    <s v="Фаниполь"/>
    <s v="Овощи"/>
    <s v="Баклажаны"/>
    <n v="890"/>
    <n v="39"/>
    <n v="34.71"/>
    <x v="3"/>
  </r>
  <r>
    <d v="2023-03-05T00:00:00"/>
    <x v="2"/>
    <s v="Фаниполь"/>
    <s v="Овощи"/>
    <s v="Капуста"/>
    <n v="460"/>
    <n v="80"/>
    <n v="36.799999999999997"/>
    <x v="3"/>
  </r>
  <r>
    <d v="2023-03-05T00:00:00"/>
    <x v="2"/>
    <s v="Фаниполь"/>
    <s v="Ягоды"/>
    <s v="Голубика"/>
    <n v="3205"/>
    <n v="46"/>
    <n v="147.43"/>
    <x v="3"/>
  </r>
  <r>
    <s v="05.03.2023 Итог"/>
    <x v="3"/>
    <m/>
    <m/>
    <m/>
    <m/>
    <m/>
    <n v="1248.5300000000002"/>
    <x v="3"/>
  </r>
  <r>
    <d v="2023-03-06T00:00:00"/>
    <x v="2"/>
    <s v="Барановичи"/>
    <s v="Зелень"/>
    <s v="Укроп"/>
    <n v="650"/>
    <n v="30"/>
    <n v="19.5"/>
    <x v="3"/>
  </r>
  <r>
    <d v="2023-03-06T00:00:00"/>
    <x v="2"/>
    <s v="Барановичи"/>
    <s v="Овощи"/>
    <s v="Свекла"/>
    <n v="450"/>
    <n v="21"/>
    <n v="9.4499999999999993"/>
    <x v="3"/>
  </r>
  <r>
    <d v="2023-03-06T00:00:00"/>
    <x v="2"/>
    <s v="Борисов"/>
    <s v="Зелень"/>
    <s v="Кинза"/>
    <n v="650"/>
    <n v="48"/>
    <n v="31.2"/>
    <x v="3"/>
  </r>
  <r>
    <d v="2023-03-06T00:00:00"/>
    <x v="4"/>
    <s v="Борисов"/>
    <s v="Зелень"/>
    <s v="Салат айсберг"/>
    <n v="1380"/>
    <n v="28"/>
    <n v="38.64"/>
    <x v="3"/>
  </r>
  <r>
    <d v="2023-03-06T00:00:00"/>
    <x v="0"/>
    <s v="Борисов"/>
    <s v="Овощи"/>
    <s v="Свекла"/>
    <n v="450"/>
    <n v="55"/>
    <n v="24.75"/>
    <x v="3"/>
  </r>
  <r>
    <d v="2023-03-06T00:00:00"/>
    <x v="2"/>
    <s v="Борисов"/>
    <s v="Овощи"/>
    <s v="Баклажаны"/>
    <n v="890"/>
    <n v="34"/>
    <n v="30.26"/>
    <x v="3"/>
  </r>
  <r>
    <d v="2023-03-06T00:00:00"/>
    <x v="1"/>
    <s v="Борисов"/>
    <s v="Фрукты"/>
    <s v="Абрикосы"/>
    <n v="1320"/>
    <n v="62"/>
    <n v="81.84"/>
    <x v="3"/>
  </r>
  <r>
    <d v="2023-03-06T00:00:00"/>
    <x v="1"/>
    <s v="Борисов"/>
    <s v="Фрукты"/>
    <s v="Сливы"/>
    <n v="930"/>
    <n v="97"/>
    <n v="90.21"/>
    <x v="3"/>
  </r>
  <r>
    <d v="2023-03-06T00:00:00"/>
    <x v="1"/>
    <s v="Борисов"/>
    <s v="Фрукты"/>
    <s v="Груши"/>
    <n v="1420"/>
    <n v="84"/>
    <n v="119.28"/>
    <x v="3"/>
  </r>
  <r>
    <d v="2023-03-06T00:00:00"/>
    <x v="0"/>
    <s v="Борисов"/>
    <s v="Фрукты"/>
    <s v="Абрикосы"/>
    <n v="1320"/>
    <n v="77"/>
    <n v="101.64"/>
    <x v="3"/>
  </r>
  <r>
    <d v="2023-03-06T00:00:00"/>
    <x v="4"/>
    <s v="Борисов"/>
    <s v="Фрукты"/>
    <s v="Бананы"/>
    <n v="2400"/>
    <n v="30"/>
    <n v="72"/>
    <x v="3"/>
  </r>
  <r>
    <d v="2023-03-06T00:00:00"/>
    <x v="2"/>
    <s v="Борисов"/>
    <s v="Ягоды"/>
    <s v="Брусника"/>
    <n v="1670"/>
    <n v="80"/>
    <n v="133.6"/>
    <x v="3"/>
  </r>
  <r>
    <d v="2023-03-06T00:00:00"/>
    <x v="2"/>
    <s v="Борисов"/>
    <s v="Ягоды"/>
    <s v="Брусника"/>
    <n v="1670"/>
    <n v="57"/>
    <n v="95.19"/>
    <x v="3"/>
  </r>
  <r>
    <d v="2023-03-06T00:00:00"/>
    <x v="1"/>
    <s v="Жодино"/>
    <s v="Фрукты"/>
    <s v="Груши"/>
    <n v="1420"/>
    <n v="28"/>
    <n v="39.76"/>
    <x v="3"/>
  </r>
  <r>
    <d v="2023-03-06T00:00:00"/>
    <x v="4"/>
    <s v="Жодино"/>
    <s v="Ягоды"/>
    <s v="Брусника"/>
    <n v="1670"/>
    <n v="46"/>
    <n v="76.819999999999993"/>
    <x v="3"/>
  </r>
  <r>
    <d v="2023-03-06T00:00:00"/>
    <x v="2"/>
    <s v="Жодино"/>
    <s v="Ягоды"/>
    <s v="Клубника"/>
    <n v="2460"/>
    <n v="64"/>
    <n v="157.44"/>
    <x v="3"/>
  </r>
  <r>
    <d v="2023-03-06T00:00:00"/>
    <x v="0"/>
    <s v="Столбцы"/>
    <s v="Зелень"/>
    <s v="Салат айсберг"/>
    <n v="1380"/>
    <n v="7"/>
    <n v="9.66"/>
    <x v="3"/>
  </r>
  <r>
    <d v="2023-03-06T00:00:00"/>
    <x v="1"/>
    <s v="Столбцы"/>
    <s v="Овощи"/>
    <s v="Свекла"/>
    <n v="450"/>
    <n v="26"/>
    <n v="11.7"/>
    <x v="3"/>
  </r>
  <r>
    <d v="2023-03-06T00:00:00"/>
    <x v="4"/>
    <s v="Столбцы"/>
    <s v="Ягоды"/>
    <s v="Клубника"/>
    <n v="2460"/>
    <n v="5"/>
    <n v="12.3"/>
    <x v="3"/>
  </r>
  <r>
    <d v="2023-03-06T00:00:00"/>
    <x v="1"/>
    <s v="Фаниполь"/>
    <s v="Зелень"/>
    <s v="Укроп"/>
    <n v="650"/>
    <n v="13"/>
    <n v="8.4499999999999993"/>
    <x v="3"/>
  </r>
  <r>
    <d v="2023-03-06T00:00:00"/>
    <x v="0"/>
    <s v="Фаниполь"/>
    <s v="Овощи"/>
    <s v="Свекла"/>
    <n v="450"/>
    <n v="35"/>
    <n v="15.75"/>
    <x v="3"/>
  </r>
  <r>
    <d v="2023-03-06T00:00:00"/>
    <x v="0"/>
    <s v="Фаниполь"/>
    <s v="Фрукты"/>
    <s v="Бананы"/>
    <n v="2400"/>
    <n v="13"/>
    <n v="31.2"/>
    <x v="3"/>
  </r>
  <r>
    <d v="2023-03-06T00:00:00"/>
    <x v="4"/>
    <s v="Фаниполь"/>
    <s v="Ягоды"/>
    <s v="Смородина черная"/>
    <n v="1505"/>
    <n v="36"/>
    <n v="54.18"/>
    <x v="3"/>
  </r>
  <r>
    <d v="2023-03-06T00:00:00"/>
    <x v="4"/>
    <s v="Фаниполь"/>
    <s v="Ягоды"/>
    <s v="Смородина черная"/>
    <n v="1505"/>
    <n v="87"/>
    <n v="130.935"/>
    <x v="3"/>
  </r>
  <r>
    <d v="2023-03-06T00:00:00"/>
    <x v="1"/>
    <s v="Фаниполь"/>
    <s v="Ягоды"/>
    <s v="Клубника"/>
    <n v="2460"/>
    <n v="38"/>
    <n v="93.48"/>
    <x v="3"/>
  </r>
  <r>
    <s v="06.03.2023 Итог"/>
    <x v="3"/>
    <m/>
    <m/>
    <m/>
    <m/>
    <m/>
    <n v="1489.2350000000001"/>
    <x v="3"/>
  </r>
  <r>
    <d v="2023-03-07T00:00:00"/>
    <x v="2"/>
    <s v="Барановичи"/>
    <s v="Зелень"/>
    <s v="Петрушка"/>
    <n v="640"/>
    <n v="71"/>
    <n v="45.44"/>
    <x v="3"/>
  </r>
  <r>
    <d v="2023-03-07T00:00:00"/>
    <x v="0"/>
    <s v="Барановичи"/>
    <s v="Фрукты"/>
    <s v="Сливы"/>
    <n v="930"/>
    <n v="42"/>
    <n v="39.06"/>
    <x v="3"/>
  </r>
  <r>
    <d v="2023-03-07T00:00:00"/>
    <x v="1"/>
    <s v="Барановичи"/>
    <s v="Ягоды"/>
    <s v="Голубика"/>
    <n v="3205"/>
    <n v="76"/>
    <n v="243.58"/>
    <x v="3"/>
  </r>
  <r>
    <d v="2023-03-07T00:00:00"/>
    <x v="2"/>
    <s v="Борисов"/>
    <s v="Зелень"/>
    <s v="Укроп"/>
    <n v="650"/>
    <n v="66"/>
    <n v="42.9"/>
    <x v="3"/>
  </r>
  <r>
    <d v="2023-03-07T00:00:00"/>
    <x v="4"/>
    <s v="Борисов"/>
    <s v="Овощи"/>
    <s v="Картофель"/>
    <n v="690"/>
    <n v="37"/>
    <n v="25.53"/>
    <x v="3"/>
  </r>
  <r>
    <d v="2023-03-07T00:00:00"/>
    <x v="4"/>
    <s v="Борисов"/>
    <s v="Ягоды"/>
    <s v="Клубника"/>
    <n v="2460"/>
    <n v="48"/>
    <n v="118.08"/>
    <x v="3"/>
  </r>
  <r>
    <d v="2023-03-07T00:00:00"/>
    <x v="4"/>
    <s v="Жодино"/>
    <s v="Ягоды"/>
    <s v="Клубника"/>
    <n v="2460"/>
    <n v="17"/>
    <n v="41.82"/>
    <x v="3"/>
  </r>
  <r>
    <d v="2023-03-07T00:00:00"/>
    <x v="0"/>
    <s v="Жодино"/>
    <s v="Ягоды"/>
    <s v="Малина"/>
    <n v="2970"/>
    <n v="72"/>
    <n v="213.84"/>
    <x v="3"/>
  </r>
  <r>
    <d v="2023-03-07T00:00:00"/>
    <x v="4"/>
    <s v="Минск"/>
    <s v="Зелень"/>
    <s v="Петрушка"/>
    <n v="640"/>
    <n v="95"/>
    <n v="60.8"/>
    <x v="3"/>
  </r>
  <r>
    <d v="2023-03-07T00:00:00"/>
    <x v="4"/>
    <s v="Минск"/>
    <s v="Зелень"/>
    <s v="Лук зеленый"/>
    <n v="705"/>
    <n v="23"/>
    <n v="16.215"/>
    <x v="3"/>
  </r>
  <r>
    <d v="2023-03-07T00:00:00"/>
    <x v="2"/>
    <s v="Минск"/>
    <s v="Зелень"/>
    <s v="Лук зеленый"/>
    <n v="705"/>
    <n v="69"/>
    <n v="48.645000000000003"/>
    <x v="3"/>
  </r>
  <r>
    <d v="2023-03-07T00:00:00"/>
    <x v="0"/>
    <s v="Минск"/>
    <s v="Зелень"/>
    <s v="Укроп"/>
    <n v="650"/>
    <n v="24"/>
    <n v="15.6"/>
    <x v="3"/>
  </r>
  <r>
    <d v="2023-03-07T00:00:00"/>
    <x v="1"/>
    <s v="Минск"/>
    <s v="Овощи"/>
    <s v="Морковь"/>
    <n v="715"/>
    <n v="48"/>
    <n v="34.32"/>
    <x v="3"/>
  </r>
  <r>
    <d v="2023-03-07T00:00:00"/>
    <x v="4"/>
    <s v="Минск"/>
    <s v="Ягоды"/>
    <s v="Голубика"/>
    <n v="3205"/>
    <n v="21"/>
    <n v="67.305000000000007"/>
    <x v="3"/>
  </r>
  <r>
    <d v="2023-03-07T00:00:00"/>
    <x v="2"/>
    <s v="Столбцы"/>
    <s v="Овощи"/>
    <s v="Картофель"/>
    <n v="690"/>
    <n v="7"/>
    <n v="4.83"/>
    <x v="3"/>
  </r>
  <r>
    <d v="2023-03-07T00:00:00"/>
    <x v="4"/>
    <s v="Столбцы"/>
    <s v="Фрукты"/>
    <s v="Сливы"/>
    <n v="930"/>
    <n v="15"/>
    <n v="13.95"/>
    <x v="3"/>
  </r>
  <r>
    <d v="2023-03-07T00:00:00"/>
    <x v="4"/>
    <s v="Столбцы"/>
    <s v="Фрукты"/>
    <s v="Апельсины"/>
    <n v="2540"/>
    <n v="65"/>
    <n v="165.1"/>
    <x v="3"/>
  </r>
  <r>
    <d v="2023-03-07T00:00:00"/>
    <x v="0"/>
    <s v="Фаниполь"/>
    <s v="Овощи"/>
    <s v="Свекла"/>
    <n v="450"/>
    <n v="47"/>
    <n v="21.15"/>
    <x v="3"/>
  </r>
  <r>
    <d v="2023-03-07T00:00:00"/>
    <x v="2"/>
    <s v="Фаниполь"/>
    <s v="Овощи"/>
    <s v="Капуста"/>
    <n v="460"/>
    <n v="12"/>
    <n v="5.52"/>
    <x v="3"/>
  </r>
  <r>
    <d v="2023-03-07T00:00:00"/>
    <x v="2"/>
    <s v="Фаниполь"/>
    <s v="Фрукты"/>
    <s v="Груши"/>
    <n v="1420"/>
    <n v="55"/>
    <n v="78.099999999999994"/>
    <x v="3"/>
  </r>
  <r>
    <s v="07.03.2023 Итог"/>
    <x v="3"/>
    <m/>
    <m/>
    <m/>
    <m/>
    <m/>
    <n v="1301.7850000000001"/>
    <x v="3"/>
  </r>
  <r>
    <d v="2023-03-08T00:00:00"/>
    <x v="2"/>
    <s v="Барановичи"/>
    <s v="Зелень"/>
    <s v="Кинза"/>
    <n v="650"/>
    <n v="67"/>
    <n v="43.55"/>
    <x v="3"/>
  </r>
  <r>
    <d v="2023-03-08T00:00:00"/>
    <x v="1"/>
    <s v="Барановичи"/>
    <s v="Зелень"/>
    <s v="Салат айсберг"/>
    <n v="1380"/>
    <n v="84"/>
    <n v="115.92"/>
    <x v="3"/>
  </r>
  <r>
    <d v="2023-03-08T00:00:00"/>
    <x v="2"/>
    <s v="Борисов"/>
    <s v="Ягоды"/>
    <s v="Черешня"/>
    <n v="1760"/>
    <n v="44"/>
    <n v="77.44"/>
    <x v="3"/>
  </r>
  <r>
    <d v="2023-03-08T00:00:00"/>
    <x v="4"/>
    <s v="Борисов"/>
    <s v="Ягоды"/>
    <s v="Брусника"/>
    <n v="1670"/>
    <n v="36"/>
    <n v="60.12"/>
    <x v="3"/>
  </r>
  <r>
    <d v="2023-03-08T00:00:00"/>
    <x v="0"/>
    <s v="Жодино"/>
    <s v="Овощи"/>
    <s v="Свекла"/>
    <n v="450"/>
    <n v="96"/>
    <n v="43.2"/>
    <x v="3"/>
  </r>
  <r>
    <d v="2023-03-08T00:00:00"/>
    <x v="0"/>
    <s v="Жодино"/>
    <s v="Ягоды"/>
    <s v="Брусника"/>
    <n v="1670"/>
    <n v="52"/>
    <n v="86.84"/>
    <x v="3"/>
  </r>
  <r>
    <d v="2023-03-08T00:00:00"/>
    <x v="4"/>
    <s v="Жодино"/>
    <s v="Ягоды"/>
    <s v="Брусника"/>
    <n v="1670"/>
    <n v="27"/>
    <n v="45.09"/>
    <x v="3"/>
  </r>
  <r>
    <d v="2023-03-08T00:00:00"/>
    <x v="4"/>
    <s v="Жодино"/>
    <s v="Ягоды"/>
    <s v="Голубика"/>
    <n v="3205"/>
    <n v="56"/>
    <n v="179.48"/>
    <x v="3"/>
  </r>
  <r>
    <d v="2023-03-08T00:00:00"/>
    <x v="4"/>
    <s v="Столбцы"/>
    <s v="Зелень"/>
    <s v="Кинза"/>
    <n v="650"/>
    <n v="90"/>
    <n v="58.5"/>
    <x v="3"/>
  </r>
  <r>
    <d v="2023-03-08T00:00:00"/>
    <x v="4"/>
    <s v="Столбцы"/>
    <s v="Ягоды"/>
    <s v="Клубника"/>
    <n v="2460"/>
    <n v="61"/>
    <n v="150.06"/>
    <x v="3"/>
  </r>
  <r>
    <d v="2023-03-08T00:00:00"/>
    <x v="2"/>
    <s v="Фаниполь"/>
    <s v="Зелень"/>
    <s v="Укроп"/>
    <n v="650"/>
    <n v="34"/>
    <n v="22.1"/>
    <x v="3"/>
  </r>
  <r>
    <s v="08.03.2023 Итог"/>
    <x v="3"/>
    <m/>
    <m/>
    <m/>
    <m/>
    <m/>
    <n v="882.30000000000007"/>
    <x v="3"/>
  </r>
  <r>
    <d v="2023-03-09T00:00:00"/>
    <x v="2"/>
    <s v="Барановичи"/>
    <s v="Зелень"/>
    <s v="Лук зеленый"/>
    <n v="705"/>
    <n v="61"/>
    <n v="43.005000000000003"/>
    <x v="3"/>
  </r>
  <r>
    <d v="2023-03-09T00:00:00"/>
    <x v="4"/>
    <s v="Барановичи"/>
    <s v="Овощи"/>
    <s v="Капуста"/>
    <n v="460"/>
    <n v="30"/>
    <n v="13.8"/>
    <x v="3"/>
  </r>
  <r>
    <d v="2023-03-09T00:00:00"/>
    <x v="1"/>
    <s v="Барановичи"/>
    <s v="Фрукты"/>
    <s v="Сливы"/>
    <n v="930"/>
    <n v="23"/>
    <n v="21.39"/>
    <x v="3"/>
  </r>
  <r>
    <d v="2023-03-09T00:00:00"/>
    <x v="2"/>
    <s v="Барановичи"/>
    <s v="Фрукты"/>
    <s v="Бананы"/>
    <n v="2400"/>
    <n v="89"/>
    <n v="213.6"/>
    <x v="3"/>
  </r>
  <r>
    <d v="2023-03-09T00:00:00"/>
    <x v="0"/>
    <s v="Барановичи"/>
    <s v="Фрукты"/>
    <s v="Груши"/>
    <n v="1420"/>
    <n v="92"/>
    <n v="130.63999999999999"/>
    <x v="3"/>
  </r>
  <r>
    <d v="2023-03-09T00:00:00"/>
    <x v="2"/>
    <s v="Барановичи"/>
    <s v="Ягоды"/>
    <s v="Смородина черная"/>
    <n v="1505"/>
    <n v="8"/>
    <n v="12.04"/>
    <x v="3"/>
  </r>
  <r>
    <d v="2023-03-09T00:00:00"/>
    <x v="4"/>
    <s v="Борисов"/>
    <s v="Фрукты"/>
    <s v="Апельсины"/>
    <n v="2540"/>
    <n v="49"/>
    <n v="124.46"/>
    <x v="3"/>
  </r>
  <r>
    <d v="2023-03-09T00:00:00"/>
    <x v="2"/>
    <s v="Борисов"/>
    <s v="Ягоды"/>
    <s v="Клубника"/>
    <n v="2460"/>
    <n v="70"/>
    <n v="172.2"/>
    <x v="3"/>
  </r>
  <r>
    <d v="2023-03-09T00:00:00"/>
    <x v="1"/>
    <s v="Минск"/>
    <s v="Зелень"/>
    <s v="Петрушка"/>
    <n v="640"/>
    <n v="59"/>
    <n v="37.76"/>
    <x v="3"/>
  </r>
  <r>
    <d v="2023-03-09T00:00:00"/>
    <x v="4"/>
    <s v="Минск"/>
    <s v="Зелень"/>
    <s v="Петрушка"/>
    <n v="640"/>
    <n v="36"/>
    <n v="23.04"/>
    <x v="3"/>
  </r>
  <r>
    <d v="2023-03-09T00:00:00"/>
    <x v="4"/>
    <s v="Минск"/>
    <s v="Фрукты"/>
    <s v="Сливы"/>
    <n v="930"/>
    <n v="8"/>
    <n v="7.44"/>
    <x v="3"/>
  </r>
  <r>
    <d v="2023-03-09T00:00:00"/>
    <x v="4"/>
    <s v="Столбцы"/>
    <s v="Фрукты"/>
    <s v="Апельсины"/>
    <n v="2540"/>
    <n v="47"/>
    <n v="119.38"/>
    <x v="3"/>
  </r>
  <r>
    <d v="2023-03-09T00:00:00"/>
    <x v="2"/>
    <s v="Столбцы"/>
    <s v="Фрукты"/>
    <s v="Апельсины"/>
    <n v="2540"/>
    <n v="90"/>
    <n v="228.6"/>
    <x v="3"/>
  </r>
  <r>
    <d v="2023-03-09T00:00:00"/>
    <x v="0"/>
    <s v="Фаниполь"/>
    <s v="Зелень"/>
    <s v="Укроп"/>
    <n v="650"/>
    <n v="51"/>
    <n v="33.15"/>
    <x v="3"/>
  </r>
  <r>
    <s v="09.03.2023 Итог"/>
    <x v="3"/>
    <m/>
    <m/>
    <m/>
    <m/>
    <m/>
    <n v="1180.5050000000001"/>
    <x v="3"/>
  </r>
  <r>
    <d v="2023-03-10T00:00:00"/>
    <x v="2"/>
    <s v="Барановичи"/>
    <s v="Фрукты"/>
    <s v="Апельсины"/>
    <n v="2540"/>
    <n v="95"/>
    <n v="241.3"/>
    <x v="3"/>
  </r>
  <r>
    <d v="2023-03-10T00:00:00"/>
    <x v="0"/>
    <s v="Борисов"/>
    <s v="Зелень"/>
    <s v="Салат айсберг"/>
    <n v="1380"/>
    <n v="30"/>
    <n v="41.4"/>
    <x v="3"/>
  </r>
  <r>
    <d v="2023-03-10T00:00:00"/>
    <x v="4"/>
    <s v="Борисов"/>
    <s v="Овощи"/>
    <s v="Свекла"/>
    <n v="450"/>
    <n v="81"/>
    <n v="36.450000000000003"/>
    <x v="3"/>
  </r>
  <r>
    <d v="2023-03-10T00:00:00"/>
    <x v="0"/>
    <s v="Борисов"/>
    <s v="Фрукты"/>
    <s v="Сливы"/>
    <n v="930"/>
    <n v="98"/>
    <n v="91.14"/>
    <x v="3"/>
  </r>
  <r>
    <d v="2023-03-10T00:00:00"/>
    <x v="2"/>
    <s v="Борисов"/>
    <s v="Фрукты"/>
    <s v="Абрикосы"/>
    <n v="1320"/>
    <n v="91"/>
    <n v="120.12"/>
    <x v="3"/>
  </r>
  <r>
    <d v="2023-03-10T00:00:00"/>
    <x v="2"/>
    <s v="Жодино"/>
    <s v="Зелень"/>
    <s v="Укроп"/>
    <n v="650"/>
    <n v="23"/>
    <n v="14.95"/>
    <x v="3"/>
  </r>
  <r>
    <d v="2023-03-10T00:00:00"/>
    <x v="4"/>
    <s v="Жодино"/>
    <s v="Овощи"/>
    <s v="Морковь"/>
    <n v="715"/>
    <n v="83"/>
    <n v="59.344999999999999"/>
    <x v="3"/>
  </r>
  <r>
    <d v="2023-03-10T00:00:00"/>
    <x v="4"/>
    <s v="Жодино"/>
    <s v="Фрукты"/>
    <s v="Абрикосы"/>
    <n v="1320"/>
    <n v="100"/>
    <n v="132"/>
    <x v="3"/>
  </r>
  <r>
    <d v="2023-03-10T00:00:00"/>
    <x v="4"/>
    <s v="Жодино"/>
    <s v="Фрукты"/>
    <s v="Абрикосы"/>
    <n v="1320"/>
    <n v="87"/>
    <n v="114.84"/>
    <x v="3"/>
  </r>
  <r>
    <d v="2023-03-10T00:00:00"/>
    <x v="2"/>
    <s v="Жодино"/>
    <s v="Ягоды"/>
    <s v="Клубника"/>
    <n v="2460"/>
    <n v="48"/>
    <n v="118.08"/>
    <x v="3"/>
  </r>
  <r>
    <d v="2023-03-10T00:00:00"/>
    <x v="2"/>
    <s v="Столбцы"/>
    <s v="Зелень"/>
    <s v="Петрушка"/>
    <n v="640"/>
    <n v="83"/>
    <n v="53.12"/>
    <x v="3"/>
  </r>
  <r>
    <d v="2023-03-10T00:00:00"/>
    <x v="2"/>
    <s v="Столбцы"/>
    <s v="Зелень"/>
    <s v="Петрушка"/>
    <n v="640"/>
    <n v="26"/>
    <n v="16.64"/>
    <x v="3"/>
  </r>
  <r>
    <d v="2023-03-10T00:00:00"/>
    <x v="2"/>
    <s v="Столбцы"/>
    <s v="Овощи"/>
    <s v="Баклажаны"/>
    <n v="890"/>
    <n v="87"/>
    <n v="77.430000000000007"/>
    <x v="3"/>
  </r>
  <r>
    <d v="2023-03-10T00:00:00"/>
    <x v="0"/>
    <s v="Столбцы"/>
    <s v="Овощи"/>
    <s v="Свекла"/>
    <n v="450"/>
    <n v="19"/>
    <n v="8.5500000000000007"/>
    <x v="3"/>
  </r>
  <r>
    <d v="2023-03-10T00:00:00"/>
    <x v="0"/>
    <s v="Столбцы"/>
    <s v="Овощи"/>
    <s v="Свекла"/>
    <n v="450"/>
    <n v="19"/>
    <n v="8.5500000000000007"/>
    <x v="3"/>
  </r>
  <r>
    <d v="2023-03-10T00:00:00"/>
    <x v="1"/>
    <s v="Столбцы"/>
    <s v="Фрукты"/>
    <s v="Бананы"/>
    <n v="2400"/>
    <n v="67"/>
    <n v="160.80000000000001"/>
    <x v="3"/>
  </r>
  <r>
    <d v="2023-03-10T00:00:00"/>
    <x v="2"/>
    <s v="Фаниполь"/>
    <s v="Зелень"/>
    <s v="Лук зеленый"/>
    <n v="705"/>
    <n v="13"/>
    <n v="9.1649999999999991"/>
    <x v="3"/>
  </r>
  <r>
    <d v="2023-03-10T00:00:00"/>
    <x v="2"/>
    <s v="Фаниполь"/>
    <s v="Зелень"/>
    <s v="Петрушка"/>
    <n v="640"/>
    <n v="68"/>
    <n v="43.52"/>
    <x v="3"/>
  </r>
  <r>
    <d v="2023-03-10T00:00:00"/>
    <x v="2"/>
    <s v="Фаниполь"/>
    <s v="Овощи"/>
    <s v="Кабачки"/>
    <n v="325"/>
    <n v="12"/>
    <n v="3.9"/>
    <x v="3"/>
  </r>
  <r>
    <d v="2023-03-10T00:00:00"/>
    <x v="0"/>
    <s v="Фаниполь"/>
    <s v="Овощи"/>
    <s v="Свекла"/>
    <n v="450"/>
    <n v="5"/>
    <n v="2.25"/>
    <x v="3"/>
  </r>
  <r>
    <d v="2023-03-10T00:00:00"/>
    <x v="0"/>
    <s v="Фаниполь"/>
    <s v="Фрукты"/>
    <s v="Бананы"/>
    <n v="2400"/>
    <n v="97"/>
    <n v="232.8"/>
    <x v="3"/>
  </r>
  <r>
    <d v="2023-03-10T00:00:00"/>
    <x v="4"/>
    <s v="Фаниполь"/>
    <s v="Ягоды"/>
    <s v="Клубника"/>
    <n v="2460"/>
    <n v="9"/>
    <n v="22.14"/>
    <x v="3"/>
  </r>
  <r>
    <s v="10.03.2023 Итог"/>
    <x v="3"/>
    <m/>
    <m/>
    <m/>
    <m/>
    <m/>
    <n v="1608.4900000000002"/>
    <x v="3"/>
  </r>
  <r>
    <d v="2023-03-11T00:00:00"/>
    <x v="1"/>
    <s v="Барановичи"/>
    <s v="Фрукты"/>
    <s v="Бананы"/>
    <n v="2400"/>
    <n v="35"/>
    <n v="84"/>
    <x v="3"/>
  </r>
  <r>
    <d v="2023-03-11T00:00:00"/>
    <x v="1"/>
    <s v="Барановичи"/>
    <s v="Фрукты"/>
    <s v="Сливы"/>
    <n v="930"/>
    <n v="14"/>
    <n v="13.02"/>
    <x v="3"/>
  </r>
  <r>
    <d v="2023-03-11T00:00:00"/>
    <x v="4"/>
    <s v="Барановичи"/>
    <s v="Ягоды"/>
    <s v="Черешня"/>
    <n v="1760"/>
    <n v="98"/>
    <n v="172.48"/>
    <x v="3"/>
  </r>
  <r>
    <d v="2023-03-11T00:00:00"/>
    <x v="1"/>
    <s v="Барановичи"/>
    <s v="Ягоды"/>
    <s v="Брусника"/>
    <n v="1670"/>
    <n v="34"/>
    <n v="56.78"/>
    <x v="3"/>
  </r>
  <r>
    <d v="2023-03-11T00:00:00"/>
    <x v="2"/>
    <s v="Борисов"/>
    <s v="Овощи"/>
    <s v="Картофель"/>
    <n v="690"/>
    <n v="97"/>
    <n v="66.930000000000007"/>
    <x v="3"/>
  </r>
  <r>
    <d v="2023-03-11T00:00:00"/>
    <x v="0"/>
    <s v="Борисов"/>
    <s v="Ягоды"/>
    <s v="Черешня"/>
    <n v="1760"/>
    <n v="23"/>
    <n v="40.479999999999997"/>
    <x v="3"/>
  </r>
  <r>
    <d v="2023-03-11T00:00:00"/>
    <x v="2"/>
    <s v="Борисов"/>
    <s v="Ягоды"/>
    <s v="Голубика"/>
    <n v="3205"/>
    <n v="81"/>
    <n v="259.60500000000002"/>
    <x v="3"/>
  </r>
  <r>
    <d v="2023-03-11T00:00:00"/>
    <x v="1"/>
    <s v="Жодино"/>
    <s v="Зелень"/>
    <s v="Лук зеленый"/>
    <n v="705"/>
    <n v="88"/>
    <n v="62.04"/>
    <x v="3"/>
  </r>
  <r>
    <d v="2023-03-11T00:00:00"/>
    <x v="2"/>
    <s v="Минск"/>
    <s v="Зелень"/>
    <s v="Кинза"/>
    <n v="650"/>
    <n v="58"/>
    <n v="37.700000000000003"/>
    <x v="3"/>
  </r>
  <r>
    <d v="2023-03-11T00:00:00"/>
    <x v="4"/>
    <s v="Минск"/>
    <s v="Овощи"/>
    <s v="Баклажаны"/>
    <n v="890"/>
    <n v="14"/>
    <n v="12.46"/>
    <x v="3"/>
  </r>
  <r>
    <d v="2023-03-11T00:00:00"/>
    <x v="4"/>
    <s v="Минск"/>
    <s v="Фрукты"/>
    <s v="Сливы"/>
    <n v="930"/>
    <n v="24"/>
    <n v="22.32"/>
    <x v="3"/>
  </r>
  <r>
    <d v="2023-03-11T00:00:00"/>
    <x v="1"/>
    <s v="Минск"/>
    <s v="Ягоды"/>
    <s v="Брусника"/>
    <n v="1670"/>
    <n v="45"/>
    <n v="75.150000000000006"/>
    <x v="3"/>
  </r>
  <r>
    <d v="2023-03-11T00:00:00"/>
    <x v="1"/>
    <s v="Минск"/>
    <s v="Ягоды"/>
    <s v="Голубика"/>
    <n v="3205"/>
    <n v="80"/>
    <n v="256.39999999999998"/>
    <x v="3"/>
  </r>
  <r>
    <d v="2023-03-11T00:00:00"/>
    <x v="1"/>
    <s v="Столбцы"/>
    <s v="Овощи"/>
    <s v="Баклажаны"/>
    <n v="890"/>
    <n v="28"/>
    <n v="24.92"/>
    <x v="3"/>
  </r>
  <r>
    <d v="2023-03-11T00:00:00"/>
    <x v="2"/>
    <s v="Столбцы"/>
    <s v="Фрукты"/>
    <s v="Груши"/>
    <n v="1420"/>
    <n v="73"/>
    <n v="103.66"/>
    <x v="3"/>
  </r>
  <r>
    <d v="2023-03-11T00:00:00"/>
    <x v="4"/>
    <s v="Фаниполь"/>
    <s v="Зелень"/>
    <s v="Лук зеленый"/>
    <n v="705"/>
    <n v="52"/>
    <n v="36.659999999999997"/>
    <x v="3"/>
  </r>
  <r>
    <d v="2023-03-11T00:00:00"/>
    <x v="1"/>
    <s v="Фаниполь"/>
    <s v="Овощи"/>
    <s v="Морковь"/>
    <n v="715"/>
    <n v="33"/>
    <n v="23.594999999999999"/>
    <x v="3"/>
  </r>
  <r>
    <d v="2023-03-11T00:00:00"/>
    <x v="2"/>
    <s v="Фаниполь"/>
    <s v="Фрукты"/>
    <s v="Бананы"/>
    <n v="2400"/>
    <n v="41"/>
    <n v="98.4"/>
    <x v="3"/>
  </r>
  <r>
    <d v="2023-03-11T00:00:00"/>
    <x v="0"/>
    <s v="Фаниполь"/>
    <s v="Фрукты"/>
    <s v="Апельсины"/>
    <n v="2540"/>
    <n v="23"/>
    <n v="58.42"/>
    <x v="3"/>
  </r>
  <r>
    <d v="2023-03-11T00:00:00"/>
    <x v="1"/>
    <s v="Фаниполь"/>
    <s v="Фрукты"/>
    <s v="Яблоки"/>
    <n v="1230"/>
    <n v="12"/>
    <n v="14.76"/>
    <x v="3"/>
  </r>
  <r>
    <d v="2023-03-11T00:00:00"/>
    <x v="0"/>
    <s v="Фаниполь"/>
    <s v="Фрукты"/>
    <s v="Сливы"/>
    <n v="930"/>
    <n v="22"/>
    <n v="20.46"/>
    <x v="3"/>
  </r>
  <r>
    <d v="2023-03-11T00:00:00"/>
    <x v="1"/>
    <s v="Фаниполь"/>
    <s v="Фрукты"/>
    <s v="Яблоки"/>
    <n v="1230"/>
    <n v="88"/>
    <n v="108.24"/>
    <x v="3"/>
  </r>
  <r>
    <d v="2023-03-11T00:00:00"/>
    <x v="2"/>
    <s v="Фаниполь"/>
    <s v="Ягоды"/>
    <s v="Клубника"/>
    <n v="2460"/>
    <n v="55"/>
    <n v="135.30000000000001"/>
    <x v="3"/>
  </r>
  <r>
    <d v="2023-03-11T00:00:00"/>
    <x v="4"/>
    <s v="Фаниполь"/>
    <s v="Ягоды"/>
    <s v="Голубика"/>
    <n v="3205"/>
    <n v="58"/>
    <n v="185.89"/>
    <x v="3"/>
  </r>
  <r>
    <s v="11.03.2023 Итог"/>
    <x v="3"/>
    <m/>
    <m/>
    <m/>
    <m/>
    <m/>
    <n v="1969.6700000000005"/>
    <x v="3"/>
  </r>
  <r>
    <d v="2023-03-12T00:00:00"/>
    <x v="4"/>
    <s v="Барановичи"/>
    <s v="Зелень"/>
    <s v="Петрушка"/>
    <n v="640"/>
    <n v="74"/>
    <n v="47.36"/>
    <x v="3"/>
  </r>
  <r>
    <d v="2023-03-12T00:00:00"/>
    <x v="4"/>
    <s v="Барановичи"/>
    <s v="Овощи"/>
    <s v="Капуста"/>
    <n v="460"/>
    <n v="63"/>
    <n v="28.98"/>
    <x v="3"/>
  </r>
  <r>
    <d v="2023-03-12T00:00:00"/>
    <x v="1"/>
    <s v="Барановичи"/>
    <s v="Фрукты"/>
    <s v="Яблоки"/>
    <n v="1230"/>
    <n v="28"/>
    <n v="34.44"/>
    <x v="3"/>
  </r>
  <r>
    <d v="2023-03-12T00:00:00"/>
    <x v="1"/>
    <s v="Барановичи"/>
    <s v="Ягоды"/>
    <s v="Клубника"/>
    <n v="2460"/>
    <n v="23"/>
    <n v="56.58"/>
    <x v="3"/>
  </r>
  <r>
    <d v="2023-03-12T00:00:00"/>
    <x v="1"/>
    <s v="Барановичи"/>
    <s v="Ягоды"/>
    <s v="Голубика"/>
    <n v="3205"/>
    <n v="74"/>
    <n v="237.17"/>
    <x v="3"/>
  </r>
  <r>
    <d v="2023-03-12T00:00:00"/>
    <x v="4"/>
    <s v="Борисов"/>
    <s v="Овощи"/>
    <s v="Кабачки"/>
    <n v="325"/>
    <n v="31"/>
    <n v="10.074999999999999"/>
    <x v="3"/>
  </r>
  <r>
    <d v="2023-03-12T00:00:00"/>
    <x v="0"/>
    <s v="Борисов"/>
    <s v="Овощи"/>
    <s v="Капуста"/>
    <n v="460"/>
    <n v="100"/>
    <n v="46"/>
    <x v="3"/>
  </r>
  <r>
    <d v="2023-03-12T00:00:00"/>
    <x v="0"/>
    <s v="Жодино"/>
    <s v="Зелень"/>
    <s v="Петрушка"/>
    <n v="640"/>
    <n v="10"/>
    <n v="6.4"/>
    <x v="3"/>
  </r>
  <r>
    <d v="2023-03-12T00:00:00"/>
    <x v="0"/>
    <s v="Минск"/>
    <s v="Зелень"/>
    <s v="Салат римский"/>
    <n v="540"/>
    <n v="59"/>
    <n v="31.86"/>
    <x v="3"/>
  </r>
  <r>
    <d v="2023-03-12T00:00:00"/>
    <x v="4"/>
    <s v="Минск"/>
    <s v="Зелень"/>
    <s v="Петрушка"/>
    <n v="640"/>
    <n v="18"/>
    <n v="11.52"/>
    <x v="3"/>
  </r>
  <r>
    <d v="2023-03-12T00:00:00"/>
    <x v="1"/>
    <s v="Минск"/>
    <s v="Овощи"/>
    <s v="Кабачки"/>
    <n v="325"/>
    <n v="62"/>
    <n v="20.149999999999999"/>
    <x v="3"/>
  </r>
  <r>
    <d v="2023-03-12T00:00:00"/>
    <x v="0"/>
    <s v="Столбцы"/>
    <s v="Зелень"/>
    <s v="Укроп"/>
    <n v="650"/>
    <n v="10"/>
    <n v="6.5"/>
    <x v="3"/>
  </r>
  <r>
    <d v="2023-03-12T00:00:00"/>
    <x v="4"/>
    <s v="Столбцы"/>
    <s v="Зелень"/>
    <s v="Салат айсберг"/>
    <n v="1380"/>
    <n v="96"/>
    <n v="132.47999999999999"/>
    <x v="3"/>
  </r>
  <r>
    <d v="2023-03-12T00:00:00"/>
    <x v="0"/>
    <s v="Столбцы"/>
    <s v="Овощи"/>
    <s v="Баклажаны"/>
    <n v="890"/>
    <n v="87"/>
    <n v="77.430000000000007"/>
    <x v="3"/>
  </r>
  <r>
    <d v="2023-03-12T00:00:00"/>
    <x v="1"/>
    <s v="Столбцы"/>
    <s v="Овощи"/>
    <s v="Картофель"/>
    <n v="690"/>
    <n v="20"/>
    <n v="13.8"/>
    <x v="3"/>
  </r>
  <r>
    <d v="2023-03-12T00:00:00"/>
    <x v="1"/>
    <s v="Столбцы"/>
    <s v="Фрукты"/>
    <s v="Бананы"/>
    <n v="2400"/>
    <n v="86"/>
    <n v="206.4"/>
    <x v="3"/>
  </r>
  <r>
    <d v="2023-03-12T00:00:00"/>
    <x v="1"/>
    <s v="Столбцы"/>
    <s v="Фрукты"/>
    <s v="Бананы"/>
    <n v="2400"/>
    <n v="25"/>
    <n v="60"/>
    <x v="3"/>
  </r>
  <r>
    <d v="2023-03-12T00:00:00"/>
    <x v="2"/>
    <s v="Столбцы"/>
    <s v="Ягоды"/>
    <s v="Малина"/>
    <n v="2970"/>
    <n v="44"/>
    <n v="130.68"/>
    <x v="3"/>
  </r>
  <r>
    <d v="2023-03-12T00:00:00"/>
    <x v="4"/>
    <s v="Фаниполь"/>
    <s v="Овощи"/>
    <s v="Свекла"/>
    <n v="450"/>
    <n v="36"/>
    <n v="16.2"/>
    <x v="3"/>
  </r>
  <r>
    <d v="2023-03-12T00:00:00"/>
    <x v="2"/>
    <s v="Фаниполь"/>
    <s v="Овощи"/>
    <s v="Картофель"/>
    <n v="690"/>
    <n v="81"/>
    <n v="55.89"/>
    <x v="3"/>
  </r>
  <r>
    <d v="2023-03-12T00:00:00"/>
    <x v="1"/>
    <s v="Фаниполь"/>
    <s v="Овощи"/>
    <s v="Морковь"/>
    <n v="715"/>
    <n v="94"/>
    <n v="67.209999999999994"/>
    <x v="3"/>
  </r>
  <r>
    <d v="2023-03-12T00:00:00"/>
    <x v="2"/>
    <s v="Фаниполь"/>
    <s v="Овощи"/>
    <s v="Кабачки"/>
    <n v="325"/>
    <n v="56"/>
    <n v="18.2"/>
    <x v="3"/>
  </r>
  <r>
    <d v="2023-03-12T00:00:00"/>
    <x v="0"/>
    <s v="Фаниполь"/>
    <s v="Ягоды"/>
    <s v="Клубника"/>
    <n v="2460"/>
    <n v="63"/>
    <n v="154.97999999999999"/>
    <x v="3"/>
  </r>
  <r>
    <s v="12.03.2023 Итог"/>
    <x v="3"/>
    <m/>
    <m/>
    <m/>
    <m/>
    <m/>
    <n v="1470.3050000000003"/>
    <x v="3"/>
  </r>
  <r>
    <d v="2023-03-13T00:00:00"/>
    <x v="2"/>
    <s v="Барановичи"/>
    <s v="Овощи"/>
    <s v="Свекла"/>
    <n v="450"/>
    <n v="76"/>
    <n v="34.200000000000003"/>
    <x v="3"/>
  </r>
  <r>
    <d v="2023-03-13T00:00:00"/>
    <x v="1"/>
    <s v="Барановичи"/>
    <s v="Фрукты"/>
    <s v="Груши"/>
    <n v="1420"/>
    <n v="51"/>
    <n v="72.42"/>
    <x v="3"/>
  </r>
  <r>
    <d v="2023-03-13T00:00:00"/>
    <x v="2"/>
    <s v="Барановичи"/>
    <s v="Фрукты"/>
    <s v="Груши"/>
    <n v="1420"/>
    <n v="94"/>
    <n v="133.47999999999999"/>
    <x v="3"/>
  </r>
  <r>
    <d v="2023-03-13T00:00:00"/>
    <x v="0"/>
    <s v="Барановичи"/>
    <s v="Ягоды"/>
    <s v="Брусника"/>
    <n v="1670"/>
    <n v="36"/>
    <n v="60.12"/>
    <x v="3"/>
  </r>
  <r>
    <d v="2023-03-13T00:00:00"/>
    <x v="2"/>
    <s v="Борисов"/>
    <s v="Зелень"/>
    <s v="Укроп"/>
    <n v="650"/>
    <n v="38"/>
    <n v="24.7"/>
    <x v="3"/>
  </r>
  <r>
    <d v="2023-03-13T00:00:00"/>
    <x v="2"/>
    <s v="Борисов"/>
    <s v="Овощи"/>
    <s v="Кабачки"/>
    <n v="325"/>
    <n v="7"/>
    <n v="2.2749999999999999"/>
    <x v="3"/>
  </r>
  <r>
    <d v="2023-03-13T00:00:00"/>
    <x v="4"/>
    <s v="Борисов"/>
    <s v="Фрукты"/>
    <s v="Бананы"/>
    <n v="2400"/>
    <n v="31"/>
    <n v="74.400000000000006"/>
    <x v="3"/>
  </r>
  <r>
    <d v="2023-03-13T00:00:00"/>
    <x v="4"/>
    <s v="Борисов"/>
    <s v="Ягоды"/>
    <s v="Малина"/>
    <n v="2970"/>
    <n v="27"/>
    <n v="80.19"/>
    <x v="3"/>
  </r>
  <r>
    <d v="2023-03-13T00:00:00"/>
    <x v="2"/>
    <s v="Борисов"/>
    <s v="Ягоды"/>
    <s v="Малина"/>
    <n v="2970"/>
    <n v="62"/>
    <n v="184.14"/>
    <x v="3"/>
  </r>
  <r>
    <d v="2023-03-13T00:00:00"/>
    <x v="4"/>
    <s v="Борисов"/>
    <s v="Ягоды"/>
    <s v="Малина"/>
    <n v="2970"/>
    <n v="12"/>
    <n v="35.64"/>
    <x v="3"/>
  </r>
  <r>
    <d v="2023-03-13T00:00:00"/>
    <x v="1"/>
    <s v="Жодино"/>
    <s v="Овощи"/>
    <s v="Баклажаны"/>
    <n v="890"/>
    <n v="70"/>
    <n v="62.3"/>
    <x v="3"/>
  </r>
  <r>
    <d v="2023-03-13T00:00:00"/>
    <x v="4"/>
    <s v="Жодино"/>
    <s v="Ягоды"/>
    <s v="Малина"/>
    <n v="2970"/>
    <n v="31"/>
    <n v="92.07"/>
    <x v="3"/>
  </r>
  <r>
    <d v="2023-03-13T00:00:00"/>
    <x v="2"/>
    <s v="Жодино"/>
    <s v="Ягоды"/>
    <s v="Малина"/>
    <n v="2970"/>
    <n v="42"/>
    <n v="124.74"/>
    <x v="3"/>
  </r>
  <r>
    <d v="2023-03-13T00:00:00"/>
    <x v="1"/>
    <s v="Минск"/>
    <s v="Фрукты"/>
    <s v="Яблоки"/>
    <n v="1230"/>
    <n v="32"/>
    <n v="39.36"/>
    <x v="3"/>
  </r>
  <r>
    <d v="2023-03-13T00:00:00"/>
    <x v="1"/>
    <s v="Столбцы"/>
    <s v="Зелень"/>
    <s v="Петрушка"/>
    <n v="640"/>
    <n v="46"/>
    <n v="29.44"/>
    <x v="3"/>
  </r>
  <r>
    <d v="2023-03-13T00:00:00"/>
    <x v="0"/>
    <s v="Фаниполь"/>
    <s v="Зелень"/>
    <s v="Салат айсберг"/>
    <n v="1380"/>
    <n v="90"/>
    <n v="124.2"/>
    <x v="3"/>
  </r>
  <r>
    <d v="2023-03-13T00:00:00"/>
    <x v="2"/>
    <s v="Фаниполь"/>
    <s v="Овощи"/>
    <s v="Картофель"/>
    <n v="690"/>
    <n v="49"/>
    <n v="33.81"/>
    <x v="3"/>
  </r>
  <r>
    <s v="13.03.2023 Итог"/>
    <x v="3"/>
    <m/>
    <m/>
    <m/>
    <m/>
    <m/>
    <n v="1207.4849999999999"/>
    <x v="3"/>
  </r>
  <r>
    <d v="2023-03-14T00:00:00"/>
    <x v="4"/>
    <s v="Барановичи"/>
    <s v="Зелень"/>
    <s v="Салат римский"/>
    <n v="540"/>
    <n v="34"/>
    <n v="18.36"/>
    <x v="3"/>
  </r>
  <r>
    <d v="2023-03-14T00:00:00"/>
    <x v="2"/>
    <s v="Борисов"/>
    <s v="Фрукты"/>
    <s v="Сливы"/>
    <n v="930"/>
    <n v="8"/>
    <n v="7.44"/>
    <x v="3"/>
  </r>
  <r>
    <d v="2023-03-14T00:00:00"/>
    <x v="4"/>
    <s v="Борисов"/>
    <s v="Ягоды"/>
    <s v="Смородина черная"/>
    <n v="1505"/>
    <n v="84"/>
    <n v="126.42"/>
    <x v="3"/>
  </r>
  <r>
    <d v="2023-03-14T00:00:00"/>
    <x v="2"/>
    <s v="Жодино"/>
    <s v="Зелень"/>
    <s v="Лук зеленый"/>
    <n v="705"/>
    <n v="86"/>
    <n v="60.63"/>
    <x v="3"/>
  </r>
  <r>
    <d v="2023-03-14T00:00:00"/>
    <x v="4"/>
    <s v="Жодино"/>
    <s v="Овощи"/>
    <s v="Капуста"/>
    <n v="460"/>
    <n v="44"/>
    <n v="20.239999999999998"/>
    <x v="3"/>
  </r>
  <r>
    <d v="2023-03-14T00:00:00"/>
    <x v="2"/>
    <s v="Жодино"/>
    <s v="Овощи"/>
    <s v="Свекла"/>
    <n v="450"/>
    <n v="85"/>
    <n v="38.25"/>
    <x v="3"/>
  </r>
  <r>
    <d v="2023-03-14T00:00:00"/>
    <x v="0"/>
    <s v="Жодино"/>
    <s v="Фрукты"/>
    <s v="Бананы"/>
    <n v="2400"/>
    <n v="81"/>
    <n v="194.4"/>
    <x v="3"/>
  </r>
  <r>
    <d v="2023-03-14T00:00:00"/>
    <x v="0"/>
    <s v="Минск"/>
    <s v="Зелень"/>
    <s v="Салат римский"/>
    <n v="540"/>
    <n v="45"/>
    <n v="24.3"/>
    <x v="3"/>
  </r>
  <r>
    <d v="2023-03-14T00:00:00"/>
    <x v="0"/>
    <s v="Минск"/>
    <s v="Фрукты"/>
    <s v="Яблоки"/>
    <n v="1230"/>
    <n v="13"/>
    <n v="15.99"/>
    <x v="3"/>
  </r>
  <r>
    <d v="2023-03-14T00:00:00"/>
    <x v="1"/>
    <s v="Столбцы"/>
    <s v="Ягоды"/>
    <s v="Смородина черная"/>
    <n v="1505"/>
    <n v="70"/>
    <n v="105.35"/>
    <x v="3"/>
  </r>
  <r>
    <d v="2023-03-14T00:00:00"/>
    <x v="1"/>
    <s v="Фаниполь"/>
    <s v="Ягоды"/>
    <s v="Смородина черная"/>
    <n v="1505"/>
    <n v="75"/>
    <n v="112.875"/>
    <x v="3"/>
  </r>
  <r>
    <s v="14.03.2023 Итог"/>
    <x v="3"/>
    <m/>
    <m/>
    <m/>
    <m/>
    <m/>
    <n v="724.255"/>
    <x v="3"/>
  </r>
  <r>
    <d v="2023-03-15T00:00:00"/>
    <x v="4"/>
    <s v="Барановичи"/>
    <s v="Овощи"/>
    <s v="Баклажаны"/>
    <n v="890"/>
    <n v="48"/>
    <n v="42.72"/>
    <x v="3"/>
  </r>
  <r>
    <d v="2023-03-15T00:00:00"/>
    <x v="1"/>
    <s v="Барановичи"/>
    <s v="Овощи"/>
    <s v="Баклажаны"/>
    <n v="890"/>
    <n v="92"/>
    <n v="81.88"/>
    <x v="3"/>
  </r>
  <r>
    <d v="2023-03-15T00:00:00"/>
    <x v="2"/>
    <s v="Барановичи"/>
    <s v="Фрукты"/>
    <s v="Яблоки"/>
    <n v="1230"/>
    <n v="73"/>
    <n v="89.79"/>
    <x v="3"/>
  </r>
  <r>
    <d v="2023-03-15T00:00:00"/>
    <x v="0"/>
    <s v="Борисов"/>
    <s v="Фрукты"/>
    <s v="Абрикосы"/>
    <n v="1320"/>
    <n v="28"/>
    <n v="36.96"/>
    <x v="3"/>
  </r>
  <r>
    <d v="2023-03-15T00:00:00"/>
    <x v="4"/>
    <s v="Борисов"/>
    <s v="Ягоды"/>
    <s v="Малина"/>
    <n v="2970"/>
    <n v="59"/>
    <n v="175.23"/>
    <x v="3"/>
  </r>
  <r>
    <d v="2023-03-15T00:00:00"/>
    <x v="1"/>
    <s v="Жодино"/>
    <s v="Овощи"/>
    <s v="Баклажаны"/>
    <n v="890"/>
    <n v="73"/>
    <n v="64.97"/>
    <x v="3"/>
  </r>
  <r>
    <d v="2023-03-15T00:00:00"/>
    <x v="4"/>
    <s v="Жодино"/>
    <s v="Ягоды"/>
    <s v="Клубника"/>
    <n v="2460"/>
    <n v="12"/>
    <n v="29.52"/>
    <x v="3"/>
  </r>
  <r>
    <d v="2023-03-15T00:00:00"/>
    <x v="4"/>
    <s v="Минск"/>
    <s v="Овощи"/>
    <s v="Морковь"/>
    <n v="715"/>
    <n v="51"/>
    <n v="36.465000000000003"/>
    <x v="3"/>
  </r>
  <r>
    <s v="15.03.2023 Итог"/>
    <x v="3"/>
    <m/>
    <m/>
    <m/>
    <m/>
    <m/>
    <n v="557.53499999999997"/>
    <x v="3"/>
  </r>
  <r>
    <d v="2023-03-16T00:00:00"/>
    <x v="4"/>
    <s v="Барановичи"/>
    <s v="Зелень"/>
    <s v="Салат айсберг"/>
    <n v="1380"/>
    <n v="74"/>
    <n v="102.12"/>
    <x v="3"/>
  </r>
  <r>
    <d v="2023-03-16T00:00:00"/>
    <x v="1"/>
    <s v="Барановичи"/>
    <s v="Ягоды"/>
    <s v="Малина"/>
    <n v="2970"/>
    <n v="13"/>
    <n v="38.61"/>
    <x v="3"/>
  </r>
  <r>
    <d v="2023-03-16T00:00:00"/>
    <x v="1"/>
    <s v="Борисов"/>
    <s v="Овощи"/>
    <s v="Баклажаны"/>
    <n v="890"/>
    <n v="100"/>
    <n v="89"/>
    <x v="3"/>
  </r>
  <r>
    <d v="2023-03-16T00:00:00"/>
    <x v="4"/>
    <s v="Борисов"/>
    <s v="Ягоды"/>
    <s v="Черешня"/>
    <n v="1760"/>
    <n v="21"/>
    <n v="36.96"/>
    <x v="3"/>
  </r>
  <r>
    <d v="2023-03-16T00:00:00"/>
    <x v="0"/>
    <s v="Жодино"/>
    <s v="Ягоды"/>
    <s v="Малина"/>
    <n v="2970"/>
    <n v="7"/>
    <n v="20.79"/>
    <x v="3"/>
  </r>
  <r>
    <d v="2023-03-16T00:00:00"/>
    <x v="0"/>
    <s v="Минск"/>
    <s v="Фрукты"/>
    <s v="Бананы"/>
    <n v="2400"/>
    <n v="24"/>
    <n v="57.6"/>
    <x v="3"/>
  </r>
  <r>
    <d v="2023-03-16T00:00:00"/>
    <x v="1"/>
    <s v="Минск"/>
    <s v="Ягоды"/>
    <s v="Малина"/>
    <n v="2970"/>
    <n v="89"/>
    <n v="264.33"/>
    <x v="3"/>
  </r>
  <r>
    <d v="2023-03-16T00:00:00"/>
    <x v="1"/>
    <s v="Столбцы"/>
    <s v="Зелень"/>
    <s v="Салат римский"/>
    <n v="540"/>
    <n v="89"/>
    <n v="48.06"/>
    <x v="3"/>
  </r>
  <r>
    <d v="2023-03-16T00:00:00"/>
    <x v="4"/>
    <s v="Фаниполь"/>
    <s v="Овощи"/>
    <s v="Морковь"/>
    <n v="715"/>
    <n v="79"/>
    <n v="56.484999999999999"/>
    <x v="3"/>
  </r>
  <r>
    <d v="2023-03-16T00:00:00"/>
    <x v="1"/>
    <s v="Фаниполь"/>
    <s v="Ягоды"/>
    <s v="Голубика"/>
    <n v="3205"/>
    <n v="17"/>
    <n v="54.484999999999999"/>
    <x v="3"/>
  </r>
  <r>
    <s v="16.03.2023 Итог"/>
    <x v="3"/>
    <m/>
    <m/>
    <m/>
    <m/>
    <m/>
    <n v="768.44"/>
    <x v="3"/>
  </r>
  <r>
    <d v="2023-03-17T00:00:00"/>
    <x v="0"/>
    <s v="Барановичи"/>
    <s v="Зелень"/>
    <s v="Салат римский"/>
    <n v="540"/>
    <n v="89"/>
    <n v="48.06"/>
    <x v="3"/>
  </r>
  <r>
    <d v="2023-03-17T00:00:00"/>
    <x v="2"/>
    <s v="Барановичи"/>
    <s v="Овощи"/>
    <s v="Картофель"/>
    <n v="690"/>
    <n v="46"/>
    <n v="31.74"/>
    <x v="3"/>
  </r>
  <r>
    <d v="2023-03-17T00:00:00"/>
    <x v="0"/>
    <s v="Барановичи"/>
    <s v="Овощи"/>
    <s v="Кабачки"/>
    <n v="325"/>
    <n v="5"/>
    <n v="1.625"/>
    <x v="3"/>
  </r>
  <r>
    <d v="2023-03-17T00:00:00"/>
    <x v="0"/>
    <s v="Барановичи"/>
    <s v="Овощи"/>
    <s v="Свекла"/>
    <n v="450"/>
    <n v="33"/>
    <n v="14.85"/>
    <x v="3"/>
  </r>
  <r>
    <d v="2023-03-17T00:00:00"/>
    <x v="2"/>
    <s v="Борисов"/>
    <s v="Фрукты"/>
    <s v="Яблоки"/>
    <n v="1230"/>
    <n v="58"/>
    <n v="71.34"/>
    <x v="3"/>
  </r>
  <r>
    <d v="2023-03-17T00:00:00"/>
    <x v="4"/>
    <s v="Жодино"/>
    <s v="Зелень"/>
    <s v="Укроп"/>
    <n v="650"/>
    <n v="87"/>
    <n v="56.55"/>
    <x v="3"/>
  </r>
  <r>
    <d v="2023-03-17T00:00:00"/>
    <x v="4"/>
    <s v="Жодино"/>
    <s v="Овощи"/>
    <s v="Морковь"/>
    <n v="715"/>
    <n v="31"/>
    <n v="22.164999999999999"/>
    <x v="3"/>
  </r>
  <r>
    <d v="2023-03-17T00:00:00"/>
    <x v="2"/>
    <s v="Минск"/>
    <s v="Зелень"/>
    <s v="Укроп"/>
    <n v="650"/>
    <n v="48"/>
    <n v="31.2"/>
    <x v="3"/>
  </r>
  <r>
    <d v="2023-03-17T00:00:00"/>
    <x v="1"/>
    <s v="Минск"/>
    <s v="Зелень"/>
    <s v="Кинза"/>
    <n v="650"/>
    <n v="13"/>
    <n v="8.4499999999999993"/>
    <x v="3"/>
  </r>
  <r>
    <d v="2023-03-17T00:00:00"/>
    <x v="1"/>
    <s v="Фаниполь"/>
    <s v="Зелень"/>
    <s v="Салат айсберг"/>
    <n v="1380"/>
    <n v="31"/>
    <n v="42.78"/>
    <x v="3"/>
  </r>
  <r>
    <s v="17.03.2023 Итог"/>
    <x v="3"/>
    <m/>
    <m/>
    <m/>
    <m/>
    <m/>
    <n v="328.76"/>
    <x v="3"/>
  </r>
  <r>
    <d v="2023-03-18T00:00:00"/>
    <x v="2"/>
    <s v="Борисов"/>
    <s v="Ягоды"/>
    <s v="Смородина черная"/>
    <n v="1505"/>
    <n v="56"/>
    <n v="84.28"/>
    <x v="3"/>
  </r>
  <r>
    <d v="2023-03-18T00:00:00"/>
    <x v="4"/>
    <s v="Жодино"/>
    <s v="Зелень"/>
    <s v="Салат айсберг"/>
    <n v="1380"/>
    <n v="58"/>
    <n v="80.040000000000006"/>
    <x v="3"/>
  </r>
  <r>
    <d v="2023-03-18T00:00:00"/>
    <x v="4"/>
    <s v="Жодино"/>
    <s v="Зелень"/>
    <s v="Укроп"/>
    <n v="650"/>
    <n v="26"/>
    <n v="16.899999999999999"/>
    <x v="3"/>
  </r>
  <r>
    <d v="2023-03-18T00:00:00"/>
    <x v="0"/>
    <s v="Жодино"/>
    <s v="Овощи"/>
    <s v="Свекла"/>
    <n v="450"/>
    <n v="58"/>
    <n v="26.1"/>
    <x v="3"/>
  </r>
  <r>
    <d v="2023-03-18T00:00:00"/>
    <x v="4"/>
    <s v="Минск"/>
    <s v="Овощи"/>
    <s v="Картофель"/>
    <n v="690"/>
    <n v="69"/>
    <n v="47.61"/>
    <x v="3"/>
  </r>
  <r>
    <d v="2023-03-18T00:00:00"/>
    <x v="0"/>
    <s v="Минск"/>
    <s v="Фрукты"/>
    <s v="Яблоки"/>
    <n v="1230"/>
    <n v="60"/>
    <n v="73.8"/>
    <x v="3"/>
  </r>
  <r>
    <d v="2023-03-18T00:00:00"/>
    <x v="1"/>
    <s v="Минск"/>
    <s v="Фрукты"/>
    <s v="Сливы"/>
    <n v="930"/>
    <n v="6"/>
    <n v="5.58"/>
    <x v="3"/>
  </r>
  <r>
    <d v="2023-03-18T00:00:00"/>
    <x v="0"/>
    <s v="Минск"/>
    <s v="Фрукты"/>
    <s v="Апельсины"/>
    <n v="2540"/>
    <n v="13"/>
    <n v="33.020000000000003"/>
    <x v="3"/>
  </r>
  <r>
    <d v="2023-03-18T00:00:00"/>
    <x v="1"/>
    <s v="Минск"/>
    <s v="Фрукты"/>
    <s v="Абрикосы"/>
    <n v="1320"/>
    <n v="39"/>
    <n v="51.48"/>
    <x v="3"/>
  </r>
  <r>
    <d v="2023-03-18T00:00:00"/>
    <x v="2"/>
    <s v="Фаниполь"/>
    <s v="Зелень"/>
    <s v="Лук зеленый"/>
    <n v="705"/>
    <n v="55"/>
    <n v="38.774999999999999"/>
    <x v="3"/>
  </r>
  <r>
    <d v="2023-03-18T00:00:00"/>
    <x v="1"/>
    <s v="Фаниполь"/>
    <s v="Зелень"/>
    <s v="Укроп"/>
    <n v="650"/>
    <n v="12"/>
    <n v="7.8"/>
    <x v="3"/>
  </r>
  <r>
    <d v="2023-03-18T00:00:00"/>
    <x v="2"/>
    <s v="Фаниполь"/>
    <s v="Зелень"/>
    <s v="Кинза"/>
    <n v="650"/>
    <n v="18"/>
    <n v="11.7"/>
    <x v="3"/>
  </r>
  <r>
    <s v="18.03.2023 Итог"/>
    <x v="3"/>
    <m/>
    <m/>
    <m/>
    <m/>
    <m/>
    <n v="477.08499999999998"/>
    <x v="3"/>
  </r>
  <r>
    <d v="2023-03-19T00:00:00"/>
    <x v="2"/>
    <s v="Барановичи"/>
    <s v="Овощи"/>
    <s v="Картофель"/>
    <n v="690"/>
    <n v="85"/>
    <n v="58.65"/>
    <x v="3"/>
  </r>
  <r>
    <d v="2023-03-19T00:00:00"/>
    <x v="2"/>
    <s v="Барановичи"/>
    <s v="Фрукты"/>
    <s v="Груши"/>
    <n v="1420"/>
    <n v="81"/>
    <n v="115.02"/>
    <x v="3"/>
  </r>
  <r>
    <d v="2023-03-19T00:00:00"/>
    <x v="4"/>
    <s v="Борисов"/>
    <s v="Зелень"/>
    <s v="Петрушка"/>
    <n v="640"/>
    <n v="77"/>
    <n v="49.28"/>
    <x v="3"/>
  </r>
  <r>
    <d v="2023-03-19T00:00:00"/>
    <x v="1"/>
    <s v="Борисов"/>
    <s v="Овощи"/>
    <s v="Капуста"/>
    <n v="460"/>
    <n v="33"/>
    <n v="15.18"/>
    <x v="3"/>
  </r>
  <r>
    <d v="2023-03-19T00:00:00"/>
    <x v="4"/>
    <s v="Жодино"/>
    <s v="Зелень"/>
    <s v="Салат римский"/>
    <n v="540"/>
    <n v="83"/>
    <n v="44.82"/>
    <x v="3"/>
  </r>
  <r>
    <d v="2023-03-19T00:00:00"/>
    <x v="2"/>
    <s v="Жодино"/>
    <s v="Овощи"/>
    <s v="Баклажаны"/>
    <n v="890"/>
    <n v="72"/>
    <n v="64.08"/>
    <x v="3"/>
  </r>
  <r>
    <d v="2023-03-19T00:00:00"/>
    <x v="1"/>
    <s v="Жодино"/>
    <s v="Фрукты"/>
    <s v="Бананы"/>
    <n v="2400"/>
    <n v="9"/>
    <n v="21.6"/>
    <x v="3"/>
  </r>
  <r>
    <d v="2023-03-19T00:00:00"/>
    <x v="4"/>
    <s v="Минск"/>
    <s v="Овощи"/>
    <s v="Капуста"/>
    <n v="460"/>
    <n v="44"/>
    <n v="20.239999999999998"/>
    <x v="3"/>
  </r>
  <r>
    <d v="2023-03-19T00:00:00"/>
    <x v="4"/>
    <s v="Минск"/>
    <s v="Овощи"/>
    <s v="Свекла"/>
    <n v="450"/>
    <n v="61"/>
    <n v="27.45"/>
    <x v="3"/>
  </r>
  <r>
    <d v="2023-03-19T00:00:00"/>
    <x v="2"/>
    <s v="Минск"/>
    <s v="Фрукты"/>
    <s v="Груши"/>
    <n v="1420"/>
    <n v="82"/>
    <n v="116.44"/>
    <x v="3"/>
  </r>
  <r>
    <d v="2023-03-19T00:00:00"/>
    <x v="4"/>
    <s v="Столбцы"/>
    <s v="Зелень"/>
    <s v="Салат айсберг"/>
    <n v="1380"/>
    <n v="43"/>
    <n v="59.34"/>
    <x v="3"/>
  </r>
  <r>
    <d v="2023-03-19T00:00:00"/>
    <x v="2"/>
    <s v="Столбцы"/>
    <s v="Овощи"/>
    <s v="Баклажаны"/>
    <n v="890"/>
    <n v="33"/>
    <n v="29.37"/>
    <x v="3"/>
  </r>
  <r>
    <d v="2023-03-19T00:00:00"/>
    <x v="0"/>
    <s v="Столбцы"/>
    <s v="Овощи"/>
    <s v="Кабачки"/>
    <n v="325"/>
    <n v="48"/>
    <n v="15.6"/>
    <x v="3"/>
  </r>
  <r>
    <d v="2023-03-19T00:00:00"/>
    <x v="1"/>
    <s v="Столбцы"/>
    <s v="Фрукты"/>
    <s v="Абрикосы"/>
    <n v="1320"/>
    <n v="27"/>
    <n v="35.64"/>
    <x v="3"/>
  </r>
  <r>
    <d v="2023-03-19T00:00:00"/>
    <x v="0"/>
    <s v="Столбцы"/>
    <s v="Фрукты"/>
    <s v="Яблоки"/>
    <n v="1230"/>
    <n v="71"/>
    <n v="87.33"/>
    <x v="3"/>
  </r>
  <r>
    <s v="19.03.2023 Итог"/>
    <x v="3"/>
    <m/>
    <m/>
    <m/>
    <m/>
    <m/>
    <n v="760.04000000000008"/>
    <x v="3"/>
  </r>
  <r>
    <d v="2023-03-20T00:00:00"/>
    <x v="4"/>
    <s v="Барановичи"/>
    <s v="Зелень"/>
    <s v="Салат римский"/>
    <n v="540"/>
    <n v="86"/>
    <n v="46.44"/>
    <x v="3"/>
  </r>
  <r>
    <d v="2023-03-20T00:00:00"/>
    <x v="4"/>
    <s v="Барановичи"/>
    <s v="Фрукты"/>
    <s v="Абрикосы"/>
    <n v="1320"/>
    <n v="84"/>
    <n v="110.88"/>
    <x v="3"/>
  </r>
  <r>
    <d v="2023-03-20T00:00:00"/>
    <x v="4"/>
    <s v="Жодино"/>
    <s v="Зелень"/>
    <s v="Кинза"/>
    <n v="650"/>
    <n v="89"/>
    <n v="57.85"/>
    <x v="3"/>
  </r>
  <r>
    <d v="2023-03-20T00:00:00"/>
    <x v="0"/>
    <s v="Минск"/>
    <s v="Овощи"/>
    <s v="Морковь"/>
    <n v="715"/>
    <n v="5"/>
    <n v="3.5750000000000002"/>
    <x v="3"/>
  </r>
  <r>
    <d v="2023-03-20T00:00:00"/>
    <x v="2"/>
    <s v="Минск"/>
    <s v="Ягоды"/>
    <s v="Брусника"/>
    <n v="1670"/>
    <n v="52"/>
    <n v="86.84"/>
    <x v="3"/>
  </r>
  <r>
    <d v="2023-03-20T00:00:00"/>
    <x v="1"/>
    <s v="Столбцы"/>
    <s v="Овощи"/>
    <s v="Капуста"/>
    <n v="460"/>
    <n v="48"/>
    <n v="22.08"/>
    <x v="3"/>
  </r>
  <r>
    <d v="2023-03-20T00:00:00"/>
    <x v="0"/>
    <s v="Столбцы"/>
    <s v="Овощи"/>
    <s v="Баклажаны"/>
    <n v="890"/>
    <n v="38"/>
    <n v="33.82"/>
    <x v="3"/>
  </r>
  <r>
    <d v="2023-03-20T00:00:00"/>
    <x v="4"/>
    <s v="Столбцы"/>
    <s v="Овощи"/>
    <s v="Свекла"/>
    <n v="450"/>
    <n v="77"/>
    <n v="34.65"/>
    <x v="3"/>
  </r>
  <r>
    <d v="2023-03-20T00:00:00"/>
    <x v="0"/>
    <s v="Столбцы"/>
    <s v="Фрукты"/>
    <s v="Сливы"/>
    <n v="930"/>
    <n v="29"/>
    <n v="26.97"/>
    <x v="3"/>
  </r>
  <r>
    <d v="2023-03-20T00:00:00"/>
    <x v="2"/>
    <s v="Столбцы"/>
    <s v="Фрукты"/>
    <s v="Груши"/>
    <n v="1420"/>
    <n v="37"/>
    <n v="52.54"/>
    <x v="3"/>
  </r>
  <r>
    <d v="2023-03-20T00:00:00"/>
    <x v="0"/>
    <s v="Столбцы"/>
    <s v="Ягоды"/>
    <s v="Смородина черная"/>
    <n v="1505"/>
    <n v="6"/>
    <n v="9.0299999999999994"/>
    <x v="3"/>
  </r>
  <r>
    <d v="2023-03-20T00:00:00"/>
    <x v="0"/>
    <s v="Фаниполь"/>
    <s v="Зелень"/>
    <s v="Укроп"/>
    <n v="650"/>
    <n v="71"/>
    <n v="46.15"/>
    <x v="3"/>
  </r>
  <r>
    <d v="2023-03-20T00:00:00"/>
    <x v="4"/>
    <s v="Фаниполь"/>
    <s v="Ягоды"/>
    <s v="Черешня"/>
    <n v="1760"/>
    <n v="27"/>
    <n v="47.52"/>
    <x v="3"/>
  </r>
  <r>
    <s v="20.03.2023 Итог"/>
    <x v="3"/>
    <m/>
    <m/>
    <m/>
    <m/>
    <m/>
    <n v="578.34499999999991"/>
    <x v="3"/>
  </r>
  <r>
    <d v="2023-03-21T00:00:00"/>
    <x v="2"/>
    <s v="Барановичи"/>
    <s v="Зелень"/>
    <s v="Салат айсберг"/>
    <n v="1380"/>
    <n v="75"/>
    <n v="103.5"/>
    <x v="3"/>
  </r>
  <r>
    <d v="2023-03-21T00:00:00"/>
    <x v="4"/>
    <s v="Барановичи"/>
    <s v="Зелень"/>
    <s v="Салат римский"/>
    <n v="540"/>
    <n v="47"/>
    <n v="25.38"/>
    <x v="3"/>
  </r>
  <r>
    <d v="2023-03-21T00:00:00"/>
    <x v="0"/>
    <s v="Барановичи"/>
    <s v="Овощи"/>
    <s v="Картофель"/>
    <n v="690"/>
    <n v="84"/>
    <n v="57.96"/>
    <x v="3"/>
  </r>
  <r>
    <d v="2023-03-21T00:00:00"/>
    <x v="0"/>
    <s v="Барановичи"/>
    <s v="Ягоды"/>
    <s v="Голубика"/>
    <n v="3205"/>
    <n v="42"/>
    <n v="134.61000000000001"/>
    <x v="3"/>
  </r>
  <r>
    <d v="2023-03-21T00:00:00"/>
    <x v="2"/>
    <s v="Барановичи"/>
    <s v="Ягоды"/>
    <s v="Брусника"/>
    <n v="1670"/>
    <n v="95"/>
    <n v="158.65"/>
    <x v="3"/>
  </r>
  <r>
    <d v="2023-03-21T00:00:00"/>
    <x v="2"/>
    <s v="Борисов"/>
    <s v="Зелень"/>
    <s v="Укроп"/>
    <n v="650"/>
    <n v="73"/>
    <n v="47.45"/>
    <x v="3"/>
  </r>
  <r>
    <d v="2023-03-21T00:00:00"/>
    <x v="4"/>
    <s v="Жодино"/>
    <s v="Зелень"/>
    <s v="Салат римский"/>
    <n v="540"/>
    <n v="10"/>
    <n v="5.4"/>
    <x v="3"/>
  </r>
  <r>
    <d v="2023-03-21T00:00:00"/>
    <x v="0"/>
    <s v="Жодино"/>
    <s v="Фрукты"/>
    <s v="Груши"/>
    <n v="1420"/>
    <n v="97"/>
    <n v="137.74"/>
    <x v="3"/>
  </r>
  <r>
    <d v="2023-03-21T00:00:00"/>
    <x v="1"/>
    <s v="Минск"/>
    <s v="Зелень"/>
    <s v="Укроп"/>
    <n v="650"/>
    <n v="41"/>
    <n v="26.65"/>
    <x v="3"/>
  </r>
  <r>
    <d v="2023-03-21T00:00:00"/>
    <x v="2"/>
    <s v="Минск"/>
    <s v="Овощи"/>
    <s v="Кабачки"/>
    <n v="325"/>
    <n v="80"/>
    <n v="26"/>
    <x v="3"/>
  </r>
  <r>
    <d v="2023-03-21T00:00:00"/>
    <x v="1"/>
    <s v="Минск"/>
    <s v="Ягоды"/>
    <s v="Малина"/>
    <n v="2970"/>
    <n v="85"/>
    <n v="252.45"/>
    <x v="3"/>
  </r>
  <r>
    <d v="2023-03-21T00:00:00"/>
    <x v="2"/>
    <s v="Столбцы"/>
    <s v="Зелень"/>
    <s v="Салат айсберг"/>
    <n v="1380"/>
    <n v="73"/>
    <n v="100.74"/>
    <x v="3"/>
  </r>
  <r>
    <d v="2023-03-21T00:00:00"/>
    <x v="4"/>
    <s v="Фаниполь"/>
    <s v="Зелень"/>
    <s v="Кинза"/>
    <n v="650"/>
    <n v="63"/>
    <n v="40.950000000000003"/>
    <x v="3"/>
  </r>
  <r>
    <s v="21.03.2023 Итог"/>
    <x v="3"/>
    <m/>
    <m/>
    <m/>
    <m/>
    <m/>
    <n v="1117.48"/>
    <x v="3"/>
  </r>
  <r>
    <d v="2023-03-22T00:00:00"/>
    <x v="4"/>
    <s v="Барановичи"/>
    <s v="Зелень"/>
    <s v="Петрушка"/>
    <n v="640"/>
    <n v="98"/>
    <n v="62.72"/>
    <x v="3"/>
  </r>
  <r>
    <d v="2023-03-22T00:00:00"/>
    <x v="2"/>
    <s v="Борисов"/>
    <s v="Овощи"/>
    <s v="Капуста"/>
    <n v="460"/>
    <n v="61"/>
    <n v="28.06"/>
    <x v="3"/>
  </r>
  <r>
    <d v="2023-03-22T00:00:00"/>
    <x v="2"/>
    <s v="Борисов"/>
    <s v="Ягоды"/>
    <s v="Смородина черная"/>
    <n v="1505"/>
    <n v="51"/>
    <n v="76.754999999999995"/>
    <x v="3"/>
  </r>
  <r>
    <d v="2023-03-22T00:00:00"/>
    <x v="1"/>
    <s v="Жодино"/>
    <s v="Зелень"/>
    <s v="Петрушка"/>
    <n v="640"/>
    <n v="78"/>
    <n v="49.92"/>
    <x v="3"/>
  </r>
  <r>
    <d v="2023-03-22T00:00:00"/>
    <x v="1"/>
    <s v="Жодино"/>
    <s v="Фрукты"/>
    <s v="Сливы"/>
    <n v="930"/>
    <n v="34"/>
    <n v="31.62"/>
    <x v="3"/>
  </r>
  <r>
    <d v="2023-03-22T00:00:00"/>
    <x v="1"/>
    <s v="Минск"/>
    <s v="Фрукты"/>
    <s v="Апельсины"/>
    <n v="2540"/>
    <n v="91"/>
    <n v="231.14"/>
    <x v="3"/>
  </r>
  <r>
    <d v="2023-03-22T00:00:00"/>
    <x v="1"/>
    <s v="Минск"/>
    <s v="Фрукты"/>
    <s v="Яблоки"/>
    <n v="1230"/>
    <n v="40"/>
    <n v="49.2"/>
    <x v="3"/>
  </r>
  <r>
    <d v="2023-03-22T00:00:00"/>
    <x v="4"/>
    <s v="Столбцы"/>
    <s v="Зелень"/>
    <s v="Салат римский"/>
    <n v="540"/>
    <n v="52"/>
    <n v="28.08"/>
    <x v="3"/>
  </r>
  <r>
    <d v="2023-03-22T00:00:00"/>
    <x v="0"/>
    <s v="Столбцы"/>
    <s v="Фрукты"/>
    <s v="Груши"/>
    <n v="1420"/>
    <n v="89"/>
    <n v="126.38"/>
    <x v="3"/>
  </r>
  <r>
    <s v="22.03.2023 Итог"/>
    <x v="3"/>
    <m/>
    <m/>
    <m/>
    <m/>
    <m/>
    <n v="683.875"/>
    <x v="3"/>
  </r>
  <r>
    <d v="2023-03-23T00:00:00"/>
    <x v="4"/>
    <s v="Барановичи"/>
    <s v="Фрукты"/>
    <s v="Груши"/>
    <n v="1420"/>
    <n v="20"/>
    <n v="28.4"/>
    <x v="3"/>
  </r>
  <r>
    <d v="2023-03-23T00:00:00"/>
    <x v="4"/>
    <s v="Барановичи"/>
    <s v="Фрукты"/>
    <s v="Апельсины"/>
    <n v="2540"/>
    <n v="21"/>
    <n v="53.34"/>
    <x v="3"/>
  </r>
  <r>
    <d v="2023-03-23T00:00:00"/>
    <x v="2"/>
    <s v="Борисов"/>
    <s v="Зелень"/>
    <s v="Салат римский"/>
    <n v="540"/>
    <n v="6"/>
    <n v="3.24"/>
    <x v="3"/>
  </r>
  <r>
    <d v="2023-03-23T00:00:00"/>
    <x v="2"/>
    <s v="Борисов"/>
    <s v="Овощи"/>
    <s v="Свекла"/>
    <n v="450"/>
    <n v="33"/>
    <n v="14.85"/>
    <x v="3"/>
  </r>
  <r>
    <d v="2023-03-23T00:00:00"/>
    <x v="1"/>
    <s v="Жодино"/>
    <s v="Овощи"/>
    <s v="Капуста"/>
    <n v="460"/>
    <n v="83"/>
    <n v="38.18"/>
    <x v="3"/>
  </r>
  <r>
    <d v="2023-03-23T00:00:00"/>
    <x v="0"/>
    <s v="Минск"/>
    <s v="Фрукты"/>
    <s v="Абрикосы"/>
    <n v="1320"/>
    <n v="17"/>
    <n v="22.44"/>
    <x v="3"/>
  </r>
  <r>
    <d v="2023-03-23T00:00:00"/>
    <x v="2"/>
    <s v="Столбцы"/>
    <s v="Ягоды"/>
    <s v="Черешня"/>
    <n v="1760"/>
    <n v="33"/>
    <n v="58.08"/>
    <x v="3"/>
  </r>
  <r>
    <d v="2023-03-23T00:00:00"/>
    <x v="0"/>
    <s v="Столбцы"/>
    <s v="Ягоды"/>
    <s v="Голубика"/>
    <n v="3205"/>
    <n v="11"/>
    <n v="35.255000000000003"/>
    <x v="3"/>
  </r>
  <r>
    <d v="2023-03-23T00:00:00"/>
    <x v="4"/>
    <s v="Фаниполь"/>
    <s v="Ягоды"/>
    <s v="Голубика"/>
    <n v="3205"/>
    <n v="41"/>
    <n v="131.405"/>
    <x v="3"/>
  </r>
  <r>
    <s v="23.03.2023 Итог"/>
    <x v="3"/>
    <m/>
    <m/>
    <m/>
    <m/>
    <m/>
    <n v="385.18999999999994"/>
    <x v="3"/>
  </r>
  <r>
    <d v="2023-03-24T00:00:00"/>
    <x v="0"/>
    <s v="Жодино"/>
    <s v="Зелень"/>
    <s v="Кинза"/>
    <n v="650"/>
    <n v="71"/>
    <n v="46.15"/>
    <x v="3"/>
  </r>
  <r>
    <d v="2023-03-24T00:00:00"/>
    <x v="4"/>
    <s v="Жодино"/>
    <s v="Овощи"/>
    <s v="Свекла"/>
    <n v="450"/>
    <n v="27"/>
    <n v="12.15"/>
    <x v="3"/>
  </r>
  <r>
    <d v="2023-03-24T00:00:00"/>
    <x v="2"/>
    <s v="Жодино"/>
    <s v="Овощи"/>
    <s v="Картофель"/>
    <n v="690"/>
    <n v="27"/>
    <n v="18.63"/>
    <x v="3"/>
  </r>
  <r>
    <d v="2023-03-24T00:00:00"/>
    <x v="2"/>
    <s v="Столбцы"/>
    <s v="Зелень"/>
    <s v="Укроп"/>
    <n v="650"/>
    <n v="14"/>
    <n v="9.1"/>
    <x v="3"/>
  </r>
  <r>
    <d v="2023-03-24T00:00:00"/>
    <x v="0"/>
    <s v="Фаниполь"/>
    <s v="Овощи"/>
    <s v="Свекла"/>
    <n v="450"/>
    <n v="78"/>
    <n v="35.1"/>
    <x v="3"/>
  </r>
  <r>
    <s v="24.03.2023 Итог"/>
    <x v="3"/>
    <m/>
    <m/>
    <m/>
    <m/>
    <m/>
    <n v="121.13"/>
    <x v="3"/>
  </r>
  <r>
    <d v="2023-03-25T00:00:00"/>
    <x v="1"/>
    <s v="Борисов"/>
    <s v="Овощи"/>
    <s v="Картофель"/>
    <n v="690"/>
    <n v="32"/>
    <n v="22.08"/>
    <x v="3"/>
  </r>
  <r>
    <d v="2023-03-25T00:00:00"/>
    <x v="4"/>
    <s v="Минск"/>
    <s v="Зелень"/>
    <s v="Кинза"/>
    <n v="650"/>
    <n v="46"/>
    <n v="29.9"/>
    <x v="3"/>
  </r>
  <r>
    <d v="2023-03-25T00:00:00"/>
    <x v="4"/>
    <s v="Минск"/>
    <s v="Ягоды"/>
    <s v="Черешня"/>
    <n v="1760"/>
    <n v="75"/>
    <n v="132"/>
    <x v="3"/>
  </r>
  <r>
    <d v="2023-03-25T00:00:00"/>
    <x v="1"/>
    <s v="Столбцы"/>
    <s v="Фрукты"/>
    <s v="Сливы"/>
    <n v="930"/>
    <n v="67"/>
    <n v="62.31"/>
    <x v="3"/>
  </r>
  <r>
    <d v="2023-03-25T00:00:00"/>
    <x v="0"/>
    <s v="Столбцы"/>
    <s v="Фрукты"/>
    <s v="Яблоки"/>
    <n v="1230"/>
    <n v="95"/>
    <n v="116.85"/>
    <x v="3"/>
  </r>
  <r>
    <s v="25.03.2023 Итог"/>
    <x v="3"/>
    <m/>
    <m/>
    <m/>
    <m/>
    <m/>
    <n v="363.14"/>
    <x v="3"/>
  </r>
  <r>
    <d v="2023-03-26T00:00:00"/>
    <x v="4"/>
    <s v="Барановичи"/>
    <s v="Зелень"/>
    <s v="Лук зеленый"/>
    <n v="705"/>
    <n v="22"/>
    <n v="15.51"/>
    <x v="3"/>
  </r>
  <r>
    <d v="2023-03-26T00:00:00"/>
    <x v="0"/>
    <s v="Барановичи"/>
    <s v="Зелень"/>
    <s v="Укроп"/>
    <n v="650"/>
    <n v="8"/>
    <n v="5.2"/>
    <x v="3"/>
  </r>
  <r>
    <d v="2023-03-26T00:00:00"/>
    <x v="1"/>
    <s v="Борисов"/>
    <s v="Овощи"/>
    <s v="Картофель"/>
    <n v="690"/>
    <n v="97"/>
    <n v="66.930000000000007"/>
    <x v="3"/>
  </r>
  <r>
    <d v="2023-03-26T00:00:00"/>
    <x v="4"/>
    <s v="Борисов"/>
    <s v="Овощи"/>
    <s v="Кабачки"/>
    <n v="325"/>
    <n v="32"/>
    <n v="10.4"/>
    <x v="3"/>
  </r>
  <r>
    <d v="2023-03-26T00:00:00"/>
    <x v="1"/>
    <s v="Борисов"/>
    <s v="Ягоды"/>
    <s v="Смородина черная"/>
    <n v="1505"/>
    <n v="34"/>
    <n v="51.17"/>
    <x v="3"/>
  </r>
  <r>
    <d v="2023-03-26T00:00:00"/>
    <x v="4"/>
    <s v="Борисов"/>
    <s v="Ягоды"/>
    <s v="Малина"/>
    <n v="2970"/>
    <n v="92"/>
    <n v="273.24"/>
    <x v="3"/>
  </r>
  <r>
    <d v="2023-03-26T00:00:00"/>
    <x v="0"/>
    <s v="Жодино"/>
    <s v="Фрукты"/>
    <s v="Апельсины"/>
    <n v="2540"/>
    <n v="65"/>
    <n v="165.1"/>
    <x v="3"/>
  </r>
  <r>
    <d v="2023-03-26T00:00:00"/>
    <x v="4"/>
    <s v="Минск"/>
    <s v="Зелень"/>
    <s v="Петрушка"/>
    <n v="640"/>
    <n v="40"/>
    <n v="25.6"/>
    <x v="3"/>
  </r>
  <r>
    <d v="2023-03-26T00:00:00"/>
    <x v="0"/>
    <s v="Минск"/>
    <s v="Овощи"/>
    <s v="Морковь"/>
    <n v="715"/>
    <n v="50"/>
    <n v="35.75"/>
    <x v="3"/>
  </r>
  <r>
    <d v="2023-03-26T00:00:00"/>
    <x v="0"/>
    <s v="Минск"/>
    <s v="Овощи"/>
    <s v="Баклажаны"/>
    <n v="890"/>
    <n v="89"/>
    <n v="79.209999999999994"/>
    <x v="3"/>
  </r>
  <r>
    <d v="2023-03-26T00:00:00"/>
    <x v="2"/>
    <s v="Фаниполь"/>
    <s v="Овощи"/>
    <s v="Баклажаны"/>
    <n v="890"/>
    <n v="99"/>
    <n v="88.11"/>
    <x v="3"/>
  </r>
  <r>
    <s v="26.03.2023 Итог"/>
    <x v="3"/>
    <m/>
    <m/>
    <m/>
    <m/>
    <m/>
    <n v="816.22000000000014"/>
    <x v="3"/>
  </r>
  <r>
    <d v="2023-03-27T00:00:00"/>
    <x v="4"/>
    <s v="Барановичи"/>
    <s v="Овощи"/>
    <s v="Капуста"/>
    <n v="460"/>
    <n v="34"/>
    <n v="15.64"/>
    <x v="3"/>
  </r>
  <r>
    <d v="2023-03-27T00:00:00"/>
    <x v="2"/>
    <s v="Борисов"/>
    <s v="Зелень"/>
    <s v="Салат римский"/>
    <n v="540"/>
    <n v="55"/>
    <n v="29.7"/>
    <x v="3"/>
  </r>
  <r>
    <d v="2023-03-27T00:00:00"/>
    <x v="2"/>
    <s v="Жодино"/>
    <s v="Зелень"/>
    <s v="Кинза"/>
    <n v="650"/>
    <n v="67"/>
    <n v="43.55"/>
    <x v="3"/>
  </r>
  <r>
    <d v="2023-03-27T00:00:00"/>
    <x v="4"/>
    <s v="Жодино"/>
    <s v="Овощи"/>
    <s v="Кабачки"/>
    <n v="325"/>
    <n v="37"/>
    <n v="12.025"/>
    <x v="3"/>
  </r>
  <r>
    <d v="2023-03-27T00:00:00"/>
    <x v="1"/>
    <s v="Жодино"/>
    <s v="Ягоды"/>
    <s v="Голубика"/>
    <n v="3205"/>
    <n v="90"/>
    <n v="288.45"/>
    <x v="3"/>
  </r>
  <r>
    <d v="2023-03-27T00:00:00"/>
    <x v="4"/>
    <s v="Минск"/>
    <s v="Фрукты"/>
    <s v="Бананы"/>
    <n v="2400"/>
    <n v="8"/>
    <n v="19.2"/>
    <x v="3"/>
  </r>
  <r>
    <d v="2023-03-27T00:00:00"/>
    <x v="0"/>
    <s v="Минск"/>
    <s v="Фрукты"/>
    <s v="Сливы"/>
    <n v="930"/>
    <n v="38"/>
    <n v="35.340000000000003"/>
    <x v="3"/>
  </r>
  <r>
    <d v="2023-03-27T00:00:00"/>
    <x v="4"/>
    <s v="Минск"/>
    <s v="Фрукты"/>
    <s v="Апельсины"/>
    <n v="2540"/>
    <n v="51"/>
    <n v="129.54"/>
    <x v="3"/>
  </r>
  <r>
    <d v="2023-03-27T00:00:00"/>
    <x v="0"/>
    <s v="Столбцы"/>
    <s v="Зелень"/>
    <s v="Укроп"/>
    <n v="650"/>
    <n v="9"/>
    <n v="5.85"/>
    <x v="3"/>
  </r>
  <r>
    <d v="2023-03-27T00:00:00"/>
    <x v="2"/>
    <s v="Столбцы"/>
    <s v="Зелень"/>
    <s v="Лук зеленый"/>
    <n v="705"/>
    <n v="17"/>
    <n v="11.984999999999999"/>
    <x v="3"/>
  </r>
  <r>
    <d v="2023-03-27T00:00:00"/>
    <x v="4"/>
    <s v="Столбцы"/>
    <s v="Овощи"/>
    <s v="Морковь"/>
    <n v="715"/>
    <n v="54"/>
    <n v="38.61"/>
    <x v="3"/>
  </r>
  <r>
    <d v="2023-03-27T00:00:00"/>
    <x v="1"/>
    <s v="Столбцы"/>
    <s v="Фрукты"/>
    <s v="Яблоки"/>
    <n v="1230"/>
    <n v="58"/>
    <n v="71.34"/>
    <x v="3"/>
  </r>
  <r>
    <d v="2023-03-27T00:00:00"/>
    <x v="1"/>
    <s v="Фаниполь"/>
    <s v="Ягоды"/>
    <s v="Малина"/>
    <n v="2970"/>
    <n v="49"/>
    <n v="145.53"/>
    <x v="3"/>
  </r>
  <r>
    <d v="2023-03-27T00:00:00"/>
    <x v="4"/>
    <s v="Фаниполь"/>
    <s v="Ягоды"/>
    <s v="Голубика"/>
    <n v="3205"/>
    <n v="80"/>
    <n v="256.39999999999998"/>
    <x v="3"/>
  </r>
  <r>
    <s v="27.03.2023 Итог"/>
    <x v="3"/>
    <m/>
    <m/>
    <m/>
    <m/>
    <m/>
    <n v="1103.1599999999999"/>
    <x v="3"/>
  </r>
  <r>
    <d v="2023-03-28T00:00:00"/>
    <x v="4"/>
    <s v="Барановичи"/>
    <s v="Зелень"/>
    <s v="Кинза"/>
    <n v="650"/>
    <n v="54"/>
    <n v="35.1"/>
    <x v="3"/>
  </r>
  <r>
    <d v="2023-03-28T00:00:00"/>
    <x v="1"/>
    <s v="Барановичи"/>
    <s v="Фрукты"/>
    <s v="Сливы"/>
    <n v="930"/>
    <n v="90"/>
    <n v="83.7"/>
    <x v="3"/>
  </r>
  <r>
    <d v="2023-03-28T00:00:00"/>
    <x v="1"/>
    <s v="Борисов"/>
    <s v="Ягоды"/>
    <s v="Голубика"/>
    <n v="3205"/>
    <n v="74"/>
    <n v="237.17"/>
    <x v="3"/>
  </r>
  <r>
    <d v="2023-03-28T00:00:00"/>
    <x v="2"/>
    <s v="Жодино"/>
    <s v="Ягоды"/>
    <s v="Голубика"/>
    <n v="3205"/>
    <n v="18"/>
    <n v="57.69"/>
    <x v="3"/>
  </r>
  <r>
    <d v="2023-03-28T00:00:00"/>
    <x v="1"/>
    <s v="Минск"/>
    <s v="Зелень"/>
    <s v="Укроп"/>
    <n v="650"/>
    <n v="27"/>
    <n v="17.55"/>
    <x v="3"/>
  </r>
  <r>
    <d v="2023-03-28T00:00:00"/>
    <x v="0"/>
    <s v="Минск"/>
    <s v="Овощи"/>
    <s v="Картофель"/>
    <n v="690"/>
    <n v="52"/>
    <n v="35.880000000000003"/>
    <x v="3"/>
  </r>
  <r>
    <d v="2023-03-28T00:00:00"/>
    <x v="0"/>
    <s v="Столбцы"/>
    <s v="Овощи"/>
    <s v="Морковь"/>
    <n v="715"/>
    <n v="79"/>
    <n v="56.484999999999999"/>
    <x v="3"/>
  </r>
  <r>
    <d v="2023-03-28T00:00:00"/>
    <x v="4"/>
    <s v="Столбцы"/>
    <s v="Овощи"/>
    <s v="Картофель"/>
    <n v="690"/>
    <n v="98"/>
    <n v="67.62"/>
    <x v="3"/>
  </r>
  <r>
    <d v="2023-03-28T00:00:00"/>
    <x v="2"/>
    <s v="Столбцы"/>
    <s v="Фрукты"/>
    <s v="Яблоки"/>
    <n v="1230"/>
    <n v="32"/>
    <n v="39.36"/>
    <x v="3"/>
  </r>
  <r>
    <d v="2023-03-28T00:00:00"/>
    <x v="0"/>
    <s v="Фаниполь"/>
    <s v="Зелень"/>
    <s v="Петрушка"/>
    <n v="640"/>
    <n v="51"/>
    <n v="32.64"/>
    <x v="3"/>
  </r>
  <r>
    <d v="2023-03-28T00:00:00"/>
    <x v="2"/>
    <s v="Фаниполь"/>
    <s v="Фрукты"/>
    <s v="Груши"/>
    <n v="1420"/>
    <n v="99"/>
    <n v="140.58000000000001"/>
    <x v="3"/>
  </r>
  <r>
    <s v="28.03.2023 Итог"/>
    <x v="3"/>
    <m/>
    <m/>
    <m/>
    <m/>
    <m/>
    <n v="803.77500000000009"/>
    <x v="3"/>
  </r>
  <r>
    <d v="2023-03-29T00:00:00"/>
    <x v="1"/>
    <s v="Жодино"/>
    <s v="Ягоды"/>
    <s v="Брусника"/>
    <n v="1670"/>
    <n v="11"/>
    <n v="18.37"/>
    <x v="3"/>
  </r>
  <r>
    <d v="2023-03-29T00:00:00"/>
    <x v="0"/>
    <s v="Минск"/>
    <s v="Зелень"/>
    <s v="Салат айсберг"/>
    <n v="1380"/>
    <n v="23"/>
    <n v="31.74"/>
    <x v="3"/>
  </r>
  <r>
    <d v="2023-03-29T00:00:00"/>
    <x v="4"/>
    <s v="Минск"/>
    <s v="Ягоды"/>
    <s v="Брусника"/>
    <n v="1670"/>
    <n v="77"/>
    <n v="128.59"/>
    <x v="3"/>
  </r>
  <r>
    <d v="2023-03-29T00:00:00"/>
    <x v="0"/>
    <s v="Столбцы"/>
    <s v="Зелень"/>
    <s v="Салат айсберг"/>
    <n v="1380"/>
    <n v="81"/>
    <n v="111.78"/>
    <x v="3"/>
  </r>
  <r>
    <d v="2023-03-29T00:00:00"/>
    <x v="1"/>
    <s v="Столбцы"/>
    <s v="Зелень"/>
    <s v="Кинза"/>
    <n v="650"/>
    <n v="58"/>
    <n v="37.700000000000003"/>
    <x v="3"/>
  </r>
  <r>
    <d v="2023-03-29T00:00:00"/>
    <x v="4"/>
    <s v="Столбцы"/>
    <s v="Ягоды"/>
    <s v="Малина"/>
    <n v="2970"/>
    <n v="78"/>
    <n v="231.66"/>
    <x v="3"/>
  </r>
  <r>
    <s v="29.03.2023 Итог"/>
    <x v="3"/>
    <m/>
    <m/>
    <m/>
    <m/>
    <m/>
    <n v="559.84"/>
    <x v="3"/>
  </r>
  <r>
    <d v="2023-03-30T00:00:00"/>
    <x v="0"/>
    <s v="Барановичи"/>
    <s v="Зелень"/>
    <s v="Кинза"/>
    <n v="650"/>
    <n v="62"/>
    <n v="40.299999999999997"/>
    <x v="3"/>
  </r>
  <r>
    <d v="2023-03-30T00:00:00"/>
    <x v="4"/>
    <s v="Барановичи"/>
    <s v="Фрукты"/>
    <s v="Яблоки"/>
    <n v="1230"/>
    <n v="47"/>
    <n v="57.81"/>
    <x v="3"/>
  </r>
  <r>
    <d v="2023-03-30T00:00:00"/>
    <x v="1"/>
    <s v="Барановичи"/>
    <s v="Фрукты"/>
    <s v="Груши"/>
    <n v="1420"/>
    <n v="83"/>
    <n v="117.86"/>
    <x v="3"/>
  </r>
  <r>
    <d v="2023-03-30T00:00:00"/>
    <x v="1"/>
    <s v="Борисов"/>
    <s v="Овощи"/>
    <s v="Картофель"/>
    <n v="690"/>
    <n v="82"/>
    <n v="56.58"/>
    <x v="3"/>
  </r>
  <r>
    <d v="2023-03-30T00:00:00"/>
    <x v="4"/>
    <s v="Борисов"/>
    <s v="Фрукты"/>
    <s v="Абрикосы"/>
    <n v="1320"/>
    <n v="47"/>
    <n v="62.04"/>
    <x v="3"/>
  </r>
  <r>
    <d v="2023-03-30T00:00:00"/>
    <x v="1"/>
    <s v="Жодино"/>
    <s v="Ягоды"/>
    <s v="Смородина черная"/>
    <n v="1505"/>
    <n v="78"/>
    <n v="117.39"/>
    <x v="3"/>
  </r>
  <r>
    <d v="2023-03-30T00:00:00"/>
    <x v="0"/>
    <s v="Минск"/>
    <s v="Ягоды"/>
    <s v="Черешня"/>
    <n v="1760"/>
    <n v="91"/>
    <n v="160.16"/>
    <x v="3"/>
  </r>
  <r>
    <d v="2023-03-30T00:00:00"/>
    <x v="4"/>
    <s v="Столбцы"/>
    <s v="Зелень"/>
    <s v="Салат римский"/>
    <n v="540"/>
    <n v="18"/>
    <n v="9.7200000000000006"/>
    <x v="3"/>
  </r>
  <r>
    <d v="2023-03-30T00:00:00"/>
    <x v="2"/>
    <s v="Столбцы"/>
    <s v="Зелень"/>
    <s v="Лук зеленый"/>
    <n v="705"/>
    <n v="90"/>
    <n v="63.45"/>
    <x v="3"/>
  </r>
  <r>
    <s v="30.03.2023 Итог"/>
    <x v="3"/>
    <m/>
    <m/>
    <m/>
    <m/>
    <m/>
    <n v="685.31000000000006"/>
    <x v="3"/>
  </r>
  <r>
    <d v="2023-03-31T00:00:00"/>
    <x v="0"/>
    <s v="Барановичи"/>
    <s v="Фрукты"/>
    <s v="Апельсины"/>
    <n v="2540"/>
    <n v="48"/>
    <n v="121.92"/>
    <x v="3"/>
  </r>
  <r>
    <d v="2023-03-31T00:00:00"/>
    <x v="2"/>
    <s v="Барановичи"/>
    <s v="Ягоды"/>
    <s v="Черешня"/>
    <n v="1760"/>
    <n v="84"/>
    <n v="147.84"/>
    <x v="3"/>
  </r>
  <r>
    <d v="2023-03-31T00:00:00"/>
    <x v="1"/>
    <s v="Борисов"/>
    <s v="Ягоды"/>
    <s v="Смородина черная"/>
    <n v="1505"/>
    <n v="46"/>
    <n v="69.23"/>
    <x v="3"/>
  </r>
  <r>
    <d v="2023-03-31T00:00:00"/>
    <x v="4"/>
    <s v="Минск"/>
    <s v="Зелень"/>
    <s v="Лук зеленый"/>
    <n v="705"/>
    <n v="5"/>
    <n v="3.5249999999999999"/>
    <x v="3"/>
  </r>
  <r>
    <d v="2023-03-31T00:00:00"/>
    <x v="0"/>
    <s v="Минск"/>
    <s v="Зелень"/>
    <s v="Салат римский"/>
    <n v="540"/>
    <n v="76"/>
    <n v="41.04"/>
    <x v="3"/>
  </r>
  <r>
    <d v="2023-03-31T00:00:00"/>
    <x v="1"/>
    <s v="Минск"/>
    <s v="Зелень"/>
    <s v="Кинза"/>
    <n v="650"/>
    <n v="90"/>
    <n v="58.5"/>
    <x v="3"/>
  </r>
  <r>
    <d v="2023-03-31T00:00:00"/>
    <x v="1"/>
    <s v="Минск"/>
    <s v="Фрукты"/>
    <s v="Груши"/>
    <n v="1420"/>
    <n v="98"/>
    <n v="139.16"/>
    <x v="3"/>
  </r>
  <r>
    <d v="2023-03-31T00:00:00"/>
    <x v="1"/>
    <s v="Столбцы"/>
    <s v="Зелень"/>
    <s v="Салат айсберг"/>
    <n v="1380"/>
    <n v="43"/>
    <n v="59.34"/>
    <x v="3"/>
  </r>
  <r>
    <d v="2023-03-31T00:00:00"/>
    <x v="1"/>
    <s v="Фаниполь"/>
    <s v="Зелень"/>
    <s v="Салат айсберг"/>
    <n v="1380"/>
    <n v="74"/>
    <n v="102.12"/>
    <x v="3"/>
  </r>
  <r>
    <d v="2023-03-31T00:00:00"/>
    <x v="2"/>
    <s v="Фаниполь"/>
    <s v="Зелень"/>
    <s v="Петрушка"/>
    <n v="640"/>
    <n v="53"/>
    <n v="33.92"/>
    <x v="3"/>
  </r>
  <r>
    <s v="31.03.2023 Итог"/>
    <x v="3"/>
    <m/>
    <m/>
    <m/>
    <m/>
    <m/>
    <n v="776.59500000000003"/>
    <x v="1"/>
  </r>
  <r>
    <d v="2023-04-01T00:00:00"/>
    <x v="2"/>
    <s v="Борисов"/>
    <s v="Фрукты"/>
    <s v="Сливы"/>
    <n v="930"/>
    <n v="47"/>
    <n v="43.71"/>
    <x v="4"/>
  </r>
  <r>
    <d v="2023-04-01T00:00:00"/>
    <x v="2"/>
    <s v="Жодино"/>
    <s v="Зелень"/>
    <s v="Кинза"/>
    <n v="650"/>
    <n v="52"/>
    <n v="33.799999999999997"/>
    <x v="4"/>
  </r>
  <r>
    <d v="2023-04-01T00:00:00"/>
    <x v="2"/>
    <s v="Жодино"/>
    <s v="Зелень"/>
    <s v="Лук зеленый"/>
    <n v="705"/>
    <n v="5"/>
    <n v="3.5249999999999999"/>
    <x v="4"/>
  </r>
  <r>
    <d v="2023-04-01T00:00:00"/>
    <x v="1"/>
    <s v="Жодино"/>
    <s v="Овощи"/>
    <s v="Свекла"/>
    <n v="450"/>
    <n v="56"/>
    <n v="25.2"/>
    <x v="4"/>
  </r>
  <r>
    <d v="2023-04-01T00:00:00"/>
    <x v="2"/>
    <s v="Минск"/>
    <s v="Зелень"/>
    <s v="Салат айсберг"/>
    <n v="1380"/>
    <n v="34"/>
    <n v="46.92"/>
    <x v="4"/>
  </r>
  <r>
    <d v="2023-04-01T00:00:00"/>
    <x v="0"/>
    <s v="Минск"/>
    <s v="Овощи"/>
    <s v="Кабачки"/>
    <n v="325"/>
    <n v="18"/>
    <n v="5.85"/>
    <x v="4"/>
  </r>
  <r>
    <d v="2023-04-01T00:00:00"/>
    <x v="1"/>
    <s v="Минск"/>
    <s v="Овощи"/>
    <s v="Кабачки"/>
    <n v="325"/>
    <n v="23"/>
    <n v="7.4749999999999996"/>
    <x v="4"/>
  </r>
  <r>
    <d v="2023-04-01T00:00:00"/>
    <x v="4"/>
    <s v="Столбцы"/>
    <s v="Зелень"/>
    <s v="Лук зеленый"/>
    <n v="705"/>
    <n v="78"/>
    <n v="54.99"/>
    <x v="4"/>
  </r>
  <r>
    <s v="01.04.2023 Итог"/>
    <x v="3"/>
    <m/>
    <m/>
    <m/>
    <m/>
    <m/>
    <n v="221.47"/>
    <x v="4"/>
  </r>
  <r>
    <d v="2023-04-02T00:00:00"/>
    <x v="0"/>
    <s v="Барановичи"/>
    <s v="Фрукты"/>
    <s v="Яблоки"/>
    <n v="1230"/>
    <n v="29"/>
    <n v="35.67"/>
    <x v="4"/>
  </r>
  <r>
    <d v="2023-04-02T00:00:00"/>
    <x v="4"/>
    <s v="Барановичи"/>
    <s v="Ягоды"/>
    <s v="Брусника"/>
    <n v="1670"/>
    <n v="78"/>
    <n v="130.26"/>
    <x v="4"/>
  </r>
  <r>
    <d v="2023-04-02T00:00:00"/>
    <x v="1"/>
    <s v="Минск"/>
    <s v="Ягоды"/>
    <s v="Черешня"/>
    <n v="1760"/>
    <n v="92"/>
    <n v="161.91999999999999"/>
    <x v="4"/>
  </r>
  <r>
    <d v="2023-04-02T00:00:00"/>
    <x v="4"/>
    <s v="Столбцы"/>
    <s v="Зелень"/>
    <s v="Салат айсберг"/>
    <n v="1380"/>
    <n v="68"/>
    <n v="93.84"/>
    <x v="4"/>
  </r>
  <r>
    <d v="2023-04-02T00:00:00"/>
    <x v="0"/>
    <s v="Фаниполь"/>
    <s v="Овощи"/>
    <s v="Кабачки"/>
    <n v="325"/>
    <n v="5"/>
    <n v="1.625"/>
    <x v="4"/>
  </r>
  <r>
    <d v="2023-04-02T00:00:00"/>
    <x v="2"/>
    <s v="Фаниполь"/>
    <s v="Фрукты"/>
    <s v="Бананы"/>
    <n v="2400"/>
    <n v="76"/>
    <n v="182.4"/>
    <x v="4"/>
  </r>
  <r>
    <d v="2023-04-02T00:00:00"/>
    <x v="2"/>
    <s v="Фаниполь"/>
    <s v="Ягоды"/>
    <s v="Смородина черная"/>
    <n v="1505"/>
    <n v="34"/>
    <n v="51.17"/>
    <x v="4"/>
  </r>
  <r>
    <s v="02.04.2023 Итог"/>
    <x v="3"/>
    <m/>
    <m/>
    <m/>
    <m/>
    <m/>
    <n v="656.88499999999999"/>
    <x v="4"/>
  </r>
  <r>
    <d v="2023-04-03T00:00:00"/>
    <x v="4"/>
    <s v="Барановичи"/>
    <s v="Фрукты"/>
    <s v="Бананы"/>
    <n v="2400"/>
    <n v="21"/>
    <n v="50.4"/>
    <x v="4"/>
  </r>
  <r>
    <d v="2023-04-03T00:00:00"/>
    <x v="0"/>
    <s v="Борисов"/>
    <s v="Фрукты"/>
    <s v="Бананы"/>
    <n v="2400"/>
    <n v="27"/>
    <n v="64.8"/>
    <x v="4"/>
  </r>
  <r>
    <d v="2023-04-03T00:00:00"/>
    <x v="2"/>
    <s v="Борисов"/>
    <s v="Ягоды"/>
    <s v="Голубика"/>
    <n v="3205"/>
    <n v="81"/>
    <n v="259.60500000000002"/>
    <x v="4"/>
  </r>
  <r>
    <d v="2023-04-03T00:00:00"/>
    <x v="4"/>
    <s v="Жодино"/>
    <s v="Овощи"/>
    <s v="Картофель"/>
    <n v="690"/>
    <n v="10"/>
    <n v="6.9"/>
    <x v="4"/>
  </r>
  <r>
    <d v="2023-04-03T00:00:00"/>
    <x v="2"/>
    <s v="Жодино"/>
    <s v="Овощи"/>
    <s v="Свекла"/>
    <n v="450"/>
    <n v="74"/>
    <n v="33.299999999999997"/>
    <x v="4"/>
  </r>
  <r>
    <d v="2023-04-03T00:00:00"/>
    <x v="4"/>
    <s v="Жодино"/>
    <s v="Фрукты"/>
    <s v="Бананы"/>
    <n v="2400"/>
    <n v="72"/>
    <n v="172.8"/>
    <x v="4"/>
  </r>
  <r>
    <d v="2023-04-03T00:00:00"/>
    <x v="0"/>
    <s v="Жодино"/>
    <s v="Фрукты"/>
    <s v="Апельсины"/>
    <n v="2540"/>
    <n v="79"/>
    <n v="200.66"/>
    <x v="4"/>
  </r>
  <r>
    <d v="2023-04-03T00:00:00"/>
    <x v="1"/>
    <s v="Минск"/>
    <s v="Овощи"/>
    <s v="Кабачки"/>
    <n v="325"/>
    <n v="81"/>
    <n v="26.324999999999999"/>
    <x v="4"/>
  </r>
  <r>
    <d v="2023-04-03T00:00:00"/>
    <x v="4"/>
    <s v="Минск"/>
    <s v="Фрукты"/>
    <s v="Сливы"/>
    <n v="930"/>
    <n v="89"/>
    <n v="82.77"/>
    <x v="4"/>
  </r>
  <r>
    <d v="2023-04-03T00:00:00"/>
    <x v="0"/>
    <s v="Столбцы"/>
    <s v="Овощи"/>
    <s v="Баклажаны"/>
    <n v="890"/>
    <n v="8"/>
    <n v="7.12"/>
    <x v="4"/>
  </r>
  <r>
    <s v="03.04.2023 Итог"/>
    <x v="3"/>
    <m/>
    <m/>
    <m/>
    <m/>
    <m/>
    <n v="904.68000000000006"/>
    <x v="4"/>
  </r>
  <r>
    <d v="2023-04-04T00:00:00"/>
    <x v="2"/>
    <s v="Барановичи"/>
    <s v="Фрукты"/>
    <s v="Сливы"/>
    <n v="930"/>
    <n v="40"/>
    <n v="37.200000000000003"/>
    <x v="4"/>
  </r>
  <r>
    <d v="2023-04-04T00:00:00"/>
    <x v="4"/>
    <s v="Барановичи"/>
    <s v="Фрукты"/>
    <s v="Яблоки"/>
    <n v="1230"/>
    <n v="33"/>
    <n v="40.590000000000003"/>
    <x v="4"/>
  </r>
  <r>
    <d v="2023-04-04T00:00:00"/>
    <x v="1"/>
    <s v="Барановичи"/>
    <s v="Ягоды"/>
    <s v="Смородина черная"/>
    <n v="1505"/>
    <n v="74"/>
    <n v="111.37"/>
    <x v="4"/>
  </r>
  <r>
    <d v="2023-04-04T00:00:00"/>
    <x v="2"/>
    <s v="Жодино"/>
    <s v="Овощи"/>
    <s v="Свекла"/>
    <n v="450"/>
    <n v="99"/>
    <n v="44.55"/>
    <x v="4"/>
  </r>
  <r>
    <d v="2023-04-04T00:00:00"/>
    <x v="1"/>
    <s v="Жодино"/>
    <s v="Фрукты"/>
    <s v="Сливы"/>
    <n v="930"/>
    <n v="22"/>
    <n v="20.46"/>
    <x v="4"/>
  </r>
  <r>
    <d v="2023-04-04T00:00:00"/>
    <x v="4"/>
    <s v="Минск"/>
    <s v="Фрукты"/>
    <s v="Абрикосы"/>
    <n v="1320"/>
    <n v="17"/>
    <n v="22.44"/>
    <x v="4"/>
  </r>
  <r>
    <d v="2023-04-04T00:00:00"/>
    <x v="2"/>
    <s v="Минск"/>
    <s v="Фрукты"/>
    <s v="Яблоки"/>
    <n v="1230"/>
    <n v="94"/>
    <n v="115.62"/>
    <x v="4"/>
  </r>
  <r>
    <d v="2023-04-04T00:00:00"/>
    <x v="1"/>
    <s v="Столбцы"/>
    <s v="Ягоды"/>
    <s v="Брусника"/>
    <n v="1670"/>
    <n v="51"/>
    <n v="85.17"/>
    <x v="4"/>
  </r>
  <r>
    <d v="2023-04-04T00:00:00"/>
    <x v="1"/>
    <s v="Фаниполь"/>
    <s v="Зелень"/>
    <s v="Салат айсберг"/>
    <n v="1380"/>
    <n v="53"/>
    <n v="73.14"/>
    <x v="4"/>
  </r>
  <r>
    <d v="2023-04-04T00:00:00"/>
    <x v="1"/>
    <s v="Фаниполь"/>
    <s v="Овощи"/>
    <s v="Капуста"/>
    <n v="460"/>
    <n v="28"/>
    <n v="12.88"/>
    <x v="4"/>
  </r>
  <r>
    <d v="2023-04-04T00:00:00"/>
    <x v="2"/>
    <s v="Фаниполь"/>
    <s v="Овощи"/>
    <s v="Баклажаны"/>
    <n v="890"/>
    <n v="18"/>
    <n v="16.02"/>
    <x v="4"/>
  </r>
  <r>
    <d v="2023-04-04T00:00:00"/>
    <x v="2"/>
    <s v="Фаниполь"/>
    <s v="Фрукты"/>
    <s v="Груши"/>
    <n v="1420"/>
    <n v="90"/>
    <n v="127.8"/>
    <x v="4"/>
  </r>
  <r>
    <s v="04.04.2023 Итог"/>
    <x v="3"/>
    <m/>
    <m/>
    <m/>
    <m/>
    <m/>
    <n v="707.24"/>
    <x v="4"/>
  </r>
  <r>
    <d v="2023-04-05T00:00:00"/>
    <x v="0"/>
    <s v="Барановичи"/>
    <s v="Овощи"/>
    <s v="Картофель"/>
    <n v="690"/>
    <n v="41"/>
    <n v="28.29"/>
    <x v="4"/>
  </r>
  <r>
    <d v="2023-04-05T00:00:00"/>
    <x v="2"/>
    <s v="Борисов"/>
    <s v="Овощи"/>
    <s v="Капуста"/>
    <n v="460"/>
    <n v="12"/>
    <n v="5.52"/>
    <x v="4"/>
  </r>
  <r>
    <d v="2023-04-05T00:00:00"/>
    <x v="0"/>
    <s v="Жодино"/>
    <s v="Фрукты"/>
    <s v="Абрикосы"/>
    <n v="1320"/>
    <n v="94"/>
    <n v="124.08"/>
    <x v="4"/>
  </r>
  <r>
    <d v="2023-04-05T00:00:00"/>
    <x v="0"/>
    <s v="Минск"/>
    <s v="Зелень"/>
    <s v="Салат айсберг"/>
    <n v="1380"/>
    <n v="69"/>
    <n v="95.22"/>
    <x v="4"/>
  </r>
  <r>
    <d v="2023-04-05T00:00:00"/>
    <x v="2"/>
    <s v="Фаниполь"/>
    <s v="Зелень"/>
    <s v="Салат айсберг"/>
    <n v="1380"/>
    <n v="95"/>
    <n v="131.1"/>
    <x v="4"/>
  </r>
  <r>
    <d v="2023-04-05T00:00:00"/>
    <x v="2"/>
    <s v="Фаниполь"/>
    <s v="Зелень"/>
    <s v="Кинза"/>
    <n v="650"/>
    <n v="73"/>
    <n v="47.45"/>
    <x v="4"/>
  </r>
  <r>
    <s v="05.04.2023 Итог"/>
    <x v="3"/>
    <m/>
    <m/>
    <m/>
    <m/>
    <m/>
    <n v="431.65999999999997"/>
    <x v="4"/>
  </r>
  <r>
    <d v="2023-04-06T00:00:00"/>
    <x v="2"/>
    <s v="Барановичи"/>
    <s v="Овощи"/>
    <s v="Свекла"/>
    <n v="450"/>
    <n v="38"/>
    <n v="17.100000000000001"/>
    <x v="4"/>
  </r>
  <r>
    <d v="2023-04-06T00:00:00"/>
    <x v="0"/>
    <s v="Барановичи"/>
    <s v="Овощи"/>
    <s v="Картофель"/>
    <n v="690"/>
    <n v="66"/>
    <n v="45.54"/>
    <x v="4"/>
  </r>
  <r>
    <d v="2023-04-06T00:00:00"/>
    <x v="1"/>
    <s v="Барановичи"/>
    <s v="Овощи"/>
    <s v="Кабачки"/>
    <n v="325"/>
    <n v="64"/>
    <n v="20.8"/>
    <x v="4"/>
  </r>
  <r>
    <d v="2023-04-06T00:00:00"/>
    <x v="2"/>
    <s v="Борисов"/>
    <s v="Овощи"/>
    <s v="Свекла"/>
    <n v="450"/>
    <n v="48"/>
    <n v="21.6"/>
    <x v="4"/>
  </r>
  <r>
    <d v="2023-04-06T00:00:00"/>
    <x v="0"/>
    <s v="Борисов"/>
    <s v="Ягоды"/>
    <s v="Черешня"/>
    <n v="1760"/>
    <n v="49"/>
    <n v="86.24"/>
    <x v="4"/>
  </r>
  <r>
    <d v="2023-04-06T00:00:00"/>
    <x v="2"/>
    <s v="Жодино"/>
    <s v="Овощи"/>
    <s v="Картофель"/>
    <n v="690"/>
    <n v="40"/>
    <n v="27.6"/>
    <x v="4"/>
  </r>
  <r>
    <d v="2023-04-06T00:00:00"/>
    <x v="1"/>
    <s v="Жодино"/>
    <s v="Фрукты"/>
    <s v="Яблоки"/>
    <n v="1230"/>
    <n v="28"/>
    <n v="34.44"/>
    <x v="4"/>
  </r>
  <r>
    <d v="2023-04-06T00:00:00"/>
    <x v="0"/>
    <s v="Жодино"/>
    <s v="Ягоды"/>
    <s v="Клубника"/>
    <n v="2460"/>
    <n v="67"/>
    <n v="164.82"/>
    <x v="4"/>
  </r>
  <r>
    <d v="2023-04-06T00:00:00"/>
    <x v="4"/>
    <s v="Минск"/>
    <s v="Овощи"/>
    <s v="Капуста"/>
    <n v="460"/>
    <n v="71"/>
    <n v="32.659999999999997"/>
    <x v="4"/>
  </r>
  <r>
    <d v="2023-04-06T00:00:00"/>
    <x v="0"/>
    <s v="Минск"/>
    <s v="Овощи"/>
    <s v="Морковь"/>
    <n v="715"/>
    <n v="44"/>
    <n v="31.46"/>
    <x v="4"/>
  </r>
  <r>
    <d v="2023-04-06T00:00:00"/>
    <x v="4"/>
    <s v="Столбцы"/>
    <s v="Зелень"/>
    <s v="Кинза"/>
    <n v="650"/>
    <n v="84"/>
    <n v="54.6"/>
    <x v="4"/>
  </r>
  <r>
    <d v="2023-04-06T00:00:00"/>
    <x v="4"/>
    <s v="Фаниполь"/>
    <s v="Зелень"/>
    <s v="Петрушка"/>
    <n v="640"/>
    <n v="88"/>
    <n v="56.32"/>
    <x v="4"/>
  </r>
  <r>
    <d v="2023-04-06T00:00:00"/>
    <x v="2"/>
    <s v="Фаниполь"/>
    <s v="Фрукты"/>
    <s v="Бананы"/>
    <n v="2400"/>
    <n v="29"/>
    <n v="69.599999999999994"/>
    <x v="4"/>
  </r>
  <r>
    <s v="06.04.2023 Итог"/>
    <x v="3"/>
    <m/>
    <m/>
    <m/>
    <m/>
    <m/>
    <n v="662.78"/>
    <x v="4"/>
  </r>
  <r>
    <d v="2023-04-07T00:00:00"/>
    <x v="4"/>
    <s v="Барановичи"/>
    <s v="Овощи"/>
    <s v="Свекла"/>
    <n v="450"/>
    <n v="27"/>
    <n v="12.15"/>
    <x v="4"/>
  </r>
  <r>
    <d v="2023-04-07T00:00:00"/>
    <x v="4"/>
    <s v="Барановичи"/>
    <s v="Овощи"/>
    <s v="Капуста"/>
    <n v="460"/>
    <n v="55"/>
    <n v="25.3"/>
    <x v="4"/>
  </r>
  <r>
    <d v="2023-04-07T00:00:00"/>
    <x v="2"/>
    <s v="Барановичи"/>
    <s v="Ягоды"/>
    <s v="Голубика"/>
    <n v="3205"/>
    <n v="89"/>
    <n v="285.245"/>
    <x v="4"/>
  </r>
  <r>
    <d v="2023-04-07T00:00:00"/>
    <x v="0"/>
    <s v="Борисов"/>
    <s v="Зелень"/>
    <s v="Лук зеленый"/>
    <n v="705"/>
    <n v="92"/>
    <n v="64.86"/>
    <x v="4"/>
  </r>
  <r>
    <d v="2023-04-07T00:00:00"/>
    <x v="2"/>
    <s v="Борисов"/>
    <s v="Овощи"/>
    <s v="Картофель"/>
    <n v="690"/>
    <n v="52"/>
    <n v="35.880000000000003"/>
    <x v="4"/>
  </r>
  <r>
    <d v="2023-04-07T00:00:00"/>
    <x v="1"/>
    <s v="Борисов"/>
    <s v="Ягоды"/>
    <s v="Малина"/>
    <n v="2970"/>
    <n v="85"/>
    <n v="252.45"/>
    <x v="4"/>
  </r>
  <r>
    <d v="2023-04-07T00:00:00"/>
    <x v="2"/>
    <s v="Минск"/>
    <s v="Овощи"/>
    <s v="Морковь"/>
    <n v="715"/>
    <n v="73"/>
    <n v="52.195"/>
    <x v="4"/>
  </r>
  <r>
    <d v="2023-04-07T00:00:00"/>
    <x v="0"/>
    <s v="Минск"/>
    <s v="Овощи"/>
    <s v="Кабачки"/>
    <n v="325"/>
    <n v="29"/>
    <n v="9.4250000000000007"/>
    <x v="4"/>
  </r>
  <r>
    <d v="2023-04-07T00:00:00"/>
    <x v="4"/>
    <s v="Минск"/>
    <s v="Ягоды"/>
    <s v="Смородина черная"/>
    <n v="1505"/>
    <n v="59"/>
    <n v="88.795000000000002"/>
    <x v="4"/>
  </r>
  <r>
    <d v="2023-04-07T00:00:00"/>
    <x v="2"/>
    <s v="Столбцы"/>
    <s v="Фрукты"/>
    <s v="Апельсины"/>
    <n v="2540"/>
    <n v="40"/>
    <n v="101.6"/>
    <x v="4"/>
  </r>
  <r>
    <d v="2023-04-07T00:00:00"/>
    <x v="1"/>
    <s v="Фаниполь"/>
    <s v="Овощи"/>
    <s v="Капуста"/>
    <n v="460"/>
    <n v="93"/>
    <n v="42.78"/>
    <x v="4"/>
  </r>
  <r>
    <d v="2023-04-07T00:00:00"/>
    <x v="0"/>
    <s v="Фаниполь"/>
    <s v="Овощи"/>
    <s v="Кабачки"/>
    <n v="325"/>
    <n v="72"/>
    <n v="23.4"/>
    <x v="4"/>
  </r>
  <r>
    <d v="2023-04-07T00:00:00"/>
    <x v="4"/>
    <s v="Фаниполь"/>
    <s v="Фрукты"/>
    <s v="Абрикосы"/>
    <n v="1320"/>
    <n v="51"/>
    <n v="67.319999999999993"/>
    <x v="4"/>
  </r>
  <r>
    <s v="07.04.2023 Итог"/>
    <x v="3"/>
    <m/>
    <m/>
    <m/>
    <m/>
    <m/>
    <n v="1061.3999999999999"/>
    <x v="4"/>
  </r>
  <r>
    <d v="2023-04-08T00:00:00"/>
    <x v="1"/>
    <s v="Барановичи"/>
    <s v="Ягоды"/>
    <s v="Черешня"/>
    <n v="1760"/>
    <n v="57"/>
    <n v="100.32"/>
    <x v="4"/>
  </r>
  <r>
    <d v="2023-04-08T00:00:00"/>
    <x v="0"/>
    <s v="Борисов"/>
    <s v="Зелень"/>
    <s v="Укроп"/>
    <n v="650"/>
    <n v="99"/>
    <n v="64.349999999999994"/>
    <x v="4"/>
  </r>
  <r>
    <d v="2023-04-08T00:00:00"/>
    <x v="2"/>
    <s v="Борисов"/>
    <s v="Зелень"/>
    <s v="Лук зеленый"/>
    <n v="705"/>
    <n v="76"/>
    <n v="53.58"/>
    <x v="4"/>
  </r>
  <r>
    <d v="2023-04-08T00:00:00"/>
    <x v="1"/>
    <s v="Жодино"/>
    <s v="Фрукты"/>
    <s v="Апельсины"/>
    <n v="2540"/>
    <n v="91"/>
    <n v="231.14"/>
    <x v="4"/>
  </r>
  <r>
    <d v="2023-04-08T00:00:00"/>
    <x v="1"/>
    <s v="Столбцы"/>
    <s v="Овощи"/>
    <s v="Морковь"/>
    <n v="715"/>
    <n v="25"/>
    <n v="17.875"/>
    <x v="4"/>
  </r>
  <r>
    <s v="08.04.2023 Итог"/>
    <x v="3"/>
    <m/>
    <m/>
    <m/>
    <m/>
    <m/>
    <n v="467.26499999999999"/>
    <x v="4"/>
  </r>
  <r>
    <d v="2023-04-09T00:00:00"/>
    <x v="0"/>
    <s v="Барановичи"/>
    <s v="Овощи"/>
    <s v="Кабачки"/>
    <n v="325"/>
    <n v="81"/>
    <n v="26.324999999999999"/>
    <x v="4"/>
  </r>
  <r>
    <d v="2023-04-09T00:00:00"/>
    <x v="4"/>
    <s v="Барановичи"/>
    <s v="Овощи"/>
    <s v="Баклажаны"/>
    <n v="890"/>
    <n v="27"/>
    <n v="24.03"/>
    <x v="4"/>
  </r>
  <r>
    <d v="2023-04-09T00:00:00"/>
    <x v="4"/>
    <s v="Борисов"/>
    <s v="Овощи"/>
    <s v="Кабачки"/>
    <n v="325"/>
    <n v="85"/>
    <n v="27.625"/>
    <x v="4"/>
  </r>
  <r>
    <d v="2023-04-09T00:00:00"/>
    <x v="4"/>
    <s v="Борисов"/>
    <s v="Фрукты"/>
    <s v="Сливы"/>
    <n v="930"/>
    <n v="6"/>
    <n v="5.58"/>
    <x v="4"/>
  </r>
  <r>
    <d v="2023-04-09T00:00:00"/>
    <x v="0"/>
    <s v="Борисов"/>
    <s v="Ягоды"/>
    <s v="Малина"/>
    <n v="2970"/>
    <n v="12"/>
    <n v="35.64"/>
    <x v="4"/>
  </r>
  <r>
    <d v="2023-04-09T00:00:00"/>
    <x v="4"/>
    <s v="Жодино"/>
    <s v="Зелень"/>
    <s v="Укроп"/>
    <n v="650"/>
    <n v="52"/>
    <n v="33.799999999999997"/>
    <x v="4"/>
  </r>
  <r>
    <d v="2023-04-09T00:00:00"/>
    <x v="0"/>
    <s v="Жодино"/>
    <s v="Фрукты"/>
    <s v="Абрикосы"/>
    <n v="1320"/>
    <n v="100"/>
    <n v="132"/>
    <x v="4"/>
  </r>
  <r>
    <d v="2023-04-09T00:00:00"/>
    <x v="4"/>
    <s v="Минск"/>
    <s v="Овощи"/>
    <s v="Морковь"/>
    <n v="715"/>
    <n v="61"/>
    <n v="43.615000000000002"/>
    <x v="4"/>
  </r>
  <r>
    <d v="2023-04-09T00:00:00"/>
    <x v="2"/>
    <s v="Минск"/>
    <s v="Ягоды"/>
    <s v="Голубика"/>
    <n v="3205"/>
    <n v="80"/>
    <n v="256.39999999999998"/>
    <x v="4"/>
  </r>
  <r>
    <d v="2023-04-09T00:00:00"/>
    <x v="1"/>
    <s v="Столбцы"/>
    <s v="Ягоды"/>
    <s v="Брусника"/>
    <n v="1670"/>
    <n v="79"/>
    <n v="131.93"/>
    <x v="4"/>
  </r>
  <r>
    <s v="09.04.2023 Итог"/>
    <x v="3"/>
    <m/>
    <m/>
    <m/>
    <m/>
    <m/>
    <n v="716.94499999999994"/>
    <x v="4"/>
  </r>
  <r>
    <d v="2023-04-10T00:00:00"/>
    <x v="4"/>
    <s v="Барановичи"/>
    <s v="Овощи"/>
    <s v="Капуста"/>
    <n v="460"/>
    <n v="55"/>
    <n v="25.3"/>
    <x v="4"/>
  </r>
  <r>
    <d v="2023-04-10T00:00:00"/>
    <x v="2"/>
    <s v="Барановичи"/>
    <s v="Фрукты"/>
    <s v="Груши"/>
    <n v="1420"/>
    <n v="39"/>
    <n v="55.38"/>
    <x v="4"/>
  </r>
  <r>
    <d v="2023-04-10T00:00:00"/>
    <x v="1"/>
    <s v="Борисов"/>
    <s v="Овощи"/>
    <s v="Картофель"/>
    <n v="690"/>
    <n v="16"/>
    <n v="11.04"/>
    <x v="4"/>
  </r>
  <r>
    <d v="2023-04-10T00:00:00"/>
    <x v="1"/>
    <s v="Борисов"/>
    <s v="Фрукты"/>
    <s v="Груши"/>
    <n v="1420"/>
    <n v="33"/>
    <n v="46.86"/>
    <x v="4"/>
  </r>
  <r>
    <d v="2023-04-10T00:00:00"/>
    <x v="2"/>
    <s v="Жодино"/>
    <s v="Овощи"/>
    <s v="Кабачки"/>
    <n v="325"/>
    <n v="77"/>
    <n v="25.024999999999999"/>
    <x v="4"/>
  </r>
  <r>
    <d v="2023-04-10T00:00:00"/>
    <x v="1"/>
    <s v="Минск"/>
    <s v="Фрукты"/>
    <s v="Абрикосы"/>
    <n v="1320"/>
    <n v="80"/>
    <n v="105.6"/>
    <x v="4"/>
  </r>
  <r>
    <d v="2023-04-10T00:00:00"/>
    <x v="1"/>
    <s v="Минск"/>
    <s v="Фрукты"/>
    <s v="Бананы"/>
    <n v="2400"/>
    <n v="15"/>
    <n v="36"/>
    <x v="4"/>
  </r>
  <r>
    <d v="2023-04-10T00:00:00"/>
    <x v="4"/>
    <s v="Минск"/>
    <s v="Ягоды"/>
    <s v="Брусника"/>
    <n v="1670"/>
    <n v="8"/>
    <n v="13.36"/>
    <x v="4"/>
  </r>
  <r>
    <d v="2023-04-10T00:00:00"/>
    <x v="1"/>
    <s v="Столбцы"/>
    <s v="Овощи"/>
    <s v="Баклажаны"/>
    <n v="890"/>
    <n v="86"/>
    <n v="76.540000000000006"/>
    <x v="4"/>
  </r>
  <r>
    <d v="2023-04-10T00:00:00"/>
    <x v="1"/>
    <s v="Столбцы"/>
    <s v="Фрукты"/>
    <s v="Яблоки"/>
    <n v="1230"/>
    <n v="15"/>
    <n v="18.45"/>
    <x v="4"/>
  </r>
  <r>
    <d v="2023-04-10T00:00:00"/>
    <x v="4"/>
    <s v="Столбцы"/>
    <s v="Ягоды"/>
    <s v="Малина"/>
    <n v="2970"/>
    <n v="12"/>
    <n v="35.64"/>
    <x v="4"/>
  </r>
  <r>
    <d v="2023-04-10T00:00:00"/>
    <x v="0"/>
    <s v="Фаниполь"/>
    <s v="Овощи"/>
    <s v="Баклажаны"/>
    <n v="890"/>
    <n v="51"/>
    <n v="45.39"/>
    <x v="4"/>
  </r>
  <r>
    <d v="2023-04-10T00:00:00"/>
    <x v="1"/>
    <s v="Фаниполь"/>
    <s v="Фрукты"/>
    <s v="Абрикосы"/>
    <n v="1320"/>
    <n v="55"/>
    <n v="72.599999999999994"/>
    <x v="4"/>
  </r>
  <r>
    <s v="10.04.2023 Итог"/>
    <x v="3"/>
    <m/>
    <m/>
    <m/>
    <m/>
    <m/>
    <n v="567.18499999999995"/>
    <x v="4"/>
  </r>
  <r>
    <d v="2023-04-11T00:00:00"/>
    <x v="2"/>
    <s v="Барановичи"/>
    <s v="Ягоды"/>
    <s v="Малина"/>
    <n v="2970"/>
    <n v="48"/>
    <n v="142.56"/>
    <x v="4"/>
  </r>
  <r>
    <d v="2023-04-11T00:00:00"/>
    <x v="2"/>
    <s v="Борисов"/>
    <s v="Ягоды"/>
    <s v="Черешня"/>
    <n v="1760"/>
    <n v="34"/>
    <n v="59.84"/>
    <x v="4"/>
  </r>
  <r>
    <d v="2023-04-11T00:00:00"/>
    <x v="0"/>
    <s v="Жодино"/>
    <s v="Фрукты"/>
    <s v="Яблоки"/>
    <n v="1230"/>
    <n v="26"/>
    <n v="31.98"/>
    <x v="4"/>
  </r>
  <r>
    <d v="2023-04-11T00:00:00"/>
    <x v="4"/>
    <s v="Минск"/>
    <s v="Фрукты"/>
    <s v="Груши"/>
    <n v="1420"/>
    <n v="43"/>
    <n v="61.06"/>
    <x v="4"/>
  </r>
  <r>
    <d v="2023-04-11T00:00:00"/>
    <x v="4"/>
    <s v="Минск"/>
    <s v="Фрукты"/>
    <s v="Бананы"/>
    <n v="2400"/>
    <n v="48"/>
    <n v="115.2"/>
    <x v="4"/>
  </r>
  <r>
    <d v="2023-04-11T00:00:00"/>
    <x v="0"/>
    <s v="Столбцы"/>
    <s v="Фрукты"/>
    <s v="Абрикосы"/>
    <n v="1320"/>
    <n v="89"/>
    <n v="117.48"/>
    <x v="4"/>
  </r>
  <r>
    <d v="2023-04-11T00:00:00"/>
    <x v="2"/>
    <s v="Фаниполь"/>
    <s v="Зелень"/>
    <s v="Кинза"/>
    <n v="650"/>
    <n v="64"/>
    <n v="41.6"/>
    <x v="4"/>
  </r>
  <r>
    <d v="2023-04-11T00:00:00"/>
    <x v="4"/>
    <s v="Фаниполь"/>
    <s v="Овощи"/>
    <s v="Кабачки"/>
    <n v="325"/>
    <n v="58"/>
    <n v="18.850000000000001"/>
    <x v="4"/>
  </r>
  <r>
    <s v="11.04.2023 Итог"/>
    <x v="3"/>
    <m/>
    <m/>
    <m/>
    <m/>
    <m/>
    <n v="588.57000000000005"/>
    <x v="4"/>
  </r>
  <r>
    <d v="2023-04-12T00:00:00"/>
    <x v="1"/>
    <s v="Барановичи"/>
    <s v="Ягоды"/>
    <s v="Малина"/>
    <n v="2970"/>
    <n v="66"/>
    <n v="196.02"/>
    <x v="4"/>
  </r>
  <r>
    <d v="2023-04-12T00:00:00"/>
    <x v="1"/>
    <s v="Борисов"/>
    <s v="Зелень"/>
    <s v="Кинза"/>
    <n v="650"/>
    <n v="53"/>
    <n v="34.450000000000003"/>
    <x v="4"/>
  </r>
  <r>
    <d v="2023-04-12T00:00:00"/>
    <x v="2"/>
    <s v="Борисов"/>
    <s v="Овощи"/>
    <s v="Свекла"/>
    <n v="450"/>
    <n v="92"/>
    <n v="41.4"/>
    <x v="4"/>
  </r>
  <r>
    <d v="2023-04-12T00:00:00"/>
    <x v="2"/>
    <s v="Борисов"/>
    <s v="Фрукты"/>
    <s v="Бананы"/>
    <n v="2400"/>
    <n v="42"/>
    <n v="100.8"/>
    <x v="4"/>
  </r>
  <r>
    <d v="2023-04-12T00:00:00"/>
    <x v="2"/>
    <s v="Жодино"/>
    <s v="Ягоды"/>
    <s v="Малина"/>
    <n v="2970"/>
    <n v="45"/>
    <n v="133.65"/>
    <x v="4"/>
  </r>
  <r>
    <d v="2023-04-12T00:00:00"/>
    <x v="0"/>
    <s v="Минск"/>
    <s v="Фрукты"/>
    <s v="Груши"/>
    <n v="1420"/>
    <n v="37"/>
    <n v="52.54"/>
    <x v="4"/>
  </r>
  <r>
    <d v="2023-04-12T00:00:00"/>
    <x v="4"/>
    <s v="Минск"/>
    <s v="Ягоды"/>
    <s v="Голубика"/>
    <n v="3205"/>
    <n v="54"/>
    <n v="173.07"/>
    <x v="4"/>
  </r>
  <r>
    <d v="2023-04-12T00:00:00"/>
    <x v="0"/>
    <s v="Столбцы"/>
    <s v="Овощи"/>
    <s v="Кабачки"/>
    <n v="325"/>
    <n v="97"/>
    <n v="31.524999999999999"/>
    <x v="4"/>
  </r>
  <r>
    <d v="2023-04-12T00:00:00"/>
    <x v="0"/>
    <s v="Столбцы"/>
    <s v="Овощи"/>
    <s v="Картофель"/>
    <n v="690"/>
    <n v="98"/>
    <n v="67.62"/>
    <x v="4"/>
  </r>
  <r>
    <d v="2023-04-12T00:00:00"/>
    <x v="0"/>
    <s v="Столбцы"/>
    <s v="Овощи"/>
    <s v="Капуста"/>
    <n v="460"/>
    <n v="84"/>
    <n v="38.64"/>
    <x v="4"/>
  </r>
  <r>
    <d v="2023-04-12T00:00:00"/>
    <x v="1"/>
    <s v="Столбцы"/>
    <s v="Ягоды"/>
    <s v="Брусника"/>
    <n v="1670"/>
    <n v="47"/>
    <n v="78.489999999999995"/>
    <x v="4"/>
  </r>
  <r>
    <d v="2023-04-12T00:00:00"/>
    <x v="1"/>
    <s v="Фаниполь"/>
    <s v="Ягоды"/>
    <s v="Брусника"/>
    <n v="1670"/>
    <n v="20"/>
    <n v="33.4"/>
    <x v="4"/>
  </r>
  <r>
    <s v="12.04.2023 Итог"/>
    <x v="3"/>
    <m/>
    <m/>
    <m/>
    <m/>
    <m/>
    <n v="981.60500000000002"/>
    <x v="4"/>
  </r>
  <r>
    <d v="2023-04-13T00:00:00"/>
    <x v="4"/>
    <s v="Минск"/>
    <s v="Зелень"/>
    <s v="Салат римский"/>
    <n v="540"/>
    <n v="54"/>
    <n v="29.16"/>
    <x v="4"/>
  </r>
  <r>
    <d v="2023-04-13T00:00:00"/>
    <x v="2"/>
    <s v="Минск"/>
    <s v="Ягоды"/>
    <s v="Малина"/>
    <n v="2970"/>
    <n v="98"/>
    <n v="291.06"/>
    <x v="4"/>
  </r>
  <r>
    <d v="2023-04-13T00:00:00"/>
    <x v="4"/>
    <s v="Столбцы"/>
    <s v="Овощи"/>
    <s v="Картофель"/>
    <n v="690"/>
    <n v="11"/>
    <n v="7.59"/>
    <x v="4"/>
  </r>
  <r>
    <d v="2023-04-13T00:00:00"/>
    <x v="1"/>
    <s v="Столбцы"/>
    <s v="Овощи"/>
    <s v="Картофель"/>
    <n v="690"/>
    <n v="32"/>
    <n v="22.08"/>
    <x v="4"/>
  </r>
  <r>
    <d v="2023-04-13T00:00:00"/>
    <x v="0"/>
    <s v="Столбцы"/>
    <s v="Фрукты"/>
    <s v="Яблоки"/>
    <n v="1230"/>
    <n v="85"/>
    <n v="104.55"/>
    <x v="4"/>
  </r>
  <r>
    <d v="2023-04-13T00:00:00"/>
    <x v="0"/>
    <s v="Столбцы"/>
    <s v="Ягоды"/>
    <s v="Голубика"/>
    <n v="3205"/>
    <n v="63"/>
    <n v="201.91499999999999"/>
    <x v="4"/>
  </r>
  <r>
    <d v="2023-04-13T00:00:00"/>
    <x v="0"/>
    <s v="Фаниполь"/>
    <s v="Зелень"/>
    <s v="Петрушка"/>
    <n v="640"/>
    <n v="74"/>
    <n v="47.36"/>
    <x v="4"/>
  </r>
  <r>
    <d v="2023-04-13T00:00:00"/>
    <x v="2"/>
    <s v="Фаниполь"/>
    <s v="Овощи"/>
    <s v="Кабачки"/>
    <n v="325"/>
    <n v="82"/>
    <n v="26.65"/>
    <x v="4"/>
  </r>
  <r>
    <d v="2023-04-13T00:00:00"/>
    <x v="4"/>
    <s v="Фаниполь"/>
    <s v="Фрукты"/>
    <s v="Груши"/>
    <n v="1420"/>
    <n v="69"/>
    <n v="97.98"/>
    <x v="4"/>
  </r>
  <r>
    <s v="13.04.2023 Итог"/>
    <x v="3"/>
    <m/>
    <m/>
    <m/>
    <m/>
    <m/>
    <n v="828.34500000000003"/>
    <x v="4"/>
  </r>
  <r>
    <d v="2023-04-14T00:00:00"/>
    <x v="0"/>
    <s v="Барановичи"/>
    <s v="Зелень"/>
    <s v="Укроп"/>
    <n v="650"/>
    <n v="61"/>
    <n v="39.65"/>
    <x v="4"/>
  </r>
  <r>
    <d v="2023-04-14T00:00:00"/>
    <x v="1"/>
    <s v="Барановичи"/>
    <s v="Фрукты"/>
    <s v="Бананы"/>
    <n v="2400"/>
    <n v="72"/>
    <n v="172.8"/>
    <x v="4"/>
  </r>
  <r>
    <d v="2023-04-14T00:00:00"/>
    <x v="0"/>
    <s v="Барановичи"/>
    <s v="Фрукты"/>
    <s v="Абрикосы"/>
    <n v="1320"/>
    <n v="55"/>
    <n v="72.599999999999994"/>
    <x v="4"/>
  </r>
  <r>
    <d v="2023-04-14T00:00:00"/>
    <x v="2"/>
    <s v="Минск"/>
    <s v="Зелень"/>
    <s v="Петрушка"/>
    <n v="640"/>
    <n v="65"/>
    <n v="41.6"/>
    <x v="4"/>
  </r>
  <r>
    <d v="2023-04-14T00:00:00"/>
    <x v="2"/>
    <s v="Минск"/>
    <s v="Фрукты"/>
    <s v="Апельсины"/>
    <n v="2540"/>
    <n v="29"/>
    <n v="73.66"/>
    <x v="4"/>
  </r>
  <r>
    <d v="2023-04-14T00:00:00"/>
    <x v="1"/>
    <s v="Минск"/>
    <s v="Фрукты"/>
    <s v="Сливы"/>
    <n v="930"/>
    <n v="41"/>
    <n v="38.130000000000003"/>
    <x v="4"/>
  </r>
  <r>
    <d v="2023-04-14T00:00:00"/>
    <x v="0"/>
    <s v="Столбцы"/>
    <s v="Ягоды"/>
    <s v="Клубника"/>
    <n v="2460"/>
    <n v="45"/>
    <n v="110.7"/>
    <x v="4"/>
  </r>
  <r>
    <d v="2023-04-14T00:00:00"/>
    <x v="0"/>
    <s v="Фаниполь"/>
    <s v="Овощи"/>
    <s v="Капуста"/>
    <n v="460"/>
    <n v="96"/>
    <n v="44.16"/>
    <x v="4"/>
  </r>
  <r>
    <s v="14.04.2023 Итог"/>
    <x v="3"/>
    <m/>
    <m/>
    <m/>
    <m/>
    <m/>
    <n v="593.30000000000007"/>
    <x v="4"/>
  </r>
  <r>
    <d v="2023-04-15T00:00:00"/>
    <x v="1"/>
    <s v="Барановичи"/>
    <s v="Зелень"/>
    <s v="Лук зеленый"/>
    <n v="705"/>
    <n v="29"/>
    <n v="20.445"/>
    <x v="4"/>
  </r>
  <r>
    <d v="2023-04-15T00:00:00"/>
    <x v="2"/>
    <s v="Борисов"/>
    <s v="Зелень"/>
    <s v="Салат айсберг"/>
    <n v="1380"/>
    <n v="73"/>
    <n v="100.74"/>
    <x v="4"/>
  </r>
  <r>
    <d v="2023-04-15T00:00:00"/>
    <x v="1"/>
    <s v="Борисов"/>
    <s v="Зелень"/>
    <s v="Петрушка"/>
    <n v="640"/>
    <n v="34"/>
    <n v="21.76"/>
    <x v="4"/>
  </r>
  <r>
    <d v="2023-04-15T00:00:00"/>
    <x v="2"/>
    <s v="Борисов"/>
    <s v="Фрукты"/>
    <s v="Яблоки"/>
    <n v="1230"/>
    <n v="33"/>
    <n v="40.590000000000003"/>
    <x v="4"/>
  </r>
  <r>
    <d v="2023-04-15T00:00:00"/>
    <x v="2"/>
    <s v="Жодино"/>
    <s v="Фрукты"/>
    <s v="Сливы"/>
    <n v="930"/>
    <n v="42"/>
    <n v="39.06"/>
    <x v="4"/>
  </r>
  <r>
    <d v="2023-04-15T00:00:00"/>
    <x v="1"/>
    <s v="Столбцы"/>
    <s v="Ягоды"/>
    <s v="Клубника"/>
    <n v="2460"/>
    <n v="8"/>
    <n v="19.68"/>
    <x v="4"/>
  </r>
  <r>
    <d v="2023-04-15T00:00:00"/>
    <x v="1"/>
    <s v="Фаниполь"/>
    <s v="Зелень"/>
    <s v="Лук зеленый"/>
    <n v="705"/>
    <n v="100"/>
    <n v="70.5"/>
    <x v="4"/>
  </r>
  <r>
    <d v="2023-04-15T00:00:00"/>
    <x v="2"/>
    <s v="Фаниполь"/>
    <s v="Ягоды"/>
    <s v="Клубника"/>
    <n v="2460"/>
    <n v="60"/>
    <n v="147.6"/>
    <x v="4"/>
  </r>
  <r>
    <s v="15.04.2023 Итог"/>
    <x v="3"/>
    <m/>
    <m/>
    <m/>
    <m/>
    <m/>
    <n v="460.375"/>
    <x v="4"/>
  </r>
  <r>
    <d v="2023-04-16T00:00:00"/>
    <x v="1"/>
    <s v="Барановичи"/>
    <s v="Зелень"/>
    <s v="Салат римский"/>
    <n v="540"/>
    <n v="99"/>
    <n v="53.46"/>
    <x v="4"/>
  </r>
  <r>
    <d v="2023-04-16T00:00:00"/>
    <x v="2"/>
    <s v="Барановичи"/>
    <s v="Зелень"/>
    <s v="Петрушка"/>
    <n v="640"/>
    <n v="80"/>
    <n v="51.2"/>
    <x v="4"/>
  </r>
  <r>
    <d v="2023-04-16T00:00:00"/>
    <x v="1"/>
    <s v="Борисов"/>
    <s v="Ягоды"/>
    <s v="Черешня"/>
    <n v="1760"/>
    <n v="57"/>
    <n v="100.32"/>
    <x v="4"/>
  </r>
  <r>
    <d v="2023-04-16T00:00:00"/>
    <x v="0"/>
    <s v="Жодино"/>
    <s v="Ягоды"/>
    <s v="Смородина черная"/>
    <n v="1505"/>
    <n v="6"/>
    <n v="9.0299999999999994"/>
    <x v="4"/>
  </r>
  <r>
    <d v="2023-04-16T00:00:00"/>
    <x v="0"/>
    <s v="Минск"/>
    <s v="Зелень"/>
    <s v="Салат айсберг"/>
    <n v="1380"/>
    <n v="85"/>
    <n v="117.3"/>
    <x v="4"/>
  </r>
  <r>
    <d v="2023-04-16T00:00:00"/>
    <x v="0"/>
    <s v="Минск"/>
    <s v="Овощи"/>
    <s v="Баклажаны"/>
    <n v="890"/>
    <n v="33"/>
    <n v="29.37"/>
    <x v="4"/>
  </r>
  <r>
    <d v="2023-04-16T00:00:00"/>
    <x v="0"/>
    <s v="Фаниполь"/>
    <s v="Овощи"/>
    <s v="Морковь"/>
    <n v="715"/>
    <n v="45"/>
    <n v="32.174999999999997"/>
    <x v="4"/>
  </r>
  <r>
    <d v="2023-04-16T00:00:00"/>
    <x v="0"/>
    <s v="Фаниполь"/>
    <s v="Фрукты"/>
    <s v="Яблоки"/>
    <n v="1230"/>
    <n v="79"/>
    <n v="97.17"/>
    <x v="4"/>
  </r>
  <r>
    <d v="2023-04-16T00:00:00"/>
    <x v="4"/>
    <s v="Фаниполь"/>
    <s v="Фрукты"/>
    <s v="Сливы"/>
    <n v="930"/>
    <n v="67"/>
    <n v="62.31"/>
    <x v="4"/>
  </r>
  <r>
    <d v="2023-04-16T00:00:00"/>
    <x v="0"/>
    <s v="Фаниполь"/>
    <s v="Ягоды"/>
    <s v="Малина"/>
    <n v="2970"/>
    <n v="62"/>
    <n v="184.14"/>
    <x v="4"/>
  </r>
  <r>
    <s v="16.04.2023 Итог"/>
    <x v="3"/>
    <m/>
    <m/>
    <m/>
    <m/>
    <m/>
    <n v="736.47500000000002"/>
    <x v="4"/>
  </r>
  <r>
    <d v="2023-04-17T00:00:00"/>
    <x v="4"/>
    <s v="Жодино"/>
    <s v="Фрукты"/>
    <s v="Сливы"/>
    <n v="930"/>
    <n v="53"/>
    <n v="49.29"/>
    <x v="4"/>
  </r>
  <r>
    <d v="2023-04-17T00:00:00"/>
    <x v="4"/>
    <s v="Минск"/>
    <s v="Зелень"/>
    <s v="Салат римский"/>
    <n v="540"/>
    <n v="10"/>
    <n v="5.4"/>
    <x v="4"/>
  </r>
  <r>
    <d v="2023-04-17T00:00:00"/>
    <x v="2"/>
    <s v="Столбцы"/>
    <s v="Зелень"/>
    <s v="Салат айсберг"/>
    <n v="1380"/>
    <n v="92"/>
    <n v="126.96"/>
    <x v="4"/>
  </r>
  <r>
    <d v="2023-04-17T00:00:00"/>
    <x v="2"/>
    <s v="Столбцы"/>
    <s v="Ягоды"/>
    <s v="Брусника"/>
    <n v="1670"/>
    <n v="71"/>
    <n v="118.57"/>
    <x v="4"/>
  </r>
  <r>
    <d v="2023-04-17T00:00:00"/>
    <x v="2"/>
    <s v="Фаниполь"/>
    <s v="Овощи"/>
    <s v="Картофель"/>
    <n v="690"/>
    <n v="30"/>
    <n v="20.7"/>
    <x v="4"/>
  </r>
  <r>
    <s v="17.04.2023 Итог"/>
    <x v="3"/>
    <m/>
    <m/>
    <m/>
    <m/>
    <m/>
    <n v="320.91999999999996"/>
    <x v="4"/>
  </r>
  <r>
    <d v="2023-04-18T00:00:00"/>
    <x v="4"/>
    <s v="Барановичи"/>
    <s v="Зелень"/>
    <s v="Салат римский"/>
    <n v="540"/>
    <n v="8"/>
    <n v="4.32"/>
    <x v="4"/>
  </r>
  <r>
    <d v="2023-04-18T00:00:00"/>
    <x v="2"/>
    <s v="Барановичи"/>
    <s v="Зелень"/>
    <s v="Кинза"/>
    <n v="650"/>
    <n v="23"/>
    <n v="14.95"/>
    <x v="4"/>
  </r>
  <r>
    <d v="2023-04-18T00:00:00"/>
    <x v="1"/>
    <s v="Барановичи"/>
    <s v="Ягоды"/>
    <s v="Брусника"/>
    <n v="1670"/>
    <n v="98"/>
    <n v="163.66"/>
    <x v="4"/>
  </r>
  <r>
    <d v="2023-04-18T00:00:00"/>
    <x v="4"/>
    <s v="Борисов"/>
    <s v="Зелень"/>
    <s v="Лук зеленый"/>
    <n v="705"/>
    <n v="46"/>
    <n v="32.43"/>
    <x v="4"/>
  </r>
  <r>
    <d v="2023-04-18T00:00:00"/>
    <x v="4"/>
    <s v="Жодино"/>
    <s v="Овощи"/>
    <s v="Капуста"/>
    <n v="460"/>
    <n v="87"/>
    <n v="40.020000000000003"/>
    <x v="4"/>
  </r>
  <r>
    <d v="2023-04-18T00:00:00"/>
    <x v="4"/>
    <s v="Жодино"/>
    <s v="Фрукты"/>
    <s v="Сливы"/>
    <n v="930"/>
    <n v="20"/>
    <n v="18.600000000000001"/>
    <x v="4"/>
  </r>
  <r>
    <d v="2023-04-18T00:00:00"/>
    <x v="4"/>
    <s v="Минск"/>
    <s v="Овощи"/>
    <s v="Картофель"/>
    <n v="690"/>
    <n v="55"/>
    <n v="37.950000000000003"/>
    <x v="4"/>
  </r>
  <r>
    <d v="2023-04-18T00:00:00"/>
    <x v="4"/>
    <s v="Минск"/>
    <s v="Фрукты"/>
    <s v="Абрикосы"/>
    <n v="1320"/>
    <n v="61"/>
    <n v="80.52"/>
    <x v="4"/>
  </r>
  <r>
    <d v="2023-04-18T00:00:00"/>
    <x v="0"/>
    <s v="Минск"/>
    <s v="Фрукты"/>
    <s v="Сливы"/>
    <n v="930"/>
    <n v="45"/>
    <n v="41.85"/>
    <x v="4"/>
  </r>
  <r>
    <d v="2023-04-18T00:00:00"/>
    <x v="2"/>
    <s v="Фаниполь"/>
    <s v="Овощи"/>
    <s v="Баклажаны"/>
    <n v="890"/>
    <n v="80"/>
    <n v="71.2"/>
    <x v="4"/>
  </r>
  <r>
    <s v="18.04.2023 Итог"/>
    <x v="3"/>
    <m/>
    <m/>
    <m/>
    <m/>
    <m/>
    <n v="505.5"/>
    <x v="4"/>
  </r>
  <r>
    <d v="2023-04-19T00:00:00"/>
    <x v="4"/>
    <s v="Барановичи"/>
    <s v="Зелень"/>
    <s v="Кинза"/>
    <n v="650"/>
    <n v="75"/>
    <n v="48.75"/>
    <x v="4"/>
  </r>
  <r>
    <d v="2023-04-19T00:00:00"/>
    <x v="0"/>
    <s v="Барановичи"/>
    <s v="Фрукты"/>
    <s v="Бананы"/>
    <n v="2400"/>
    <n v="74"/>
    <n v="177.6"/>
    <x v="4"/>
  </r>
  <r>
    <d v="2023-04-19T00:00:00"/>
    <x v="0"/>
    <s v="Борисов"/>
    <s v="Фрукты"/>
    <s v="Груши"/>
    <n v="1420"/>
    <n v="81"/>
    <n v="115.02"/>
    <x v="4"/>
  </r>
  <r>
    <d v="2023-04-19T00:00:00"/>
    <x v="0"/>
    <s v="Жодино"/>
    <s v="Зелень"/>
    <s v="Петрушка"/>
    <n v="640"/>
    <n v="46"/>
    <n v="29.44"/>
    <x v="4"/>
  </r>
  <r>
    <d v="2023-04-19T00:00:00"/>
    <x v="1"/>
    <s v="Жодино"/>
    <s v="Овощи"/>
    <s v="Морковь"/>
    <n v="715"/>
    <n v="92"/>
    <n v="65.78"/>
    <x v="4"/>
  </r>
  <r>
    <d v="2023-04-19T00:00:00"/>
    <x v="0"/>
    <s v="Жодино"/>
    <s v="Фрукты"/>
    <s v="Абрикосы"/>
    <n v="1320"/>
    <n v="49"/>
    <n v="64.680000000000007"/>
    <x v="4"/>
  </r>
  <r>
    <d v="2023-04-19T00:00:00"/>
    <x v="1"/>
    <s v="Жодино"/>
    <s v="Ягоды"/>
    <s v="Клубника"/>
    <n v="2460"/>
    <n v="36"/>
    <n v="88.56"/>
    <x v="4"/>
  </r>
  <r>
    <d v="2023-04-19T00:00:00"/>
    <x v="2"/>
    <s v="Минск"/>
    <s v="Зелень"/>
    <s v="Кинза"/>
    <n v="650"/>
    <n v="96"/>
    <n v="62.4"/>
    <x v="4"/>
  </r>
  <r>
    <d v="2023-04-19T00:00:00"/>
    <x v="0"/>
    <s v="Минск"/>
    <s v="Фрукты"/>
    <s v="Груши"/>
    <n v="1420"/>
    <n v="80"/>
    <n v="113.6"/>
    <x v="4"/>
  </r>
  <r>
    <d v="2023-04-19T00:00:00"/>
    <x v="2"/>
    <s v="Столбцы"/>
    <s v="Овощи"/>
    <s v="Морковь"/>
    <n v="715"/>
    <n v="23"/>
    <n v="16.445"/>
    <x v="4"/>
  </r>
  <r>
    <s v="19.04.2023 Итог"/>
    <x v="3"/>
    <m/>
    <m/>
    <m/>
    <m/>
    <m/>
    <n v="782.27500000000009"/>
    <x v="4"/>
  </r>
  <r>
    <d v="2023-04-20T00:00:00"/>
    <x v="1"/>
    <s v="Барановичи"/>
    <s v="Фрукты"/>
    <s v="Апельсины"/>
    <n v="2540"/>
    <n v="24"/>
    <n v="60.96"/>
    <x v="4"/>
  </r>
  <r>
    <d v="2023-04-20T00:00:00"/>
    <x v="1"/>
    <s v="Барановичи"/>
    <s v="Ягоды"/>
    <s v="Малина"/>
    <n v="2970"/>
    <n v="37"/>
    <n v="109.89"/>
    <x v="4"/>
  </r>
  <r>
    <d v="2023-04-20T00:00:00"/>
    <x v="1"/>
    <s v="Борисов"/>
    <s v="Зелень"/>
    <s v="Салат айсберг"/>
    <n v="1380"/>
    <n v="5"/>
    <n v="6.9"/>
    <x v="4"/>
  </r>
  <r>
    <d v="2023-04-20T00:00:00"/>
    <x v="4"/>
    <s v="Борисов"/>
    <s v="Зелень"/>
    <s v="Кинза"/>
    <n v="650"/>
    <n v="39"/>
    <n v="25.35"/>
    <x v="4"/>
  </r>
  <r>
    <d v="2023-04-20T00:00:00"/>
    <x v="4"/>
    <s v="Борисов"/>
    <s v="Фрукты"/>
    <s v="Яблоки"/>
    <n v="1230"/>
    <n v="82"/>
    <n v="100.86"/>
    <x v="4"/>
  </r>
  <r>
    <d v="2023-04-20T00:00:00"/>
    <x v="4"/>
    <s v="Жодино"/>
    <s v="Фрукты"/>
    <s v="Апельсины"/>
    <n v="2540"/>
    <n v="68"/>
    <n v="172.72"/>
    <x v="4"/>
  </r>
  <r>
    <d v="2023-04-20T00:00:00"/>
    <x v="0"/>
    <s v="Столбцы"/>
    <s v="Зелень"/>
    <s v="Кинза"/>
    <n v="650"/>
    <n v="98"/>
    <n v="63.7"/>
    <x v="4"/>
  </r>
  <r>
    <d v="2023-04-20T00:00:00"/>
    <x v="1"/>
    <s v="Столбцы"/>
    <s v="Овощи"/>
    <s v="Картофель"/>
    <n v="690"/>
    <n v="99"/>
    <n v="68.31"/>
    <x v="4"/>
  </r>
  <r>
    <d v="2023-04-20T00:00:00"/>
    <x v="1"/>
    <s v="Столбцы"/>
    <s v="Овощи"/>
    <s v="Картофель"/>
    <n v="690"/>
    <n v="68"/>
    <n v="46.92"/>
    <x v="4"/>
  </r>
  <r>
    <d v="2023-04-20T00:00:00"/>
    <x v="0"/>
    <s v="Столбцы"/>
    <s v="Ягоды"/>
    <s v="Малина"/>
    <n v="2970"/>
    <n v="78"/>
    <n v="231.66"/>
    <x v="4"/>
  </r>
  <r>
    <s v="20.04.2023 Итог"/>
    <x v="3"/>
    <m/>
    <m/>
    <m/>
    <m/>
    <m/>
    <n v="887.27"/>
    <x v="4"/>
  </r>
  <r>
    <d v="2023-04-21T00:00:00"/>
    <x v="1"/>
    <s v="Барановичи"/>
    <s v="Фрукты"/>
    <s v="Абрикосы"/>
    <n v="1320"/>
    <n v="17"/>
    <n v="22.44"/>
    <x v="4"/>
  </r>
  <r>
    <d v="2023-04-21T00:00:00"/>
    <x v="2"/>
    <s v="Барановичи"/>
    <s v="Ягоды"/>
    <s v="Брусника"/>
    <n v="1670"/>
    <n v="11"/>
    <n v="18.37"/>
    <x v="4"/>
  </r>
  <r>
    <d v="2023-04-21T00:00:00"/>
    <x v="2"/>
    <s v="Барановичи"/>
    <s v="Ягоды"/>
    <s v="Голубика"/>
    <n v="3205"/>
    <n v="25"/>
    <n v="80.125"/>
    <x v="4"/>
  </r>
  <r>
    <d v="2023-04-21T00:00:00"/>
    <x v="4"/>
    <s v="Борисов"/>
    <s v="Овощи"/>
    <s v="Свекла"/>
    <n v="450"/>
    <n v="96"/>
    <n v="43.2"/>
    <x v="4"/>
  </r>
  <r>
    <d v="2023-04-21T00:00:00"/>
    <x v="2"/>
    <s v="Борисов"/>
    <s v="Овощи"/>
    <s v="Кабачки"/>
    <n v="325"/>
    <n v="46"/>
    <n v="14.95"/>
    <x v="4"/>
  </r>
  <r>
    <d v="2023-04-21T00:00:00"/>
    <x v="1"/>
    <s v="Жодино"/>
    <s v="Зелень"/>
    <s v="Петрушка"/>
    <n v="640"/>
    <n v="28"/>
    <n v="17.920000000000002"/>
    <x v="4"/>
  </r>
  <r>
    <d v="2023-04-21T00:00:00"/>
    <x v="2"/>
    <s v="Минск"/>
    <s v="Зелень"/>
    <s v="Кинза"/>
    <n v="650"/>
    <n v="73"/>
    <n v="47.45"/>
    <x v="4"/>
  </r>
  <r>
    <d v="2023-04-21T00:00:00"/>
    <x v="2"/>
    <s v="Минск"/>
    <s v="Овощи"/>
    <s v="Капуста"/>
    <n v="460"/>
    <n v="91"/>
    <n v="41.86"/>
    <x v="4"/>
  </r>
  <r>
    <d v="2023-04-21T00:00:00"/>
    <x v="1"/>
    <s v="Столбцы"/>
    <s v="Овощи"/>
    <s v="Морковь"/>
    <n v="715"/>
    <n v="7"/>
    <n v="5.0049999999999999"/>
    <x v="4"/>
  </r>
  <r>
    <d v="2023-04-21T00:00:00"/>
    <x v="2"/>
    <s v="Столбцы"/>
    <s v="Овощи"/>
    <s v="Капуста"/>
    <n v="460"/>
    <n v="59"/>
    <n v="27.14"/>
    <x v="4"/>
  </r>
  <r>
    <d v="2023-04-21T00:00:00"/>
    <x v="2"/>
    <s v="Фаниполь"/>
    <s v="Овощи"/>
    <s v="Морковь"/>
    <n v="715"/>
    <n v="45"/>
    <n v="32.174999999999997"/>
    <x v="4"/>
  </r>
  <r>
    <s v="21.04.2023 Итог"/>
    <x v="3"/>
    <m/>
    <m/>
    <m/>
    <m/>
    <m/>
    <n v="350.63499999999999"/>
    <x v="4"/>
  </r>
  <r>
    <d v="2023-04-22T00:00:00"/>
    <x v="2"/>
    <s v="Барановичи"/>
    <s v="Зелень"/>
    <s v="Лук зеленый"/>
    <n v="705"/>
    <n v="17"/>
    <n v="11.984999999999999"/>
    <x v="4"/>
  </r>
  <r>
    <d v="2023-04-22T00:00:00"/>
    <x v="0"/>
    <s v="Борисов"/>
    <s v="Овощи"/>
    <s v="Морковь"/>
    <n v="715"/>
    <n v="82"/>
    <n v="58.63"/>
    <x v="4"/>
  </r>
  <r>
    <d v="2023-04-22T00:00:00"/>
    <x v="2"/>
    <s v="Борисов"/>
    <s v="Ягоды"/>
    <s v="Черешня"/>
    <n v="1760"/>
    <n v="37"/>
    <n v="65.12"/>
    <x v="4"/>
  </r>
  <r>
    <d v="2023-04-22T00:00:00"/>
    <x v="4"/>
    <s v="Борисов"/>
    <s v="Ягоды"/>
    <s v="Малина"/>
    <n v="2970"/>
    <n v="19"/>
    <n v="56.43"/>
    <x v="4"/>
  </r>
  <r>
    <d v="2023-04-22T00:00:00"/>
    <x v="2"/>
    <s v="Жодино"/>
    <s v="Фрукты"/>
    <s v="Груши"/>
    <n v="1420"/>
    <n v="64"/>
    <n v="90.88"/>
    <x v="4"/>
  </r>
  <r>
    <d v="2023-04-22T00:00:00"/>
    <x v="0"/>
    <s v="Жодино"/>
    <s v="Ягоды"/>
    <s v="Малина"/>
    <n v="2970"/>
    <n v="51"/>
    <n v="151.47"/>
    <x v="4"/>
  </r>
  <r>
    <d v="2023-04-22T00:00:00"/>
    <x v="2"/>
    <s v="Жодино"/>
    <s v="Ягоды"/>
    <s v="Смородина черная"/>
    <n v="1505"/>
    <n v="17"/>
    <n v="25.585000000000001"/>
    <x v="4"/>
  </r>
  <r>
    <d v="2023-04-22T00:00:00"/>
    <x v="2"/>
    <s v="Жодино"/>
    <s v="Ягоды"/>
    <s v="Клубника"/>
    <n v="2460"/>
    <n v="77"/>
    <n v="189.42"/>
    <x v="4"/>
  </r>
  <r>
    <d v="2023-04-22T00:00:00"/>
    <x v="1"/>
    <s v="Минск"/>
    <s v="Овощи"/>
    <s v="Свекла"/>
    <n v="450"/>
    <n v="9"/>
    <n v="4.05"/>
    <x v="4"/>
  </r>
  <r>
    <d v="2023-04-22T00:00:00"/>
    <x v="0"/>
    <s v="Минск"/>
    <s v="Фрукты"/>
    <s v="Бананы"/>
    <n v="2400"/>
    <n v="75"/>
    <n v="180"/>
    <x v="4"/>
  </r>
  <r>
    <d v="2023-04-22T00:00:00"/>
    <x v="2"/>
    <s v="Столбцы"/>
    <s v="Овощи"/>
    <s v="Свекла"/>
    <n v="450"/>
    <n v="93"/>
    <n v="41.85"/>
    <x v="4"/>
  </r>
  <r>
    <d v="2023-04-22T00:00:00"/>
    <x v="2"/>
    <s v="Столбцы"/>
    <s v="Фрукты"/>
    <s v="Груши"/>
    <n v="1420"/>
    <n v="29"/>
    <n v="41.18"/>
    <x v="4"/>
  </r>
  <r>
    <s v="22.04.2023 Итог"/>
    <x v="3"/>
    <m/>
    <m/>
    <m/>
    <m/>
    <m/>
    <n v="916.59999999999991"/>
    <x v="4"/>
  </r>
  <r>
    <d v="2023-04-23T00:00:00"/>
    <x v="4"/>
    <s v="Барановичи"/>
    <s v="Овощи"/>
    <s v="Кабачки"/>
    <n v="325"/>
    <n v="84"/>
    <n v="27.3"/>
    <x v="4"/>
  </r>
  <r>
    <d v="2023-04-23T00:00:00"/>
    <x v="2"/>
    <s v="Борисов"/>
    <s v="Овощи"/>
    <s v="Картофель"/>
    <n v="690"/>
    <n v="43"/>
    <n v="29.67"/>
    <x v="4"/>
  </r>
  <r>
    <d v="2023-04-23T00:00:00"/>
    <x v="4"/>
    <s v="Борисов"/>
    <s v="Ягоды"/>
    <s v="Черешня"/>
    <n v="1760"/>
    <n v="82"/>
    <n v="144.32"/>
    <x v="4"/>
  </r>
  <r>
    <d v="2023-04-23T00:00:00"/>
    <x v="1"/>
    <s v="Жодино"/>
    <s v="Зелень"/>
    <s v="Укроп"/>
    <n v="650"/>
    <n v="44"/>
    <n v="28.6"/>
    <x v="4"/>
  </r>
  <r>
    <d v="2023-04-23T00:00:00"/>
    <x v="4"/>
    <s v="Жодино"/>
    <s v="Ягоды"/>
    <s v="Голубика"/>
    <n v="3205"/>
    <n v="32"/>
    <n v="102.56"/>
    <x v="4"/>
  </r>
  <r>
    <d v="2023-04-23T00:00:00"/>
    <x v="0"/>
    <s v="Жодино"/>
    <s v="Ягоды"/>
    <s v="Смородина черная"/>
    <n v="1505"/>
    <n v="63"/>
    <n v="94.814999999999998"/>
    <x v="4"/>
  </r>
  <r>
    <d v="2023-04-23T00:00:00"/>
    <x v="2"/>
    <s v="Минск"/>
    <s v="Фрукты"/>
    <s v="Груши"/>
    <n v="1420"/>
    <n v="98"/>
    <n v="139.16"/>
    <x v="4"/>
  </r>
  <r>
    <d v="2023-04-23T00:00:00"/>
    <x v="4"/>
    <s v="Минск"/>
    <s v="Ягоды"/>
    <s v="Смородина черная"/>
    <n v="1505"/>
    <n v="9"/>
    <n v="13.545"/>
    <x v="4"/>
  </r>
  <r>
    <d v="2023-04-23T00:00:00"/>
    <x v="1"/>
    <s v="Столбцы"/>
    <s v="Овощи"/>
    <s v="Кабачки"/>
    <n v="325"/>
    <n v="30"/>
    <n v="9.75"/>
    <x v="4"/>
  </r>
  <r>
    <d v="2023-04-23T00:00:00"/>
    <x v="2"/>
    <s v="Фаниполь"/>
    <s v="Ягоды"/>
    <s v="Клубника"/>
    <n v="2460"/>
    <n v="78"/>
    <n v="191.88"/>
    <x v="4"/>
  </r>
  <r>
    <s v="23.04.2023 Итог"/>
    <x v="3"/>
    <m/>
    <m/>
    <m/>
    <m/>
    <m/>
    <n v="781.59999999999991"/>
    <x v="4"/>
  </r>
  <r>
    <d v="2023-04-24T00:00:00"/>
    <x v="1"/>
    <s v="Барановичи"/>
    <s v="Зелень"/>
    <s v="Петрушка"/>
    <n v="640"/>
    <n v="79"/>
    <n v="50.56"/>
    <x v="4"/>
  </r>
  <r>
    <d v="2023-04-24T00:00:00"/>
    <x v="1"/>
    <s v="Барановичи"/>
    <s v="Овощи"/>
    <s v="Баклажаны"/>
    <n v="890"/>
    <n v="100"/>
    <n v="89"/>
    <x v="4"/>
  </r>
  <r>
    <d v="2023-04-24T00:00:00"/>
    <x v="4"/>
    <s v="Борисов"/>
    <s v="Ягоды"/>
    <s v="Голубика"/>
    <n v="3205"/>
    <n v="48"/>
    <n v="153.84"/>
    <x v="4"/>
  </r>
  <r>
    <d v="2023-04-24T00:00:00"/>
    <x v="0"/>
    <s v="Жодино"/>
    <s v="Зелень"/>
    <s v="Салат айсберг"/>
    <n v="1380"/>
    <n v="19"/>
    <n v="26.22"/>
    <x v="4"/>
  </r>
  <r>
    <d v="2023-04-24T00:00:00"/>
    <x v="4"/>
    <s v="Жодино"/>
    <s v="Ягоды"/>
    <s v="Брусника"/>
    <n v="1670"/>
    <n v="72"/>
    <n v="120.24"/>
    <x v="4"/>
  </r>
  <r>
    <d v="2023-04-24T00:00:00"/>
    <x v="4"/>
    <s v="Жодино"/>
    <s v="Ягоды"/>
    <s v="Брусника"/>
    <n v="1670"/>
    <n v="56"/>
    <n v="93.52"/>
    <x v="4"/>
  </r>
  <r>
    <d v="2023-04-24T00:00:00"/>
    <x v="0"/>
    <s v="Минск"/>
    <s v="Фрукты"/>
    <s v="Груши"/>
    <n v="1420"/>
    <n v="70"/>
    <n v="99.4"/>
    <x v="4"/>
  </r>
  <r>
    <d v="2023-04-24T00:00:00"/>
    <x v="4"/>
    <s v="Минск"/>
    <s v="Ягоды"/>
    <s v="Клубника"/>
    <n v="2460"/>
    <n v="44"/>
    <n v="108.24"/>
    <x v="4"/>
  </r>
  <r>
    <d v="2023-04-24T00:00:00"/>
    <x v="0"/>
    <s v="Минск"/>
    <s v="Ягоды"/>
    <s v="Малина"/>
    <n v="2970"/>
    <n v="17"/>
    <n v="50.49"/>
    <x v="4"/>
  </r>
  <r>
    <d v="2023-04-24T00:00:00"/>
    <x v="4"/>
    <s v="Столбцы"/>
    <s v="Овощи"/>
    <s v="Свекла"/>
    <n v="450"/>
    <n v="10"/>
    <n v="4.5"/>
    <x v="4"/>
  </r>
  <r>
    <d v="2023-04-24T00:00:00"/>
    <x v="2"/>
    <s v="Фаниполь"/>
    <s v="Зелень"/>
    <s v="Салат римский"/>
    <n v="540"/>
    <n v="76"/>
    <n v="41.04"/>
    <x v="4"/>
  </r>
  <r>
    <s v="24.04.2023 Итог"/>
    <x v="3"/>
    <m/>
    <m/>
    <m/>
    <m/>
    <m/>
    <n v="837.05"/>
    <x v="4"/>
  </r>
  <r>
    <d v="2023-04-25T00:00:00"/>
    <x v="2"/>
    <s v="Барановичи"/>
    <s v="Овощи"/>
    <s v="Баклажаны"/>
    <n v="890"/>
    <n v="73"/>
    <n v="64.97"/>
    <x v="4"/>
  </r>
  <r>
    <d v="2023-04-25T00:00:00"/>
    <x v="2"/>
    <s v="Борисов"/>
    <s v="Зелень"/>
    <s v="Петрушка"/>
    <n v="640"/>
    <n v="68"/>
    <n v="43.52"/>
    <x v="4"/>
  </r>
  <r>
    <d v="2023-04-25T00:00:00"/>
    <x v="1"/>
    <s v="Борисов"/>
    <s v="Фрукты"/>
    <s v="Яблоки"/>
    <n v="1230"/>
    <n v="20"/>
    <n v="24.6"/>
    <x v="4"/>
  </r>
  <r>
    <d v="2023-04-25T00:00:00"/>
    <x v="1"/>
    <s v="Борисов"/>
    <s v="Ягоды"/>
    <s v="Черешня"/>
    <n v="1760"/>
    <n v="53"/>
    <n v="93.28"/>
    <x v="4"/>
  </r>
  <r>
    <d v="2023-04-25T00:00:00"/>
    <x v="0"/>
    <s v="Жодино"/>
    <s v="Овощи"/>
    <s v="Баклажаны"/>
    <n v="890"/>
    <n v="68"/>
    <n v="60.52"/>
    <x v="4"/>
  </r>
  <r>
    <d v="2023-04-25T00:00:00"/>
    <x v="1"/>
    <s v="Минск"/>
    <s v="Ягоды"/>
    <s v="Голубика"/>
    <n v="3205"/>
    <n v="24"/>
    <n v="76.92"/>
    <x v="4"/>
  </r>
  <r>
    <d v="2023-04-25T00:00:00"/>
    <x v="1"/>
    <s v="Столбцы"/>
    <s v="Овощи"/>
    <s v="Капуста"/>
    <n v="460"/>
    <n v="73"/>
    <n v="33.58"/>
    <x v="4"/>
  </r>
  <r>
    <d v="2023-04-25T00:00:00"/>
    <x v="0"/>
    <s v="Столбцы"/>
    <s v="Фрукты"/>
    <s v="Груши"/>
    <n v="1420"/>
    <n v="12"/>
    <n v="17.04"/>
    <x v="4"/>
  </r>
  <r>
    <d v="2023-04-25T00:00:00"/>
    <x v="1"/>
    <s v="Столбцы"/>
    <s v="Ягоды"/>
    <s v="Клубника"/>
    <n v="2460"/>
    <n v="92"/>
    <n v="226.32"/>
    <x v="4"/>
  </r>
  <r>
    <d v="2023-04-25T00:00:00"/>
    <x v="1"/>
    <s v="Фаниполь"/>
    <s v="Ягоды"/>
    <s v="Клубника"/>
    <n v="2460"/>
    <n v="14"/>
    <n v="34.44"/>
    <x v="4"/>
  </r>
  <r>
    <s v="25.04.2023 Итог"/>
    <x v="3"/>
    <m/>
    <m/>
    <m/>
    <m/>
    <m/>
    <n v="675.19"/>
    <x v="4"/>
  </r>
  <r>
    <d v="2023-04-26T00:00:00"/>
    <x v="4"/>
    <s v="Борисов"/>
    <s v="Ягоды"/>
    <s v="Смородина черная"/>
    <n v="1505"/>
    <n v="43"/>
    <n v="64.715000000000003"/>
    <x v="4"/>
  </r>
  <r>
    <d v="2023-04-26T00:00:00"/>
    <x v="4"/>
    <s v="Жодино"/>
    <s v="Ягоды"/>
    <s v="Голубика"/>
    <n v="3205"/>
    <n v="44"/>
    <n v="141.02000000000001"/>
    <x v="4"/>
  </r>
  <r>
    <d v="2023-04-26T00:00:00"/>
    <x v="0"/>
    <s v="Жодино"/>
    <s v="Ягоды"/>
    <s v="Малина"/>
    <n v="2970"/>
    <n v="49"/>
    <n v="145.53"/>
    <x v="4"/>
  </r>
  <r>
    <d v="2023-04-26T00:00:00"/>
    <x v="0"/>
    <s v="Столбцы"/>
    <s v="Зелень"/>
    <s v="Укроп"/>
    <n v="650"/>
    <n v="32"/>
    <n v="20.8"/>
    <x v="4"/>
  </r>
  <r>
    <d v="2023-04-26T00:00:00"/>
    <x v="0"/>
    <s v="Фаниполь"/>
    <s v="Фрукты"/>
    <s v="Апельсины"/>
    <n v="2540"/>
    <n v="60"/>
    <n v="152.4"/>
    <x v="4"/>
  </r>
  <r>
    <d v="2023-04-26T00:00:00"/>
    <x v="2"/>
    <s v="Фаниполь"/>
    <s v="Фрукты"/>
    <s v="Бананы"/>
    <n v="2400"/>
    <n v="16"/>
    <n v="38.4"/>
    <x v="4"/>
  </r>
  <r>
    <d v="2023-04-26T00:00:00"/>
    <x v="2"/>
    <s v="Фаниполь"/>
    <s v="Фрукты"/>
    <s v="Сливы"/>
    <n v="930"/>
    <n v="95"/>
    <n v="88.35"/>
    <x v="4"/>
  </r>
  <r>
    <s v="26.04.2023 Итог"/>
    <x v="3"/>
    <m/>
    <m/>
    <m/>
    <m/>
    <m/>
    <n v="651.21500000000003"/>
    <x v="4"/>
  </r>
  <r>
    <d v="2023-04-27T00:00:00"/>
    <x v="1"/>
    <s v="Жодино"/>
    <s v="Ягоды"/>
    <s v="Брусника"/>
    <n v="1670"/>
    <n v="8"/>
    <n v="13.36"/>
    <x v="4"/>
  </r>
  <r>
    <d v="2023-04-27T00:00:00"/>
    <x v="4"/>
    <s v="Жодино"/>
    <s v="Ягоды"/>
    <s v="Смородина черная"/>
    <n v="1505"/>
    <n v="48"/>
    <n v="72.239999999999995"/>
    <x v="4"/>
  </r>
  <r>
    <d v="2023-04-27T00:00:00"/>
    <x v="0"/>
    <s v="Минск"/>
    <s v="Овощи"/>
    <s v="Кабачки"/>
    <n v="325"/>
    <n v="59"/>
    <n v="19.175000000000001"/>
    <x v="4"/>
  </r>
  <r>
    <d v="2023-04-27T00:00:00"/>
    <x v="2"/>
    <s v="Столбцы"/>
    <s v="Зелень"/>
    <s v="Кинза"/>
    <n v="650"/>
    <n v="44"/>
    <n v="28.6"/>
    <x v="4"/>
  </r>
  <r>
    <d v="2023-04-27T00:00:00"/>
    <x v="1"/>
    <s v="Фаниполь"/>
    <s v="Зелень"/>
    <s v="Салат айсберг"/>
    <n v="1380"/>
    <n v="92"/>
    <n v="126.96"/>
    <x v="4"/>
  </r>
  <r>
    <d v="2023-04-27T00:00:00"/>
    <x v="1"/>
    <s v="Фаниполь"/>
    <s v="Фрукты"/>
    <s v="Сливы"/>
    <n v="930"/>
    <n v="65"/>
    <n v="60.45"/>
    <x v="4"/>
  </r>
  <r>
    <d v="2023-04-27T00:00:00"/>
    <x v="1"/>
    <s v="Фаниполь"/>
    <s v="Ягоды"/>
    <s v="Малина"/>
    <n v="2970"/>
    <n v="38"/>
    <n v="112.86"/>
    <x v="4"/>
  </r>
  <r>
    <s v="27.04.2023 Итог"/>
    <x v="3"/>
    <m/>
    <m/>
    <m/>
    <m/>
    <m/>
    <n v="433.64499999999998"/>
    <x v="4"/>
  </r>
  <r>
    <d v="2023-04-28T00:00:00"/>
    <x v="2"/>
    <s v="Барановичи"/>
    <s v="Овощи"/>
    <s v="Баклажаны"/>
    <n v="890"/>
    <n v="40"/>
    <n v="35.6"/>
    <x v="4"/>
  </r>
  <r>
    <d v="2023-04-28T00:00:00"/>
    <x v="4"/>
    <s v="Барановичи"/>
    <s v="Ягоды"/>
    <s v="Малина"/>
    <n v="2970"/>
    <n v="11"/>
    <n v="32.67"/>
    <x v="4"/>
  </r>
  <r>
    <s v="28.04.2023 Итог"/>
    <x v="3"/>
    <m/>
    <m/>
    <m/>
    <m/>
    <m/>
    <n v="68.27000000000001"/>
    <x v="4"/>
  </r>
  <r>
    <d v="2023-04-29T00:00:00"/>
    <x v="4"/>
    <s v="Барановичи"/>
    <s v="Зелень"/>
    <s v="Укроп"/>
    <n v="650"/>
    <n v="23"/>
    <n v="14.95"/>
    <x v="4"/>
  </r>
  <r>
    <d v="2023-04-29T00:00:00"/>
    <x v="2"/>
    <s v="Борисов"/>
    <s v="Зелень"/>
    <s v="Петрушка"/>
    <n v="640"/>
    <n v="57"/>
    <n v="36.479999999999997"/>
    <x v="4"/>
  </r>
  <r>
    <d v="2023-04-29T00:00:00"/>
    <x v="1"/>
    <s v="Борисов"/>
    <s v="Зелень"/>
    <s v="Петрушка"/>
    <n v="640"/>
    <n v="89"/>
    <n v="56.96"/>
    <x v="4"/>
  </r>
  <r>
    <d v="2023-04-29T00:00:00"/>
    <x v="0"/>
    <s v="Борисов"/>
    <s v="Овощи"/>
    <s v="Капуста"/>
    <n v="460"/>
    <n v="6"/>
    <n v="2.76"/>
    <x v="4"/>
  </r>
  <r>
    <d v="2023-04-29T00:00:00"/>
    <x v="4"/>
    <s v="Борисов"/>
    <s v="Фрукты"/>
    <s v="Яблоки"/>
    <n v="1230"/>
    <n v="45"/>
    <n v="55.35"/>
    <x v="4"/>
  </r>
  <r>
    <d v="2023-04-29T00:00:00"/>
    <x v="0"/>
    <s v="Борисов"/>
    <s v="Ягоды"/>
    <s v="Малина"/>
    <n v="2970"/>
    <n v="96"/>
    <n v="285.12"/>
    <x v="4"/>
  </r>
  <r>
    <d v="2023-04-29T00:00:00"/>
    <x v="0"/>
    <s v="Жодино"/>
    <s v="Фрукты"/>
    <s v="Апельсины"/>
    <n v="2540"/>
    <n v="42"/>
    <n v="106.68"/>
    <x v="4"/>
  </r>
  <r>
    <d v="2023-04-29T00:00:00"/>
    <x v="0"/>
    <s v="Жодино"/>
    <s v="Ягоды"/>
    <s v="Голубика"/>
    <n v="3205"/>
    <n v="85"/>
    <n v="272.42500000000001"/>
    <x v="4"/>
  </r>
  <r>
    <d v="2023-04-29T00:00:00"/>
    <x v="0"/>
    <s v="Столбцы"/>
    <s v="Зелень"/>
    <s v="Салат айсберг"/>
    <n v="1380"/>
    <n v="69"/>
    <n v="95.22"/>
    <x v="4"/>
  </r>
  <r>
    <d v="2023-04-29T00:00:00"/>
    <x v="2"/>
    <s v="Фаниполь"/>
    <s v="Зелень"/>
    <s v="Укроп"/>
    <n v="650"/>
    <n v="51"/>
    <n v="33.15"/>
    <x v="4"/>
  </r>
  <r>
    <d v="2023-04-29T00:00:00"/>
    <x v="0"/>
    <s v="Фаниполь"/>
    <s v="Зелень"/>
    <s v="Кинза"/>
    <n v="650"/>
    <n v="30"/>
    <n v="19.5"/>
    <x v="4"/>
  </r>
  <r>
    <d v="2023-04-29T00:00:00"/>
    <x v="0"/>
    <s v="Фаниполь"/>
    <s v="Зелень"/>
    <s v="Салат римский"/>
    <n v="540"/>
    <n v="49"/>
    <n v="26.46"/>
    <x v="4"/>
  </r>
  <r>
    <d v="2023-04-29T00:00:00"/>
    <x v="1"/>
    <s v="Фаниполь"/>
    <s v="Ягоды"/>
    <s v="Смородина черная"/>
    <n v="1505"/>
    <n v="49"/>
    <n v="73.745000000000005"/>
    <x v="4"/>
  </r>
  <r>
    <s v="29.04.2023 Итог"/>
    <x v="3"/>
    <m/>
    <m/>
    <m/>
    <m/>
    <m/>
    <n v="1078.8"/>
    <x v="4"/>
  </r>
  <r>
    <d v="2023-04-30T00:00:00"/>
    <x v="0"/>
    <s v="Барановичи"/>
    <s v="Зелень"/>
    <s v="Салат римский"/>
    <n v="540"/>
    <n v="15"/>
    <n v="8.1"/>
    <x v="4"/>
  </r>
  <r>
    <d v="2023-04-30T00:00:00"/>
    <x v="2"/>
    <s v="Барановичи"/>
    <s v="Фрукты"/>
    <s v="Груши"/>
    <n v="1420"/>
    <n v="58"/>
    <n v="82.36"/>
    <x v="4"/>
  </r>
  <r>
    <d v="2023-04-30T00:00:00"/>
    <x v="1"/>
    <s v="Барановичи"/>
    <s v="Ягоды"/>
    <s v="Черешня"/>
    <n v="1760"/>
    <n v="61"/>
    <n v="107.36"/>
    <x v="4"/>
  </r>
  <r>
    <d v="2023-04-30T00:00:00"/>
    <x v="1"/>
    <s v="Борисов"/>
    <s v="Зелень"/>
    <s v="Салат айсберг"/>
    <n v="1380"/>
    <n v="57"/>
    <n v="78.66"/>
    <x v="4"/>
  </r>
  <r>
    <d v="2023-04-30T00:00:00"/>
    <x v="4"/>
    <s v="Борисов"/>
    <s v="Овощи"/>
    <s v="Свекла"/>
    <n v="450"/>
    <n v="6"/>
    <n v="2.7"/>
    <x v="4"/>
  </r>
  <r>
    <d v="2023-04-30T00:00:00"/>
    <x v="4"/>
    <s v="Жодино"/>
    <s v="Зелень"/>
    <s v="Салат айсберг"/>
    <n v="1380"/>
    <n v="6"/>
    <n v="8.2799999999999994"/>
    <x v="4"/>
  </r>
  <r>
    <d v="2023-04-30T00:00:00"/>
    <x v="1"/>
    <s v="Жодино"/>
    <s v="Зелень"/>
    <s v="Салат айсберг"/>
    <n v="1380"/>
    <n v="69"/>
    <n v="95.22"/>
    <x v="4"/>
  </r>
  <r>
    <d v="2023-04-30T00:00:00"/>
    <x v="0"/>
    <s v="Жодино"/>
    <s v="Фрукты"/>
    <s v="Яблоки"/>
    <n v="1230"/>
    <n v="55"/>
    <n v="67.650000000000006"/>
    <x v="4"/>
  </r>
  <r>
    <d v="2023-04-30T00:00:00"/>
    <x v="2"/>
    <s v="Жодино"/>
    <s v="Фрукты"/>
    <s v="Апельсины"/>
    <n v="2540"/>
    <n v="65"/>
    <n v="165.1"/>
    <x v="4"/>
  </r>
  <r>
    <d v="2023-04-30T00:00:00"/>
    <x v="1"/>
    <s v="Минск"/>
    <s v="Зелень"/>
    <s v="Салат айсберг"/>
    <n v="1380"/>
    <n v="16"/>
    <n v="22.08"/>
    <x v="4"/>
  </r>
  <r>
    <d v="2023-04-30T00:00:00"/>
    <x v="0"/>
    <s v="Минск"/>
    <s v="Ягоды"/>
    <s v="Малина"/>
    <n v="2970"/>
    <n v="26"/>
    <n v="77.22"/>
    <x v="4"/>
  </r>
  <r>
    <d v="2023-04-30T00:00:00"/>
    <x v="0"/>
    <s v="Столбцы"/>
    <s v="Зелень"/>
    <s v="Лук зеленый"/>
    <n v="705"/>
    <n v="15"/>
    <n v="10.574999999999999"/>
    <x v="4"/>
  </r>
  <r>
    <d v="2023-04-30T00:00:00"/>
    <x v="4"/>
    <s v="Столбцы"/>
    <s v="Овощи"/>
    <s v="Картофель"/>
    <n v="690"/>
    <n v="32"/>
    <n v="22.08"/>
    <x v="4"/>
  </r>
  <r>
    <d v="2023-04-30T00:00:00"/>
    <x v="2"/>
    <s v="Столбцы"/>
    <s v="Фрукты"/>
    <s v="Апельсины"/>
    <n v="2540"/>
    <n v="52"/>
    <n v="132.08000000000001"/>
    <x v="4"/>
  </r>
  <r>
    <s v="30.04.2023 Итог"/>
    <x v="3"/>
    <m/>
    <m/>
    <m/>
    <m/>
    <m/>
    <n v="879.46500000000015"/>
    <x v="1"/>
  </r>
  <r>
    <d v="2023-05-01T00:00:00"/>
    <x v="2"/>
    <s v="Барановичи"/>
    <s v="Зелень"/>
    <s v="Лук зеленый"/>
    <n v="705"/>
    <n v="23"/>
    <n v="16.215"/>
    <x v="5"/>
  </r>
  <r>
    <d v="2023-05-01T00:00:00"/>
    <x v="4"/>
    <s v="Барановичи"/>
    <s v="Фрукты"/>
    <s v="Груши"/>
    <n v="1420"/>
    <n v="63"/>
    <n v="89.46"/>
    <x v="5"/>
  </r>
  <r>
    <d v="2023-05-01T00:00:00"/>
    <x v="0"/>
    <s v="Барановичи"/>
    <s v="Ягоды"/>
    <s v="Смородина черная"/>
    <n v="1505"/>
    <n v="97"/>
    <n v="145.98500000000001"/>
    <x v="5"/>
  </r>
  <r>
    <d v="2023-05-01T00:00:00"/>
    <x v="4"/>
    <s v="Борисов"/>
    <s v="Зелень"/>
    <s v="Кинза"/>
    <n v="650"/>
    <n v="12"/>
    <n v="7.8"/>
    <x v="5"/>
  </r>
  <r>
    <d v="2023-05-01T00:00:00"/>
    <x v="0"/>
    <s v="Жодино"/>
    <s v="Зелень"/>
    <s v="Салат римский"/>
    <n v="540"/>
    <n v="98"/>
    <n v="52.92"/>
    <x v="5"/>
  </r>
  <r>
    <d v="2023-05-01T00:00:00"/>
    <x v="1"/>
    <s v="Жодино"/>
    <s v="Ягоды"/>
    <s v="Клубника"/>
    <n v="2460"/>
    <n v="73"/>
    <n v="179.58"/>
    <x v="5"/>
  </r>
  <r>
    <d v="2023-05-01T00:00:00"/>
    <x v="1"/>
    <s v="Минск"/>
    <s v="Зелень"/>
    <s v="Петрушка"/>
    <n v="640"/>
    <n v="25"/>
    <n v="16"/>
    <x v="5"/>
  </r>
  <r>
    <d v="2023-05-01T00:00:00"/>
    <x v="4"/>
    <s v="Столбцы"/>
    <s v="Зелень"/>
    <s v="Кинза"/>
    <n v="650"/>
    <n v="61"/>
    <n v="39.65"/>
    <x v="5"/>
  </r>
  <r>
    <d v="2023-05-01T00:00:00"/>
    <x v="4"/>
    <s v="Столбцы"/>
    <s v="Фрукты"/>
    <s v="Груши"/>
    <n v="1420"/>
    <n v="78"/>
    <n v="110.76"/>
    <x v="5"/>
  </r>
  <r>
    <d v="2023-05-01T00:00:00"/>
    <x v="1"/>
    <s v="Фаниполь"/>
    <s v="Фрукты"/>
    <s v="Сливы"/>
    <n v="930"/>
    <n v="49"/>
    <n v="45.57"/>
    <x v="5"/>
  </r>
  <r>
    <d v="2023-05-01T00:00:00"/>
    <x v="0"/>
    <s v="Фаниполь"/>
    <s v="Фрукты"/>
    <s v="Груши"/>
    <n v="1420"/>
    <n v="86"/>
    <n v="122.12"/>
    <x v="5"/>
  </r>
  <r>
    <s v="01.05.2023 Итог"/>
    <x v="3"/>
    <m/>
    <m/>
    <m/>
    <m/>
    <m/>
    <n v="826.06000000000006"/>
    <x v="5"/>
  </r>
  <r>
    <d v="2023-05-02T00:00:00"/>
    <x v="0"/>
    <s v="Барановичи"/>
    <s v="Зелень"/>
    <s v="Салат айсберг"/>
    <n v="1380"/>
    <n v="93"/>
    <n v="128.34"/>
    <x v="5"/>
  </r>
  <r>
    <d v="2023-05-02T00:00:00"/>
    <x v="0"/>
    <s v="Жодино"/>
    <s v="Овощи"/>
    <s v="Капуста"/>
    <n v="460"/>
    <n v="55"/>
    <n v="25.3"/>
    <x v="5"/>
  </r>
  <r>
    <d v="2023-05-02T00:00:00"/>
    <x v="1"/>
    <s v="Жодино"/>
    <s v="Овощи"/>
    <s v="Свекла"/>
    <n v="450"/>
    <n v="87"/>
    <n v="39.15"/>
    <x v="5"/>
  </r>
  <r>
    <d v="2023-05-02T00:00:00"/>
    <x v="1"/>
    <s v="Жодино"/>
    <s v="Ягоды"/>
    <s v="Черешня"/>
    <n v="1760"/>
    <n v="8"/>
    <n v="14.08"/>
    <x v="5"/>
  </r>
  <r>
    <d v="2023-05-02T00:00:00"/>
    <x v="4"/>
    <s v="Жодино"/>
    <s v="Ягоды"/>
    <s v="Смородина черная"/>
    <n v="1505"/>
    <n v="61"/>
    <n v="91.805000000000007"/>
    <x v="5"/>
  </r>
  <r>
    <d v="2023-05-02T00:00:00"/>
    <x v="0"/>
    <s v="Минск"/>
    <s v="Ягоды"/>
    <s v="Клубника"/>
    <n v="2460"/>
    <n v="39"/>
    <n v="95.94"/>
    <x v="5"/>
  </r>
  <r>
    <d v="2023-05-02T00:00:00"/>
    <x v="1"/>
    <s v="Столбцы"/>
    <s v="Ягоды"/>
    <s v="Малина"/>
    <n v="2970"/>
    <n v="56"/>
    <n v="166.32"/>
    <x v="5"/>
  </r>
  <r>
    <d v="2023-05-02T00:00:00"/>
    <x v="0"/>
    <s v="Фаниполь"/>
    <s v="Фрукты"/>
    <s v="Абрикосы"/>
    <n v="1320"/>
    <n v="29"/>
    <n v="38.28"/>
    <x v="5"/>
  </r>
  <r>
    <s v="02.05.2023 Итог"/>
    <x v="3"/>
    <m/>
    <m/>
    <m/>
    <m/>
    <m/>
    <n v="599.21500000000003"/>
    <x v="5"/>
  </r>
  <r>
    <d v="2023-05-03T00:00:00"/>
    <x v="1"/>
    <s v="Барановичи"/>
    <s v="Фрукты"/>
    <s v="Сливы"/>
    <n v="930"/>
    <n v="84"/>
    <n v="78.12"/>
    <x v="5"/>
  </r>
  <r>
    <d v="2023-05-03T00:00:00"/>
    <x v="1"/>
    <s v="Барановичи"/>
    <s v="Фрукты"/>
    <s v="Яблоки"/>
    <n v="1230"/>
    <n v="96"/>
    <n v="118.08"/>
    <x v="5"/>
  </r>
  <r>
    <d v="2023-05-03T00:00:00"/>
    <x v="2"/>
    <s v="Барановичи"/>
    <s v="Ягоды"/>
    <s v="Смородина черная"/>
    <n v="1505"/>
    <n v="80"/>
    <n v="120.4"/>
    <x v="5"/>
  </r>
  <r>
    <d v="2023-05-03T00:00:00"/>
    <x v="0"/>
    <s v="Борисов"/>
    <s v="Зелень"/>
    <s v="Укроп"/>
    <n v="650"/>
    <n v="34"/>
    <n v="22.1"/>
    <x v="5"/>
  </r>
  <r>
    <d v="2023-05-03T00:00:00"/>
    <x v="4"/>
    <s v="Борисов"/>
    <s v="Ягоды"/>
    <s v="Брусника"/>
    <n v="1670"/>
    <n v="49"/>
    <n v="81.83"/>
    <x v="5"/>
  </r>
  <r>
    <d v="2023-05-03T00:00:00"/>
    <x v="0"/>
    <s v="Столбцы"/>
    <s v="Фрукты"/>
    <s v="Абрикосы"/>
    <n v="1320"/>
    <n v="32"/>
    <n v="42.24"/>
    <x v="5"/>
  </r>
  <r>
    <d v="2023-05-03T00:00:00"/>
    <x v="4"/>
    <s v="Столбцы"/>
    <s v="Ягоды"/>
    <s v="Смородина черная"/>
    <n v="1505"/>
    <n v="65"/>
    <n v="97.825000000000003"/>
    <x v="5"/>
  </r>
  <r>
    <d v="2023-05-03T00:00:00"/>
    <x v="2"/>
    <s v="Фаниполь"/>
    <s v="Фрукты"/>
    <s v="Сливы"/>
    <n v="930"/>
    <n v="71"/>
    <n v="66.03"/>
    <x v="5"/>
  </r>
  <r>
    <s v="03.05.2023 Итог"/>
    <x v="3"/>
    <m/>
    <m/>
    <m/>
    <m/>
    <m/>
    <n v="626.625"/>
    <x v="5"/>
  </r>
  <r>
    <d v="2023-05-04T00:00:00"/>
    <x v="4"/>
    <s v="Барановичи"/>
    <s v="Ягоды"/>
    <s v="Клубника"/>
    <n v="2460"/>
    <n v="83"/>
    <n v="204.18"/>
    <x v="5"/>
  </r>
  <r>
    <d v="2023-05-04T00:00:00"/>
    <x v="1"/>
    <s v="Жодино"/>
    <s v="Зелень"/>
    <s v="Салат римский"/>
    <n v="540"/>
    <n v="81"/>
    <n v="43.74"/>
    <x v="5"/>
  </r>
  <r>
    <d v="2023-05-04T00:00:00"/>
    <x v="1"/>
    <s v="Столбцы"/>
    <s v="Овощи"/>
    <s v="Баклажаны"/>
    <n v="890"/>
    <n v="50"/>
    <n v="44.5"/>
    <x v="5"/>
  </r>
  <r>
    <d v="2023-05-04T00:00:00"/>
    <x v="2"/>
    <s v="Столбцы"/>
    <s v="Овощи"/>
    <s v="Морковь"/>
    <n v="715"/>
    <n v="49"/>
    <n v="35.034999999999997"/>
    <x v="5"/>
  </r>
  <r>
    <d v="2023-05-04T00:00:00"/>
    <x v="1"/>
    <s v="Столбцы"/>
    <s v="Фрукты"/>
    <s v="Абрикосы"/>
    <n v="1320"/>
    <n v="70"/>
    <n v="92.4"/>
    <x v="5"/>
  </r>
  <r>
    <d v="2023-05-04T00:00:00"/>
    <x v="0"/>
    <s v="Столбцы"/>
    <s v="Ягоды"/>
    <s v="Смородина черная"/>
    <n v="1505"/>
    <n v="27"/>
    <n v="40.634999999999998"/>
    <x v="5"/>
  </r>
  <r>
    <d v="2023-05-04T00:00:00"/>
    <x v="1"/>
    <s v="Столбцы"/>
    <s v="Ягоды"/>
    <s v="Смородина черная"/>
    <n v="1505"/>
    <n v="100"/>
    <n v="150.5"/>
    <x v="5"/>
  </r>
  <r>
    <d v="2023-05-04T00:00:00"/>
    <x v="0"/>
    <s v="Фаниполь"/>
    <s v="Фрукты"/>
    <s v="Абрикосы"/>
    <n v="1320"/>
    <n v="86"/>
    <n v="113.52"/>
    <x v="5"/>
  </r>
  <r>
    <d v="2023-05-04T00:00:00"/>
    <x v="4"/>
    <s v="Фаниполь"/>
    <s v="Фрукты"/>
    <s v="Апельсины"/>
    <n v="2540"/>
    <n v="19"/>
    <n v="48.26"/>
    <x v="5"/>
  </r>
  <r>
    <s v="04.05.2023 Итог"/>
    <x v="3"/>
    <m/>
    <m/>
    <m/>
    <m/>
    <m/>
    <n v="772.77"/>
    <x v="5"/>
  </r>
  <r>
    <d v="2023-05-05T00:00:00"/>
    <x v="0"/>
    <s v="Борисов"/>
    <s v="Овощи"/>
    <s v="Картофель"/>
    <n v="690"/>
    <n v="34"/>
    <n v="23.46"/>
    <x v="5"/>
  </r>
  <r>
    <d v="2023-05-05T00:00:00"/>
    <x v="2"/>
    <s v="Борисов"/>
    <s v="Ягоды"/>
    <s v="Малина"/>
    <n v="2970"/>
    <n v="6"/>
    <n v="17.82"/>
    <x v="5"/>
  </r>
  <r>
    <d v="2023-05-05T00:00:00"/>
    <x v="2"/>
    <s v="Жодино"/>
    <s v="Зелень"/>
    <s v="Укроп"/>
    <n v="650"/>
    <n v="72"/>
    <n v="46.8"/>
    <x v="5"/>
  </r>
  <r>
    <d v="2023-05-05T00:00:00"/>
    <x v="2"/>
    <s v="Жодино"/>
    <s v="Фрукты"/>
    <s v="Яблоки"/>
    <n v="1230"/>
    <n v="84"/>
    <n v="103.32"/>
    <x v="5"/>
  </r>
  <r>
    <d v="2023-05-05T00:00:00"/>
    <x v="4"/>
    <s v="Минск"/>
    <s v="Овощи"/>
    <s v="Картофель"/>
    <n v="690"/>
    <n v="60"/>
    <n v="41.4"/>
    <x v="5"/>
  </r>
  <r>
    <d v="2023-05-05T00:00:00"/>
    <x v="0"/>
    <s v="Фаниполь"/>
    <s v="Зелень"/>
    <s v="Кинза"/>
    <n v="650"/>
    <n v="42"/>
    <n v="27.3"/>
    <x v="5"/>
  </r>
  <r>
    <d v="2023-05-05T00:00:00"/>
    <x v="2"/>
    <s v="Фаниполь"/>
    <s v="Фрукты"/>
    <s v="Сливы"/>
    <n v="930"/>
    <n v="39"/>
    <n v="36.270000000000003"/>
    <x v="5"/>
  </r>
  <r>
    <d v="2023-05-05T00:00:00"/>
    <x v="0"/>
    <s v="Фаниполь"/>
    <s v="Ягоды"/>
    <s v="Смородина черная"/>
    <n v="1505"/>
    <n v="9"/>
    <n v="13.545"/>
    <x v="5"/>
  </r>
  <r>
    <s v="05.05.2023 Итог"/>
    <x v="3"/>
    <m/>
    <m/>
    <m/>
    <m/>
    <m/>
    <n v="309.91499999999996"/>
    <x v="5"/>
  </r>
  <r>
    <d v="2023-05-06T00:00:00"/>
    <x v="0"/>
    <s v="Барановичи"/>
    <s v="Овощи"/>
    <s v="Кабачки"/>
    <n v="325"/>
    <n v="14"/>
    <n v="4.55"/>
    <x v="5"/>
  </r>
  <r>
    <d v="2023-05-06T00:00:00"/>
    <x v="0"/>
    <s v="Борисов"/>
    <s v="Зелень"/>
    <s v="Укроп"/>
    <n v="650"/>
    <n v="73"/>
    <n v="47.45"/>
    <x v="5"/>
  </r>
  <r>
    <d v="2023-05-06T00:00:00"/>
    <x v="1"/>
    <s v="Борисов"/>
    <s v="Овощи"/>
    <s v="Свекла"/>
    <n v="450"/>
    <n v="98"/>
    <n v="44.1"/>
    <x v="5"/>
  </r>
  <r>
    <d v="2023-05-06T00:00:00"/>
    <x v="0"/>
    <s v="Борисов"/>
    <s v="Ягоды"/>
    <s v="Клубника"/>
    <n v="2460"/>
    <n v="21"/>
    <n v="51.66"/>
    <x v="5"/>
  </r>
  <r>
    <d v="2023-05-06T00:00:00"/>
    <x v="0"/>
    <s v="Жодино"/>
    <s v="Зелень"/>
    <s v="Укроп"/>
    <n v="650"/>
    <n v="88"/>
    <n v="57.2"/>
    <x v="5"/>
  </r>
  <r>
    <d v="2023-05-06T00:00:00"/>
    <x v="4"/>
    <s v="Жодино"/>
    <s v="Фрукты"/>
    <s v="Груши"/>
    <n v="1420"/>
    <n v="89"/>
    <n v="126.38"/>
    <x v="5"/>
  </r>
  <r>
    <d v="2023-05-06T00:00:00"/>
    <x v="1"/>
    <s v="Жодино"/>
    <s v="Ягоды"/>
    <s v="Брусника"/>
    <n v="1670"/>
    <n v="64"/>
    <n v="106.88"/>
    <x v="5"/>
  </r>
  <r>
    <d v="2023-05-06T00:00:00"/>
    <x v="2"/>
    <s v="Минск"/>
    <s v="Зелень"/>
    <s v="Кинза"/>
    <n v="650"/>
    <n v="100"/>
    <n v="65"/>
    <x v="5"/>
  </r>
  <r>
    <d v="2023-05-06T00:00:00"/>
    <x v="1"/>
    <s v="Столбцы"/>
    <s v="Зелень"/>
    <s v="Салат айсберг"/>
    <n v="1380"/>
    <n v="86"/>
    <n v="118.68"/>
    <x v="5"/>
  </r>
  <r>
    <d v="2023-05-06T00:00:00"/>
    <x v="1"/>
    <s v="Столбцы"/>
    <s v="Овощи"/>
    <s v="Капуста"/>
    <n v="460"/>
    <n v="51"/>
    <n v="23.46"/>
    <x v="5"/>
  </r>
  <r>
    <d v="2023-05-06T00:00:00"/>
    <x v="4"/>
    <s v="Столбцы"/>
    <s v="Ягоды"/>
    <s v="Черешня"/>
    <n v="1760"/>
    <n v="82"/>
    <n v="144.32"/>
    <x v="5"/>
  </r>
  <r>
    <d v="2023-05-06T00:00:00"/>
    <x v="1"/>
    <s v="Столбцы"/>
    <s v="Ягоды"/>
    <s v="Брусника"/>
    <n v="1670"/>
    <n v="76"/>
    <n v="126.92"/>
    <x v="5"/>
  </r>
  <r>
    <s v="06.05.2023 Итог"/>
    <x v="3"/>
    <m/>
    <m/>
    <m/>
    <m/>
    <m/>
    <n v="916.6"/>
    <x v="5"/>
  </r>
  <r>
    <d v="2023-05-07T00:00:00"/>
    <x v="4"/>
    <s v="Борисов"/>
    <s v="Фрукты"/>
    <s v="Сливы"/>
    <n v="930"/>
    <n v="38"/>
    <n v="35.340000000000003"/>
    <x v="5"/>
  </r>
  <r>
    <d v="2023-05-07T00:00:00"/>
    <x v="1"/>
    <s v="Борисов"/>
    <s v="Ягоды"/>
    <s v="Клубника"/>
    <n v="2460"/>
    <n v="50"/>
    <n v="123"/>
    <x v="5"/>
  </r>
  <r>
    <d v="2023-05-07T00:00:00"/>
    <x v="1"/>
    <s v="Столбцы"/>
    <s v="Ягоды"/>
    <s v="Черешня"/>
    <n v="1760"/>
    <n v="69"/>
    <n v="121.44"/>
    <x v="5"/>
  </r>
  <r>
    <d v="2023-05-07T00:00:00"/>
    <x v="4"/>
    <s v="Фаниполь"/>
    <s v="Зелень"/>
    <s v="Укроп"/>
    <n v="650"/>
    <n v="12"/>
    <n v="7.8"/>
    <x v="5"/>
  </r>
  <r>
    <d v="2023-05-07T00:00:00"/>
    <x v="4"/>
    <s v="Фаниполь"/>
    <s v="Ягоды"/>
    <s v="Смородина черная"/>
    <n v="1505"/>
    <n v="42"/>
    <n v="63.21"/>
    <x v="5"/>
  </r>
  <r>
    <s v="07.05.2023 Итог"/>
    <x v="3"/>
    <m/>
    <m/>
    <m/>
    <m/>
    <m/>
    <n v="350.78999999999996"/>
    <x v="5"/>
  </r>
  <r>
    <d v="2023-05-08T00:00:00"/>
    <x v="1"/>
    <s v="Барановичи"/>
    <s v="Зелень"/>
    <s v="Лук зеленый"/>
    <n v="705"/>
    <n v="43"/>
    <n v="30.315000000000001"/>
    <x v="5"/>
  </r>
  <r>
    <d v="2023-05-08T00:00:00"/>
    <x v="4"/>
    <s v="Минск"/>
    <s v="Зелень"/>
    <s v="Салат айсберг"/>
    <n v="1380"/>
    <n v="83"/>
    <n v="114.54"/>
    <x v="5"/>
  </r>
  <r>
    <d v="2023-05-08T00:00:00"/>
    <x v="0"/>
    <s v="Минск"/>
    <s v="Овощи"/>
    <s v="Капуста"/>
    <n v="460"/>
    <n v="49"/>
    <n v="22.54"/>
    <x v="5"/>
  </r>
  <r>
    <d v="2023-05-08T00:00:00"/>
    <x v="1"/>
    <s v="Столбцы"/>
    <s v="Фрукты"/>
    <s v="Сливы"/>
    <n v="930"/>
    <n v="49"/>
    <n v="45.57"/>
    <x v="5"/>
  </r>
  <r>
    <d v="2023-05-08T00:00:00"/>
    <x v="4"/>
    <s v="Фаниполь"/>
    <s v="Зелень"/>
    <s v="Кинза"/>
    <n v="650"/>
    <n v="12"/>
    <n v="7.8"/>
    <x v="5"/>
  </r>
  <r>
    <d v="2023-05-08T00:00:00"/>
    <x v="2"/>
    <s v="Фаниполь"/>
    <s v="Овощи"/>
    <s v="Картофель"/>
    <n v="690"/>
    <n v="61"/>
    <n v="42.09"/>
    <x v="5"/>
  </r>
  <r>
    <d v="2023-05-08T00:00:00"/>
    <x v="4"/>
    <s v="Фаниполь"/>
    <s v="Фрукты"/>
    <s v="Груши"/>
    <n v="1420"/>
    <n v="57"/>
    <n v="80.94"/>
    <x v="5"/>
  </r>
  <r>
    <s v="08.05.2023 Итог"/>
    <x v="3"/>
    <m/>
    <m/>
    <m/>
    <m/>
    <m/>
    <n v="343.79500000000002"/>
    <x v="5"/>
  </r>
  <r>
    <d v="2023-05-09T00:00:00"/>
    <x v="0"/>
    <s v="Барановичи"/>
    <s v="Ягоды"/>
    <s v="Голубика"/>
    <n v="3205"/>
    <n v="63"/>
    <n v="201.91499999999999"/>
    <x v="5"/>
  </r>
  <r>
    <d v="2023-05-09T00:00:00"/>
    <x v="1"/>
    <s v="Борисов"/>
    <s v="Фрукты"/>
    <s v="Апельсины"/>
    <n v="2540"/>
    <n v="78"/>
    <n v="198.12"/>
    <x v="5"/>
  </r>
  <r>
    <d v="2023-05-09T00:00:00"/>
    <x v="2"/>
    <s v="Минск"/>
    <s v="Зелень"/>
    <s v="Петрушка"/>
    <n v="640"/>
    <n v="93"/>
    <n v="59.52"/>
    <x v="5"/>
  </r>
  <r>
    <d v="2023-05-09T00:00:00"/>
    <x v="0"/>
    <s v="Минск"/>
    <s v="Зелень"/>
    <s v="Укроп"/>
    <n v="650"/>
    <n v="84"/>
    <n v="54.6"/>
    <x v="5"/>
  </r>
  <r>
    <d v="2023-05-09T00:00:00"/>
    <x v="4"/>
    <s v="Минск"/>
    <s v="Ягоды"/>
    <s v="Смородина черная"/>
    <n v="1505"/>
    <n v="19"/>
    <n v="28.594999999999999"/>
    <x v="5"/>
  </r>
  <r>
    <d v="2023-05-09T00:00:00"/>
    <x v="2"/>
    <s v="Минск"/>
    <s v="Ягоды"/>
    <s v="Голубика"/>
    <n v="3205"/>
    <n v="27"/>
    <n v="86.534999999999997"/>
    <x v="5"/>
  </r>
  <r>
    <d v="2023-05-09T00:00:00"/>
    <x v="0"/>
    <s v="Столбцы"/>
    <s v="Ягоды"/>
    <s v="Голубика"/>
    <n v="3205"/>
    <n v="81"/>
    <n v="259.60500000000002"/>
    <x v="5"/>
  </r>
  <r>
    <d v="2023-05-09T00:00:00"/>
    <x v="1"/>
    <s v="Фаниполь"/>
    <s v="Зелень"/>
    <s v="Петрушка"/>
    <n v="640"/>
    <n v="85"/>
    <n v="54.4"/>
    <x v="5"/>
  </r>
  <r>
    <d v="2023-05-09T00:00:00"/>
    <x v="2"/>
    <s v="Фаниполь"/>
    <s v="Фрукты"/>
    <s v="Груши"/>
    <n v="1420"/>
    <n v="14"/>
    <n v="19.88"/>
    <x v="5"/>
  </r>
  <r>
    <s v="09.05.2023 Итог"/>
    <x v="3"/>
    <m/>
    <m/>
    <m/>
    <m/>
    <m/>
    <n v="963.17"/>
    <x v="5"/>
  </r>
  <r>
    <d v="2023-05-10T00:00:00"/>
    <x v="1"/>
    <s v="Барановичи"/>
    <s v="Ягоды"/>
    <s v="Голубика"/>
    <n v="3205"/>
    <n v="43"/>
    <n v="137.815"/>
    <x v="5"/>
  </r>
  <r>
    <d v="2023-05-10T00:00:00"/>
    <x v="0"/>
    <s v="Столбцы"/>
    <s v="Зелень"/>
    <s v="Кинза"/>
    <n v="650"/>
    <n v="31"/>
    <n v="20.149999999999999"/>
    <x v="5"/>
  </r>
  <r>
    <d v="2023-05-10T00:00:00"/>
    <x v="0"/>
    <s v="Столбцы"/>
    <s v="Овощи"/>
    <s v="Картофель"/>
    <n v="690"/>
    <n v="82"/>
    <n v="56.58"/>
    <x v="5"/>
  </r>
  <r>
    <d v="2023-05-10T00:00:00"/>
    <x v="4"/>
    <s v="Столбцы"/>
    <s v="Фрукты"/>
    <s v="Яблоки"/>
    <n v="1230"/>
    <n v="84"/>
    <n v="103.32"/>
    <x v="5"/>
  </r>
  <r>
    <d v="2023-05-10T00:00:00"/>
    <x v="0"/>
    <s v="Фаниполь"/>
    <s v="Зелень"/>
    <s v="Укроп"/>
    <n v="650"/>
    <n v="89"/>
    <n v="57.85"/>
    <x v="5"/>
  </r>
  <r>
    <s v="10.05.2023 Итог"/>
    <x v="3"/>
    <m/>
    <m/>
    <m/>
    <m/>
    <m/>
    <n v="375.71500000000003"/>
    <x v="5"/>
  </r>
  <r>
    <d v="2023-05-11T00:00:00"/>
    <x v="0"/>
    <s v="Барановичи"/>
    <s v="Овощи"/>
    <s v="Картофель"/>
    <n v="690"/>
    <n v="15"/>
    <n v="10.35"/>
    <x v="5"/>
  </r>
  <r>
    <d v="2023-05-11T00:00:00"/>
    <x v="0"/>
    <s v="Барановичи"/>
    <s v="Фрукты"/>
    <s v="Абрикосы"/>
    <n v="1320"/>
    <n v="17"/>
    <n v="22.44"/>
    <x v="5"/>
  </r>
  <r>
    <d v="2023-05-11T00:00:00"/>
    <x v="0"/>
    <s v="Борисов"/>
    <s v="Фрукты"/>
    <s v="Груши"/>
    <n v="1420"/>
    <n v="19"/>
    <n v="26.98"/>
    <x v="5"/>
  </r>
  <r>
    <d v="2023-05-11T00:00:00"/>
    <x v="4"/>
    <s v="Фаниполь"/>
    <s v="Овощи"/>
    <s v="Свекла"/>
    <n v="450"/>
    <n v="56"/>
    <n v="25.2"/>
    <x v="5"/>
  </r>
  <r>
    <d v="2023-05-11T00:00:00"/>
    <x v="1"/>
    <s v="Фаниполь"/>
    <s v="Фрукты"/>
    <s v="Бананы"/>
    <n v="2400"/>
    <n v="95"/>
    <n v="228"/>
    <x v="5"/>
  </r>
  <r>
    <d v="2023-05-11T00:00:00"/>
    <x v="2"/>
    <s v="Фаниполь"/>
    <s v="Ягоды"/>
    <s v="Голубика"/>
    <n v="3205"/>
    <n v="45"/>
    <n v="144.22499999999999"/>
    <x v="5"/>
  </r>
  <r>
    <s v="11.05.2023 Итог"/>
    <x v="3"/>
    <m/>
    <m/>
    <m/>
    <m/>
    <m/>
    <n v="457.19500000000005"/>
    <x v="5"/>
  </r>
  <r>
    <d v="2023-05-12T00:00:00"/>
    <x v="0"/>
    <s v="Барановичи"/>
    <s v="Ягоды"/>
    <s v="Голубика"/>
    <n v="3205"/>
    <n v="43"/>
    <n v="137.815"/>
    <x v="5"/>
  </r>
  <r>
    <d v="2023-05-12T00:00:00"/>
    <x v="1"/>
    <s v="Борисов"/>
    <s v="Зелень"/>
    <s v="Салат римский"/>
    <n v="540"/>
    <n v="93"/>
    <n v="50.22"/>
    <x v="5"/>
  </r>
  <r>
    <d v="2023-05-12T00:00:00"/>
    <x v="4"/>
    <s v="Жодино"/>
    <s v="Овощи"/>
    <s v="Капуста"/>
    <n v="460"/>
    <n v="20"/>
    <n v="9.1999999999999993"/>
    <x v="5"/>
  </r>
  <r>
    <d v="2023-05-12T00:00:00"/>
    <x v="0"/>
    <s v="Минск"/>
    <s v="Овощи"/>
    <s v="Свекла"/>
    <n v="450"/>
    <n v="29"/>
    <n v="13.05"/>
    <x v="5"/>
  </r>
  <r>
    <d v="2023-05-12T00:00:00"/>
    <x v="0"/>
    <s v="Столбцы"/>
    <s v="Зелень"/>
    <s v="Салат айсберг"/>
    <n v="1380"/>
    <n v="32"/>
    <n v="44.16"/>
    <x v="5"/>
  </r>
  <r>
    <d v="2023-05-12T00:00:00"/>
    <x v="1"/>
    <s v="Фаниполь"/>
    <s v="Ягоды"/>
    <s v="Черешня"/>
    <n v="1760"/>
    <n v="52"/>
    <n v="91.52"/>
    <x v="5"/>
  </r>
  <r>
    <s v="12.05.2023 Итог"/>
    <x v="3"/>
    <m/>
    <m/>
    <m/>
    <m/>
    <m/>
    <n v="345.96499999999997"/>
    <x v="5"/>
  </r>
  <r>
    <d v="2023-05-13T00:00:00"/>
    <x v="1"/>
    <s v="Барановичи"/>
    <s v="Фрукты"/>
    <s v="Бананы"/>
    <n v="2400"/>
    <n v="90"/>
    <n v="216"/>
    <x v="5"/>
  </r>
  <r>
    <d v="2023-05-13T00:00:00"/>
    <x v="0"/>
    <s v="Борисов"/>
    <s v="Зелень"/>
    <s v="Лук зеленый"/>
    <n v="705"/>
    <n v="54"/>
    <n v="38.07"/>
    <x v="5"/>
  </r>
  <r>
    <d v="2023-05-13T00:00:00"/>
    <x v="1"/>
    <s v="Борисов"/>
    <s v="Овощи"/>
    <s v="Баклажаны"/>
    <n v="890"/>
    <n v="51"/>
    <n v="45.39"/>
    <x v="5"/>
  </r>
  <r>
    <d v="2023-05-13T00:00:00"/>
    <x v="4"/>
    <s v="Жодино"/>
    <s v="Овощи"/>
    <s v="Морковь"/>
    <n v="715"/>
    <n v="39"/>
    <n v="27.885000000000002"/>
    <x v="5"/>
  </r>
  <r>
    <d v="2023-05-13T00:00:00"/>
    <x v="4"/>
    <s v="Минск"/>
    <s v="Зелень"/>
    <s v="Петрушка"/>
    <n v="640"/>
    <n v="82"/>
    <n v="52.48"/>
    <x v="5"/>
  </r>
  <r>
    <d v="2023-05-13T00:00:00"/>
    <x v="2"/>
    <s v="Минск"/>
    <s v="Зелень"/>
    <s v="Салат айсберг"/>
    <n v="1380"/>
    <n v="41"/>
    <n v="56.58"/>
    <x v="5"/>
  </r>
  <r>
    <d v="2023-05-13T00:00:00"/>
    <x v="2"/>
    <s v="Минск"/>
    <s v="Зелень"/>
    <s v="Петрушка"/>
    <n v="640"/>
    <n v="42"/>
    <n v="26.88"/>
    <x v="5"/>
  </r>
  <r>
    <d v="2023-05-13T00:00:00"/>
    <x v="2"/>
    <s v="Минск"/>
    <s v="Фрукты"/>
    <s v="Апельсины"/>
    <n v="2540"/>
    <n v="87"/>
    <n v="220.98"/>
    <x v="5"/>
  </r>
  <r>
    <d v="2023-05-13T00:00:00"/>
    <x v="1"/>
    <s v="Минск"/>
    <s v="Ягоды"/>
    <s v="Смородина черная"/>
    <n v="1505"/>
    <n v="46"/>
    <n v="69.23"/>
    <x v="5"/>
  </r>
  <r>
    <d v="2023-05-13T00:00:00"/>
    <x v="1"/>
    <s v="Столбцы"/>
    <s v="Фрукты"/>
    <s v="Груши"/>
    <n v="1420"/>
    <n v="40"/>
    <n v="56.8"/>
    <x v="5"/>
  </r>
  <r>
    <d v="2023-05-13T00:00:00"/>
    <x v="2"/>
    <s v="Фаниполь"/>
    <s v="Зелень"/>
    <s v="Укроп"/>
    <n v="650"/>
    <n v="23"/>
    <n v="14.95"/>
    <x v="5"/>
  </r>
  <r>
    <d v="2023-05-13T00:00:00"/>
    <x v="4"/>
    <s v="Фаниполь"/>
    <s v="Овощи"/>
    <s v="Картофель"/>
    <n v="690"/>
    <n v="66"/>
    <n v="45.54"/>
    <x v="5"/>
  </r>
  <r>
    <s v="13.05.2023 Итог"/>
    <x v="3"/>
    <m/>
    <m/>
    <m/>
    <m/>
    <m/>
    <n v="870.78499999999997"/>
    <x v="5"/>
  </r>
  <r>
    <d v="2023-05-14T00:00:00"/>
    <x v="1"/>
    <s v="Барановичи"/>
    <s v="Зелень"/>
    <s v="Укроп"/>
    <n v="650"/>
    <n v="96"/>
    <n v="62.4"/>
    <x v="5"/>
  </r>
  <r>
    <d v="2023-05-14T00:00:00"/>
    <x v="4"/>
    <s v="Борисов"/>
    <s v="Зелень"/>
    <s v="Укроп"/>
    <n v="650"/>
    <n v="32"/>
    <n v="20.8"/>
    <x v="5"/>
  </r>
  <r>
    <d v="2023-05-14T00:00:00"/>
    <x v="4"/>
    <s v="Жодино"/>
    <s v="Овощи"/>
    <s v="Баклажаны"/>
    <n v="890"/>
    <n v="38"/>
    <n v="33.82"/>
    <x v="5"/>
  </r>
  <r>
    <d v="2023-05-14T00:00:00"/>
    <x v="1"/>
    <s v="Минск"/>
    <s v="Зелень"/>
    <s v="Салат римский"/>
    <n v="540"/>
    <n v="73"/>
    <n v="39.42"/>
    <x v="5"/>
  </r>
  <r>
    <d v="2023-05-14T00:00:00"/>
    <x v="4"/>
    <s v="Столбцы"/>
    <s v="Зелень"/>
    <s v="Салат римский"/>
    <n v="540"/>
    <n v="81"/>
    <n v="43.74"/>
    <x v="5"/>
  </r>
  <r>
    <d v="2023-05-14T00:00:00"/>
    <x v="0"/>
    <s v="Столбцы"/>
    <s v="Зелень"/>
    <s v="Салат римский"/>
    <n v="540"/>
    <n v="36"/>
    <n v="19.440000000000001"/>
    <x v="5"/>
  </r>
  <r>
    <d v="2023-05-14T00:00:00"/>
    <x v="0"/>
    <s v="Столбцы"/>
    <s v="Фрукты"/>
    <s v="Бананы"/>
    <n v="2400"/>
    <n v="22"/>
    <n v="52.8"/>
    <x v="5"/>
  </r>
  <r>
    <s v="14.05.2023 Итог"/>
    <x v="3"/>
    <m/>
    <m/>
    <m/>
    <m/>
    <m/>
    <n v="272.42"/>
    <x v="5"/>
  </r>
  <r>
    <d v="2023-05-15T00:00:00"/>
    <x v="4"/>
    <s v="Барановичи"/>
    <s v="Овощи"/>
    <s v="Баклажаны"/>
    <n v="890"/>
    <n v="50"/>
    <n v="44.5"/>
    <x v="5"/>
  </r>
  <r>
    <d v="2023-05-15T00:00:00"/>
    <x v="2"/>
    <s v="Барановичи"/>
    <s v="Фрукты"/>
    <s v="Абрикосы"/>
    <n v="1320"/>
    <n v="91"/>
    <n v="120.12"/>
    <x v="5"/>
  </r>
  <r>
    <d v="2023-05-15T00:00:00"/>
    <x v="1"/>
    <s v="Борисов"/>
    <s v="Фрукты"/>
    <s v="Яблоки"/>
    <n v="1230"/>
    <n v="20"/>
    <n v="24.6"/>
    <x v="5"/>
  </r>
  <r>
    <d v="2023-05-15T00:00:00"/>
    <x v="4"/>
    <s v="Борисов"/>
    <s v="Ягоды"/>
    <s v="Черешня"/>
    <n v="1760"/>
    <n v="44"/>
    <n v="77.44"/>
    <x v="5"/>
  </r>
  <r>
    <d v="2023-05-15T00:00:00"/>
    <x v="4"/>
    <s v="Жодино"/>
    <s v="Овощи"/>
    <s v="Морковь"/>
    <n v="715"/>
    <n v="31"/>
    <n v="22.164999999999999"/>
    <x v="5"/>
  </r>
  <r>
    <d v="2023-05-15T00:00:00"/>
    <x v="2"/>
    <s v="Жодино"/>
    <s v="Ягоды"/>
    <s v="Брусника"/>
    <n v="1670"/>
    <n v="69"/>
    <n v="115.23"/>
    <x v="5"/>
  </r>
  <r>
    <d v="2023-05-15T00:00:00"/>
    <x v="1"/>
    <s v="Минск"/>
    <s v="Овощи"/>
    <s v="Баклажаны"/>
    <n v="890"/>
    <n v="46"/>
    <n v="40.94"/>
    <x v="5"/>
  </r>
  <r>
    <d v="2023-05-15T00:00:00"/>
    <x v="1"/>
    <s v="Столбцы"/>
    <s v="Ягоды"/>
    <s v="Брусника"/>
    <n v="1670"/>
    <n v="18"/>
    <n v="30.06"/>
    <x v="5"/>
  </r>
  <r>
    <s v="15.05.2023 Итог"/>
    <x v="3"/>
    <m/>
    <m/>
    <m/>
    <m/>
    <m/>
    <n v="475.05500000000001"/>
    <x v="5"/>
  </r>
  <r>
    <d v="2023-05-16T00:00:00"/>
    <x v="1"/>
    <s v="Барановичи"/>
    <s v="Зелень"/>
    <s v="Салат айсберг"/>
    <n v="1380"/>
    <n v="43"/>
    <n v="59.34"/>
    <x v="5"/>
  </r>
  <r>
    <d v="2023-05-16T00:00:00"/>
    <x v="2"/>
    <s v="Барановичи"/>
    <s v="Фрукты"/>
    <s v="Апельсины"/>
    <n v="2540"/>
    <n v="21"/>
    <n v="53.34"/>
    <x v="5"/>
  </r>
  <r>
    <d v="2023-05-16T00:00:00"/>
    <x v="2"/>
    <s v="Барановичи"/>
    <s v="Ягоды"/>
    <s v="Клубника"/>
    <n v="2460"/>
    <n v="72"/>
    <n v="177.12"/>
    <x v="5"/>
  </r>
  <r>
    <d v="2023-05-16T00:00:00"/>
    <x v="0"/>
    <s v="Борисов"/>
    <s v="Зелень"/>
    <s v="Салат айсберг"/>
    <n v="1380"/>
    <n v="79"/>
    <n v="109.02"/>
    <x v="5"/>
  </r>
  <r>
    <d v="2023-05-16T00:00:00"/>
    <x v="1"/>
    <s v="Борисов"/>
    <s v="Зелень"/>
    <s v="Лук зеленый"/>
    <n v="705"/>
    <n v="74"/>
    <n v="52.17"/>
    <x v="5"/>
  </r>
  <r>
    <d v="2023-05-16T00:00:00"/>
    <x v="4"/>
    <s v="Жодино"/>
    <s v="Зелень"/>
    <s v="Петрушка"/>
    <n v="640"/>
    <n v="98"/>
    <n v="62.72"/>
    <x v="5"/>
  </r>
  <r>
    <d v="2023-05-16T00:00:00"/>
    <x v="4"/>
    <s v="Минск"/>
    <s v="Ягоды"/>
    <s v="Голубика"/>
    <n v="3205"/>
    <n v="38"/>
    <n v="121.79"/>
    <x v="5"/>
  </r>
  <r>
    <d v="2023-05-16T00:00:00"/>
    <x v="1"/>
    <s v="Столбцы"/>
    <s v="Овощи"/>
    <s v="Картофель"/>
    <n v="690"/>
    <n v="19"/>
    <n v="13.11"/>
    <x v="5"/>
  </r>
  <r>
    <d v="2023-05-16T00:00:00"/>
    <x v="1"/>
    <s v="Фаниполь"/>
    <s v="Зелень"/>
    <s v="Кинза"/>
    <n v="650"/>
    <n v="34"/>
    <n v="22.1"/>
    <x v="5"/>
  </r>
  <r>
    <d v="2023-05-16T00:00:00"/>
    <x v="2"/>
    <s v="Фаниполь"/>
    <s v="Зелень"/>
    <s v="Петрушка"/>
    <n v="640"/>
    <n v="21"/>
    <n v="13.44"/>
    <x v="5"/>
  </r>
  <r>
    <s v="16.05.2023 Итог"/>
    <x v="3"/>
    <m/>
    <m/>
    <m/>
    <m/>
    <m/>
    <n v="684.15000000000009"/>
    <x v="5"/>
  </r>
  <r>
    <d v="2023-05-17T00:00:00"/>
    <x v="1"/>
    <s v="Барановичи"/>
    <s v="Зелень"/>
    <s v="Кинза"/>
    <n v="650"/>
    <n v="27"/>
    <n v="17.55"/>
    <x v="5"/>
  </r>
  <r>
    <d v="2023-05-17T00:00:00"/>
    <x v="2"/>
    <s v="Барановичи"/>
    <s v="Зелень"/>
    <s v="Лук зеленый"/>
    <n v="705"/>
    <n v="57"/>
    <n v="40.185000000000002"/>
    <x v="5"/>
  </r>
  <r>
    <d v="2023-05-17T00:00:00"/>
    <x v="0"/>
    <s v="Барановичи"/>
    <s v="Фрукты"/>
    <s v="Груши"/>
    <n v="1420"/>
    <n v="100"/>
    <n v="142"/>
    <x v="5"/>
  </r>
  <r>
    <d v="2023-05-17T00:00:00"/>
    <x v="2"/>
    <s v="Барановичи"/>
    <s v="Фрукты"/>
    <s v="Бананы"/>
    <n v="2400"/>
    <n v="41"/>
    <n v="98.4"/>
    <x v="5"/>
  </r>
  <r>
    <d v="2023-05-17T00:00:00"/>
    <x v="4"/>
    <s v="Барановичи"/>
    <s v="Ягоды"/>
    <s v="Голубика"/>
    <n v="3205"/>
    <n v="78"/>
    <n v="249.99"/>
    <x v="5"/>
  </r>
  <r>
    <d v="2023-05-17T00:00:00"/>
    <x v="2"/>
    <s v="Борисов"/>
    <s v="Овощи"/>
    <s v="Баклажаны"/>
    <n v="890"/>
    <n v="75"/>
    <n v="66.75"/>
    <x v="5"/>
  </r>
  <r>
    <d v="2023-05-17T00:00:00"/>
    <x v="0"/>
    <s v="Жодино"/>
    <s v="Фрукты"/>
    <s v="Бананы"/>
    <n v="2400"/>
    <n v="43"/>
    <n v="103.2"/>
    <x v="5"/>
  </r>
  <r>
    <d v="2023-05-17T00:00:00"/>
    <x v="1"/>
    <s v="Жодино"/>
    <s v="Ягоды"/>
    <s v="Малина"/>
    <n v="2970"/>
    <n v="27"/>
    <n v="80.19"/>
    <x v="5"/>
  </r>
  <r>
    <d v="2023-05-17T00:00:00"/>
    <x v="0"/>
    <s v="Минск"/>
    <s v="Овощи"/>
    <s v="Капуста"/>
    <n v="460"/>
    <n v="59"/>
    <n v="27.14"/>
    <x v="5"/>
  </r>
  <r>
    <d v="2023-05-17T00:00:00"/>
    <x v="0"/>
    <s v="Минск"/>
    <s v="Ягоды"/>
    <s v="Смородина черная"/>
    <n v="1505"/>
    <n v="98"/>
    <n v="147.49"/>
    <x v="5"/>
  </r>
  <r>
    <s v="17.05.2023 Итог"/>
    <x v="3"/>
    <m/>
    <m/>
    <m/>
    <m/>
    <m/>
    <n v="972.8950000000001"/>
    <x v="5"/>
  </r>
  <r>
    <d v="2023-05-18T00:00:00"/>
    <x v="1"/>
    <s v="Барановичи"/>
    <s v="Овощи"/>
    <s v="Баклажаны"/>
    <n v="890"/>
    <n v="21"/>
    <n v="18.690000000000001"/>
    <x v="5"/>
  </r>
  <r>
    <d v="2023-05-18T00:00:00"/>
    <x v="2"/>
    <s v="Борисов"/>
    <s v="Зелень"/>
    <s v="Салат айсберг"/>
    <n v="1380"/>
    <n v="18"/>
    <n v="24.84"/>
    <x v="5"/>
  </r>
  <r>
    <d v="2023-05-18T00:00:00"/>
    <x v="0"/>
    <s v="Борисов"/>
    <s v="Овощи"/>
    <s v="Свекла"/>
    <n v="450"/>
    <n v="97"/>
    <n v="43.65"/>
    <x v="5"/>
  </r>
  <r>
    <d v="2023-05-18T00:00:00"/>
    <x v="4"/>
    <s v="Борисов"/>
    <s v="Овощи"/>
    <s v="Морковь"/>
    <n v="715"/>
    <n v="89"/>
    <n v="63.634999999999998"/>
    <x v="5"/>
  </r>
  <r>
    <d v="2023-05-18T00:00:00"/>
    <x v="1"/>
    <s v="Минск"/>
    <s v="Зелень"/>
    <s v="Петрушка"/>
    <n v="640"/>
    <n v="40"/>
    <n v="25.6"/>
    <x v="5"/>
  </r>
  <r>
    <d v="2023-05-18T00:00:00"/>
    <x v="2"/>
    <s v="Минск"/>
    <s v="Зелень"/>
    <s v="Петрушка"/>
    <n v="640"/>
    <n v="75"/>
    <n v="48"/>
    <x v="5"/>
  </r>
  <r>
    <d v="2023-05-18T00:00:00"/>
    <x v="1"/>
    <s v="Минск"/>
    <s v="Ягоды"/>
    <s v="Малина"/>
    <n v="2970"/>
    <n v="59"/>
    <n v="175.23"/>
    <x v="5"/>
  </r>
  <r>
    <d v="2023-05-18T00:00:00"/>
    <x v="2"/>
    <s v="Столбцы"/>
    <s v="Ягоды"/>
    <s v="Черешня"/>
    <n v="1760"/>
    <n v="24"/>
    <n v="42.24"/>
    <x v="5"/>
  </r>
  <r>
    <d v="2023-05-18T00:00:00"/>
    <x v="2"/>
    <s v="Фаниполь"/>
    <s v="Ягоды"/>
    <s v="Клубника"/>
    <n v="2460"/>
    <n v="5"/>
    <n v="12.3"/>
    <x v="5"/>
  </r>
  <r>
    <s v="18.05.2023 Итог"/>
    <x v="3"/>
    <m/>
    <m/>
    <m/>
    <m/>
    <m/>
    <n v="454.185"/>
    <x v="5"/>
  </r>
  <r>
    <d v="2023-05-19T00:00:00"/>
    <x v="4"/>
    <s v="Барановичи"/>
    <s v="Зелень"/>
    <s v="Петрушка"/>
    <n v="640"/>
    <n v="60"/>
    <n v="38.4"/>
    <x v="5"/>
  </r>
  <r>
    <d v="2023-05-19T00:00:00"/>
    <x v="1"/>
    <s v="Барановичи"/>
    <s v="Овощи"/>
    <s v="Свекла"/>
    <n v="450"/>
    <n v="86"/>
    <n v="38.700000000000003"/>
    <x v="5"/>
  </r>
  <r>
    <d v="2023-05-19T00:00:00"/>
    <x v="4"/>
    <s v="Барановичи"/>
    <s v="Фрукты"/>
    <s v="Бананы"/>
    <n v="2400"/>
    <n v="23"/>
    <n v="55.2"/>
    <x v="5"/>
  </r>
  <r>
    <d v="2023-05-19T00:00:00"/>
    <x v="1"/>
    <s v="Борисов"/>
    <s v="Овощи"/>
    <s v="Кабачки"/>
    <n v="325"/>
    <n v="48"/>
    <n v="15.6"/>
    <x v="5"/>
  </r>
  <r>
    <d v="2023-05-19T00:00:00"/>
    <x v="0"/>
    <s v="Жодино"/>
    <s v="Ягоды"/>
    <s v="Малина"/>
    <n v="2970"/>
    <n v="59"/>
    <n v="175.23"/>
    <x v="5"/>
  </r>
  <r>
    <d v="2023-05-19T00:00:00"/>
    <x v="4"/>
    <s v="Жодино"/>
    <s v="Ягоды"/>
    <s v="Черешня"/>
    <n v="1760"/>
    <n v="30"/>
    <n v="52.8"/>
    <x v="5"/>
  </r>
  <r>
    <d v="2023-05-19T00:00:00"/>
    <x v="0"/>
    <s v="Минск"/>
    <s v="Овощи"/>
    <s v="Капуста"/>
    <n v="460"/>
    <n v="23"/>
    <n v="10.58"/>
    <x v="5"/>
  </r>
  <r>
    <d v="2023-05-19T00:00:00"/>
    <x v="2"/>
    <s v="Столбцы"/>
    <s v="Овощи"/>
    <s v="Баклажаны"/>
    <n v="890"/>
    <n v="27"/>
    <n v="24.03"/>
    <x v="5"/>
  </r>
  <r>
    <d v="2023-05-19T00:00:00"/>
    <x v="4"/>
    <s v="Столбцы"/>
    <s v="Ягоды"/>
    <s v="Брусника"/>
    <n v="1670"/>
    <n v="32"/>
    <n v="53.44"/>
    <x v="5"/>
  </r>
  <r>
    <d v="2023-05-19T00:00:00"/>
    <x v="0"/>
    <s v="Фаниполь"/>
    <s v="Фрукты"/>
    <s v="Абрикосы"/>
    <n v="1320"/>
    <n v="15"/>
    <n v="19.8"/>
    <x v="5"/>
  </r>
  <r>
    <d v="2023-05-19T00:00:00"/>
    <x v="4"/>
    <s v="Фаниполь"/>
    <s v="Ягоды"/>
    <s v="Голубика"/>
    <n v="3205"/>
    <n v="46"/>
    <n v="147.43"/>
    <x v="5"/>
  </r>
  <r>
    <s v="19.05.2023 Итог"/>
    <x v="3"/>
    <m/>
    <m/>
    <m/>
    <m/>
    <m/>
    <n v="631.21"/>
    <x v="5"/>
  </r>
  <r>
    <d v="2023-05-20T00:00:00"/>
    <x v="0"/>
    <s v="Барановичи"/>
    <s v="Фрукты"/>
    <s v="Груши"/>
    <n v="1420"/>
    <n v="74"/>
    <n v="105.08"/>
    <x v="5"/>
  </r>
  <r>
    <d v="2023-05-20T00:00:00"/>
    <x v="4"/>
    <s v="Борисов"/>
    <s v="Ягоды"/>
    <s v="Смородина черная"/>
    <n v="1505"/>
    <n v="49"/>
    <n v="73.745000000000005"/>
    <x v="5"/>
  </r>
  <r>
    <d v="2023-05-20T00:00:00"/>
    <x v="4"/>
    <s v="Жодино"/>
    <s v="Фрукты"/>
    <s v="Абрикосы"/>
    <n v="1320"/>
    <n v="45"/>
    <n v="59.4"/>
    <x v="5"/>
  </r>
  <r>
    <d v="2023-05-20T00:00:00"/>
    <x v="4"/>
    <s v="Минск"/>
    <s v="Овощи"/>
    <s v="Кабачки"/>
    <n v="325"/>
    <n v="46"/>
    <n v="14.95"/>
    <x v="5"/>
  </r>
  <r>
    <d v="2023-05-20T00:00:00"/>
    <x v="0"/>
    <s v="Столбцы"/>
    <s v="Овощи"/>
    <s v="Картофель"/>
    <n v="690"/>
    <n v="37"/>
    <n v="25.53"/>
    <x v="5"/>
  </r>
  <r>
    <d v="2023-05-20T00:00:00"/>
    <x v="1"/>
    <s v="Столбцы"/>
    <s v="Фрукты"/>
    <s v="Сливы"/>
    <n v="930"/>
    <n v="18"/>
    <n v="16.739999999999998"/>
    <x v="5"/>
  </r>
  <r>
    <d v="2023-05-20T00:00:00"/>
    <x v="4"/>
    <s v="Фаниполь"/>
    <s v="Зелень"/>
    <s v="Укроп"/>
    <n v="650"/>
    <n v="98"/>
    <n v="63.7"/>
    <x v="5"/>
  </r>
  <r>
    <d v="2023-05-20T00:00:00"/>
    <x v="2"/>
    <s v="Фаниполь"/>
    <s v="Овощи"/>
    <s v="Картофель"/>
    <n v="690"/>
    <n v="16"/>
    <n v="11.04"/>
    <x v="5"/>
  </r>
  <r>
    <d v="2023-05-20T00:00:00"/>
    <x v="2"/>
    <s v="Фаниполь"/>
    <s v="Ягоды"/>
    <s v="Черешня"/>
    <n v="1760"/>
    <n v="24"/>
    <n v="42.24"/>
    <x v="5"/>
  </r>
  <r>
    <s v="20.05.2023 Итог"/>
    <x v="3"/>
    <m/>
    <m/>
    <m/>
    <m/>
    <m/>
    <n v="412.42500000000001"/>
    <x v="5"/>
  </r>
  <r>
    <d v="2023-05-21T00:00:00"/>
    <x v="1"/>
    <s v="Барановичи"/>
    <s v="Фрукты"/>
    <s v="Апельсины"/>
    <n v="2540"/>
    <n v="61"/>
    <n v="154.94"/>
    <x v="5"/>
  </r>
  <r>
    <d v="2023-05-21T00:00:00"/>
    <x v="4"/>
    <s v="Борисов"/>
    <s v="Зелень"/>
    <s v="Салат айсберг"/>
    <n v="1380"/>
    <n v="54"/>
    <n v="74.52"/>
    <x v="5"/>
  </r>
  <r>
    <d v="2023-05-21T00:00:00"/>
    <x v="1"/>
    <s v="Борисов"/>
    <s v="Овощи"/>
    <s v="Морковь"/>
    <n v="715"/>
    <n v="17"/>
    <n v="12.154999999999999"/>
    <x v="5"/>
  </r>
  <r>
    <d v="2023-05-21T00:00:00"/>
    <x v="0"/>
    <s v="Борисов"/>
    <s v="Фрукты"/>
    <s v="Сливы"/>
    <n v="930"/>
    <n v="35"/>
    <n v="32.549999999999997"/>
    <x v="5"/>
  </r>
  <r>
    <d v="2023-05-21T00:00:00"/>
    <x v="4"/>
    <s v="Борисов"/>
    <s v="Фрукты"/>
    <s v="Апельсины"/>
    <n v="2540"/>
    <n v="7"/>
    <n v="17.78"/>
    <x v="5"/>
  </r>
  <r>
    <d v="2023-05-21T00:00:00"/>
    <x v="1"/>
    <s v="Жодино"/>
    <s v="Овощи"/>
    <s v="Морковь"/>
    <n v="715"/>
    <n v="20"/>
    <n v="14.3"/>
    <x v="5"/>
  </r>
  <r>
    <d v="2023-05-21T00:00:00"/>
    <x v="4"/>
    <s v="Жодино"/>
    <s v="Ягоды"/>
    <s v="Малина"/>
    <n v="2970"/>
    <n v="72"/>
    <n v="213.84"/>
    <x v="5"/>
  </r>
  <r>
    <d v="2023-05-21T00:00:00"/>
    <x v="2"/>
    <s v="Минск"/>
    <s v="Зелень"/>
    <s v="Салат римский"/>
    <n v="540"/>
    <n v="100"/>
    <n v="54"/>
    <x v="5"/>
  </r>
  <r>
    <d v="2023-05-21T00:00:00"/>
    <x v="1"/>
    <s v="Минск"/>
    <s v="Зелень"/>
    <s v="Кинза"/>
    <n v="650"/>
    <n v="27"/>
    <n v="17.55"/>
    <x v="5"/>
  </r>
  <r>
    <d v="2023-05-21T00:00:00"/>
    <x v="1"/>
    <s v="Фаниполь"/>
    <s v="Зелень"/>
    <s v="Кинза"/>
    <n v="650"/>
    <n v="62"/>
    <n v="40.299999999999997"/>
    <x v="5"/>
  </r>
  <r>
    <d v="2023-05-21T00:00:00"/>
    <x v="4"/>
    <s v="Фаниполь"/>
    <s v="Фрукты"/>
    <s v="Апельсины"/>
    <n v="2540"/>
    <n v="94"/>
    <n v="238.76"/>
    <x v="5"/>
  </r>
  <r>
    <d v="2023-05-21T00:00:00"/>
    <x v="1"/>
    <s v="Фаниполь"/>
    <s v="Ягоды"/>
    <s v="Клубника"/>
    <n v="2460"/>
    <n v="31"/>
    <n v="76.260000000000005"/>
    <x v="5"/>
  </r>
  <r>
    <s v="21.05.2023 Итог"/>
    <x v="3"/>
    <m/>
    <m/>
    <m/>
    <m/>
    <m/>
    <n v="946.95499999999981"/>
    <x v="5"/>
  </r>
  <r>
    <d v="2023-05-22T00:00:00"/>
    <x v="0"/>
    <s v="Барановичи"/>
    <s v="Зелень"/>
    <s v="Салат римский"/>
    <n v="540"/>
    <n v="59"/>
    <n v="31.86"/>
    <x v="5"/>
  </r>
  <r>
    <d v="2023-05-22T00:00:00"/>
    <x v="4"/>
    <s v="Жодино"/>
    <s v="Овощи"/>
    <s v="Капуста"/>
    <n v="460"/>
    <n v="52"/>
    <n v="23.92"/>
    <x v="5"/>
  </r>
  <r>
    <d v="2023-05-22T00:00:00"/>
    <x v="0"/>
    <s v="Минск"/>
    <s v="Зелень"/>
    <s v="Лук зеленый"/>
    <n v="705"/>
    <n v="25"/>
    <n v="17.625"/>
    <x v="5"/>
  </r>
  <r>
    <d v="2023-05-22T00:00:00"/>
    <x v="2"/>
    <s v="Столбцы"/>
    <s v="Фрукты"/>
    <s v="Апельсины"/>
    <n v="2540"/>
    <n v="87"/>
    <n v="220.98"/>
    <x v="5"/>
  </r>
  <r>
    <d v="2023-05-22T00:00:00"/>
    <x v="4"/>
    <s v="Фаниполь"/>
    <s v="Ягоды"/>
    <s v="Голубика"/>
    <n v="3205"/>
    <n v="90"/>
    <n v="288.45"/>
    <x v="5"/>
  </r>
  <r>
    <s v="22.05.2023 Итог"/>
    <x v="3"/>
    <m/>
    <m/>
    <m/>
    <m/>
    <m/>
    <n v="582.83500000000004"/>
    <x v="5"/>
  </r>
  <r>
    <d v="2023-05-23T00:00:00"/>
    <x v="2"/>
    <s v="Барановичи"/>
    <s v="Фрукты"/>
    <s v="Апельсины"/>
    <n v="2540"/>
    <n v="57"/>
    <n v="144.78"/>
    <x v="5"/>
  </r>
  <r>
    <d v="2023-05-23T00:00:00"/>
    <x v="0"/>
    <s v="Борисов"/>
    <s v="Зелень"/>
    <s v="Укроп"/>
    <n v="650"/>
    <n v="8"/>
    <n v="5.2"/>
    <x v="5"/>
  </r>
  <r>
    <d v="2023-05-23T00:00:00"/>
    <x v="4"/>
    <s v="Борисов"/>
    <s v="Овощи"/>
    <s v="Капуста"/>
    <n v="460"/>
    <n v="39"/>
    <n v="17.940000000000001"/>
    <x v="5"/>
  </r>
  <r>
    <d v="2023-05-23T00:00:00"/>
    <x v="1"/>
    <s v="Жодино"/>
    <s v="Зелень"/>
    <s v="Укроп"/>
    <n v="650"/>
    <n v="55"/>
    <n v="35.75"/>
    <x v="5"/>
  </r>
  <r>
    <d v="2023-05-23T00:00:00"/>
    <x v="1"/>
    <s v="Минск"/>
    <s v="Овощи"/>
    <s v="Свекла"/>
    <n v="450"/>
    <n v="86"/>
    <n v="38.700000000000003"/>
    <x v="5"/>
  </r>
  <r>
    <d v="2023-05-23T00:00:00"/>
    <x v="4"/>
    <s v="Столбцы"/>
    <s v="Фрукты"/>
    <s v="Сливы"/>
    <n v="930"/>
    <n v="45"/>
    <n v="41.85"/>
    <x v="5"/>
  </r>
  <r>
    <d v="2023-05-23T00:00:00"/>
    <x v="1"/>
    <s v="Столбцы"/>
    <s v="Фрукты"/>
    <s v="Абрикосы"/>
    <n v="1320"/>
    <n v="82"/>
    <n v="108.24"/>
    <x v="5"/>
  </r>
  <r>
    <d v="2023-05-23T00:00:00"/>
    <x v="4"/>
    <s v="Фаниполь"/>
    <s v="Фрукты"/>
    <s v="Апельсины"/>
    <n v="2540"/>
    <n v="97"/>
    <n v="246.38"/>
    <x v="5"/>
  </r>
  <r>
    <d v="2023-05-23T00:00:00"/>
    <x v="4"/>
    <s v="Фаниполь"/>
    <s v="Ягоды"/>
    <s v="Смородина черная"/>
    <n v="1505"/>
    <n v="32"/>
    <n v="48.16"/>
    <x v="5"/>
  </r>
  <r>
    <s v="23.05.2023 Итог"/>
    <x v="3"/>
    <m/>
    <m/>
    <m/>
    <m/>
    <m/>
    <n v="687"/>
    <x v="5"/>
  </r>
  <r>
    <d v="2023-05-24T00:00:00"/>
    <x v="2"/>
    <s v="Барановичи"/>
    <s v="Овощи"/>
    <s v="Капуста"/>
    <n v="460"/>
    <n v="8"/>
    <n v="3.68"/>
    <x v="5"/>
  </r>
  <r>
    <d v="2023-05-24T00:00:00"/>
    <x v="4"/>
    <s v="Барановичи"/>
    <s v="Ягоды"/>
    <s v="Клубника"/>
    <n v="2460"/>
    <n v="8"/>
    <n v="19.68"/>
    <x v="5"/>
  </r>
  <r>
    <d v="2023-05-24T00:00:00"/>
    <x v="4"/>
    <s v="Жодино"/>
    <s v="Ягоды"/>
    <s v="Малина"/>
    <n v="2970"/>
    <n v="27"/>
    <n v="80.19"/>
    <x v="5"/>
  </r>
  <r>
    <d v="2023-05-24T00:00:00"/>
    <x v="2"/>
    <s v="Минск"/>
    <s v="Зелень"/>
    <s v="Салат римский"/>
    <n v="540"/>
    <n v="60"/>
    <n v="32.4"/>
    <x v="5"/>
  </r>
  <r>
    <d v="2023-05-24T00:00:00"/>
    <x v="2"/>
    <s v="Минск"/>
    <s v="Овощи"/>
    <s v="Кабачки"/>
    <n v="325"/>
    <n v="12"/>
    <n v="3.9"/>
    <x v="5"/>
  </r>
  <r>
    <d v="2023-05-24T00:00:00"/>
    <x v="0"/>
    <s v="Минск"/>
    <s v="Овощи"/>
    <s v="Кабачки"/>
    <n v="325"/>
    <n v="17"/>
    <n v="5.5250000000000004"/>
    <x v="5"/>
  </r>
  <r>
    <d v="2023-05-24T00:00:00"/>
    <x v="1"/>
    <s v="Минск"/>
    <s v="Фрукты"/>
    <s v="Бананы"/>
    <n v="2400"/>
    <n v="36"/>
    <n v="86.4"/>
    <x v="5"/>
  </r>
  <r>
    <d v="2023-05-24T00:00:00"/>
    <x v="2"/>
    <s v="Столбцы"/>
    <s v="Зелень"/>
    <s v="Салат римский"/>
    <n v="540"/>
    <n v="19"/>
    <n v="10.26"/>
    <x v="5"/>
  </r>
  <r>
    <d v="2023-05-24T00:00:00"/>
    <x v="0"/>
    <s v="Столбцы"/>
    <s v="Овощи"/>
    <s v="Картофель"/>
    <n v="690"/>
    <n v="20"/>
    <n v="13.8"/>
    <x v="5"/>
  </r>
  <r>
    <d v="2023-05-24T00:00:00"/>
    <x v="1"/>
    <s v="Столбцы"/>
    <s v="Ягоды"/>
    <s v="Черешня"/>
    <n v="1760"/>
    <n v="48"/>
    <n v="84.48"/>
    <x v="5"/>
  </r>
  <r>
    <s v="24.05.2023 Итог"/>
    <x v="3"/>
    <m/>
    <m/>
    <m/>
    <m/>
    <m/>
    <n v="340.315"/>
    <x v="5"/>
  </r>
  <r>
    <d v="2023-05-25T00:00:00"/>
    <x v="2"/>
    <s v="Барановичи"/>
    <s v="Зелень"/>
    <s v="Салат айсберг"/>
    <n v="1380"/>
    <n v="83"/>
    <n v="114.54"/>
    <x v="5"/>
  </r>
  <r>
    <d v="2023-05-25T00:00:00"/>
    <x v="0"/>
    <s v="Барановичи"/>
    <s v="Ягоды"/>
    <s v="Смородина черная"/>
    <n v="1505"/>
    <n v="63"/>
    <n v="94.814999999999998"/>
    <x v="5"/>
  </r>
  <r>
    <d v="2023-05-25T00:00:00"/>
    <x v="0"/>
    <s v="Борисов"/>
    <s v="Овощи"/>
    <s v="Картофель"/>
    <n v="690"/>
    <n v="13"/>
    <n v="8.9700000000000006"/>
    <x v="5"/>
  </r>
  <r>
    <d v="2023-05-25T00:00:00"/>
    <x v="1"/>
    <s v="Борисов"/>
    <s v="Овощи"/>
    <s v="Баклажаны"/>
    <n v="890"/>
    <n v="69"/>
    <n v="61.41"/>
    <x v="5"/>
  </r>
  <r>
    <d v="2023-05-25T00:00:00"/>
    <x v="2"/>
    <s v="Борисов"/>
    <s v="Овощи"/>
    <s v="Баклажаны"/>
    <n v="890"/>
    <n v="86"/>
    <n v="76.540000000000006"/>
    <x v="5"/>
  </r>
  <r>
    <d v="2023-05-25T00:00:00"/>
    <x v="0"/>
    <s v="Борисов"/>
    <s v="Овощи"/>
    <s v="Морковь"/>
    <n v="715"/>
    <n v="88"/>
    <n v="62.92"/>
    <x v="5"/>
  </r>
  <r>
    <d v="2023-05-25T00:00:00"/>
    <x v="1"/>
    <s v="Борисов"/>
    <s v="Ягоды"/>
    <s v="Брусника"/>
    <n v="1670"/>
    <n v="44"/>
    <n v="73.48"/>
    <x v="5"/>
  </r>
  <r>
    <d v="2023-05-25T00:00:00"/>
    <x v="0"/>
    <s v="Жодино"/>
    <s v="Зелень"/>
    <s v="Укроп"/>
    <n v="650"/>
    <n v="72"/>
    <n v="46.8"/>
    <x v="5"/>
  </r>
  <r>
    <d v="2023-05-25T00:00:00"/>
    <x v="1"/>
    <s v="Жодино"/>
    <s v="Зелень"/>
    <s v="Салат римский"/>
    <n v="540"/>
    <n v="91"/>
    <n v="49.14"/>
    <x v="5"/>
  </r>
  <r>
    <d v="2023-05-25T00:00:00"/>
    <x v="4"/>
    <s v="Столбцы"/>
    <s v="Овощи"/>
    <s v="Кабачки"/>
    <n v="325"/>
    <n v="61"/>
    <n v="19.824999999999999"/>
    <x v="5"/>
  </r>
  <r>
    <d v="2023-05-25T00:00:00"/>
    <x v="4"/>
    <s v="Столбцы"/>
    <s v="Фрукты"/>
    <s v="Груши"/>
    <n v="1420"/>
    <n v="82"/>
    <n v="116.44"/>
    <x v="5"/>
  </r>
  <r>
    <d v="2023-05-25T00:00:00"/>
    <x v="4"/>
    <s v="Столбцы"/>
    <s v="Ягоды"/>
    <s v="Смородина черная"/>
    <n v="1505"/>
    <n v="59"/>
    <n v="88.795000000000002"/>
    <x v="5"/>
  </r>
  <r>
    <d v="2023-05-25T00:00:00"/>
    <x v="2"/>
    <s v="Фаниполь"/>
    <s v="Зелень"/>
    <s v="Лук зеленый"/>
    <n v="705"/>
    <n v="50"/>
    <n v="35.25"/>
    <x v="5"/>
  </r>
  <r>
    <s v="25.05.2023 Итог"/>
    <x v="3"/>
    <m/>
    <m/>
    <m/>
    <m/>
    <m/>
    <n v="848.92500000000007"/>
    <x v="5"/>
  </r>
  <r>
    <d v="2023-05-26T00:00:00"/>
    <x v="1"/>
    <s v="Барановичи"/>
    <s v="Овощи"/>
    <s v="Свекла"/>
    <n v="450"/>
    <n v="89"/>
    <n v="40.049999999999997"/>
    <x v="5"/>
  </r>
  <r>
    <d v="2023-05-26T00:00:00"/>
    <x v="4"/>
    <s v="Барановичи"/>
    <s v="Овощи"/>
    <s v="Баклажаны"/>
    <n v="890"/>
    <n v="97"/>
    <n v="86.33"/>
    <x v="5"/>
  </r>
  <r>
    <d v="2023-05-26T00:00:00"/>
    <x v="4"/>
    <s v="Барановичи"/>
    <s v="Овощи"/>
    <s v="Картофель"/>
    <n v="690"/>
    <n v="95"/>
    <n v="65.55"/>
    <x v="5"/>
  </r>
  <r>
    <d v="2023-05-26T00:00:00"/>
    <x v="0"/>
    <s v="Барановичи"/>
    <s v="Овощи"/>
    <s v="Капуста"/>
    <n v="460"/>
    <n v="21"/>
    <n v="9.66"/>
    <x v="5"/>
  </r>
  <r>
    <d v="2023-05-26T00:00:00"/>
    <x v="1"/>
    <s v="Барановичи"/>
    <s v="Овощи"/>
    <s v="Баклажаны"/>
    <n v="890"/>
    <n v="9"/>
    <n v="8.01"/>
    <x v="5"/>
  </r>
  <r>
    <d v="2023-05-26T00:00:00"/>
    <x v="1"/>
    <s v="Барановичи"/>
    <s v="Фрукты"/>
    <s v="Абрикосы"/>
    <n v="1320"/>
    <n v="22"/>
    <n v="29.04"/>
    <x v="5"/>
  </r>
  <r>
    <d v="2023-05-26T00:00:00"/>
    <x v="4"/>
    <s v="Барановичи"/>
    <s v="Ягоды"/>
    <s v="Брусника"/>
    <n v="1670"/>
    <n v="90"/>
    <n v="150.30000000000001"/>
    <x v="5"/>
  </r>
  <r>
    <d v="2023-05-26T00:00:00"/>
    <x v="0"/>
    <s v="Жодино"/>
    <s v="Фрукты"/>
    <s v="Апельсины"/>
    <n v="2540"/>
    <n v="97"/>
    <n v="246.38"/>
    <x v="5"/>
  </r>
  <r>
    <d v="2023-05-26T00:00:00"/>
    <x v="1"/>
    <s v="Жодино"/>
    <s v="Ягоды"/>
    <s v="Брусника"/>
    <n v="1670"/>
    <n v="14"/>
    <n v="23.38"/>
    <x v="5"/>
  </r>
  <r>
    <d v="2023-05-26T00:00:00"/>
    <x v="2"/>
    <s v="Минск"/>
    <s v="Зелень"/>
    <s v="Укроп"/>
    <n v="650"/>
    <n v="30"/>
    <n v="19.5"/>
    <x v="5"/>
  </r>
  <r>
    <d v="2023-05-26T00:00:00"/>
    <x v="0"/>
    <s v="Минск"/>
    <s v="Овощи"/>
    <s v="Свекла"/>
    <n v="450"/>
    <n v="52"/>
    <n v="23.4"/>
    <x v="5"/>
  </r>
  <r>
    <d v="2023-05-26T00:00:00"/>
    <x v="0"/>
    <s v="Фаниполь"/>
    <s v="Овощи"/>
    <s v="Свекла"/>
    <n v="450"/>
    <n v="61"/>
    <n v="27.45"/>
    <x v="5"/>
  </r>
  <r>
    <s v="26.05.2023 Итог"/>
    <x v="3"/>
    <m/>
    <m/>
    <m/>
    <m/>
    <m/>
    <n v="729.05"/>
    <x v="5"/>
  </r>
  <r>
    <d v="2023-05-27T00:00:00"/>
    <x v="4"/>
    <s v="Барановичи"/>
    <s v="Зелень"/>
    <s v="Салат айсберг"/>
    <n v="1380"/>
    <n v="10"/>
    <n v="13.8"/>
    <x v="5"/>
  </r>
  <r>
    <d v="2023-05-27T00:00:00"/>
    <x v="4"/>
    <s v="Барановичи"/>
    <s v="Ягоды"/>
    <s v="Брусника"/>
    <n v="1670"/>
    <n v="85"/>
    <n v="141.94999999999999"/>
    <x v="5"/>
  </r>
  <r>
    <d v="2023-05-27T00:00:00"/>
    <x v="0"/>
    <s v="Жодино"/>
    <s v="Зелень"/>
    <s v="Укроп"/>
    <n v="650"/>
    <n v="58"/>
    <n v="37.700000000000003"/>
    <x v="5"/>
  </r>
  <r>
    <d v="2023-05-27T00:00:00"/>
    <x v="0"/>
    <s v="Жодино"/>
    <s v="Фрукты"/>
    <s v="Абрикосы"/>
    <n v="1320"/>
    <n v="61"/>
    <n v="80.52"/>
    <x v="5"/>
  </r>
  <r>
    <d v="2023-05-27T00:00:00"/>
    <x v="1"/>
    <s v="Столбцы"/>
    <s v="Ягоды"/>
    <s v="Черешня"/>
    <n v="1760"/>
    <n v="45"/>
    <n v="79.2"/>
    <x v="5"/>
  </r>
  <r>
    <d v="2023-05-27T00:00:00"/>
    <x v="0"/>
    <s v="Столбцы"/>
    <s v="Ягоды"/>
    <s v="Клубника"/>
    <n v="2460"/>
    <n v="5"/>
    <n v="12.3"/>
    <x v="5"/>
  </r>
  <r>
    <s v="27.05.2023 Итог"/>
    <x v="3"/>
    <m/>
    <m/>
    <m/>
    <m/>
    <m/>
    <n v="365.46999999999997"/>
    <x v="5"/>
  </r>
  <r>
    <d v="2023-05-28T00:00:00"/>
    <x v="1"/>
    <s v="Борисов"/>
    <s v="Овощи"/>
    <s v="Морковь"/>
    <n v="715"/>
    <n v="75"/>
    <n v="53.625"/>
    <x v="5"/>
  </r>
  <r>
    <d v="2023-05-28T00:00:00"/>
    <x v="1"/>
    <s v="Жодино"/>
    <s v="Ягоды"/>
    <s v="Брусника"/>
    <n v="1670"/>
    <n v="37"/>
    <n v="61.79"/>
    <x v="5"/>
  </r>
  <r>
    <d v="2023-05-28T00:00:00"/>
    <x v="4"/>
    <s v="Столбцы"/>
    <s v="Фрукты"/>
    <s v="Сливы"/>
    <n v="930"/>
    <n v="56"/>
    <n v="52.08"/>
    <x v="5"/>
  </r>
  <r>
    <d v="2023-05-28T00:00:00"/>
    <x v="4"/>
    <s v="Фаниполь"/>
    <s v="Овощи"/>
    <s v="Баклажаны"/>
    <n v="890"/>
    <n v="25"/>
    <n v="22.25"/>
    <x v="5"/>
  </r>
  <r>
    <d v="2023-05-28T00:00:00"/>
    <x v="2"/>
    <s v="Фаниполь"/>
    <s v="Фрукты"/>
    <s v="Бананы"/>
    <n v="2400"/>
    <n v="67"/>
    <n v="160.80000000000001"/>
    <x v="5"/>
  </r>
  <r>
    <s v="28.05.2023 Итог"/>
    <x v="3"/>
    <m/>
    <m/>
    <m/>
    <m/>
    <m/>
    <n v="350.54500000000002"/>
    <x v="5"/>
  </r>
  <r>
    <d v="2023-05-29T00:00:00"/>
    <x v="4"/>
    <s v="Барановичи"/>
    <s v="Зелень"/>
    <s v="Петрушка"/>
    <n v="640"/>
    <n v="7"/>
    <n v="4.4800000000000004"/>
    <x v="5"/>
  </r>
  <r>
    <d v="2023-05-29T00:00:00"/>
    <x v="1"/>
    <s v="Борисов"/>
    <s v="Зелень"/>
    <s v="Петрушка"/>
    <n v="640"/>
    <n v="52"/>
    <n v="33.28"/>
    <x v="5"/>
  </r>
  <r>
    <d v="2023-05-29T00:00:00"/>
    <x v="0"/>
    <s v="Борисов"/>
    <s v="Фрукты"/>
    <s v="Груши"/>
    <n v="1420"/>
    <n v="93"/>
    <n v="132.06"/>
    <x v="5"/>
  </r>
  <r>
    <d v="2023-05-29T00:00:00"/>
    <x v="2"/>
    <s v="Борисов"/>
    <s v="Ягоды"/>
    <s v="Брусника"/>
    <n v="1670"/>
    <n v="6"/>
    <n v="10.02"/>
    <x v="5"/>
  </r>
  <r>
    <d v="2023-05-29T00:00:00"/>
    <x v="0"/>
    <s v="Жодино"/>
    <s v="Овощи"/>
    <s v="Свекла"/>
    <n v="450"/>
    <n v="18"/>
    <n v="8.1"/>
    <x v="5"/>
  </r>
  <r>
    <d v="2023-05-29T00:00:00"/>
    <x v="0"/>
    <s v="Жодино"/>
    <s v="Овощи"/>
    <s v="Капуста"/>
    <n v="460"/>
    <n v="17"/>
    <n v="7.82"/>
    <x v="5"/>
  </r>
  <r>
    <d v="2023-05-29T00:00:00"/>
    <x v="4"/>
    <s v="Жодино"/>
    <s v="Фрукты"/>
    <s v="Бананы"/>
    <n v="2400"/>
    <n v="88"/>
    <n v="211.2"/>
    <x v="5"/>
  </r>
  <r>
    <d v="2023-05-29T00:00:00"/>
    <x v="0"/>
    <s v="Жодино"/>
    <s v="Ягоды"/>
    <s v="Малина"/>
    <n v="2970"/>
    <n v="68"/>
    <n v="201.96"/>
    <x v="5"/>
  </r>
  <r>
    <d v="2023-05-29T00:00:00"/>
    <x v="1"/>
    <s v="Минск"/>
    <s v="Овощи"/>
    <s v="Баклажаны"/>
    <n v="890"/>
    <n v="95"/>
    <n v="84.55"/>
    <x v="5"/>
  </r>
  <r>
    <d v="2023-05-29T00:00:00"/>
    <x v="4"/>
    <s v="Минск"/>
    <s v="Ягоды"/>
    <s v="Голубика"/>
    <n v="3205"/>
    <n v="94"/>
    <n v="301.27"/>
    <x v="5"/>
  </r>
  <r>
    <d v="2023-05-29T00:00:00"/>
    <x v="4"/>
    <s v="Столбцы"/>
    <s v="Овощи"/>
    <s v="Картофель"/>
    <n v="690"/>
    <n v="30"/>
    <n v="20.7"/>
    <x v="5"/>
  </r>
  <r>
    <d v="2023-05-29T00:00:00"/>
    <x v="4"/>
    <s v="Столбцы"/>
    <s v="Фрукты"/>
    <s v="Яблоки"/>
    <n v="1230"/>
    <n v="68"/>
    <n v="83.64"/>
    <x v="5"/>
  </r>
  <r>
    <d v="2023-05-29T00:00:00"/>
    <x v="1"/>
    <s v="Столбцы"/>
    <s v="Фрукты"/>
    <s v="Яблоки"/>
    <n v="1230"/>
    <n v="32"/>
    <n v="39.36"/>
    <x v="5"/>
  </r>
  <r>
    <d v="2023-05-29T00:00:00"/>
    <x v="2"/>
    <s v="Фаниполь"/>
    <s v="Зелень"/>
    <s v="Кинза"/>
    <n v="650"/>
    <n v="17"/>
    <n v="11.05"/>
    <x v="5"/>
  </r>
  <r>
    <s v="29.05.2023 Итог"/>
    <x v="3"/>
    <m/>
    <m/>
    <m/>
    <m/>
    <m/>
    <n v="1149.4899999999998"/>
    <x v="5"/>
  </r>
  <r>
    <d v="2023-05-30T00:00:00"/>
    <x v="4"/>
    <s v="Борисов"/>
    <s v="Овощи"/>
    <s v="Морковь"/>
    <n v="715"/>
    <n v="91"/>
    <n v="65.064999999999998"/>
    <x v="5"/>
  </r>
  <r>
    <d v="2023-05-30T00:00:00"/>
    <x v="4"/>
    <s v="Борисов"/>
    <s v="Ягоды"/>
    <s v="Смородина черная"/>
    <n v="1505"/>
    <n v="35"/>
    <n v="52.674999999999997"/>
    <x v="5"/>
  </r>
  <r>
    <d v="2023-05-30T00:00:00"/>
    <x v="1"/>
    <s v="Минск"/>
    <s v="Овощи"/>
    <s v="Морковь"/>
    <n v="715"/>
    <n v="8"/>
    <n v="5.72"/>
    <x v="5"/>
  </r>
  <r>
    <d v="2023-05-30T00:00:00"/>
    <x v="2"/>
    <s v="Минск"/>
    <s v="Овощи"/>
    <s v="Картофель"/>
    <n v="690"/>
    <n v="42"/>
    <n v="28.98"/>
    <x v="5"/>
  </r>
  <r>
    <d v="2023-05-30T00:00:00"/>
    <x v="4"/>
    <s v="Минск"/>
    <s v="Ягоды"/>
    <s v="Клубника"/>
    <n v="2460"/>
    <n v="11"/>
    <n v="27.06"/>
    <x v="5"/>
  </r>
  <r>
    <d v="2023-05-30T00:00:00"/>
    <x v="4"/>
    <s v="Столбцы"/>
    <s v="Ягоды"/>
    <s v="Черешня"/>
    <n v="1760"/>
    <n v="63"/>
    <n v="110.88"/>
    <x v="5"/>
  </r>
  <r>
    <d v="2023-05-30T00:00:00"/>
    <x v="2"/>
    <s v="Фаниполь"/>
    <s v="Овощи"/>
    <s v="Морковь"/>
    <n v="715"/>
    <n v="12"/>
    <n v="8.58"/>
    <x v="5"/>
  </r>
  <r>
    <d v="2023-05-30T00:00:00"/>
    <x v="4"/>
    <s v="Фаниполь"/>
    <s v="Фрукты"/>
    <s v="Абрикосы"/>
    <n v="1320"/>
    <n v="24"/>
    <n v="31.68"/>
    <x v="5"/>
  </r>
  <r>
    <s v="30.05.2023 Итог"/>
    <x v="3"/>
    <m/>
    <m/>
    <m/>
    <m/>
    <m/>
    <n v="330.64"/>
    <x v="5"/>
  </r>
  <r>
    <d v="2023-05-31T00:00:00"/>
    <x v="0"/>
    <s v="Барановичи"/>
    <s v="Фрукты"/>
    <s v="Абрикосы"/>
    <n v="1320"/>
    <n v="36"/>
    <n v="47.52"/>
    <x v="5"/>
  </r>
  <r>
    <d v="2023-05-31T00:00:00"/>
    <x v="1"/>
    <s v="Барановичи"/>
    <s v="Фрукты"/>
    <s v="Яблоки"/>
    <n v="1230"/>
    <n v="36"/>
    <n v="44.28"/>
    <x v="5"/>
  </r>
  <r>
    <d v="2023-05-31T00:00:00"/>
    <x v="0"/>
    <s v="Борисов"/>
    <s v="Зелень"/>
    <s v="Лук зеленый"/>
    <n v="705"/>
    <n v="70"/>
    <n v="49.35"/>
    <x v="5"/>
  </r>
  <r>
    <d v="2023-05-31T00:00:00"/>
    <x v="4"/>
    <s v="Борисов"/>
    <s v="Овощи"/>
    <s v="Картофель"/>
    <n v="690"/>
    <n v="94"/>
    <n v="64.86"/>
    <x v="5"/>
  </r>
  <r>
    <d v="2023-05-31T00:00:00"/>
    <x v="4"/>
    <s v="Борисов"/>
    <s v="Ягоды"/>
    <s v="Малина"/>
    <n v="2970"/>
    <n v="38"/>
    <n v="112.86"/>
    <x v="5"/>
  </r>
  <r>
    <d v="2023-05-31T00:00:00"/>
    <x v="1"/>
    <s v="Жодино"/>
    <s v="Овощи"/>
    <s v="Свекла"/>
    <n v="450"/>
    <n v="62"/>
    <n v="27.9"/>
    <x v="5"/>
  </r>
  <r>
    <d v="2023-05-31T00:00:00"/>
    <x v="4"/>
    <s v="Минск"/>
    <s v="Зелень"/>
    <s v="Петрушка"/>
    <n v="640"/>
    <n v="73"/>
    <n v="46.72"/>
    <x v="5"/>
  </r>
  <r>
    <d v="2023-05-31T00:00:00"/>
    <x v="2"/>
    <s v="Столбцы"/>
    <s v="Зелень"/>
    <s v="Лук зеленый"/>
    <n v="705"/>
    <n v="26"/>
    <n v="18.329999999999998"/>
    <x v="5"/>
  </r>
  <r>
    <d v="2023-05-31T00:00:00"/>
    <x v="2"/>
    <s v="Столбцы"/>
    <s v="Овощи"/>
    <s v="Капуста"/>
    <n v="460"/>
    <n v="48"/>
    <n v="22.08"/>
    <x v="5"/>
  </r>
  <r>
    <d v="2023-05-31T00:00:00"/>
    <x v="1"/>
    <s v="Фаниполь"/>
    <s v="Овощи"/>
    <s v="Капуста"/>
    <n v="460"/>
    <n v="63"/>
    <n v="28.98"/>
    <x v="5"/>
  </r>
  <r>
    <d v="2023-05-31T00:00:00"/>
    <x v="0"/>
    <s v="Фаниполь"/>
    <s v="Ягоды"/>
    <s v="Голубика"/>
    <n v="3205"/>
    <n v="99"/>
    <n v="317.29500000000002"/>
    <x v="5"/>
  </r>
  <r>
    <s v="31.05.2023 Итог"/>
    <x v="3"/>
    <m/>
    <m/>
    <m/>
    <m/>
    <m/>
    <n v="780.17499999999995"/>
    <x v="1"/>
  </r>
  <r>
    <d v="2023-06-01T00:00:00"/>
    <x v="2"/>
    <s v="Барановичи"/>
    <s v="Зелень"/>
    <s v="Салат римский"/>
    <n v="540"/>
    <n v="28"/>
    <n v="15.12"/>
    <x v="6"/>
  </r>
  <r>
    <d v="2023-06-01T00:00:00"/>
    <x v="1"/>
    <s v="Барановичи"/>
    <s v="Ягоды"/>
    <s v="Клубника"/>
    <n v="2460"/>
    <n v="73"/>
    <n v="179.58"/>
    <x v="6"/>
  </r>
  <r>
    <d v="2023-06-01T00:00:00"/>
    <x v="4"/>
    <s v="Барановичи"/>
    <s v="Ягоды"/>
    <s v="Брусника"/>
    <n v="1670"/>
    <n v="30"/>
    <n v="50.1"/>
    <x v="6"/>
  </r>
  <r>
    <d v="2023-06-01T00:00:00"/>
    <x v="4"/>
    <s v="Борисов"/>
    <s v="Овощи"/>
    <s v="Свекла"/>
    <n v="450"/>
    <n v="9"/>
    <n v="4.05"/>
    <x v="6"/>
  </r>
  <r>
    <d v="2023-06-01T00:00:00"/>
    <x v="1"/>
    <s v="Минск"/>
    <s v="Зелень"/>
    <s v="Кинза"/>
    <n v="650"/>
    <n v="28"/>
    <n v="18.2"/>
    <x v="6"/>
  </r>
  <r>
    <d v="2023-06-01T00:00:00"/>
    <x v="2"/>
    <s v="Минск"/>
    <s v="Фрукты"/>
    <s v="Апельсины"/>
    <n v="2540"/>
    <n v="44"/>
    <n v="111.76"/>
    <x v="6"/>
  </r>
  <r>
    <d v="2023-06-01T00:00:00"/>
    <x v="4"/>
    <s v="Минск"/>
    <s v="Ягоды"/>
    <s v="Черешня"/>
    <n v="1760"/>
    <n v="72"/>
    <n v="126.72"/>
    <x v="6"/>
  </r>
  <r>
    <d v="2023-06-01T00:00:00"/>
    <x v="4"/>
    <s v="Минск"/>
    <s v="Ягоды"/>
    <s v="Малина"/>
    <n v="2970"/>
    <n v="72"/>
    <n v="213.84"/>
    <x v="6"/>
  </r>
  <r>
    <d v="2023-06-01T00:00:00"/>
    <x v="2"/>
    <s v="Столбцы"/>
    <s v="Зелень"/>
    <s v="Салат айсберг"/>
    <n v="1380"/>
    <n v="51"/>
    <n v="70.38"/>
    <x v="6"/>
  </r>
  <r>
    <d v="2023-06-01T00:00:00"/>
    <x v="2"/>
    <s v="Столбцы"/>
    <s v="Фрукты"/>
    <s v="Абрикосы"/>
    <n v="1320"/>
    <n v="73"/>
    <n v="96.36"/>
    <x v="6"/>
  </r>
  <r>
    <d v="2023-06-01T00:00:00"/>
    <x v="4"/>
    <s v="Фаниполь"/>
    <s v="Фрукты"/>
    <s v="Груши"/>
    <n v="1420"/>
    <n v="53"/>
    <n v="75.260000000000005"/>
    <x v="6"/>
  </r>
  <r>
    <d v="2023-06-01T00:00:00"/>
    <x v="4"/>
    <s v="Фаниполь"/>
    <s v="Фрукты"/>
    <s v="Абрикосы"/>
    <n v="1320"/>
    <n v="61"/>
    <n v="80.52"/>
    <x v="6"/>
  </r>
  <r>
    <s v="01.06.2023 Итог"/>
    <x v="3"/>
    <m/>
    <m/>
    <m/>
    <m/>
    <m/>
    <n v="1041.8900000000001"/>
    <x v="6"/>
  </r>
  <r>
    <d v="2023-06-02T00:00:00"/>
    <x v="2"/>
    <s v="Борисов"/>
    <s v="Овощи"/>
    <s v="Картофель"/>
    <n v="690"/>
    <n v="50"/>
    <n v="34.5"/>
    <x v="6"/>
  </r>
  <r>
    <d v="2023-06-02T00:00:00"/>
    <x v="0"/>
    <s v="Борисов"/>
    <s v="Овощи"/>
    <s v="Картофель"/>
    <n v="690"/>
    <n v="82"/>
    <n v="56.58"/>
    <x v="6"/>
  </r>
  <r>
    <d v="2023-06-02T00:00:00"/>
    <x v="4"/>
    <s v="Столбцы"/>
    <s v="Фрукты"/>
    <s v="Сливы"/>
    <n v="930"/>
    <n v="43"/>
    <n v="39.99"/>
    <x v="6"/>
  </r>
  <r>
    <d v="2023-06-02T00:00:00"/>
    <x v="1"/>
    <s v="Столбцы"/>
    <s v="Ягоды"/>
    <s v="Малина"/>
    <n v="2970"/>
    <n v="61"/>
    <n v="181.17"/>
    <x v="6"/>
  </r>
  <r>
    <d v="2023-06-02T00:00:00"/>
    <x v="2"/>
    <s v="Фаниполь"/>
    <s v="Зелень"/>
    <s v="Лук зеленый"/>
    <n v="705"/>
    <n v="70"/>
    <n v="49.35"/>
    <x v="6"/>
  </r>
  <r>
    <d v="2023-06-02T00:00:00"/>
    <x v="2"/>
    <s v="Фаниполь"/>
    <s v="Зелень"/>
    <s v="Салат римский"/>
    <n v="540"/>
    <n v="76"/>
    <n v="41.04"/>
    <x v="6"/>
  </r>
  <r>
    <s v="02.06.2023 Итог"/>
    <x v="3"/>
    <m/>
    <m/>
    <m/>
    <m/>
    <m/>
    <n v="402.63000000000005"/>
    <x v="6"/>
  </r>
  <r>
    <d v="2023-06-03T00:00:00"/>
    <x v="0"/>
    <s v="Минск"/>
    <s v="Зелень"/>
    <s v="Салат римский"/>
    <n v="540"/>
    <n v="62"/>
    <n v="33.479999999999997"/>
    <x v="6"/>
  </r>
  <r>
    <d v="2023-06-03T00:00:00"/>
    <x v="4"/>
    <s v="Столбцы"/>
    <s v="Зелень"/>
    <s v="Укроп"/>
    <n v="650"/>
    <n v="12"/>
    <n v="7.8"/>
    <x v="6"/>
  </r>
  <r>
    <d v="2023-06-03T00:00:00"/>
    <x v="2"/>
    <s v="Столбцы"/>
    <s v="Овощи"/>
    <s v="Картофель"/>
    <n v="690"/>
    <n v="69"/>
    <n v="47.61"/>
    <x v="6"/>
  </r>
  <r>
    <d v="2023-06-03T00:00:00"/>
    <x v="2"/>
    <s v="Фаниполь"/>
    <s v="Зелень"/>
    <s v="Кинза"/>
    <n v="650"/>
    <n v="69"/>
    <n v="44.85"/>
    <x v="6"/>
  </r>
  <r>
    <s v="03.06.2023 Итог"/>
    <x v="3"/>
    <m/>
    <m/>
    <m/>
    <m/>
    <m/>
    <n v="133.73999999999998"/>
    <x v="6"/>
  </r>
  <r>
    <d v="2023-06-04T00:00:00"/>
    <x v="2"/>
    <s v="Барановичи"/>
    <s v="Овощи"/>
    <s v="Кабачки"/>
    <n v="325"/>
    <n v="69"/>
    <n v="22.425000000000001"/>
    <x v="6"/>
  </r>
  <r>
    <d v="2023-06-04T00:00:00"/>
    <x v="1"/>
    <s v="Борисов"/>
    <s v="Зелень"/>
    <s v="Петрушка"/>
    <n v="640"/>
    <n v="6"/>
    <n v="3.84"/>
    <x v="6"/>
  </r>
  <r>
    <d v="2023-06-04T00:00:00"/>
    <x v="0"/>
    <s v="Борисов"/>
    <s v="Овощи"/>
    <s v="Морковь"/>
    <n v="715"/>
    <n v="82"/>
    <n v="58.63"/>
    <x v="6"/>
  </r>
  <r>
    <d v="2023-06-04T00:00:00"/>
    <x v="4"/>
    <s v="Жодино"/>
    <s v="Зелень"/>
    <s v="Кинза"/>
    <n v="650"/>
    <n v="31"/>
    <n v="20.149999999999999"/>
    <x v="6"/>
  </r>
  <r>
    <d v="2023-06-04T00:00:00"/>
    <x v="4"/>
    <s v="Жодино"/>
    <s v="Фрукты"/>
    <s v="Груши"/>
    <n v="1420"/>
    <n v="61"/>
    <n v="86.62"/>
    <x v="6"/>
  </r>
  <r>
    <d v="2023-06-04T00:00:00"/>
    <x v="2"/>
    <s v="Минск"/>
    <s v="Ягоды"/>
    <s v="Смородина черная"/>
    <n v="1505"/>
    <n v="67"/>
    <n v="100.83499999999999"/>
    <x v="6"/>
  </r>
  <r>
    <d v="2023-06-04T00:00:00"/>
    <x v="0"/>
    <s v="Столбцы"/>
    <s v="Зелень"/>
    <s v="Кинза"/>
    <n v="650"/>
    <n v="50"/>
    <n v="32.5"/>
    <x v="6"/>
  </r>
  <r>
    <d v="2023-06-04T00:00:00"/>
    <x v="2"/>
    <s v="Столбцы"/>
    <s v="Зелень"/>
    <s v="Кинза"/>
    <n v="650"/>
    <n v="27"/>
    <n v="17.55"/>
    <x v="6"/>
  </r>
  <r>
    <d v="2023-06-04T00:00:00"/>
    <x v="2"/>
    <s v="Столбцы"/>
    <s v="Зелень"/>
    <s v="Петрушка"/>
    <n v="640"/>
    <n v="99"/>
    <n v="63.36"/>
    <x v="6"/>
  </r>
  <r>
    <d v="2023-06-04T00:00:00"/>
    <x v="2"/>
    <s v="Столбцы"/>
    <s v="Ягоды"/>
    <s v="Голубика"/>
    <n v="3205"/>
    <n v="89"/>
    <n v="285.245"/>
    <x v="6"/>
  </r>
  <r>
    <d v="2023-06-04T00:00:00"/>
    <x v="4"/>
    <s v="Фаниполь"/>
    <s v="Зелень"/>
    <s v="Салат римский"/>
    <n v="540"/>
    <n v="38"/>
    <n v="20.52"/>
    <x v="6"/>
  </r>
  <r>
    <s v="04.06.2023 Итог"/>
    <x v="3"/>
    <m/>
    <m/>
    <m/>
    <m/>
    <m/>
    <n v="711.67499999999995"/>
    <x v="6"/>
  </r>
  <r>
    <d v="2023-06-05T00:00:00"/>
    <x v="4"/>
    <s v="Барановичи"/>
    <s v="Зелень"/>
    <s v="Салат римский"/>
    <n v="540"/>
    <n v="81"/>
    <n v="43.74"/>
    <x v="6"/>
  </r>
  <r>
    <d v="2023-06-05T00:00:00"/>
    <x v="4"/>
    <s v="Барановичи"/>
    <s v="Зелень"/>
    <s v="Кинза"/>
    <n v="650"/>
    <n v="7"/>
    <n v="4.55"/>
    <x v="6"/>
  </r>
  <r>
    <d v="2023-06-05T00:00:00"/>
    <x v="2"/>
    <s v="Барановичи"/>
    <s v="Фрукты"/>
    <s v="Груши"/>
    <n v="1420"/>
    <n v="49"/>
    <n v="69.58"/>
    <x v="6"/>
  </r>
  <r>
    <d v="2023-06-05T00:00:00"/>
    <x v="0"/>
    <s v="Борисов"/>
    <s v="Овощи"/>
    <s v="Капуста"/>
    <n v="460"/>
    <n v="79"/>
    <n v="36.340000000000003"/>
    <x v="6"/>
  </r>
  <r>
    <d v="2023-06-05T00:00:00"/>
    <x v="1"/>
    <s v="Борисов"/>
    <s v="Овощи"/>
    <s v="Морковь"/>
    <n v="715"/>
    <n v="13"/>
    <n v="9.2949999999999999"/>
    <x v="6"/>
  </r>
  <r>
    <d v="2023-06-05T00:00:00"/>
    <x v="4"/>
    <s v="Жодино"/>
    <s v="Зелень"/>
    <s v="Кинза"/>
    <n v="650"/>
    <n v="44"/>
    <n v="28.6"/>
    <x v="6"/>
  </r>
  <r>
    <d v="2023-06-05T00:00:00"/>
    <x v="0"/>
    <s v="Жодино"/>
    <s v="Овощи"/>
    <s v="Картофель"/>
    <n v="690"/>
    <n v="6"/>
    <n v="4.1399999999999997"/>
    <x v="6"/>
  </r>
  <r>
    <d v="2023-06-05T00:00:00"/>
    <x v="0"/>
    <s v="Столбцы"/>
    <s v="Зелень"/>
    <s v="Кинза"/>
    <n v="650"/>
    <n v="98"/>
    <n v="63.7"/>
    <x v="6"/>
  </r>
  <r>
    <d v="2023-06-05T00:00:00"/>
    <x v="1"/>
    <s v="Фаниполь"/>
    <s v="Зелень"/>
    <s v="Укроп"/>
    <n v="650"/>
    <n v="86"/>
    <n v="55.9"/>
    <x v="6"/>
  </r>
  <r>
    <s v="05.06.2023 Итог"/>
    <x v="3"/>
    <m/>
    <m/>
    <m/>
    <m/>
    <m/>
    <n v="315.84499999999997"/>
    <x v="6"/>
  </r>
  <r>
    <d v="2023-06-06T00:00:00"/>
    <x v="2"/>
    <s v="Барановичи"/>
    <s v="Зелень"/>
    <s v="Лук зеленый"/>
    <n v="705"/>
    <n v="48"/>
    <n v="33.840000000000003"/>
    <x v="6"/>
  </r>
  <r>
    <d v="2023-06-06T00:00:00"/>
    <x v="2"/>
    <s v="Барановичи"/>
    <s v="Ягоды"/>
    <s v="Смородина черная"/>
    <n v="1505"/>
    <n v="57"/>
    <n v="85.784999999999997"/>
    <x v="6"/>
  </r>
  <r>
    <d v="2023-06-06T00:00:00"/>
    <x v="1"/>
    <s v="Борисов"/>
    <s v="Фрукты"/>
    <s v="Яблоки"/>
    <n v="1230"/>
    <n v="14"/>
    <n v="17.22"/>
    <x v="6"/>
  </r>
  <r>
    <d v="2023-06-06T00:00:00"/>
    <x v="4"/>
    <s v="Минск"/>
    <s v="Зелень"/>
    <s v="Укроп"/>
    <n v="650"/>
    <n v="25"/>
    <n v="16.25"/>
    <x v="6"/>
  </r>
  <r>
    <d v="2023-06-06T00:00:00"/>
    <x v="2"/>
    <s v="Столбцы"/>
    <s v="Овощи"/>
    <s v="Капуста"/>
    <n v="460"/>
    <n v="37"/>
    <n v="17.02"/>
    <x v="6"/>
  </r>
  <r>
    <d v="2023-06-06T00:00:00"/>
    <x v="0"/>
    <s v="Столбцы"/>
    <s v="Овощи"/>
    <s v="Свекла"/>
    <n v="450"/>
    <n v="7"/>
    <n v="3.15"/>
    <x v="6"/>
  </r>
  <r>
    <d v="2023-06-06T00:00:00"/>
    <x v="4"/>
    <s v="Столбцы"/>
    <s v="Ягоды"/>
    <s v="Черешня"/>
    <n v="1760"/>
    <n v="58"/>
    <n v="102.08"/>
    <x v="6"/>
  </r>
  <r>
    <d v="2023-06-06T00:00:00"/>
    <x v="4"/>
    <s v="Фаниполь"/>
    <s v="Ягоды"/>
    <s v="Голубика"/>
    <n v="3205"/>
    <n v="57"/>
    <n v="182.685"/>
    <x v="6"/>
  </r>
  <r>
    <s v="06.06.2023 Итог"/>
    <x v="3"/>
    <m/>
    <m/>
    <m/>
    <m/>
    <m/>
    <n v="458.03000000000003"/>
    <x v="6"/>
  </r>
  <r>
    <d v="2023-06-07T00:00:00"/>
    <x v="4"/>
    <s v="Барановичи"/>
    <s v="Зелень"/>
    <s v="Петрушка"/>
    <n v="640"/>
    <n v="23"/>
    <n v="14.72"/>
    <x v="6"/>
  </r>
  <r>
    <d v="2023-06-07T00:00:00"/>
    <x v="4"/>
    <s v="Барановичи"/>
    <s v="Ягоды"/>
    <s v="Черешня"/>
    <n v="1760"/>
    <n v="62"/>
    <n v="109.12"/>
    <x v="6"/>
  </r>
  <r>
    <d v="2023-06-07T00:00:00"/>
    <x v="1"/>
    <s v="Борисов"/>
    <s v="Ягоды"/>
    <s v="Смородина черная"/>
    <n v="1505"/>
    <n v="77"/>
    <n v="115.88500000000001"/>
    <x v="6"/>
  </r>
  <r>
    <d v="2023-06-07T00:00:00"/>
    <x v="0"/>
    <s v="Жодино"/>
    <s v="Ягоды"/>
    <s v="Малина"/>
    <n v="2970"/>
    <n v="23"/>
    <n v="68.31"/>
    <x v="6"/>
  </r>
  <r>
    <d v="2023-06-07T00:00:00"/>
    <x v="2"/>
    <s v="Минск"/>
    <s v="Зелень"/>
    <s v="Салат айсберг"/>
    <n v="1380"/>
    <n v="90"/>
    <n v="124.2"/>
    <x v="6"/>
  </r>
  <r>
    <d v="2023-06-07T00:00:00"/>
    <x v="1"/>
    <s v="Минск"/>
    <s v="Зелень"/>
    <s v="Лук зеленый"/>
    <n v="705"/>
    <n v="27"/>
    <n v="19.035"/>
    <x v="6"/>
  </r>
  <r>
    <d v="2023-06-07T00:00:00"/>
    <x v="1"/>
    <s v="Минск"/>
    <s v="Фрукты"/>
    <s v="Бананы"/>
    <n v="2400"/>
    <n v="44"/>
    <n v="105.6"/>
    <x v="6"/>
  </r>
  <r>
    <d v="2023-06-07T00:00:00"/>
    <x v="0"/>
    <s v="Минск"/>
    <s v="Ягоды"/>
    <s v="Голубика"/>
    <n v="3205"/>
    <n v="70"/>
    <n v="224.35"/>
    <x v="6"/>
  </r>
  <r>
    <d v="2023-06-07T00:00:00"/>
    <x v="2"/>
    <s v="Столбцы"/>
    <s v="Зелень"/>
    <s v="Лук зеленый"/>
    <n v="705"/>
    <n v="58"/>
    <n v="40.89"/>
    <x v="6"/>
  </r>
  <r>
    <d v="2023-06-07T00:00:00"/>
    <x v="4"/>
    <s v="Столбцы"/>
    <s v="Зелень"/>
    <s v="Укроп"/>
    <n v="650"/>
    <n v="46"/>
    <n v="29.9"/>
    <x v="6"/>
  </r>
  <r>
    <d v="2023-06-07T00:00:00"/>
    <x v="1"/>
    <s v="Столбцы"/>
    <s v="Фрукты"/>
    <s v="Бананы"/>
    <n v="2400"/>
    <n v="90"/>
    <n v="216"/>
    <x v="6"/>
  </r>
  <r>
    <d v="2023-06-07T00:00:00"/>
    <x v="2"/>
    <s v="Фаниполь"/>
    <s v="Фрукты"/>
    <s v="Бананы"/>
    <n v="2400"/>
    <n v="46"/>
    <n v="110.4"/>
    <x v="6"/>
  </r>
  <r>
    <s v="07.06.2023 Итог"/>
    <x v="3"/>
    <m/>
    <m/>
    <m/>
    <m/>
    <m/>
    <n v="1178.4100000000001"/>
    <x v="6"/>
  </r>
  <r>
    <d v="2023-06-08T00:00:00"/>
    <x v="1"/>
    <s v="Барановичи"/>
    <s v="Овощи"/>
    <s v="Кабачки"/>
    <n v="325"/>
    <n v="61"/>
    <n v="19.824999999999999"/>
    <x v="6"/>
  </r>
  <r>
    <d v="2023-06-08T00:00:00"/>
    <x v="4"/>
    <s v="Барановичи"/>
    <s v="Ягоды"/>
    <s v="Брусника"/>
    <n v="1670"/>
    <n v="71"/>
    <n v="118.57"/>
    <x v="6"/>
  </r>
  <r>
    <d v="2023-06-08T00:00:00"/>
    <x v="1"/>
    <s v="Барановичи"/>
    <s v="Ягоды"/>
    <s v="Смородина черная"/>
    <n v="1505"/>
    <n v="41"/>
    <n v="61.704999999999998"/>
    <x v="6"/>
  </r>
  <r>
    <d v="2023-06-08T00:00:00"/>
    <x v="0"/>
    <s v="Борисов"/>
    <s v="Зелень"/>
    <s v="Лук зеленый"/>
    <n v="705"/>
    <n v="17"/>
    <n v="11.984999999999999"/>
    <x v="6"/>
  </r>
  <r>
    <d v="2023-06-08T00:00:00"/>
    <x v="0"/>
    <s v="Борисов"/>
    <s v="Фрукты"/>
    <s v="Абрикосы"/>
    <n v="1320"/>
    <n v="83"/>
    <n v="109.56"/>
    <x v="6"/>
  </r>
  <r>
    <d v="2023-06-08T00:00:00"/>
    <x v="1"/>
    <s v="Жодино"/>
    <s v="Фрукты"/>
    <s v="Яблоки"/>
    <n v="1230"/>
    <n v="23"/>
    <n v="28.29"/>
    <x v="6"/>
  </r>
  <r>
    <d v="2023-06-08T00:00:00"/>
    <x v="1"/>
    <s v="Жодино"/>
    <s v="Ягоды"/>
    <s v="Голубика"/>
    <n v="3205"/>
    <n v="18"/>
    <n v="57.69"/>
    <x v="6"/>
  </r>
  <r>
    <d v="2023-06-08T00:00:00"/>
    <x v="0"/>
    <s v="Столбцы"/>
    <s v="Зелень"/>
    <s v="Петрушка"/>
    <n v="640"/>
    <n v="97"/>
    <n v="62.08"/>
    <x v="6"/>
  </r>
  <r>
    <d v="2023-06-08T00:00:00"/>
    <x v="2"/>
    <s v="Столбцы"/>
    <s v="Зелень"/>
    <s v="Укроп"/>
    <n v="650"/>
    <n v="47"/>
    <n v="30.55"/>
    <x v="6"/>
  </r>
  <r>
    <d v="2023-06-08T00:00:00"/>
    <x v="1"/>
    <s v="Столбцы"/>
    <s v="Овощи"/>
    <s v="Кабачки"/>
    <n v="325"/>
    <n v="35"/>
    <n v="11.375"/>
    <x v="6"/>
  </r>
  <r>
    <d v="2023-06-08T00:00:00"/>
    <x v="4"/>
    <s v="Фаниполь"/>
    <s v="Зелень"/>
    <s v="Кинза"/>
    <n v="650"/>
    <n v="45"/>
    <n v="29.25"/>
    <x v="6"/>
  </r>
  <r>
    <d v="2023-06-08T00:00:00"/>
    <x v="4"/>
    <s v="Фаниполь"/>
    <s v="Фрукты"/>
    <s v="Яблоки"/>
    <n v="1230"/>
    <n v="92"/>
    <n v="113.16"/>
    <x v="6"/>
  </r>
  <r>
    <s v="08.06.2023 Итог"/>
    <x v="3"/>
    <m/>
    <m/>
    <m/>
    <m/>
    <m/>
    <n v="654.04"/>
    <x v="6"/>
  </r>
  <r>
    <d v="2023-06-09T00:00:00"/>
    <x v="2"/>
    <s v="Барановичи"/>
    <s v="Овощи"/>
    <s v="Картофель"/>
    <n v="690"/>
    <n v="58"/>
    <n v="40.020000000000003"/>
    <x v="6"/>
  </r>
  <r>
    <d v="2023-06-09T00:00:00"/>
    <x v="1"/>
    <s v="Барановичи"/>
    <s v="Фрукты"/>
    <s v="Бананы"/>
    <n v="2400"/>
    <n v="75"/>
    <n v="180"/>
    <x v="6"/>
  </r>
  <r>
    <d v="2023-06-09T00:00:00"/>
    <x v="4"/>
    <s v="Барановичи"/>
    <s v="Фрукты"/>
    <s v="Груши"/>
    <n v="1420"/>
    <n v="58"/>
    <n v="82.36"/>
    <x v="6"/>
  </r>
  <r>
    <d v="2023-06-09T00:00:00"/>
    <x v="1"/>
    <s v="Барановичи"/>
    <s v="Ягоды"/>
    <s v="Малина"/>
    <n v="2970"/>
    <n v="72"/>
    <n v="213.84"/>
    <x v="6"/>
  </r>
  <r>
    <d v="2023-06-09T00:00:00"/>
    <x v="2"/>
    <s v="Жодино"/>
    <s v="Зелень"/>
    <s v="Укроп"/>
    <n v="650"/>
    <n v="91"/>
    <n v="59.15"/>
    <x v="6"/>
  </r>
  <r>
    <d v="2023-06-09T00:00:00"/>
    <x v="4"/>
    <s v="Жодино"/>
    <s v="Зелень"/>
    <s v="Салат римский"/>
    <n v="540"/>
    <n v="77"/>
    <n v="41.58"/>
    <x v="6"/>
  </r>
  <r>
    <d v="2023-06-09T00:00:00"/>
    <x v="1"/>
    <s v="Жодино"/>
    <s v="Ягоды"/>
    <s v="Голубика"/>
    <n v="3205"/>
    <n v="43"/>
    <n v="137.815"/>
    <x v="6"/>
  </r>
  <r>
    <d v="2023-06-09T00:00:00"/>
    <x v="1"/>
    <s v="Минск"/>
    <s v="Зелень"/>
    <s v="Салат римский"/>
    <n v="540"/>
    <n v="98"/>
    <n v="52.92"/>
    <x v="6"/>
  </r>
  <r>
    <d v="2023-06-09T00:00:00"/>
    <x v="0"/>
    <s v="Минск"/>
    <s v="Ягоды"/>
    <s v="Малина"/>
    <n v="2970"/>
    <n v="34"/>
    <n v="100.98"/>
    <x v="6"/>
  </r>
  <r>
    <s v="09.06.2023 Итог"/>
    <x v="3"/>
    <m/>
    <m/>
    <m/>
    <m/>
    <m/>
    <n v="908.66500000000008"/>
    <x v="6"/>
  </r>
  <r>
    <d v="2023-06-10T00:00:00"/>
    <x v="1"/>
    <s v="Барановичи"/>
    <s v="Овощи"/>
    <s v="Картофель"/>
    <n v="690"/>
    <n v="66"/>
    <n v="45.54"/>
    <x v="6"/>
  </r>
  <r>
    <d v="2023-06-10T00:00:00"/>
    <x v="0"/>
    <s v="Барановичи"/>
    <s v="Овощи"/>
    <s v="Свекла"/>
    <n v="450"/>
    <n v="39"/>
    <n v="17.55"/>
    <x v="6"/>
  </r>
  <r>
    <d v="2023-06-10T00:00:00"/>
    <x v="4"/>
    <s v="Барановичи"/>
    <s v="Овощи"/>
    <s v="Свекла"/>
    <n v="450"/>
    <n v="27"/>
    <n v="12.15"/>
    <x v="6"/>
  </r>
  <r>
    <d v="2023-06-10T00:00:00"/>
    <x v="4"/>
    <s v="Барановичи"/>
    <s v="Овощи"/>
    <s v="Капуста"/>
    <n v="460"/>
    <n v="56"/>
    <n v="25.76"/>
    <x v="6"/>
  </r>
  <r>
    <d v="2023-06-10T00:00:00"/>
    <x v="2"/>
    <s v="Барановичи"/>
    <s v="Ягоды"/>
    <s v="Смородина черная"/>
    <n v="1505"/>
    <n v="33"/>
    <n v="49.664999999999999"/>
    <x v="6"/>
  </r>
  <r>
    <d v="2023-06-10T00:00:00"/>
    <x v="1"/>
    <s v="Борисов"/>
    <s v="Овощи"/>
    <s v="Картофель"/>
    <n v="690"/>
    <n v="71"/>
    <n v="48.99"/>
    <x v="6"/>
  </r>
  <r>
    <d v="2023-06-10T00:00:00"/>
    <x v="1"/>
    <s v="Борисов"/>
    <s v="Ягоды"/>
    <s v="Смородина черная"/>
    <n v="1505"/>
    <n v="7"/>
    <n v="10.535"/>
    <x v="6"/>
  </r>
  <r>
    <d v="2023-06-10T00:00:00"/>
    <x v="2"/>
    <s v="Жодино"/>
    <s v="Овощи"/>
    <s v="Картофель"/>
    <n v="690"/>
    <n v="20"/>
    <n v="13.8"/>
    <x v="6"/>
  </r>
  <r>
    <d v="2023-06-10T00:00:00"/>
    <x v="2"/>
    <s v="Столбцы"/>
    <s v="Зелень"/>
    <s v="Салат айсберг"/>
    <n v="1380"/>
    <n v="44"/>
    <n v="60.72"/>
    <x v="6"/>
  </r>
  <r>
    <d v="2023-06-10T00:00:00"/>
    <x v="1"/>
    <s v="Столбцы"/>
    <s v="Ягоды"/>
    <s v="Смородина черная"/>
    <n v="1505"/>
    <n v="44"/>
    <n v="66.22"/>
    <x v="6"/>
  </r>
  <r>
    <d v="2023-06-10T00:00:00"/>
    <x v="0"/>
    <s v="Фаниполь"/>
    <s v="Ягоды"/>
    <s v="Смородина черная"/>
    <n v="1505"/>
    <n v="42"/>
    <n v="63.21"/>
    <x v="6"/>
  </r>
  <r>
    <d v="2023-06-10T00:00:00"/>
    <x v="2"/>
    <s v="Фаниполь"/>
    <s v="Ягоды"/>
    <s v="Малина"/>
    <n v="2970"/>
    <n v="51"/>
    <n v="151.47"/>
    <x v="6"/>
  </r>
  <r>
    <s v="10.06.2023 Итог"/>
    <x v="3"/>
    <m/>
    <m/>
    <m/>
    <m/>
    <m/>
    <n v="565.61"/>
    <x v="6"/>
  </r>
  <r>
    <d v="2023-06-11T00:00:00"/>
    <x v="0"/>
    <s v="Барановичи"/>
    <s v="Фрукты"/>
    <s v="Бананы"/>
    <n v="2400"/>
    <n v="99"/>
    <n v="237.6"/>
    <x v="6"/>
  </r>
  <r>
    <d v="2023-06-11T00:00:00"/>
    <x v="4"/>
    <s v="Барановичи"/>
    <s v="Фрукты"/>
    <s v="Груши"/>
    <n v="1420"/>
    <n v="32"/>
    <n v="45.44"/>
    <x v="6"/>
  </r>
  <r>
    <d v="2023-06-11T00:00:00"/>
    <x v="1"/>
    <s v="Жодино"/>
    <s v="Овощи"/>
    <s v="Свекла"/>
    <n v="450"/>
    <n v="46"/>
    <n v="20.7"/>
    <x v="6"/>
  </r>
  <r>
    <d v="2023-06-11T00:00:00"/>
    <x v="0"/>
    <s v="Минск"/>
    <s v="Зелень"/>
    <s v="Петрушка"/>
    <n v="640"/>
    <n v="24"/>
    <n v="15.36"/>
    <x v="6"/>
  </r>
  <r>
    <d v="2023-06-11T00:00:00"/>
    <x v="4"/>
    <s v="Минск"/>
    <s v="Ягоды"/>
    <s v="Клубника"/>
    <n v="2460"/>
    <n v="94"/>
    <n v="231.24"/>
    <x v="6"/>
  </r>
  <r>
    <d v="2023-06-11T00:00:00"/>
    <x v="0"/>
    <s v="Столбцы"/>
    <s v="Овощи"/>
    <s v="Морковь"/>
    <n v="715"/>
    <n v="77"/>
    <n v="55.055"/>
    <x v="6"/>
  </r>
  <r>
    <d v="2023-06-11T00:00:00"/>
    <x v="0"/>
    <s v="Столбцы"/>
    <s v="Овощи"/>
    <s v="Капуста"/>
    <n v="460"/>
    <n v="86"/>
    <n v="39.56"/>
    <x v="6"/>
  </r>
  <r>
    <d v="2023-06-11T00:00:00"/>
    <x v="4"/>
    <s v="Столбцы"/>
    <s v="Фрукты"/>
    <s v="Бананы"/>
    <n v="2400"/>
    <n v="64"/>
    <n v="153.6"/>
    <x v="6"/>
  </r>
  <r>
    <d v="2023-06-11T00:00:00"/>
    <x v="2"/>
    <s v="Фаниполь"/>
    <s v="Зелень"/>
    <s v="Салат айсберг"/>
    <n v="1380"/>
    <n v="60"/>
    <n v="82.8"/>
    <x v="6"/>
  </r>
  <r>
    <s v="11.06.2023 Итог"/>
    <x v="3"/>
    <m/>
    <m/>
    <m/>
    <m/>
    <m/>
    <n v="881.3549999999999"/>
    <x v="6"/>
  </r>
  <r>
    <d v="2023-06-12T00:00:00"/>
    <x v="4"/>
    <s v="Барановичи"/>
    <s v="Ягоды"/>
    <s v="Черешня"/>
    <n v="1760"/>
    <n v="84"/>
    <n v="147.84"/>
    <x v="6"/>
  </r>
  <r>
    <d v="2023-06-12T00:00:00"/>
    <x v="1"/>
    <s v="Борисов"/>
    <s v="Овощи"/>
    <s v="Картофель"/>
    <n v="690"/>
    <n v="39"/>
    <n v="26.91"/>
    <x v="6"/>
  </r>
  <r>
    <d v="2023-06-12T00:00:00"/>
    <x v="4"/>
    <s v="Жодино"/>
    <s v="Овощи"/>
    <s v="Кабачки"/>
    <n v="325"/>
    <n v="79"/>
    <n v="25.675000000000001"/>
    <x v="6"/>
  </r>
  <r>
    <d v="2023-06-12T00:00:00"/>
    <x v="4"/>
    <s v="Жодино"/>
    <s v="Ягоды"/>
    <s v="Клубника"/>
    <n v="2460"/>
    <n v="43"/>
    <n v="105.78"/>
    <x v="6"/>
  </r>
  <r>
    <d v="2023-06-12T00:00:00"/>
    <x v="2"/>
    <s v="Минск"/>
    <s v="Зелень"/>
    <s v="Укроп"/>
    <n v="650"/>
    <n v="71"/>
    <n v="46.15"/>
    <x v="6"/>
  </r>
  <r>
    <d v="2023-06-12T00:00:00"/>
    <x v="0"/>
    <s v="Фаниполь"/>
    <s v="Зелень"/>
    <s v="Лук зеленый"/>
    <n v="705"/>
    <n v="15"/>
    <n v="10.574999999999999"/>
    <x v="6"/>
  </r>
  <r>
    <s v="12.06.2023 Итог"/>
    <x v="3"/>
    <m/>
    <m/>
    <m/>
    <m/>
    <m/>
    <n v="362.93"/>
    <x v="6"/>
  </r>
  <r>
    <d v="2023-06-13T00:00:00"/>
    <x v="0"/>
    <s v="Барановичи"/>
    <s v="Фрукты"/>
    <s v="Бананы"/>
    <n v="2400"/>
    <n v="50"/>
    <n v="120"/>
    <x v="6"/>
  </r>
  <r>
    <d v="2023-06-13T00:00:00"/>
    <x v="2"/>
    <s v="Борисов"/>
    <s v="Зелень"/>
    <s v="Салат айсберг"/>
    <n v="1380"/>
    <n v="76"/>
    <n v="104.88"/>
    <x v="6"/>
  </r>
  <r>
    <d v="2023-06-13T00:00:00"/>
    <x v="4"/>
    <s v="Борисов"/>
    <s v="Фрукты"/>
    <s v="Абрикосы"/>
    <n v="1320"/>
    <n v="18"/>
    <n v="23.76"/>
    <x v="6"/>
  </r>
  <r>
    <d v="2023-06-13T00:00:00"/>
    <x v="4"/>
    <s v="Жодино"/>
    <s v="Овощи"/>
    <s v="Кабачки"/>
    <n v="325"/>
    <n v="32"/>
    <n v="10.4"/>
    <x v="6"/>
  </r>
  <r>
    <d v="2023-06-13T00:00:00"/>
    <x v="1"/>
    <s v="Жодино"/>
    <s v="Фрукты"/>
    <s v="Сливы"/>
    <n v="930"/>
    <n v="45"/>
    <n v="41.85"/>
    <x v="6"/>
  </r>
  <r>
    <d v="2023-06-13T00:00:00"/>
    <x v="1"/>
    <s v="Минск"/>
    <s v="Зелень"/>
    <s v="Лук зеленый"/>
    <n v="705"/>
    <n v="6"/>
    <n v="4.2300000000000004"/>
    <x v="6"/>
  </r>
  <r>
    <d v="2023-06-13T00:00:00"/>
    <x v="4"/>
    <s v="Минск"/>
    <s v="Овощи"/>
    <s v="Баклажаны"/>
    <n v="890"/>
    <n v="40"/>
    <n v="35.6"/>
    <x v="6"/>
  </r>
  <r>
    <d v="2023-06-13T00:00:00"/>
    <x v="1"/>
    <s v="Минск"/>
    <s v="Фрукты"/>
    <s v="Груши"/>
    <n v="1420"/>
    <n v="66"/>
    <n v="93.72"/>
    <x v="6"/>
  </r>
  <r>
    <d v="2023-06-13T00:00:00"/>
    <x v="0"/>
    <s v="Фаниполь"/>
    <s v="Зелень"/>
    <s v="Салат айсберг"/>
    <n v="1380"/>
    <n v="43"/>
    <n v="59.34"/>
    <x v="6"/>
  </r>
  <r>
    <d v="2023-06-13T00:00:00"/>
    <x v="2"/>
    <s v="Фаниполь"/>
    <s v="Фрукты"/>
    <s v="Апельсины"/>
    <n v="2540"/>
    <n v="72"/>
    <n v="182.88"/>
    <x v="6"/>
  </r>
  <r>
    <s v="13.06.2023 Итог"/>
    <x v="3"/>
    <m/>
    <m/>
    <m/>
    <m/>
    <m/>
    <n v="676.66000000000008"/>
    <x v="6"/>
  </r>
  <r>
    <d v="2023-06-14T00:00:00"/>
    <x v="2"/>
    <s v="Барановичи"/>
    <s v="Овощи"/>
    <s v="Кабачки"/>
    <n v="325"/>
    <n v="33"/>
    <n v="10.725"/>
    <x v="6"/>
  </r>
  <r>
    <d v="2023-06-14T00:00:00"/>
    <x v="0"/>
    <s v="Барановичи"/>
    <s v="Фрукты"/>
    <s v="Сливы"/>
    <n v="930"/>
    <n v="43"/>
    <n v="39.99"/>
    <x v="6"/>
  </r>
  <r>
    <d v="2023-06-14T00:00:00"/>
    <x v="4"/>
    <s v="Борисов"/>
    <s v="Зелень"/>
    <s v="Лук зеленый"/>
    <n v="705"/>
    <n v="40"/>
    <n v="28.2"/>
    <x v="6"/>
  </r>
  <r>
    <d v="2023-06-14T00:00:00"/>
    <x v="4"/>
    <s v="Борисов"/>
    <s v="Фрукты"/>
    <s v="Бананы"/>
    <n v="2400"/>
    <n v="8"/>
    <n v="19.2"/>
    <x v="6"/>
  </r>
  <r>
    <d v="2023-06-14T00:00:00"/>
    <x v="1"/>
    <s v="Борисов"/>
    <s v="Фрукты"/>
    <s v="Груши"/>
    <n v="1420"/>
    <n v="87"/>
    <n v="123.54"/>
    <x v="6"/>
  </r>
  <r>
    <d v="2023-06-14T00:00:00"/>
    <x v="1"/>
    <s v="Жодино"/>
    <s v="Овощи"/>
    <s v="Баклажаны"/>
    <n v="890"/>
    <n v="67"/>
    <n v="59.63"/>
    <x v="6"/>
  </r>
  <r>
    <d v="2023-06-14T00:00:00"/>
    <x v="0"/>
    <s v="Минск"/>
    <s v="Овощи"/>
    <s v="Кабачки"/>
    <n v="325"/>
    <n v="100"/>
    <n v="32.5"/>
    <x v="6"/>
  </r>
  <r>
    <d v="2023-06-14T00:00:00"/>
    <x v="2"/>
    <s v="Минск"/>
    <s v="Фрукты"/>
    <s v="Груши"/>
    <n v="1420"/>
    <n v="33"/>
    <n v="46.86"/>
    <x v="6"/>
  </r>
  <r>
    <d v="2023-06-14T00:00:00"/>
    <x v="1"/>
    <s v="Столбцы"/>
    <s v="Фрукты"/>
    <s v="Сливы"/>
    <n v="930"/>
    <n v="67"/>
    <n v="62.31"/>
    <x v="6"/>
  </r>
  <r>
    <d v="2023-06-14T00:00:00"/>
    <x v="1"/>
    <s v="Столбцы"/>
    <s v="Ягоды"/>
    <s v="Черешня"/>
    <n v="1760"/>
    <n v="62"/>
    <n v="109.12"/>
    <x v="6"/>
  </r>
  <r>
    <d v="2023-06-14T00:00:00"/>
    <x v="0"/>
    <s v="Столбцы"/>
    <s v="Ягоды"/>
    <s v="Черешня"/>
    <n v="1760"/>
    <n v="91"/>
    <n v="160.16"/>
    <x v="6"/>
  </r>
  <r>
    <d v="2023-06-14T00:00:00"/>
    <x v="1"/>
    <s v="Фаниполь"/>
    <s v="Ягоды"/>
    <s v="Малина"/>
    <n v="2970"/>
    <n v="66"/>
    <n v="196.02"/>
    <x v="6"/>
  </r>
  <r>
    <d v="2023-06-14T00:00:00"/>
    <x v="1"/>
    <s v="Фаниполь"/>
    <s v="Ягоды"/>
    <s v="Голубика"/>
    <n v="3205"/>
    <n v="22"/>
    <n v="70.510000000000005"/>
    <x v="6"/>
  </r>
  <r>
    <s v="14.06.2023 Итог"/>
    <x v="3"/>
    <m/>
    <m/>
    <m/>
    <m/>
    <m/>
    <n v="958.76499999999999"/>
    <x v="6"/>
  </r>
  <r>
    <d v="2023-06-15T00:00:00"/>
    <x v="2"/>
    <s v="Барановичи"/>
    <s v="Зелень"/>
    <s v="Лук зеленый"/>
    <n v="705"/>
    <n v="42"/>
    <n v="29.61"/>
    <x v="6"/>
  </r>
  <r>
    <d v="2023-06-15T00:00:00"/>
    <x v="0"/>
    <s v="Борисов"/>
    <s v="Ягоды"/>
    <s v="Голубика"/>
    <n v="3205"/>
    <n v="46"/>
    <n v="147.43"/>
    <x v="6"/>
  </r>
  <r>
    <d v="2023-06-15T00:00:00"/>
    <x v="0"/>
    <s v="Жодино"/>
    <s v="Ягоды"/>
    <s v="Брусника"/>
    <n v="1670"/>
    <n v="96"/>
    <n v="160.32"/>
    <x v="6"/>
  </r>
  <r>
    <d v="2023-06-15T00:00:00"/>
    <x v="0"/>
    <s v="Минск"/>
    <s v="Ягоды"/>
    <s v="Малина"/>
    <n v="2970"/>
    <n v="6"/>
    <n v="17.82"/>
    <x v="6"/>
  </r>
  <r>
    <d v="2023-06-15T00:00:00"/>
    <x v="4"/>
    <s v="Минск"/>
    <s v="Ягоды"/>
    <s v="Клубника"/>
    <n v="2460"/>
    <n v="23"/>
    <n v="56.58"/>
    <x v="6"/>
  </r>
  <r>
    <s v="15.06.2023 Итог"/>
    <x v="3"/>
    <m/>
    <m/>
    <m/>
    <m/>
    <m/>
    <n v="411.76"/>
    <x v="6"/>
  </r>
  <r>
    <d v="2023-06-16T00:00:00"/>
    <x v="0"/>
    <s v="Барановичи"/>
    <s v="Овощи"/>
    <s v="Картофель"/>
    <n v="690"/>
    <n v="45"/>
    <n v="31.05"/>
    <x v="6"/>
  </r>
  <r>
    <d v="2023-06-16T00:00:00"/>
    <x v="4"/>
    <s v="Барановичи"/>
    <s v="Ягоды"/>
    <s v="Черешня"/>
    <n v="1760"/>
    <n v="43"/>
    <n v="75.680000000000007"/>
    <x v="6"/>
  </r>
  <r>
    <d v="2023-06-16T00:00:00"/>
    <x v="1"/>
    <s v="Борисов"/>
    <s v="Ягоды"/>
    <s v="Малина"/>
    <n v="2970"/>
    <n v="57"/>
    <n v="169.29"/>
    <x v="6"/>
  </r>
  <r>
    <d v="2023-06-16T00:00:00"/>
    <x v="4"/>
    <s v="Жодино"/>
    <s v="Фрукты"/>
    <s v="Бананы"/>
    <n v="2400"/>
    <n v="90"/>
    <n v="216"/>
    <x v="6"/>
  </r>
  <r>
    <d v="2023-06-16T00:00:00"/>
    <x v="4"/>
    <s v="Жодино"/>
    <s v="Ягоды"/>
    <s v="Малина"/>
    <n v="2970"/>
    <n v="47"/>
    <n v="139.59"/>
    <x v="6"/>
  </r>
  <r>
    <d v="2023-06-16T00:00:00"/>
    <x v="4"/>
    <s v="Минск"/>
    <s v="Ягоды"/>
    <s v="Брусника"/>
    <n v="1670"/>
    <n v="7"/>
    <n v="11.69"/>
    <x v="6"/>
  </r>
  <r>
    <d v="2023-06-16T00:00:00"/>
    <x v="4"/>
    <s v="Столбцы"/>
    <s v="Зелень"/>
    <s v="Салат айсберг"/>
    <n v="1380"/>
    <n v="33"/>
    <n v="45.54"/>
    <x v="6"/>
  </r>
  <r>
    <d v="2023-06-16T00:00:00"/>
    <x v="2"/>
    <s v="Фаниполь"/>
    <s v="Зелень"/>
    <s v="Кинза"/>
    <n v="650"/>
    <n v="43"/>
    <n v="27.95"/>
    <x v="6"/>
  </r>
  <r>
    <d v="2023-06-16T00:00:00"/>
    <x v="4"/>
    <s v="Фаниполь"/>
    <s v="Зелень"/>
    <s v="Петрушка"/>
    <n v="640"/>
    <n v="73"/>
    <n v="46.72"/>
    <x v="6"/>
  </r>
  <r>
    <d v="2023-06-16T00:00:00"/>
    <x v="2"/>
    <s v="Фаниполь"/>
    <s v="Фрукты"/>
    <s v="Бананы"/>
    <n v="2400"/>
    <n v="18"/>
    <n v="43.2"/>
    <x v="6"/>
  </r>
  <r>
    <d v="2023-06-16T00:00:00"/>
    <x v="4"/>
    <s v="Фаниполь"/>
    <s v="Фрукты"/>
    <s v="Груши"/>
    <n v="1420"/>
    <n v="53"/>
    <n v="75.260000000000005"/>
    <x v="6"/>
  </r>
  <r>
    <d v="2023-06-16T00:00:00"/>
    <x v="2"/>
    <s v="Фаниполь"/>
    <s v="Ягоды"/>
    <s v="Голубика"/>
    <n v="3205"/>
    <n v="40"/>
    <n v="128.19999999999999"/>
    <x v="6"/>
  </r>
  <r>
    <s v="16.06.2023 Итог"/>
    <x v="3"/>
    <m/>
    <m/>
    <m/>
    <m/>
    <m/>
    <n v="1010.1700000000001"/>
    <x v="6"/>
  </r>
  <r>
    <d v="2023-06-17T00:00:00"/>
    <x v="0"/>
    <s v="Барановичи"/>
    <s v="Овощи"/>
    <s v="Капуста"/>
    <n v="460"/>
    <n v="41"/>
    <n v="18.86"/>
    <x v="6"/>
  </r>
  <r>
    <d v="2023-06-17T00:00:00"/>
    <x v="1"/>
    <s v="Барановичи"/>
    <s v="Ягоды"/>
    <s v="Голубика"/>
    <n v="3205"/>
    <n v="13"/>
    <n v="41.664999999999999"/>
    <x v="6"/>
  </r>
  <r>
    <d v="2023-06-17T00:00:00"/>
    <x v="1"/>
    <s v="Борисов"/>
    <s v="Зелень"/>
    <s v="Кинза"/>
    <n v="650"/>
    <n v="50"/>
    <n v="32.5"/>
    <x v="6"/>
  </r>
  <r>
    <d v="2023-06-17T00:00:00"/>
    <x v="0"/>
    <s v="Борисов"/>
    <s v="Зелень"/>
    <s v="Салат айсберг"/>
    <n v="1380"/>
    <n v="70"/>
    <n v="96.6"/>
    <x v="6"/>
  </r>
  <r>
    <d v="2023-06-17T00:00:00"/>
    <x v="4"/>
    <s v="Борисов"/>
    <s v="Фрукты"/>
    <s v="Апельсины"/>
    <n v="2540"/>
    <n v="76"/>
    <n v="193.04"/>
    <x v="6"/>
  </r>
  <r>
    <d v="2023-06-17T00:00:00"/>
    <x v="0"/>
    <s v="Жодино"/>
    <s v="Фрукты"/>
    <s v="Апельсины"/>
    <n v="2540"/>
    <n v="21"/>
    <n v="53.34"/>
    <x v="6"/>
  </r>
  <r>
    <d v="2023-06-17T00:00:00"/>
    <x v="1"/>
    <s v="Жодино"/>
    <s v="Фрукты"/>
    <s v="Яблоки"/>
    <n v="1230"/>
    <n v="16"/>
    <n v="19.68"/>
    <x v="6"/>
  </r>
  <r>
    <d v="2023-06-17T00:00:00"/>
    <x v="1"/>
    <s v="Минск"/>
    <s v="Зелень"/>
    <s v="Салат айсберг"/>
    <n v="1380"/>
    <n v="39"/>
    <n v="53.82"/>
    <x v="6"/>
  </r>
  <r>
    <d v="2023-06-17T00:00:00"/>
    <x v="0"/>
    <s v="Минск"/>
    <s v="Овощи"/>
    <s v="Баклажаны"/>
    <n v="890"/>
    <n v="97"/>
    <n v="86.33"/>
    <x v="6"/>
  </r>
  <r>
    <d v="2023-06-17T00:00:00"/>
    <x v="2"/>
    <s v="Минск"/>
    <s v="Фрукты"/>
    <s v="Сливы"/>
    <n v="930"/>
    <n v="76"/>
    <n v="70.680000000000007"/>
    <x v="6"/>
  </r>
  <r>
    <d v="2023-06-17T00:00:00"/>
    <x v="2"/>
    <s v="Столбцы"/>
    <s v="Фрукты"/>
    <s v="Абрикосы"/>
    <n v="1320"/>
    <n v="91"/>
    <n v="120.12"/>
    <x v="6"/>
  </r>
  <r>
    <d v="2023-06-17T00:00:00"/>
    <x v="2"/>
    <s v="Столбцы"/>
    <s v="Фрукты"/>
    <s v="Сливы"/>
    <n v="930"/>
    <n v="69"/>
    <n v="64.17"/>
    <x v="6"/>
  </r>
  <r>
    <d v="2023-06-17T00:00:00"/>
    <x v="2"/>
    <s v="Столбцы"/>
    <s v="Ягоды"/>
    <s v="Голубика"/>
    <n v="3205"/>
    <n v="91"/>
    <n v="291.65499999999997"/>
    <x v="6"/>
  </r>
  <r>
    <s v="17.06.2023 Итог"/>
    <x v="3"/>
    <m/>
    <m/>
    <m/>
    <m/>
    <m/>
    <n v="1142.46"/>
    <x v="6"/>
  </r>
  <r>
    <d v="2023-06-18T00:00:00"/>
    <x v="0"/>
    <s v="Барановичи"/>
    <s v="Зелень"/>
    <s v="Салат айсберг"/>
    <n v="1380"/>
    <n v="15"/>
    <n v="20.7"/>
    <x v="6"/>
  </r>
  <r>
    <d v="2023-06-18T00:00:00"/>
    <x v="0"/>
    <s v="Борисов"/>
    <s v="Овощи"/>
    <s v="Свекла"/>
    <n v="450"/>
    <n v="9"/>
    <n v="4.05"/>
    <x v="6"/>
  </r>
  <r>
    <d v="2023-06-18T00:00:00"/>
    <x v="2"/>
    <s v="Жодино"/>
    <s v="Фрукты"/>
    <s v="Абрикосы"/>
    <n v="1320"/>
    <n v="42"/>
    <n v="55.44"/>
    <x v="6"/>
  </r>
  <r>
    <d v="2023-06-18T00:00:00"/>
    <x v="4"/>
    <s v="Минск"/>
    <s v="Зелень"/>
    <s v="Укроп"/>
    <n v="650"/>
    <n v="89"/>
    <n v="57.85"/>
    <x v="6"/>
  </r>
  <r>
    <d v="2023-06-18T00:00:00"/>
    <x v="2"/>
    <s v="Минск"/>
    <s v="Овощи"/>
    <s v="Баклажаны"/>
    <n v="890"/>
    <n v="71"/>
    <n v="63.19"/>
    <x v="6"/>
  </r>
  <r>
    <d v="2023-06-18T00:00:00"/>
    <x v="4"/>
    <s v="Минск"/>
    <s v="Фрукты"/>
    <s v="Абрикосы"/>
    <n v="1320"/>
    <n v="22"/>
    <n v="29.04"/>
    <x v="6"/>
  </r>
  <r>
    <d v="2023-06-18T00:00:00"/>
    <x v="2"/>
    <s v="Фаниполь"/>
    <s v="Овощи"/>
    <s v="Капуста"/>
    <n v="460"/>
    <n v="82"/>
    <n v="37.72"/>
    <x v="6"/>
  </r>
  <r>
    <d v="2023-06-18T00:00:00"/>
    <x v="1"/>
    <s v="Фаниполь"/>
    <s v="Фрукты"/>
    <s v="Апельсины"/>
    <n v="2540"/>
    <n v="30"/>
    <n v="76.2"/>
    <x v="6"/>
  </r>
  <r>
    <s v="18.06.2023 Итог"/>
    <x v="3"/>
    <m/>
    <m/>
    <m/>
    <m/>
    <m/>
    <n v="344.19"/>
    <x v="6"/>
  </r>
  <r>
    <d v="2023-06-19T00:00:00"/>
    <x v="1"/>
    <s v="Барановичи"/>
    <s v="Овощи"/>
    <s v="Картофель"/>
    <n v="690"/>
    <n v="67"/>
    <n v="46.23"/>
    <x v="6"/>
  </r>
  <r>
    <d v="2023-06-19T00:00:00"/>
    <x v="1"/>
    <s v="Борисов"/>
    <s v="Фрукты"/>
    <s v="Абрикосы"/>
    <n v="1320"/>
    <n v="9"/>
    <n v="11.88"/>
    <x v="6"/>
  </r>
  <r>
    <d v="2023-06-19T00:00:00"/>
    <x v="2"/>
    <s v="Борисов"/>
    <s v="Ягоды"/>
    <s v="Голубика"/>
    <n v="3205"/>
    <n v="63"/>
    <n v="201.91499999999999"/>
    <x v="6"/>
  </r>
  <r>
    <d v="2023-06-19T00:00:00"/>
    <x v="2"/>
    <s v="Жодино"/>
    <s v="Овощи"/>
    <s v="Картофель"/>
    <n v="690"/>
    <n v="35"/>
    <n v="24.15"/>
    <x v="6"/>
  </r>
  <r>
    <d v="2023-06-19T00:00:00"/>
    <x v="1"/>
    <s v="Минск"/>
    <s v="Фрукты"/>
    <s v="Сливы"/>
    <n v="930"/>
    <n v="50"/>
    <n v="46.5"/>
    <x v="6"/>
  </r>
  <r>
    <d v="2023-06-19T00:00:00"/>
    <x v="1"/>
    <s v="Минск"/>
    <s v="Ягоды"/>
    <s v="Черешня"/>
    <n v="1760"/>
    <n v="65"/>
    <n v="114.4"/>
    <x v="6"/>
  </r>
  <r>
    <d v="2023-06-19T00:00:00"/>
    <x v="4"/>
    <s v="Столбцы"/>
    <s v="Овощи"/>
    <s v="Свекла"/>
    <n v="450"/>
    <n v="26"/>
    <n v="11.7"/>
    <x v="6"/>
  </r>
  <r>
    <d v="2023-06-19T00:00:00"/>
    <x v="4"/>
    <s v="Столбцы"/>
    <s v="Фрукты"/>
    <s v="Абрикосы"/>
    <n v="1320"/>
    <n v="66"/>
    <n v="87.12"/>
    <x v="6"/>
  </r>
  <r>
    <d v="2023-06-19T00:00:00"/>
    <x v="0"/>
    <s v="Столбцы"/>
    <s v="Ягоды"/>
    <s v="Малина"/>
    <n v="2970"/>
    <n v="75"/>
    <n v="222.75"/>
    <x v="6"/>
  </r>
  <r>
    <d v="2023-06-19T00:00:00"/>
    <x v="4"/>
    <s v="Столбцы"/>
    <s v="Ягоды"/>
    <s v="Черешня"/>
    <n v="1760"/>
    <n v="49"/>
    <n v="86.24"/>
    <x v="6"/>
  </r>
  <r>
    <d v="2023-06-19T00:00:00"/>
    <x v="1"/>
    <s v="Фаниполь"/>
    <s v="Зелень"/>
    <s v="Салат римский"/>
    <n v="540"/>
    <n v="71"/>
    <n v="38.340000000000003"/>
    <x v="6"/>
  </r>
  <r>
    <s v="19.06.2023 Итог"/>
    <x v="3"/>
    <m/>
    <m/>
    <m/>
    <m/>
    <m/>
    <n v="891.22500000000002"/>
    <x v="6"/>
  </r>
  <r>
    <d v="2023-06-20T00:00:00"/>
    <x v="4"/>
    <s v="Барановичи"/>
    <s v="Овощи"/>
    <s v="Капуста"/>
    <n v="460"/>
    <n v="14"/>
    <n v="6.44"/>
    <x v="6"/>
  </r>
  <r>
    <d v="2023-06-20T00:00:00"/>
    <x v="0"/>
    <s v="Борисов"/>
    <s v="Фрукты"/>
    <s v="Апельсины"/>
    <n v="2540"/>
    <n v="29"/>
    <n v="73.66"/>
    <x v="6"/>
  </r>
  <r>
    <d v="2023-06-20T00:00:00"/>
    <x v="2"/>
    <s v="Борисов"/>
    <s v="Фрукты"/>
    <s v="Абрикосы"/>
    <n v="1320"/>
    <n v="5"/>
    <n v="6.6"/>
    <x v="6"/>
  </r>
  <r>
    <d v="2023-06-20T00:00:00"/>
    <x v="1"/>
    <s v="Минск"/>
    <s v="Зелень"/>
    <s v="Петрушка"/>
    <n v="640"/>
    <n v="91"/>
    <n v="58.24"/>
    <x v="6"/>
  </r>
  <r>
    <d v="2023-06-20T00:00:00"/>
    <x v="2"/>
    <s v="Минск"/>
    <s v="Зелень"/>
    <s v="Петрушка"/>
    <n v="640"/>
    <n v="79"/>
    <n v="50.56"/>
    <x v="6"/>
  </r>
  <r>
    <d v="2023-06-20T00:00:00"/>
    <x v="1"/>
    <s v="Минск"/>
    <s v="Зелень"/>
    <s v="Петрушка"/>
    <n v="640"/>
    <n v="69"/>
    <n v="44.16"/>
    <x v="6"/>
  </r>
  <r>
    <d v="2023-06-20T00:00:00"/>
    <x v="4"/>
    <s v="Столбцы"/>
    <s v="Овощи"/>
    <s v="Свекла"/>
    <n v="450"/>
    <n v="42"/>
    <n v="18.899999999999999"/>
    <x v="6"/>
  </r>
  <r>
    <d v="2023-06-20T00:00:00"/>
    <x v="4"/>
    <s v="Столбцы"/>
    <s v="Ягоды"/>
    <s v="Малина"/>
    <n v="2970"/>
    <n v="53"/>
    <n v="157.41"/>
    <x v="6"/>
  </r>
  <r>
    <d v="2023-06-20T00:00:00"/>
    <x v="2"/>
    <s v="Столбцы"/>
    <s v="Ягоды"/>
    <s v="Клубника"/>
    <n v="2460"/>
    <n v="14"/>
    <n v="34.44"/>
    <x v="6"/>
  </r>
  <r>
    <d v="2023-06-20T00:00:00"/>
    <x v="0"/>
    <s v="Фаниполь"/>
    <s v="Фрукты"/>
    <s v="Груши"/>
    <n v="1420"/>
    <n v="80"/>
    <n v="113.6"/>
    <x v="6"/>
  </r>
  <r>
    <d v="2023-06-20T00:00:00"/>
    <x v="2"/>
    <s v="Фаниполь"/>
    <s v="Фрукты"/>
    <s v="Бананы"/>
    <n v="2400"/>
    <n v="59"/>
    <n v="141.6"/>
    <x v="6"/>
  </r>
  <r>
    <s v="20.06.2023 Итог"/>
    <x v="3"/>
    <m/>
    <m/>
    <m/>
    <m/>
    <m/>
    <n v="705.61"/>
    <x v="6"/>
  </r>
  <r>
    <d v="2023-06-21T00:00:00"/>
    <x v="4"/>
    <s v="Борисов"/>
    <s v="Зелень"/>
    <s v="Укроп"/>
    <n v="650"/>
    <n v="7"/>
    <n v="4.55"/>
    <x v="6"/>
  </r>
  <r>
    <d v="2023-06-21T00:00:00"/>
    <x v="0"/>
    <s v="Жодино"/>
    <s v="Фрукты"/>
    <s v="Яблоки"/>
    <n v="1230"/>
    <n v="8"/>
    <n v="9.84"/>
    <x v="6"/>
  </r>
  <r>
    <d v="2023-06-21T00:00:00"/>
    <x v="2"/>
    <s v="Жодино"/>
    <s v="Ягоды"/>
    <s v="Брусника"/>
    <n v="1670"/>
    <n v="25"/>
    <n v="41.75"/>
    <x v="6"/>
  </r>
  <r>
    <d v="2023-06-21T00:00:00"/>
    <x v="4"/>
    <s v="Жодино"/>
    <s v="Ягоды"/>
    <s v="Брусника"/>
    <n v="1670"/>
    <n v="75"/>
    <n v="125.25"/>
    <x v="6"/>
  </r>
  <r>
    <d v="2023-06-21T00:00:00"/>
    <x v="4"/>
    <s v="Фаниполь"/>
    <s v="Ягоды"/>
    <s v="Смородина черная"/>
    <n v="1505"/>
    <n v="49"/>
    <n v="73.745000000000005"/>
    <x v="6"/>
  </r>
  <r>
    <s v="21.06.2023 Итог"/>
    <x v="3"/>
    <m/>
    <m/>
    <m/>
    <m/>
    <m/>
    <n v="255.13499999999999"/>
    <x v="6"/>
  </r>
  <r>
    <d v="2023-06-22T00:00:00"/>
    <x v="2"/>
    <s v="Барановичи"/>
    <s v="Зелень"/>
    <s v="Лук зеленый"/>
    <n v="705"/>
    <n v="48"/>
    <n v="33.840000000000003"/>
    <x v="6"/>
  </r>
  <r>
    <d v="2023-06-22T00:00:00"/>
    <x v="1"/>
    <s v="Барановичи"/>
    <s v="Овощи"/>
    <s v="Баклажаны"/>
    <n v="890"/>
    <n v="21"/>
    <n v="18.690000000000001"/>
    <x v="6"/>
  </r>
  <r>
    <d v="2023-06-22T00:00:00"/>
    <x v="1"/>
    <s v="Барановичи"/>
    <s v="Ягоды"/>
    <s v="Голубика"/>
    <n v="3205"/>
    <n v="82"/>
    <n v="262.81"/>
    <x v="6"/>
  </r>
  <r>
    <d v="2023-06-22T00:00:00"/>
    <x v="2"/>
    <s v="Борисов"/>
    <s v="Ягоды"/>
    <s v="Голубика"/>
    <n v="3205"/>
    <n v="66"/>
    <n v="211.53"/>
    <x v="6"/>
  </r>
  <r>
    <d v="2023-06-22T00:00:00"/>
    <x v="4"/>
    <s v="Жодино"/>
    <s v="Овощи"/>
    <s v="Кабачки"/>
    <n v="325"/>
    <n v="62"/>
    <n v="20.149999999999999"/>
    <x v="6"/>
  </r>
  <r>
    <d v="2023-06-22T00:00:00"/>
    <x v="1"/>
    <s v="Жодино"/>
    <s v="Фрукты"/>
    <s v="Апельсины"/>
    <n v="2540"/>
    <n v="36"/>
    <n v="91.44"/>
    <x v="6"/>
  </r>
  <r>
    <d v="2023-06-22T00:00:00"/>
    <x v="1"/>
    <s v="Минск"/>
    <s v="Овощи"/>
    <s v="Кабачки"/>
    <n v="325"/>
    <n v="39"/>
    <n v="12.675000000000001"/>
    <x v="6"/>
  </r>
  <r>
    <d v="2023-06-22T00:00:00"/>
    <x v="4"/>
    <s v="Столбцы"/>
    <s v="Зелень"/>
    <s v="Петрушка"/>
    <n v="640"/>
    <n v="30"/>
    <n v="19.2"/>
    <x v="6"/>
  </r>
  <r>
    <d v="2023-06-22T00:00:00"/>
    <x v="1"/>
    <s v="Столбцы"/>
    <s v="Овощи"/>
    <s v="Свекла"/>
    <n v="450"/>
    <n v="28"/>
    <n v="12.6"/>
    <x v="6"/>
  </r>
  <r>
    <d v="2023-06-22T00:00:00"/>
    <x v="4"/>
    <s v="Фаниполь"/>
    <s v="Зелень"/>
    <s v="Салат айсберг"/>
    <n v="1380"/>
    <n v="78"/>
    <n v="107.64"/>
    <x v="6"/>
  </r>
  <r>
    <s v="22.06.2023 Итог"/>
    <x v="3"/>
    <m/>
    <m/>
    <m/>
    <m/>
    <m/>
    <n v="790.57500000000005"/>
    <x v="6"/>
  </r>
  <r>
    <d v="2023-06-23T00:00:00"/>
    <x v="2"/>
    <s v="Барановичи"/>
    <s v="Ягоды"/>
    <s v="Малина"/>
    <n v="2970"/>
    <n v="70"/>
    <n v="207.9"/>
    <x v="6"/>
  </r>
  <r>
    <d v="2023-06-23T00:00:00"/>
    <x v="0"/>
    <s v="Барановичи"/>
    <s v="Ягоды"/>
    <s v="Клубника"/>
    <n v="2460"/>
    <n v="11"/>
    <n v="27.06"/>
    <x v="6"/>
  </r>
  <r>
    <d v="2023-06-23T00:00:00"/>
    <x v="4"/>
    <s v="Борисов"/>
    <s v="Фрукты"/>
    <s v="Абрикосы"/>
    <n v="1320"/>
    <n v="95"/>
    <n v="125.4"/>
    <x v="6"/>
  </r>
  <r>
    <d v="2023-06-23T00:00:00"/>
    <x v="4"/>
    <s v="Жодино"/>
    <s v="Овощи"/>
    <s v="Морковь"/>
    <n v="715"/>
    <n v="67"/>
    <n v="47.905000000000001"/>
    <x v="6"/>
  </r>
  <r>
    <d v="2023-06-23T00:00:00"/>
    <x v="1"/>
    <s v="Жодино"/>
    <s v="Ягоды"/>
    <s v="Черешня"/>
    <n v="1760"/>
    <n v="31"/>
    <n v="54.56"/>
    <x v="6"/>
  </r>
  <r>
    <d v="2023-06-23T00:00:00"/>
    <x v="4"/>
    <s v="Минск"/>
    <s v="Зелень"/>
    <s v="Салат римский"/>
    <n v="540"/>
    <n v="24"/>
    <n v="12.96"/>
    <x v="6"/>
  </r>
  <r>
    <d v="2023-06-23T00:00:00"/>
    <x v="4"/>
    <s v="Столбцы"/>
    <s v="Зелень"/>
    <s v="Салат айсберг"/>
    <n v="1380"/>
    <n v="42"/>
    <n v="57.96"/>
    <x v="6"/>
  </r>
  <r>
    <d v="2023-06-23T00:00:00"/>
    <x v="1"/>
    <s v="Фаниполь"/>
    <s v="Ягоды"/>
    <s v="Клубника"/>
    <n v="2460"/>
    <n v="70"/>
    <n v="172.2"/>
    <x v="6"/>
  </r>
  <r>
    <s v="23.06.2023 Итог"/>
    <x v="3"/>
    <m/>
    <m/>
    <m/>
    <m/>
    <m/>
    <n v="705.94499999999994"/>
    <x v="6"/>
  </r>
  <r>
    <d v="2023-06-24T00:00:00"/>
    <x v="4"/>
    <s v="Барановичи"/>
    <s v="Зелень"/>
    <s v="Лук зеленый"/>
    <n v="705"/>
    <n v="47"/>
    <n v="33.134999999999998"/>
    <x v="6"/>
  </r>
  <r>
    <d v="2023-06-24T00:00:00"/>
    <x v="2"/>
    <s v="Борисов"/>
    <s v="Фрукты"/>
    <s v="Абрикосы"/>
    <n v="1320"/>
    <n v="8"/>
    <n v="10.56"/>
    <x v="6"/>
  </r>
  <r>
    <d v="2023-06-24T00:00:00"/>
    <x v="1"/>
    <s v="Жодино"/>
    <s v="Фрукты"/>
    <s v="Груши"/>
    <n v="1420"/>
    <n v="46"/>
    <n v="65.319999999999993"/>
    <x v="6"/>
  </r>
  <r>
    <d v="2023-06-24T00:00:00"/>
    <x v="4"/>
    <s v="Жодино"/>
    <s v="Фрукты"/>
    <s v="Яблоки"/>
    <n v="1230"/>
    <n v="98"/>
    <n v="120.54"/>
    <x v="6"/>
  </r>
  <r>
    <d v="2023-06-24T00:00:00"/>
    <x v="0"/>
    <s v="Минск"/>
    <s v="Зелень"/>
    <s v="Салат римский"/>
    <n v="540"/>
    <n v="100"/>
    <n v="54"/>
    <x v="6"/>
  </r>
  <r>
    <d v="2023-06-24T00:00:00"/>
    <x v="2"/>
    <s v="Минск"/>
    <s v="Овощи"/>
    <s v="Картофель"/>
    <n v="690"/>
    <n v="91"/>
    <n v="62.79"/>
    <x v="6"/>
  </r>
  <r>
    <d v="2023-06-24T00:00:00"/>
    <x v="0"/>
    <s v="Столбцы"/>
    <s v="Зелень"/>
    <s v="Укроп"/>
    <n v="650"/>
    <n v="48"/>
    <n v="31.2"/>
    <x v="6"/>
  </r>
  <r>
    <d v="2023-06-24T00:00:00"/>
    <x v="2"/>
    <s v="Столбцы"/>
    <s v="Фрукты"/>
    <s v="Бананы"/>
    <n v="2400"/>
    <n v="6"/>
    <n v="14.4"/>
    <x v="6"/>
  </r>
  <r>
    <s v="24.06.2023 Итог"/>
    <x v="3"/>
    <m/>
    <m/>
    <m/>
    <m/>
    <m/>
    <n v="391.94499999999999"/>
    <x v="6"/>
  </r>
  <r>
    <d v="2023-06-25T00:00:00"/>
    <x v="1"/>
    <s v="Барановичи"/>
    <s v="Зелень"/>
    <s v="Салат айсберг"/>
    <n v="1380"/>
    <n v="39"/>
    <n v="53.82"/>
    <x v="6"/>
  </r>
  <r>
    <d v="2023-06-25T00:00:00"/>
    <x v="4"/>
    <s v="Барановичи"/>
    <s v="Овощи"/>
    <s v="Капуста"/>
    <n v="460"/>
    <n v="25"/>
    <n v="11.5"/>
    <x v="6"/>
  </r>
  <r>
    <d v="2023-06-25T00:00:00"/>
    <x v="2"/>
    <s v="Барановичи"/>
    <s v="Фрукты"/>
    <s v="Апельсины"/>
    <n v="2540"/>
    <n v="61"/>
    <n v="154.94"/>
    <x v="6"/>
  </r>
  <r>
    <d v="2023-06-25T00:00:00"/>
    <x v="4"/>
    <s v="Барановичи"/>
    <s v="Ягоды"/>
    <s v="Малина"/>
    <n v="2970"/>
    <n v="57"/>
    <n v="169.29"/>
    <x v="6"/>
  </r>
  <r>
    <d v="2023-06-25T00:00:00"/>
    <x v="0"/>
    <s v="Барановичи"/>
    <s v="Ягоды"/>
    <s v="Голубика"/>
    <n v="3205"/>
    <n v="88"/>
    <n v="282.04000000000002"/>
    <x v="6"/>
  </r>
  <r>
    <d v="2023-06-25T00:00:00"/>
    <x v="1"/>
    <s v="Минск"/>
    <s v="Зелень"/>
    <s v="Салат айсберг"/>
    <n v="1380"/>
    <n v="50"/>
    <n v="69"/>
    <x v="6"/>
  </r>
  <r>
    <d v="2023-06-25T00:00:00"/>
    <x v="0"/>
    <s v="Фаниполь"/>
    <s v="Ягоды"/>
    <s v="Черешня"/>
    <n v="1760"/>
    <n v="47"/>
    <n v="82.72"/>
    <x v="6"/>
  </r>
  <r>
    <s v="25.06.2023 Итог"/>
    <x v="3"/>
    <m/>
    <m/>
    <m/>
    <m/>
    <m/>
    <n v="823.31"/>
    <x v="6"/>
  </r>
  <r>
    <d v="2023-06-26T00:00:00"/>
    <x v="1"/>
    <s v="Барановичи"/>
    <s v="Зелень"/>
    <s v="Лук зеленый"/>
    <n v="705"/>
    <n v="43"/>
    <n v="30.315000000000001"/>
    <x v="6"/>
  </r>
  <r>
    <d v="2023-06-26T00:00:00"/>
    <x v="4"/>
    <s v="Барановичи"/>
    <s v="Овощи"/>
    <s v="Морковь"/>
    <n v="715"/>
    <n v="90"/>
    <n v="64.349999999999994"/>
    <x v="6"/>
  </r>
  <r>
    <d v="2023-06-26T00:00:00"/>
    <x v="2"/>
    <s v="Барановичи"/>
    <s v="Овощи"/>
    <s v="Капуста"/>
    <n v="460"/>
    <n v="65"/>
    <n v="29.9"/>
    <x v="6"/>
  </r>
  <r>
    <d v="2023-06-26T00:00:00"/>
    <x v="0"/>
    <s v="Барановичи"/>
    <s v="Фрукты"/>
    <s v="Сливы"/>
    <n v="930"/>
    <n v="52"/>
    <n v="48.36"/>
    <x v="6"/>
  </r>
  <r>
    <d v="2023-06-26T00:00:00"/>
    <x v="1"/>
    <s v="Барановичи"/>
    <s v="Фрукты"/>
    <s v="Яблоки"/>
    <n v="1230"/>
    <n v="36"/>
    <n v="44.28"/>
    <x v="6"/>
  </r>
  <r>
    <d v="2023-06-26T00:00:00"/>
    <x v="1"/>
    <s v="Барановичи"/>
    <s v="Ягоды"/>
    <s v="Черешня"/>
    <n v="1760"/>
    <n v="47"/>
    <n v="82.72"/>
    <x v="6"/>
  </r>
  <r>
    <d v="2023-06-26T00:00:00"/>
    <x v="4"/>
    <s v="Барановичи"/>
    <s v="Ягоды"/>
    <s v="Смородина черная"/>
    <n v="1505"/>
    <n v="63"/>
    <n v="94.814999999999998"/>
    <x v="6"/>
  </r>
  <r>
    <d v="2023-06-26T00:00:00"/>
    <x v="4"/>
    <s v="Жодино"/>
    <s v="Ягоды"/>
    <s v="Смородина черная"/>
    <n v="1505"/>
    <n v="69"/>
    <n v="103.845"/>
    <x v="6"/>
  </r>
  <r>
    <d v="2023-06-26T00:00:00"/>
    <x v="2"/>
    <s v="Столбцы"/>
    <s v="Ягоды"/>
    <s v="Голубика"/>
    <n v="3205"/>
    <n v="74"/>
    <n v="237.17"/>
    <x v="6"/>
  </r>
  <r>
    <d v="2023-06-26T00:00:00"/>
    <x v="4"/>
    <s v="Столбцы"/>
    <s v="Ягоды"/>
    <s v="Брусника"/>
    <n v="1670"/>
    <n v="12"/>
    <n v="20.04"/>
    <x v="6"/>
  </r>
  <r>
    <s v="26.06.2023 Итог"/>
    <x v="3"/>
    <m/>
    <m/>
    <m/>
    <m/>
    <m/>
    <n v="755.79499999999996"/>
    <x v="6"/>
  </r>
  <r>
    <d v="2023-06-27T00:00:00"/>
    <x v="2"/>
    <s v="Барановичи"/>
    <s v="Овощи"/>
    <s v="Картофель"/>
    <n v="690"/>
    <n v="39"/>
    <n v="26.91"/>
    <x v="6"/>
  </r>
  <r>
    <d v="2023-06-27T00:00:00"/>
    <x v="2"/>
    <s v="Борисов"/>
    <s v="Овощи"/>
    <s v="Капуста"/>
    <n v="460"/>
    <n v="43"/>
    <n v="19.78"/>
    <x v="6"/>
  </r>
  <r>
    <d v="2023-06-27T00:00:00"/>
    <x v="2"/>
    <s v="Борисов"/>
    <s v="Фрукты"/>
    <s v="Бананы"/>
    <n v="2400"/>
    <n v="95"/>
    <n v="228"/>
    <x v="6"/>
  </r>
  <r>
    <d v="2023-06-27T00:00:00"/>
    <x v="4"/>
    <s v="Жодино"/>
    <s v="Зелень"/>
    <s v="Салат айсберг"/>
    <n v="1380"/>
    <n v="23"/>
    <n v="31.74"/>
    <x v="6"/>
  </r>
  <r>
    <d v="2023-06-27T00:00:00"/>
    <x v="2"/>
    <s v="Жодино"/>
    <s v="Зелень"/>
    <s v="Петрушка"/>
    <n v="640"/>
    <n v="95"/>
    <n v="60.8"/>
    <x v="6"/>
  </r>
  <r>
    <d v="2023-06-27T00:00:00"/>
    <x v="2"/>
    <s v="Минск"/>
    <s v="Зелень"/>
    <s v="Укроп"/>
    <n v="650"/>
    <n v="28"/>
    <n v="18.2"/>
    <x v="6"/>
  </r>
  <r>
    <d v="2023-06-27T00:00:00"/>
    <x v="1"/>
    <s v="Столбцы"/>
    <s v="Овощи"/>
    <s v="Капуста"/>
    <n v="460"/>
    <n v="69"/>
    <n v="31.74"/>
    <x v="6"/>
  </r>
  <r>
    <d v="2023-06-27T00:00:00"/>
    <x v="4"/>
    <s v="Столбцы"/>
    <s v="Ягоды"/>
    <s v="Голубика"/>
    <n v="3205"/>
    <n v="27"/>
    <n v="86.534999999999997"/>
    <x v="6"/>
  </r>
  <r>
    <d v="2023-06-27T00:00:00"/>
    <x v="4"/>
    <s v="Фаниполь"/>
    <s v="Фрукты"/>
    <s v="Яблоки"/>
    <n v="1230"/>
    <n v="76"/>
    <n v="93.48"/>
    <x v="6"/>
  </r>
  <r>
    <d v="2023-06-27T00:00:00"/>
    <x v="2"/>
    <s v="Фаниполь"/>
    <s v="Ягоды"/>
    <s v="Голубика"/>
    <n v="3205"/>
    <n v="86"/>
    <n v="275.63"/>
    <x v="6"/>
  </r>
  <r>
    <s v="27.06.2023 Итог"/>
    <x v="3"/>
    <m/>
    <m/>
    <m/>
    <m/>
    <m/>
    <n v="872.81500000000005"/>
    <x v="6"/>
  </r>
  <r>
    <d v="2023-06-28T00:00:00"/>
    <x v="1"/>
    <s v="Барановичи"/>
    <s v="Овощи"/>
    <s v="Капуста"/>
    <n v="460"/>
    <n v="40"/>
    <n v="18.399999999999999"/>
    <x v="6"/>
  </r>
  <r>
    <d v="2023-06-28T00:00:00"/>
    <x v="4"/>
    <s v="Барановичи"/>
    <s v="Ягоды"/>
    <s v="Черешня"/>
    <n v="1760"/>
    <n v="49"/>
    <n v="86.24"/>
    <x v="6"/>
  </r>
  <r>
    <d v="2023-06-28T00:00:00"/>
    <x v="4"/>
    <s v="Борисов"/>
    <s v="Фрукты"/>
    <s v="Яблоки"/>
    <n v="1230"/>
    <n v="13"/>
    <n v="15.99"/>
    <x v="6"/>
  </r>
  <r>
    <d v="2023-06-28T00:00:00"/>
    <x v="4"/>
    <s v="Жодино"/>
    <s v="Зелень"/>
    <s v="Кинза"/>
    <n v="650"/>
    <n v="13"/>
    <n v="8.4499999999999993"/>
    <x v="6"/>
  </r>
  <r>
    <d v="2023-06-28T00:00:00"/>
    <x v="4"/>
    <s v="Жодино"/>
    <s v="Фрукты"/>
    <s v="Бананы"/>
    <n v="2400"/>
    <n v="73"/>
    <n v="175.2"/>
    <x v="6"/>
  </r>
  <r>
    <d v="2023-06-28T00:00:00"/>
    <x v="4"/>
    <s v="Жодино"/>
    <s v="Ягоды"/>
    <s v="Малина"/>
    <n v="2970"/>
    <n v="95"/>
    <n v="282.14999999999998"/>
    <x v="6"/>
  </r>
  <r>
    <d v="2023-06-28T00:00:00"/>
    <x v="1"/>
    <s v="Минск"/>
    <s v="Зелень"/>
    <s v="Кинза"/>
    <n v="650"/>
    <n v="58"/>
    <n v="37.700000000000003"/>
    <x v="6"/>
  </r>
  <r>
    <d v="2023-06-28T00:00:00"/>
    <x v="1"/>
    <s v="Минск"/>
    <s v="Овощи"/>
    <s v="Свекла"/>
    <n v="450"/>
    <n v="71"/>
    <n v="31.95"/>
    <x v="6"/>
  </r>
  <r>
    <d v="2023-06-28T00:00:00"/>
    <x v="0"/>
    <s v="Столбцы"/>
    <s v="Зелень"/>
    <s v="Петрушка"/>
    <n v="640"/>
    <n v="50"/>
    <n v="32"/>
    <x v="6"/>
  </r>
  <r>
    <d v="2023-06-28T00:00:00"/>
    <x v="2"/>
    <s v="Столбцы"/>
    <s v="Овощи"/>
    <s v="Кабачки"/>
    <n v="325"/>
    <n v="26"/>
    <n v="8.4499999999999993"/>
    <x v="6"/>
  </r>
  <r>
    <d v="2023-06-28T00:00:00"/>
    <x v="0"/>
    <s v="Фаниполь"/>
    <s v="Овощи"/>
    <s v="Кабачки"/>
    <n v="325"/>
    <n v="96"/>
    <n v="31.2"/>
    <x v="6"/>
  </r>
  <r>
    <s v="28.06.2023 Итог"/>
    <x v="3"/>
    <m/>
    <m/>
    <m/>
    <m/>
    <m/>
    <n v="727.73000000000013"/>
    <x v="6"/>
  </r>
  <r>
    <d v="2023-06-29T00:00:00"/>
    <x v="4"/>
    <s v="Барановичи"/>
    <s v="Зелень"/>
    <s v="Лук зеленый"/>
    <n v="705"/>
    <n v="30"/>
    <n v="21.15"/>
    <x v="6"/>
  </r>
  <r>
    <d v="2023-06-29T00:00:00"/>
    <x v="4"/>
    <s v="Минск"/>
    <s v="Фрукты"/>
    <s v="Яблоки"/>
    <n v="1230"/>
    <n v="90"/>
    <n v="110.7"/>
    <x v="6"/>
  </r>
  <r>
    <d v="2023-06-29T00:00:00"/>
    <x v="1"/>
    <s v="Фаниполь"/>
    <s v="Овощи"/>
    <s v="Картофель"/>
    <n v="690"/>
    <n v="90"/>
    <n v="62.1"/>
    <x v="6"/>
  </r>
  <r>
    <d v="2023-06-29T00:00:00"/>
    <x v="2"/>
    <s v="Фаниполь"/>
    <s v="Ягоды"/>
    <s v="Голубика"/>
    <n v="3205"/>
    <n v="85"/>
    <n v="272.42500000000001"/>
    <x v="6"/>
  </r>
  <r>
    <s v="29.06.2023 Итог"/>
    <x v="3"/>
    <m/>
    <m/>
    <m/>
    <m/>
    <m/>
    <n v="466.375"/>
    <x v="6"/>
  </r>
  <r>
    <d v="2023-06-30T00:00:00"/>
    <x v="1"/>
    <s v="Барановичи"/>
    <s v="Зелень"/>
    <s v="Кинза"/>
    <n v="650"/>
    <n v="84"/>
    <n v="54.6"/>
    <x v="6"/>
  </r>
  <r>
    <d v="2023-06-30T00:00:00"/>
    <x v="4"/>
    <s v="Борисов"/>
    <s v="Овощи"/>
    <s v="Баклажаны"/>
    <n v="890"/>
    <n v="44"/>
    <n v="39.159999999999997"/>
    <x v="6"/>
  </r>
  <r>
    <d v="2023-06-30T00:00:00"/>
    <x v="0"/>
    <s v="Жодино"/>
    <s v="Овощи"/>
    <s v="Картофель"/>
    <n v="690"/>
    <n v="42"/>
    <n v="28.98"/>
    <x v="6"/>
  </r>
  <r>
    <d v="2023-06-30T00:00:00"/>
    <x v="4"/>
    <s v="Столбцы"/>
    <s v="Зелень"/>
    <s v="Салат римский"/>
    <n v="540"/>
    <n v="10"/>
    <n v="5.4"/>
    <x v="6"/>
  </r>
  <r>
    <d v="2023-06-30T00:00:00"/>
    <x v="1"/>
    <s v="Фаниполь"/>
    <s v="Фрукты"/>
    <s v="Бананы"/>
    <n v="2400"/>
    <n v="17"/>
    <n v="40.799999999999997"/>
    <x v="6"/>
  </r>
  <r>
    <s v="30.06.2023 Итог"/>
    <x v="3"/>
    <m/>
    <m/>
    <m/>
    <m/>
    <m/>
    <n v="168.94"/>
    <x v="1"/>
  </r>
  <r>
    <d v="2023-07-01T00:00:00"/>
    <x v="1"/>
    <s v="Барановичи"/>
    <s v="Зелень"/>
    <s v="Укроп"/>
    <n v="650"/>
    <n v="88"/>
    <n v="57.2"/>
    <x v="7"/>
  </r>
  <r>
    <d v="2023-07-01T00:00:00"/>
    <x v="0"/>
    <s v="Барановичи"/>
    <s v="Фрукты"/>
    <s v="Бананы"/>
    <n v="2400"/>
    <n v="38"/>
    <n v="91.2"/>
    <x v="7"/>
  </r>
  <r>
    <d v="2023-07-01T00:00:00"/>
    <x v="2"/>
    <s v="Борисов"/>
    <s v="Зелень"/>
    <s v="Кинза"/>
    <n v="650"/>
    <n v="68"/>
    <n v="44.2"/>
    <x v="7"/>
  </r>
  <r>
    <d v="2023-07-01T00:00:00"/>
    <x v="1"/>
    <s v="Борисов"/>
    <s v="Зелень"/>
    <s v="Салат айсберг"/>
    <n v="1380"/>
    <n v="92"/>
    <n v="126.96"/>
    <x v="7"/>
  </r>
  <r>
    <d v="2023-07-01T00:00:00"/>
    <x v="0"/>
    <s v="Борисов"/>
    <s v="Овощи"/>
    <s v="Баклажаны"/>
    <n v="890"/>
    <n v="61"/>
    <n v="54.29"/>
    <x v="7"/>
  </r>
  <r>
    <d v="2023-07-01T00:00:00"/>
    <x v="2"/>
    <s v="Борисов"/>
    <s v="Ягоды"/>
    <s v="Малина"/>
    <n v="2970"/>
    <n v="30"/>
    <n v="89.1"/>
    <x v="7"/>
  </r>
  <r>
    <d v="2023-07-01T00:00:00"/>
    <x v="4"/>
    <s v="Борисов"/>
    <s v="Ягоды"/>
    <s v="Смородина черная"/>
    <n v="1505"/>
    <n v="55"/>
    <n v="82.775000000000006"/>
    <x v="7"/>
  </r>
  <r>
    <d v="2023-07-01T00:00:00"/>
    <x v="2"/>
    <s v="Жодино"/>
    <s v="Овощи"/>
    <s v="Баклажаны"/>
    <n v="890"/>
    <n v="46"/>
    <n v="40.94"/>
    <x v="7"/>
  </r>
  <r>
    <d v="2023-07-01T00:00:00"/>
    <x v="2"/>
    <s v="Жодино"/>
    <s v="Фрукты"/>
    <s v="Сливы"/>
    <n v="930"/>
    <n v="68"/>
    <n v="63.24"/>
    <x v="7"/>
  </r>
  <r>
    <d v="2023-07-01T00:00:00"/>
    <x v="1"/>
    <s v="Столбцы"/>
    <s v="Овощи"/>
    <s v="Кабачки"/>
    <n v="325"/>
    <n v="86"/>
    <n v="27.95"/>
    <x v="7"/>
  </r>
  <r>
    <d v="2023-07-01T00:00:00"/>
    <x v="4"/>
    <s v="Фаниполь"/>
    <s v="Зелень"/>
    <s v="Укроп"/>
    <n v="650"/>
    <n v="84"/>
    <n v="54.6"/>
    <x v="7"/>
  </r>
  <r>
    <d v="2023-07-01T00:00:00"/>
    <x v="4"/>
    <s v="Фаниполь"/>
    <s v="Ягоды"/>
    <s v="Клубника"/>
    <n v="2460"/>
    <n v="12"/>
    <n v="29.52"/>
    <x v="7"/>
  </r>
  <r>
    <s v="01.07.2023 Итог"/>
    <x v="3"/>
    <m/>
    <m/>
    <m/>
    <m/>
    <m/>
    <n v="761.97500000000002"/>
    <x v="7"/>
  </r>
  <r>
    <d v="2023-07-02T00:00:00"/>
    <x v="2"/>
    <s v="Барановичи"/>
    <s v="Зелень"/>
    <s v="Салат римский"/>
    <n v="540"/>
    <n v="48"/>
    <n v="25.92"/>
    <x v="7"/>
  </r>
  <r>
    <d v="2023-07-02T00:00:00"/>
    <x v="4"/>
    <s v="Барановичи"/>
    <s v="Овощи"/>
    <s v="Капуста"/>
    <n v="460"/>
    <n v="57"/>
    <n v="26.22"/>
    <x v="7"/>
  </r>
  <r>
    <d v="2023-07-02T00:00:00"/>
    <x v="1"/>
    <s v="Барановичи"/>
    <s v="Овощи"/>
    <s v="Капуста"/>
    <n v="460"/>
    <n v="72"/>
    <n v="33.119999999999997"/>
    <x v="7"/>
  </r>
  <r>
    <d v="2023-07-02T00:00:00"/>
    <x v="1"/>
    <s v="Барановичи"/>
    <s v="Фрукты"/>
    <s v="Яблоки"/>
    <n v="1230"/>
    <n v="76"/>
    <n v="93.48"/>
    <x v="7"/>
  </r>
  <r>
    <d v="2023-07-02T00:00:00"/>
    <x v="4"/>
    <s v="Барановичи"/>
    <s v="Фрукты"/>
    <s v="Абрикосы"/>
    <n v="1320"/>
    <n v="42"/>
    <n v="55.44"/>
    <x v="7"/>
  </r>
  <r>
    <d v="2023-07-02T00:00:00"/>
    <x v="2"/>
    <s v="Борисов"/>
    <s v="Фрукты"/>
    <s v="Яблоки"/>
    <n v="1230"/>
    <n v="90"/>
    <n v="110.7"/>
    <x v="7"/>
  </r>
  <r>
    <d v="2023-07-02T00:00:00"/>
    <x v="2"/>
    <s v="Жодино"/>
    <s v="Зелень"/>
    <s v="Салат айсберг"/>
    <n v="1380"/>
    <n v="25"/>
    <n v="34.5"/>
    <x v="7"/>
  </r>
  <r>
    <d v="2023-07-02T00:00:00"/>
    <x v="1"/>
    <s v="Минск"/>
    <s v="Зелень"/>
    <s v="Салат айсберг"/>
    <n v="1380"/>
    <n v="54"/>
    <n v="74.52"/>
    <x v="7"/>
  </r>
  <r>
    <d v="2023-07-02T00:00:00"/>
    <x v="1"/>
    <s v="Минск"/>
    <s v="Овощи"/>
    <s v="Морковь"/>
    <n v="715"/>
    <n v="27"/>
    <n v="19.305"/>
    <x v="7"/>
  </r>
  <r>
    <d v="2023-07-02T00:00:00"/>
    <x v="2"/>
    <s v="Минск"/>
    <s v="Овощи"/>
    <s v="Картофель"/>
    <n v="690"/>
    <n v="28"/>
    <n v="19.32"/>
    <x v="7"/>
  </r>
  <r>
    <d v="2023-07-02T00:00:00"/>
    <x v="1"/>
    <s v="Фаниполь"/>
    <s v="Фрукты"/>
    <s v="Бананы"/>
    <n v="2400"/>
    <n v="72"/>
    <n v="172.8"/>
    <x v="7"/>
  </r>
  <r>
    <s v="02.07.2023 Итог"/>
    <x v="3"/>
    <m/>
    <m/>
    <m/>
    <m/>
    <m/>
    <n v="665.32500000000005"/>
    <x v="7"/>
  </r>
  <r>
    <d v="2023-07-03T00:00:00"/>
    <x v="0"/>
    <s v="Барановичи"/>
    <s v="Зелень"/>
    <s v="Укроп"/>
    <n v="650"/>
    <n v="67"/>
    <n v="43.55"/>
    <x v="7"/>
  </r>
  <r>
    <d v="2023-07-03T00:00:00"/>
    <x v="1"/>
    <s v="Барановичи"/>
    <s v="Овощи"/>
    <s v="Морковь"/>
    <n v="715"/>
    <n v="34"/>
    <n v="24.31"/>
    <x v="7"/>
  </r>
  <r>
    <d v="2023-07-03T00:00:00"/>
    <x v="0"/>
    <s v="Барановичи"/>
    <s v="Овощи"/>
    <s v="Кабачки"/>
    <n v="325"/>
    <n v="57"/>
    <n v="18.524999999999999"/>
    <x v="7"/>
  </r>
  <r>
    <d v="2023-07-03T00:00:00"/>
    <x v="1"/>
    <s v="Борисов"/>
    <s v="Зелень"/>
    <s v="Лук зеленый"/>
    <n v="705"/>
    <n v="14"/>
    <n v="9.8699999999999992"/>
    <x v="7"/>
  </r>
  <r>
    <d v="2023-07-03T00:00:00"/>
    <x v="0"/>
    <s v="Борисов"/>
    <s v="Овощи"/>
    <s v="Картофель"/>
    <n v="690"/>
    <n v="64"/>
    <n v="44.16"/>
    <x v="7"/>
  </r>
  <r>
    <d v="2023-07-03T00:00:00"/>
    <x v="1"/>
    <s v="Минск"/>
    <s v="Овощи"/>
    <s v="Свекла"/>
    <n v="450"/>
    <n v="87"/>
    <n v="39.15"/>
    <x v="7"/>
  </r>
  <r>
    <d v="2023-07-03T00:00:00"/>
    <x v="4"/>
    <s v="Минск"/>
    <s v="Фрукты"/>
    <s v="Абрикосы"/>
    <n v="1320"/>
    <n v="61"/>
    <n v="80.52"/>
    <x v="7"/>
  </r>
  <r>
    <d v="2023-07-03T00:00:00"/>
    <x v="4"/>
    <s v="Столбцы"/>
    <s v="Зелень"/>
    <s v="Кинза"/>
    <n v="650"/>
    <n v="70"/>
    <n v="45.5"/>
    <x v="7"/>
  </r>
  <r>
    <d v="2023-07-03T00:00:00"/>
    <x v="4"/>
    <s v="Фаниполь"/>
    <s v="Овощи"/>
    <s v="Капуста"/>
    <n v="460"/>
    <n v="23"/>
    <n v="10.58"/>
    <x v="7"/>
  </r>
  <r>
    <d v="2023-07-03T00:00:00"/>
    <x v="0"/>
    <s v="Фаниполь"/>
    <s v="Ягоды"/>
    <s v="Смородина черная"/>
    <n v="1505"/>
    <n v="44"/>
    <n v="66.22"/>
    <x v="7"/>
  </r>
  <r>
    <s v="03.07.2023 Итог"/>
    <x v="3"/>
    <m/>
    <m/>
    <m/>
    <m/>
    <m/>
    <n v="382.38499999999999"/>
    <x v="7"/>
  </r>
  <r>
    <d v="2023-07-04T00:00:00"/>
    <x v="1"/>
    <s v="Барановичи"/>
    <s v="Овощи"/>
    <s v="Морковь"/>
    <n v="715"/>
    <n v="9"/>
    <n v="6.4349999999999996"/>
    <x v="7"/>
  </r>
  <r>
    <d v="2023-07-04T00:00:00"/>
    <x v="0"/>
    <s v="Барановичи"/>
    <s v="Фрукты"/>
    <s v="Абрикосы"/>
    <n v="1320"/>
    <n v="27"/>
    <n v="35.64"/>
    <x v="7"/>
  </r>
  <r>
    <d v="2023-07-04T00:00:00"/>
    <x v="0"/>
    <s v="Барановичи"/>
    <s v="Фрукты"/>
    <s v="Бананы"/>
    <n v="2400"/>
    <n v="81"/>
    <n v="194.4"/>
    <x v="7"/>
  </r>
  <r>
    <d v="2023-07-04T00:00:00"/>
    <x v="4"/>
    <s v="Барановичи"/>
    <s v="Ягоды"/>
    <s v="Черешня"/>
    <n v="1760"/>
    <n v="95"/>
    <n v="167.2"/>
    <x v="7"/>
  </r>
  <r>
    <d v="2023-07-04T00:00:00"/>
    <x v="4"/>
    <s v="Борисов"/>
    <s v="Зелень"/>
    <s v="Салат айсберг"/>
    <n v="1380"/>
    <n v="99"/>
    <n v="136.62"/>
    <x v="7"/>
  </r>
  <r>
    <d v="2023-07-04T00:00:00"/>
    <x v="2"/>
    <s v="Жодино"/>
    <s v="Зелень"/>
    <s v="Кинза"/>
    <n v="650"/>
    <n v="77"/>
    <n v="50.05"/>
    <x v="7"/>
  </r>
  <r>
    <d v="2023-07-04T00:00:00"/>
    <x v="0"/>
    <s v="Жодино"/>
    <s v="Зелень"/>
    <s v="Салат римский"/>
    <n v="540"/>
    <n v="33"/>
    <n v="17.82"/>
    <x v="7"/>
  </r>
  <r>
    <d v="2023-07-04T00:00:00"/>
    <x v="0"/>
    <s v="Жодино"/>
    <s v="Овощи"/>
    <s v="Картофель"/>
    <n v="690"/>
    <n v="71"/>
    <n v="48.99"/>
    <x v="7"/>
  </r>
  <r>
    <d v="2023-07-04T00:00:00"/>
    <x v="0"/>
    <s v="Минск"/>
    <s v="Зелень"/>
    <s v="Укроп"/>
    <n v="650"/>
    <n v="33"/>
    <n v="21.45"/>
    <x v="7"/>
  </r>
  <r>
    <d v="2023-07-04T00:00:00"/>
    <x v="4"/>
    <s v="Минск"/>
    <s v="Фрукты"/>
    <s v="Яблоки"/>
    <n v="1230"/>
    <n v="30"/>
    <n v="36.9"/>
    <x v="7"/>
  </r>
  <r>
    <d v="2023-07-04T00:00:00"/>
    <x v="4"/>
    <s v="Фаниполь"/>
    <s v="Овощи"/>
    <s v="Капуста"/>
    <n v="460"/>
    <n v="7"/>
    <n v="3.22"/>
    <x v="7"/>
  </r>
  <r>
    <d v="2023-07-04T00:00:00"/>
    <x v="1"/>
    <s v="Фаниполь"/>
    <s v="Ягоды"/>
    <s v="Клубника"/>
    <n v="2460"/>
    <n v="70"/>
    <n v="172.2"/>
    <x v="7"/>
  </r>
  <r>
    <s v="04.07.2023 Итог"/>
    <x v="3"/>
    <m/>
    <m/>
    <m/>
    <m/>
    <m/>
    <n v="890.92500000000018"/>
    <x v="7"/>
  </r>
  <r>
    <d v="2023-07-05T00:00:00"/>
    <x v="4"/>
    <s v="Барановичи"/>
    <s v="Зелень"/>
    <s v="Кинза"/>
    <n v="650"/>
    <n v="53"/>
    <n v="34.450000000000003"/>
    <x v="7"/>
  </r>
  <r>
    <d v="2023-07-05T00:00:00"/>
    <x v="1"/>
    <s v="Барановичи"/>
    <s v="Фрукты"/>
    <s v="Сливы"/>
    <n v="930"/>
    <n v="43"/>
    <n v="39.99"/>
    <x v="7"/>
  </r>
  <r>
    <d v="2023-07-05T00:00:00"/>
    <x v="0"/>
    <s v="Борисов"/>
    <s v="Зелень"/>
    <s v="Салат римский"/>
    <n v="540"/>
    <n v="23"/>
    <n v="12.42"/>
    <x v="7"/>
  </r>
  <r>
    <d v="2023-07-05T00:00:00"/>
    <x v="4"/>
    <s v="Борисов"/>
    <s v="Овощи"/>
    <s v="Капуста"/>
    <n v="460"/>
    <n v="26"/>
    <n v="11.96"/>
    <x v="7"/>
  </r>
  <r>
    <d v="2023-07-05T00:00:00"/>
    <x v="4"/>
    <s v="Борисов"/>
    <s v="Ягоды"/>
    <s v="Смородина черная"/>
    <n v="1505"/>
    <n v="63"/>
    <n v="94.814999999999998"/>
    <x v="7"/>
  </r>
  <r>
    <d v="2023-07-05T00:00:00"/>
    <x v="1"/>
    <s v="Жодино"/>
    <s v="Овощи"/>
    <s v="Картофель"/>
    <n v="690"/>
    <n v="88"/>
    <n v="60.72"/>
    <x v="7"/>
  </r>
  <r>
    <d v="2023-07-05T00:00:00"/>
    <x v="0"/>
    <s v="Жодино"/>
    <s v="Фрукты"/>
    <s v="Абрикосы"/>
    <n v="1320"/>
    <n v="18"/>
    <n v="23.76"/>
    <x v="7"/>
  </r>
  <r>
    <d v="2023-07-05T00:00:00"/>
    <x v="2"/>
    <s v="Минск"/>
    <s v="Ягоды"/>
    <s v="Малина"/>
    <n v="2970"/>
    <n v="46"/>
    <n v="136.62"/>
    <x v="7"/>
  </r>
  <r>
    <d v="2023-07-05T00:00:00"/>
    <x v="4"/>
    <s v="Столбцы"/>
    <s v="Ягоды"/>
    <s v="Клубника"/>
    <n v="2460"/>
    <n v="25"/>
    <n v="61.5"/>
    <x v="7"/>
  </r>
  <r>
    <d v="2023-07-05T00:00:00"/>
    <x v="0"/>
    <s v="Фаниполь"/>
    <s v="Фрукты"/>
    <s v="Абрикосы"/>
    <n v="1320"/>
    <n v="68"/>
    <n v="89.76"/>
    <x v="7"/>
  </r>
  <r>
    <s v="05.07.2023 Итог"/>
    <x v="3"/>
    <m/>
    <m/>
    <m/>
    <m/>
    <m/>
    <n v="565.995"/>
    <x v="7"/>
  </r>
  <r>
    <d v="2023-07-06T00:00:00"/>
    <x v="0"/>
    <s v="Барановичи"/>
    <s v="Зелень"/>
    <s v="Петрушка"/>
    <n v="640"/>
    <n v="17"/>
    <n v="10.88"/>
    <x v="7"/>
  </r>
  <r>
    <d v="2023-07-06T00:00:00"/>
    <x v="0"/>
    <s v="Барановичи"/>
    <s v="Зелень"/>
    <s v="Кинза"/>
    <n v="650"/>
    <n v="23"/>
    <n v="14.95"/>
    <x v="7"/>
  </r>
  <r>
    <d v="2023-07-06T00:00:00"/>
    <x v="2"/>
    <s v="Барановичи"/>
    <s v="Ягоды"/>
    <s v="Черешня"/>
    <n v="1760"/>
    <n v="15"/>
    <n v="26.4"/>
    <x v="7"/>
  </r>
  <r>
    <d v="2023-07-06T00:00:00"/>
    <x v="4"/>
    <s v="Борисов"/>
    <s v="Зелень"/>
    <s v="Лук зеленый"/>
    <n v="705"/>
    <n v="27"/>
    <n v="19.035"/>
    <x v="7"/>
  </r>
  <r>
    <d v="2023-07-06T00:00:00"/>
    <x v="0"/>
    <s v="Жодино"/>
    <s v="Зелень"/>
    <s v="Салат айсберг"/>
    <n v="1380"/>
    <n v="43"/>
    <n v="59.34"/>
    <x v="7"/>
  </r>
  <r>
    <d v="2023-07-06T00:00:00"/>
    <x v="2"/>
    <s v="Столбцы"/>
    <s v="Овощи"/>
    <s v="Свекла"/>
    <n v="450"/>
    <n v="8"/>
    <n v="3.6"/>
    <x v="7"/>
  </r>
  <r>
    <d v="2023-07-06T00:00:00"/>
    <x v="2"/>
    <s v="Столбцы"/>
    <s v="Овощи"/>
    <s v="Капуста"/>
    <n v="460"/>
    <n v="15"/>
    <n v="6.9"/>
    <x v="7"/>
  </r>
  <r>
    <d v="2023-07-06T00:00:00"/>
    <x v="4"/>
    <s v="Столбцы"/>
    <s v="Фрукты"/>
    <s v="Груши"/>
    <n v="1420"/>
    <n v="71"/>
    <n v="100.82"/>
    <x v="7"/>
  </r>
  <r>
    <d v="2023-07-06T00:00:00"/>
    <x v="2"/>
    <s v="Фаниполь"/>
    <s v="Зелень"/>
    <s v="Лук зеленый"/>
    <n v="705"/>
    <n v="83"/>
    <n v="58.515000000000001"/>
    <x v="7"/>
  </r>
  <r>
    <s v="06.07.2023 Итог"/>
    <x v="3"/>
    <m/>
    <m/>
    <m/>
    <m/>
    <m/>
    <n v="300.44"/>
    <x v="7"/>
  </r>
  <r>
    <d v="2023-07-07T00:00:00"/>
    <x v="1"/>
    <s v="Борисов"/>
    <s v="Зелень"/>
    <s v="Салат римский"/>
    <n v="540"/>
    <n v="19"/>
    <n v="10.26"/>
    <x v="7"/>
  </r>
  <r>
    <d v="2023-07-07T00:00:00"/>
    <x v="0"/>
    <s v="Борисов"/>
    <s v="Ягоды"/>
    <s v="Голубика"/>
    <n v="3205"/>
    <n v="96"/>
    <n v="307.68"/>
    <x v="7"/>
  </r>
  <r>
    <d v="2023-07-07T00:00:00"/>
    <x v="2"/>
    <s v="Жодино"/>
    <s v="Зелень"/>
    <s v="Лук зеленый"/>
    <n v="705"/>
    <n v="83"/>
    <n v="58.515000000000001"/>
    <x v="7"/>
  </r>
  <r>
    <d v="2023-07-07T00:00:00"/>
    <x v="0"/>
    <s v="Минск"/>
    <s v="Овощи"/>
    <s v="Кабачки"/>
    <n v="325"/>
    <n v="32"/>
    <n v="10.4"/>
    <x v="7"/>
  </r>
  <r>
    <d v="2023-07-07T00:00:00"/>
    <x v="4"/>
    <s v="Минск"/>
    <s v="Ягоды"/>
    <s v="Голубика"/>
    <n v="3205"/>
    <n v="88"/>
    <n v="282.04000000000002"/>
    <x v="7"/>
  </r>
  <r>
    <d v="2023-07-07T00:00:00"/>
    <x v="1"/>
    <s v="Столбцы"/>
    <s v="Зелень"/>
    <s v="Салат айсберг"/>
    <n v="1380"/>
    <n v="29"/>
    <n v="40.020000000000003"/>
    <x v="7"/>
  </r>
  <r>
    <d v="2023-07-07T00:00:00"/>
    <x v="1"/>
    <s v="Столбцы"/>
    <s v="Фрукты"/>
    <s v="Сливы"/>
    <n v="930"/>
    <n v="18"/>
    <n v="16.739999999999998"/>
    <x v="7"/>
  </r>
  <r>
    <d v="2023-07-07T00:00:00"/>
    <x v="4"/>
    <s v="Фаниполь"/>
    <s v="Зелень"/>
    <s v="Салат айсберг"/>
    <n v="1380"/>
    <n v="63"/>
    <n v="86.94"/>
    <x v="7"/>
  </r>
  <r>
    <d v="2023-07-07T00:00:00"/>
    <x v="4"/>
    <s v="Фаниполь"/>
    <s v="Зелень"/>
    <s v="Салат римский"/>
    <n v="540"/>
    <n v="21"/>
    <n v="11.34"/>
    <x v="7"/>
  </r>
  <r>
    <d v="2023-07-07T00:00:00"/>
    <x v="4"/>
    <s v="Фаниполь"/>
    <s v="Фрукты"/>
    <s v="Сливы"/>
    <n v="930"/>
    <n v="70"/>
    <n v="65.099999999999994"/>
    <x v="7"/>
  </r>
  <r>
    <s v="07.07.2023 Итог"/>
    <x v="3"/>
    <m/>
    <m/>
    <m/>
    <m/>
    <m/>
    <n v="889.03500000000008"/>
    <x v="7"/>
  </r>
  <r>
    <d v="2023-07-08T00:00:00"/>
    <x v="4"/>
    <s v="Барановичи"/>
    <s v="Зелень"/>
    <s v="Салат римский"/>
    <n v="540"/>
    <n v="12"/>
    <n v="6.48"/>
    <x v="7"/>
  </r>
  <r>
    <d v="2023-07-08T00:00:00"/>
    <x v="2"/>
    <s v="Барановичи"/>
    <s v="Ягоды"/>
    <s v="Смородина черная"/>
    <n v="1505"/>
    <n v="40"/>
    <n v="60.2"/>
    <x v="7"/>
  </r>
  <r>
    <d v="2023-07-08T00:00:00"/>
    <x v="4"/>
    <s v="Борисов"/>
    <s v="Ягоды"/>
    <s v="Малина"/>
    <n v="2970"/>
    <n v="85"/>
    <n v="252.45"/>
    <x v="7"/>
  </r>
  <r>
    <d v="2023-07-08T00:00:00"/>
    <x v="4"/>
    <s v="Жодино"/>
    <s v="Фрукты"/>
    <s v="Бананы"/>
    <n v="2400"/>
    <n v="47"/>
    <n v="112.8"/>
    <x v="7"/>
  </r>
  <r>
    <d v="2023-07-08T00:00:00"/>
    <x v="2"/>
    <s v="Минск"/>
    <s v="Фрукты"/>
    <s v="Абрикосы"/>
    <n v="1320"/>
    <n v="47"/>
    <n v="62.04"/>
    <x v="7"/>
  </r>
  <r>
    <d v="2023-07-08T00:00:00"/>
    <x v="1"/>
    <s v="Столбцы"/>
    <s v="Овощи"/>
    <s v="Картофель"/>
    <n v="690"/>
    <n v="12"/>
    <n v="8.2799999999999994"/>
    <x v="7"/>
  </r>
  <r>
    <d v="2023-07-08T00:00:00"/>
    <x v="4"/>
    <s v="Столбцы"/>
    <s v="Ягоды"/>
    <s v="Голубика"/>
    <n v="3205"/>
    <n v="50"/>
    <n v="160.25"/>
    <x v="7"/>
  </r>
  <r>
    <d v="2023-07-08T00:00:00"/>
    <x v="1"/>
    <s v="Фаниполь"/>
    <s v="Овощи"/>
    <s v="Капуста"/>
    <n v="460"/>
    <n v="82"/>
    <n v="37.72"/>
    <x v="7"/>
  </r>
  <r>
    <d v="2023-07-08T00:00:00"/>
    <x v="2"/>
    <s v="Фаниполь"/>
    <s v="Ягоды"/>
    <s v="Малина"/>
    <n v="2970"/>
    <n v="42"/>
    <n v="124.74"/>
    <x v="7"/>
  </r>
  <r>
    <s v="08.07.2023 Итог"/>
    <x v="3"/>
    <m/>
    <m/>
    <m/>
    <m/>
    <m/>
    <n v="824.96"/>
    <x v="7"/>
  </r>
  <r>
    <d v="2023-07-09T00:00:00"/>
    <x v="0"/>
    <s v="Барановичи"/>
    <s v="Фрукты"/>
    <s v="Абрикосы"/>
    <n v="1320"/>
    <n v="93"/>
    <n v="122.76"/>
    <x v="7"/>
  </r>
  <r>
    <d v="2023-07-09T00:00:00"/>
    <x v="0"/>
    <s v="Барановичи"/>
    <s v="Фрукты"/>
    <s v="Бананы"/>
    <n v="2400"/>
    <n v="100"/>
    <n v="240"/>
    <x v="7"/>
  </r>
  <r>
    <d v="2023-07-09T00:00:00"/>
    <x v="2"/>
    <s v="Борисов"/>
    <s v="Овощи"/>
    <s v="Баклажаны"/>
    <n v="890"/>
    <n v="26"/>
    <n v="23.14"/>
    <x v="7"/>
  </r>
  <r>
    <d v="2023-07-09T00:00:00"/>
    <x v="4"/>
    <s v="Жодино"/>
    <s v="Фрукты"/>
    <s v="Апельсины"/>
    <n v="2540"/>
    <n v="50"/>
    <n v="127"/>
    <x v="7"/>
  </r>
  <r>
    <d v="2023-07-09T00:00:00"/>
    <x v="2"/>
    <s v="Жодино"/>
    <s v="Ягоды"/>
    <s v="Смородина черная"/>
    <n v="1505"/>
    <n v="13"/>
    <n v="19.565000000000001"/>
    <x v="7"/>
  </r>
  <r>
    <d v="2023-07-09T00:00:00"/>
    <x v="2"/>
    <s v="Минск"/>
    <s v="Зелень"/>
    <s v="Укроп"/>
    <n v="650"/>
    <n v="79"/>
    <n v="51.35"/>
    <x v="7"/>
  </r>
  <r>
    <d v="2023-07-09T00:00:00"/>
    <x v="1"/>
    <s v="Минск"/>
    <s v="Фрукты"/>
    <s v="Абрикосы"/>
    <n v="1320"/>
    <n v="58"/>
    <n v="76.56"/>
    <x v="7"/>
  </r>
  <r>
    <d v="2023-07-09T00:00:00"/>
    <x v="1"/>
    <s v="Минск"/>
    <s v="Фрукты"/>
    <s v="Сливы"/>
    <n v="930"/>
    <n v="42"/>
    <n v="39.06"/>
    <x v="7"/>
  </r>
  <r>
    <d v="2023-07-09T00:00:00"/>
    <x v="4"/>
    <s v="Фаниполь"/>
    <s v="Зелень"/>
    <s v="Кинза"/>
    <n v="650"/>
    <n v="54"/>
    <n v="35.1"/>
    <x v="7"/>
  </r>
  <r>
    <d v="2023-07-09T00:00:00"/>
    <x v="0"/>
    <s v="Фаниполь"/>
    <s v="Фрукты"/>
    <s v="Бананы"/>
    <n v="2400"/>
    <n v="81"/>
    <n v="194.4"/>
    <x v="7"/>
  </r>
  <r>
    <s v="09.07.2023 Итог"/>
    <x v="3"/>
    <m/>
    <m/>
    <m/>
    <m/>
    <m/>
    <n v="928.93499999999995"/>
    <x v="7"/>
  </r>
  <r>
    <d v="2023-07-10T00:00:00"/>
    <x v="1"/>
    <s v="Барановичи"/>
    <s v="Ягоды"/>
    <s v="Голубика"/>
    <n v="3205"/>
    <n v="35"/>
    <n v="112.175"/>
    <x v="7"/>
  </r>
  <r>
    <d v="2023-07-10T00:00:00"/>
    <x v="2"/>
    <s v="Жодино"/>
    <s v="Овощи"/>
    <s v="Капуста"/>
    <n v="460"/>
    <n v="14"/>
    <n v="6.44"/>
    <x v="7"/>
  </r>
  <r>
    <d v="2023-07-10T00:00:00"/>
    <x v="0"/>
    <s v="Минск"/>
    <s v="Овощи"/>
    <s v="Свекла"/>
    <n v="450"/>
    <n v="87"/>
    <n v="39.15"/>
    <x v="7"/>
  </r>
  <r>
    <d v="2023-07-10T00:00:00"/>
    <x v="0"/>
    <s v="Минск"/>
    <s v="Фрукты"/>
    <s v="Яблоки"/>
    <n v="1230"/>
    <n v="66"/>
    <n v="81.180000000000007"/>
    <x v="7"/>
  </r>
  <r>
    <d v="2023-07-10T00:00:00"/>
    <x v="1"/>
    <s v="Столбцы"/>
    <s v="Овощи"/>
    <s v="Картофель"/>
    <n v="690"/>
    <n v="23"/>
    <n v="15.87"/>
    <x v="7"/>
  </r>
  <r>
    <d v="2023-07-10T00:00:00"/>
    <x v="0"/>
    <s v="Столбцы"/>
    <s v="Овощи"/>
    <s v="Картофель"/>
    <n v="690"/>
    <n v="38"/>
    <n v="26.22"/>
    <x v="7"/>
  </r>
  <r>
    <d v="2023-07-10T00:00:00"/>
    <x v="2"/>
    <s v="Столбцы"/>
    <s v="Фрукты"/>
    <s v="Абрикосы"/>
    <n v="1320"/>
    <n v="15"/>
    <n v="19.8"/>
    <x v="7"/>
  </r>
  <r>
    <d v="2023-07-10T00:00:00"/>
    <x v="1"/>
    <s v="Фаниполь"/>
    <s v="Зелень"/>
    <s v="Лук зеленый"/>
    <n v="705"/>
    <n v="46"/>
    <n v="32.43"/>
    <x v="7"/>
  </r>
  <r>
    <d v="2023-07-10T00:00:00"/>
    <x v="0"/>
    <s v="Фаниполь"/>
    <s v="Зелень"/>
    <s v="Укроп"/>
    <n v="650"/>
    <n v="36"/>
    <n v="23.4"/>
    <x v="7"/>
  </r>
  <r>
    <d v="2023-07-10T00:00:00"/>
    <x v="1"/>
    <s v="Фаниполь"/>
    <s v="Овощи"/>
    <s v="Кабачки"/>
    <n v="325"/>
    <n v="38"/>
    <n v="12.35"/>
    <x v="7"/>
  </r>
  <r>
    <d v="2023-07-10T00:00:00"/>
    <x v="4"/>
    <s v="Фаниполь"/>
    <s v="Овощи"/>
    <s v="Баклажаны"/>
    <n v="890"/>
    <n v="66"/>
    <n v="58.74"/>
    <x v="7"/>
  </r>
  <r>
    <s v="10.07.2023 Итог"/>
    <x v="3"/>
    <m/>
    <m/>
    <m/>
    <m/>
    <m/>
    <n v="427.755"/>
    <x v="7"/>
  </r>
  <r>
    <d v="2023-07-11T00:00:00"/>
    <x v="1"/>
    <s v="Барановичи"/>
    <s v="Ягоды"/>
    <s v="Малина"/>
    <n v="2970"/>
    <n v="27"/>
    <n v="80.19"/>
    <x v="7"/>
  </r>
  <r>
    <d v="2023-07-11T00:00:00"/>
    <x v="1"/>
    <s v="Борисов"/>
    <s v="Зелень"/>
    <s v="Кинза"/>
    <n v="650"/>
    <n v="68"/>
    <n v="44.2"/>
    <x v="7"/>
  </r>
  <r>
    <d v="2023-07-11T00:00:00"/>
    <x v="4"/>
    <s v="Борисов"/>
    <s v="Овощи"/>
    <s v="Баклажаны"/>
    <n v="890"/>
    <n v="32"/>
    <n v="28.48"/>
    <x v="7"/>
  </r>
  <r>
    <d v="2023-07-11T00:00:00"/>
    <x v="2"/>
    <s v="Минск"/>
    <s v="Зелень"/>
    <s v="Кинза"/>
    <n v="650"/>
    <n v="13"/>
    <n v="8.4499999999999993"/>
    <x v="7"/>
  </r>
  <r>
    <d v="2023-07-11T00:00:00"/>
    <x v="0"/>
    <s v="Минск"/>
    <s v="Зелень"/>
    <s v="Салат римский"/>
    <n v="540"/>
    <n v="91"/>
    <n v="49.14"/>
    <x v="7"/>
  </r>
  <r>
    <d v="2023-07-11T00:00:00"/>
    <x v="1"/>
    <s v="Минск"/>
    <s v="Ягоды"/>
    <s v="Черешня"/>
    <n v="1760"/>
    <n v="67"/>
    <n v="117.92"/>
    <x v="7"/>
  </r>
  <r>
    <d v="2023-07-11T00:00:00"/>
    <x v="1"/>
    <s v="Столбцы"/>
    <s v="Зелень"/>
    <s v="Укроп"/>
    <n v="650"/>
    <n v="42"/>
    <n v="27.3"/>
    <x v="7"/>
  </r>
  <r>
    <s v="11.07.2023 Итог"/>
    <x v="3"/>
    <m/>
    <m/>
    <m/>
    <m/>
    <m/>
    <n v="355.68"/>
    <x v="7"/>
  </r>
  <r>
    <d v="2023-07-12T00:00:00"/>
    <x v="2"/>
    <s v="Барановичи"/>
    <s v="Зелень"/>
    <s v="Кинза"/>
    <n v="650"/>
    <n v="90"/>
    <n v="58.5"/>
    <x v="7"/>
  </r>
  <r>
    <d v="2023-07-12T00:00:00"/>
    <x v="2"/>
    <s v="Борисов"/>
    <s v="Зелень"/>
    <s v="Кинза"/>
    <n v="650"/>
    <n v="41"/>
    <n v="26.65"/>
    <x v="7"/>
  </r>
  <r>
    <d v="2023-07-12T00:00:00"/>
    <x v="0"/>
    <s v="Борисов"/>
    <s v="Овощи"/>
    <s v="Картофель"/>
    <n v="690"/>
    <n v="51"/>
    <n v="35.19"/>
    <x v="7"/>
  </r>
  <r>
    <d v="2023-07-12T00:00:00"/>
    <x v="4"/>
    <s v="Жодино"/>
    <s v="Ягоды"/>
    <s v="Брусника"/>
    <n v="1670"/>
    <n v="46"/>
    <n v="76.819999999999993"/>
    <x v="7"/>
  </r>
  <r>
    <d v="2023-07-12T00:00:00"/>
    <x v="1"/>
    <s v="Минск"/>
    <s v="Фрукты"/>
    <s v="Апельсины"/>
    <n v="2540"/>
    <n v="15"/>
    <n v="38.1"/>
    <x v="7"/>
  </r>
  <r>
    <d v="2023-07-12T00:00:00"/>
    <x v="1"/>
    <s v="Минск"/>
    <s v="Ягоды"/>
    <s v="Брусника"/>
    <n v="1670"/>
    <n v="53"/>
    <n v="88.51"/>
    <x v="7"/>
  </r>
  <r>
    <d v="2023-07-12T00:00:00"/>
    <x v="0"/>
    <s v="Фаниполь"/>
    <s v="Овощи"/>
    <s v="Свекла"/>
    <n v="450"/>
    <n v="40"/>
    <n v="18"/>
    <x v="7"/>
  </r>
  <r>
    <d v="2023-07-12T00:00:00"/>
    <x v="1"/>
    <s v="Фаниполь"/>
    <s v="Ягоды"/>
    <s v="Малина"/>
    <n v="2970"/>
    <n v="83"/>
    <n v="246.51"/>
    <x v="7"/>
  </r>
  <r>
    <s v="12.07.2023 Итог"/>
    <x v="3"/>
    <m/>
    <m/>
    <m/>
    <m/>
    <m/>
    <n v="588.28"/>
    <x v="7"/>
  </r>
  <r>
    <d v="2023-07-13T00:00:00"/>
    <x v="0"/>
    <s v="Барановичи"/>
    <s v="Овощи"/>
    <s v="Баклажаны"/>
    <n v="890"/>
    <n v="74"/>
    <n v="65.86"/>
    <x v="7"/>
  </r>
  <r>
    <d v="2023-07-13T00:00:00"/>
    <x v="1"/>
    <s v="Барановичи"/>
    <s v="Овощи"/>
    <s v="Баклажаны"/>
    <n v="890"/>
    <n v="38"/>
    <n v="33.82"/>
    <x v="7"/>
  </r>
  <r>
    <d v="2023-07-13T00:00:00"/>
    <x v="2"/>
    <s v="Барановичи"/>
    <s v="Ягоды"/>
    <s v="Голубика"/>
    <n v="3205"/>
    <n v="83"/>
    <n v="266.01499999999999"/>
    <x v="7"/>
  </r>
  <r>
    <d v="2023-07-13T00:00:00"/>
    <x v="4"/>
    <s v="Столбцы"/>
    <s v="Зелень"/>
    <s v="Петрушка"/>
    <n v="640"/>
    <n v="42"/>
    <n v="26.88"/>
    <x v="7"/>
  </r>
  <r>
    <d v="2023-07-13T00:00:00"/>
    <x v="4"/>
    <s v="Столбцы"/>
    <s v="Овощи"/>
    <s v="Капуста"/>
    <n v="460"/>
    <n v="5"/>
    <n v="2.2999999999999998"/>
    <x v="7"/>
  </r>
  <r>
    <d v="2023-07-13T00:00:00"/>
    <x v="4"/>
    <s v="Столбцы"/>
    <s v="Ягоды"/>
    <s v="Смородина черная"/>
    <n v="1505"/>
    <n v="22"/>
    <n v="33.11"/>
    <x v="7"/>
  </r>
  <r>
    <d v="2023-07-13T00:00:00"/>
    <x v="4"/>
    <s v="Фаниполь"/>
    <s v="Овощи"/>
    <s v="Кабачки"/>
    <n v="325"/>
    <n v="72"/>
    <n v="23.4"/>
    <x v="7"/>
  </r>
  <r>
    <s v="13.07.2023 Итог"/>
    <x v="3"/>
    <m/>
    <m/>
    <m/>
    <m/>
    <m/>
    <n v="451.38499999999999"/>
    <x v="7"/>
  </r>
  <r>
    <d v="2023-07-14T00:00:00"/>
    <x v="2"/>
    <s v="Барановичи"/>
    <s v="Зелень"/>
    <s v="Лук зеленый"/>
    <n v="705"/>
    <n v="86"/>
    <n v="60.63"/>
    <x v="7"/>
  </r>
  <r>
    <d v="2023-07-14T00:00:00"/>
    <x v="1"/>
    <s v="Барановичи"/>
    <s v="Овощи"/>
    <s v="Кабачки"/>
    <n v="325"/>
    <n v="35"/>
    <n v="11.375"/>
    <x v="7"/>
  </r>
  <r>
    <d v="2023-07-14T00:00:00"/>
    <x v="1"/>
    <s v="Барановичи"/>
    <s v="Ягоды"/>
    <s v="Клубника"/>
    <n v="2460"/>
    <n v="67"/>
    <n v="164.82"/>
    <x v="7"/>
  </r>
  <r>
    <d v="2023-07-14T00:00:00"/>
    <x v="4"/>
    <s v="Борисов"/>
    <s v="Ягоды"/>
    <s v="Клубника"/>
    <n v="2460"/>
    <n v="59"/>
    <n v="145.13999999999999"/>
    <x v="7"/>
  </r>
  <r>
    <d v="2023-07-14T00:00:00"/>
    <x v="1"/>
    <s v="Жодино"/>
    <s v="Зелень"/>
    <s v="Лук зеленый"/>
    <n v="705"/>
    <n v="83"/>
    <n v="58.515000000000001"/>
    <x v="7"/>
  </r>
  <r>
    <d v="2023-07-14T00:00:00"/>
    <x v="4"/>
    <s v="Жодино"/>
    <s v="Зелень"/>
    <s v="Кинза"/>
    <n v="650"/>
    <n v="74"/>
    <n v="48.1"/>
    <x v="7"/>
  </r>
  <r>
    <d v="2023-07-14T00:00:00"/>
    <x v="0"/>
    <s v="Минск"/>
    <s v="Зелень"/>
    <s v="Петрушка"/>
    <n v="640"/>
    <n v="65"/>
    <n v="41.6"/>
    <x v="7"/>
  </r>
  <r>
    <d v="2023-07-14T00:00:00"/>
    <x v="1"/>
    <s v="Минск"/>
    <s v="Овощи"/>
    <s v="Баклажаны"/>
    <n v="890"/>
    <n v="64"/>
    <n v="56.96"/>
    <x v="7"/>
  </r>
  <r>
    <d v="2023-07-14T00:00:00"/>
    <x v="0"/>
    <s v="Столбцы"/>
    <s v="Зелень"/>
    <s v="Кинза"/>
    <n v="650"/>
    <n v="29"/>
    <n v="18.850000000000001"/>
    <x v="7"/>
  </r>
  <r>
    <d v="2023-07-14T00:00:00"/>
    <x v="4"/>
    <s v="Фаниполь"/>
    <s v="Овощи"/>
    <s v="Баклажаны"/>
    <n v="890"/>
    <n v="93"/>
    <n v="82.77"/>
    <x v="7"/>
  </r>
  <r>
    <d v="2023-07-14T00:00:00"/>
    <x v="0"/>
    <s v="Фаниполь"/>
    <s v="Овощи"/>
    <s v="Свекла"/>
    <n v="450"/>
    <n v="53"/>
    <n v="23.85"/>
    <x v="7"/>
  </r>
  <r>
    <d v="2023-07-14T00:00:00"/>
    <x v="4"/>
    <s v="Фаниполь"/>
    <s v="Ягоды"/>
    <s v="Малина"/>
    <n v="2970"/>
    <n v="72"/>
    <n v="213.84"/>
    <x v="7"/>
  </r>
  <r>
    <s v="14.07.2023 Итог"/>
    <x v="3"/>
    <m/>
    <m/>
    <m/>
    <m/>
    <m/>
    <n v="926.45"/>
    <x v="7"/>
  </r>
  <r>
    <d v="2023-07-15T00:00:00"/>
    <x v="1"/>
    <s v="Барановичи"/>
    <s v="Ягоды"/>
    <s v="Черешня"/>
    <n v="1760"/>
    <n v="33"/>
    <n v="58.08"/>
    <x v="7"/>
  </r>
  <r>
    <d v="2023-07-15T00:00:00"/>
    <x v="4"/>
    <s v="Жодино"/>
    <s v="Зелень"/>
    <s v="Укроп"/>
    <n v="650"/>
    <n v="44"/>
    <n v="28.6"/>
    <x v="7"/>
  </r>
  <r>
    <d v="2023-07-15T00:00:00"/>
    <x v="0"/>
    <s v="Минск"/>
    <s v="Овощи"/>
    <s v="Картофель"/>
    <n v="690"/>
    <n v="33"/>
    <n v="22.77"/>
    <x v="7"/>
  </r>
  <r>
    <d v="2023-07-15T00:00:00"/>
    <x v="1"/>
    <s v="Минск"/>
    <s v="Фрукты"/>
    <s v="Яблоки"/>
    <n v="1230"/>
    <n v="51"/>
    <n v="62.73"/>
    <x v="7"/>
  </r>
  <r>
    <d v="2023-07-15T00:00:00"/>
    <x v="2"/>
    <s v="Столбцы"/>
    <s v="Зелень"/>
    <s v="Укроп"/>
    <n v="650"/>
    <n v="34"/>
    <n v="22.1"/>
    <x v="7"/>
  </r>
  <r>
    <d v="2023-07-15T00:00:00"/>
    <x v="0"/>
    <s v="Столбцы"/>
    <s v="Ягоды"/>
    <s v="Черешня"/>
    <n v="1760"/>
    <n v="57"/>
    <n v="100.32"/>
    <x v="7"/>
  </r>
  <r>
    <d v="2023-07-15T00:00:00"/>
    <x v="1"/>
    <s v="Фаниполь"/>
    <s v="Зелень"/>
    <s v="Лук зеленый"/>
    <n v="705"/>
    <n v="38"/>
    <n v="26.79"/>
    <x v="7"/>
  </r>
  <r>
    <d v="2023-07-15T00:00:00"/>
    <x v="2"/>
    <s v="Фаниполь"/>
    <s v="Фрукты"/>
    <s v="Бананы"/>
    <n v="2400"/>
    <n v="10"/>
    <n v="24"/>
    <x v="7"/>
  </r>
  <r>
    <s v="15.07.2023 Итог"/>
    <x v="3"/>
    <m/>
    <m/>
    <m/>
    <m/>
    <m/>
    <n v="345.39000000000004"/>
    <x v="7"/>
  </r>
  <r>
    <d v="2023-07-16T00:00:00"/>
    <x v="2"/>
    <s v="Барановичи"/>
    <s v="Зелень"/>
    <s v="Укроп"/>
    <n v="650"/>
    <n v="7"/>
    <n v="4.55"/>
    <x v="7"/>
  </r>
  <r>
    <d v="2023-07-16T00:00:00"/>
    <x v="1"/>
    <s v="Барановичи"/>
    <s v="Овощи"/>
    <s v="Баклажаны"/>
    <n v="890"/>
    <n v="19"/>
    <n v="16.91"/>
    <x v="7"/>
  </r>
  <r>
    <d v="2023-07-16T00:00:00"/>
    <x v="4"/>
    <s v="Барановичи"/>
    <s v="Ягоды"/>
    <s v="Черешня"/>
    <n v="1760"/>
    <n v="6"/>
    <n v="10.56"/>
    <x v="7"/>
  </r>
  <r>
    <d v="2023-07-16T00:00:00"/>
    <x v="4"/>
    <s v="Борисов"/>
    <s v="Зелень"/>
    <s v="Лук зеленый"/>
    <n v="705"/>
    <n v="6"/>
    <n v="4.2300000000000004"/>
    <x v="7"/>
  </r>
  <r>
    <d v="2023-07-16T00:00:00"/>
    <x v="4"/>
    <s v="Борисов"/>
    <s v="Овощи"/>
    <s v="Морковь"/>
    <n v="715"/>
    <n v="13"/>
    <n v="9.2949999999999999"/>
    <x v="7"/>
  </r>
  <r>
    <d v="2023-07-16T00:00:00"/>
    <x v="1"/>
    <s v="Жодино"/>
    <s v="Зелень"/>
    <s v="Лук зеленый"/>
    <n v="705"/>
    <n v="14"/>
    <n v="9.8699999999999992"/>
    <x v="7"/>
  </r>
  <r>
    <d v="2023-07-16T00:00:00"/>
    <x v="1"/>
    <s v="Жодино"/>
    <s v="Овощи"/>
    <s v="Баклажаны"/>
    <n v="890"/>
    <n v="44"/>
    <n v="39.159999999999997"/>
    <x v="7"/>
  </r>
  <r>
    <d v="2023-07-16T00:00:00"/>
    <x v="0"/>
    <s v="Минск"/>
    <s v="Фрукты"/>
    <s v="Груши"/>
    <n v="1420"/>
    <n v="34"/>
    <n v="48.28"/>
    <x v="7"/>
  </r>
  <r>
    <d v="2023-07-16T00:00:00"/>
    <x v="1"/>
    <s v="Столбцы"/>
    <s v="Зелень"/>
    <s v="Петрушка"/>
    <n v="640"/>
    <n v="85"/>
    <n v="54.4"/>
    <x v="7"/>
  </r>
  <r>
    <d v="2023-07-16T00:00:00"/>
    <x v="1"/>
    <s v="Столбцы"/>
    <s v="Овощи"/>
    <s v="Кабачки"/>
    <n v="325"/>
    <n v="89"/>
    <n v="28.925000000000001"/>
    <x v="7"/>
  </r>
  <r>
    <d v="2023-07-16T00:00:00"/>
    <x v="2"/>
    <s v="Столбцы"/>
    <s v="Ягоды"/>
    <s v="Смородина черная"/>
    <n v="1505"/>
    <n v="53"/>
    <n v="79.765000000000001"/>
    <x v="7"/>
  </r>
  <r>
    <d v="2023-07-16T00:00:00"/>
    <x v="4"/>
    <s v="Фаниполь"/>
    <s v="Зелень"/>
    <s v="Петрушка"/>
    <n v="640"/>
    <n v="66"/>
    <n v="42.24"/>
    <x v="7"/>
  </r>
  <r>
    <d v="2023-07-16T00:00:00"/>
    <x v="2"/>
    <s v="Фаниполь"/>
    <s v="Ягоды"/>
    <s v="Смородина черная"/>
    <n v="1505"/>
    <n v="41"/>
    <n v="61.704999999999998"/>
    <x v="7"/>
  </r>
  <r>
    <s v="16.07.2023 Итог"/>
    <x v="3"/>
    <m/>
    <m/>
    <m/>
    <m/>
    <m/>
    <n v="409.89"/>
    <x v="7"/>
  </r>
  <r>
    <d v="2023-07-17T00:00:00"/>
    <x v="4"/>
    <s v="Барановичи"/>
    <s v="Зелень"/>
    <s v="Салат айсберг"/>
    <n v="1380"/>
    <n v="72"/>
    <n v="99.36"/>
    <x v="7"/>
  </r>
  <r>
    <d v="2023-07-17T00:00:00"/>
    <x v="4"/>
    <s v="Борисов"/>
    <s v="Ягоды"/>
    <s v="Черешня"/>
    <n v="1760"/>
    <n v="39"/>
    <n v="68.64"/>
    <x v="7"/>
  </r>
  <r>
    <d v="2023-07-17T00:00:00"/>
    <x v="1"/>
    <s v="Жодино"/>
    <s v="Зелень"/>
    <s v="Салат айсберг"/>
    <n v="1380"/>
    <n v="61"/>
    <n v="84.18"/>
    <x v="7"/>
  </r>
  <r>
    <d v="2023-07-17T00:00:00"/>
    <x v="2"/>
    <s v="Жодино"/>
    <s v="Зелень"/>
    <s v="Салат айсберг"/>
    <n v="1380"/>
    <n v="55"/>
    <n v="75.900000000000006"/>
    <x v="7"/>
  </r>
  <r>
    <d v="2023-07-17T00:00:00"/>
    <x v="1"/>
    <s v="Жодино"/>
    <s v="Овощи"/>
    <s v="Капуста"/>
    <n v="460"/>
    <n v="78"/>
    <n v="35.880000000000003"/>
    <x v="7"/>
  </r>
  <r>
    <d v="2023-07-17T00:00:00"/>
    <x v="1"/>
    <s v="Жодино"/>
    <s v="Фрукты"/>
    <s v="Сливы"/>
    <n v="930"/>
    <n v="87"/>
    <n v="80.91"/>
    <x v="7"/>
  </r>
  <r>
    <d v="2023-07-17T00:00:00"/>
    <x v="0"/>
    <s v="Жодино"/>
    <s v="Фрукты"/>
    <s v="Апельсины"/>
    <n v="2540"/>
    <n v="69"/>
    <n v="175.26"/>
    <x v="7"/>
  </r>
  <r>
    <d v="2023-07-17T00:00:00"/>
    <x v="1"/>
    <s v="Минск"/>
    <s v="Овощи"/>
    <s v="Морковь"/>
    <n v="715"/>
    <n v="97"/>
    <n v="69.355000000000004"/>
    <x v="7"/>
  </r>
  <r>
    <d v="2023-07-17T00:00:00"/>
    <x v="2"/>
    <s v="Минск"/>
    <s v="Фрукты"/>
    <s v="Груши"/>
    <n v="1420"/>
    <n v="44"/>
    <n v="62.48"/>
    <x v="7"/>
  </r>
  <r>
    <d v="2023-07-17T00:00:00"/>
    <x v="4"/>
    <s v="Минск"/>
    <s v="Фрукты"/>
    <s v="Яблоки"/>
    <n v="1230"/>
    <n v="48"/>
    <n v="59.04"/>
    <x v="7"/>
  </r>
  <r>
    <d v="2023-07-17T00:00:00"/>
    <x v="4"/>
    <s v="Минск"/>
    <s v="Ягоды"/>
    <s v="Черешня"/>
    <n v="1760"/>
    <n v="14"/>
    <n v="24.64"/>
    <x v="7"/>
  </r>
  <r>
    <d v="2023-07-17T00:00:00"/>
    <x v="0"/>
    <s v="Столбцы"/>
    <s v="Овощи"/>
    <s v="Морковь"/>
    <n v="715"/>
    <n v="76"/>
    <n v="54.34"/>
    <x v="7"/>
  </r>
  <r>
    <d v="2023-07-17T00:00:00"/>
    <x v="4"/>
    <s v="Фаниполь"/>
    <s v="Овощи"/>
    <s v="Свекла"/>
    <n v="450"/>
    <n v="27"/>
    <n v="12.15"/>
    <x v="7"/>
  </r>
  <r>
    <s v="17.07.2023 Итог"/>
    <x v="3"/>
    <m/>
    <m/>
    <m/>
    <m/>
    <m/>
    <n v="902.13499999999999"/>
    <x v="7"/>
  </r>
  <r>
    <d v="2023-07-18T00:00:00"/>
    <x v="0"/>
    <s v="Барановичи"/>
    <s v="Зелень"/>
    <s v="Салат айсберг"/>
    <n v="1380"/>
    <n v="46"/>
    <n v="63.48"/>
    <x v="7"/>
  </r>
  <r>
    <d v="2023-07-18T00:00:00"/>
    <x v="1"/>
    <s v="Барановичи"/>
    <s v="Фрукты"/>
    <s v="Груши"/>
    <n v="1420"/>
    <n v="44"/>
    <n v="62.48"/>
    <x v="7"/>
  </r>
  <r>
    <d v="2023-07-18T00:00:00"/>
    <x v="0"/>
    <s v="Борисов"/>
    <s v="Ягоды"/>
    <s v="Клубника"/>
    <n v="2460"/>
    <n v="78"/>
    <n v="191.88"/>
    <x v="7"/>
  </r>
  <r>
    <d v="2023-07-18T00:00:00"/>
    <x v="2"/>
    <s v="Борисов"/>
    <s v="Ягоды"/>
    <s v="Малина"/>
    <n v="2970"/>
    <n v="26"/>
    <n v="77.22"/>
    <x v="7"/>
  </r>
  <r>
    <d v="2023-07-18T00:00:00"/>
    <x v="1"/>
    <s v="Жодино"/>
    <s v="Фрукты"/>
    <s v="Абрикосы"/>
    <n v="1320"/>
    <n v="88"/>
    <n v="116.16"/>
    <x v="7"/>
  </r>
  <r>
    <d v="2023-07-18T00:00:00"/>
    <x v="0"/>
    <s v="Жодино"/>
    <s v="Ягоды"/>
    <s v="Клубника"/>
    <n v="2460"/>
    <n v="41"/>
    <n v="100.86"/>
    <x v="7"/>
  </r>
  <r>
    <d v="2023-07-18T00:00:00"/>
    <x v="4"/>
    <s v="Минск"/>
    <s v="Зелень"/>
    <s v="Кинза"/>
    <n v="650"/>
    <n v="74"/>
    <n v="48.1"/>
    <x v="7"/>
  </r>
  <r>
    <d v="2023-07-18T00:00:00"/>
    <x v="4"/>
    <s v="Минск"/>
    <s v="Зелень"/>
    <s v="Кинза"/>
    <n v="650"/>
    <n v="75"/>
    <n v="48.75"/>
    <x v="7"/>
  </r>
  <r>
    <d v="2023-07-18T00:00:00"/>
    <x v="0"/>
    <s v="Фаниполь"/>
    <s v="Ягоды"/>
    <s v="Смородина черная"/>
    <n v="1505"/>
    <n v="100"/>
    <n v="150.5"/>
    <x v="7"/>
  </r>
  <r>
    <d v="2023-07-18T00:00:00"/>
    <x v="0"/>
    <s v="Фаниполь"/>
    <s v="Ягоды"/>
    <s v="Малина"/>
    <n v="2970"/>
    <n v="47"/>
    <n v="139.59"/>
    <x v="7"/>
  </r>
  <r>
    <d v="2023-07-18T00:00:00"/>
    <x v="1"/>
    <s v="Фаниполь"/>
    <s v="Ягоды"/>
    <s v="Голубика"/>
    <n v="3205"/>
    <n v="76"/>
    <n v="243.58"/>
    <x v="7"/>
  </r>
  <r>
    <s v="18.07.2023 Итог"/>
    <x v="3"/>
    <m/>
    <m/>
    <m/>
    <m/>
    <m/>
    <n v="1242.5999999999999"/>
    <x v="7"/>
  </r>
  <r>
    <d v="2023-07-19T00:00:00"/>
    <x v="4"/>
    <s v="Барановичи"/>
    <s v="Овощи"/>
    <s v="Картофель"/>
    <n v="690"/>
    <n v="57"/>
    <n v="39.33"/>
    <x v="7"/>
  </r>
  <r>
    <d v="2023-07-19T00:00:00"/>
    <x v="1"/>
    <s v="Барановичи"/>
    <s v="Овощи"/>
    <s v="Баклажаны"/>
    <n v="890"/>
    <n v="82"/>
    <n v="72.98"/>
    <x v="7"/>
  </r>
  <r>
    <d v="2023-07-19T00:00:00"/>
    <x v="0"/>
    <s v="Барановичи"/>
    <s v="Фрукты"/>
    <s v="Яблоки"/>
    <n v="1230"/>
    <n v="92"/>
    <n v="113.16"/>
    <x v="7"/>
  </r>
  <r>
    <d v="2023-07-19T00:00:00"/>
    <x v="1"/>
    <s v="Барановичи"/>
    <s v="Фрукты"/>
    <s v="Сливы"/>
    <n v="930"/>
    <n v="80"/>
    <n v="74.400000000000006"/>
    <x v="7"/>
  </r>
  <r>
    <d v="2023-07-19T00:00:00"/>
    <x v="1"/>
    <s v="Борисов"/>
    <s v="Фрукты"/>
    <s v="Абрикосы"/>
    <n v="1320"/>
    <n v="70"/>
    <n v="92.4"/>
    <x v="7"/>
  </r>
  <r>
    <d v="2023-07-19T00:00:00"/>
    <x v="4"/>
    <s v="Жодино"/>
    <s v="Зелень"/>
    <s v="Кинза"/>
    <n v="650"/>
    <n v="48"/>
    <n v="31.2"/>
    <x v="7"/>
  </r>
  <r>
    <d v="2023-07-19T00:00:00"/>
    <x v="2"/>
    <s v="Жодино"/>
    <s v="Ягоды"/>
    <s v="Голубика"/>
    <n v="3205"/>
    <n v="70"/>
    <n v="224.35"/>
    <x v="7"/>
  </r>
  <r>
    <d v="2023-07-19T00:00:00"/>
    <x v="2"/>
    <s v="Жодино"/>
    <s v="Ягоды"/>
    <s v="Черешня"/>
    <n v="1760"/>
    <n v="29"/>
    <n v="51.04"/>
    <x v="7"/>
  </r>
  <r>
    <d v="2023-07-19T00:00:00"/>
    <x v="2"/>
    <s v="Минск"/>
    <s v="Овощи"/>
    <s v="Капуста"/>
    <n v="460"/>
    <n v="96"/>
    <n v="44.16"/>
    <x v="7"/>
  </r>
  <r>
    <d v="2023-07-19T00:00:00"/>
    <x v="0"/>
    <s v="Минск"/>
    <s v="Фрукты"/>
    <s v="Бананы"/>
    <n v="2400"/>
    <n v="96"/>
    <n v="230.4"/>
    <x v="7"/>
  </r>
  <r>
    <d v="2023-07-19T00:00:00"/>
    <x v="4"/>
    <s v="Столбцы"/>
    <s v="Овощи"/>
    <s v="Свекла"/>
    <n v="450"/>
    <n v="7"/>
    <n v="3.15"/>
    <x v="7"/>
  </r>
  <r>
    <d v="2023-07-19T00:00:00"/>
    <x v="1"/>
    <s v="Фаниполь"/>
    <s v="Фрукты"/>
    <s v="Бананы"/>
    <n v="2400"/>
    <n v="32"/>
    <n v="76.8"/>
    <x v="7"/>
  </r>
  <r>
    <s v="19.07.2023 Итог"/>
    <x v="3"/>
    <m/>
    <m/>
    <m/>
    <m/>
    <m/>
    <n v="1053.3699999999999"/>
    <x v="7"/>
  </r>
  <r>
    <d v="2023-07-20T00:00:00"/>
    <x v="4"/>
    <s v="Барановичи"/>
    <s v="Зелень"/>
    <s v="Лук зеленый"/>
    <n v="705"/>
    <n v="26"/>
    <n v="18.329999999999998"/>
    <x v="7"/>
  </r>
  <r>
    <d v="2023-07-20T00:00:00"/>
    <x v="4"/>
    <s v="Барановичи"/>
    <s v="Овощи"/>
    <s v="Картофель"/>
    <n v="690"/>
    <n v="21"/>
    <n v="14.49"/>
    <x v="7"/>
  </r>
  <r>
    <d v="2023-07-20T00:00:00"/>
    <x v="4"/>
    <s v="Барановичи"/>
    <s v="Фрукты"/>
    <s v="Бананы"/>
    <n v="2400"/>
    <n v="83"/>
    <n v="199.2"/>
    <x v="7"/>
  </r>
  <r>
    <d v="2023-07-20T00:00:00"/>
    <x v="0"/>
    <s v="Барановичи"/>
    <s v="Ягоды"/>
    <s v="Голубика"/>
    <n v="3205"/>
    <n v="55"/>
    <n v="176.27500000000001"/>
    <x v="7"/>
  </r>
  <r>
    <d v="2023-07-20T00:00:00"/>
    <x v="0"/>
    <s v="Борисов"/>
    <s v="Овощи"/>
    <s v="Кабачки"/>
    <n v="325"/>
    <n v="85"/>
    <n v="27.625"/>
    <x v="7"/>
  </r>
  <r>
    <d v="2023-07-20T00:00:00"/>
    <x v="0"/>
    <s v="Минск"/>
    <s v="Фрукты"/>
    <s v="Сливы"/>
    <n v="930"/>
    <n v="40"/>
    <n v="37.200000000000003"/>
    <x v="7"/>
  </r>
  <r>
    <d v="2023-07-20T00:00:00"/>
    <x v="1"/>
    <s v="Минск"/>
    <s v="Фрукты"/>
    <s v="Бананы"/>
    <n v="2400"/>
    <n v="94"/>
    <n v="225.6"/>
    <x v="7"/>
  </r>
  <r>
    <d v="2023-07-20T00:00:00"/>
    <x v="1"/>
    <s v="Столбцы"/>
    <s v="Овощи"/>
    <s v="Баклажаны"/>
    <n v="890"/>
    <n v="100"/>
    <n v="89"/>
    <x v="7"/>
  </r>
  <r>
    <d v="2023-07-20T00:00:00"/>
    <x v="0"/>
    <s v="Фаниполь"/>
    <s v="Зелень"/>
    <s v="Салат римский"/>
    <n v="540"/>
    <n v="53"/>
    <n v="28.62"/>
    <x v="7"/>
  </r>
  <r>
    <d v="2023-07-20T00:00:00"/>
    <x v="1"/>
    <s v="Фаниполь"/>
    <s v="Зелень"/>
    <s v="Лук зеленый"/>
    <n v="705"/>
    <n v="29"/>
    <n v="20.445"/>
    <x v="7"/>
  </r>
  <r>
    <d v="2023-07-20T00:00:00"/>
    <x v="4"/>
    <s v="Фаниполь"/>
    <s v="Фрукты"/>
    <s v="Абрикосы"/>
    <n v="1320"/>
    <n v="42"/>
    <n v="55.44"/>
    <x v="7"/>
  </r>
  <r>
    <d v="2023-07-20T00:00:00"/>
    <x v="2"/>
    <s v="Фаниполь"/>
    <s v="Ягоды"/>
    <s v="Брусника"/>
    <n v="1670"/>
    <n v="76"/>
    <n v="126.92"/>
    <x v="7"/>
  </r>
  <r>
    <s v="20.07.2023 Итог"/>
    <x v="3"/>
    <m/>
    <m/>
    <m/>
    <m/>
    <m/>
    <n v="1019.1449999999999"/>
    <x v="7"/>
  </r>
  <r>
    <d v="2023-07-21T00:00:00"/>
    <x v="1"/>
    <s v="Барановичи"/>
    <s v="Овощи"/>
    <s v="Баклажаны"/>
    <n v="890"/>
    <n v="28"/>
    <n v="24.92"/>
    <x v="7"/>
  </r>
  <r>
    <d v="2023-07-21T00:00:00"/>
    <x v="1"/>
    <s v="Барановичи"/>
    <s v="Ягоды"/>
    <s v="Смородина черная"/>
    <n v="1505"/>
    <n v="75"/>
    <n v="112.875"/>
    <x v="7"/>
  </r>
  <r>
    <d v="2023-07-21T00:00:00"/>
    <x v="1"/>
    <s v="Борисов"/>
    <s v="Овощи"/>
    <s v="Кабачки"/>
    <n v="325"/>
    <n v="71"/>
    <n v="23.074999999999999"/>
    <x v="7"/>
  </r>
  <r>
    <d v="2023-07-21T00:00:00"/>
    <x v="0"/>
    <s v="Жодино"/>
    <s v="Овощи"/>
    <s v="Баклажаны"/>
    <n v="890"/>
    <n v="26"/>
    <n v="23.14"/>
    <x v="7"/>
  </r>
  <r>
    <d v="2023-07-21T00:00:00"/>
    <x v="2"/>
    <s v="Жодино"/>
    <s v="Ягоды"/>
    <s v="Брусника"/>
    <n v="1670"/>
    <n v="82"/>
    <n v="136.94"/>
    <x v="7"/>
  </r>
  <r>
    <d v="2023-07-21T00:00:00"/>
    <x v="4"/>
    <s v="Жодино"/>
    <s v="Ягоды"/>
    <s v="Клубника"/>
    <n v="2460"/>
    <n v="74"/>
    <n v="182.04"/>
    <x v="7"/>
  </r>
  <r>
    <d v="2023-07-21T00:00:00"/>
    <x v="1"/>
    <s v="Минск"/>
    <s v="Овощи"/>
    <s v="Картофель"/>
    <n v="690"/>
    <n v="66"/>
    <n v="45.54"/>
    <x v="7"/>
  </r>
  <r>
    <d v="2023-07-21T00:00:00"/>
    <x v="0"/>
    <s v="Минск"/>
    <s v="Ягоды"/>
    <s v="Малина"/>
    <n v="2970"/>
    <n v="68"/>
    <n v="201.96"/>
    <x v="7"/>
  </r>
  <r>
    <d v="2023-07-21T00:00:00"/>
    <x v="1"/>
    <s v="Столбцы"/>
    <s v="Зелень"/>
    <s v="Салат римский"/>
    <n v="540"/>
    <n v="23"/>
    <n v="12.42"/>
    <x v="7"/>
  </r>
  <r>
    <d v="2023-07-21T00:00:00"/>
    <x v="2"/>
    <s v="Столбцы"/>
    <s v="Овощи"/>
    <s v="Свекла"/>
    <n v="450"/>
    <n v="62"/>
    <n v="27.9"/>
    <x v="7"/>
  </r>
  <r>
    <d v="2023-07-21T00:00:00"/>
    <x v="1"/>
    <s v="Столбцы"/>
    <s v="Фрукты"/>
    <s v="Абрикосы"/>
    <n v="1320"/>
    <n v="27"/>
    <n v="35.64"/>
    <x v="7"/>
  </r>
  <r>
    <d v="2023-07-21T00:00:00"/>
    <x v="0"/>
    <s v="Столбцы"/>
    <s v="Ягоды"/>
    <s v="Смородина черная"/>
    <n v="1505"/>
    <n v="67"/>
    <n v="100.83499999999999"/>
    <x v="7"/>
  </r>
  <r>
    <d v="2023-07-21T00:00:00"/>
    <x v="2"/>
    <s v="Фаниполь"/>
    <s v="Зелень"/>
    <s v="Кинза"/>
    <n v="650"/>
    <n v="51"/>
    <n v="33.15"/>
    <x v="7"/>
  </r>
  <r>
    <s v="21.07.2023 Итог"/>
    <x v="3"/>
    <m/>
    <m/>
    <m/>
    <m/>
    <m/>
    <n v="960.43499999999995"/>
    <x v="7"/>
  </r>
  <r>
    <d v="2023-07-22T00:00:00"/>
    <x v="0"/>
    <s v="Барановичи"/>
    <s v="Зелень"/>
    <s v="Салат айсберг"/>
    <n v="1380"/>
    <n v="32"/>
    <n v="44.16"/>
    <x v="7"/>
  </r>
  <r>
    <d v="2023-07-22T00:00:00"/>
    <x v="0"/>
    <s v="Барановичи"/>
    <s v="Ягоды"/>
    <s v="Малина"/>
    <n v="2970"/>
    <n v="95"/>
    <n v="282.14999999999998"/>
    <x v="7"/>
  </r>
  <r>
    <d v="2023-07-22T00:00:00"/>
    <x v="1"/>
    <s v="Борисов"/>
    <s v="Зелень"/>
    <s v="Петрушка"/>
    <n v="640"/>
    <n v="56"/>
    <n v="35.840000000000003"/>
    <x v="7"/>
  </r>
  <r>
    <d v="2023-07-22T00:00:00"/>
    <x v="0"/>
    <s v="Борисов"/>
    <s v="Зелень"/>
    <s v="Салат римский"/>
    <n v="540"/>
    <n v="58"/>
    <n v="31.32"/>
    <x v="7"/>
  </r>
  <r>
    <d v="2023-07-22T00:00:00"/>
    <x v="4"/>
    <s v="Борисов"/>
    <s v="Фрукты"/>
    <s v="Бананы"/>
    <n v="2400"/>
    <n v="17"/>
    <n v="40.799999999999997"/>
    <x v="7"/>
  </r>
  <r>
    <d v="2023-07-22T00:00:00"/>
    <x v="2"/>
    <s v="Минск"/>
    <s v="Фрукты"/>
    <s v="Апельсины"/>
    <n v="2540"/>
    <n v="66"/>
    <n v="167.64"/>
    <x v="7"/>
  </r>
  <r>
    <d v="2023-07-22T00:00:00"/>
    <x v="1"/>
    <s v="Столбцы"/>
    <s v="Овощи"/>
    <s v="Капуста"/>
    <n v="460"/>
    <n v="21"/>
    <n v="9.66"/>
    <x v="7"/>
  </r>
  <r>
    <d v="2023-07-22T00:00:00"/>
    <x v="2"/>
    <s v="Столбцы"/>
    <s v="Овощи"/>
    <s v="Картофель"/>
    <n v="690"/>
    <n v="39"/>
    <n v="26.91"/>
    <x v="7"/>
  </r>
  <r>
    <d v="2023-07-22T00:00:00"/>
    <x v="2"/>
    <s v="Фаниполь"/>
    <s v="Фрукты"/>
    <s v="Апельсины"/>
    <n v="2540"/>
    <n v="57"/>
    <n v="144.78"/>
    <x v="7"/>
  </r>
  <r>
    <s v="22.07.2023 Итог"/>
    <x v="3"/>
    <m/>
    <m/>
    <m/>
    <m/>
    <m/>
    <n v="783.25999999999988"/>
    <x v="7"/>
  </r>
  <r>
    <d v="2023-07-23T00:00:00"/>
    <x v="4"/>
    <s v="Барановичи"/>
    <s v="Фрукты"/>
    <s v="Бананы"/>
    <n v="2400"/>
    <n v="89"/>
    <n v="213.6"/>
    <x v="7"/>
  </r>
  <r>
    <d v="2023-07-23T00:00:00"/>
    <x v="1"/>
    <s v="Барановичи"/>
    <s v="Ягоды"/>
    <s v="Смородина черная"/>
    <n v="1505"/>
    <n v="33"/>
    <n v="49.664999999999999"/>
    <x v="7"/>
  </r>
  <r>
    <d v="2023-07-23T00:00:00"/>
    <x v="2"/>
    <s v="Жодино"/>
    <s v="Овощи"/>
    <s v="Капуста"/>
    <n v="460"/>
    <n v="88"/>
    <n v="40.479999999999997"/>
    <x v="7"/>
  </r>
  <r>
    <d v="2023-07-23T00:00:00"/>
    <x v="0"/>
    <s v="Жодино"/>
    <s v="Овощи"/>
    <s v="Морковь"/>
    <n v="715"/>
    <n v="69"/>
    <n v="49.335000000000001"/>
    <x v="7"/>
  </r>
  <r>
    <d v="2023-07-23T00:00:00"/>
    <x v="4"/>
    <s v="Жодино"/>
    <s v="Фрукты"/>
    <s v="Яблоки"/>
    <n v="1230"/>
    <n v="90"/>
    <n v="110.7"/>
    <x v="7"/>
  </r>
  <r>
    <d v="2023-07-23T00:00:00"/>
    <x v="1"/>
    <s v="Минск"/>
    <s v="Зелень"/>
    <s v="Салат айсберг"/>
    <n v="1380"/>
    <n v="58"/>
    <n v="80.040000000000006"/>
    <x v="7"/>
  </r>
  <r>
    <d v="2023-07-23T00:00:00"/>
    <x v="1"/>
    <s v="Минск"/>
    <s v="Зелень"/>
    <s v="Салат айсберг"/>
    <n v="1380"/>
    <n v="66"/>
    <n v="91.08"/>
    <x v="7"/>
  </r>
  <r>
    <d v="2023-07-23T00:00:00"/>
    <x v="0"/>
    <s v="Минск"/>
    <s v="Зелень"/>
    <s v="Кинза"/>
    <n v="650"/>
    <n v="8"/>
    <n v="5.2"/>
    <x v="7"/>
  </r>
  <r>
    <d v="2023-07-23T00:00:00"/>
    <x v="4"/>
    <s v="Минск"/>
    <s v="Ягоды"/>
    <s v="Голубика"/>
    <n v="3205"/>
    <n v="85"/>
    <n v="272.42500000000001"/>
    <x v="7"/>
  </r>
  <r>
    <d v="2023-07-23T00:00:00"/>
    <x v="4"/>
    <s v="Столбцы"/>
    <s v="Зелень"/>
    <s v="Кинза"/>
    <n v="650"/>
    <n v="31"/>
    <n v="20.149999999999999"/>
    <x v="7"/>
  </r>
  <r>
    <d v="2023-07-23T00:00:00"/>
    <x v="0"/>
    <s v="Фаниполь"/>
    <s v="Ягоды"/>
    <s v="Малина"/>
    <n v="2970"/>
    <n v="47"/>
    <n v="139.59"/>
    <x v="7"/>
  </r>
  <r>
    <s v="23.07.2023 Итог"/>
    <x v="3"/>
    <m/>
    <m/>
    <m/>
    <m/>
    <m/>
    <n v="1072.2650000000001"/>
    <x v="7"/>
  </r>
  <r>
    <d v="2023-07-24T00:00:00"/>
    <x v="4"/>
    <s v="Барановичи"/>
    <s v="Овощи"/>
    <s v="Картофель"/>
    <n v="690"/>
    <n v="21"/>
    <n v="14.49"/>
    <x v="7"/>
  </r>
  <r>
    <d v="2023-07-24T00:00:00"/>
    <x v="4"/>
    <s v="Барановичи"/>
    <s v="Фрукты"/>
    <s v="Груши"/>
    <n v="1420"/>
    <n v="51"/>
    <n v="72.42"/>
    <x v="7"/>
  </r>
  <r>
    <d v="2023-07-24T00:00:00"/>
    <x v="0"/>
    <s v="Барановичи"/>
    <s v="Фрукты"/>
    <s v="Бананы"/>
    <n v="2400"/>
    <n v="40"/>
    <n v="96"/>
    <x v="7"/>
  </r>
  <r>
    <d v="2023-07-24T00:00:00"/>
    <x v="2"/>
    <s v="Барановичи"/>
    <s v="Фрукты"/>
    <s v="Груши"/>
    <n v="1420"/>
    <n v="76"/>
    <n v="107.92"/>
    <x v="7"/>
  </r>
  <r>
    <d v="2023-07-24T00:00:00"/>
    <x v="2"/>
    <s v="Жодино"/>
    <s v="Овощи"/>
    <s v="Морковь"/>
    <n v="715"/>
    <n v="7"/>
    <n v="5.0049999999999999"/>
    <x v="7"/>
  </r>
  <r>
    <d v="2023-07-24T00:00:00"/>
    <x v="1"/>
    <s v="Минск"/>
    <s v="Зелень"/>
    <s v="Укроп"/>
    <n v="650"/>
    <n v="75"/>
    <n v="48.75"/>
    <x v="7"/>
  </r>
  <r>
    <d v="2023-07-24T00:00:00"/>
    <x v="2"/>
    <s v="Минск"/>
    <s v="Зелень"/>
    <s v="Салат римский"/>
    <n v="540"/>
    <n v="5"/>
    <n v="2.7"/>
    <x v="7"/>
  </r>
  <r>
    <d v="2023-07-24T00:00:00"/>
    <x v="0"/>
    <s v="Минск"/>
    <s v="Овощи"/>
    <s v="Свекла"/>
    <n v="450"/>
    <n v="56"/>
    <n v="25.2"/>
    <x v="7"/>
  </r>
  <r>
    <d v="2023-07-24T00:00:00"/>
    <x v="4"/>
    <s v="Столбцы"/>
    <s v="Зелень"/>
    <s v="Кинза"/>
    <n v="650"/>
    <n v="23"/>
    <n v="14.95"/>
    <x v="7"/>
  </r>
  <r>
    <d v="2023-07-24T00:00:00"/>
    <x v="4"/>
    <s v="Столбцы"/>
    <s v="Фрукты"/>
    <s v="Груши"/>
    <n v="1420"/>
    <n v="7"/>
    <n v="9.94"/>
    <x v="7"/>
  </r>
  <r>
    <d v="2023-07-24T00:00:00"/>
    <x v="0"/>
    <s v="Фаниполь"/>
    <s v="Овощи"/>
    <s v="Кабачки"/>
    <n v="325"/>
    <n v="61"/>
    <n v="19.824999999999999"/>
    <x v="7"/>
  </r>
  <r>
    <s v="24.07.2023 Итог"/>
    <x v="3"/>
    <m/>
    <m/>
    <m/>
    <m/>
    <m/>
    <n v="417.19999999999993"/>
    <x v="7"/>
  </r>
  <r>
    <d v="2023-07-25T00:00:00"/>
    <x v="4"/>
    <s v="Барановичи"/>
    <s v="Зелень"/>
    <s v="Петрушка"/>
    <n v="640"/>
    <n v="17"/>
    <n v="10.88"/>
    <x v="7"/>
  </r>
  <r>
    <d v="2023-07-25T00:00:00"/>
    <x v="0"/>
    <s v="Барановичи"/>
    <s v="Зелень"/>
    <s v="Лук зеленый"/>
    <n v="705"/>
    <n v="40"/>
    <n v="28.2"/>
    <x v="7"/>
  </r>
  <r>
    <d v="2023-07-25T00:00:00"/>
    <x v="1"/>
    <s v="Барановичи"/>
    <s v="Овощи"/>
    <s v="Морковь"/>
    <n v="715"/>
    <n v="58"/>
    <n v="41.47"/>
    <x v="7"/>
  </r>
  <r>
    <d v="2023-07-25T00:00:00"/>
    <x v="0"/>
    <s v="Борисов"/>
    <s v="Зелень"/>
    <s v="Салат римский"/>
    <n v="540"/>
    <n v="11"/>
    <n v="5.94"/>
    <x v="7"/>
  </r>
  <r>
    <d v="2023-07-25T00:00:00"/>
    <x v="0"/>
    <s v="Борисов"/>
    <s v="Фрукты"/>
    <s v="Апельсины"/>
    <n v="2540"/>
    <n v="21"/>
    <n v="53.34"/>
    <x v="7"/>
  </r>
  <r>
    <d v="2023-07-25T00:00:00"/>
    <x v="0"/>
    <s v="Минск"/>
    <s v="Овощи"/>
    <s v="Свекла"/>
    <n v="450"/>
    <n v="66"/>
    <n v="29.7"/>
    <x v="7"/>
  </r>
  <r>
    <d v="2023-07-25T00:00:00"/>
    <x v="2"/>
    <s v="Минск"/>
    <s v="Фрукты"/>
    <s v="Сливы"/>
    <n v="930"/>
    <n v="96"/>
    <n v="89.28"/>
    <x v="7"/>
  </r>
  <r>
    <d v="2023-07-25T00:00:00"/>
    <x v="2"/>
    <s v="Фаниполь"/>
    <s v="Овощи"/>
    <s v="Свекла"/>
    <n v="450"/>
    <n v="48"/>
    <n v="21.6"/>
    <x v="7"/>
  </r>
  <r>
    <s v="25.07.2023 Итог"/>
    <x v="3"/>
    <m/>
    <m/>
    <m/>
    <m/>
    <m/>
    <n v="280.40999999999997"/>
    <x v="7"/>
  </r>
  <r>
    <d v="2023-07-26T00:00:00"/>
    <x v="4"/>
    <s v="Барановичи"/>
    <s v="Зелень"/>
    <s v="Петрушка"/>
    <n v="640"/>
    <n v="72"/>
    <n v="46.08"/>
    <x v="7"/>
  </r>
  <r>
    <d v="2023-07-26T00:00:00"/>
    <x v="4"/>
    <s v="Барановичи"/>
    <s v="Зелень"/>
    <s v="Салат римский"/>
    <n v="540"/>
    <n v="51"/>
    <n v="27.54"/>
    <x v="7"/>
  </r>
  <r>
    <d v="2023-07-26T00:00:00"/>
    <x v="2"/>
    <s v="Борисов"/>
    <s v="Овощи"/>
    <s v="Баклажаны"/>
    <n v="890"/>
    <n v="38"/>
    <n v="33.82"/>
    <x v="7"/>
  </r>
  <r>
    <d v="2023-07-26T00:00:00"/>
    <x v="0"/>
    <s v="Жодино"/>
    <s v="Фрукты"/>
    <s v="Груши"/>
    <n v="1420"/>
    <n v="91"/>
    <n v="129.22"/>
    <x v="7"/>
  </r>
  <r>
    <d v="2023-07-26T00:00:00"/>
    <x v="0"/>
    <s v="Фаниполь"/>
    <s v="Зелень"/>
    <s v="Салат римский"/>
    <n v="540"/>
    <n v="56"/>
    <n v="30.24"/>
    <x v="7"/>
  </r>
  <r>
    <d v="2023-07-26T00:00:00"/>
    <x v="4"/>
    <s v="Фаниполь"/>
    <s v="Зелень"/>
    <s v="Салат айсберг"/>
    <n v="1380"/>
    <n v="53"/>
    <n v="73.14"/>
    <x v="7"/>
  </r>
  <r>
    <d v="2023-07-26T00:00:00"/>
    <x v="4"/>
    <s v="Фаниполь"/>
    <s v="Овощи"/>
    <s v="Баклажаны"/>
    <n v="890"/>
    <n v="67"/>
    <n v="59.63"/>
    <x v="7"/>
  </r>
  <r>
    <d v="2023-07-26T00:00:00"/>
    <x v="0"/>
    <s v="Фаниполь"/>
    <s v="Ягоды"/>
    <s v="Малина"/>
    <n v="2970"/>
    <n v="29"/>
    <n v="86.13"/>
    <x v="7"/>
  </r>
  <r>
    <s v="26.07.2023 Итог"/>
    <x v="3"/>
    <m/>
    <m/>
    <m/>
    <m/>
    <m/>
    <n v="485.79999999999995"/>
    <x v="7"/>
  </r>
  <r>
    <d v="2023-07-27T00:00:00"/>
    <x v="1"/>
    <s v="Борисов"/>
    <s v="Фрукты"/>
    <s v="Яблоки"/>
    <n v="1230"/>
    <n v="93"/>
    <n v="114.39"/>
    <x v="7"/>
  </r>
  <r>
    <d v="2023-07-27T00:00:00"/>
    <x v="4"/>
    <s v="Минск"/>
    <s v="Овощи"/>
    <s v="Баклажаны"/>
    <n v="890"/>
    <n v="26"/>
    <n v="23.14"/>
    <x v="7"/>
  </r>
  <r>
    <d v="2023-07-27T00:00:00"/>
    <x v="1"/>
    <s v="Минск"/>
    <s v="Фрукты"/>
    <s v="Апельсины"/>
    <n v="2540"/>
    <n v="97"/>
    <n v="246.38"/>
    <x v="7"/>
  </r>
  <r>
    <d v="2023-07-27T00:00:00"/>
    <x v="2"/>
    <s v="Минск"/>
    <s v="Фрукты"/>
    <s v="Груши"/>
    <n v="1420"/>
    <n v="45"/>
    <n v="63.9"/>
    <x v="7"/>
  </r>
  <r>
    <d v="2023-07-27T00:00:00"/>
    <x v="2"/>
    <s v="Столбцы"/>
    <s v="Зелень"/>
    <s v="Кинза"/>
    <n v="650"/>
    <n v="30"/>
    <n v="19.5"/>
    <x v="7"/>
  </r>
  <r>
    <d v="2023-07-27T00:00:00"/>
    <x v="1"/>
    <s v="Фаниполь"/>
    <s v="Ягоды"/>
    <s v="Клубника"/>
    <n v="2460"/>
    <n v="84"/>
    <n v="206.64"/>
    <x v="7"/>
  </r>
  <r>
    <s v="27.07.2023 Итог"/>
    <x v="3"/>
    <m/>
    <m/>
    <m/>
    <m/>
    <m/>
    <n v="673.94999999999993"/>
    <x v="7"/>
  </r>
  <r>
    <d v="2023-07-28T00:00:00"/>
    <x v="0"/>
    <s v="Барановичи"/>
    <s v="Ягоды"/>
    <s v="Голубика"/>
    <n v="3205"/>
    <n v="82"/>
    <n v="262.81"/>
    <x v="7"/>
  </r>
  <r>
    <d v="2023-07-28T00:00:00"/>
    <x v="0"/>
    <s v="Жодино"/>
    <s v="Зелень"/>
    <s v="Кинза"/>
    <n v="650"/>
    <n v="9"/>
    <n v="5.85"/>
    <x v="7"/>
  </r>
  <r>
    <d v="2023-07-28T00:00:00"/>
    <x v="4"/>
    <s v="Минск"/>
    <s v="Фрукты"/>
    <s v="Яблоки"/>
    <n v="1230"/>
    <n v="36"/>
    <n v="44.28"/>
    <x v="7"/>
  </r>
  <r>
    <d v="2023-07-28T00:00:00"/>
    <x v="2"/>
    <s v="Столбцы"/>
    <s v="Зелень"/>
    <s v="Укроп"/>
    <n v="650"/>
    <n v="15"/>
    <n v="9.75"/>
    <x v="7"/>
  </r>
  <r>
    <d v="2023-07-28T00:00:00"/>
    <x v="4"/>
    <s v="Столбцы"/>
    <s v="Фрукты"/>
    <s v="Груши"/>
    <n v="1420"/>
    <n v="54"/>
    <n v="76.680000000000007"/>
    <x v="7"/>
  </r>
  <r>
    <d v="2023-07-28T00:00:00"/>
    <x v="1"/>
    <s v="Фаниполь"/>
    <s v="Овощи"/>
    <s v="Капуста"/>
    <n v="460"/>
    <n v="8"/>
    <n v="3.68"/>
    <x v="7"/>
  </r>
  <r>
    <s v="28.07.2023 Итог"/>
    <x v="3"/>
    <m/>
    <m/>
    <m/>
    <m/>
    <m/>
    <n v="403.05000000000007"/>
    <x v="7"/>
  </r>
  <r>
    <d v="2023-07-29T00:00:00"/>
    <x v="1"/>
    <s v="Барановичи"/>
    <s v="Овощи"/>
    <s v="Картофель"/>
    <n v="690"/>
    <n v="68"/>
    <n v="46.92"/>
    <x v="7"/>
  </r>
  <r>
    <d v="2023-07-29T00:00:00"/>
    <x v="2"/>
    <s v="Барановичи"/>
    <s v="Фрукты"/>
    <s v="Апельсины"/>
    <n v="2540"/>
    <n v="81"/>
    <n v="205.74"/>
    <x v="7"/>
  </r>
  <r>
    <d v="2023-07-29T00:00:00"/>
    <x v="1"/>
    <s v="Жодино"/>
    <s v="Зелень"/>
    <s v="Укроп"/>
    <n v="650"/>
    <n v="84"/>
    <n v="54.6"/>
    <x v="7"/>
  </r>
  <r>
    <d v="2023-07-29T00:00:00"/>
    <x v="1"/>
    <s v="Жодино"/>
    <s v="Фрукты"/>
    <s v="Бананы"/>
    <n v="2400"/>
    <n v="54"/>
    <n v="129.6"/>
    <x v="7"/>
  </r>
  <r>
    <d v="2023-07-29T00:00:00"/>
    <x v="2"/>
    <s v="Жодино"/>
    <s v="Фрукты"/>
    <s v="Яблоки"/>
    <n v="1230"/>
    <n v="27"/>
    <n v="33.21"/>
    <x v="7"/>
  </r>
  <r>
    <d v="2023-07-29T00:00:00"/>
    <x v="0"/>
    <s v="Минск"/>
    <s v="Зелень"/>
    <s v="Лук зеленый"/>
    <n v="705"/>
    <n v="85"/>
    <n v="59.924999999999997"/>
    <x v="7"/>
  </r>
  <r>
    <d v="2023-07-29T00:00:00"/>
    <x v="0"/>
    <s v="Минск"/>
    <s v="Ягоды"/>
    <s v="Голубика"/>
    <n v="3205"/>
    <n v="41"/>
    <n v="131.405"/>
    <x v="7"/>
  </r>
  <r>
    <d v="2023-07-29T00:00:00"/>
    <x v="1"/>
    <s v="Минск"/>
    <s v="Ягоды"/>
    <s v="Малина"/>
    <n v="2970"/>
    <n v="8"/>
    <n v="23.76"/>
    <x v="7"/>
  </r>
  <r>
    <d v="2023-07-29T00:00:00"/>
    <x v="1"/>
    <s v="Столбцы"/>
    <s v="Овощи"/>
    <s v="Свекла"/>
    <n v="450"/>
    <n v="86"/>
    <n v="38.700000000000003"/>
    <x v="7"/>
  </r>
  <r>
    <s v="29.07.2023 Итог"/>
    <x v="3"/>
    <m/>
    <m/>
    <m/>
    <m/>
    <m/>
    <n v="723.86"/>
    <x v="7"/>
  </r>
  <r>
    <d v="2023-07-30T00:00:00"/>
    <x v="0"/>
    <s v="Барановичи"/>
    <s v="Овощи"/>
    <s v="Кабачки"/>
    <n v="325"/>
    <n v="99"/>
    <n v="32.174999999999997"/>
    <x v="7"/>
  </r>
  <r>
    <d v="2023-07-30T00:00:00"/>
    <x v="0"/>
    <s v="Борисов"/>
    <s v="Фрукты"/>
    <s v="Бананы"/>
    <n v="2400"/>
    <n v="91"/>
    <n v="218.4"/>
    <x v="7"/>
  </r>
  <r>
    <d v="2023-07-30T00:00:00"/>
    <x v="2"/>
    <s v="Борисов"/>
    <s v="Ягоды"/>
    <s v="Смородина черная"/>
    <n v="1505"/>
    <n v="86"/>
    <n v="129.43"/>
    <x v="7"/>
  </r>
  <r>
    <d v="2023-07-30T00:00:00"/>
    <x v="2"/>
    <s v="Жодино"/>
    <s v="Зелень"/>
    <s v="Лук зеленый"/>
    <n v="705"/>
    <n v="25"/>
    <n v="17.625"/>
    <x v="7"/>
  </r>
  <r>
    <d v="2023-07-30T00:00:00"/>
    <x v="0"/>
    <s v="Жодино"/>
    <s v="Овощи"/>
    <s v="Баклажаны"/>
    <n v="890"/>
    <n v="63"/>
    <n v="56.07"/>
    <x v="7"/>
  </r>
  <r>
    <d v="2023-07-30T00:00:00"/>
    <x v="1"/>
    <s v="Минск"/>
    <s v="Овощи"/>
    <s v="Кабачки"/>
    <n v="325"/>
    <n v="18"/>
    <n v="5.85"/>
    <x v="7"/>
  </r>
  <r>
    <d v="2023-07-30T00:00:00"/>
    <x v="0"/>
    <s v="Минск"/>
    <s v="Овощи"/>
    <s v="Свекла"/>
    <n v="450"/>
    <n v="56"/>
    <n v="25.2"/>
    <x v="7"/>
  </r>
  <r>
    <d v="2023-07-30T00:00:00"/>
    <x v="0"/>
    <s v="Минск"/>
    <s v="Фрукты"/>
    <s v="Сливы"/>
    <n v="930"/>
    <n v="30"/>
    <n v="27.9"/>
    <x v="7"/>
  </r>
  <r>
    <d v="2023-07-30T00:00:00"/>
    <x v="0"/>
    <s v="Минск"/>
    <s v="Ягоды"/>
    <s v="Черешня"/>
    <n v="1760"/>
    <n v="25"/>
    <n v="44"/>
    <x v="7"/>
  </r>
  <r>
    <d v="2023-07-30T00:00:00"/>
    <x v="4"/>
    <s v="Столбцы"/>
    <s v="Овощи"/>
    <s v="Кабачки"/>
    <n v="325"/>
    <n v="26"/>
    <n v="8.4499999999999993"/>
    <x v="7"/>
  </r>
  <r>
    <d v="2023-07-30T00:00:00"/>
    <x v="4"/>
    <s v="Фаниполь"/>
    <s v="Ягоды"/>
    <s v="Клубника"/>
    <n v="2460"/>
    <n v="22"/>
    <n v="54.12"/>
    <x v="7"/>
  </r>
  <r>
    <s v="30.07.2023 Итог"/>
    <x v="3"/>
    <m/>
    <m/>
    <m/>
    <m/>
    <m/>
    <n v="619.22"/>
    <x v="7"/>
  </r>
  <r>
    <d v="2023-07-31T00:00:00"/>
    <x v="0"/>
    <s v="Барановичи"/>
    <s v="Зелень"/>
    <s v="Укроп"/>
    <n v="650"/>
    <n v="33"/>
    <n v="21.45"/>
    <x v="7"/>
  </r>
  <r>
    <d v="2023-07-31T00:00:00"/>
    <x v="1"/>
    <s v="Барановичи"/>
    <s v="Овощи"/>
    <s v="Кабачки"/>
    <n v="325"/>
    <n v="31"/>
    <n v="10.074999999999999"/>
    <x v="7"/>
  </r>
  <r>
    <d v="2023-07-31T00:00:00"/>
    <x v="1"/>
    <s v="Барановичи"/>
    <s v="Фрукты"/>
    <s v="Груши"/>
    <n v="1420"/>
    <n v="19"/>
    <n v="26.98"/>
    <x v="7"/>
  </r>
  <r>
    <d v="2023-07-31T00:00:00"/>
    <x v="0"/>
    <s v="Жодино"/>
    <s v="Фрукты"/>
    <s v="Груши"/>
    <n v="1420"/>
    <n v="40"/>
    <n v="56.8"/>
    <x v="7"/>
  </r>
  <r>
    <d v="2023-07-31T00:00:00"/>
    <x v="4"/>
    <s v="Столбцы"/>
    <s v="Овощи"/>
    <s v="Капуста"/>
    <n v="460"/>
    <n v="36"/>
    <n v="16.559999999999999"/>
    <x v="7"/>
  </r>
  <r>
    <s v="31.07.2023 Итог"/>
    <x v="3"/>
    <m/>
    <m/>
    <m/>
    <m/>
    <m/>
    <n v="131.86499999999998"/>
    <x v="1"/>
  </r>
  <r>
    <d v="2023-08-01T00:00:00"/>
    <x v="0"/>
    <s v="Барановичи"/>
    <s v="Овощи"/>
    <s v="Капуста"/>
    <n v="460"/>
    <n v="70"/>
    <n v="32.200000000000003"/>
    <x v="8"/>
  </r>
  <r>
    <d v="2023-08-01T00:00:00"/>
    <x v="2"/>
    <s v="Барановичи"/>
    <s v="Фрукты"/>
    <s v="Яблоки"/>
    <n v="1230"/>
    <n v="94"/>
    <n v="115.62"/>
    <x v="8"/>
  </r>
  <r>
    <d v="2023-08-01T00:00:00"/>
    <x v="2"/>
    <s v="Жодино"/>
    <s v="Ягоды"/>
    <s v="Брусника"/>
    <n v="1670"/>
    <n v="73"/>
    <n v="121.91"/>
    <x v="8"/>
  </r>
  <r>
    <d v="2023-08-01T00:00:00"/>
    <x v="0"/>
    <s v="Минск"/>
    <s v="Фрукты"/>
    <s v="Апельсины"/>
    <n v="2540"/>
    <n v="92"/>
    <n v="233.68"/>
    <x v="8"/>
  </r>
  <r>
    <d v="2023-08-01T00:00:00"/>
    <x v="2"/>
    <s v="Минск"/>
    <s v="Ягоды"/>
    <s v="Голубика"/>
    <n v="3205"/>
    <n v="57"/>
    <n v="182.685"/>
    <x v="8"/>
  </r>
  <r>
    <d v="2023-08-01T00:00:00"/>
    <x v="2"/>
    <s v="Столбцы"/>
    <s v="Зелень"/>
    <s v="Укроп"/>
    <n v="650"/>
    <n v="31"/>
    <n v="20.149999999999999"/>
    <x v="8"/>
  </r>
  <r>
    <d v="2023-08-01T00:00:00"/>
    <x v="2"/>
    <s v="Столбцы"/>
    <s v="Фрукты"/>
    <s v="Сливы"/>
    <n v="930"/>
    <n v="47"/>
    <n v="43.71"/>
    <x v="8"/>
  </r>
  <r>
    <d v="2023-08-01T00:00:00"/>
    <x v="4"/>
    <s v="Столбцы"/>
    <s v="Фрукты"/>
    <s v="Яблоки"/>
    <n v="1230"/>
    <n v="17"/>
    <n v="20.91"/>
    <x v="8"/>
  </r>
  <r>
    <d v="2023-08-01T00:00:00"/>
    <x v="4"/>
    <s v="Фаниполь"/>
    <s v="Овощи"/>
    <s v="Кабачки"/>
    <n v="325"/>
    <n v="15"/>
    <n v="4.875"/>
    <x v="8"/>
  </r>
  <r>
    <s v="01.08.2023 Итог"/>
    <x v="3"/>
    <m/>
    <m/>
    <m/>
    <m/>
    <m/>
    <n v="775.74"/>
    <x v="8"/>
  </r>
  <r>
    <d v="2023-08-02T00:00:00"/>
    <x v="0"/>
    <s v="Барановичи"/>
    <s v="Зелень"/>
    <s v="Салат айсберг"/>
    <n v="1380"/>
    <n v="68"/>
    <n v="93.84"/>
    <x v="8"/>
  </r>
  <r>
    <d v="2023-08-02T00:00:00"/>
    <x v="0"/>
    <s v="Барановичи"/>
    <s v="Овощи"/>
    <s v="Баклажаны"/>
    <n v="890"/>
    <n v="26"/>
    <n v="23.14"/>
    <x v="8"/>
  </r>
  <r>
    <d v="2023-08-02T00:00:00"/>
    <x v="2"/>
    <s v="Барановичи"/>
    <s v="Фрукты"/>
    <s v="Яблоки"/>
    <n v="1230"/>
    <n v="37"/>
    <n v="45.51"/>
    <x v="8"/>
  </r>
  <r>
    <d v="2023-08-02T00:00:00"/>
    <x v="1"/>
    <s v="Барановичи"/>
    <s v="Ягоды"/>
    <s v="Малина"/>
    <n v="2970"/>
    <n v="16"/>
    <n v="47.52"/>
    <x v="8"/>
  </r>
  <r>
    <d v="2023-08-02T00:00:00"/>
    <x v="2"/>
    <s v="Барановичи"/>
    <s v="Ягоды"/>
    <s v="Смородина черная"/>
    <n v="1505"/>
    <n v="78"/>
    <n v="117.39"/>
    <x v="8"/>
  </r>
  <r>
    <d v="2023-08-02T00:00:00"/>
    <x v="2"/>
    <s v="Борисов"/>
    <s v="Овощи"/>
    <s v="Баклажаны"/>
    <n v="890"/>
    <n v="86"/>
    <n v="76.540000000000006"/>
    <x v="8"/>
  </r>
  <r>
    <d v="2023-08-02T00:00:00"/>
    <x v="1"/>
    <s v="Борисов"/>
    <s v="Ягоды"/>
    <s v="Малина"/>
    <n v="2970"/>
    <n v="97"/>
    <n v="288.08999999999997"/>
    <x v="8"/>
  </r>
  <r>
    <d v="2023-08-02T00:00:00"/>
    <x v="0"/>
    <s v="Борисов"/>
    <s v="Ягоды"/>
    <s v="Малина"/>
    <n v="2970"/>
    <n v="87"/>
    <n v="258.39"/>
    <x v="8"/>
  </r>
  <r>
    <d v="2023-08-02T00:00:00"/>
    <x v="0"/>
    <s v="Жодино"/>
    <s v="Ягоды"/>
    <s v="Малина"/>
    <n v="2970"/>
    <n v="86"/>
    <n v="255.42"/>
    <x v="8"/>
  </r>
  <r>
    <d v="2023-08-02T00:00:00"/>
    <x v="2"/>
    <s v="Столбцы"/>
    <s v="Зелень"/>
    <s v="Петрушка"/>
    <n v="640"/>
    <n v="48"/>
    <n v="30.72"/>
    <x v="8"/>
  </r>
  <r>
    <s v="02.08.2023 Итог"/>
    <x v="3"/>
    <m/>
    <m/>
    <m/>
    <m/>
    <m/>
    <n v="1236.56"/>
    <x v="8"/>
  </r>
  <r>
    <d v="2023-08-03T00:00:00"/>
    <x v="0"/>
    <s v="Барановичи"/>
    <s v="Овощи"/>
    <s v="Картофель"/>
    <n v="690"/>
    <n v="61"/>
    <n v="42.09"/>
    <x v="8"/>
  </r>
  <r>
    <d v="2023-08-03T00:00:00"/>
    <x v="1"/>
    <s v="Барановичи"/>
    <s v="Фрукты"/>
    <s v="Апельсины"/>
    <n v="2540"/>
    <n v="56"/>
    <n v="142.24"/>
    <x v="8"/>
  </r>
  <r>
    <d v="2023-08-03T00:00:00"/>
    <x v="4"/>
    <s v="Барановичи"/>
    <s v="Фрукты"/>
    <s v="Яблоки"/>
    <n v="1230"/>
    <n v="20"/>
    <n v="24.6"/>
    <x v="8"/>
  </r>
  <r>
    <d v="2023-08-03T00:00:00"/>
    <x v="2"/>
    <s v="Борисов"/>
    <s v="Овощи"/>
    <s v="Морковь"/>
    <n v="715"/>
    <n v="70"/>
    <n v="50.05"/>
    <x v="8"/>
  </r>
  <r>
    <d v="2023-08-03T00:00:00"/>
    <x v="4"/>
    <s v="Борисов"/>
    <s v="Овощи"/>
    <s v="Капуста"/>
    <n v="460"/>
    <n v="90"/>
    <n v="41.4"/>
    <x v="8"/>
  </r>
  <r>
    <d v="2023-08-03T00:00:00"/>
    <x v="4"/>
    <s v="Борисов"/>
    <s v="Фрукты"/>
    <s v="Сливы"/>
    <n v="930"/>
    <n v="11"/>
    <n v="10.23"/>
    <x v="8"/>
  </r>
  <r>
    <d v="2023-08-03T00:00:00"/>
    <x v="0"/>
    <s v="Борисов"/>
    <s v="Ягоды"/>
    <s v="Смородина черная"/>
    <n v="1505"/>
    <n v="52"/>
    <n v="78.260000000000005"/>
    <x v="8"/>
  </r>
  <r>
    <d v="2023-08-03T00:00:00"/>
    <x v="1"/>
    <s v="Минск"/>
    <s v="Овощи"/>
    <s v="Кабачки"/>
    <n v="325"/>
    <n v="87"/>
    <n v="28.274999999999999"/>
    <x v="8"/>
  </r>
  <r>
    <d v="2023-08-03T00:00:00"/>
    <x v="1"/>
    <s v="Столбцы"/>
    <s v="Овощи"/>
    <s v="Морковь"/>
    <n v="715"/>
    <n v="82"/>
    <n v="58.63"/>
    <x v="8"/>
  </r>
  <r>
    <d v="2023-08-03T00:00:00"/>
    <x v="1"/>
    <s v="Фаниполь"/>
    <s v="Фрукты"/>
    <s v="Яблоки"/>
    <n v="1230"/>
    <n v="81"/>
    <n v="99.63"/>
    <x v="8"/>
  </r>
  <r>
    <s v="03.08.2023 Итог"/>
    <x v="3"/>
    <m/>
    <m/>
    <m/>
    <m/>
    <m/>
    <n v="575.40499999999997"/>
    <x v="8"/>
  </r>
  <r>
    <d v="2023-08-04T00:00:00"/>
    <x v="2"/>
    <s v="Барановичи"/>
    <s v="Зелень"/>
    <s v="Салат римский"/>
    <n v="540"/>
    <n v="56"/>
    <n v="30.24"/>
    <x v="8"/>
  </r>
  <r>
    <d v="2023-08-04T00:00:00"/>
    <x v="4"/>
    <s v="Барановичи"/>
    <s v="Фрукты"/>
    <s v="Груши"/>
    <n v="1420"/>
    <n v="52"/>
    <n v="73.84"/>
    <x v="8"/>
  </r>
  <r>
    <d v="2023-08-04T00:00:00"/>
    <x v="4"/>
    <s v="Барановичи"/>
    <s v="Ягоды"/>
    <s v="Смородина черная"/>
    <n v="1505"/>
    <n v="7"/>
    <n v="10.535"/>
    <x v="8"/>
  </r>
  <r>
    <d v="2023-08-04T00:00:00"/>
    <x v="2"/>
    <s v="Барановичи"/>
    <s v="Ягоды"/>
    <s v="Черешня"/>
    <n v="1760"/>
    <n v="94"/>
    <n v="165.44"/>
    <x v="8"/>
  </r>
  <r>
    <d v="2023-08-04T00:00:00"/>
    <x v="1"/>
    <s v="Борисов"/>
    <s v="Зелень"/>
    <s v="Лук зеленый"/>
    <n v="705"/>
    <n v="97"/>
    <n v="68.385000000000005"/>
    <x v="8"/>
  </r>
  <r>
    <d v="2023-08-04T00:00:00"/>
    <x v="0"/>
    <s v="Борисов"/>
    <s v="Ягоды"/>
    <s v="Смородина черная"/>
    <n v="1505"/>
    <n v="45"/>
    <n v="67.724999999999994"/>
    <x v="8"/>
  </r>
  <r>
    <d v="2023-08-04T00:00:00"/>
    <x v="4"/>
    <s v="Борисов"/>
    <s v="Ягоды"/>
    <s v="Клубника"/>
    <n v="2460"/>
    <n v="73"/>
    <n v="179.58"/>
    <x v="8"/>
  </r>
  <r>
    <d v="2023-08-04T00:00:00"/>
    <x v="1"/>
    <s v="Минск"/>
    <s v="Овощи"/>
    <s v="Морковь"/>
    <n v="715"/>
    <n v="47"/>
    <n v="33.604999999999997"/>
    <x v="8"/>
  </r>
  <r>
    <d v="2023-08-04T00:00:00"/>
    <x v="0"/>
    <s v="Минск"/>
    <s v="Фрукты"/>
    <s v="Апельсины"/>
    <n v="2540"/>
    <n v="32"/>
    <n v="81.28"/>
    <x v="8"/>
  </r>
  <r>
    <d v="2023-08-04T00:00:00"/>
    <x v="0"/>
    <s v="Столбцы"/>
    <s v="Зелень"/>
    <s v="Салат айсберг"/>
    <n v="1380"/>
    <n v="54"/>
    <n v="74.52"/>
    <x v="8"/>
  </r>
  <r>
    <d v="2023-08-04T00:00:00"/>
    <x v="4"/>
    <s v="Фаниполь"/>
    <s v="Овощи"/>
    <s v="Морковь"/>
    <n v="715"/>
    <n v="69"/>
    <n v="49.335000000000001"/>
    <x v="8"/>
  </r>
  <r>
    <s v="04.08.2023 Итог"/>
    <x v="3"/>
    <m/>
    <m/>
    <m/>
    <m/>
    <m/>
    <n v="834.48500000000001"/>
    <x v="8"/>
  </r>
  <r>
    <d v="2023-08-05T00:00:00"/>
    <x v="1"/>
    <s v="Минск"/>
    <s v="Зелень"/>
    <s v="Петрушка"/>
    <n v="640"/>
    <n v="34"/>
    <n v="21.76"/>
    <x v="8"/>
  </r>
  <r>
    <d v="2023-08-05T00:00:00"/>
    <x v="2"/>
    <s v="Фаниполь"/>
    <s v="Фрукты"/>
    <s v="Сливы"/>
    <n v="930"/>
    <n v="63"/>
    <n v="58.59"/>
    <x v="8"/>
  </r>
  <r>
    <s v="05.08.2023 Итог"/>
    <x v="3"/>
    <m/>
    <m/>
    <m/>
    <m/>
    <m/>
    <n v="80.350000000000009"/>
    <x v="8"/>
  </r>
  <r>
    <d v="2023-08-06T00:00:00"/>
    <x v="1"/>
    <s v="Борисов"/>
    <s v="Зелень"/>
    <s v="Лук зеленый"/>
    <n v="705"/>
    <n v="65"/>
    <n v="45.825000000000003"/>
    <x v="8"/>
  </r>
  <r>
    <d v="2023-08-06T00:00:00"/>
    <x v="1"/>
    <s v="Борисов"/>
    <s v="Овощи"/>
    <s v="Кабачки"/>
    <n v="325"/>
    <n v="46"/>
    <n v="14.95"/>
    <x v="8"/>
  </r>
  <r>
    <d v="2023-08-06T00:00:00"/>
    <x v="1"/>
    <s v="Жодино"/>
    <s v="Овощи"/>
    <s v="Баклажаны"/>
    <n v="890"/>
    <n v="68"/>
    <n v="60.52"/>
    <x v="8"/>
  </r>
  <r>
    <d v="2023-08-06T00:00:00"/>
    <x v="0"/>
    <s v="Минск"/>
    <s v="Зелень"/>
    <s v="Лук зеленый"/>
    <n v="705"/>
    <n v="36"/>
    <n v="25.38"/>
    <x v="8"/>
  </r>
  <r>
    <d v="2023-08-06T00:00:00"/>
    <x v="0"/>
    <s v="Минск"/>
    <s v="Ягоды"/>
    <s v="Черешня"/>
    <n v="1760"/>
    <n v="36"/>
    <n v="63.36"/>
    <x v="8"/>
  </r>
  <r>
    <d v="2023-08-06T00:00:00"/>
    <x v="0"/>
    <s v="Минск"/>
    <s v="Ягоды"/>
    <s v="Малина"/>
    <n v="2970"/>
    <n v="76"/>
    <n v="225.72"/>
    <x v="8"/>
  </r>
  <r>
    <d v="2023-08-06T00:00:00"/>
    <x v="2"/>
    <s v="Столбцы"/>
    <s v="Зелень"/>
    <s v="Салат римский"/>
    <n v="540"/>
    <n v="100"/>
    <n v="54"/>
    <x v="8"/>
  </r>
  <r>
    <d v="2023-08-06T00:00:00"/>
    <x v="0"/>
    <s v="Столбцы"/>
    <s v="Фрукты"/>
    <s v="Сливы"/>
    <n v="930"/>
    <n v="58"/>
    <n v="53.94"/>
    <x v="8"/>
  </r>
  <r>
    <s v="06.08.2023 Итог"/>
    <x v="3"/>
    <m/>
    <m/>
    <m/>
    <m/>
    <m/>
    <n v="543.69499999999994"/>
    <x v="8"/>
  </r>
  <r>
    <d v="2023-08-07T00:00:00"/>
    <x v="1"/>
    <s v="Барановичи"/>
    <s v="Овощи"/>
    <s v="Картофель"/>
    <n v="690"/>
    <n v="30"/>
    <n v="20.7"/>
    <x v="8"/>
  </r>
  <r>
    <d v="2023-08-07T00:00:00"/>
    <x v="2"/>
    <s v="Барановичи"/>
    <s v="Овощи"/>
    <s v="Свекла"/>
    <n v="450"/>
    <n v="43"/>
    <n v="19.350000000000001"/>
    <x v="8"/>
  </r>
  <r>
    <d v="2023-08-07T00:00:00"/>
    <x v="0"/>
    <s v="Барановичи"/>
    <s v="Фрукты"/>
    <s v="Бананы"/>
    <n v="2400"/>
    <n v="69"/>
    <n v="165.6"/>
    <x v="8"/>
  </r>
  <r>
    <d v="2023-08-07T00:00:00"/>
    <x v="1"/>
    <s v="Борисов"/>
    <s v="Зелень"/>
    <s v="Салат айсберг"/>
    <n v="1380"/>
    <n v="57"/>
    <n v="78.66"/>
    <x v="8"/>
  </r>
  <r>
    <d v="2023-08-07T00:00:00"/>
    <x v="1"/>
    <s v="Борисов"/>
    <s v="Овощи"/>
    <s v="Свекла"/>
    <n v="450"/>
    <n v="80"/>
    <n v="36"/>
    <x v="8"/>
  </r>
  <r>
    <d v="2023-08-07T00:00:00"/>
    <x v="0"/>
    <s v="Жодино"/>
    <s v="Фрукты"/>
    <s v="Бананы"/>
    <n v="2400"/>
    <n v="45"/>
    <n v="108"/>
    <x v="8"/>
  </r>
  <r>
    <d v="2023-08-07T00:00:00"/>
    <x v="2"/>
    <s v="Минск"/>
    <s v="Овощи"/>
    <s v="Морковь"/>
    <n v="715"/>
    <n v="73"/>
    <n v="52.195"/>
    <x v="8"/>
  </r>
  <r>
    <d v="2023-08-07T00:00:00"/>
    <x v="1"/>
    <s v="Минск"/>
    <s v="Фрукты"/>
    <s v="Бананы"/>
    <n v="2400"/>
    <n v="43"/>
    <n v="103.2"/>
    <x v="8"/>
  </r>
  <r>
    <d v="2023-08-07T00:00:00"/>
    <x v="0"/>
    <s v="Столбцы"/>
    <s v="Овощи"/>
    <s v="Баклажаны"/>
    <n v="890"/>
    <n v="50"/>
    <n v="44.5"/>
    <x v="8"/>
  </r>
  <r>
    <d v="2023-08-07T00:00:00"/>
    <x v="1"/>
    <s v="Столбцы"/>
    <s v="Ягоды"/>
    <s v="Малина"/>
    <n v="2970"/>
    <n v="95"/>
    <n v="282.14999999999998"/>
    <x v="8"/>
  </r>
  <r>
    <s v="07.08.2023 Итог"/>
    <x v="3"/>
    <m/>
    <m/>
    <m/>
    <m/>
    <m/>
    <n v="910.3549999999999"/>
    <x v="8"/>
  </r>
  <r>
    <d v="2023-08-08T00:00:00"/>
    <x v="4"/>
    <s v="Барановичи"/>
    <s v="Зелень"/>
    <s v="Салат римский"/>
    <n v="540"/>
    <n v="68"/>
    <n v="36.72"/>
    <x v="8"/>
  </r>
  <r>
    <d v="2023-08-08T00:00:00"/>
    <x v="4"/>
    <s v="Барановичи"/>
    <s v="Ягоды"/>
    <s v="Клубника"/>
    <n v="2460"/>
    <n v="21"/>
    <n v="51.66"/>
    <x v="8"/>
  </r>
  <r>
    <d v="2023-08-08T00:00:00"/>
    <x v="0"/>
    <s v="Жодино"/>
    <s v="Зелень"/>
    <s v="Салат римский"/>
    <n v="540"/>
    <n v="21"/>
    <n v="11.34"/>
    <x v="8"/>
  </r>
  <r>
    <d v="2023-08-08T00:00:00"/>
    <x v="2"/>
    <s v="Жодино"/>
    <s v="Зелень"/>
    <s v="Салат айсберг"/>
    <n v="1380"/>
    <n v="96"/>
    <n v="132.47999999999999"/>
    <x v="8"/>
  </r>
  <r>
    <d v="2023-08-08T00:00:00"/>
    <x v="4"/>
    <s v="Жодино"/>
    <s v="Фрукты"/>
    <s v="Груши"/>
    <n v="1420"/>
    <n v="66"/>
    <n v="93.72"/>
    <x v="8"/>
  </r>
  <r>
    <d v="2023-08-08T00:00:00"/>
    <x v="4"/>
    <s v="Жодино"/>
    <s v="Ягоды"/>
    <s v="Клубника"/>
    <n v="2460"/>
    <n v="38"/>
    <n v="93.48"/>
    <x v="8"/>
  </r>
  <r>
    <d v="2023-08-08T00:00:00"/>
    <x v="1"/>
    <s v="Минск"/>
    <s v="Фрукты"/>
    <s v="Яблоки"/>
    <n v="1230"/>
    <n v="35"/>
    <n v="43.05"/>
    <x v="8"/>
  </r>
  <r>
    <d v="2023-08-08T00:00:00"/>
    <x v="1"/>
    <s v="Минск"/>
    <s v="Ягоды"/>
    <s v="Голубика"/>
    <n v="3205"/>
    <n v="38"/>
    <n v="121.79"/>
    <x v="8"/>
  </r>
  <r>
    <d v="2023-08-08T00:00:00"/>
    <x v="2"/>
    <s v="Столбцы"/>
    <s v="Фрукты"/>
    <s v="Бананы"/>
    <n v="2400"/>
    <n v="88"/>
    <n v="211.2"/>
    <x v="8"/>
  </r>
  <r>
    <d v="2023-08-08T00:00:00"/>
    <x v="0"/>
    <s v="Столбцы"/>
    <s v="Ягоды"/>
    <s v="Черешня"/>
    <n v="1760"/>
    <n v="39"/>
    <n v="68.64"/>
    <x v="8"/>
  </r>
  <r>
    <d v="2023-08-08T00:00:00"/>
    <x v="2"/>
    <s v="Фаниполь"/>
    <s v="Фрукты"/>
    <s v="Сливы"/>
    <n v="930"/>
    <n v="76"/>
    <n v="70.680000000000007"/>
    <x v="8"/>
  </r>
  <r>
    <d v="2023-08-08T00:00:00"/>
    <x v="4"/>
    <s v="Фаниполь"/>
    <s v="Фрукты"/>
    <s v="Бананы"/>
    <n v="2400"/>
    <n v="65"/>
    <n v="156"/>
    <x v="8"/>
  </r>
  <r>
    <s v="08.08.2023 Итог"/>
    <x v="3"/>
    <m/>
    <m/>
    <m/>
    <m/>
    <m/>
    <n v="1090.76"/>
    <x v="8"/>
  </r>
  <r>
    <d v="2023-08-09T00:00:00"/>
    <x v="0"/>
    <s v="Барановичи"/>
    <s v="Овощи"/>
    <s v="Свекла"/>
    <n v="450"/>
    <n v="43"/>
    <n v="19.350000000000001"/>
    <x v="8"/>
  </r>
  <r>
    <d v="2023-08-09T00:00:00"/>
    <x v="2"/>
    <s v="Борисов"/>
    <s v="Зелень"/>
    <s v="Лук зеленый"/>
    <n v="705"/>
    <n v="80"/>
    <n v="56.4"/>
    <x v="8"/>
  </r>
  <r>
    <d v="2023-08-09T00:00:00"/>
    <x v="1"/>
    <s v="Борисов"/>
    <s v="Зелень"/>
    <s v="Кинза"/>
    <n v="650"/>
    <n v="69"/>
    <n v="44.85"/>
    <x v="8"/>
  </r>
  <r>
    <d v="2023-08-09T00:00:00"/>
    <x v="4"/>
    <s v="Борисов"/>
    <s v="Зелень"/>
    <s v="Петрушка"/>
    <n v="640"/>
    <n v="81"/>
    <n v="51.84"/>
    <x v="8"/>
  </r>
  <r>
    <d v="2023-08-09T00:00:00"/>
    <x v="4"/>
    <s v="Борисов"/>
    <s v="Овощи"/>
    <s v="Кабачки"/>
    <n v="325"/>
    <n v="64"/>
    <n v="20.8"/>
    <x v="8"/>
  </r>
  <r>
    <d v="2023-08-09T00:00:00"/>
    <x v="2"/>
    <s v="Борисов"/>
    <s v="Ягоды"/>
    <s v="Брусника"/>
    <n v="1670"/>
    <n v="100"/>
    <n v="167"/>
    <x v="8"/>
  </r>
  <r>
    <d v="2023-08-09T00:00:00"/>
    <x v="2"/>
    <s v="Борисов"/>
    <s v="Ягоды"/>
    <s v="Малина"/>
    <n v="2970"/>
    <n v="12"/>
    <n v="35.64"/>
    <x v="8"/>
  </r>
  <r>
    <d v="2023-08-09T00:00:00"/>
    <x v="0"/>
    <s v="Борисов"/>
    <s v="Ягоды"/>
    <s v="Клубника"/>
    <n v="2460"/>
    <n v="23"/>
    <n v="56.58"/>
    <x v="8"/>
  </r>
  <r>
    <d v="2023-08-09T00:00:00"/>
    <x v="0"/>
    <s v="Жодино"/>
    <s v="Овощи"/>
    <s v="Морковь"/>
    <n v="715"/>
    <n v="80"/>
    <n v="57.2"/>
    <x v="8"/>
  </r>
  <r>
    <d v="2023-08-09T00:00:00"/>
    <x v="2"/>
    <s v="Жодино"/>
    <s v="Ягоды"/>
    <s v="Малина"/>
    <n v="2970"/>
    <n v="47"/>
    <n v="139.59"/>
    <x v="8"/>
  </r>
  <r>
    <d v="2023-08-09T00:00:00"/>
    <x v="0"/>
    <s v="Минск"/>
    <s v="Ягоды"/>
    <s v="Клубника"/>
    <n v="2460"/>
    <n v="54"/>
    <n v="132.84"/>
    <x v="8"/>
  </r>
  <r>
    <d v="2023-08-09T00:00:00"/>
    <x v="2"/>
    <s v="Столбцы"/>
    <s v="Ягоды"/>
    <s v="Смородина черная"/>
    <n v="1505"/>
    <n v="31"/>
    <n v="46.655000000000001"/>
    <x v="8"/>
  </r>
  <r>
    <d v="2023-08-09T00:00:00"/>
    <x v="2"/>
    <s v="Столбцы"/>
    <s v="Ягоды"/>
    <s v="Смородина черная"/>
    <n v="1505"/>
    <n v="22"/>
    <n v="33.11"/>
    <x v="8"/>
  </r>
  <r>
    <d v="2023-08-09T00:00:00"/>
    <x v="4"/>
    <s v="Фаниполь"/>
    <s v="Овощи"/>
    <s v="Кабачки"/>
    <n v="325"/>
    <n v="77"/>
    <n v="25.024999999999999"/>
    <x v="8"/>
  </r>
  <r>
    <s v="09.08.2023 Итог"/>
    <x v="3"/>
    <m/>
    <m/>
    <m/>
    <m/>
    <m/>
    <n v="886.88"/>
    <x v="8"/>
  </r>
  <r>
    <d v="2023-08-10T00:00:00"/>
    <x v="4"/>
    <s v="Барановичи"/>
    <s v="Фрукты"/>
    <s v="Абрикосы"/>
    <n v="1320"/>
    <n v="31"/>
    <n v="40.92"/>
    <x v="8"/>
  </r>
  <r>
    <d v="2023-08-10T00:00:00"/>
    <x v="1"/>
    <s v="Барановичи"/>
    <s v="Фрукты"/>
    <s v="Абрикосы"/>
    <n v="1320"/>
    <n v="46"/>
    <n v="60.72"/>
    <x v="8"/>
  </r>
  <r>
    <d v="2023-08-10T00:00:00"/>
    <x v="2"/>
    <s v="Борисов"/>
    <s v="Зелень"/>
    <s v="Петрушка"/>
    <n v="640"/>
    <n v="23"/>
    <n v="14.72"/>
    <x v="8"/>
  </r>
  <r>
    <d v="2023-08-10T00:00:00"/>
    <x v="0"/>
    <s v="Жодино"/>
    <s v="Зелень"/>
    <s v="Кинза"/>
    <n v="650"/>
    <n v="15"/>
    <n v="9.75"/>
    <x v="8"/>
  </r>
  <r>
    <d v="2023-08-10T00:00:00"/>
    <x v="2"/>
    <s v="Жодино"/>
    <s v="Фрукты"/>
    <s v="Абрикосы"/>
    <n v="1320"/>
    <n v="82"/>
    <n v="108.24"/>
    <x v="8"/>
  </r>
  <r>
    <d v="2023-08-10T00:00:00"/>
    <x v="1"/>
    <s v="Минск"/>
    <s v="Фрукты"/>
    <s v="Бананы"/>
    <n v="2400"/>
    <n v="45"/>
    <n v="108"/>
    <x v="8"/>
  </r>
  <r>
    <d v="2023-08-10T00:00:00"/>
    <x v="2"/>
    <s v="Минск"/>
    <s v="Фрукты"/>
    <s v="Бананы"/>
    <n v="2400"/>
    <n v="35"/>
    <n v="84"/>
    <x v="8"/>
  </r>
  <r>
    <d v="2023-08-10T00:00:00"/>
    <x v="2"/>
    <s v="Минск"/>
    <s v="Ягоды"/>
    <s v="Голубика"/>
    <n v="3205"/>
    <n v="28"/>
    <n v="89.74"/>
    <x v="8"/>
  </r>
  <r>
    <d v="2023-08-10T00:00:00"/>
    <x v="4"/>
    <s v="Столбцы"/>
    <s v="Зелень"/>
    <s v="Петрушка"/>
    <n v="640"/>
    <n v="68"/>
    <n v="43.52"/>
    <x v="8"/>
  </r>
  <r>
    <d v="2023-08-10T00:00:00"/>
    <x v="4"/>
    <s v="Столбцы"/>
    <s v="Зелень"/>
    <s v="Салат айсберг"/>
    <n v="1380"/>
    <n v="89"/>
    <n v="122.82"/>
    <x v="8"/>
  </r>
  <r>
    <d v="2023-08-10T00:00:00"/>
    <x v="1"/>
    <s v="Фаниполь"/>
    <s v="Овощи"/>
    <s v="Морковь"/>
    <n v="715"/>
    <n v="42"/>
    <n v="30.03"/>
    <x v="8"/>
  </r>
  <r>
    <s v="10.08.2023 Итог"/>
    <x v="3"/>
    <m/>
    <m/>
    <m/>
    <m/>
    <m/>
    <n v="712.46"/>
    <x v="8"/>
  </r>
  <r>
    <d v="2023-08-11T00:00:00"/>
    <x v="2"/>
    <s v="Барановичи"/>
    <s v="Фрукты"/>
    <s v="Сливы"/>
    <n v="930"/>
    <n v="67"/>
    <n v="62.31"/>
    <x v="8"/>
  </r>
  <r>
    <d v="2023-08-11T00:00:00"/>
    <x v="2"/>
    <s v="Барановичи"/>
    <s v="Ягоды"/>
    <s v="Смородина черная"/>
    <n v="1505"/>
    <n v="80"/>
    <n v="120.4"/>
    <x v="8"/>
  </r>
  <r>
    <d v="2023-08-11T00:00:00"/>
    <x v="0"/>
    <s v="Борисов"/>
    <s v="Зелень"/>
    <s v="Лук зеленый"/>
    <n v="705"/>
    <n v="88"/>
    <n v="62.04"/>
    <x v="8"/>
  </r>
  <r>
    <d v="2023-08-11T00:00:00"/>
    <x v="2"/>
    <s v="Борисов"/>
    <s v="Зелень"/>
    <s v="Лук зеленый"/>
    <n v="705"/>
    <n v="46"/>
    <n v="32.43"/>
    <x v="8"/>
  </r>
  <r>
    <d v="2023-08-11T00:00:00"/>
    <x v="1"/>
    <s v="Жодино"/>
    <s v="Овощи"/>
    <s v="Картофель"/>
    <n v="690"/>
    <n v="93"/>
    <n v="64.17"/>
    <x v="8"/>
  </r>
  <r>
    <d v="2023-08-11T00:00:00"/>
    <x v="1"/>
    <s v="Минск"/>
    <s v="Фрукты"/>
    <s v="Апельсины"/>
    <n v="2540"/>
    <n v="29"/>
    <n v="73.66"/>
    <x v="8"/>
  </r>
  <r>
    <d v="2023-08-11T00:00:00"/>
    <x v="1"/>
    <s v="Минск"/>
    <s v="Фрукты"/>
    <s v="Бананы"/>
    <n v="2400"/>
    <n v="99"/>
    <n v="237.6"/>
    <x v="8"/>
  </r>
  <r>
    <d v="2023-08-11T00:00:00"/>
    <x v="4"/>
    <s v="Минск"/>
    <s v="Фрукты"/>
    <s v="Бананы"/>
    <n v="2400"/>
    <n v="68"/>
    <n v="163.19999999999999"/>
    <x v="8"/>
  </r>
  <r>
    <d v="2023-08-11T00:00:00"/>
    <x v="4"/>
    <s v="Столбцы"/>
    <s v="Зелень"/>
    <s v="Кинза"/>
    <n v="650"/>
    <n v="79"/>
    <n v="51.35"/>
    <x v="8"/>
  </r>
  <r>
    <d v="2023-08-11T00:00:00"/>
    <x v="2"/>
    <s v="Столбцы"/>
    <s v="Овощи"/>
    <s v="Картофель"/>
    <n v="690"/>
    <n v="78"/>
    <n v="53.82"/>
    <x v="8"/>
  </r>
  <r>
    <d v="2023-08-11T00:00:00"/>
    <x v="0"/>
    <s v="Столбцы"/>
    <s v="Фрукты"/>
    <s v="Яблоки"/>
    <n v="1230"/>
    <n v="34"/>
    <n v="41.82"/>
    <x v="8"/>
  </r>
  <r>
    <d v="2023-08-11T00:00:00"/>
    <x v="1"/>
    <s v="Столбцы"/>
    <s v="Фрукты"/>
    <s v="Сливы"/>
    <n v="930"/>
    <n v="32"/>
    <n v="29.76"/>
    <x v="8"/>
  </r>
  <r>
    <d v="2023-08-11T00:00:00"/>
    <x v="2"/>
    <s v="Фаниполь"/>
    <s v="Фрукты"/>
    <s v="Груши"/>
    <n v="1420"/>
    <n v="12"/>
    <n v="17.04"/>
    <x v="8"/>
  </r>
  <r>
    <s v="11.08.2023 Итог"/>
    <x v="3"/>
    <m/>
    <m/>
    <m/>
    <m/>
    <m/>
    <n v="1009.6"/>
    <x v="8"/>
  </r>
  <r>
    <d v="2023-08-12T00:00:00"/>
    <x v="0"/>
    <s v="Барановичи"/>
    <s v="Овощи"/>
    <s v="Кабачки"/>
    <n v="325"/>
    <n v="60"/>
    <n v="19.5"/>
    <x v="8"/>
  </r>
  <r>
    <d v="2023-08-12T00:00:00"/>
    <x v="0"/>
    <s v="Барановичи"/>
    <s v="Фрукты"/>
    <s v="Сливы"/>
    <n v="930"/>
    <n v="12"/>
    <n v="11.16"/>
    <x v="8"/>
  </r>
  <r>
    <d v="2023-08-12T00:00:00"/>
    <x v="4"/>
    <s v="Барановичи"/>
    <s v="Ягоды"/>
    <s v="Смородина черная"/>
    <n v="1505"/>
    <n v="52"/>
    <n v="78.260000000000005"/>
    <x v="8"/>
  </r>
  <r>
    <d v="2023-08-12T00:00:00"/>
    <x v="1"/>
    <s v="Борисов"/>
    <s v="Фрукты"/>
    <s v="Сливы"/>
    <n v="930"/>
    <n v="12"/>
    <n v="11.16"/>
    <x v="8"/>
  </r>
  <r>
    <d v="2023-08-12T00:00:00"/>
    <x v="2"/>
    <s v="Борисов"/>
    <s v="Фрукты"/>
    <s v="Сливы"/>
    <n v="930"/>
    <n v="81"/>
    <n v="75.33"/>
    <x v="8"/>
  </r>
  <r>
    <d v="2023-08-12T00:00:00"/>
    <x v="1"/>
    <s v="Жодино"/>
    <s v="Фрукты"/>
    <s v="Абрикосы"/>
    <n v="1320"/>
    <n v="80"/>
    <n v="105.6"/>
    <x v="8"/>
  </r>
  <r>
    <d v="2023-08-12T00:00:00"/>
    <x v="2"/>
    <s v="Жодино"/>
    <s v="Фрукты"/>
    <s v="Яблоки"/>
    <n v="1230"/>
    <n v="40"/>
    <n v="49.2"/>
    <x v="8"/>
  </r>
  <r>
    <d v="2023-08-12T00:00:00"/>
    <x v="0"/>
    <s v="Минск"/>
    <s v="Зелень"/>
    <s v="Кинза"/>
    <n v="650"/>
    <n v="37"/>
    <n v="24.05"/>
    <x v="8"/>
  </r>
  <r>
    <d v="2023-08-12T00:00:00"/>
    <x v="1"/>
    <s v="Минск"/>
    <s v="Овощи"/>
    <s v="Морковь"/>
    <n v="715"/>
    <n v="68"/>
    <n v="48.62"/>
    <x v="8"/>
  </r>
  <r>
    <d v="2023-08-12T00:00:00"/>
    <x v="2"/>
    <s v="Минск"/>
    <s v="Овощи"/>
    <s v="Баклажаны"/>
    <n v="890"/>
    <n v="62"/>
    <n v="55.18"/>
    <x v="8"/>
  </r>
  <r>
    <d v="2023-08-12T00:00:00"/>
    <x v="4"/>
    <s v="Столбцы"/>
    <s v="Зелень"/>
    <s v="Салат айсберг"/>
    <n v="1380"/>
    <n v="88"/>
    <n v="121.44"/>
    <x v="8"/>
  </r>
  <r>
    <d v="2023-08-12T00:00:00"/>
    <x v="2"/>
    <s v="Столбцы"/>
    <s v="Ягоды"/>
    <s v="Брусника"/>
    <n v="1670"/>
    <n v="88"/>
    <n v="146.96"/>
    <x v="8"/>
  </r>
  <r>
    <d v="2023-08-12T00:00:00"/>
    <x v="0"/>
    <s v="Столбцы"/>
    <s v="Ягоды"/>
    <s v="Голубика"/>
    <n v="3205"/>
    <n v="12"/>
    <n v="38.46"/>
    <x v="8"/>
  </r>
  <r>
    <d v="2023-08-12T00:00:00"/>
    <x v="2"/>
    <s v="Фаниполь"/>
    <s v="Зелень"/>
    <s v="Лук зеленый"/>
    <n v="705"/>
    <n v="61"/>
    <n v="43.005000000000003"/>
    <x v="8"/>
  </r>
  <r>
    <d v="2023-08-12T00:00:00"/>
    <x v="0"/>
    <s v="Фаниполь"/>
    <s v="Овощи"/>
    <s v="Картофель"/>
    <n v="690"/>
    <n v="42"/>
    <n v="28.98"/>
    <x v="8"/>
  </r>
  <r>
    <d v="2023-08-12T00:00:00"/>
    <x v="1"/>
    <s v="Фаниполь"/>
    <s v="Овощи"/>
    <s v="Картофель"/>
    <n v="690"/>
    <n v="68"/>
    <n v="46.92"/>
    <x v="8"/>
  </r>
  <r>
    <s v="12.08.2023 Итог"/>
    <x v="3"/>
    <m/>
    <m/>
    <m/>
    <m/>
    <m/>
    <n v="903.82500000000005"/>
    <x v="8"/>
  </r>
  <r>
    <d v="2023-08-13T00:00:00"/>
    <x v="1"/>
    <s v="Барановичи"/>
    <s v="Фрукты"/>
    <s v="Груши"/>
    <n v="1420"/>
    <n v="67"/>
    <n v="95.14"/>
    <x v="8"/>
  </r>
  <r>
    <d v="2023-08-13T00:00:00"/>
    <x v="0"/>
    <s v="Жодино"/>
    <s v="Овощи"/>
    <s v="Морковь"/>
    <n v="715"/>
    <n v="39"/>
    <n v="27.885000000000002"/>
    <x v="8"/>
  </r>
  <r>
    <d v="2023-08-13T00:00:00"/>
    <x v="1"/>
    <s v="Минск"/>
    <s v="Овощи"/>
    <s v="Морковь"/>
    <n v="715"/>
    <n v="25"/>
    <n v="17.875"/>
    <x v="8"/>
  </r>
  <r>
    <d v="2023-08-13T00:00:00"/>
    <x v="2"/>
    <s v="Минск"/>
    <s v="Ягоды"/>
    <s v="Смородина черная"/>
    <n v="1505"/>
    <n v="12"/>
    <n v="18.059999999999999"/>
    <x v="8"/>
  </r>
  <r>
    <d v="2023-08-13T00:00:00"/>
    <x v="1"/>
    <s v="Минск"/>
    <s v="Ягоды"/>
    <s v="Черешня"/>
    <n v="1760"/>
    <n v="92"/>
    <n v="161.91999999999999"/>
    <x v="8"/>
  </r>
  <r>
    <d v="2023-08-13T00:00:00"/>
    <x v="0"/>
    <s v="Столбцы"/>
    <s v="Фрукты"/>
    <s v="Сливы"/>
    <n v="930"/>
    <n v="7"/>
    <n v="6.51"/>
    <x v="8"/>
  </r>
  <r>
    <d v="2023-08-13T00:00:00"/>
    <x v="2"/>
    <s v="Столбцы"/>
    <s v="Фрукты"/>
    <s v="Бананы"/>
    <n v="2400"/>
    <n v="12"/>
    <n v="28.8"/>
    <x v="8"/>
  </r>
  <r>
    <d v="2023-08-13T00:00:00"/>
    <x v="2"/>
    <s v="Фаниполь"/>
    <s v="Ягоды"/>
    <s v="Клубника"/>
    <n v="2460"/>
    <n v="61"/>
    <n v="150.06"/>
    <x v="8"/>
  </r>
  <r>
    <s v="13.08.2023 Итог"/>
    <x v="3"/>
    <m/>
    <m/>
    <m/>
    <m/>
    <m/>
    <n v="506.25"/>
    <x v="8"/>
  </r>
  <r>
    <d v="2023-08-14T00:00:00"/>
    <x v="4"/>
    <s v="Барановичи"/>
    <s v="Зелень"/>
    <s v="Лук зеленый"/>
    <n v="705"/>
    <n v="62"/>
    <n v="43.71"/>
    <x v="8"/>
  </r>
  <r>
    <d v="2023-08-14T00:00:00"/>
    <x v="1"/>
    <s v="Жодино"/>
    <s v="Ягоды"/>
    <s v="Малина"/>
    <n v="2970"/>
    <n v="39"/>
    <n v="115.83"/>
    <x v="8"/>
  </r>
  <r>
    <d v="2023-08-14T00:00:00"/>
    <x v="1"/>
    <s v="Минск"/>
    <s v="Зелень"/>
    <s v="Салат римский"/>
    <n v="540"/>
    <n v="49"/>
    <n v="26.46"/>
    <x v="8"/>
  </r>
  <r>
    <d v="2023-08-14T00:00:00"/>
    <x v="1"/>
    <s v="Минск"/>
    <s v="Овощи"/>
    <s v="Картофель"/>
    <n v="690"/>
    <n v="25"/>
    <n v="17.25"/>
    <x v="8"/>
  </r>
  <r>
    <d v="2023-08-14T00:00:00"/>
    <x v="1"/>
    <s v="Столбцы"/>
    <s v="Ягоды"/>
    <s v="Клубника"/>
    <n v="2460"/>
    <n v="75"/>
    <n v="184.5"/>
    <x v="8"/>
  </r>
  <r>
    <d v="2023-08-14T00:00:00"/>
    <x v="1"/>
    <s v="Столбцы"/>
    <s v="Ягоды"/>
    <s v="Смородина черная"/>
    <n v="1505"/>
    <n v="90"/>
    <n v="135.44999999999999"/>
    <x v="8"/>
  </r>
  <r>
    <d v="2023-08-14T00:00:00"/>
    <x v="0"/>
    <s v="Фаниполь"/>
    <s v="Фрукты"/>
    <s v="Сливы"/>
    <n v="930"/>
    <n v="7"/>
    <n v="6.51"/>
    <x v="8"/>
  </r>
  <r>
    <d v="2023-08-14T00:00:00"/>
    <x v="4"/>
    <s v="Фаниполь"/>
    <s v="Ягоды"/>
    <s v="Смородина черная"/>
    <n v="1505"/>
    <n v="56"/>
    <n v="84.28"/>
    <x v="8"/>
  </r>
  <r>
    <s v="14.08.2023 Итог"/>
    <x v="3"/>
    <m/>
    <m/>
    <m/>
    <m/>
    <m/>
    <n v="613.99"/>
    <x v="8"/>
  </r>
  <r>
    <d v="2023-08-15T00:00:00"/>
    <x v="4"/>
    <s v="Барановичи"/>
    <s v="Овощи"/>
    <s v="Свекла"/>
    <n v="450"/>
    <n v="6"/>
    <n v="2.7"/>
    <x v="8"/>
  </r>
  <r>
    <d v="2023-08-15T00:00:00"/>
    <x v="1"/>
    <s v="Барановичи"/>
    <s v="Овощи"/>
    <s v="Свекла"/>
    <n v="450"/>
    <n v="7"/>
    <n v="3.15"/>
    <x v="8"/>
  </r>
  <r>
    <d v="2023-08-15T00:00:00"/>
    <x v="0"/>
    <s v="Барановичи"/>
    <s v="Овощи"/>
    <s v="Кабачки"/>
    <n v="325"/>
    <n v="66"/>
    <n v="21.45"/>
    <x v="8"/>
  </r>
  <r>
    <d v="2023-08-15T00:00:00"/>
    <x v="1"/>
    <s v="Барановичи"/>
    <s v="Фрукты"/>
    <s v="Яблоки"/>
    <n v="1230"/>
    <n v="70"/>
    <n v="86.1"/>
    <x v="8"/>
  </r>
  <r>
    <d v="2023-08-15T00:00:00"/>
    <x v="4"/>
    <s v="Борисов"/>
    <s v="Фрукты"/>
    <s v="Сливы"/>
    <n v="930"/>
    <n v="64"/>
    <n v="59.52"/>
    <x v="8"/>
  </r>
  <r>
    <d v="2023-08-15T00:00:00"/>
    <x v="0"/>
    <s v="Жодино"/>
    <s v="Овощи"/>
    <s v="Свекла"/>
    <n v="450"/>
    <n v="52"/>
    <n v="23.4"/>
    <x v="8"/>
  </r>
  <r>
    <d v="2023-08-15T00:00:00"/>
    <x v="4"/>
    <s v="Жодино"/>
    <s v="Ягоды"/>
    <s v="Голубика"/>
    <n v="3205"/>
    <n v="42"/>
    <n v="134.61000000000001"/>
    <x v="8"/>
  </r>
  <r>
    <d v="2023-08-15T00:00:00"/>
    <x v="4"/>
    <s v="Жодино"/>
    <s v="Ягоды"/>
    <s v="Брусника"/>
    <n v="1670"/>
    <n v="88"/>
    <n v="146.96"/>
    <x v="8"/>
  </r>
  <r>
    <d v="2023-08-15T00:00:00"/>
    <x v="2"/>
    <s v="Минск"/>
    <s v="Зелень"/>
    <s v="Лук зеленый"/>
    <n v="705"/>
    <n v="63"/>
    <n v="44.414999999999999"/>
    <x v="8"/>
  </r>
  <r>
    <d v="2023-08-15T00:00:00"/>
    <x v="4"/>
    <s v="Минск"/>
    <s v="Зелень"/>
    <s v="Петрушка"/>
    <n v="640"/>
    <n v="23"/>
    <n v="14.72"/>
    <x v="8"/>
  </r>
  <r>
    <d v="2023-08-15T00:00:00"/>
    <x v="1"/>
    <s v="Минск"/>
    <s v="Ягоды"/>
    <s v="Клубника"/>
    <n v="2460"/>
    <n v="64"/>
    <n v="157.44"/>
    <x v="8"/>
  </r>
  <r>
    <d v="2023-08-15T00:00:00"/>
    <x v="1"/>
    <s v="Столбцы"/>
    <s v="Ягоды"/>
    <s v="Черешня"/>
    <n v="1760"/>
    <n v="81"/>
    <n v="142.56"/>
    <x v="8"/>
  </r>
  <r>
    <s v="15.08.2023 Итог"/>
    <x v="3"/>
    <m/>
    <m/>
    <m/>
    <m/>
    <m/>
    <n v="837.02499999999986"/>
    <x v="8"/>
  </r>
  <r>
    <d v="2023-08-16T00:00:00"/>
    <x v="1"/>
    <s v="Барановичи"/>
    <s v="Зелень"/>
    <s v="Петрушка"/>
    <n v="640"/>
    <n v="36"/>
    <n v="23.04"/>
    <x v="8"/>
  </r>
  <r>
    <d v="2023-08-16T00:00:00"/>
    <x v="1"/>
    <s v="Барановичи"/>
    <s v="Фрукты"/>
    <s v="Яблоки"/>
    <n v="1230"/>
    <n v="11"/>
    <n v="13.53"/>
    <x v="8"/>
  </r>
  <r>
    <d v="2023-08-16T00:00:00"/>
    <x v="0"/>
    <s v="Жодино"/>
    <s v="Фрукты"/>
    <s v="Бананы"/>
    <n v="2400"/>
    <n v="6"/>
    <n v="14.4"/>
    <x v="8"/>
  </r>
  <r>
    <d v="2023-08-16T00:00:00"/>
    <x v="4"/>
    <s v="Минск"/>
    <s v="Ягоды"/>
    <s v="Малина"/>
    <n v="2970"/>
    <n v="43"/>
    <n v="127.71"/>
    <x v="8"/>
  </r>
  <r>
    <d v="2023-08-16T00:00:00"/>
    <x v="4"/>
    <s v="Столбцы"/>
    <s v="Зелень"/>
    <s v="Петрушка"/>
    <n v="640"/>
    <n v="36"/>
    <n v="23.04"/>
    <x v="8"/>
  </r>
  <r>
    <d v="2023-08-16T00:00:00"/>
    <x v="0"/>
    <s v="Столбцы"/>
    <s v="Овощи"/>
    <s v="Капуста"/>
    <n v="460"/>
    <n v="43"/>
    <n v="19.78"/>
    <x v="8"/>
  </r>
  <r>
    <d v="2023-08-16T00:00:00"/>
    <x v="1"/>
    <s v="Фаниполь"/>
    <s v="Ягоды"/>
    <s v="Смородина черная"/>
    <n v="1505"/>
    <n v="90"/>
    <n v="135.44999999999999"/>
    <x v="8"/>
  </r>
  <r>
    <s v="16.08.2023 Итог"/>
    <x v="3"/>
    <m/>
    <m/>
    <m/>
    <m/>
    <m/>
    <n v="356.95"/>
    <x v="8"/>
  </r>
  <r>
    <d v="2023-08-17T00:00:00"/>
    <x v="1"/>
    <s v="Барановичи"/>
    <s v="Зелень"/>
    <s v="Лук зеленый"/>
    <n v="705"/>
    <n v="40"/>
    <n v="28.2"/>
    <x v="8"/>
  </r>
  <r>
    <d v="2023-08-17T00:00:00"/>
    <x v="1"/>
    <s v="Барановичи"/>
    <s v="Овощи"/>
    <s v="Свекла"/>
    <n v="450"/>
    <n v="91"/>
    <n v="40.950000000000003"/>
    <x v="8"/>
  </r>
  <r>
    <d v="2023-08-17T00:00:00"/>
    <x v="2"/>
    <s v="Барановичи"/>
    <s v="Фрукты"/>
    <s v="Сливы"/>
    <n v="930"/>
    <n v="34"/>
    <n v="31.62"/>
    <x v="8"/>
  </r>
  <r>
    <d v="2023-08-17T00:00:00"/>
    <x v="4"/>
    <s v="Борисов"/>
    <s v="Овощи"/>
    <s v="Кабачки"/>
    <n v="325"/>
    <n v="83"/>
    <n v="26.975000000000001"/>
    <x v="8"/>
  </r>
  <r>
    <d v="2023-08-17T00:00:00"/>
    <x v="2"/>
    <s v="Борисов"/>
    <s v="Ягоды"/>
    <s v="Смородина черная"/>
    <n v="1505"/>
    <n v="32"/>
    <n v="48.16"/>
    <x v="8"/>
  </r>
  <r>
    <d v="2023-08-17T00:00:00"/>
    <x v="2"/>
    <s v="Минск"/>
    <s v="Зелень"/>
    <s v="Лук зеленый"/>
    <n v="705"/>
    <n v="8"/>
    <n v="5.64"/>
    <x v="8"/>
  </r>
  <r>
    <d v="2023-08-17T00:00:00"/>
    <x v="2"/>
    <s v="Фаниполь"/>
    <s v="Овощи"/>
    <s v="Кабачки"/>
    <n v="325"/>
    <n v="67"/>
    <n v="21.774999999999999"/>
    <x v="8"/>
  </r>
  <r>
    <d v="2023-08-17T00:00:00"/>
    <x v="4"/>
    <s v="Фаниполь"/>
    <s v="Фрукты"/>
    <s v="Сливы"/>
    <n v="930"/>
    <n v="85"/>
    <n v="79.05"/>
    <x v="8"/>
  </r>
  <r>
    <d v="2023-08-17T00:00:00"/>
    <x v="4"/>
    <s v="Фаниполь"/>
    <s v="Фрукты"/>
    <s v="Яблоки"/>
    <n v="1230"/>
    <n v="100"/>
    <n v="123"/>
    <x v="8"/>
  </r>
  <r>
    <d v="2023-08-17T00:00:00"/>
    <x v="0"/>
    <s v="Фаниполь"/>
    <s v="Ягоды"/>
    <s v="Брусника"/>
    <n v="1670"/>
    <n v="66"/>
    <n v="110.22"/>
    <x v="8"/>
  </r>
  <r>
    <d v="2023-08-17T00:00:00"/>
    <x v="4"/>
    <s v="Фаниполь"/>
    <s v="Ягоды"/>
    <s v="Голубика"/>
    <n v="3205"/>
    <n v="69"/>
    <n v="221.14500000000001"/>
    <x v="8"/>
  </r>
  <r>
    <s v="17.08.2023 Итог"/>
    <x v="3"/>
    <m/>
    <m/>
    <m/>
    <m/>
    <m/>
    <n v="736.73500000000001"/>
    <x v="8"/>
  </r>
  <r>
    <d v="2023-08-18T00:00:00"/>
    <x v="4"/>
    <s v="Барановичи"/>
    <s v="Овощи"/>
    <s v="Кабачки"/>
    <n v="325"/>
    <n v="97"/>
    <n v="31.524999999999999"/>
    <x v="8"/>
  </r>
  <r>
    <d v="2023-08-18T00:00:00"/>
    <x v="4"/>
    <s v="Барановичи"/>
    <s v="Ягоды"/>
    <s v="Черешня"/>
    <n v="1760"/>
    <n v="16"/>
    <n v="28.16"/>
    <x v="8"/>
  </r>
  <r>
    <d v="2023-08-18T00:00:00"/>
    <x v="1"/>
    <s v="Барановичи"/>
    <s v="Ягоды"/>
    <s v="Смородина черная"/>
    <n v="1505"/>
    <n v="92"/>
    <n v="138.46"/>
    <x v="8"/>
  </r>
  <r>
    <d v="2023-08-18T00:00:00"/>
    <x v="0"/>
    <s v="Барановичи"/>
    <s v="Ягоды"/>
    <s v="Голубика"/>
    <n v="3205"/>
    <n v="44"/>
    <n v="141.02000000000001"/>
    <x v="8"/>
  </r>
  <r>
    <d v="2023-08-18T00:00:00"/>
    <x v="4"/>
    <s v="Борисов"/>
    <s v="Фрукты"/>
    <s v="Апельсины"/>
    <n v="2540"/>
    <n v="53"/>
    <n v="134.62"/>
    <x v="8"/>
  </r>
  <r>
    <d v="2023-08-18T00:00:00"/>
    <x v="2"/>
    <s v="Фаниполь"/>
    <s v="Фрукты"/>
    <s v="Апельсины"/>
    <n v="2540"/>
    <n v="43"/>
    <n v="109.22"/>
    <x v="8"/>
  </r>
  <r>
    <s v="18.08.2023 Итог"/>
    <x v="3"/>
    <m/>
    <m/>
    <m/>
    <m/>
    <m/>
    <n v="583.005"/>
    <x v="8"/>
  </r>
  <r>
    <d v="2023-08-19T00:00:00"/>
    <x v="0"/>
    <s v="Борисов"/>
    <s v="Зелень"/>
    <s v="Салат айсберг"/>
    <n v="1380"/>
    <n v="29"/>
    <n v="40.020000000000003"/>
    <x v="8"/>
  </r>
  <r>
    <d v="2023-08-19T00:00:00"/>
    <x v="2"/>
    <s v="Борисов"/>
    <s v="Фрукты"/>
    <s v="Яблоки"/>
    <n v="1230"/>
    <n v="56"/>
    <n v="68.88"/>
    <x v="8"/>
  </r>
  <r>
    <d v="2023-08-19T00:00:00"/>
    <x v="1"/>
    <s v="Борисов"/>
    <s v="Фрукты"/>
    <s v="Яблоки"/>
    <n v="1230"/>
    <n v="100"/>
    <n v="123"/>
    <x v="8"/>
  </r>
  <r>
    <d v="2023-08-19T00:00:00"/>
    <x v="4"/>
    <s v="Жодино"/>
    <s v="Ягоды"/>
    <s v="Малина"/>
    <n v="2970"/>
    <n v="77"/>
    <n v="228.69"/>
    <x v="8"/>
  </r>
  <r>
    <d v="2023-08-19T00:00:00"/>
    <x v="1"/>
    <s v="Минск"/>
    <s v="Зелень"/>
    <s v="Укроп"/>
    <n v="650"/>
    <n v="34"/>
    <n v="22.1"/>
    <x v="8"/>
  </r>
  <r>
    <d v="2023-08-19T00:00:00"/>
    <x v="4"/>
    <s v="Столбцы"/>
    <s v="Зелень"/>
    <s v="Салат римский"/>
    <n v="540"/>
    <n v="56"/>
    <n v="30.24"/>
    <x v="8"/>
  </r>
  <r>
    <d v="2023-08-19T00:00:00"/>
    <x v="0"/>
    <s v="Столбцы"/>
    <s v="Фрукты"/>
    <s v="Бананы"/>
    <n v="2400"/>
    <n v="66"/>
    <n v="158.4"/>
    <x v="8"/>
  </r>
  <r>
    <d v="2023-08-19T00:00:00"/>
    <x v="2"/>
    <s v="Столбцы"/>
    <s v="Ягоды"/>
    <s v="Черешня"/>
    <n v="1760"/>
    <n v="51"/>
    <n v="89.76"/>
    <x v="8"/>
  </r>
  <r>
    <s v="19.08.2023 Итог"/>
    <x v="3"/>
    <m/>
    <m/>
    <m/>
    <m/>
    <m/>
    <n v="761.09"/>
    <x v="8"/>
  </r>
  <r>
    <d v="2023-08-20T00:00:00"/>
    <x v="1"/>
    <s v="Борисов"/>
    <s v="Зелень"/>
    <s v="Петрушка"/>
    <n v="640"/>
    <n v="65"/>
    <n v="41.6"/>
    <x v="8"/>
  </r>
  <r>
    <d v="2023-08-20T00:00:00"/>
    <x v="1"/>
    <s v="Жодино"/>
    <s v="Овощи"/>
    <s v="Морковь"/>
    <n v="715"/>
    <n v="59"/>
    <n v="42.185000000000002"/>
    <x v="8"/>
  </r>
  <r>
    <d v="2023-08-20T00:00:00"/>
    <x v="0"/>
    <s v="Столбцы"/>
    <s v="Зелень"/>
    <s v="Укроп"/>
    <n v="650"/>
    <n v="48"/>
    <n v="31.2"/>
    <x v="8"/>
  </r>
  <r>
    <d v="2023-08-20T00:00:00"/>
    <x v="2"/>
    <s v="Столбцы"/>
    <s v="Ягоды"/>
    <s v="Голубика"/>
    <n v="3205"/>
    <n v="65"/>
    <n v="208.32499999999999"/>
    <x v="8"/>
  </r>
  <r>
    <d v="2023-08-20T00:00:00"/>
    <x v="0"/>
    <s v="Фаниполь"/>
    <s v="Овощи"/>
    <s v="Картофель"/>
    <n v="690"/>
    <n v="45"/>
    <n v="31.05"/>
    <x v="8"/>
  </r>
  <r>
    <d v="2023-08-20T00:00:00"/>
    <x v="1"/>
    <s v="Фаниполь"/>
    <s v="Фрукты"/>
    <s v="Абрикосы"/>
    <n v="1320"/>
    <n v="12"/>
    <n v="15.84"/>
    <x v="8"/>
  </r>
  <r>
    <d v="2023-08-20T00:00:00"/>
    <x v="2"/>
    <s v="Фаниполь"/>
    <s v="Ягоды"/>
    <s v="Смородина черная"/>
    <n v="1505"/>
    <n v="32"/>
    <n v="48.16"/>
    <x v="8"/>
  </r>
  <r>
    <s v="20.08.2023 Итог"/>
    <x v="3"/>
    <m/>
    <m/>
    <m/>
    <m/>
    <m/>
    <n v="418.36"/>
    <x v="8"/>
  </r>
  <r>
    <d v="2023-08-21T00:00:00"/>
    <x v="2"/>
    <s v="Барановичи"/>
    <s v="Зелень"/>
    <s v="Кинза"/>
    <n v="650"/>
    <n v="21"/>
    <n v="13.65"/>
    <x v="8"/>
  </r>
  <r>
    <d v="2023-08-21T00:00:00"/>
    <x v="4"/>
    <s v="Борисов"/>
    <s v="Овощи"/>
    <s v="Морковь"/>
    <n v="715"/>
    <n v="22"/>
    <n v="15.73"/>
    <x v="8"/>
  </r>
  <r>
    <d v="2023-08-21T00:00:00"/>
    <x v="2"/>
    <s v="Борисов"/>
    <s v="Фрукты"/>
    <s v="Апельсины"/>
    <n v="2540"/>
    <n v="40"/>
    <n v="101.6"/>
    <x v="8"/>
  </r>
  <r>
    <d v="2023-08-21T00:00:00"/>
    <x v="0"/>
    <s v="Жодино"/>
    <s v="Ягоды"/>
    <s v="Брусника"/>
    <n v="1670"/>
    <n v="68"/>
    <n v="113.56"/>
    <x v="8"/>
  </r>
  <r>
    <d v="2023-08-21T00:00:00"/>
    <x v="0"/>
    <s v="Минск"/>
    <s v="Ягоды"/>
    <s v="Голубика"/>
    <n v="3205"/>
    <n v="10"/>
    <n v="32.049999999999997"/>
    <x v="8"/>
  </r>
  <r>
    <d v="2023-08-21T00:00:00"/>
    <x v="2"/>
    <s v="Столбцы"/>
    <s v="Зелень"/>
    <s v="Лук зеленый"/>
    <n v="705"/>
    <n v="18"/>
    <n v="12.69"/>
    <x v="8"/>
  </r>
  <r>
    <d v="2023-08-21T00:00:00"/>
    <x v="0"/>
    <s v="Столбцы"/>
    <s v="Ягоды"/>
    <s v="Клубника"/>
    <n v="2460"/>
    <n v="84"/>
    <n v="206.64"/>
    <x v="8"/>
  </r>
  <r>
    <d v="2023-08-21T00:00:00"/>
    <x v="2"/>
    <s v="Фаниполь"/>
    <s v="Зелень"/>
    <s v="Петрушка"/>
    <n v="640"/>
    <n v="9"/>
    <n v="5.76"/>
    <x v="8"/>
  </r>
  <r>
    <s v="21.08.2023 Итог"/>
    <x v="3"/>
    <m/>
    <m/>
    <m/>
    <m/>
    <m/>
    <n v="501.67999999999995"/>
    <x v="8"/>
  </r>
  <r>
    <d v="2023-08-22T00:00:00"/>
    <x v="2"/>
    <s v="Барановичи"/>
    <s v="Зелень"/>
    <s v="Салат римский"/>
    <n v="540"/>
    <n v="60"/>
    <n v="32.4"/>
    <x v="8"/>
  </r>
  <r>
    <d v="2023-08-22T00:00:00"/>
    <x v="0"/>
    <s v="Жодино"/>
    <s v="Зелень"/>
    <s v="Петрушка"/>
    <n v="640"/>
    <n v="62"/>
    <n v="39.68"/>
    <x v="8"/>
  </r>
  <r>
    <d v="2023-08-22T00:00:00"/>
    <x v="2"/>
    <s v="Жодино"/>
    <s v="Зелень"/>
    <s v="Петрушка"/>
    <n v="640"/>
    <n v="76"/>
    <n v="48.64"/>
    <x v="8"/>
  </r>
  <r>
    <d v="2023-08-22T00:00:00"/>
    <x v="2"/>
    <s v="Минск"/>
    <s v="Фрукты"/>
    <s v="Апельсины"/>
    <n v="2540"/>
    <n v="75"/>
    <n v="190.5"/>
    <x v="8"/>
  </r>
  <r>
    <d v="2023-08-22T00:00:00"/>
    <x v="4"/>
    <s v="Фаниполь"/>
    <s v="Овощи"/>
    <s v="Капуста"/>
    <n v="460"/>
    <n v="74"/>
    <n v="34.04"/>
    <x v="8"/>
  </r>
  <r>
    <s v="22.08.2023 Итог"/>
    <x v="3"/>
    <m/>
    <m/>
    <m/>
    <m/>
    <m/>
    <n v="345.26000000000005"/>
    <x v="8"/>
  </r>
  <r>
    <d v="2023-08-23T00:00:00"/>
    <x v="4"/>
    <s v="Борисов"/>
    <s v="Овощи"/>
    <s v="Морковь"/>
    <n v="715"/>
    <n v="6"/>
    <n v="4.29"/>
    <x v="8"/>
  </r>
  <r>
    <d v="2023-08-23T00:00:00"/>
    <x v="2"/>
    <s v="Жодино"/>
    <s v="Зелень"/>
    <s v="Кинза"/>
    <n v="650"/>
    <n v="11"/>
    <n v="7.15"/>
    <x v="8"/>
  </r>
  <r>
    <d v="2023-08-23T00:00:00"/>
    <x v="2"/>
    <s v="Жодино"/>
    <s v="Фрукты"/>
    <s v="Груши"/>
    <n v="1420"/>
    <n v="8"/>
    <n v="11.36"/>
    <x v="8"/>
  </r>
  <r>
    <d v="2023-08-23T00:00:00"/>
    <x v="4"/>
    <s v="Столбцы"/>
    <s v="Ягоды"/>
    <s v="Брусника"/>
    <n v="1670"/>
    <n v="52"/>
    <n v="86.84"/>
    <x v="8"/>
  </r>
  <r>
    <s v="23.08.2023 Итог"/>
    <x v="3"/>
    <m/>
    <m/>
    <m/>
    <m/>
    <m/>
    <n v="109.64"/>
    <x v="8"/>
  </r>
  <r>
    <d v="2023-08-24T00:00:00"/>
    <x v="4"/>
    <s v="Барановичи"/>
    <s v="Овощи"/>
    <s v="Картофель"/>
    <n v="690"/>
    <n v="46"/>
    <n v="31.74"/>
    <x v="8"/>
  </r>
  <r>
    <d v="2023-08-24T00:00:00"/>
    <x v="1"/>
    <s v="Барановичи"/>
    <s v="Ягоды"/>
    <s v="Клубника"/>
    <n v="2460"/>
    <n v="26"/>
    <n v="63.96"/>
    <x v="8"/>
  </r>
  <r>
    <d v="2023-08-24T00:00:00"/>
    <x v="1"/>
    <s v="Борисов"/>
    <s v="Овощи"/>
    <s v="Баклажаны"/>
    <n v="890"/>
    <n v="19"/>
    <n v="16.91"/>
    <x v="8"/>
  </r>
  <r>
    <d v="2023-08-24T00:00:00"/>
    <x v="0"/>
    <s v="Борисов"/>
    <s v="Фрукты"/>
    <s v="Абрикосы"/>
    <n v="1320"/>
    <n v="89"/>
    <n v="117.48"/>
    <x v="8"/>
  </r>
  <r>
    <d v="2023-08-24T00:00:00"/>
    <x v="2"/>
    <s v="Жодино"/>
    <s v="Ягоды"/>
    <s v="Черешня"/>
    <n v="1760"/>
    <n v="30"/>
    <n v="52.8"/>
    <x v="8"/>
  </r>
  <r>
    <d v="2023-08-24T00:00:00"/>
    <x v="4"/>
    <s v="Столбцы"/>
    <s v="Ягоды"/>
    <s v="Брусника"/>
    <n v="1670"/>
    <n v="92"/>
    <n v="153.63999999999999"/>
    <x v="8"/>
  </r>
  <r>
    <d v="2023-08-24T00:00:00"/>
    <x v="1"/>
    <s v="Фаниполь"/>
    <s v="Фрукты"/>
    <s v="Груши"/>
    <n v="1420"/>
    <n v="41"/>
    <n v="58.22"/>
    <x v="8"/>
  </r>
  <r>
    <d v="2023-08-24T00:00:00"/>
    <x v="0"/>
    <s v="Фаниполь"/>
    <s v="Фрукты"/>
    <s v="Сливы"/>
    <n v="930"/>
    <n v="45"/>
    <n v="41.85"/>
    <x v="8"/>
  </r>
  <r>
    <s v="24.08.2023 Итог"/>
    <x v="3"/>
    <m/>
    <m/>
    <m/>
    <m/>
    <m/>
    <n v="536.6"/>
    <x v="8"/>
  </r>
  <r>
    <d v="2023-08-25T00:00:00"/>
    <x v="2"/>
    <s v="Барановичи"/>
    <s v="Ягоды"/>
    <s v="Голубика"/>
    <n v="3205"/>
    <n v="17"/>
    <n v="54.484999999999999"/>
    <x v="8"/>
  </r>
  <r>
    <d v="2023-08-25T00:00:00"/>
    <x v="1"/>
    <s v="Жодино"/>
    <s v="Фрукты"/>
    <s v="Яблоки"/>
    <n v="1230"/>
    <n v="39"/>
    <n v="47.97"/>
    <x v="8"/>
  </r>
  <r>
    <d v="2023-08-25T00:00:00"/>
    <x v="1"/>
    <s v="Жодино"/>
    <s v="Ягоды"/>
    <s v="Брусника"/>
    <n v="1670"/>
    <n v="76"/>
    <n v="126.92"/>
    <x v="8"/>
  </r>
  <r>
    <d v="2023-08-25T00:00:00"/>
    <x v="0"/>
    <s v="Жодино"/>
    <s v="Ягоды"/>
    <s v="Смородина черная"/>
    <n v="1505"/>
    <n v="58"/>
    <n v="87.29"/>
    <x v="8"/>
  </r>
  <r>
    <d v="2023-08-25T00:00:00"/>
    <x v="0"/>
    <s v="Столбцы"/>
    <s v="Фрукты"/>
    <s v="Сливы"/>
    <n v="930"/>
    <n v="60"/>
    <n v="55.8"/>
    <x v="8"/>
  </r>
  <r>
    <d v="2023-08-25T00:00:00"/>
    <x v="2"/>
    <s v="Фаниполь"/>
    <s v="Зелень"/>
    <s v="Салат айсберг"/>
    <n v="1380"/>
    <n v="40"/>
    <n v="55.2"/>
    <x v="8"/>
  </r>
  <r>
    <d v="2023-08-25T00:00:00"/>
    <x v="2"/>
    <s v="Фаниполь"/>
    <s v="Овощи"/>
    <s v="Свекла"/>
    <n v="450"/>
    <n v="67"/>
    <n v="30.15"/>
    <x v="8"/>
  </r>
  <r>
    <d v="2023-08-25T00:00:00"/>
    <x v="0"/>
    <s v="Фаниполь"/>
    <s v="Овощи"/>
    <s v="Баклажаны"/>
    <n v="890"/>
    <n v="30"/>
    <n v="26.7"/>
    <x v="8"/>
  </r>
  <r>
    <d v="2023-08-25T00:00:00"/>
    <x v="2"/>
    <s v="Фаниполь"/>
    <s v="Фрукты"/>
    <s v="Яблоки"/>
    <n v="1230"/>
    <n v="34"/>
    <n v="41.82"/>
    <x v="8"/>
  </r>
  <r>
    <d v="2023-08-25T00:00:00"/>
    <x v="4"/>
    <s v="Фаниполь"/>
    <s v="Ягоды"/>
    <s v="Клубника"/>
    <n v="2460"/>
    <n v="75"/>
    <n v="184.5"/>
    <x v="8"/>
  </r>
  <r>
    <s v="25.08.2023 Итог"/>
    <x v="3"/>
    <m/>
    <m/>
    <m/>
    <m/>
    <m/>
    <n v="710.83500000000004"/>
    <x v="8"/>
  </r>
  <r>
    <d v="2023-08-26T00:00:00"/>
    <x v="4"/>
    <s v="Барановичи"/>
    <s v="Зелень"/>
    <s v="Укроп"/>
    <n v="650"/>
    <n v="36"/>
    <n v="23.4"/>
    <x v="8"/>
  </r>
  <r>
    <d v="2023-08-26T00:00:00"/>
    <x v="2"/>
    <s v="Барановичи"/>
    <s v="Ягоды"/>
    <s v="Клубника"/>
    <n v="2460"/>
    <n v="31"/>
    <n v="76.260000000000005"/>
    <x v="8"/>
  </r>
  <r>
    <d v="2023-08-26T00:00:00"/>
    <x v="0"/>
    <s v="Борисов"/>
    <s v="Ягоды"/>
    <s v="Черешня"/>
    <n v="1760"/>
    <n v="62"/>
    <n v="109.12"/>
    <x v="8"/>
  </r>
  <r>
    <d v="2023-08-26T00:00:00"/>
    <x v="2"/>
    <s v="Жодино"/>
    <s v="Зелень"/>
    <s v="Салат айсберг"/>
    <n v="1380"/>
    <n v="45"/>
    <n v="62.1"/>
    <x v="8"/>
  </r>
  <r>
    <d v="2023-08-26T00:00:00"/>
    <x v="1"/>
    <s v="Жодино"/>
    <s v="Фрукты"/>
    <s v="Сливы"/>
    <n v="930"/>
    <n v="31"/>
    <n v="28.83"/>
    <x v="8"/>
  </r>
  <r>
    <d v="2023-08-26T00:00:00"/>
    <x v="0"/>
    <s v="Жодино"/>
    <s v="Фрукты"/>
    <s v="Бананы"/>
    <n v="2400"/>
    <n v="82"/>
    <n v="196.8"/>
    <x v="8"/>
  </r>
  <r>
    <d v="2023-08-26T00:00:00"/>
    <x v="2"/>
    <s v="Жодино"/>
    <s v="Ягоды"/>
    <s v="Черешня"/>
    <n v="1760"/>
    <n v="39"/>
    <n v="68.64"/>
    <x v="8"/>
  </r>
  <r>
    <d v="2023-08-26T00:00:00"/>
    <x v="1"/>
    <s v="Минск"/>
    <s v="Ягоды"/>
    <s v="Клубника"/>
    <n v="2460"/>
    <n v="57"/>
    <n v="140.22"/>
    <x v="8"/>
  </r>
  <r>
    <d v="2023-08-26T00:00:00"/>
    <x v="4"/>
    <s v="Столбцы"/>
    <s v="Овощи"/>
    <s v="Свекла"/>
    <n v="450"/>
    <n v="20"/>
    <n v="9"/>
    <x v="8"/>
  </r>
  <r>
    <d v="2023-08-26T00:00:00"/>
    <x v="1"/>
    <s v="Столбцы"/>
    <s v="Ягоды"/>
    <s v="Голубика"/>
    <n v="3205"/>
    <n v="87"/>
    <n v="278.83499999999998"/>
    <x v="8"/>
  </r>
  <r>
    <d v="2023-08-26T00:00:00"/>
    <x v="4"/>
    <s v="Фаниполь"/>
    <s v="Овощи"/>
    <s v="Морковь"/>
    <n v="715"/>
    <n v="92"/>
    <n v="65.78"/>
    <x v="8"/>
  </r>
  <r>
    <d v="2023-08-26T00:00:00"/>
    <x v="0"/>
    <s v="Фаниполь"/>
    <s v="Фрукты"/>
    <s v="Сливы"/>
    <n v="930"/>
    <n v="56"/>
    <n v="52.08"/>
    <x v="8"/>
  </r>
  <r>
    <d v="2023-08-26T00:00:00"/>
    <x v="4"/>
    <s v="Фаниполь"/>
    <s v="Ягоды"/>
    <s v="Голубика"/>
    <n v="3205"/>
    <n v="51"/>
    <n v="163.45500000000001"/>
    <x v="8"/>
  </r>
  <r>
    <s v="26.08.2023 Итог"/>
    <x v="3"/>
    <m/>
    <m/>
    <m/>
    <m/>
    <m/>
    <n v="1274.5199999999998"/>
    <x v="8"/>
  </r>
  <r>
    <d v="2023-08-27T00:00:00"/>
    <x v="1"/>
    <s v="Барановичи"/>
    <s v="Ягоды"/>
    <s v="Смородина черная"/>
    <n v="1505"/>
    <n v="80"/>
    <n v="120.4"/>
    <x v="8"/>
  </r>
  <r>
    <d v="2023-08-27T00:00:00"/>
    <x v="2"/>
    <s v="Борисов"/>
    <s v="Зелень"/>
    <s v="Салат римский"/>
    <n v="540"/>
    <n v="62"/>
    <n v="33.479999999999997"/>
    <x v="8"/>
  </r>
  <r>
    <d v="2023-08-27T00:00:00"/>
    <x v="1"/>
    <s v="Минск"/>
    <s v="Овощи"/>
    <s v="Картофель"/>
    <n v="690"/>
    <n v="7"/>
    <n v="4.83"/>
    <x v="8"/>
  </r>
  <r>
    <d v="2023-08-27T00:00:00"/>
    <x v="4"/>
    <s v="Минск"/>
    <s v="Фрукты"/>
    <s v="Бананы"/>
    <n v="2400"/>
    <n v="11"/>
    <n v="26.4"/>
    <x v="8"/>
  </r>
  <r>
    <d v="2023-08-27T00:00:00"/>
    <x v="2"/>
    <s v="Столбцы"/>
    <s v="Ягоды"/>
    <s v="Голубика"/>
    <n v="3205"/>
    <n v="23"/>
    <n v="73.715000000000003"/>
    <x v="8"/>
  </r>
  <r>
    <d v="2023-08-27T00:00:00"/>
    <x v="0"/>
    <s v="Фаниполь"/>
    <s v="Овощи"/>
    <s v="Кабачки"/>
    <n v="325"/>
    <n v="63"/>
    <n v="20.475000000000001"/>
    <x v="8"/>
  </r>
  <r>
    <d v="2023-08-27T00:00:00"/>
    <x v="4"/>
    <s v="Фаниполь"/>
    <s v="Овощи"/>
    <s v="Капуста"/>
    <n v="460"/>
    <n v="80"/>
    <n v="36.799999999999997"/>
    <x v="8"/>
  </r>
  <r>
    <d v="2023-08-27T00:00:00"/>
    <x v="2"/>
    <s v="Фаниполь"/>
    <s v="Фрукты"/>
    <s v="Груши"/>
    <n v="1420"/>
    <n v="22"/>
    <n v="31.24"/>
    <x v="8"/>
  </r>
  <r>
    <d v="2023-08-27T00:00:00"/>
    <x v="4"/>
    <s v="Фаниполь"/>
    <s v="Фрукты"/>
    <s v="Яблоки"/>
    <n v="1230"/>
    <n v="69"/>
    <n v="84.87"/>
    <x v="8"/>
  </r>
  <r>
    <d v="2023-08-27T00:00:00"/>
    <x v="1"/>
    <s v="Фаниполь"/>
    <s v="Ягоды"/>
    <s v="Голубика"/>
    <n v="3205"/>
    <n v="84"/>
    <n v="269.22000000000003"/>
    <x v="8"/>
  </r>
  <r>
    <s v="27.08.2023 Итог"/>
    <x v="3"/>
    <m/>
    <m/>
    <m/>
    <m/>
    <m/>
    <n v="701.43000000000006"/>
    <x v="8"/>
  </r>
  <r>
    <d v="2023-08-28T00:00:00"/>
    <x v="0"/>
    <s v="Барановичи"/>
    <s v="Овощи"/>
    <s v="Свекла"/>
    <n v="450"/>
    <n v="26"/>
    <n v="11.7"/>
    <x v="8"/>
  </r>
  <r>
    <d v="2023-08-28T00:00:00"/>
    <x v="2"/>
    <s v="Борисов"/>
    <s v="Овощи"/>
    <s v="Картофель"/>
    <n v="690"/>
    <n v="92"/>
    <n v="63.48"/>
    <x v="8"/>
  </r>
  <r>
    <d v="2023-08-28T00:00:00"/>
    <x v="4"/>
    <s v="Борисов"/>
    <s v="Ягоды"/>
    <s v="Голубика"/>
    <n v="3205"/>
    <n v="63"/>
    <n v="201.91499999999999"/>
    <x v="8"/>
  </r>
  <r>
    <d v="2023-08-28T00:00:00"/>
    <x v="2"/>
    <s v="Борисов"/>
    <s v="Ягоды"/>
    <s v="Брусника"/>
    <n v="1670"/>
    <n v="19"/>
    <n v="31.73"/>
    <x v="8"/>
  </r>
  <r>
    <d v="2023-08-28T00:00:00"/>
    <x v="1"/>
    <s v="Жодино"/>
    <s v="Зелень"/>
    <s v="Лук зеленый"/>
    <n v="705"/>
    <n v="71"/>
    <n v="50.055"/>
    <x v="8"/>
  </r>
  <r>
    <d v="2023-08-28T00:00:00"/>
    <x v="0"/>
    <s v="Жодино"/>
    <s v="Овощи"/>
    <s v="Кабачки"/>
    <n v="325"/>
    <n v="50"/>
    <n v="16.25"/>
    <x v="8"/>
  </r>
  <r>
    <d v="2023-08-28T00:00:00"/>
    <x v="4"/>
    <s v="Жодино"/>
    <s v="Фрукты"/>
    <s v="Сливы"/>
    <n v="930"/>
    <n v="96"/>
    <n v="89.28"/>
    <x v="8"/>
  </r>
  <r>
    <d v="2023-08-28T00:00:00"/>
    <x v="2"/>
    <s v="Жодино"/>
    <s v="Ягоды"/>
    <s v="Смородина черная"/>
    <n v="1505"/>
    <n v="92"/>
    <n v="138.46"/>
    <x v="8"/>
  </r>
  <r>
    <d v="2023-08-28T00:00:00"/>
    <x v="0"/>
    <s v="Минск"/>
    <s v="Зелень"/>
    <s v="Укроп"/>
    <n v="650"/>
    <n v="47"/>
    <n v="30.55"/>
    <x v="8"/>
  </r>
  <r>
    <d v="2023-08-28T00:00:00"/>
    <x v="0"/>
    <s v="Столбцы"/>
    <s v="Овощи"/>
    <s v="Кабачки"/>
    <n v="325"/>
    <n v="59"/>
    <n v="19.175000000000001"/>
    <x v="8"/>
  </r>
  <r>
    <s v="28.08.2023 Итог"/>
    <x v="3"/>
    <m/>
    <m/>
    <m/>
    <m/>
    <m/>
    <n v="652.59499999999991"/>
    <x v="8"/>
  </r>
  <r>
    <d v="2023-08-29T00:00:00"/>
    <x v="0"/>
    <s v="Барановичи"/>
    <s v="Ягоды"/>
    <s v="Смородина черная"/>
    <n v="1505"/>
    <n v="13"/>
    <n v="19.565000000000001"/>
    <x v="8"/>
  </r>
  <r>
    <d v="2023-08-29T00:00:00"/>
    <x v="2"/>
    <s v="Борисов"/>
    <s v="Зелень"/>
    <s v="Салат айсберг"/>
    <n v="1380"/>
    <n v="28"/>
    <n v="38.64"/>
    <x v="8"/>
  </r>
  <r>
    <d v="2023-08-29T00:00:00"/>
    <x v="2"/>
    <s v="Борисов"/>
    <s v="Фрукты"/>
    <s v="Груши"/>
    <n v="1420"/>
    <n v="58"/>
    <n v="82.36"/>
    <x v="8"/>
  </r>
  <r>
    <d v="2023-08-29T00:00:00"/>
    <x v="0"/>
    <s v="Борисов"/>
    <s v="Ягоды"/>
    <s v="Брусника"/>
    <n v="1670"/>
    <n v="75"/>
    <n v="125.25"/>
    <x v="8"/>
  </r>
  <r>
    <d v="2023-08-29T00:00:00"/>
    <x v="4"/>
    <s v="Борисов"/>
    <s v="Ягоды"/>
    <s v="Черешня"/>
    <n v="1760"/>
    <n v="51"/>
    <n v="89.76"/>
    <x v="8"/>
  </r>
  <r>
    <d v="2023-08-29T00:00:00"/>
    <x v="2"/>
    <s v="Жодино"/>
    <s v="Овощи"/>
    <s v="Капуста"/>
    <n v="460"/>
    <n v="54"/>
    <n v="24.84"/>
    <x v="8"/>
  </r>
  <r>
    <d v="2023-08-29T00:00:00"/>
    <x v="1"/>
    <s v="Жодино"/>
    <s v="Фрукты"/>
    <s v="Бананы"/>
    <n v="2400"/>
    <n v="86"/>
    <n v="206.4"/>
    <x v="8"/>
  </r>
  <r>
    <d v="2023-08-29T00:00:00"/>
    <x v="4"/>
    <s v="Минск"/>
    <s v="Ягоды"/>
    <s v="Черешня"/>
    <n v="1760"/>
    <n v="21"/>
    <n v="36.96"/>
    <x v="8"/>
  </r>
  <r>
    <d v="2023-08-29T00:00:00"/>
    <x v="4"/>
    <s v="Фаниполь"/>
    <s v="Зелень"/>
    <s v="Укроп"/>
    <n v="650"/>
    <n v="70"/>
    <n v="45.5"/>
    <x v="8"/>
  </r>
  <r>
    <d v="2023-08-29T00:00:00"/>
    <x v="1"/>
    <s v="Фаниполь"/>
    <s v="Овощи"/>
    <s v="Кабачки"/>
    <n v="325"/>
    <n v="24"/>
    <n v="7.8"/>
    <x v="8"/>
  </r>
  <r>
    <d v="2023-08-29T00:00:00"/>
    <x v="0"/>
    <s v="Фаниполь"/>
    <s v="Ягоды"/>
    <s v="Черешня"/>
    <n v="1760"/>
    <n v="15"/>
    <n v="26.4"/>
    <x v="8"/>
  </r>
  <r>
    <s v="29.08.2023 Итог"/>
    <x v="3"/>
    <m/>
    <m/>
    <m/>
    <m/>
    <m/>
    <n v="703.47499999999991"/>
    <x v="8"/>
  </r>
  <r>
    <d v="2023-08-30T00:00:00"/>
    <x v="1"/>
    <s v="Барановичи"/>
    <s v="Ягоды"/>
    <s v="Клубника"/>
    <n v="2460"/>
    <n v="78"/>
    <n v="191.88"/>
    <x v="8"/>
  </r>
  <r>
    <d v="2023-08-30T00:00:00"/>
    <x v="4"/>
    <s v="Барановичи"/>
    <s v="Ягоды"/>
    <s v="Голубика"/>
    <n v="3205"/>
    <n v="21"/>
    <n v="67.305000000000007"/>
    <x v="8"/>
  </r>
  <r>
    <d v="2023-08-30T00:00:00"/>
    <x v="2"/>
    <s v="Жодино"/>
    <s v="Овощи"/>
    <s v="Капуста"/>
    <n v="460"/>
    <n v="49"/>
    <n v="22.54"/>
    <x v="8"/>
  </r>
  <r>
    <d v="2023-08-30T00:00:00"/>
    <x v="4"/>
    <s v="Жодино"/>
    <s v="Фрукты"/>
    <s v="Сливы"/>
    <n v="930"/>
    <n v="74"/>
    <n v="68.819999999999993"/>
    <x v="8"/>
  </r>
  <r>
    <d v="2023-08-30T00:00:00"/>
    <x v="2"/>
    <s v="Минск"/>
    <s v="Овощи"/>
    <s v="Морковь"/>
    <n v="715"/>
    <n v="45"/>
    <n v="32.174999999999997"/>
    <x v="8"/>
  </r>
  <r>
    <d v="2023-08-30T00:00:00"/>
    <x v="2"/>
    <s v="Столбцы"/>
    <s v="Овощи"/>
    <s v="Картофель"/>
    <n v="690"/>
    <n v="70"/>
    <n v="48.3"/>
    <x v="8"/>
  </r>
  <r>
    <d v="2023-08-30T00:00:00"/>
    <x v="2"/>
    <s v="Столбцы"/>
    <s v="Ягоды"/>
    <s v="Брусника"/>
    <n v="1670"/>
    <n v="70"/>
    <n v="116.9"/>
    <x v="8"/>
  </r>
  <r>
    <d v="2023-08-30T00:00:00"/>
    <x v="2"/>
    <s v="Столбцы"/>
    <s v="Ягоды"/>
    <s v="Брусника"/>
    <n v="1670"/>
    <n v="14"/>
    <n v="23.38"/>
    <x v="8"/>
  </r>
  <r>
    <d v="2023-08-30T00:00:00"/>
    <x v="2"/>
    <s v="Фаниполь"/>
    <s v="Зелень"/>
    <s v="Укроп"/>
    <n v="650"/>
    <n v="23"/>
    <n v="14.95"/>
    <x v="8"/>
  </r>
  <r>
    <d v="2023-08-30T00:00:00"/>
    <x v="1"/>
    <s v="Фаниполь"/>
    <s v="Фрукты"/>
    <s v="Абрикосы"/>
    <n v="1320"/>
    <n v="60"/>
    <n v="79.2"/>
    <x v="8"/>
  </r>
  <r>
    <s v="30.08.2023 Итог"/>
    <x v="3"/>
    <m/>
    <m/>
    <m/>
    <m/>
    <m/>
    <n v="665.45000000000016"/>
    <x v="8"/>
  </r>
  <r>
    <d v="2023-08-31T00:00:00"/>
    <x v="1"/>
    <s v="Барановичи"/>
    <s v="Зелень"/>
    <s v="Салат римский"/>
    <n v="540"/>
    <n v="69"/>
    <n v="37.26"/>
    <x v="8"/>
  </r>
  <r>
    <d v="2023-08-31T00:00:00"/>
    <x v="2"/>
    <s v="Барановичи"/>
    <s v="Ягоды"/>
    <s v="Брусника"/>
    <n v="1670"/>
    <n v="87"/>
    <n v="145.29"/>
    <x v="8"/>
  </r>
  <r>
    <d v="2023-08-31T00:00:00"/>
    <x v="2"/>
    <s v="Борисов"/>
    <s v="Фрукты"/>
    <s v="Абрикосы"/>
    <n v="1320"/>
    <n v="10"/>
    <n v="13.2"/>
    <x v="8"/>
  </r>
  <r>
    <d v="2023-08-31T00:00:00"/>
    <x v="1"/>
    <s v="Борисов"/>
    <s v="Ягоды"/>
    <s v="Малина"/>
    <n v="2970"/>
    <n v="74"/>
    <n v="219.78"/>
    <x v="8"/>
  </r>
  <r>
    <d v="2023-08-31T00:00:00"/>
    <x v="0"/>
    <s v="Жодино"/>
    <s v="Фрукты"/>
    <s v="Яблоки"/>
    <n v="1230"/>
    <n v="70"/>
    <n v="86.1"/>
    <x v="8"/>
  </r>
  <r>
    <s v="31.08.2023 Итог"/>
    <x v="3"/>
    <m/>
    <m/>
    <m/>
    <m/>
    <m/>
    <n v="501.63"/>
    <x v="1"/>
  </r>
  <r>
    <d v="2023-09-01T00:00:00"/>
    <x v="1"/>
    <s v="Барановичи"/>
    <s v="Зелень"/>
    <s v="Кинза"/>
    <n v="650"/>
    <n v="30"/>
    <n v="19.5"/>
    <x v="9"/>
  </r>
  <r>
    <d v="2023-09-01T00:00:00"/>
    <x v="4"/>
    <s v="Борисов"/>
    <s v="Фрукты"/>
    <s v="Груши"/>
    <n v="1420"/>
    <n v="7"/>
    <n v="9.94"/>
    <x v="9"/>
  </r>
  <r>
    <d v="2023-09-01T00:00:00"/>
    <x v="4"/>
    <s v="Борисов"/>
    <s v="Ягоды"/>
    <s v="Малина"/>
    <n v="2970"/>
    <n v="8"/>
    <n v="23.76"/>
    <x v="9"/>
  </r>
  <r>
    <d v="2023-09-01T00:00:00"/>
    <x v="2"/>
    <s v="Борисов"/>
    <s v="Ягоды"/>
    <s v="Смородина черная"/>
    <n v="1505"/>
    <n v="93"/>
    <n v="139.965"/>
    <x v="9"/>
  </r>
  <r>
    <d v="2023-09-01T00:00:00"/>
    <x v="1"/>
    <s v="Жодино"/>
    <s v="Зелень"/>
    <s v="Кинза"/>
    <n v="650"/>
    <n v="74"/>
    <n v="48.1"/>
    <x v="9"/>
  </r>
  <r>
    <d v="2023-09-01T00:00:00"/>
    <x v="4"/>
    <s v="Столбцы"/>
    <s v="Зелень"/>
    <s v="Кинза"/>
    <n v="650"/>
    <n v="24"/>
    <n v="15.6"/>
    <x v="9"/>
  </r>
  <r>
    <d v="2023-09-01T00:00:00"/>
    <x v="1"/>
    <s v="Фаниполь"/>
    <s v="Зелень"/>
    <s v="Салат римский"/>
    <n v="540"/>
    <n v="28"/>
    <n v="15.12"/>
    <x v="9"/>
  </r>
  <r>
    <d v="2023-09-01T00:00:00"/>
    <x v="0"/>
    <s v="Фаниполь"/>
    <s v="Фрукты"/>
    <s v="Груши"/>
    <n v="1420"/>
    <n v="20"/>
    <n v="28.4"/>
    <x v="9"/>
  </r>
  <r>
    <s v="01.09.2023 Итог"/>
    <x v="3"/>
    <m/>
    <m/>
    <m/>
    <m/>
    <m/>
    <n v="300.38499999999999"/>
    <x v="9"/>
  </r>
  <r>
    <d v="2023-09-02T00:00:00"/>
    <x v="1"/>
    <s v="Барановичи"/>
    <s v="Зелень"/>
    <s v="Петрушка"/>
    <n v="640"/>
    <n v="52"/>
    <n v="33.28"/>
    <x v="9"/>
  </r>
  <r>
    <d v="2023-09-02T00:00:00"/>
    <x v="2"/>
    <s v="Барановичи"/>
    <s v="Ягоды"/>
    <s v="Смородина черная"/>
    <n v="1505"/>
    <n v="76"/>
    <n v="114.38"/>
    <x v="9"/>
  </r>
  <r>
    <d v="2023-09-02T00:00:00"/>
    <x v="4"/>
    <s v="Борисов"/>
    <s v="Овощи"/>
    <s v="Свекла"/>
    <n v="450"/>
    <n v="71"/>
    <n v="31.95"/>
    <x v="9"/>
  </r>
  <r>
    <d v="2023-09-02T00:00:00"/>
    <x v="1"/>
    <s v="Борисов"/>
    <s v="Ягоды"/>
    <s v="Смородина черная"/>
    <n v="1505"/>
    <n v="8"/>
    <n v="12.04"/>
    <x v="9"/>
  </r>
  <r>
    <d v="2023-09-02T00:00:00"/>
    <x v="4"/>
    <s v="Минск"/>
    <s v="Овощи"/>
    <s v="Свекла"/>
    <n v="450"/>
    <n v="51"/>
    <n v="22.95"/>
    <x v="9"/>
  </r>
  <r>
    <d v="2023-09-02T00:00:00"/>
    <x v="2"/>
    <s v="Столбцы"/>
    <s v="Овощи"/>
    <s v="Кабачки"/>
    <n v="325"/>
    <n v="19"/>
    <n v="6.1749999999999998"/>
    <x v="9"/>
  </r>
  <r>
    <d v="2023-09-02T00:00:00"/>
    <x v="4"/>
    <s v="Фаниполь"/>
    <s v="Овощи"/>
    <s v="Капуста"/>
    <n v="460"/>
    <n v="75"/>
    <n v="34.5"/>
    <x v="9"/>
  </r>
  <r>
    <d v="2023-09-02T00:00:00"/>
    <x v="0"/>
    <s v="Фаниполь"/>
    <s v="Фрукты"/>
    <s v="Бананы"/>
    <n v="2400"/>
    <n v="68"/>
    <n v="163.19999999999999"/>
    <x v="9"/>
  </r>
  <r>
    <s v="02.09.2023 Итог"/>
    <x v="3"/>
    <m/>
    <m/>
    <m/>
    <m/>
    <m/>
    <n v="418.47499999999997"/>
    <x v="9"/>
  </r>
  <r>
    <d v="2023-09-03T00:00:00"/>
    <x v="4"/>
    <s v="Борисов"/>
    <s v="Ягоды"/>
    <s v="Черешня"/>
    <n v="1760"/>
    <n v="57"/>
    <n v="100.32"/>
    <x v="9"/>
  </r>
  <r>
    <d v="2023-09-03T00:00:00"/>
    <x v="0"/>
    <s v="Минск"/>
    <s v="Овощи"/>
    <s v="Свекла"/>
    <n v="450"/>
    <n v="37"/>
    <n v="16.649999999999999"/>
    <x v="9"/>
  </r>
  <r>
    <d v="2023-09-03T00:00:00"/>
    <x v="1"/>
    <s v="Минск"/>
    <s v="Овощи"/>
    <s v="Капуста"/>
    <n v="460"/>
    <n v="39"/>
    <n v="17.940000000000001"/>
    <x v="9"/>
  </r>
  <r>
    <d v="2023-09-03T00:00:00"/>
    <x v="0"/>
    <s v="Минск"/>
    <s v="Фрукты"/>
    <s v="Сливы"/>
    <n v="930"/>
    <n v="35"/>
    <n v="32.549999999999997"/>
    <x v="9"/>
  </r>
  <r>
    <d v="2023-09-03T00:00:00"/>
    <x v="2"/>
    <s v="Минск"/>
    <s v="Фрукты"/>
    <s v="Апельсины"/>
    <n v="2540"/>
    <n v="49"/>
    <n v="124.46"/>
    <x v="9"/>
  </r>
  <r>
    <d v="2023-09-03T00:00:00"/>
    <x v="2"/>
    <s v="Столбцы"/>
    <s v="Овощи"/>
    <s v="Баклажаны"/>
    <n v="890"/>
    <n v="10"/>
    <n v="8.9"/>
    <x v="9"/>
  </r>
  <r>
    <d v="2023-09-03T00:00:00"/>
    <x v="0"/>
    <s v="Фаниполь"/>
    <s v="Ягоды"/>
    <s v="Голубика"/>
    <n v="3205"/>
    <n v="32"/>
    <n v="102.56"/>
    <x v="9"/>
  </r>
  <r>
    <s v="03.09.2023 Итог"/>
    <x v="3"/>
    <m/>
    <m/>
    <m/>
    <m/>
    <m/>
    <n v="403.37999999999994"/>
    <x v="9"/>
  </r>
  <r>
    <d v="2023-09-04T00:00:00"/>
    <x v="4"/>
    <s v="Барановичи"/>
    <s v="Зелень"/>
    <s v="Салат римский"/>
    <n v="540"/>
    <n v="69"/>
    <n v="37.26"/>
    <x v="9"/>
  </r>
  <r>
    <d v="2023-09-04T00:00:00"/>
    <x v="2"/>
    <s v="Барановичи"/>
    <s v="Овощи"/>
    <s v="Кабачки"/>
    <n v="325"/>
    <n v="40"/>
    <n v="13"/>
    <x v="9"/>
  </r>
  <r>
    <d v="2023-09-04T00:00:00"/>
    <x v="1"/>
    <s v="Барановичи"/>
    <s v="Ягоды"/>
    <s v="Малина"/>
    <n v="2970"/>
    <n v="46"/>
    <n v="136.62"/>
    <x v="9"/>
  </r>
  <r>
    <d v="2023-09-04T00:00:00"/>
    <x v="2"/>
    <s v="Барановичи"/>
    <s v="Ягоды"/>
    <s v="Черешня"/>
    <n v="1760"/>
    <n v="98"/>
    <n v="172.48"/>
    <x v="9"/>
  </r>
  <r>
    <d v="2023-09-04T00:00:00"/>
    <x v="1"/>
    <s v="Борисов"/>
    <s v="Овощи"/>
    <s v="Баклажаны"/>
    <n v="890"/>
    <n v="53"/>
    <n v="47.17"/>
    <x v="9"/>
  </r>
  <r>
    <d v="2023-09-04T00:00:00"/>
    <x v="2"/>
    <s v="Жодино"/>
    <s v="Зелень"/>
    <s v="Петрушка"/>
    <n v="640"/>
    <n v="24"/>
    <n v="15.36"/>
    <x v="9"/>
  </r>
  <r>
    <d v="2023-09-04T00:00:00"/>
    <x v="2"/>
    <s v="Минск"/>
    <s v="Зелень"/>
    <s v="Салат римский"/>
    <n v="540"/>
    <n v="88"/>
    <n v="47.52"/>
    <x v="9"/>
  </r>
  <r>
    <d v="2023-09-04T00:00:00"/>
    <x v="2"/>
    <s v="Минск"/>
    <s v="Ягоды"/>
    <s v="Голубика"/>
    <n v="3205"/>
    <n v="11"/>
    <n v="35.255000000000003"/>
    <x v="9"/>
  </r>
  <r>
    <d v="2023-09-04T00:00:00"/>
    <x v="1"/>
    <s v="Столбцы"/>
    <s v="Зелень"/>
    <s v="Петрушка"/>
    <n v="640"/>
    <n v="81"/>
    <n v="51.84"/>
    <x v="9"/>
  </r>
  <r>
    <d v="2023-09-04T00:00:00"/>
    <x v="4"/>
    <s v="Столбцы"/>
    <s v="Ягоды"/>
    <s v="Смородина черная"/>
    <n v="1505"/>
    <n v="41"/>
    <n v="61.704999999999998"/>
    <x v="9"/>
  </r>
  <r>
    <d v="2023-09-04T00:00:00"/>
    <x v="1"/>
    <s v="Фаниполь"/>
    <s v="Фрукты"/>
    <s v="Груши"/>
    <n v="1420"/>
    <n v="74"/>
    <n v="105.08"/>
    <x v="9"/>
  </r>
  <r>
    <s v="04.09.2023 Итог"/>
    <x v="3"/>
    <m/>
    <m/>
    <m/>
    <m/>
    <m/>
    <n v="723.29000000000008"/>
    <x v="9"/>
  </r>
  <r>
    <d v="2023-09-05T00:00:00"/>
    <x v="4"/>
    <s v="Барановичи"/>
    <s v="Зелень"/>
    <s v="Салат айсберг"/>
    <n v="1380"/>
    <n v="93"/>
    <n v="128.34"/>
    <x v="9"/>
  </r>
  <r>
    <d v="2023-09-05T00:00:00"/>
    <x v="1"/>
    <s v="Барановичи"/>
    <s v="Овощи"/>
    <s v="Кабачки"/>
    <n v="325"/>
    <n v="58"/>
    <n v="18.850000000000001"/>
    <x v="9"/>
  </r>
  <r>
    <d v="2023-09-05T00:00:00"/>
    <x v="1"/>
    <s v="Барановичи"/>
    <s v="Фрукты"/>
    <s v="Апельсины"/>
    <n v="2540"/>
    <n v="21"/>
    <n v="53.34"/>
    <x v="9"/>
  </r>
  <r>
    <d v="2023-09-05T00:00:00"/>
    <x v="1"/>
    <s v="Жодино"/>
    <s v="Ягоды"/>
    <s v="Малина"/>
    <n v="2970"/>
    <n v="36"/>
    <n v="106.92"/>
    <x v="9"/>
  </r>
  <r>
    <d v="2023-09-05T00:00:00"/>
    <x v="1"/>
    <s v="Жодино"/>
    <s v="Ягоды"/>
    <s v="Брусника"/>
    <n v="1670"/>
    <n v="53"/>
    <n v="88.51"/>
    <x v="9"/>
  </r>
  <r>
    <d v="2023-09-05T00:00:00"/>
    <x v="4"/>
    <s v="Минск"/>
    <s v="Овощи"/>
    <s v="Баклажаны"/>
    <n v="890"/>
    <n v="79"/>
    <n v="70.31"/>
    <x v="9"/>
  </r>
  <r>
    <d v="2023-09-05T00:00:00"/>
    <x v="2"/>
    <s v="Столбцы"/>
    <s v="Зелень"/>
    <s v="Салат римский"/>
    <n v="540"/>
    <n v="43"/>
    <n v="23.22"/>
    <x v="9"/>
  </r>
  <r>
    <d v="2023-09-05T00:00:00"/>
    <x v="1"/>
    <s v="Столбцы"/>
    <s v="Зелень"/>
    <s v="Салат римский"/>
    <n v="540"/>
    <n v="39"/>
    <n v="21.06"/>
    <x v="9"/>
  </r>
  <r>
    <d v="2023-09-05T00:00:00"/>
    <x v="4"/>
    <s v="Фаниполь"/>
    <s v="Ягоды"/>
    <s v="Черешня"/>
    <n v="1760"/>
    <n v="18"/>
    <n v="31.68"/>
    <x v="9"/>
  </r>
  <r>
    <s v="05.09.2023 Итог"/>
    <x v="3"/>
    <m/>
    <m/>
    <m/>
    <m/>
    <m/>
    <n v="542.23"/>
    <x v="9"/>
  </r>
  <r>
    <d v="2023-09-06T00:00:00"/>
    <x v="1"/>
    <s v="Борисов"/>
    <s v="Ягоды"/>
    <s v="Черешня"/>
    <n v="1760"/>
    <n v="99"/>
    <n v="174.24"/>
    <x v="9"/>
  </r>
  <r>
    <d v="2023-09-06T00:00:00"/>
    <x v="0"/>
    <s v="Жодино"/>
    <s v="Овощи"/>
    <s v="Картофель"/>
    <n v="690"/>
    <n v="6"/>
    <n v="4.1399999999999997"/>
    <x v="9"/>
  </r>
  <r>
    <d v="2023-09-06T00:00:00"/>
    <x v="4"/>
    <s v="Жодино"/>
    <s v="Овощи"/>
    <s v="Баклажаны"/>
    <n v="890"/>
    <n v="80"/>
    <n v="71.2"/>
    <x v="9"/>
  </r>
  <r>
    <d v="2023-09-06T00:00:00"/>
    <x v="1"/>
    <s v="Жодино"/>
    <s v="Фрукты"/>
    <s v="Груши"/>
    <n v="1420"/>
    <n v="12"/>
    <n v="17.04"/>
    <x v="9"/>
  </r>
  <r>
    <d v="2023-09-06T00:00:00"/>
    <x v="2"/>
    <s v="Жодино"/>
    <s v="Ягоды"/>
    <s v="Брусника"/>
    <n v="1670"/>
    <n v="94"/>
    <n v="156.97999999999999"/>
    <x v="9"/>
  </r>
  <r>
    <s v="06.09.2023 Итог"/>
    <x v="3"/>
    <m/>
    <m/>
    <m/>
    <m/>
    <m/>
    <n v="423.6"/>
    <x v="9"/>
  </r>
  <r>
    <d v="2023-09-07T00:00:00"/>
    <x v="0"/>
    <s v="Барановичи"/>
    <s v="Ягоды"/>
    <s v="Клубника"/>
    <n v="2460"/>
    <n v="52"/>
    <n v="127.92"/>
    <x v="9"/>
  </r>
  <r>
    <d v="2023-09-07T00:00:00"/>
    <x v="1"/>
    <s v="Борисов"/>
    <s v="Зелень"/>
    <s v="Салат айсберг"/>
    <n v="1380"/>
    <n v="14"/>
    <n v="19.32"/>
    <x v="9"/>
  </r>
  <r>
    <d v="2023-09-07T00:00:00"/>
    <x v="0"/>
    <s v="Борисов"/>
    <s v="Зелень"/>
    <s v="Петрушка"/>
    <n v="640"/>
    <n v="54"/>
    <n v="34.56"/>
    <x v="9"/>
  </r>
  <r>
    <d v="2023-09-07T00:00:00"/>
    <x v="4"/>
    <s v="Борисов"/>
    <s v="Ягоды"/>
    <s v="Клубника"/>
    <n v="2460"/>
    <n v="73"/>
    <n v="179.58"/>
    <x v="9"/>
  </r>
  <r>
    <d v="2023-09-07T00:00:00"/>
    <x v="1"/>
    <s v="Жодино"/>
    <s v="Овощи"/>
    <s v="Капуста"/>
    <n v="460"/>
    <n v="59"/>
    <n v="27.14"/>
    <x v="9"/>
  </r>
  <r>
    <d v="2023-09-07T00:00:00"/>
    <x v="4"/>
    <s v="Столбцы"/>
    <s v="Овощи"/>
    <s v="Картофель"/>
    <n v="690"/>
    <n v="28"/>
    <n v="19.32"/>
    <x v="9"/>
  </r>
  <r>
    <d v="2023-09-07T00:00:00"/>
    <x v="1"/>
    <s v="Столбцы"/>
    <s v="Ягоды"/>
    <s v="Смородина черная"/>
    <n v="1505"/>
    <n v="76"/>
    <n v="114.38"/>
    <x v="9"/>
  </r>
  <r>
    <d v="2023-09-07T00:00:00"/>
    <x v="4"/>
    <s v="Фаниполь"/>
    <s v="Ягоды"/>
    <s v="Клубника"/>
    <n v="2460"/>
    <n v="78"/>
    <n v="191.88"/>
    <x v="9"/>
  </r>
  <r>
    <s v="07.09.2023 Итог"/>
    <x v="3"/>
    <m/>
    <m/>
    <m/>
    <m/>
    <m/>
    <n v="714.1"/>
    <x v="9"/>
  </r>
  <r>
    <d v="2023-09-08T00:00:00"/>
    <x v="1"/>
    <s v="Барановичи"/>
    <s v="Фрукты"/>
    <s v="Апельсины"/>
    <n v="2540"/>
    <n v="82"/>
    <n v="208.28"/>
    <x v="9"/>
  </r>
  <r>
    <d v="2023-09-08T00:00:00"/>
    <x v="1"/>
    <s v="Борисов"/>
    <s v="Фрукты"/>
    <s v="Сливы"/>
    <n v="930"/>
    <n v="34"/>
    <n v="31.62"/>
    <x v="9"/>
  </r>
  <r>
    <d v="2023-09-08T00:00:00"/>
    <x v="4"/>
    <s v="Жодино"/>
    <s v="Зелень"/>
    <s v="Укроп"/>
    <n v="650"/>
    <n v="32"/>
    <n v="20.8"/>
    <x v="9"/>
  </r>
  <r>
    <s v="08.09.2023 Итог"/>
    <x v="3"/>
    <m/>
    <m/>
    <m/>
    <m/>
    <m/>
    <n v="260.7"/>
    <x v="9"/>
  </r>
  <r>
    <d v="2023-09-09T00:00:00"/>
    <x v="2"/>
    <s v="Барановичи"/>
    <s v="Зелень"/>
    <s v="Лук зеленый"/>
    <n v="705"/>
    <n v="41"/>
    <n v="28.905000000000001"/>
    <x v="9"/>
  </r>
  <r>
    <d v="2023-09-09T00:00:00"/>
    <x v="0"/>
    <s v="Барановичи"/>
    <s v="Овощи"/>
    <s v="Капуста"/>
    <n v="460"/>
    <n v="69"/>
    <n v="31.74"/>
    <x v="9"/>
  </r>
  <r>
    <d v="2023-09-09T00:00:00"/>
    <x v="2"/>
    <s v="Борисов"/>
    <s v="Овощи"/>
    <s v="Капуста"/>
    <n v="460"/>
    <n v="50"/>
    <n v="23"/>
    <x v="9"/>
  </r>
  <r>
    <d v="2023-09-09T00:00:00"/>
    <x v="0"/>
    <s v="Борисов"/>
    <s v="Овощи"/>
    <s v="Свекла"/>
    <n v="450"/>
    <n v="10"/>
    <n v="4.5"/>
    <x v="9"/>
  </r>
  <r>
    <d v="2023-09-09T00:00:00"/>
    <x v="4"/>
    <s v="Борисов"/>
    <s v="Фрукты"/>
    <s v="Груши"/>
    <n v="1420"/>
    <n v="43"/>
    <n v="61.06"/>
    <x v="9"/>
  </r>
  <r>
    <d v="2023-09-09T00:00:00"/>
    <x v="4"/>
    <s v="Жодино"/>
    <s v="Зелень"/>
    <s v="Кинза"/>
    <n v="650"/>
    <n v="10"/>
    <n v="6.5"/>
    <x v="9"/>
  </r>
  <r>
    <d v="2023-09-09T00:00:00"/>
    <x v="1"/>
    <s v="Жодино"/>
    <s v="Овощи"/>
    <s v="Картофель"/>
    <n v="690"/>
    <n v="94"/>
    <n v="64.86"/>
    <x v="9"/>
  </r>
  <r>
    <d v="2023-09-09T00:00:00"/>
    <x v="0"/>
    <s v="Минск"/>
    <s v="Ягоды"/>
    <s v="Черешня"/>
    <n v="1760"/>
    <n v="86"/>
    <n v="151.36000000000001"/>
    <x v="9"/>
  </r>
  <r>
    <d v="2023-09-09T00:00:00"/>
    <x v="4"/>
    <s v="Фаниполь"/>
    <s v="Зелень"/>
    <s v="Петрушка"/>
    <n v="640"/>
    <n v="46"/>
    <n v="29.44"/>
    <x v="9"/>
  </r>
  <r>
    <d v="2023-09-09T00:00:00"/>
    <x v="0"/>
    <s v="Фаниполь"/>
    <s v="Зелень"/>
    <s v="Лук зеленый"/>
    <n v="705"/>
    <n v="84"/>
    <n v="59.22"/>
    <x v="9"/>
  </r>
  <r>
    <d v="2023-09-09T00:00:00"/>
    <x v="2"/>
    <s v="Фаниполь"/>
    <s v="Овощи"/>
    <s v="Морковь"/>
    <n v="715"/>
    <n v="14"/>
    <n v="10.01"/>
    <x v="9"/>
  </r>
  <r>
    <s v="09.09.2023 Итог"/>
    <x v="3"/>
    <m/>
    <m/>
    <m/>
    <m/>
    <m/>
    <n v="470.59500000000003"/>
    <x v="9"/>
  </r>
  <r>
    <d v="2023-09-10T00:00:00"/>
    <x v="4"/>
    <s v="Барановичи"/>
    <s v="Фрукты"/>
    <s v="Бананы"/>
    <n v="2400"/>
    <n v="12"/>
    <n v="28.8"/>
    <x v="9"/>
  </r>
  <r>
    <d v="2023-09-10T00:00:00"/>
    <x v="4"/>
    <s v="Борисов"/>
    <s v="Фрукты"/>
    <s v="Бананы"/>
    <n v="2400"/>
    <n v="51"/>
    <n v="122.4"/>
    <x v="9"/>
  </r>
  <r>
    <d v="2023-09-10T00:00:00"/>
    <x v="2"/>
    <s v="Минск"/>
    <s v="Фрукты"/>
    <s v="Абрикосы"/>
    <n v="1320"/>
    <n v="21"/>
    <n v="27.72"/>
    <x v="9"/>
  </r>
  <r>
    <d v="2023-09-10T00:00:00"/>
    <x v="2"/>
    <s v="Минск"/>
    <s v="Ягоды"/>
    <s v="Малина"/>
    <n v="2970"/>
    <n v="45"/>
    <n v="133.65"/>
    <x v="9"/>
  </r>
  <r>
    <d v="2023-09-10T00:00:00"/>
    <x v="2"/>
    <s v="Столбцы"/>
    <s v="Овощи"/>
    <s v="Морковь"/>
    <n v="715"/>
    <n v="82"/>
    <n v="58.63"/>
    <x v="9"/>
  </r>
  <r>
    <s v="10.09.2023 Итог"/>
    <x v="3"/>
    <m/>
    <m/>
    <m/>
    <m/>
    <m/>
    <n v="371.20000000000005"/>
    <x v="9"/>
  </r>
  <r>
    <d v="2023-09-11T00:00:00"/>
    <x v="2"/>
    <s v="Жодино"/>
    <s v="Овощи"/>
    <s v="Свекла"/>
    <n v="450"/>
    <n v="92"/>
    <n v="41.4"/>
    <x v="9"/>
  </r>
  <r>
    <d v="2023-09-11T00:00:00"/>
    <x v="1"/>
    <s v="Минск"/>
    <s v="Зелень"/>
    <s v="Кинза"/>
    <n v="650"/>
    <n v="7"/>
    <n v="4.55"/>
    <x v="9"/>
  </r>
  <r>
    <d v="2023-09-11T00:00:00"/>
    <x v="4"/>
    <s v="Минск"/>
    <s v="Овощи"/>
    <s v="Капуста"/>
    <n v="460"/>
    <n v="78"/>
    <n v="35.880000000000003"/>
    <x v="9"/>
  </r>
  <r>
    <d v="2023-09-11T00:00:00"/>
    <x v="0"/>
    <s v="Минск"/>
    <s v="Фрукты"/>
    <s v="Яблоки"/>
    <n v="1230"/>
    <n v="72"/>
    <n v="88.56"/>
    <x v="9"/>
  </r>
  <r>
    <d v="2023-09-11T00:00:00"/>
    <x v="4"/>
    <s v="Фаниполь"/>
    <s v="Ягоды"/>
    <s v="Голубика"/>
    <n v="3205"/>
    <n v="89"/>
    <n v="285.245"/>
    <x v="9"/>
  </r>
  <r>
    <s v="11.09.2023 Итог"/>
    <x v="3"/>
    <m/>
    <m/>
    <m/>
    <m/>
    <m/>
    <n v="455.63499999999999"/>
    <x v="9"/>
  </r>
  <r>
    <d v="2023-09-12T00:00:00"/>
    <x v="0"/>
    <s v="Барановичи"/>
    <s v="Фрукты"/>
    <s v="Апельсины"/>
    <n v="2540"/>
    <n v="37"/>
    <n v="93.98"/>
    <x v="9"/>
  </r>
  <r>
    <d v="2023-09-12T00:00:00"/>
    <x v="0"/>
    <s v="Барановичи"/>
    <s v="Ягоды"/>
    <s v="Клубника"/>
    <n v="2460"/>
    <n v="48"/>
    <n v="118.08"/>
    <x v="9"/>
  </r>
  <r>
    <d v="2023-09-12T00:00:00"/>
    <x v="4"/>
    <s v="Минск"/>
    <s v="Овощи"/>
    <s v="Свекла"/>
    <n v="450"/>
    <n v="55"/>
    <n v="24.75"/>
    <x v="9"/>
  </r>
  <r>
    <d v="2023-09-12T00:00:00"/>
    <x v="4"/>
    <s v="Минск"/>
    <s v="Ягоды"/>
    <s v="Клубника"/>
    <n v="2460"/>
    <n v="50"/>
    <n v="123"/>
    <x v="9"/>
  </r>
  <r>
    <d v="2023-09-12T00:00:00"/>
    <x v="2"/>
    <s v="Столбцы"/>
    <s v="Овощи"/>
    <s v="Баклажаны"/>
    <n v="890"/>
    <n v="9"/>
    <n v="8.01"/>
    <x v="9"/>
  </r>
  <r>
    <d v="2023-09-12T00:00:00"/>
    <x v="4"/>
    <s v="Фаниполь"/>
    <s v="Зелень"/>
    <s v="Лук зеленый"/>
    <n v="705"/>
    <n v="21"/>
    <n v="14.805"/>
    <x v="9"/>
  </r>
  <r>
    <d v="2023-09-12T00:00:00"/>
    <x v="1"/>
    <s v="Фаниполь"/>
    <s v="Овощи"/>
    <s v="Капуста"/>
    <n v="460"/>
    <n v="7"/>
    <n v="3.22"/>
    <x v="9"/>
  </r>
  <r>
    <d v="2023-09-12T00:00:00"/>
    <x v="2"/>
    <s v="Фаниполь"/>
    <s v="Овощи"/>
    <s v="Кабачки"/>
    <n v="325"/>
    <n v="76"/>
    <n v="24.7"/>
    <x v="9"/>
  </r>
  <r>
    <d v="2023-09-12T00:00:00"/>
    <x v="4"/>
    <s v="Фаниполь"/>
    <s v="Фрукты"/>
    <s v="Абрикосы"/>
    <n v="1320"/>
    <n v="60"/>
    <n v="79.2"/>
    <x v="9"/>
  </r>
  <r>
    <s v="12.09.2023 Итог"/>
    <x v="3"/>
    <m/>
    <m/>
    <m/>
    <m/>
    <m/>
    <n v="489.745"/>
    <x v="9"/>
  </r>
  <r>
    <d v="2023-09-13T00:00:00"/>
    <x v="1"/>
    <s v="Барановичи"/>
    <s v="Зелень"/>
    <s v="Лук зеленый"/>
    <n v="705"/>
    <n v="35"/>
    <n v="24.675000000000001"/>
    <x v="9"/>
  </r>
  <r>
    <d v="2023-09-13T00:00:00"/>
    <x v="4"/>
    <s v="Барановичи"/>
    <s v="Фрукты"/>
    <s v="Сливы"/>
    <n v="930"/>
    <n v="93"/>
    <n v="86.49"/>
    <x v="9"/>
  </r>
  <r>
    <d v="2023-09-13T00:00:00"/>
    <x v="4"/>
    <s v="Борисов"/>
    <s v="Ягоды"/>
    <s v="Смородина черная"/>
    <n v="1505"/>
    <n v="74"/>
    <n v="111.37"/>
    <x v="9"/>
  </r>
  <r>
    <d v="2023-09-13T00:00:00"/>
    <x v="2"/>
    <s v="Жодино"/>
    <s v="Овощи"/>
    <s v="Баклажаны"/>
    <n v="890"/>
    <n v="46"/>
    <n v="40.94"/>
    <x v="9"/>
  </r>
  <r>
    <d v="2023-09-13T00:00:00"/>
    <x v="2"/>
    <s v="Жодино"/>
    <s v="Ягоды"/>
    <s v="Смородина черная"/>
    <n v="1505"/>
    <n v="76"/>
    <n v="114.38"/>
    <x v="9"/>
  </r>
  <r>
    <d v="2023-09-13T00:00:00"/>
    <x v="0"/>
    <s v="Жодино"/>
    <s v="Ягоды"/>
    <s v="Брусника"/>
    <n v="1670"/>
    <n v="83"/>
    <n v="138.61000000000001"/>
    <x v="9"/>
  </r>
  <r>
    <d v="2023-09-13T00:00:00"/>
    <x v="1"/>
    <s v="Минск"/>
    <s v="Фрукты"/>
    <s v="Груши"/>
    <n v="1420"/>
    <n v="11"/>
    <n v="15.62"/>
    <x v="9"/>
  </r>
  <r>
    <d v="2023-09-13T00:00:00"/>
    <x v="4"/>
    <s v="Минск"/>
    <s v="Фрукты"/>
    <s v="Сливы"/>
    <n v="930"/>
    <n v="47"/>
    <n v="43.71"/>
    <x v="9"/>
  </r>
  <r>
    <d v="2023-09-13T00:00:00"/>
    <x v="4"/>
    <s v="Минск"/>
    <s v="Фрукты"/>
    <s v="Яблоки"/>
    <n v="1230"/>
    <n v="32"/>
    <n v="39.36"/>
    <x v="9"/>
  </r>
  <r>
    <d v="2023-09-13T00:00:00"/>
    <x v="0"/>
    <s v="Минск"/>
    <s v="Ягоды"/>
    <s v="Черешня"/>
    <n v="1760"/>
    <n v="33"/>
    <n v="58.08"/>
    <x v="9"/>
  </r>
  <r>
    <s v="13.09.2023 Итог"/>
    <x v="3"/>
    <m/>
    <m/>
    <m/>
    <m/>
    <m/>
    <n v="673.23500000000013"/>
    <x v="9"/>
  </r>
  <r>
    <d v="2023-09-14T00:00:00"/>
    <x v="0"/>
    <s v="Борисов"/>
    <s v="Овощи"/>
    <s v="Свекла"/>
    <n v="450"/>
    <n v="97"/>
    <n v="43.65"/>
    <x v="9"/>
  </r>
  <r>
    <d v="2023-09-14T00:00:00"/>
    <x v="1"/>
    <s v="Борисов"/>
    <s v="Овощи"/>
    <s v="Капуста"/>
    <n v="460"/>
    <n v="88"/>
    <n v="40.479999999999997"/>
    <x v="9"/>
  </r>
  <r>
    <d v="2023-09-14T00:00:00"/>
    <x v="2"/>
    <s v="Борисов"/>
    <s v="Фрукты"/>
    <s v="Яблоки"/>
    <n v="1230"/>
    <n v="97"/>
    <n v="119.31"/>
    <x v="9"/>
  </r>
  <r>
    <d v="2023-09-14T00:00:00"/>
    <x v="1"/>
    <s v="Борисов"/>
    <s v="Фрукты"/>
    <s v="Абрикосы"/>
    <n v="1320"/>
    <n v="74"/>
    <n v="97.68"/>
    <x v="9"/>
  </r>
  <r>
    <d v="2023-09-14T00:00:00"/>
    <x v="0"/>
    <s v="Жодино"/>
    <s v="Зелень"/>
    <s v="Кинза"/>
    <n v="650"/>
    <n v="54"/>
    <n v="35.1"/>
    <x v="9"/>
  </r>
  <r>
    <d v="2023-09-14T00:00:00"/>
    <x v="4"/>
    <s v="Жодино"/>
    <s v="Фрукты"/>
    <s v="Апельсины"/>
    <n v="2540"/>
    <n v="9"/>
    <n v="22.86"/>
    <x v="9"/>
  </r>
  <r>
    <d v="2023-09-14T00:00:00"/>
    <x v="1"/>
    <s v="Минск"/>
    <s v="Фрукты"/>
    <s v="Бананы"/>
    <n v="2400"/>
    <n v="45"/>
    <n v="108"/>
    <x v="9"/>
  </r>
  <r>
    <d v="2023-09-14T00:00:00"/>
    <x v="0"/>
    <s v="Столбцы"/>
    <s v="Зелень"/>
    <s v="Кинза"/>
    <n v="650"/>
    <n v="86"/>
    <n v="55.9"/>
    <x v="9"/>
  </r>
  <r>
    <d v="2023-09-14T00:00:00"/>
    <x v="2"/>
    <s v="Столбцы"/>
    <s v="Зелень"/>
    <s v="Лук зеленый"/>
    <n v="705"/>
    <n v="21"/>
    <n v="14.805"/>
    <x v="9"/>
  </r>
  <r>
    <d v="2023-09-14T00:00:00"/>
    <x v="4"/>
    <s v="Столбцы"/>
    <s v="Зелень"/>
    <s v="Салат римский"/>
    <n v="540"/>
    <n v="98"/>
    <n v="52.92"/>
    <x v="9"/>
  </r>
  <r>
    <d v="2023-09-14T00:00:00"/>
    <x v="0"/>
    <s v="Столбцы"/>
    <s v="Ягоды"/>
    <s v="Голубика"/>
    <n v="3205"/>
    <n v="21"/>
    <n v="67.305000000000007"/>
    <x v="9"/>
  </r>
  <r>
    <d v="2023-09-14T00:00:00"/>
    <x v="4"/>
    <s v="Фаниполь"/>
    <s v="Ягоды"/>
    <s v="Смородина черная"/>
    <n v="1505"/>
    <n v="65"/>
    <n v="97.825000000000003"/>
    <x v="9"/>
  </r>
  <r>
    <d v="2023-09-14T00:00:00"/>
    <x v="4"/>
    <s v="Фаниполь"/>
    <s v="Ягоды"/>
    <s v="Малина"/>
    <n v="2970"/>
    <n v="17"/>
    <n v="50.49"/>
    <x v="9"/>
  </r>
  <r>
    <s v="14.09.2023 Итог"/>
    <x v="3"/>
    <m/>
    <m/>
    <m/>
    <m/>
    <m/>
    <n v="806.32500000000005"/>
    <x v="9"/>
  </r>
  <r>
    <d v="2023-09-15T00:00:00"/>
    <x v="1"/>
    <s v="Барановичи"/>
    <s v="Ягоды"/>
    <s v="Малина"/>
    <n v="2970"/>
    <n v="69"/>
    <n v="204.93"/>
    <x v="9"/>
  </r>
  <r>
    <d v="2023-09-15T00:00:00"/>
    <x v="1"/>
    <s v="Жодино"/>
    <s v="Зелень"/>
    <s v="Лук зеленый"/>
    <n v="705"/>
    <n v="32"/>
    <n v="22.56"/>
    <x v="9"/>
  </r>
  <r>
    <d v="2023-09-15T00:00:00"/>
    <x v="1"/>
    <s v="Жодино"/>
    <s v="Фрукты"/>
    <s v="Абрикосы"/>
    <n v="1320"/>
    <n v="87"/>
    <n v="114.84"/>
    <x v="9"/>
  </r>
  <r>
    <d v="2023-09-15T00:00:00"/>
    <x v="1"/>
    <s v="Жодино"/>
    <s v="Фрукты"/>
    <s v="Сливы"/>
    <n v="930"/>
    <n v="27"/>
    <n v="25.11"/>
    <x v="9"/>
  </r>
  <r>
    <d v="2023-09-15T00:00:00"/>
    <x v="1"/>
    <s v="Жодино"/>
    <s v="Фрукты"/>
    <s v="Абрикосы"/>
    <n v="1320"/>
    <n v="98"/>
    <n v="129.36000000000001"/>
    <x v="9"/>
  </r>
  <r>
    <d v="2023-09-15T00:00:00"/>
    <x v="0"/>
    <s v="Минск"/>
    <s v="Ягоды"/>
    <s v="Клубника"/>
    <n v="2460"/>
    <n v="57"/>
    <n v="140.22"/>
    <x v="9"/>
  </r>
  <r>
    <d v="2023-09-15T00:00:00"/>
    <x v="2"/>
    <s v="Фаниполь"/>
    <s v="Зелень"/>
    <s v="Салат айсберг"/>
    <n v="1380"/>
    <n v="57"/>
    <n v="78.66"/>
    <x v="9"/>
  </r>
  <r>
    <d v="2023-09-15T00:00:00"/>
    <x v="4"/>
    <s v="Фаниполь"/>
    <s v="Ягоды"/>
    <s v="Голубика"/>
    <n v="3205"/>
    <n v="24"/>
    <n v="76.92"/>
    <x v="9"/>
  </r>
  <r>
    <s v="15.09.2023 Итог"/>
    <x v="3"/>
    <m/>
    <m/>
    <m/>
    <m/>
    <m/>
    <n v="792.6"/>
    <x v="9"/>
  </r>
  <r>
    <d v="2023-09-16T00:00:00"/>
    <x v="4"/>
    <s v="Барановичи"/>
    <s v="Зелень"/>
    <s v="Салат айсберг"/>
    <n v="1380"/>
    <n v="40"/>
    <n v="55.2"/>
    <x v="9"/>
  </r>
  <r>
    <d v="2023-09-16T00:00:00"/>
    <x v="0"/>
    <s v="Барановичи"/>
    <s v="Овощи"/>
    <s v="Кабачки"/>
    <n v="325"/>
    <n v="72"/>
    <n v="23.4"/>
    <x v="9"/>
  </r>
  <r>
    <d v="2023-09-16T00:00:00"/>
    <x v="1"/>
    <s v="Жодино"/>
    <s v="Зелень"/>
    <s v="Лук зеленый"/>
    <n v="705"/>
    <n v="42"/>
    <n v="29.61"/>
    <x v="9"/>
  </r>
  <r>
    <d v="2023-09-16T00:00:00"/>
    <x v="4"/>
    <s v="Жодино"/>
    <s v="Зелень"/>
    <s v="Укроп"/>
    <n v="650"/>
    <n v="16"/>
    <n v="10.4"/>
    <x v="9"/>
  </r>
  <r>
    <d v="2023-09-16T00:00:00"/>
    <x v="0"/>
    <s v="Минск"/>
    <s v="Фрукты"/>
    <s v="Яблоки"/>
    <n v="1230"/>
    <n v="38"/>
    <n v="46.74"/>
    <x v="9"/>
  </r>
  <r>
    <d v="2023-09-16T00:00:00"/>
    <x v="2"/>
    <s v="Столбцы"/>
    <s v="Ягоды"/>
    <s v="Смородина черная"/>
    <n v="1505"/>
    <n v="88"/>
    <n v="132.44"/>
    <x v="9"/>
  </r>
  <r>
    <d v="2023-09-16T00:00:00"/>
    <x v="0"/>
    <s v="Фаниполь"/>
    <s v="Зелень"/>
    <s v="Кинза"/>
    <n v="650"/>
    <n v="31"/>
    <n v="20.149999999999999"/>
    <x v="9"/>
  </r>
  <r>
    <d v="2023-09-16T00:00:00"/>
    <x v="1"/>
    <s v="Фаниполь"/>
    <s v="Ягоды"/>
    <s v="Черешня"/>
    <n v="1760"/>
    <n v="71"/>
    <n v="124.96"/>
    <x v="9"/>
  </r>
  <r>
    <s v="16.09.2023 Итог"/>
    <x v="3"/>
    <m/>
    <m/>
    <m/>
    <m/>
    <m/>
    <n v="442.89999999999992"/>
    <x v="9"/>
  </r>
  <r>
    <d v="2023-09-17T00:00:00"/>
    <x v="4"/>
    <s v="Барановичи"/>
    <s v="Зелень"/>
    <s v="Салат римский"/>
    <n v="540"/>
    <n v="54"/>
    <n v="29.16"/>
    <x v="9"/>
  </r>
  <r>
    <d v="2023-09-17T00:00:00"/>
    <x v="1"/>
    <s v="Барановичи"/>
    <s v="Овощи"/>
    <s v="Баклажаны"/>
    <n v="890"/>
    <n v="92"/>
    <n v="81.88"/>
    <x v="9"/>
  </r>
  <r>
    <d v="2023-09-17T00:00:00"/>
    <x v="0"/>
    <s v="Барановичи"/>
    <s v="Ягоды"/>
    <s v="Голубика"/>
    <n v="3205"/>
    <n v="59"/>
    <n v="189.095"/>
    <x v="9"/>
  </r>
  <r>
    <d v="2023-09-17T00:00:00"/>
    <x v="2"/>
    <s v="Жодино"/>
    <s v="Овощи"/>
    <s v="Картофель"/>
    <n v="690"/>
    <n v="50"/>
    <n v="34.5"/>
    <x v="9"/>
  </r>
  <r>
    <d v="2023-09-17T00:00:00"/>
    <x v="1"/>
    <s v="Жодино"/>
    <s v="Фрукты"/>
    <s v="Бананы"/>
    <n v="2400"/>
    <n v="96"/>
    <n v="230.4"/>
    <x v="9"/>
  </r>
  <r>
    <d v="2023-09-17T00:00:00"/>
    <x v="2"/>
    <s v="Минск"/>
    <s v="Зелень"/>
    <s v="Салат римский"/>
    <n v="540"/>
    <n v="99"/>
    <n v="53.46"/>
    <x v="9"/>
  </r>
  <r>
    <d v="2023-09-17T00:00:00"/>
    <x v="4"/>
    <s v="Столбцы"/>
    <s v="Фрукты"/>
    <s v="Сливы"/>
    <n v="930"/>
    <n v="21"/>
    <n v="19.53"/>
    <x v="9"/>
  </r>
  <r>
    <s v="17.09.2023 Итог"/>
    <x v="3"/>
    <m/>
    <m/>
    <m/>
    <m/>
    <m/>
    <n v="638.02499999999998"/>
    <x v="9"/>
  </r>
  <r>
    <d v="2023-09-18T00:00:00"/>
    <x v="2"/>
    <s v="Барановичи"/>
    <s v="Овощи"/>
    <s v="Баклажаны"/>
    <n v="890"/>
    <n v="76"/>
    <n v="67.64"/>
    <x v="9"/>
  </r>
  <r>
    <d v="2023-09-18T00:00:00"/>
    <x v="0"/>
    <s v="Барановичи"/>
    <s v="Ягоды"/>
    <s v="Малина"/>
    <n v="2970"/>
    <n v="19"/>
    <n v="56.43"/>
    <x v="9"/>
  </r>
  <r>
    <d v="2023-09-18T00:00:00"/>
    <x v="2"/>
    <s v="Борисов"/>
    <s v="Зелень"/>
    <s v="Укроп"/>
    <n v="650"/>
    <n v="20"/>
    <n v="13"/>
    <x v="9"/>
  </r>
  <r>
    <d v="2023-09-18T00:00:00"/>
    <x v="2"/>
    <s v="Борисов"/>
    <s v="Фрукты"/>
    <s v="Яблоки"/>
    <n v="1230"/>
    <n v="79"/>
    <n v="97.17"/>
    <x v="9"/>
  </r>
  <r>
    <d v="2023-09-18T00:00:00"/>
    <x v="0"/>
    <s v="Борисов"/>
    <s v="Ягоды"/>
    <s v="Малина"/>
    <n v="2970"/>
    <n v="25"/>
    <n v="74.25"/>
    <x v="9"/>
  </r>
  <r>
    <d v="2023-09-18T00:00:00"/>
    <x v="0"/>
    <s v="Жодино"/>
    <s v="Овощи"/>
    <s v="Баклажаны"/>
    <n v="890"/>
    <n v="91"/>
    <n v="80.989999999999995"/>
    <x v="9"/>
  </r>
  <r>
    <d v="2023-09-18T00:00:00"/>
    <x v="0"/>
    <s v="Жодино"/>
    <s v="Овощи"/>
    <s v="Картофель"/>
    <n v="690"/>
    <n v="91"/>
    <n v="62.79"/>
    <x v="9"/>
  </r>
  <r>
    <d v="2023-09-18T00:00:00"/>
    <x v="2"/>
    <s v="Жодино"/>
    <s v="Ягоды"/>
    <s v="Смородина черная"/>
    <n v="1505"/>
    <n v="19"/>
    <n v="28.594999999999999"/>
    <x v="9"/>
  </r>
  <r>
    <d v="2023-09-18T00:00:00"/>
    <x v="1"/>
    <s v="Столбцы"/>
    <s v="Зелень"/>
    <s v="Салат айсберг"/>
    <n v="1380"/>
    <n v="10"/>
    <n v="13.8"/>
    <x v="9"/>
  </r>
  <r>
    <d v="2023-09-18T00:00:00"/>
    <x v="0"/>
    <s v="Столбцы"/>
    <s v="Зелень"/>
    <s v="Салат римский"/>
    <n v="540"/>
    <n v="48"/>
    <n v="25.92"/>
    <x v="9"/>
  </r>
  <r>
    <d v="2023-09-18T00:00:00"/>
    <x v="4"/>
    <s v="Столбцы"/>
    <s v="Ягоды"/>
    <s v="Малина"/>
    <n v="2970"/>
    <n v="72"/>
    <n v="213.84"/>
    <x v="9"/>
  </r>
  <r>
    <d v="2023-09-18T00:00:00"/>
    <x v="0"/>
    <s v="Столбцы"/>
    <s v="Ягоды"/>
    <s v="Смородина черная"/>
    <n v="1505"/>
    <n v="7"/>
    <n v="10.535"/>
    <x v="9"/>
  </r>
  <r>
    <d v="2023-09-18T00:00:00"/>
    <x v="1"/>
    <s v="Фаниполь"/>
    <s v="Зелень"/>
    <s v="Укроп"/>
    <n v="650"/>
    <n v="24"/>
    <n v="15.6"/>
    <x v="9"/>
  </r>
  <r>
    <d v="2023-09-18T00:00:00"/>
    <x v="2"/>
    <s v="Фаниполь"/>
    <s v="Ягоды"/>
    <s v="Малина"/>
    <n v="2970"/>
    <n v="74"/>
    <n v="219.78"/>
    <x v="9"/>
  </r>
  <r>
    <d v="2023-09-18T00:00:00"/>
    <x v="1"/>
    <s v="Фаниполь"/>
    <s v="Ягоды"/>
    <s v="Брусника"/>
    <n v="1670"/>
    <n v="36"/>
    <n v="60.12"/>
    <x v="9"/>
  </r>
  <r>
    <s v="18.09.2023 Итог"/>
    <x v="3"/>
    <m/>
    <m/>
    <m/>
    <m/>
    <m/>
    <n v="1040.46"/>
    <x v="9"/>
  </r>
  <r>
    <d v="2023-09-19T00:00:00"/>
    <x v="0"/>
    <s v="Борисов"/>
    <s v="Ягоды"/>
    <s v="Черешня"/>
    <n v="1760"/>
    <n v="45"/>
    <n v="79.2"/>
    <x v="9"/>
  </r>
  <r>
    <d v="2023-09-19T00:00:00"/>
    <x v="0"/>
    <s v="Борисов"/>
    <s v="Ягоды"/>
    <s v="Брусника"/>
    <n v="1670"/>
    <n v="100"/>
    <n v="167"/>
    <x v="9"/>
  </r>
  <r>
    <d v="2023-09-19T00:00:00"/>
    <x v="4"/>
    <s v="Минск"/>
    <s v="Овощи"/>
    <s v="Морковь"/>
    <n v="715"/>
    <n v="95"/>
    <n v="67.924999999999997"/>
    <x v="9"/>
  </r>
  <r>
    <d v="2023-09-19T00:00:00"/>
    <x v="0"/>
    <s v="Минск"/>
    <s v="Ягоды"/>
    <s v="Брусника"/>
    <n v="1670"/>
    <n v="68"/>
    <n v="113.56"/>
    <x v="9"/>
  </r>
  <r>
    <d v="2023-09-19T00:00:00"/>
    <x v="0"/>
    <s v="Столбцы"/>
    <s v="Зелень"/>
    <s v="Лук зеленый"/>
    <n v="705"/>
    <n v="18"/>
    <n v="12.69"/>
    <x v="9"/>
  </r>
  <r>
    <d v="2023-09-19T00:00:00"/>
    <x v="2"/>
    <s v="Фаниполь"/>
    <s v="Фрукты"/>
    <s v="Бананы"/>
    <n v="2400"/>
    <n v="81"/>
    <n v="194.4"/>
    <x v="9"/>
  </r>
  <r>
    <d v="2023-09-19T00:00:00"/>
    <x v="4"/>
    <s v="Фаниполь"/>
    <s v="Ягоды"/>
    <s v="Клубника"/>
    <n v="2460"/>
    <n v="6"/>
    <n v="14.76"/>
    <x v="9"/>
  </r>
  <r>
    <s v="19.09.2023 Итог"/>
    <x v="3"/>
    <m/>
    <m/>
    <m/>
    <m/>
    <m/>
    <n v="649.53499999999997"/>
    <x v="9"/>
  </r>
  <r>
    <d v="2023-09-20T00:00:00"/>
    <x v="1"/>
    <s v="Барановичи"/>
    <s v="Зелень"/>
    <s v="Петрушка"/>
    <n v="640"/>
    <n v="34"/>
    <n v="21.76"/>
    <x v="9"/>
  </r>
  <r>
    <d v="2023-09-20T00:00:00"/>
    <x v="4"/>
    <s v="Барановичи"/>
    <s v="Ягоды"/>
    <s v="Малина"/>
    <n v="2970"/>
    <n v="5"/>
    <n v="14.85"/>
    <x v="9"/>
  </r>
  <r>
    <d v="2023-09-20T00:00:00"/>
    <x v="2"/>
    <s v="Борисов"/>
    <s v="Зелень"/>
    <s v="Салат айсберг"/>
    <n v="1380"/>
    <n v="85"/>
    <n v="117.3"/>
    <x v="9"/>
  </r>
  <r>
    <d v="2023-09-20T00:00:00"/>
    <x v="0"/>
    <s v="Борисов"/>
    <s v="Зелень"/>
    <s v="Салат айсберг"/>
    <n v="1380"/>
    <n v="96"/>
    <n v="132.47999999999999"/>
    <x v="9"/>
  </r>
  <r>
    <d v="2023-09-20T00:00:00"/>
    <x v="4"/>
    <s v="Борисов"/>
    <s v="Фрукты"/>
    <s v="Сливы"/>
    <n v="930"/>
    <n v="41"/>
    <n v="38.130000000000003"/>
    <x v="9"/>
  </r>
  <r>
    <d v="2023-09-20T00:00:00"/>
    <x v="2"/>
    <s v="Жодино"/>
    <s v="Ягоды"/>
    <s v="Голубика"/>
    <n v="3205"/>
    <n v="23"/>
    <n v="73.715000000000003"/>
    <x v="9"/>
  </r>
  <r>
    <d v="2023-09-20T00:00:00"/>
    <x v="0"/>
    <s v="Минск"/>
    <s v="Зелень"/>
    <s v="Укроп"/>
    <n v="650"/>
    <n v="51"/>
    <n v="33.15"/>
    <x v="9"/>
  </r>
  <r>
    <d v="2023-09-20T00:00:00"/>
    <x v="2"/>
    <s v="Минск"/>
    <s v="Зелень"/>
    <s v="Укроп"/>
    <n v="650"/>
    <n v="88"/>
    <n v="57.2"/>
    <x v="9"/>
  </r>
  <r>
    <d v="2023-09-20T00:00:00"/>
    <x v="4"/>
    <s v="Минск"/>
    <s v="Фрукты"/>
    <s v="Бананы"/>
    <n v="2400"/>
    <n v="11"/>
    <n v="26.4"/>
    <x v="9"/>
  </r>
  <r>
    <d v="2023-09-20T00:00:00"/>
    <x v="1"/>
    <s v="Столбцы"/>
    <s v="Овощи"/>
    <s v="Морковь"/>
    <n v="715"/>
    <n v="79"/>
    <n v="56.484999999999999"/>
    <x v="9"/>
  </r>
  <r>
    <d v="2023-09-20T00:00:00"/>
    <x v="0"/>
    <s v="Столбцы"/>
    <s v="Фрукты"/>
    <s v="Яблоки"/>
    <n v="1230"/>
    <n v="50"/>
    <n v="61.5"/>
    <x v="9"/>
  </r>
  <r>
    <d v="2023-09-20T00:00:00"/>
    <x v="2"/>
    <s v="Фаниполь"/>
    <s v="Фрукты"/>
    <s v="Апельсины"/>
    <n v="2540"/>
    <n v="55"/>
    <n v="139.69999999999999"/>
    <x v="9"/>
  </r>
  <r>
    <s v="20.09.2023 Итог"/>
    <x v="3"/>
    <m/>
    <m/>
    <m/>
    <m/>
    <m/>
    <n v="772.67000000000007"/>
    <x v="9"/>
  </r>
  <r>
    <d v="2023-09-21T00:00:00"/>
    <x v="0"/>
    <s v="Барановичи"/>
    <s v="Зелень"/>
    <s v="Салат айсберг"/>
    <n v="1380"/>
    <n v="43"/>
    <n v="59.34"/>
    <x v="9"/>
  </r>
  <r>
    <d v="2023-09-21T00:00:00"/>
    <x v="2"/>
    <s v="Барановичи"/>
    <s v="Овощи"/>
    <s v="Кабачки"/>
    <n v="325"/>
    <n v="45"/>
    <n v="14.625"/>
    <x v="9"/>
  </r>
  <r>
    <d v="2023-09-21T00:00:00"/>
    <x v="0"/>
    <s v="Барановичи"/>
    <s v="Фрукты"/>
    <s v="Абрикосы"/>
    <n v="1320"/>
    <n v="17"/>
    <n v="22.44"/>
    <x v="9"/>
  </r>
  <r>
    <d v="2023-09-21T00:00:00"/>
    <x v="0"/>
    <s v="Барановичи"/>
    <s v="Фрукты"/>
    <s v="Апельсины"/>
    <n v="2540"/>
    <n v="52"/>
    <n v="132.08000000000001"/>
    <x v="9"/>
  </r>
  <r>
    <d v="2023-09-21T00:00:00"/>
    <x v="2"/>
    <s v="Борисов"/>
    <s v="Зелень"/>
    <s v="Лук зеленый"/>
    <n v="705"/>
    <n v="40"/>
    <n v="28.2"/>
    <x v="9"/>
  </r>
  <r>
    <d v="2023-09-21T00:00:00"/>
    <x v="1"/>
    <s v="Борисов"/>
    <s v="Фрукты"/>
    <s v="Апельсины"/>
    <n v="2540"/>
    <n v="56"/>
    <n v="142.24"/>
    <x v="9"/>
  </r>
  <r>
    <d v="2023-09-21T00:00:00"/>
    <x v="2"/>
    <s v="Борисов"/>
    <s v="Фрукты"/>
    <s v="Груши"/>
    <n v="1420"/>
    <n v="92"/>
    <n v="130.63999999999999"/>
    <x v="9"/>
  </r>
  <r>
    <d v="2023-09-21T00:00:00"/>
    <x v="2"/>
    <s v="Борисов"/>
    <s v="Фрукты"/>
    <s v="Бананы"/>
    <n v="2400"/>
    <n v="99"/>
    <n v="237.6"/>
    <x v="9"/>
  </r>
  <r>
    <d v="2023-09-21T00:00:00"/>
    <x v="2"/>
    <s v="Минск"/>
    <s v="Зелень"/>
    <s v="Петрушка"/>
    <n v="640"/>
    <n v="84"/>
    <n v="53.76"/>
    <x v="9"/>
  </r>
  <r>
    <d v="2023-09-21T00:00:00"/>
    <x v="4"/>
    <s v="Минск"/>
    <s v="Фрукты"/>
    <s v="Сливы"/>
    <n v="930"/>
    <n v="83"/>
    <n v="77.19"/>
    <x v="9"/>
  </r>
  <r>
    <d v="2023-09-21T00:00:00"/>
    <x v="4"/>
    <s v="Минск"/>
    <s v="Ягоды"/>
    <s v="Черешня"/>
    <n v="1760"/>
    <n v="30"/>
    <n v="52.8"/>
    <x v="9"/>
  </r>
  <r>
    <d v="2023-09-21T00:00:00"/>
    <x v="2"/>
    <s v="Столбцы"/>
    <s v="Овощи"/>
    <s v="Картофель"/>
    <n v="690"/>
    <n v="9"/>
    <n v="6.21"/>
    <x v="9"/>
  </r>
  <r>
    <d v="2023-09-21T00:00:00"/>
    <x v="0"/>
    <s v="Столбцы"/>
    <s v="Ягоды"/>
    <s v="Смородина черная"/>
    <n v="1505"/>
    <n v="47"/>
    <n v="70.734999999999999"/>
    <x v="9"/>
  </r>
  <r>
    <d v="2023-09-21T00:00:00"/>
    <x v="2"/>
    <s v="Фаниполь"/>
    <s v="Зелень"/>
    <s v="Салат римский"/>
    <n v="540"/>
    <n v="16"/>
    <n v="8.64"/>
    <x v="9"/>
  </r>
  <r>
    <d v="2023-09-21T00:00:00"/>
    <x v="1"/>
    <s v="Фаниполь"/>
    <s v="Ягоды"/>
    <s v="Брусника"/>
    <n v="1670"/>
    <n v="29"/>
    <n v="48.43"/>
    <x v="9"/>
  </r>
  <r>
    <s v="21.09.2023 Итог"/>
    <x v="3"/>
    <m/>
    <m/>
    <m/>
    <m/>
    <m/>
    <n v="1084.93"/>
    <x v="9"/>
  </r>
  <r>
    <d v="2023-09-22T00:00:00"/>
    <x v="0"/>
    <s v="Барановичи"/>
    <s v="Ягоды"/>
    <s v="Смородина черная"/>
    <n v="1505"/>
    <n v="77"/>
    <n v="115.88500000000001"/>
    <x v="9"/>
  </r>
  <r>
    <d v="2023-09-22T00:00:00"/>
    <x v="2"/>
    <s v="Борисов"/>
    <s v="Зелень"/>
    <s v="Салат римский"/>
    <n v="540"/>
    <n v="76"/>
    <n v="41.04"/>
    <x v="9"/>
  </r>
  <r>
    <d v="2023-09-22T00:00:00"/>
    <x v="2"/>
    <s v="Борисов"/>
    <s v="Зелень"/>
    <s v="Лук зеленый"/>
    <n v="705"/>
    <n v="60"/>
    <n v="42.3"/>
    <x v="9"/>
  </r>
  <r>
    <d v="2023-09-22T00:00:00"/>
    <x v="1"/>
    <s v="Борисов"/>
    <s v="Фрукты"/>
    <s v="Бананы"/>
    <n v="2400"/>
    <n v="93"/>
    <n v="223.2"/>
    <x v="9"/>
  </r>
  <r>
    <d v="2023-09-22T00:00:00"/>
    <x v="2"/>
    <s v="Жодино"/>
    <s v="Фрукты"/>
    <s v="Сливы"/>
    <n v="930"/>
    <n v="17"/>
    <n v="15.81"/>
    <x v="9"/>
  </r>
  <r>
    <d v="2023-09-22T00:00:00"/>
    <x v="0"/>
    <s v="Жодино"/>
    <s v="Фрукты"/>
    <s v="Апельсины"/>
    <n v="2540"/>
    <n v="14"/>
    <n v="35.56"/>
    <x v="9"/>
  </r>
  <r>
    <d v="2023-09-22T00:00:00"/>
    <x v="0"/>
    <s v="Столбцы"/>
    <s v="Фрукты"/>
    <s v="Груши"/>
    <n v="1420"/>
    <n v="25"/>
    <n v="35.5"/>
    <x v="9"/>
  </r>
  <r>
    <d v="2023-09-22T00:00:00"/>
    <x v="2"/>
    <s v="Столбцы"/>
    <s v="Фрукты"/>
    <s v="Груши"/>
    <n v="1420"/>
    <n v="15"/>
    <n v="21.3"/>
    <x v="9"/>
  </r>
  <r>
    <d v="2023-09-22T00:00:00"/>
    <x v="2"/>
    <s v="Столбцы"/>
    <s v="Ягоды"/>
    <s v="Малина"/>
    <n v="2970"/>
    <n v="72"/>
    <n v="213.84"/>
    <x v="9"/>
  </r>
  <r>
    <d v="2023-09-22T00:00:00"/>
    <x v="4"/>
    <s v="Фаниполь"/>
    <s v="Зелень"/>
    <s v="Укроп"/>
    <n v="650"/>
    <n v="35"/>
    <n v="22.75"/>
    <x v="9"/>
  </r>
  <r>
    <d v="2023-09-22T00:00:00"/>
    <x v="1"/>
    <s v="Фаниполь"/>
    <s v="Овощи"/>
    <s v="Картофель"/>
    <n v="690"/>
    <n v="57"/>
    <n v="39.33"/>
    <x v="9"/>
  </r>
  <r>
    <d v="2023-09-22T00:00:00"/>
    <x v="1"/>
    <s v="Фаниполь"/>
    <s v="Овощи"/>
    <s v="Кабачки"/>
    <n v="325"/>
    <n v="42"/>
    <n v="13.65"/>
    <x v="9"/>
  </r>
  <r>
    <d v="2023-09-22T00:00:00"/>
    <x v="1"/>
    <s v="Фаниполь"/>
    <s v="Фрукты"/>
    <s v="Абрикосы"/>
    <n v="1320"/>
    <n v="72"/>
    <n v="95.04"/>
    <x v="9"/>
  </r>
  <r>
    <s v="22.09.2023 Итог"/>
    <x v="3"/>
    <m/>
    <m/>
    <m/>
    <m/>
    <m/>
    <n v="915.20500000000004"/>
    <x v="9"/>
  </r>
  <r>
    <d v="2023-09-23T00:00:00"/>
    <x v="4"/>
    <s v="Барановичи"/>
    <s v="Зелень"/>
    <s v="Салат айсберг"/>
    <n v="1380"/>
    <n v="83"/>
    <n v="114.54"/>
    <x v="9"/>
  </r>
  <r>
    <d v="2023-09-23T00:00:00"/>
    <x v="4"/>
    <s v="Барановичи"/>
    <s v="Овощи"/>
    <s v="Баклажаны"/>
    <n v="890"/>
    <n v="30"/>
    <n v="26.7"/>
    <x v="9"/>
  </r>
  <r>
    <d v="2023-09-23T00:00:00"/>
    <x v="2"/>
    <s v="Барановичи"/>
    <s v="Ягоды"/>
    <s v="Голубика"/>
    <n v="3205"/>
    <n v="43"/>
    <n v="137.815"/>
    <x v="9"/>
  </r>
  <r>
    <d v="2023-09-23T00:00:00"/>
    <x v="4"/>
    <s v="Барановичи"/>
    <s v="Ягоды"/>
    <s v="Голубика"/>
    <n v="3205"/>
    <n v="17"/>
    <n v="54.484999999999999"/>
    <x v="9"/>
  </r>
  <r>
    <d v="2023-09-23T00:00:00"/>
    <x v="1"/>
    <s v="Борисов"/>
    <s v="Ягоды"/>
    <s v="Клубника"/>
    <n v="2460"/>
    <n v="8"/>
    <n v="19.68"/>
    <x v="9"/>
  </r>
  <r>
    <d v="2023-09-23T00:00:00"/>
    <x v="0"/>
    <s v="Жодино"/>
    <s v="Зелень"/>
    <s v="Кинза"/>
    <n v="650"/>
    <n v="71"/>
    <n v="46.15"/>
    <x v="9"/>
  </r>
  <r>
    <d v="2023-09-23T00:00:00"/>
    <x v="0"/>
    <s v="Жодино"/>
    <s v="Овощи"/>
    <s v="Морковь"/>
    <n v="715"/>
    <n v="88"/>
    <n v="62.92"/>
    <x v="9"/>
  </r>
  <r>
    <d v="2023-09-23T00:00:00"/>
    <x v="1"/>
    <s v="Минск"/>
    <s v="Зелень"/>
    <s v="Салат римский"/>
    <n v="540"/>
    <n v="65"/>
    <n v="35.1"/>
    <x v="9"/>
  </r>
  <r>
    <d v="2023-09-23T00:00:00"/>
    <x v="2"/>
    <s v="Минск"/>
    <s v="Овощи"/>
    <s v="Капуста"/>
    <n v="460"/>
    <n v="13"/>
    <n v="5.98"/>
    <x v="9"/>
  </r>
  <r>
    <d v="2023-09-23T00:00:00"/>
    <x v="1"/>
    <s v="Минск"/>
    <s v="Фрукты"/>
    <s v="Апельсины"/>
    <n v="2540"/>
    <n v="97"/>
    <n v="246.38"/>
    <x v="9"/>
  </r>
  <r>
    <d v="2023-09-23T00:00:00"/>
    <x v="1"/>
    <s v="Столбцы"/>
    <s v="Ягоды"/>
    <s v="Черешня"/>
    <n v="1760"/>
    <n v="41"/>
    <n v="72.16"/>
    <x v="9"/>
  </r>
  <r>
    <s v="23.09.2023 Итог"/>
    <x v="3"/>
    <m/>
    <m/>
    <m/>
    <m/>
    <m/>
    <n v="821.91"/>
    <x v="9"/>
  </r>
  <r>
    <d v="2023-09-24T00:00:00"/>
    <x v="0"/>
    <s v="Барановичи"/>
    <s v="Зелень"/>
    <s v="Петрушка"/>
    <n v="640"/>
    <n v="57"/>
    <n v="36.479999999999997"/>
    <x v="9"/>
  </r>
  <r>
    <d v="2023-09-24T00:00:00"/>
    <x v="0"/>
    <s v="Борисов"/>
    <s v="Зелень"/>
    <s v="Лук зеленый"/>
    <n v="705"/>
    <n v="28"/>
    <n v="19.739999999999998"/>
    <x v="9"/>
  </r>
  <r>
    <d v="2023-09-24T00:00:00"/>
    <x v="1"/>
    <s v="Борисов"/>
    <s v="Овощи"/>
    <s v="Кабачки"/>
    <n v="325"/>
    <n v="17"/>
    <n v="5.5250000000000004"/>
    <x v="9"/>
  </r>
  <r>
    <d v="2023-09-24T00:00:00"/>
    <x v="4"/>
    <s v="Минск"/>
    <s v="Зелень"/>
    <s v="Укроп"/>
    <n v="650"/>
    <n v="26"/>
    <n v="16.899999999999999"/>
    <x v="9"/>
  </r>
  <r>
    <d v="2023-09-24T00:00:00"/>
    <x v="2"/>
    <s v="Минск"/>
    <s v="Ягоды"/>
    <s v="Черешня"/>
    <n v="1760"/>
    <n v="45"/>
    <n v="79.2"/>
    <x v="9"/>
  </r>
  <r>
    <d v="2023-09-24T00:00:00"/>
    <x v="4"/>
    <s v="Столбцы"/>
    <s v="Зелень"/>
    <s v="Лук зеленый"/>
    <n v="705"/>
    <n v="35"/>
    <n v="24.675000000000001"/>
    <x v="9"/>
  </r>
  <r>
    <d v="2023-09-24T00:00:00"/>
    <x v="0"/>
    <s v="Столбцы"/>
    <s v="Овощи"/>
    <s v="Картофель"/>
    <n v="690"/>
    <n v="25"/>
    <n v="17.25"/>
    <x v="9"/>
  </r>
  <r>
    <d v="2023-09-24T00:00:00"/>
    <x v="0"/>
    <s v="Фаниполь"/>
    <s v="Зелень"/>
    <s v="Укроп"/>
    <n v="650"/>
    <n v="28"/>
    <n v="18.2"/>
    <x v="9"/>
  </r>
  <r>
    <d v="2023-09-24T00:00:00"/>
    <x v="0"/>
    <s v="Фаниполь"/>
    <s v="Овощи"/>
    <s v="Кабачки"/>
    <n v="325"/>
    <n v="48"/>
    <n v="15.6"/>
    <x v="9"/>
  </r>
  <r>
    <d v="2023-09-24T00:00:00"/>
    <x v="1"/>
    <s v="Фаниполь"/>
    <s v="Овощи"/>
    <s v="Кабачки"/>
    <n v="325"/>
    <n v="32"/>
    <n v="10.4"/>
    <x v="9"/>
  </r>
  <r>
    <d v="2023-09-24T00:00:00"/>
    <x v="4"/>
    <s v="Фаниполь"/>
    <s v="Ягоды"/>
    <s v="Смородина черная"/>
    <n v="1505"/>
    <n v="93"/>
    <n v="139.965"/>
    <x v="9"/>
  </r>
  <r>
    <s v="24.09.2023 Итог"/>
    <x v="3"/>
    <m/>
    <m/>
    <m/>
    <m/>
    <m/>
    <n v="383.935"/>
    <x v="9"/>
  </r>
  <r>
    <d v="2023-09-25T00:00:00"/>
    <x v="4"/>
    <s v="Минск"/>
    <s v="Зелень"/>
    <s v="Укроп"/>
    <n v="650"/>
    <n v="26"/>
    <n v="16.899999999999999"/>
    <x v="9"/>
  </r>
  <r>
    <d v="2023-09-25T00:00:00"/>
    <x v="0"/>
    <s v="Минск"/>
    <s v="Фрукты"/>
    <s v="Яблоки"/>
    <n v="1230"/>
    <n v="40"/>
    <n v="49.2"/>
    <x v="9"/>
  </r>
  <r>
    <d v="2023-09-25T00:00:00"/>
    <x v="0"/>
    <s v="Минск"/>
    <s v="Ягоды"/>
    <s v="Клубника"/>
    <n v="2460"/>
    <n v="92"/>
    <n v="226.32"/>
    <x v="9"/>
  </r>
  <r>
    <s v="25.09.2023 Итог"/>
    <x v="3"/>
    <m/>
    <m/>
    <m/>
    <m/>
    <m/>
    <n v="292.41999999999996"/>
    <x v="9"/>
  </r>
  <r>
    <d v="2023-09-26T00:00:00"/>
    <x v="2"/>
    <s v="Барановичи"/>
    <s v="Ягоды"/>
    <s v="Брусника"/>
    <n v="1670"/>
    <n v="9"/>
    <n v="15.03"/>
    <x v="9"/>
  </r>
  <r>
    <d v="2023-09-26T00:00:00"/>
    <x v="4"/>
    <s v="Минск"/>
    <s v="Ягоды"/>
    <s v="Клубника"/>
    <n v="2460"/>
    <n v="53"/>
    <n v="130.38"/>
    <x v="9"/>
  </r>
  <r>
    <d v="2023-09-26T00:00:00"/>
    <x v="1"/>
    <s v="Столбцы"/>
    <s v="Зелень"/>
    <s v="Укроп"/>
    <n v="650"/>
    <n v="82"/>
    <n v="53.3"/>
    <x v="9"/>
  </r>
  <r>
    <d v="2023-09-26T00:00:00"/>
    <x v="1"/>
    <s v="Столбцы"/>
    <s v="Фрукты"/>
    <s v="Бананы"/>
    <n v="2400"/>
    <n v="43"/>
    <n v="103.2"/>
    <x v="9"/>
  </r>
  <r>
    <d v="2023-09-26T00:00:00"/>
    <x v="0"/>
    <s v="Столбцы"/>
    <s v="Ягоды"/>
    <s v="Клубника"/>
    <n v="2460"/>
    <n v="94"/>
    <n v="231.24"/>
    <x v="9"/>
  </r>
  <r>
    <d v="2023-09-26T00:00:00"/>
    <x v="0"/>
    <s v="Фаниполь"/>
    <s v="Фрукты"/>
    <s v="Апельсины"/>
    <n v="2540"/>
    <n v="8"/>
    <n v="20.32"/>
    <x v="9"/>
  </r>
  <r>
    <d v="2023-09-26T00:00:00"/>
    <x v="0"/>
    <s v="Фаниполь"/>
    <s v="Ягоды"/>
    <s v="Малина"/>
    <n v="2970"/>
    <n v="74"/>
    <n v="219.78"/>
    <x v="9"/>
  </r>
  <r>
    <s v="26.09.2023 Итог"/>
    <x v="3"/>
    <m/>
    <m/>
    <m/>
    <m/>
    <m/>
    <n v="773.25"/>
    <x v="9"/>
  </r>
  <r>
    <d v="2023-09-27T00:00:00"/>
    <x v="0"/>
    <s v="Барановичи"/>
    <s v="Зелень"/>
    <s v="Кинза"/>
    <n v="650"/>
    <n v="60"/>
    <n v="39"/>
    <x v="9"/>
  </r>
  <r>
    <d v="2023-09-27T00:00:00"/>
    <x v="0"/>
    <s v="Жодино"/>
    <s v="Овощи"/>
    <s v="Капуста"/>
    <n v="460"/>
    <n v="39"/>
    <n v="17.940000000000001"/>
    <x v="9"/>
  </r>
  <r>
    <d v="2023-09-27T00:00:00"/>
    <x v="0"/>
    <s v="Жодино"/>
    <s v="Фрукты"/>
    <s v="Абрикосы"/>
    <n v="1320"/>
    <n v="82"/>
    <n v="108.24"/>
    <x v="9"/>
  </r>
  <r>
    <d v="2023-09-27T00:00:00"/>
    <x v="4"/>
    <s v="Минск"/>
    <s v="Зелень"/>
    <s v="Лук зеленый"/>
    <n v="705"/>
    <n v="48"/>
    <n v="33.840000000000003"/>
    <x v="9"/>
  </r>
  <r>
    <d v="2023-09-27T00:00:00"/>
    <x v="2"/>
    <s v="Минск"/>
    <s v="Овощи"/>
    <s v="Морковь"/>
    <n v="715"/>
    <n v="46"/>
    <n v="32.89"/>
    <x v="9"/>
  </r>
  <r>
    <d v="2023-09-27T00:00:00"/>
    <x v="0"/>
    <s v="Столбцы"/>
    <s v="Ягоды"/>
    <s v="Голубика"/>
    <n v="3205"/>
    <n v="97"/>
    <n v="310.88499999999999"/>
    <x v="9"/>
  </r>
  <r>
    <d v="2023-09-27T00:00:00"/>
    <x v="1"/>
    <s v="Фаниполь"/>
    <s v="Фрукты"/>
    <s v="Бананы"/>
    <n v="2400"/>
    <n v="96"/>
    <n v="230.4"/>
    <x v="9"/>
  </r>
  <r>
    <s v="27.09.2023 Итог"/>
    <x v="3"/>
    <m/>
    <m/>
    <m/>
    <m/>
    <m/>
    <n v="773.19500000000005"/>
    <x v="9"/>
  </r>
  <r>
    <d v="2023-09-28T00:00:00"/>
    <x v="2"/>
    <s v="Барановичи"/>
    <s v="Зелень"/>
    <s v="Салат римский"/>
    <n v="540"/>
    <n v="17"/>
    <n v="9.18"/>
    <x v="9"/>
  </r>
  <r>
    <d v="2023-09-28T00:00:00"/>
    <x v="2"/>
    <s v="Барановичи"/>
    <s v="Зелень"/>
    <s v="Салат римский"/>
    <n v="540"/>
    <n v="83"/>
    <n v="44.82"/>
    <x v="9"/>
  </r>
  <r>
    <d v="2023-09-28T00:00:00"/>
    <x v="2"/>
    <s v="Барановичи"/>
    <s v="Овощи"/>
    <s v="Свекла"/>
    <n v="450"/>
    <n v="74"/>
    <n v="33.299999999999997"/>
    <x v="9"/>
  </r>
  <r>
    <d v="2023-09-28T00:00:00"/>
    <x v="1"/>
    <s v="Борисов"/>
    <s v="Овощи"/>
    <s v="Кабачки"/>
    <n v="325"/>
    <n v="97"/>
    <n v="31.524999999999999"/>
    <x v="9"/>
  </r>
  <r>
    <d v="2023-09-28T00:00:00"/>
    <x v="0"/>
    <s v="Жодино"/>
    <s v="Зелень"/>
    <s v="Лук зеленый"/>
    <n v="705"/>
    <n v="29"/>
    <n v="20.445"/>
    <x v="9"/>
  </r>
  <r>
    <d v="2023-09-28T00:00:00"/>
    <x v="0"/>
    <s v="Жодино"/>
    <s v="Фрукты"/>
    <s v="Груши"/>
    <n v="1420"/>
    <n v="30"/>
    <n v="42.6"/>
    <x v="9"/>
  </r>
  <r>
    <d v="2023-09-28T00:00:00"/>
    <x v="4"/>
    <s v="Минск"/>
    <s v="Фрукты"/>
    <s v="Сливы"/>
    <n v="930"/>
    <n v="40"/>
    <n v="37.200000000000003"/>
    <x v="9"/>
  </r>
  <r>
    <d v="2023-09-28T00:00:00"/>
    <x v="0"/>
    <s v="Столбцы"/>
    <s v="Овощи"/>
    <s v="Баклажаны"/>
    <n v="890"/>
    <n v="36"/>
    <n v="32.04"/>
    <x v="9"/>
  </r>
  <r>
    <d v="2023-09-28T00:00:00"/>
    <x v="0"/>
    <s v="Столбцы"/>
    <s v="Ягоды"/>
    <s v="Брусника"/>
    <n v="1670"/>
    <n v="22"/>
    <n v="36.74"/>
    <x v="9"/>
  </r>
  <r>
    <d v="2023-09-28T00:00:00"/>
    <x v="2"/>
    <s v="Фаниполь"/>
    <s v="Зелень"/>
    <s v="Кинза"/>
    <n v="650"/>
    <n v="67"/>
    <n v="43.55"/>
    <x v="9"/>
  </r>
  <r>
    <s v="28.09.2023 Итог"/>
    <x v="3"/>
    <m/>
    <m/>
    <m/>
    <m/>
    <m/>
    <n v="331.4"/>
    <x v="9"/>
  </r>
  <r>
    <d v="2023-09-29T00:00:00"/>
    <x v="4"/>
    <s v="Барановичи"/>
    <s v="Зелень"/>
    <s v="Салат айсберг"/>
    <n v="1380"/>
    <n v="58"/>
    <n v="80.040000000000006"/>
    <x v="9"/>
  </r>
  <r>
    <d v="2023-09-29T00:00:00"/>
    <x v="0"/>
    <s v="Барановичи"/>
    <s v="Фрукты"/>
    <s v="Яблоки"/>
    <n v="1230"/>
    <n v="20"/>
    <n v="24.6"/>
    <x v="9"/>
  </r>
  <r>
    <d v="2023-09-29T00:00:00"/>
    <x v="4"/>
    <s v="Жодино"/>
    <s v="Ягоды"/>
    <s v="Брусника"/>
    <n v="1670"/>
    <n v="67"/>
    <n v="111.89"/>
    <x v="9"/>
  </r>
  <r>
    <d v="2023-09-29T00:00:00"/>
    <x v="1"/>
    <s v="Минск"/>
    <s v="Зелень"/>
    <s v="Лук зеленый"/>
    <n v="705"/>
    <n v="59"/>
    <n v="41.594999999999999"/>
    <x v="9"/>
  </r>
  <r>
    <d v="2023-09-29T00:00:00"/>
    <x v="0"/>
    <s v="Столбцы"/>
    <s v="Овощи"/>
    <s v="Кабачки"/>
    <n v="325"/>
    <n v="52"/>
    <n v="16.899999999999999"/>
    <x v="9"/>
  </r>
  <r>
    <d v="2023-09-29T00:00:00"/>
    <x v="1"/>
    <s v="Столбцы"/>
    <s v="Фрукты"/>
    <s v="Яблоки"/>
    <n v="1230"/>
    <n v="22"/>
    <n v="27.06"/>
    <x v="9"/>
  </r>
  <r>
    <d v="2023-09-29T00:00:00"/>
    <x v="2"/>
    <s v="Столбцы"/>
    <s v="Фрукты"/>
    <s v="Абрикосы"/>
    <n v="1320"/>
    <n v="5"/>
    <n v="6.6"/>
    <x v="9"/>
  </r>
  <r>
    <d v="2023-09-29T00:00:00"/>
    <x v="1"/>
    <s v="Фаниполь"/>
    <s v="Зелень"/>
    <s v="Укроп"/>
    <n v="650"/>
    <n v="25"/>
    <n v="16.25"/>
    <x v="9"/>
  </r>
  <r>
    <s v="29.09.2023 Итог"/>
    <x v="3"/>
    <m/>
    <m/>
    <m/>
    <m/>
    <m/>
    <n v="324.935"/>
    <x v="9"/>
  </r>
  <r>
    <d v="2023-09-30T00:00:00"/>
    <x v="2"/>
    <s v="Барановичи"/>
    <s v="Фрукты"/>
    <s v="Абрикосы"/>
    <n v="1320"/>
    <n v="11"/>
    <n v="14.52"/>
    <x v="9"/>
  </r>
  <r>
    <d v="2023-09-30T00:00:00"/>
    <x v="0"/>
    <s v="Барановичи"/>
    <s v="Фрукты"/>
    <s v="Апельсины"/>
    <n v="2540"/>
    <n v="86"/>
    <n v="218.44"/>
    <x v="9"/>
  </r>
  <r>
    <d v="2023-09-30T00:00:00"/>
    <x v="2"/>
    <s v="Барановичи"/>
    <s v="Фрукты"/>
    <s v="Яблоки"/>
    <n v="1230"/>
    <n v="42"/>
    <n v="51.66"/>
    <x v="9"/>
  </r>
  <r>
    <d v="2023-09-30T00:00:00"/>
    <x v="2"/>
    <s v="Барановичи"/>
    <s v="Ягоды"/>
    <s v="Брусника"/>
    <n v="1670"/>
    <n v="73"/>
    <n v="121.91"/>
    <x v="9"/>
  </r>
  <r>
    <d v="2023-09-30T00:00:00"/>
    <x v="2"/>
    <s v="Борисов"/>
    <s v="Зелень"/>
    <s v="Укроп"/>
    <n v="650"/>
    <n v="12"/>
    <n v="7.8"/>
    <x v="9"/>
  </r>
  <r>
    <d v="2023-09-30T00:00:00"/>
    <x v="4"/>
    <s v="Борисов"/>
    <s v="Овощи"/>
    <s v="Морковь"/>
    <n v="715"/>
    <n v="36"/>
    <n v="25.74"/>
    <x v="9"/>
  </r>
  <r>
    <d v="2023-09-30T00:00:00"/>
    <x v="4"/>
    <s v="Борисов"/>
    <s v="Овощи"/>
    <s v="Баклажаны"/>
    <n v="890"/>
    <n v="75"/>
    <n v="66.75"/>
    <x v="9"/>
  </r>
  <r>
    <d v="2023-09-30T00:00:00"/>
    <x v="2"/>
    <s v="Борисов"/>
    <s v="Ягоды"/>
    <s v="Смородина черная"/>
    <n v="1505"/>
    <n v="8"/>
    <n v="12.04"/>
    <x v="9"/>
  </r>
  <r>
    <d v="2023-09-30T00:00:00"/>
    <x v="1"/>
    <s v="Жодино"/>
    <s v="Зелень"/>
    <s v="Укроп"/>
    <n v="650"/>
    <n v="45"/>
    <n v="29.25"/>
    <x v="9"/>
  </r>
  <r>
    <d v="2023-09-30T00:00:00"/>
    <x v="0"/>
    <s v="Жодино"/>
    <s v="Фрукты"/>
    <s v="Яблоки"/>
    <n v="1230"/>
    <n v="28"/>
    <n v="34.44"/>
    <x v="9"/>
  </r>
  <r>
    <d v="2023-09-30T00:00:00"/>
    <x v="2"/>
    <s v="Жодино"/>
    <s v="Ягоды"/>
    <s v="Клубника"/>
    <n v="2460"/>
    <n v="32"/>
    <n v="78.72"/>
    <x v="9"/>
  </r>
  <r>
    <d v="2023-09-30T00:00:00"/>
    <x v="1"/>
    <s v="Минск"/>
    <s v="Зелень"/>
    <s v="Лук зеленый"/>
    <n v="705"/>
    <n v="44"/>
    <n v="31.02"/>
    <x v="9"/>
  </r>
  <r>
    <d v="2023-09-30T00:00:00"/>
    <x v="4"/>
    <s v="Столбцы"/>
    <s v="Овощи"/>
    <s v="Кабачки"/>
    <n v="325"/>
    <n v="43"/>
    <n v="13.975"/>
    <x v="9"/>
  </r>
  <r>
    <d v="2023-09-30T00:00:00"/>
    <x v="0"/>
    <s v="Столбцы"/>
    <s v="Овощи"/>
    <s v="Свекла"/>
    <n v="450"/>
    <n v="17"/>
    <n v="7.65"/>
    <x v="9"/>
  </r>
  <r>
    <s v="30.09.2023 Итог"/>
    <x v="3"/>
    <m/>
    <m/>
    <m/>
    <m/>
    <m/>
    <n v="713.91499999999996"/>
    <x v="1"/>
  </r>
  <r>
    <d v="2023-10-01T00:00:00"/>
    <x v="2"/>
    <s v="Барановичи"/>
    <s v="Овощи"/>
    <s v="Картофель"/>
    <n v="690"/>
    <n v="13"/>
    <n v="8.9700000000000006"/>
    <x v="10"/>
  </r>
  <r>
    <d v="2023-10-01T00:00:00"/>
    <x v="2"/>
    <s v="Барановичи"/>
    <s v="Фрукты"/>
    <s v="Яблоки"/>
    <n v="1230"/>
    <n v="76"/>
    <n v="93.48"/>
    <x v="10"/>
  </r>
  <r>
    <d v="2023-10-01T00:00:00"/>
    <x v="0"/>
    <s v="Барановичи"/>
    <s v="Фрукты"/>
    <s v="Абрикосы"/>
    <n v="1320"/>
    <n v="39"/>
    <n v="51.48"/>
    <x v="10"/>
  </r>
  <r>
    <d v="2023-10-01T00:00:00"/>
    <x v="1"/>
    <s v="Борисов"/>
    <s v="Овощи"/>
    <s v="Морковь"/>
    <n v="715"/>
    <n v="36"/>
    <n v="25.74"/>
    <x v="10"/>
  </r>
  <r>
    <d v="2023-10-01T00:00:00"/>
    <x v="0"/>
    <s v="Борисов"/>
    <s v="Фрукты"/>
    <s v="Сливы"/>
    <n v="930"/>
    <n v="25"/>
    <n v="23.25"/>
    <x v="10"/>
  </r>
  <r>
    <d v="2023-10-01T00:00:00"/>
    <x v="0"/>
    <s v="Борисов"/>
    <s v="Ягоды"/>
    <s v="Смородина черная"/>
    <n v="1505"/>
    <n v="87"/>
    <n v="130.935"/>
    <x v="10"/>
  </r>
  <r>
    <d v="2023-10-01T00:00:00"/>
    <x v="4"/>
    <s v="Борисов"/>
    <s v="Ягоды"/>
    <s v="Смородина черная"/>
    <n v="1505"/>
    <n v="11"/>
    <n v="16.555"/>
    <x v="10"/>
  </r>
  <r>
    <d v="2023-10-01T00:00:00"/>
    <x v="4"/>
    <s v="Жодино"/>
    <s v="Фрукты"/>
    <s v="Яблоки"/>
    <n v="1230"/>
    <n v="7"/>
    <n v="8.61"/>
    <x v="10"/>
  </r>
  <r>
    <d v="2023-10-01T00:00:00"/>
    <x v="4"/>
    <s v="Жодино"/>
    <s v="Фрукты"/>
    <s v="Сливы"/>
    <n v="930"/>
    <n v="49"/>
    <n v="45.57"/>
    <x v="10"/>
  </r>
  <r>
    <d v="2023-10-01T00:00:00"/>
    <x v="0"/>
    <s v="Минск"/>
    <s v="Зелень"/>
    <s v="Укроп"/>
    <n v="650"/>
    <n v="89"/>
    <n v="57.85"/>
    <x v="10"/>
  </r>
  <r>
    <d v="2023-10-01T00:00:00"/>
    <x v="1"/>
    <s v="Фаниполь"/>
    <s v="Овощи"/>
    <s v="Свекла"/>
    <n v="450"/>
    <n v="28"/>
    <n v="12.6"/>
    <x v="10"/>
  </r>
  <r>
    <d v="2023-10-01T00:00:00"/>
    <x v="1"/>
    <s v="Фаниполь"/>
    <s v="Ягоды"/>
    <s v="Брусника"/>
    <n v="1670"/>
    <n v="99"/>
    <n v="165.33"/>
    <x v="10"/>
  </r>
  <r>
    <s v="01.10.2023 Итог"/>
    <x v="3"/>
    <m/>
    <m/>
    <m/>
    <m/>
    <m/>
    <n v="640.37000000000012"/>
    <x v="10"/>
  </r>
  <r>
    <d v="2023-10-02T00:00:00"/>
    <x v="2"/>
    <s v="Барановичи"/>
    <s v="Овощи"/>
    <s v="Кабачки"/>
    <n v="325"/>
    <n v="99"/>
    <n v="32.174999999999997"/>
    <x v="10"/>
  </r>
  <r>
    <d v="2023-10-02T00:00:00"/>
    <x v="4"/>
    <s v="Барановичи"/>
    <s v="Фрукты"/>
    <s v="Абрикосы"/>
    <n v="1320"/>
    <n v="60"/>
    <n v="79.2"/>
    <x v="10"/>
  </r>
  <r>
    <d v="2023-10-02T00:00:00"/>
    <x v="1"/>
    <s v="Борисов"/>
    <s v="Овощи"/>
    <s v="Кабачки"/>
    <n v="325"/>
    <n v="91"/>
    <n v="29.574999999999999"/>
    <x v="10"/>
  </r>
  <r>
    <d v="2023-10-02T00:00:00"/>
    <x v="0"/>
    <s v="Борисов"/>
    <s v="Ягоды"/>
    <s v="Малина"/>
    <n v="2970"/>
    <n v="52"/>
    <n v="154.44"/>
    <x v="10"/>
  </r>
  <r>
    <d v="2023-10-02T00:00:00"/>
    <x v="4"/>
    <s v="Жодино"/>
    <s v="Фрукты"/>
    <s v="Груши"/>
    <n v="1420"/>
    <n v="53"/>
    <n v="75.260000000000005"/>
    <x v="10"/>
  </r>
  <r>
    <d v="2023-10-02T00:00:00"/>
    <x v="4"/>
    <s v="Минск"/>
    <s v="Ягоды"/>
    <s v="Голубика"/>
    <n v="3205"/>
    <n v="82"/>
    <n v="262.81"/>
    <x v="10"/>
  </r>
  <r>
    <d v="2023-10-02T00:00:00"/>
    <x v="0"/>
    <s v="Столбцы"/>
    <s v="Фрукты"/>
    <s v="Апельсины"/>
    <n v="2540"/>
    <n v="29"/>
    <n v="73.66"/>
    <x v="10"/>
  </r>
  <r>
    <d v="2023-10-02T00:00:00"/>
    <x v="4"/>
    <s v="Фаниполь"/>
    <s v="Фрукты"/>
    <s v="Бананы"/>
    <n v="2400"/>
    <n v="38"/>
    <n v="91.2"/>
    <x v="10"/>
  </r>
  <r>
    <s v="02.10.2023 Итог"/>
    <x v="3"/>
    <m/>
    <m/>
    <m/>
    <m/>
    <m/>
    <n v="798.32"/>
    <x v="10"/>
  </r>
  <r>
    <d v="2023-10-03T00:00:00"/>
    <x v="2"/>
    <s v="Барановичи"/>
    <s v="Зелень"/>
    <s v="Петрушка"/>
    <n v="640"/>
    <n v="22"/>
    <n v="14.08"/>
    <x v="10"/>
  </r>
  <r>
    <d v="2023-10-03T00:00:00"/>
    <x v="0"/>
    <s v="Барановичи"/>
    <s v="Фрукты"/>
    <s v="Бананы"/>
    <n v="2400"/>
    <n v="77"/>
    <n v="184.8"/>
    <x v="10"/>
  </r>
  <r>
    <d v="2023-10-03T00:00:00"/>
    <x v="4"/>
    <s v="Барановичи"/>
    <s v="Фрукты"/>
    <s v="Сливы"/>
    <n v="930"/>
    <n v="41"/>
    <n v="38.130000000000003"/>
    <x v="10"/>
  </r>
  <r>
    <d v="2023-10-03T00:00:00"/>
    <x v="4"/>
    <s v="Барановичи"/>
    <s v="Ягоды"/>
    <s v="Голубика"/>
    <n v="3205"/>
    <n v="57"/>
    <n v="182.685"/>
    <x v="10"/>
  </r>
  <r>
    <d v="2023-10-03T00:00:00"/>
    <x v="4"/>
    <s v="Жодино"/>
    <s v="Фрукты"/>
    <s v="Абрикосы"/>
    <n v="1320"/>
    <n v="29"/>
    <n v="38.28"/>
    <x v="10"/>
  </r>
  <r>
    <d v="2023-10-03T00:00:00"/>
    <x v="0"/>
    <s v="Жодино"/>
    <s v="Фрукты"/>
    <s v="Груши"/>
    <n v="1420"/>
    <n v="88"/>
    <n v="124.96"/>
    <x v="10"/>
  </r>
  <r>
    <d v="2023-10-03T00:00:00"/>
    <x v="0"/>
    <s v="Минск"/>
    <s v="Фрукты"/>
    <s v="Абрикосы"/>
    <n v="1320"/>
    <n v="70"/>
    <n v="92.4"/>
    <x v="10"/>
  </r>
  <r>
    <d v="2023-10-03T00:00:00"/>
    <x v="0"/>
    <s v="Минск"/>
    <s v="Фрукты"/>
    <s v="Апельсины"/>
    <n v="2540"/>
    <n v="15"/>
    <n v="38.1"/>
    <x v="10"/>
  </r>
  <r>
    <d v="2023-10-03T00:00:00"/>
    <x v="4"/>
    <s v="Столбцы"/>
    <s v="Фрукты"/>
    <s v="Сливы"/>
    <n v="930"/>
    <n v="70"/>
    <n v="65.099999999999994"/>
    <x v="10"/>
  </r>
  <r>
    <d v="2023-10-03T00:00:00"/>
    <x v="2"/>
    <s v="Столбцы"/>
    <s v="Фрукты"/>
    <s v="Груши"/>
    <n v="1420"/>
    <n v="68"/>
    <n v="96.56"/>
    <x v="10"/>
  </r>
  <r>
    <d v="2023-10-03T00:00:00"/>
    <x v="2"/>
    <s v="Фаниполь"/>
    <s v="Овощи"/>
    <s v="Кабачки"/>
    <n v="325"/>
    <n v="57"/>
    <n v="18.524999999999999"/>
    <x v="10"/>
  </r>
  <r>
    <s v="03.10.2023 Итог"/>
    <x v="3"/>
    <m/>
    <m/>
    <m/>
    <m/>
    <m/>
    <n v="893.62"/>
    <x v="10"/>
  </r>
  <r>
    <d v="2023-10-04T00:00:00"/>
    <x v="2"/>
    <s v="Борисов"/>
    <s v="Овощи"/>
    <s v="Свекла"/>
    <n v="450"/>
    <n v="99"/>
    <n v="44.55"/>
    <x v="10"/>
  </r>
  <r>
    <d v="2023-10-04T00:00:00"/>
    <x v="0"/>
    <s v="Жодино"/>
    <s v="Овощи"/>
    <s v="Капуста"/>
    <n v="460"/>
    <n v="97"/>
    <n v="44.62"/>
    <x v="10"/>
  </r>
  <r>
    <d v="2023-10-04T00:00:00"/>
    <x v="1"/>
    <s v="Жодино"/>
    <s v="Овощи"/>
    <s v="Капуста"/>
    <n v="460"/>
    <n v="48"/>
    <n v="22.08"/>
    <x v="10"/>
  </r>
  <r>
    <d v="2023-10-04T00:00:00"/>
    <x v="0"/>
    <s v="Минск"/>
    <s v="Овощи"/>
    <s v="Свекла"/>
    <n v="450"/>
    <n v="53"/>
    <n v="23.85"/>
    <x v="10"/>
  </r>
  <r>
    <d v="2023-10-04T00:00:00"/>
    <x v="2"/>
    <s v="Минск"/>
    <s v="Фрукты"/>
    <s v="Сливы"/>
    <n v="930"/>
    <n v="100"/>
    <n v="93"/>
    <x v="10"/>
  </r>
  <r>
    <d v="2023-10-04T00:00:00"/>
    <x v="1"/>
    <s v="Минск"/>
    <s v="Ягоды"/>
    <s v="Малина"/>
    <n v="2970"/>
    <n v="11"/>
    <n v="32.67"/>
    <x v="10"/>
  </r>
  <r>
    <d v="2023-10-04T00:00:00"/>
    <x v="4"/>
    <s v="Минск"/>
    <s v="Ягоды"/>
    <s v="Голубика"/>
    <n v="3205"/>
    <n v="50"/>
    <n v="160.25"/>
    <x v="10"/>
  </r>
  <r>
    <d v="2023-10-04T00:00:00"/>
    <x v="1"/>
    <s v="Столбцы"/>
    <s v="Овощи"/>
    <s v="Баклажаны"/>
    <n v="890"/>
    <n v="90"/>
    <n v="80.099999999999994"/>
    <x v="10"/>
  </r>
  <r>
    <d v="2023-10-04T00:00:00"/>
    <x v="0"/>
    <s v="Столбцы"/>
    <s v="Фрукты"/>
    <s v="Абрикосы"/>
    <n v="1320"/>
    <n v="32"/>
    <n v="42.24"/>
    <x v="10"/>
  </r>
  <r>
    <d v="2023-10-04T00:00:00"/>
    <x v="2"/>
    <s v="Фаниполь"/>
    <s v="Зелень"/>
    <s v="Салат айсберг"/>
    <n v="1380"/>
    <n v="17"/>
    <n v="23.46"/>
    <x v="10"/>
  </r>
  <r>
    <d v="2023-10-04T00:00:00"/>
    <x v="4"/>
    <s v="Фаниполь"/>
    <s v="Фрукты"/>
    <s v="Яблоки"/>
    <n v="1230"/>
    <n v="44"/>
    <n v="54.12"/>
    <x v="10"/>
  </r>
  <r>
    <d v="2023-10-04T00:00:00"/>
    <x v="2"/>
    <s v="Фаниполь"/>
    <s v="Ягоды"/>
    <s v="Клубника"/>
    <n v="2460"/>
    <n v="90"/>
    <n v="221.4"/>
    <x v="10"/>
  </r>
  <r>
    <s v="04.10.2023 Итог"/>
    <x v="3"/>
    <m/>
    <m/>
    <m/>
    <m/>
    <m/>
    <n v="842.34"/>
    <x v="10"/>
  </r>
  <r>
    <d v="2023-10-05T00:00:00"/>
    <x v="4"/>
    <s v="Барановичи"/>
    <s v="Фрукты"/>
    <s v="Апельсины"/>
    <n v="2540"/>
    <n v="87"/>
    <n v="220.98"/>
    <x v="10"/>
  </r>
  <r>
    <d v="2023-10-05T00:00:00"/>
    <x v="1"/>
    <s v="Минск"/>
    <s v="Зелень"/>
    <s v="Салат римский"/>
    <n v="540"/>
    <n v="17"/>
    <n v="9.18"/>
    <x v="10"/>
  </r>
  <r>
    <d v="2023-10-05T00:00:00"/>
    <x v="1"/>
    <s v="Минск"/>
    <s v="Ягоды"/>
    <s v="Черешня"/>
    <n v="1760"/>
    <n v="61"/>
    <n v="107.36"/>
    <x v="10"/>
  </r>
  <r>
    <d v="2023-10-05T00:00:00"/>
    <x v="2"/>
    <s v="Минск"/>
    <s v="Ягоды"/>
    <s v="Смородина черная"/>
    <n v="1505"/>
    <n v="47"/>
    <n v="70.734999999999999"/>
    <x v="10"/>
  </r>
  <r>
    <d v="2023-10-05T00:00:00"/>
    <x v="4"/>
    <s v="Столбцы"/>
    <s v="Зелень"/>
    <s v="Кинза"/>
    <n v="650"/>
    <n v="49"/>
    <n v="31.85"/>
    <x v="10"/>
  </r>
  <r>
    <d v="2023-10-05T00:00:00"/>
    <x v="4"/>
    <s v="Столбцы"/>
    <s v="Овощи"/>
    <s v="Кабачки"/>
    <n v="325"/>
    <n v="43"/>
    <n v="13.975"/>
    <x v="10"/>
  </r>
  <r>
    <d v="2023-10-05T00:00:00"/>
    <x v="1"/>
    <s v="Фаниполь"/>
    <s v="Зелень"/>
    <s v="Салат римский"/>
    <n v="540"/>
    <n v="15"/>
    <n v="8.1"/>
    <x v="10"/>
  </r>
  <r>
    <d v="2023-10-05T00:00:00"/>
    <x v="0"/>
    <s v="Фаниполь"/>
    <s v="Зелень"/>
    <s v="Лук зеленый"/>
    <n v="705"/>
    <n v="99"/>
    <n v="69.795000000000002"/>
    <x v="10"/>
  </r>
  <r>
    <d v="2023-10-05T00:00:00"/>
    <x v="0"/>
    <s v="Фаниполь"/>
    <s v="Ягоды"/>
    <s v="Брусника"/>
    <n v="1670"/>
    <n v="77"/>
    <n v="128.59"/>
    <x v="10"/>
  </r>
  <r>
    <s v="05.10.2023 Итог"/>
    <x v="3"/>
    <m/>
    <m/>
    <m/>
    <m/>
    <m/>
    <n v="660.56500000000005"/>
    <x v="10"/>
  </r>
  <r>
    <d v="2023-10-06T00:00:00"/>
    <x v="1"/>
    <s v="Борисов"/>
    <s v="Зелень"/>
    <s v="Салат айсберг"/>
    <n v="1380"/>
    <n v="80"/>
    <n v="110.4"/>
    <x v="10"/>
  </r>
  <r>
    <d v="2023-10-06T00:00:00"/>
    <x v="1"/>
    <s v="Борисов"/>
    <s v="Овощи"/>
    <s v="Свекла"/>
    <n v="450"/>
    <n v="21"/>
    <n v="9.4499999999999993"/>
    <x v="10"/>
  </r>
  <r>
    <d v="2023-10-06T00:00:00"/>
    <x v="0"/>
    <s v="Жодино"/>
    <s v="Ягоды"/>
    <s v="Брусника"/>
    <n v="1670"/>
    <n v="32"/>
    <n v="53.44"/>
    <x v="10"/>
  </r>
  <r>
    <d v="2023-10-06T00:00:00"/>
    <x v="2"/>
    <s v="Минск"/>
    <s v="Овощи"/>
    <s v="Морковь"/>
    <n v="715"/>
    <n v="81"/>
    <n v="57.914999999999999"/>
    <x v="10"/>
  </r>
  <r>
    <d v="2023-10-06T00:00:00"/>
    <x v="2"/>
    <s v="Столбцы"/>
    <s v="Зелень"/>
    <s v="Петрушка"/>
    <n v="640"/>
    <n v="60"/>
    <n v="38.4"/>
    <x v="10"/>
  </r>
  <r>
    <d v="2023-10-06T00:00:00"/>
    <x v="4"/>
    <s v="Столбцы"/>
    <s v="Фрукты"/>
    <s v="Апельсины"/>
    <n v="2540"/>
    <n v="58"/>
    <n v="147.32"/>
    <x v="10"/>
  </r>
  <r>
    <s v="06.10.2023 Итог"/>
    <x v="3"/>
    <m/>
    <m/>
    <m/>
    <m/>
    <m/>
    <n v="416.92500000000001"/>
    <x v="10"/>
  </r>
  <r>
    <d v="2023-10-07T00:00:00"/>
    <x v="4"/>
    <s v="Барановичи"/>
    <s v="Зелень"/>
    <s v="Укроп"/>
    <n v="650"/>
    <n v="86"/>
    <n v="55.9"/>
    <x v="10"/>
  </r>
  <r>
    <d v="2023-10-07T00:00:00"/>
    <x v="4"/>
    <s v="Барановичи"/>
    <s v="Овощи"/>
    <s v="Морковь"/>
    <n v="715"/>
    <n v="49"/>
    <n v="35.034999999999997"/>
    <x v="10"/>
  </r>
  <r>
    <d v="2023-10-07T00:00:00"/>
    <x v="2"/>
    <s v="Барановичи"/>
    <s v="Фрукты"/>
    <s v="Груши"/>
    <n v="1420"/>
    <n v="96"/>
    <n v="136.32"/>
    <x v="10"/>
  </r>
  <r>
    <d v="2023-10-07T00:00:00"/>
    <x v="2"/>
    <s v="Барановичи"/>
    <s v="Фрукты"/>
    <s v="Апельсины"/>
    <n v="2540"/>
    <n v="68"/>
    <n v="172.72"/>
    <x v="10"/>
  </r>
  <r>
    <d v="2023-10-07T00:00:00"/>
    <x v="2"/>
    <s v="Борисов"/>
    <s v="Зелень"/>
    <s v="Лук зеленый"/>
    <n v="705"/>
    <n v="65"/>
    <n v="45.825000000000003"/>
    <x v="10"/>
  </r>
  <r>
    <d v="2023-10-07T00:00:00"/>
    <x v="0"/>
    <s v="Жодино"/>
    <s v="Овощи"/>
    <s v="Кабачки"/>
    <n v="325"/>
    <n v="52"/>
    <n v="16.899999999999999"/>
    <x v="10"/>
  </r>
  <r>
    <d v="2023-10-07T00:00:00"/>
    <x v="4"/>
    <s v="Минск"/>
    <s v="Зелень"/>
    <s v="Укроп"/>
    <n v="650"/>
    <n v="79"/>
    <n v="51.35"/>
    <x v="10"/>
  </r>
  <r>
    <d v="2023-10-07T00:00:00"/>
    <x v="1"/>
    <s v="Столбцы"/>
    <s v="Ягоды"/>
    <s v="Брусника"/>
    <n v="1670"/>
    <n v="14"/>
    <n v="23.38"/>
    <x v="10"/>
  </r>
  <r>
    <s v="07.10.2023 Итог"/>
    <x v="3"/>
    <m/>
    <m/>
    <m/>
    <m/>
    <m/>
    <n v="537.42999999999995"/>
    <x v="10"/>
  </r>
  <r>
    <d v="2023-10-08T00:00:00"/>
    <x v="2"/>
    <s v="Борисов"/>
    <s v="Зелень"/>
    <s v="Салат римский"/>
    <n v="540"/>
    <n v="26"/>
    <n v="14.04"/>
    <x v="10"/>
  </r>
  <r>
    <d v="2023-10-08T00:00:00"/>
    <x v="4"/>
    <s v="Борисов"/>
    <s v="Овощи"/>
    <s v="Баклажаны"/>
    <n v="890"/>
    <n v="15"/>
    <n v="13.35"/>
    <x v="10"/>
  </r>
  <r>
    <d v="2023-10-08T00:00:00"/>
    <x v="0"/>
    <s v="Жодино"/>
    <s v="Овощи"/>
    <s v="Кабачки"/>
    <n v="325"/>
    <n v="64"/>
    <n v="20.8"/>
    <x v="10"/>
  </r>
  <r>
    <d v="2023-10-08T00:00:00"/>
    <x v="0"/>
    <s v="Столбцы"/>
    <s v="Фрукты"/>
    <s v="Груши"/>
    <n v="1420"/>
    <n v="70"/>
    <n v="99.4"/>
    <x v="10"/>
  </r>
  <r>
    <d v="2023-10-08T00:00:00"/>
    <x v="4"/>
    <s v="Столбцы"/>
    <s v="Ягоды"/>
    <s v="Смородина черная"/>
    <n v="1505"/>
    <n v="21"/>
    <n v="31.605"/>
    <x v="10"/>
  </r>
  <r>
    <d v="2023-10-08T00:00:00"/>
    <x v="4"/>
    <s v="Фаниполь"/>
    <s v="Овощи"/>
    <s v="Баклажаны"/>
    <n v="890"/>
    <n v="67"/>
    <n v="59.63"/>
    <x v="10"/>
  </r>
  <r>
    <d v="2023-10-08T00:00:00"/>
    <x v="0"/>
    <s v="Фаниполь"/>
    <s v="Ягоды"/>
    <s v="Голубика"/>
    <n v="3205"/>
    <n v="9"/>
    <n v="28.844999999999999"/>
    <x v="10"/>
  </r>
  <r>
    <s v="08.10.2023 Итог"/>
    <x v="3"/>
    <m/>
    <m/>
    <m/>
    <m/>
    <m/>
    <n v="267.66999999999996"/>
    <x v="10"/>
  </r>
  <r>
    <d v="2023-10-09T00:00:00"/>
    <x v="1"/>
    <s v="Барановичи"/>
    <s v="Зелень"/>
    <s v="Салат римский"/>
    <n v="540"/>
    <n v="36"/>
    <n v="19.440000000000001"/>
    <x v="10"/>
  </r>
  <r>
    <d v="2023-10-09T00:00:00"/>
    <x v="1"/>
    <s v="Барановичи"/>
    <s v="Фрукты"/>
    <s v="Сливы"/>
    <n v="930"/>
    <n v="99"/>
    <n v="92.07"/>
    <x v="10"/>
  </r>
  <r>
    <d v="2023-10-09T00:00:00"/>
    <x v="0"/>
    <s v="Жодино"/>
    <s v="Зелень"/>
    <s v="Салат римский"/>
    <n v="540"/>
    <n v="19"/>
    <n v="10.26"/>
    <x v="10"/>
  </r>
  <r>
    <d v="2023-10-09T00:00:00"/>
    <x v="4"/>
    <s v="Минск"/>
    <s v="Овощи"/>
    <s v="Свекла"/>
    <n v="450"/>
    <n v="66"/>
    <n v="29.7"/>
    <x v="10"/>
  </r>
  <r>
    <d v="2023-10-09T00:00:00"/>
    <x v="4"/>
    <s v="Минск"/>
    <s v="Фрукты"/>
    <s v="Абрикосы"/>
    <n v="1320"/>
    <n v="79"/>
    <n v="104.28"/>
    <x v="10"/>
  </r>
  <r>
    <d v="2023-10-09T00:00:00"/>
    <x v="1"/>
    <s v="Минск"/>
    <s v="Фрукты"/>
    <s v="Яблоки"/>
    <n v="1230"/>
    <n v="8"/>
    <n v="9.84"/>
    <x v="10"/>
  </r>
  <r>
    <d v="2023-10-09T00:00:00"/>
    <x v="4"/>
    <s v="Минск"/>
    <s v="Ягоды"/>
    <s v="Смородина черная"/>
    <n v="1505"/>
    <n v="85"/>
    <n v="127.925"/>
    <x v="10"/>
  </r>
  <r>
    <d v="2023-10-09T00:00:00"/>
    <x v="0"/>
    <s v="Фаниполь"/>
    <s v="Фрукты"/>
    <s v="Бананы"/>
    <n v="2400"/>
    <n v="10"/>
    <n v="24"/>
    <x v="10"/>
  </r>
  <r>
    <d v="2023-10-09T00:00:00"/>
    <x v="2"/>
    <s v="Фаниполь"/>
    <s v="Фрукты"/>
    <s v="Апельсины"/>
    <n v="2540"/>
    <n v="67"/>
    <n v="170.18"/>
    <x v="10"/>
  </r>
  <r>
    <s v="09.10.2023 Итог"/>
    <x v="3"/>
    <m/>
    <m/>
    <m/>
    <m/>
    <m/>
    <n v="587.69499999999994"/>
    <x v="10"/>
  </r>
  <r>
    <d v="2023-10-10T00:00:00"/>
    <x v="2"/>
    <s v="Борисов"/>
    <s v="Фрукты"/>
    <s v="Абрикосы"/>
    <n v="1320"/>
    <n v="11"/>
    <n v="14.52"/>
    <x v="10"/>
  </r>
  <r>
    <d v="2023-10-10T00:00:00"/>
    <x v="1"/>
    <s v="Жодино"/>
    <s v="Овощи"/>
    <s v="Баклажаны"/>
    <n v="890"/>
    <n v="50"/>
    <n v="44.5"/>
    <x v="10"/>
  </r>
  <r>
    <d v="2023-10-10T00:00:00"/>
    <x v="1"/>
    <s v="Жодино"/>
    <s v="Фрукты"/>
    <s v="Сливы"/>
    <n v="930"/>
    <n v="48"/>
    <n v="44.64"/>
    <x v="10"/>
  </r>
  <r>
    <d v="2023-10-10T00:00:00"/>
    <x v="0"/>
    <s v="Минск"/>
    <s v="Овощи"/>
    <s v="Свекла"/>
    <n v="450"/>
    <n v="89"/>
    <n v="40.049999999999997"/>
    <x v="10"/>
  </r>
  <r>
    <d v="2023-10-10T00:00:00"/>
    <x v="2"/>
    <s v="Минск"/>
    <s v="Фрукты"/>
    <s v="Бананы"/>
    <n v="2400"/>
    <n v="14"/>
    <n v="33.6"/>
    <x v="10"/>
  </r>
  <r>
    <d v="2023-10-10T00:00:00"/>
    <x v="2"/>
    <s v="Минск"/>
    <s v="Ягоды"/>
    <s v="Смородина черная"/>
    <n v="1505"/>
    <n v="83"/>
    <n v="124.91500000000001"/>
    <x v="10"/>
  </r>
  <r>
    <d v="2023-10-10T00:00:00"/>
    <x v="2"/>
    <s v="Столбцы"/>
    <s v="Зелень"/>
    <s v="Салат айсберг"/>
    <n v="1380"/>
    <n v="85"/>
    <n v="117.3"/>
    <x v="10"/>
  </r>
  <r>
    <d v="2023-10-10T00:00:00"/>
    <x v="0"/>
    <s v="Фаниполь"/>
    <s v="Зелень"/>
    <s v="Кинза"/>
    <n v="650"/>
    <n v="59"/>
    <n v="38.35"/>
    <x v="10"/>
  </r>
  <r>
    <s v="10.10.2023 Итог"/>
    <x v="3"/>
    <m/>
    <m/>
    <m/>
    <m/>
    <m/>
    <n v="457.875"/>
    <x v="10"/>
  </r>
  <r>
    <d v="2023-10-11T00:00:00"/>
    <x v="2"/>
    <s v="Барановичи"/>
    <s v="Зелень"/>
    <s v="Кинза"/>
    <n v="650"/>
    <n v="76"/>
    <n v="49.4"/>
    <x v="10"/>
  </r>
  <r>
    <d v="2023-10-11T00:00:00"/>
    <x v="0"/>
    <s v="Барановичи"/>
    <s v="Овощи"/>
    <s v="Баклажаны"/>
    <n v="890"/>
    <n v="52"/>
    <n v="46.28"/>
    <x v="10"/>
  </r>
  <r>
    <d v="2023-10-11T00:00:00"/>
    <x v="4"/>
    <s v="Борисов"/>
    <s v="Зелень"/>
    <s v="Салат айсберг"/>
    <n v="1380"/>
    <n v="38"/>
    <n v="52.44"/>
    <x v="10"/>
  </r>
  <r>
    <d v="2023-10-11T00:00:00"/>
    <x v="2"/>
    <s v="Борисов"/>
    <s v="Фрукты"/>
    <s v="Апельсины"/>
    <n v="2540"/>
    <n v="95"/>
    <n v="241.3"/>
    <x v="10"/>
  </r>
  <r>
    <d v="2023-10-11T00:00:00"/>
    <x v="4"/>
    <s v="Жодино"/>
    <s v="Зелень"/>
    <s v="Салат айсберг"/>
    <n v="1380"/>
    <n v="10"/>
    <n v="13.8"/>
    <x v="10"/>
  </r>
  <r>
    <d v="2023-10-11T00:00:00"/>
    <x v="2"/>
    <s v="Минск"/>
    <s v="Зелень"/>
    <s v="Салат айсберг"/>
    <n v="1380"/>
    <n v="23"/>
    <n v="31.74"/>
    <x v="10"/>
  </r>
  <r>
    <d v="2023-10-11T00:00:00"/>
    <x v="1"/>
    <s v="Минск"/>
    <s v="Овощи"/>
    <s v="Картофель"/>
    <n v="690"/>
    <n v="74"/>
    <n v="51.06"/>
    <x v="10"/>
  </r>
  <r>
    <d v="2023-10-11T00:00:00"/>
    <x v="2"/>
    <s v="Минск"/>
    <s v="Ягоды"/>
    <s v="Малина"/>
    <n v="2970"/>
    <n v="48"/>
    <n v="142.56"/>
    <x v="10"/>
  </r>
  <r>
    <d v="2023-10-11T00:00:00"/>
    <x v="2"/>
    <s v="Столбцы"/>
    <s v="Зелень"/>
    <s v="Салат римский"/>
    <n v="540"/>
    <n v="64"/>
    <n v="34.56"/>
    <x v="10"/>
  </r>
  <r>
    <d v="2023-10-11T00:00:00"/>
    <x v="4"/>
    <s v="Столбцы"/>
    <s v="Зелень"/>
    <s v="Кинза"/>
    <n v="650"/>
    <n v="26"/>
    <n v="16.899999999999999"/>
    <x v="10"/>
  </r>
  <r>
    <d v="2023-10-11T00:00:00"/>
    <x v="2"/>
    <s v="Столбцы"/>
    <s v="Овощи"/>
    <s v="Кабачки"/>
    <n v="325"/>
    <n v="94"/>
    <n v="30.55"/>
    <x v="10"/>
  </r>
  <r>
    <d v="2023-10-11T00:00:00"/>
    <x v="2"/>
    <s v="Столбцы"/>
    <s v="Фрукты"/>
    <s v="Груши"/>
    <n v="1420"/>
    <n v="61"/>
    <n v="86.62"/>
    <x v="10"/>
  </r>
  <r>
    <d v="2023-10-11T00:00:00"/>
    <x v="1"/>
    <s v="Фаниполь"/>
    <s v="Ягоды"/>
    <s v="Брусника"/>
    <n v="1670"/>
    <n v="48"/>
    <n v="80.16"/>
    <x v="10"/>
  </r>
  <r>
    <s v="11.10.2023 Итог"/>
    <x v="3"/>
    <m/>
    <m/>
    <m/>
    <m/>
    <m/>
    <n v="877.37"/>
    <x v="10"/>
  </r>
  <r>
    <d v="2023-10-12T00:00:00"/>
    <x v="2"/>
    <s v="Барановичи"/>
    <s v="Фрукты"/>
    <s v="Апельсины"/>
    <n v="2540"/>
    <n v="89"/>
    <n v="226.06"/>
    <x v="10"/>
  </r>
  <r>
    <d v="2023-10-12T00:00:00"/>
    <x v="2"/>
    <s v="Барановичи"/>
    <s v="Ягоды"/>
    <s v="Голубика"/>
    <n v="3205"/>
    <n v="41"/>
    <n v="131.405"/>
    <x v="10"/>
  </r>
  <r>
    <d v="2023-10-12T00:00:00"/>
    <x v="4"/>
    <s v="Столбцы"/>
    <s v="Овощи"/>
    <s v="Свекла"/>
    <n v="450"/>
    <n v="50"/>
    <n v="22.5"/>
    <x v="10"/>
  </r>
  <r>
    <s v="12.10.2023 Итог"/>
    <x v="3"/>
    <m/>
    <m/>
    <m/>
    <m/>
    <m/>
    <n v="379.96500000000003"/>
    <x v="10"/>
  </r>
  <r>
    <d v="2023-10-13T00:00:00"/>
    <x v="1"/>
    <s v="Барановичи"/>
    <s v="Зелень"/>
    <s v="Салат айсберг"/>
    <n v="1380"/>
    <n v="44"/>
    <n v="60.72"/>
    <x v="10"/>
  </r>
  <r>
    <d v="2023-10-13T00:00:00"/>
    <x v="1"/>
    <s v="Борисов"/>
    <s v="Овощи"/>
    <s v="Баклажаны"/>
    <n v="890"/>
    <n v="83"/>
    <n v="73.87"/>
    <x v="10"/>
  </r>
  <r>
    <d v="2023-10-13T00:00:00"/>
    <x v="2"/>
    <s v="Борисов"/>
    <s v="Ягоды"/>
    <s v="Малина"/>
    <n v="2970"/>
    <n v="16"/>
    <n v="47.52"/>
    <x v="10"/>
  </r>
  <r>
    <d v="2023-10-13T00:00:00"/>
    <x v="0"/>
    <s v="Жодино"/>
    <s v="Фрукты"/>
    <s v="Бананы"/>
    <n v="2400"/>
    <n v="83"/>
    <n v="199.2"/>
    <x v="10"/>
  </r>
  <r>
    <d v="2023-10-13T00:00:00"/>
    <x v="2"/>
    <s v="Жодино"/>
    <s v="Ягоды"/>
    <s v="Черешня"/>
    <n v="1760"/>
    <n v="27"/>
    <n v="47.52"/>
    <x v="10"/>
  </r>
  <r>
    <d v="2023-10-13T00:00:00"/>
    <x v="1"/>
    <s v="Минск"/>
    <s v="Ягоды"/>
    <s v="Голубика"/>
    <n v="3205"/>
    <n v="36"/>
    <n v="115.38"/>
    <x v="10"/>
  </r>
  <r>
    <d v="2023-10-13T00:00:00"/>
    <x v="4"/>
    <s v="Минск"/>
    <s v="Ягоды"/>
    <s v="Черешня"/>
    <n v="1760"/>
    <n v="69"/>
    <n v="121.44"/>
    <x v="10"/>
  </r>
  <r>
    <d v="2023-10-13T00:00:00"/>
    <x v="4"/>
    <s v="Столбцы"/>
    <s v="Зелень"/>
    <s v="Лук зеленый"/>
    <n v="705"/>
    <n v="33"/>
    <n v="23.265000000000001"/>
    <x v="10"/>
  </r>
  <r>
    <d v="2023-10-13T00:00:00"/>
    <x v="0"/>
    <s v="Столбцы"/>
    <s v="Зелень"/>
    <s v="Петрушка"/>
    <n v="640"/>
    <n v="21"/>
    <n v="13.44"/>
    <x v="10"/>
  </r>
  <r>
    <d v="2023-10-13T00:00:00"/>
    <x v="2"/>
    <s v="Фаниполь"/>
    <s v="Зелень"/>
    <s v="Петрушка"/>
    <n v="640"/>
    <n v="46"/>
    <n v="29.44"/>
    <x v="10"/>
  </r>
  <r>
    <d v="2023-10-13T00:00:00"/>
    <x v="0"/>
    <s v="Фаниполь"/>
    <s v="Овощи"/>
    <s v="Свекла"/>
    <n v="450"/>
    <n v="34"/>
    <n v="15.3"/>
    <x v="10"/>
  </r>
  <r>
    <d v="2023-10-13T00:00:00"/>
    <x v="0"/>
    <s v="Фаниполь"/>
    <s v="Фрукты"/>
    <s v="Апельсины"/>
    <n v="2540"/>
    <n v="6"/>
    <n v="15.24"/>
    <x v="10"/>
  </r>
  <r>
    <s v="13.10.2023 Итог"/>
    <x v="3"/>
    <m/>
    <m/>
    <m/>
    <m/>
    <m/>
    <n v="762.33500000000015"/>
    <x v="10"/>
  </r>
  <r>
    <d v="2023-10-14T00:00:00"/>
    <x v="2"/>
    <s v="Барановичи"/>
    <s v="Ягоды"/>
    <s v="Смородина черная"/>
    <n v="1505"/>
    <n v="80"/>
    <n v="120.4"/>
    <x v="10"/>
  </r>
  <r>
    <d v="2023-10-14T00:00:00"/>
    <x v="1"/>
    <s v="Борисов"/>
    <s v="Зелень"/>
    <s v="Салат римский"/>
    <n v="540"/>
    <n v="39"/>
    <n v="21.06"/>
    <x v="10"/>
  </r>
  <r>
    <d v="2023-10-14T00:00:00"/>
    <x v="2"/>
    <s v="Борисов"/>
    <s v="Овощи"/>
    <s v="Морковь"/>
    <n v="715"/>
    <n v="88"/>
    <n v="62.92"/>
    <x v="10"/>
  </r>
  <r>
    <d v="2023-10-14T00:00:00"/>
    <x v="0"/>
    <s v="Жодино"/>
    <s v="Зелень"/>
    <s v="Салат римский"/>
    <n v="540"/>
    <n v="38"/>
    <n v="20.52"/>
    <x v="10"/>
  </r>
  <r>
    <d v="2023-10-14T00:00:00"/>
    <x v="0"/>
    <s v="Жодино"/>
    <s v="Фрукты"/>
    <s v="Абрикосы"/>
    <n v="1320"/>
    <n v="30"/>
    <n v="39.6"/>
    <x v="10"/>
  </r>
  <r>
    <d v="2023-10-14T00:00:00"/>
    <x v="0"/>
    <s v="Минск"/>
    <s v="Зелень"/>
    <s v="Лук зеленый"/>
    <n v="705"/>
    <n v="81"/>
    <n v="57.104999999999997"/>
    <x v="10"/>
  </r>
  <r>
    <d v="2023-10-14T00:00:00"/>
    <x v="4"/>
    <s v="Минск"/>
    <s v="Зелень"/>
    <s v="Укроп"/>
    <n v="650"/>
    <n v="35"/>
    <n v="22.75"/>
    <x v="10"/>
  </r>
  <r>
    <d v="2023-10-14T00:00:00"/>
    <x v="2"/>
    <s v="Минск"/>
    <s v="Зелень"/>
    <s v="Петрушка"/>
    <n v="640"/>
    <n v="63"/>
    <n v="40.32"/>
    <x v="10"/>
  </r>
  <r>
    <d v="2023-10-14T00:00:00"/>
    <x v="2"/>
    <s v="Столбцы"/>
    <s v="Фрукты"/>
    <s v="Бананы"/>
    <n v="2400"/>
    <n v="70"/>
    <n v="168"/>
    <x v="10"/>
  </r>
  <r>
    <s v="14.10.2023 Итог"/>
    <x v="3"/>
    <m/>
    <m/>
    <m/>
    <m/>
    <m/>
    <n v="552.67499999999995"/>
    <x v="10"/>
  </r>
  <r>
    <d v="2023-10-15T00:00:00"/>
    <x v="4"/>
    <s v="Барановичи"/>
    <s v="Зелень"/>
    <s v="Салат айсберг"/>
    <n v="1380"/>
    <n v="59"/>
    <n v="81.42"/>
    <x v="10"/>
  </r>
  <r>
    <d v="2023-10-15T00:00:00"/>
    <x v="1"/>
    <s v="Барановичи"/>
    <s v="Фрукты"/>
    <s v="Бананы"/>
    <n v="2400"/>
    <n v="86"/>
    <n v="206.4"/>
    <x v="10"/>
  </r>
  <r>
    <d v="2023-10-15T00:00:00"/>
    <x v="2"/>
    <s v="Барановичи"/>
    <s v="Фрукты"/>
    <s v="Абрикосы"/>
    <n v="1320"/>
    <n v="40"/>
    <n v="52.8"/>
    <x v="10"/>
  </r>
  <r>
    <d v="2023-10-15T00:00:00"/>
    <x v="2"/>
    <s v="Борисов"/>
    <s v="Зелень"/>
    <s v="Салат римский"/>
    <n v="540"/>
    <n v="23"/>
    <n v="12.42"/>
    <x v="10"/>
  </r>
  <r>
    <d v="2023-10-15T00:00:00"/>
    <x v="1"/>
    <s v="Борисов"/>
    <s v="Фрукты"/>
    <s v="Абрикосы"/>
    <n v="1320"/>
    <n v="68"/>
    <n v="89.76"/>
    <x v="10"/>
  </r>
  <r>
    <d v="2023-10-15T00:00:00"/>
    <x v="1"/>
    <s v="Борисов"/>
    <s v="Ягоды"/>
    <s v="Малина"/>
    <n v="2970"/>
    <n v="20"/>
    <n v="59.4"/>
    <x v="10"/>
  </r>
  <r>
    <d v="2023-10-15T00:00:00"/>
    <x v="1"/>
    <s v="Минск"/>
    <s v="Зелень"/>
    <s v="Петрушка"/>
    <n v="640"/>
    <n v="83"/>
    <n v="53.12"/>
    <x v="10"/>
  </r>
  <r>
    <d v="2023-10-15T00:00:00"/>
    <x v="2"/>
    <s v="Минск"/>
    <s v="Овощи"/>
    <s v="Морковь"/>
    <n v="715"/>
    <n v="14"/>
    <n v="10.01"/>
    <x v="10"/>
  </r>
  <r>
    <d v="2023-10-15T00:00:00"/>
    <x v="1"/>
    <s v="Минск"/>
    <s v="Фрукты"/>
    <s v="Груши"/>
    <n v="1420"/>
    <n v="8"/>
    <n v="11.36"/>
    <x v="10"/>
  </r>
  <r>
    <d v="2023-10-15T00:00:00"/>
    <x v="4"/>
    <s v="Столбцы"/>
    <s v="Зелень"/>
    <s v="Лук зеленый"/>
    <n v="705"/>
    <n v="21"/>
    <n v="14.805"/>
    <x v="10"/>
  </r>
  <r>
    <d v="2023-10-15T00:00:00"/>
    <x v="4"/>
    <s v="Столбцы"/>
    <s v="Фрукты"/>
    <s v="Апельсины"/>
    <n v="2540"/>
    <n v="72"/>
    <n v="182.88"/>
    <x v="10"/>
  </r>
  <r>
    <d v="2023-10-15T00:00:00"/>
    <x v="2"/>
    <s v="Столбцы"/>
    <s v="Ягоды"/>
    <s v="Малина"/>
    <n v="2970"/>
    <n v="32"/>
    <n v="95.04"/>
    <x v="10"/>
  </r>
  <r>
    <d v="2023-10-15T00:00:00"/>
    <x v="4"/>
    <s v="Фаниполь"/>
    <s v="Зелень"/>
    <s v="Кинза"/>
    <n v="650"/>
    <n v="57"/>
    <n v="37.049999999999997"/>
    <x v="10"/>
  </r>
  <r>
    <d v="2023-10-15T00:00:00"/>
    <x v="2"/>
    <s v="Фаниполь"/>
    <s v="Фрукты"/>
    <s v="Бананы"/>
    <n v="2400"/>
    <n v="60"/>
    <n v="144"/>
    <x v="10"/>
  </r>
  <r>
    <s v="15.10.2023 Итог"/>
    <x v="3"/>
    <m/>
    <m/>
    <m/>
    <m/>
    <m/>
    <n v="1050.4649999999997"/>
    <x v="10"/>
  </r>
  <r>
    <d v="2023-10-16T00:00:00"/>
    <x v="0"/>
    <s v="Барановичи"/>
    <s v="Фрукты"/>
    <s v="Яблоки"/>
    <n v="1230"/>
    <n v="51"/>
    <n v="62.73"/>
    <x v="10"/>
  </r>
  <r>
    <d v="2023-10-16T00:00:00"/>
    <x v="1"/>
    <s v="Борисов"/>
    <s v="Зелень"/>
    <s v="Укроп"/>
    <n v="650"/>
    <n v="95"/>
    <n v="61.75"/>
    <x v="10"/>
  </r>
  <r>
    <d v="2023-10-16T00:00:00"/>
    <x v="2"/>
    <s v="Борисов"/>
    <s v="Овощи"/>
    <s v="Морковь"/>
    <n v="715"/>
    <n v="80"/>
    <n v="57.2"/>
    <x v="10"/>
  </r>
  <r>
    <d v="2023-10-16T00:00:00"/>
    <x v="1"/>
    <s v="Борисов"/>
    <s v="Овощи"/>
    <s v="Баклажаны"/>
    <n v="890"/>
    <n v="58"/>
    <n v="51.62"/>
    <x v="10"/>
  </r>
  <r>
    <d v="2023-10-16T00:00:00"/>
    <x v="4"/>
    <s v="Борисов"/>
    <s v="Ягоды"/>
    <s v="Клубника"/>
    <n v="2460"/>
    <n v="69"/>
    <n v="169.74"/>
    <x v="10"/>
  </r>
  <r>
    <d v="2023-10-16T00:00:00"/>
    <x v="2"/>
    <s v="Жодино"/>
    <s v="Зелень"/>
    <s v="Петрушка"/>
    <n v="640"/>
    <n v="97"/>
    <n v="62.08"/>
    <x v="10"/>
  </r>
  <r>
    <d v="2023-10-16T00:00:00"/>
    <x v="4"/>
    <s v="Фаниполь"/>
    <s v="Зелень"/>
    <s v="Салат айсберг"/>
    <n v="1380"/>
    <n v="45"/>
    <n v="62.1"/>
    <x v="10"/>
  </r>
  <r>
    <d v="2023-10-16T00:00:00"/>
    <x v="0"/>
    <s v="Фаниполь"/>
    <s v="Фрукты"/>
    <s v="Сливы"/>
    <n v="930"/>
    <n v="9"/>
    <n v="8.3699999999999992"/>
    <x v="10"/>
  </r>
  <r>
    <s v="16.10.2023 Итог"/>
    <x v="3"/>
    <m/>
    <m/>
    <m/>
    <m/>
    <m/>
    <n v="535.59"/>
    <x v="10"/>
  </r>
  <r>
    <d v="2023-10-17T00:00:00"/>
    <x v="4"/>
    <s v="Барановичи"/>
    <s v="Ягоды"/>
    <s v="Голубика"/>
    <n v="3205"/>
    <n v="28"/>
    <n v="89.74"/>
    <x v="10"/>
  </r>
  <r>
    <d v="2023-10-17T00:00:00"/>
    <x v="0"/>
    <s v="Барановичи"/>
    <s v="Ягоды"/>
    <s v="Малина"/>
    <n v="2970"/>
    <n v="84"/>
    <n v="249.48"/>
    <x v="10"/>
  </r>
  <r>
    <d v="2023-10-17T00:00:00"/>
    <x v="2"/>
    <s v="Борисов"/>
    <s v="Овощи"/>
    <s v="Баклажаны"/>
    <n v="890"/>
    <n v="16"/>
    <n v="14.24"/>
    <x v="10"/>
  </r>
  <r>
    <d v="2023-10-17T00:00:00"/>
    <x v="0"/>
    <s v="Борисов"/>
    <s v="Фрукты"/>
    <s v="Яблоки"/>
    <n v="1230"/>
    <n v="91"/>
    <n v="111.93"/>
    <x v="10"/>
  </r>
  <r>
    <d v="2023-10-17T00:00:00"/>
    <x v="2"/>
    <s v="Жодино"/>
    <s v="Ягоды"/>
    <s v="Черешня"/>
    <n v="1760"/>
    <n v="13"/>
    <n v="22.88"/>
    <x v="10"/>
  </r>
  <r>
    <d v="2023-10-17T00:00:00"/>
    <x v="0"/>
    <s v="Жодино"/>
    <s v="Ягоды"/>
    <s v="Малина"/>
    <n v="2970"/>
    <n v="65"/>
    <n v="193.05"/>
    <x v="10"/>
  </r>
  <r>
    <d v="2023-10-17T00:00:00"/>
    <x v="4"/>
    <s v="Минск"/>
    <s v="Овощи"/>
    <s v="Морковь"/>
    <n v="715"/>
    <n v="70"/>
    <n v="50.05"/>
    <x v="10"/>
  </r>
  <r>
    <d v="2023-10-17T00:00:00"/>
    <x v="0"/>
    <s v="Минск"/>
    <s v="Ягоды"/>
    <s v="Смородина черная"/>
    <n v="1505"/>
    <n v="28"/>
    <n v="42.14"/>
    <x v="10"/>
  </r>
  <r>
    <d v="2023-10-17T00:00:00"/>
    <x v="0"/>
    <s v="Столбцы"/>
    <s v="Зелень"/>
    <s v="Салат айсберг"/>
    <n v="1380"/>
    <n v="61"/>
    <n v="84.18"/>
    <x v="10"/>
  </r>
  <r>
    <d v="2023-10-17T00:00:00"/>
    <x v="1"/>
    <s v="Столбцы"/>
    <s v="Овощи"/>
    <s v="Баклажаны"/>
    <n v="890"/>
    <n v="25"/>
    <n v="22.25"/>
    <x v="10"/>
  </r>
  <r>
    <d v="2023-10-17T00:00:00"/>
    <x v="1"/>
    <s v="Столбцы"/>
    <s v="Фрукты"/>
    <s v="Бананы"/>
    <n v="2400"/>
    <n v="6"/>
    <n v="14.4"/>
    <x v="10"/>
  </r>
  <r>
    <d v="2023-10-17T00:00:00"/>
    <x v="4"/>
    <s v="Фаниполь"/>
    <s v="Зелень"/>
    <s v="Укроп"/>
    <n v="650"/>
    <n v="37"/>
    <n v="24.05"/>
    <x v="10"/>
  </r>
  <r>
    <d v="2023-10-17T00:00:00"/>
    <x v="1"/>
    <s v="Фаниполь"/>
    <s v="Зелень"/>
    <s v="Кинза"/>
    <n v="650"/>
    <n v="98"/>
    <n v="63.7"/>
    <x v="10"/>
  </r>
  <r>
    <d v="2023-10-17T00:00:00"/>
    <x v="0"/>
    <s v="Фаниполь"/>
    <s v="Овощи"/>
    <s v="Капуста"/>
    <n v="460"/>
    <n v="31"/>
    <n v="14.26"/>
    <x v="10"/>
  </r>
  <r>
    <d v="2023-10-17T00:00:00"/>
    <x v="4"/>
    <s v="Фаниполь"/>
    <s v="Ягоды"/>
    <s v="Брусника"/>
    <n v="1670"/>
    <n v="7"/>
    <n v="11.69"/>
    <x v="10"/>
  </r>
  <r>
    <s v="17.10.2023 Итог"/>
    <x v="3"/>
    <m/>
    <m/>
    <m/>
    <m/>
    <m/>
    <n v="1008.0399999999998"/>
    <x v="10"/>
  </r>
  <r>
    <d v="2023-10-18T00:00:00"/>
    <x v="4"/>
    <s v="Барановичи"/>
    <s v="Ягоды"/>
    <s v="Клубника"/>
    <n v="2460"/>
    <n v="8"/>
    <n v="19.68"/>
    <x v="10"/>
  </r>
  <r>
    <d v="2023-10-18T00:00:00"/>
    <x v="1"/>
    <s v="Барановичи"/>
    <s v="Ягоды"/>
    <s v="Голубика"/>
    <n v="3205"/>
    <n v="94"/>
    <n v="301.27"/>
    <x v="10"/>
  </r>
  <r>
    <d v="2023-10-18T00:00:00"/>
    <x v="2"/>
    <s v="Борисов"/>
    <s v="Зелень"/>
    <s v="Петрушка"/>
    <n v="640"/>
    <n v="8"/>
    <n v="5.12"/>
    <x v="10"/>
  </r>
  <r>
    <d v="2023-10-18T00:00:00"/>
    <x v="1"/>
    <s v="Жодино"/>
    <s v="Ягоды"/>
    <s v="Малина"/>
    <n v="2970"/>
    <n v="62"/>
    <n v="184.14"/>
    <x v="10"/>
  </r>
  <r>
    <d v="2023-10-18T00:00:00"/>
    <x v="0"/>
    <s v="Минск"/>
    <s v="Фрукты"/>
    <s v="Абрикосы"/>
    <n v="1320"/>
    <n v="22"/>
    <n v="29.04"/>
    <x v="10"/>
  </r>
  <r>
    <s v="18.10.2023 Итог"/>
    <x v="3"/>
    <m/>
    <m/>
    <m/>
    <m/>
    <m/>
    <n v="539.25"/>
    <x v="10"/>
  </r>
  <r>
    <d v="2023-10-19T00:00:00"/>
    <x v="2"/>
    <s v="Барановичи"/>
    <s v="Зелень"/>
    <s v="Кинза"/>
    <n v="650"/>
    <n v="54"/>
    <n v="35.1"/>
    <x v="10"/>
  </r>
  <r>
    <d v="2023-10-19T00:00:00"/>
    <x v="1"/>
    <s v="Борисов"/>
    <s v="Зелень"/>
    <s v="Салат айсберг"/>
    <n v="1380"/>
    <n v="13"/>
    <n v="17.940000000000001"/>
    <x v="10"/>
  </r>
  <r>
    <d v="2023-10-19T00:00:00"/>
    <x v="1"/>
    <s v="Борисов"/>
    <s v="Ягоды"/>
    <s v="Смородина черная"/>
    <n v="1505"/>
    <n v="41"/>
    <n v="61.704999999999998"/>
    <x v="10"/>
  </r>
  <r>
    <d v="2023-10-19T00:00:00"/>
    <x v="4"/>
    <s v="Минск"/>
    <s v="Зелень"/>
    <s v="Лук зеленый"/>
    <n v="705"/>
    <n v="62"/>
    <n v="43.71"/>
    <x v="10"/>
  </r>
  <r>
    <d v="2023-10-19T00:00:00"/>
    <x v="0"/>
    <s v="Минск"/>
    <s v="Фрукты"/>
    <s v="Абрикосы"/>
    <n v="1320"/>
    <n v="85"/>
    <n v="112.2"/>
    <x v="10"/>
  </r>
  <r>
    <d v="2023-10-19T00:00:00"/>
    <x v="1"/>
    <s v="Минск"/>
    <s v="Ягоды"/>
    <s v="Малина"/>
    <n v="2970"/>
    <n v="23"/>
    <n v="68.31"/>
    <x v="10"/>
  </r>
  <r>
    <d v="2023-10-19T00:00:00"/>
    <x v="4"/>
    <s v="Минск"/>
    <s v="Ягоды"/>
    <s v="Смородина черная"/>
    <n v="1505"/>
    <n v="58"/>
    <n v="87.29"/>
    <x v="10"/>
  </r>
  <r>
    <d v="2023-10-19T00:00:00"/>
    <x v="2"/>
    <s v="Столбцы"/>
    <s v="Зелень"/>
    <s v="Кинза"/>
    <n v="650"/>
    <n v="83"/>
    <n v="53.95"/>
    <x v="10"/>
  </r>
  <r>
    <d v="2023-10-19T00:00:00"/>
    <x v="2"/>
    <s v="Столбцы"/>
    <s v="Овощи"/>
    <s v="Картофель"/>
    <n v="690"/>
    <n v="12"/>
    <n v="8.2799999999999994"/>
    <x v="10"/>
  </r>
  <r>
    <d v="2023-10-19T00:00:00"/>
    <x v="4"/>
    <s v="Столбцы"/>
    <s v="Ягоды"/>
    <s v="Брусника"/>
    <n v="1670"/>
    <n v="74"/>
    <n v="123.58"/>
    <x v="10"/>
  </r>
  <r>
    <d v="2023-10-19T00:00:00"/>
    <x v="2"/>
    <s v="Фаниполь"/>
    <s v="Фрукты"/>
    <s v="Бананы"/>
    <n v="2400"/>
    <n v="64"/>
    <n v="153.6"/>
    <x v="10"/>
  </r>
  <r>
    <d v="2023-10-19T00:00:00"/>
    <x v="4"/>
    <s v="Фаниполь"/>
    <s v="Фрукты"/>
    <s v="Яблоки"/>
    <n v="1230"/>
    <n v="85"/>
    <n v="104.55"/>
    <x v="10"/>
  </r>
  <r>
    <d v="2023-10-19T00:00:00"/>
    <x v="0"/>
    <s v="Фаниполь"/>
    <s v="Ягоды"/>
    <s v="Малина"/>
    <n v="2970"/>
    <n v="96"/>
    <n v="285.12"/>
    <x v="10"/>
  </r>
  <r>
    <s v="19.10.2023 Итог"/>
    <x v="3"/>
    <m/>
    <m/>
    <m/>
    <m/>
    <m/>
    <n v="1155.335"/>
    <x v="10"/>
  </r>
  <r>
    <d v="2023-10-20T00:00:00"/>
    <x v="0"/>
    <s v="Барановичи"/>
    <s v="Зелень"/>
    <s v="Салат айсберг"/>
    <n v="1380"/>
    <n v="18"/>
    <n v="24.84"/>
    <x v="10"/>
  </r>
  <r>
    <d v="2023-10-20T00:00:00"/>
    <x v="1"/>
    <s v="Барановичи"/>
    <s v="Овощи"/>
    <s v="Морковь"/>
    <n v="715"/>
    <n v="25"/>
    <n v="17.875"/>
    <x v="10"/>
  </r>
  <r>
    <d v="2023-10-20T00:00:00"/>
    <x v="0"/>
    <s v="Барановичи"/>
    <s v="Овощи"/>
    <s v="Капуста"/>
    <n v="460"/>
    <n v="87"/>
    <n v="40.020000000000003"/>
    <x v="10"/>
  </r>
  <r>
    <d v="2023-10-20T00:00:00"/>
    <x v="2"/>
    <s v="Барановичи"/>
    <s v="Фрукты"/>
    <s v="Абрикосы"/>
    <n v="1320"/>
    <n v="74"/>
    <n v="97.68"/>
    <x v="10"/>
  </r>
  <r>
    <d v="2023-10-20T00:00:00"/>
    <x v="0"/>
    <s v="Жодино"/>
    <s v="Овощи"/>
    <s v="Баклажаны"/>
    <n v="890"/>
    <n v="30"/>
    <n v="26.7"/>
    <x v="10"/>
  </r>
  <r>
    <d v="2023-10-20T00:00:00"/>
    <x v="1"/>
    <s v="Жодино"/>
    <s v="Овощи"/>
    <s v="Картофель"/>
    <n v="690"/>
    <n v="96"/>
    <n v="66.239999999999995"/>
    <x v="10"/>
  </r>
  <r>
    <d v="2023-10-20T00:00:00"/>
    <x v="0"/>
    <s v="Минск"/>
    <s v="Овощи"/>
    <s v="Капуста"/>
    <n v="460"/>
    <n v="75"/>
    <n v="34.5"/>
    <x v="10"/>
  </r>
  <r>
    <d v="2023-10-20T00:00:00"/>
    <x v="1"/>
    <s v="Минск"/>
    <s v="Овощи"/>
    <s v="Свекла"/>
    <n v="450"/>
    <n v="76"/>
    <n v="34.200000000000003"/>
    <x v="10"/>
  </r>
  <r>
    <d v="2023-10-20T00:00:00"/>
    <x v="2"/>
    <s v="Минск"/>
    <s v="Овощи"/>
    <s v="Свекла"/>
    <n v="450"/>
    <n v="12"/>
    <n v="5.4"/>
    <x v="10"/>
  </r>
  <r>
    <d v="2023-10-20T00:00:00"/>
    <x v="4"/>
    <s v="Минск"/>
    <s v="Фрукты"/>
    <s v="Апельсины"/>
    <n v="2540"/>
    <n v="22"/>
    <n v="55.88"/>
    <x v="10"/>
  </r>
  <r>
    <d v="2023-10-20T00:00:00"/>
    <x v="4"/>
    <s v="Столбцы"/>
    <s v="Зелень"/>
    <s v="Укроп"/>
    <n v="650"/>
    <n v="98"/>
    <n v="63.7"/>
    <x v="10"/>
  </r>
  <r>
    <d v="2023-10-20T00:00:00"/>
    <x v="4"/>
    <s v="Столбцы"/>
    <s v="Зелень"/>
    <s v="Петрушка"/>
    <n v="640"/>
    <n v="63"/>
    <n v="40.32"/>
    <x v="10"/>
  </r>
  <r>
    <s v="20.10.2023 Итог"/>
    <x v="3"/>
    <m/>
    <m/>
    <m/>
    <m/>
    <m/>
    <n v="507.35499999999996"/>
    <x v="10"/>
  </r>
  <r>
    <d v="2023-10-21T00:00:00"/>
    <x v="4"/>
    <s v="Барановичи"/>
    <s v="Ягоды"/>
    <s v="Черешня"/>
    <n v="1760"/>
    <n v="17"/>
    <n v="29.92"/>
    <x v="10"/>
  </r>
  <r>
    <d v="2023-10-21T00:00:00"/>
    <x v="1"/>
    <s v="Борисов"/>
    <s v="Ягоды"/>
    <s v="Клубника"/>
    <n v="2460"/>
    <n v="80"/>
    <n v="196.8"/>
    <x v="10"/>
  </r>
  <r>
    <d v="2023-10-21T00:00:00"/>
    <x v="1"/>
    <s v="Жодино"/>
    <s v="Зелень"/>
    <s v="Петрушка"/>
    <n v="640"/>
    <n v="98"/>
    <n v="62.72"/>
    <x v="10"/>
  </r>
  <r>
    <d v="2023-10-21T00:00:00"/>
    <x v="0"/>
    <s v="Жодино"/>
    <s v="Фрукты"/>
    <s v="Сливы"/>
    <n v="930"/>
    <n v="81"/>
    <n v="75.33"/>
    <x v="10"/>
  </r>
  <r>
    <d v="2023-10-21T00:00:00"/>
    <x v="0"/>
    <s v="Минск"/>
    <s v="Фрукты"/>
    <s v="Сливы"/>
    <n v="930"/>
    <n v="29"/>
    <n v="26.97"/>
    <x v="10"/>
  </r>
  <r>
    <d v="2023-10-21T00:00:00"/>
    <x v="4"/>
    <s v="Минск"/>
    <s v="Ягоды"/>
    <s v="Малина"/>
    <n v="2970"/>
    <n v="98"/>
    <n v="291.06"/>
    <x v="10"/>
  </r>
  <r>
    <d v="2023-10-21T00:00:00"/>
    <x v="2"/>
    <s v="Столбцы"/>
    <s v="Зелень"/>
    <s v="Салат айсберг"/>
    <n v="1380"/>
    <n v="62"/>
    <n v="85.56"/>
    <x v="10"/>
  </r>
  <r>
    <d v="2023-10-21T00:00:00"/>
    <x v="0"/>
    <s v="Столбцы"/>
    <s v="Фрукты"/>
    <s v="Груши"/>
    <n v="1420"/>
    <n v="44"/>
    <n v="62.48"/>
    <x v="10"/>
  </r>
  <r>
    <s v="21.10.2023 Итог"/>
    <x v="3"/>
    <m/>
    <m/>
    <m/>
    <m/>
    <m/>
    <n v="830.83999999999992"/>
    <x v="10"/>
  </r>
  <r>
    <d v="2023-10-22T00:00:00"/>
    <x v="4"/>
    <s v="Барановичи"/>
    <s v="Зелень"/>
    <s v="Лук зеленый"/>
    <n v="705"/>
    <n v="67"/>
    <n v="47.234999999999999"/>
    <x v="10"/>
  </r>
  <r>
    <d v="2023-10-22T00:00:00"/>
    <x v="4"/>
    <s v="Жодино"/>
    <s v="Овощи"/>
    <s v="Морковь"/>
    <n v="715"/>
    <n v="65"/>
    <n v="46.475000000000001"/>
    <x v="10"/>
  </r>
  <r>
    <d v="2023-10-22T00:00:00"/>
    <x v="0"/>
    <s v="Жодино"/>
    <s v="Ягоды"/>
    <s v="Брусника"/>
    <n v="1670"/>
    <n v="68"/>
    <n v="113.56"/>
    <x v="10"/>
  </r>
  <r>
    <d v="2023-10-22T00:00:00"/>
    <x v="0"/>
    <s v="Жодино"/>
    <s v="Ягоды"/>
    <s v="Голубика"/>
    <n v="3205"/>
    <n v="48"/>
    <n v="153.84"/>
    <x v="10"/>
  </r>
  <r>
    <d v="2023-10-22T00:00:00"/>
    <x v="1"/>
    <s v="Фаниполь"/>
    <s v="Зелень"/>
    <s v="Петрушка"/>
    <n v="640"/>
    <n v="70"/>
    <n v="44.8"/>
    <x v="10"/>
  </r>
  <r>
    <d v="2023-10-22T00:00:00"/>
    <x v="4"/>
    <s v="Фаниполь"/>
    <s v="Фрукты"/>
    <s v="Абрикосы"/>
    <n v="1320"/>
    <n v="79"/>
    <n v="104.28"/>
    <x v="10"/>
  </r>
  <r>
    <s v="22.10.2023 Итог"/>
    <x v="3"/>
    <m/>
    <m/>
    <m/>
    <m/>
    <m/>
    <n v="510.19000000000005"/>
    <x v="10"/>
  </r>
  <r>
    <d v="2023-10-23T00:00:00"/>
    <x v="4"/>
    <s v="Барановичи"/>
    <s v="Фрукты"/>
    <s v="Абрикосы"/>
    <n v="1320"/>
    <n v="69"/>
    <n v="91.08"/>
    <x v="10"/>
  </r>
  <r>
    <d v="2023-10-23T00:00:00"/>
    <x v="4"/>
    <s v="Борисов"/>
    <s v="Овощи"/>
    <s v="Морковь"/>
    <n v="715"/>
    <n v="30"/>
    <n v="21.45"/>
    <x v="10"/>
  </r>
  <r>
    <d v="2023-10-23T00:00:00"/>
    <x v="2"/>
    <s v="Борисов"/>
    <s v="Фрукты"/>
    <s v="Груши"/>
    <n v="1420"/>
    <n v="82"/>
    <n v="116.44"/>
    <x v="10"/>
  </r>
  <r>
    <d v="2023-10-23T00:00:00"/>
    <x v="2"/>
    <s v="Жодино"/>
    <s v="Овощи"/>
    <s v="Свекла"/>
    <n v="450"/>
    <n v="81"/>
    <n v="36.450000000000003"/>
    <x v="10"/>
  </r>
  <r>
    <d v="2023-10-23T00:00:00"/>
    <x v="4"/>
    <s v="Жодино"/>
    <s v="Ягоды"/>
    <s v="Малина"/>
    <n v="2970"/>
    <n v="52"/>
    <n v="154.44"/>
    <x v="10"/>
  </r>
  <r>
    <d v="2023-10-23T00:00:00"/>
    <x v="1"/>
    <s v="Минск"/>
    <s v="Зелень"/>
    <s v="Салат айсберг"/>
    <n v="1380"/>
    <n v="97"/>
    <n v="133.86000000000001"/>
    <x v="10"/>
  </r>
  <r>
    <d v="2023-10-23T00:00:00"/>
    <x v="0"/>
    <s v="Столбцы"/>
    <s v="Овощи"/>
    <s v="Капуста"/>
    <n v="460"/>
    <n v="70"/>
    <n v="32.200000000000003"/>
    <x v="10"/>
  </r>
  <r>
    <d v="2023-10-23T00:00:00"/>
    <x v="2"/>
    <s v="Столбцы"/>
    <s v="Фрукты"/>
    <s v="Абрикосы"/>
    <n v="1320"/>
    <n v="50"/>
    <n v="66"/>
    <x v="10"/>
  </r>
  <r>
    <d v="2023-10-23T00:00:00"/>
    <x v="0"/>
    <s v="Фаниполь"/>
    <s v="Фрукты"/>
    <s v="Апельсины"/>
    <n v="2540"/>
    <n v="93"/>
    <n v="236.22"/>
    <x v="10"/>
  </r>
  <r>
    <d v="2023-10-23T00:00:00"/>
    <x v="0"/>
    <s v="Фаниполь"/>
    <s v="Фрукты"/>
    <s v="Бананы"/>
    <n v="2400"/>
    <n v="33"/>
    <n v="79.2"/>
    <x v="10"/>
  </r>
  <r>
    <s v="23.10.2023 Итог"/>
    <x v="3"/>
    <m/>
    <m/>
    <m/>
    <m/>
    <m/>
    <n v="967.34000000000015"/>
    <x v="10"/>
  </r>
  <r>
    <d v="2023-10-24T00:00:00"/>
    <x v="1"/>
    <s v="Барановичи"/>
    <s v="Фрукты"/>
    <s v="Груши"/>
    <n v="1420"/>
    <n v="25"/>
    <n v="35.5"/>
    <x v="10"/>
  </r>
  <r>
    <d v="2023-10-24T00:00:00"/>
    <x v="4"/>
    <s v="Борисов"/>
    <s v="Зелень"/>
    <s v="Петрушка"/>
    <n v="640"/>
    <n v="76"/>
    <n v="48.64"/>
    <x v="10"/>
  </r>
  <r>
    <d v="2023-10-24T00:00:00"/>
    <x v="2"/>
    <s v="Борисов"/>
    <s v="Фрукты"/>
    <s v="Абрикосы"/>
    <n v="1320"/>
    <n v="53"/>
    <n v="69.959999999999994"/>
    <x v="10"/>
  </r>
  <r>
    <d v="2023-10-24T00:00:00"/>
    <x v="1"/>
    <s v="Борисов"/>
    <s v="Ягоды"/>
    <s v="Голубика"/>
    <n v="3205"/>
    <n v="12"/>
    <n v="38.46"/>
    <x v="10"/>
  </r>
  <r>
    <d v="2023-10-24T00:00:00"/>
    <x v="4"/>
    <s v="Жодино"/>
    <s v="Зелень"/>
    <s v="Петрушка"/>
    <n v="640"/>
    <n v="43"/>
    <n v="27.52"/>
    <x v="10"/>
  </r>
  <r>
    <d v="2023-10-24T00:00:00"/>
    <x v="4"/>
    <s v="Жодино"/>
    <s v="Ягоды"/>
    <s v="Малина"/>
    <n v="2970"/>
    <n v="36"/>
    <n v="106.92"/>
    <x v="10"/>
  </r>
  <r>
    <d v="2023-10-24T00:00:00"/>
    <x v="0"/>
    <s v="Минск"/>
    <s v="Ягоды"/>
    <s v="Черешня"/>
    <n v="1760"/>
    <n v="13"/>
    <n v="22.88"/>
    <x v="10"/>
  </r>
  <r>
    <d v="2023-10-24T00:00:00"/>
    <x v="1"/>
    <s v="Столбцы"/>
    <s v="Ягоды"/>
    <s v="Черешня"/>
    <n v="1760"/>
    <n v="100"/>
    <n v="176"/>
    <x v="10"/>
  </r>
  <r>
    <d v="2023-10-24T00:00:00"/>
    <x v="1"/>
    <s v="Фаниполь"/>
    <s v="Зелень"/>
    <s v="Кинза"/>
    <n v="650"/>
    <n v="33"/>
    <n v="21.45"/>
    <x v="10"/>
  </r>
  <r>
    <d v="2023-10-24T00:00:00"/>
    <x v="0"/>
    <s v="Фаниполь"/>
    <s v="Фрукты"/>
    <s v="Груши"/>
    <n v="1420"/>
    <n v="23"/>
    <n v="32.659999999999997"/>
    <x v="10"/>
  </r>
  <r>
    <d v="2023-10-24T00:00:00"/>
    <x v="4"/>
    <s v="Фаниполь"/>
    <s v="Фрукты"/>
    <s v="Груши"/>
    <n v="1420"/>
    <n v="19"/>
    <n v="26.98"/>
    <x v="10"/>
  </r>
  <r>
    <s v="24.10.2023 Итог"/>
    <x v="3"/>
    <m/>
    <m/>
    <m/>
    <m/>
    <m/>
    <n v="606.97"/>
    <x v="10"/>
  </r>
  <r>
    <d v="2023-10-25T00:00:00"/>
    <x v="0"/>
    <s v="Борисов"/>
    <s v="Овощи"/>
    <s v="Картофель"/>
    <n v="690"/>
    <n v="39"/>
    <n v="26.91"/>
    <x v="10"/>
  </r>
  <r>
    <d v="2023-10-25T00:00:00"/>
    <x v="2"/>
    <s v="Борисов"/>
    <s v="Овощи"/>
    <s v="Кабачки"/>
    <n v="325"/>
    <n v="51"/>
    <n v="16.574999999999999"/>
    <x v="10"/>
  </r>
  <r>
    <d v="2023-10-25T00:00:00"/>
    <x v="2"/>
    <s v="Столбцы"/>
    <s v="Овощи"/>
    <s v="Морковь"/>
    <n v="715"/>
    <n v="86"/>
    <n v="61.49"/>
    <x v="10"/>
  </r>
  <r>
    <d v="2023-10-25T00:00:00"/>
    <x v="2"/>
    <s v="Столбцы"/>
    <s v="Овощи"/>
    <s v="Баклажаны"/>
    <n v="890"/>
    <n v="61"/>
    <n v="54.29"/>
    <x v="10"/>
  </r>
  <r>
    <d v="2023-10-25T00:00:00"/>
    <x v="0"/>
    <s v="Столбцы"/>
    <s v="Фрукты"/>
    <s v="Абрикосы"/>
    <n v="1320"/>
    <n v="89"/>
    <n v="117.48"/>
    <x v="10"/>
  </r>
  <r>
    <d v="2023-10-25T00:00:00"/>
    <x v="4"/>
    <s v="Фаниполь"/>
    <s v="Зелень"/>
    <s v="Кинза"/>
    <n v="650"/>
    <n v="64"/>
    <n v="41.6"/>
    <x v="10"/>
  </r>
  <r>
    <d v="2023-10-25T00:00:00"/>
    <x v="1"/>
    <s v="Фаниполь"/>
    <s v="Фрукты"/>
    <s v="Сливы"/>
    <n v="930"/>
    <n v="89"/>
    <n v="82.77"/>
    <x v="10"/>
  </r>
  <r>
    <s v="25.10.2023 Итог"/>
    <x v="3"/>
    <m/>
    <m/>
    <m/>
    <m/>
    <m/>
    <n v="401.11500000000001"/>
    <x v="10"/>
  </r>
  <r>
    <d v="2023-10-26T00:00:00"/>
    <x v="4"/>
    <s v="Барановичи"/>
    <s v="Фрукты"/>
    <s v="Апельсины"/>
    <n v="2540"/>
    <n v="75"/>
    <n v="190.5"/>
    <x v="10"/>
  </r>
  <r>
    <d v="2023-10-26T00:00:00"/>
    <x v="0"/>
    <s v="Борисов"/>
    <s v="Фрукты"/>
    <s v="Сливы"/>
    <n v="930"/>
    <n v="48"/>
    <n v="44.64"/>
    <x v="10"/>
  </r>
  <r>
    <d v="2023-10-26T00:00:00"/>
    <x v="4"/>
    <s v="Борисов"/>
    <s v="Фрукты"/>
    <s v="Сливы"/>
    <n v="930"/>
    <n v="70"/>
    <n v="65.099999999999994"/>
    <x v="10"/>
  </r>
  <r>
    <d v="2023-10-26T00:00:00"/>
    <x v="4"/>
    <s v="Жодино"/>
    <s v="Овощи"/>
    <s v="Свекла"/>
    <n v="450"/>
    <n v="58"/>
    <n v="26.1"/>
    <x v="10"/>
  </r>
  <r>
    <d v="2023-10-26T00:00:00"/>
    <x v="0"/>
    <s v="Жодино"/>
    <s v="Фрукты"/>
    <s v="Апельсины"/>
    <n v="2540"/>
    <n v="30"/>
    <n v="76.2"/>
    <x v="10"/>
  </r>
  <r>
    <d v="2023-10-26T00:00:00"/>
    <x v="1"/>
    <s v="Жодино"/>
    <s v="Фрукты"/>
    <s v="Апельсины"/>
    <n v="2540"/>
    <n v="53"/>
    <n v="134.62"/>
    <x v="10"/>
  </r>
  <r>
    <d v="2023-10-26T00:00:00"/>
    <x v="1"/>
    <s v="Жодино"/>
    <s v="Ягоды"/>
    <s v="Черешня"/>
    <n v="1760"/>
    <n v="89"/>
    <n v="156.63999999999999"/>
    <x v="10"/>
  </r>
  <r>
    <d v="2023-10-26T00:00:00"/>
    <x v="2"/>
    <s v="Жодино"/>
    <s v="Ягоды"/>
    <s v="Брусника"/>
    <n v="1670"/>
    <n v="23"/>
    <n v="38.409999999999997"/>
    <x v="10"/>
  </r>
  <r>
    <d v="2023-10-26T00:00:00"/>
    <x v="0"/>
    <s v="Минск"/>
    <s v="Зелень"/>
    <s v="Петрушка"/>
    <n v="640"/>
    <n v="8"/>
    <n v="5.12"/>
    <x v="10"/>
  </r>
  <r>
    <d v="2023-10-26T00:00:00"/>
    <x v="4"/>
    <s v="Минск"/>
    <s v="Овощи"/>
    <s v="Свекла"/>
    <n v="450"/>
    <n v="91"/>
    <n v="40.950000000000003"/>
    <x v="10"/>
  </r>
  <r>
    <d v="2023-10-26T00:00:00"/>
    <x v="0"/>
    <s v="Столбцы"/>
    <s v="Зелень"/>
    <s v="Кинза"/>
    <n v="650"/>
    <n v="11"/>
    <n v="7.15"/>
    <x v="10"/>
  </r>
  <r>
    <d v="2023-10-26T00:00:00"/>
    <x v="2"/>
    <s v="Столбцы"/>
    <s v="Овощи"/>
    <s v="Баклажаны"/>
    <n v="890"/>
    <n v="95"/>
    <n v="84.55"/>
    <x v="10"/>
  </r>
  <r>
    <d v="2023-10-26T00:00:00"/>
    <x v="0"/>
    <s v="Столбцы"/>
    <s v="Ягоды"/>
    <s v="Черешня"/>
    <n v="1760"/>
    <n v="23"/>
    <n v="40.479999999999997"/>
    <x v="10"/>
  </r>
  <r>
    <s v="26.10.2023 Итог"/>
    <x v="3"/>
    <m/>
    <m/>
    <m/>
    <m/>
    <m/>
    <n v="910.46"/>
    <x v="10"/>
  </r>
  <r>
    <d v="2023-10-27T00:00:00"/>
    <x v="4"/>
    <s v="Барановичи"/>
    <s v="Фрукты"/>
    <s v="Яблоки"/>
    <n v="1230"/>
    <n v="86"/>
    <n v="105.78"/>
    <x v="10"/>
  </r>
  <r>
    <d v="2023-10-27T00:00:00"/>
    <x v="4"/>
    <s v="Барановичи"/>
    <s v="Фрукты"/>
    <s v="Сливы"/>
    <n v="930"/>
    <n v="19"/>
    <n v="17.670000000000002"/>
    <x v="10"/>
  </r>
  <r>
    <d v="2023-10-27T00:00:00"/>
    <x v="4"/>
    <s v="Борисов"/>
    <s v="Зелень"/>
    <s v="Салат римский"/>
    <n v="540"/>
    <n v="97"/>
    <n v="52.38"/>
    <x v="10"/>
  </r>
  <r>
    <d v="2023-10-27T00:00:00"/>
    <x v="1"/>
    <s v="Борисов"/>
    <s v="Зелень"/>
    <s v="Петрушка"/>
    <n v="640"/>
    <n v="5"/>
    <n v="3.2"/>
    <x v="10"/>
  </r>
  <r>
    <d v="2023-10-27T00:00:00"/>
    <x v="0"/>
    <s v="Борисов"/>
    <s v="Ягоды"/>
    <s v="Брусника"/>
    <n v="1670"/>
    <n v="54"/>
    <n v="90.18"/>
    <x v="10"/>
  </r>
  <r>
    <d v="2023-10-27T00:00:00"/>
    <x v="4"/>
    <s v="Борисов"/>
    <s v="Ягоды"/>
    <s v="Брусника"/>
    <n v="1670"/>
    <n v="26"/>
    <n v="43.42"/>
    <x v="10"/>
  </r>
  <r>
    <d v="2023-10-27T00:00:00"/>
    <x v="2"/>
    <s v="Жодино"/>
    <s v="Зелень"/>
    <s v="Лук зеленый"/>
    <n v="705"/>
    <n v="49"/>
    <n v="34.545000000000002"/>
    <x v="10"/>
  </r>
  <r>
    <d v="2023-10-27T00:00:00"/>
    <x v="4"/>
    <s v="Жодино"/>
    <s v="Фрукты"/>
    <s v="Бананы"/>
    <n v="2400"/>
    <n v="73"/>
    <n v="175.2"/>
    <x v="10"/>
  </r>
  <r>
    <d v="2023-10-27T00:00:00"/>
    <x v="1"/>
    <s v="Минск"/>
    <s v="Зелень"/>
    <s v="Салат айсберг"/>
    <n v="1380"/>
    <n v="98"/>
    <n v="135.24"/>
    <x v="10"/>
  </r>
  <r>
    <d v="2023-10-27T00:00:00"/>
    <x v="0"/>
    <s v="Минск"/>
    <s v="Овощи"/>
    <s v="Морковь"/>
    <n v="715"/>
    <n v="55"/>
    <n v="39.325000000000003"/>
    <x v="10"/>
  </r>
  <r>
    <d v="2023-10-27T00:00:00"/>
    <x v="1"/>
    <s v="Столбцы"/>
    <s v="Фрукты"/>
    <s v="Яблоки"/>
    <n v="1230"/>
    <n v="51"/>
    <n v="62.73"/>
    <x v="10"/>
  </r>
  <r>
    <d v="2023-10-27T00:00:00"/>
    <x v="4"/>
    <s v="Столбцы"/>
    <s v="Фрукты"/>
    <s v="Абрикосы"/>
    <n v="1320"/>
    <n v="33"/>
    <n v="43.56"/>
    <x v="10"/>
  </r>
  <r>
    <d v="2023-10-27T00:00:00"/>
    <x v="1"/>
    <s v="Фаниполь"/>
    <s v="Овощи"/>
    <s v="Капуста"/>
    <n v="460"/>
    <n v="74"/>
    <n v="34.04"/>
    <x v="10"/>
  </r>
  <r>
    <s v="27.10.2023 Итог"/>
    <x v="3"/>
    <m/>
    <m/>
    <m/>
    <m/>
    <m/>
    <n v="837.27"/>
    <x v="10"/>
  </r>
  <r>
    <d v="2023-10-28T00:00:00"/>
    <x v="0"/>
    <s v="Барановичи"/>
    <s v="Зелень"/>
    <s v="Салат айсберг"/>
    <n v="1380"/>
    <n v="16"/>
    <n v="22.08"/>
    <x v="10"/>
  </r>
  <r>
    <d v="2023-10-28T00:00:00"/>
    <x v="0"/>
    <s v="Барановичи"/>
    <s v="Овощи"/>
    <s v="Капуста"/>
    <n v="460"/>
    <n v="92"/>
    <n v="42.32"/>
    <x v="10"/>
  </r>
  <r>
    <d v="2023-10-28T00:00:00"/>
    <x v="2"/>
    <s v="Барановичи"/>
    <s v="Овощи"/>
    <s v="Кабачки"/>
    <n v="325"/>
    <n v="88"/>
    <n v="28.6"/>
    <x v="10"/>
  </r>
  <r>
    <d v="2023-10-28T00:00:00"/>
    <x v="2"/>
    <s v="Барановичи"/>
    <s v="Фрукты"/>
    <s v="Груши"/>
    <n v="1420"/>
    <n v="89"/>
    <n v="126.38"/>
    <x v="10"/>
  </r>
  <r>
    <d v="2023-10-28T00:00:00"/>
    <x v="2"/>
    <s v="Борисов"/>
    <s v="Зелень"/>
    <s v="Лук зеленый"/>
    <n v="705"/>
    <n v="38"/>
    <n v="26.79"/>
    <x v="10"/>
  </r>
  <r>
    <d v="2023-10-28T00:00:00"/>
    <x v="1"/>
    <s v="Борисов"/>
    <s v="Овощи"/>
    <s v="Морковь"/>
    <n v="715"/>
    <n v="25"/>
    <n v="17.875"/>
    <x v="10"/>
  </r>
  <r>
    <d v="2023-10-28T00:00:00"/>
    <x v="0"/>
    <s v="Борисов"/>
    <s v="Фрукты"/>
    <s v="Бананы"/>
    <n v="2400"/>
    <n v="92"/>
    <n v="220.8"/>
    <x v="10"/>
  </r>
  <r>
    <d v="2023-10-28T00:00:00"/>
    <x v="2"/>
    <s v="Жодино"/>
    <s v="Зелень"/>
    <s v="Салат айсберг"/>
    <n v="1380"/>
    <n v="36"/>
    <n v="49.68"/>
    <x v="10"/>
  </r>
  <r>
    <d v="2023-10-28T00:00:00"/>
    <x v="2"/>
    <s v="Жодино"/>
    <s v="Фрукты"/>
    <s v="Абрикосы"/>
    <n v="1320"/>
    <n v="46"/>
    <n v="60.72"/>
    <x v="10"/>
  </r>
  <r>
    <d v="2023-10-28T00:00:00"/>
    <x v="2"/>
    <s v="Жодино"/>
    <s v="Ягоды"/>
    <s v="Голубика"/>
    <n v="3205"/>
    <n v="77"/>
    <n v="246.785"/>
    <x v="10"/>
  </r>
  <r>
    <s v="28.10.2023 Итог"/>
    <x v="3"/>
    <m/>
    <m/>
    <m/>
    <m/>
    <m/>
    <n v="842.03"/>
    <x v="10"/>
  </r>
  <r>
    <d v="2023-10-29T00:00:00"/>
    <x v="4"/>
    <s v="Барановичи"/>
    <s v="Фрукты"/>
    <s v="Абрикосы"/>
    <n v="1320"/>
    <n v="46"/>
    <n v="60.72"/>
    <x v="10"/>
  </r>
  <r>
    <d v="2023-10-29T00:00:00"/>
    <x v="1"/>
    <s v="Барановичи"/>
    <s v="Ягоды"/>
    <s v="Голубика"/>
    <n v="3205"/>
    <n v="51"/>
    <n v="163.45500000000001"/>
    <x v="10"/>
  </r>
  <r>
    <d v="2023-10-29T00:00:00"/>
    <x v="4"/>
    <s v="Минск"/>
    <s v="Зелень"/>
    <s v="Салат айсберг"/>
    <n v="1380"/>
    <n v="86"/>
    <n v="118.68"/>
    <x v="10"/>
  </r>
  <r>
    <d v="2023-10-29T00:00:00"/>
    <x v="2"/>
    <s v="Минск"/>
    <s v="Зелень"/>
    <s v="Салат айсберг"/>
    <n v="1380"/>
    <n v="50"/>
    <n v="69"/>
    <x v="10"/>
  </r>
  <r>
    <d v="2023-10-29T00:00:00"/>
    <x v="1"/>
    <s v="Минск"/>
    <s v="Фрукты"/>
    <s v="Яблоки"/>
    <n v="1230"/>
    <n v="90"/>
    <n v="110.7"/>
    <x v="10"/>
  </r>
  <r>
    <d v="2023-10-29T00:00:00"/>
    <x v="4"/>
    <s v="Столбцы"/>
    <s v="Зелень"/>
    <s v="Кинза"/>
    <n v="650"/>
    <n v="59"/>
    <n v="38.35"/>
    <x v="10"/>
  </r>
  <r>
    <s v="29.10.2023 Итог"/>
    <x v="3"/>
    <m/>
    <m/>
    <m/>
    <m/>
    <m/>
    <n v="560.90500000000009"/>
    <x v="10"/>
  </r>
  <r>
    <d v="2023-10-30T00:00:00"/>
    <x v="2"/>
    <s v="Барановичи"/>
    <s v="Зелень"/>
    <s v="Укроп"/>
    <n v="650"/>
    <n v="15"/>
    <n v="9.75"/>
    <x v="10"/>
  </r>
  <r>
    <d v="2023-10-30T00:00:00"/>
    <x v="2"/>
    <s v="Барановичи"/>
    <s v="Овощи"/>
    <s v="Капуста"/>
    <n v="460"/>
    <n v="33"/>
    <n v="15.18"/>
    <x v="10"/>
  </r>
  <r>
    <d v="2023-10-30T00:00:00"/>
    <x v="0"/>
    <s v="Барановичи"/>
    <s v="Ягоды"/>
    <s v="Малина"/>
    <n v="2970"/>
    <n v="100"/>
    <n v="297"/>
    <x v="10"/>
  </r>
  <r>
    <d v="2023-10-30T00:00:00"/>
    <x v="2"/>
    <s v="Барановичи"/>
    <s v="Ягоды"/>
    <s v="Малина"/>
    <n v="2970"/>
    <n v="13"/>
    <n v="38.61"/>
    <x v="10"/>
  </r>
  <r>
    <d v="2023-10-30T00:00:00"/>
    <x v="0"/>
    <s v="Борисов"/>
    <s v="Зелень"/>
    <s v="Лук зеленый"/>
    <n v="705"/>
    <n v="53"/>
    <n v="37.365000000000002"/>
    <x v="10"/>
  </r>
  <r>
    <d v="2023-10-30T00:00:00"/>
    <x v="2"/>
    <s v="Борисов"/>
    <s v="Овощи"/>
    <s v="Капуста"/>
    <n v="460"/>
    <n v="47"/>
    <n v="21.62"/>
    <x v="10"/>
  </r>
  <r>
    <d v="2023-10-30T00:00:00"/>
    <x v="2"/>
    <s v="Борисов"/>
    <s v="Фрукты"/>
    <s v="Груши"/>
    <n v="1420"/>
    <n v="75"/>
    <n v="106.5"/>
    <x v="10"/>
  </r>
  <r>
    <d v="2023-10-30T00:00:00"/>
    <x v="1"/>
    <s v="Жодино"/>
    <s v="Фрукты"/>
    <s v="Бананы"/>
    <n v="2400"/>
    <n v="60"/>
    <n v="144"/>
    <x v="10"/>
  </r>
  <r>
    <d v="2023-10-30T00:00:00"/>
    <x v="4"/>
    <s v="Минск"/>
    <s v="Овощи"/>
    <s v="Морковь"/>
    <n v="715"/>
    <n v="64"/>
    <n v="45.76"/>
    <x v="10"/>
  </r>
  <r>
    <d v="2023-10-30T00:00:00"/>
    <x v="1"/>
    <s v="Минск"/>
    <s v="Овощи"/>
    <s v="Баклажаны"/>
    <n v="890"/>
    <n v="70"/>
    <n v="62.3"/>
    <x v="10"/>
  </r>
  <r>
    <d v="2023-10-30T00:00:00"/>
    <x v="0"/>
    <s v="Столбцы"/>
    <s v="Овощи"/>
    <s v="Капуста"/>
    <n v="460"/>
    <n v="43"/>
    <n v="19.78"/>
    <x v="10"/>
  </r>
  <r>
    <d v="2023-10-30T00:00:00"/>
    <x v="0"/>
    <s v="Фаниполь"/>
    <s v="Зелень"/>
    <s v="Салат айсберг"/>
    <n v="1380"/>
    <n v="46"/>
    <n v="63.48"/>
    <x v="10"/>
  </r>
  <r>
    <d v="2023-10-30T00:00:00"/>
    <x v="2"/>
    <s v="Фаниполь"/>
    <s v="Фрукты"/>
    <s v="Бананы"/>
    <n v="2400"/>
    <n v="20"/>
    <n v="48"/>
    <x v="10"/>
  </r>
  <r>
    <d v="2023-10-30T00:00:00"/>
    <x v="0"/>
    <s v="Фаниполь"/>
    <s v="Ягоды"/>
    <s v="Голубика"/>
    <n v="3205"/>
    <n v="66"/>
    <n v="211.53"/>
    <x v="10"/>
  </r>
  <r>
    <s v="30.10.2023 Итог"/>
    <x v="3"/>
    <m/>
    <m/>
    <m/>
    <m/>
    <m/>
    <n v="1120.875"/>
    <x v="10"/>
  </r>
  <r>
    <d v="2023-10-31T00:00:00"/>
    <x v="0"/>
    <s v="Жодино"/>
    <s v="Зелень"/>
    <s v="Салат айсберг"/>
    <n v="1380"/>
    <n v="53"/>
    <n v="73.14"/>
    <x v="10"/>
  </r>
  <r>
    <d v="2023-10-31T00:00:00"/>
    <x v="0"/>
    <s v="Жодино"/>
    <s v="Овощи"/>
    <s v="Морковь"/>
    <n v="715"/>
    <n v="15"/>
    <n v="10.725"/>
    <x v="10"/>
  </r>
  <r>
    <d v="2023-10-31T00:00:00"/>
    <x v="1"/>
    <s v="Жодино"/>
    <s v="Фрукты"/>
    <s v="Груши"/>
    <n v="1420"/>
    <n v="50"/>
    <n v="71"/>
    <x v="10"/>
  </r>
  <r>
    <d v="2023-10-31T00:00:00"/>
    <x v="1"/>
    <s v="Жодино"/>
    <s v="Фрукты"/>
    <s v="Груши"/>
    <n v="1420"/>
    <n v="100"/>
    <n v="142"/>
    <x v="10"/>
  </r>
  <r>
    <d v="2023-10-31T00:00:00"/>
    <x v="1"/>
    <s v="Жодино"/>
    <s v="Ягоды"/>
    <s v="Голубика"/>
    <n v="3205"/>
    <n v="22"/>
    <n v="70.510000000000005"/>
    <x v="10"/>
  </r>
  <r>
    <d v="2023-10-31T00:00:00"/>
    <x v="2"/>
    <s v="Столбцы"/>
    <s v="Овощи"/>
    <s v="Картофель"/>
    <n v="690"/>
    <n v="41"/>
    <n v="28.29"/>
    <x v="10"/>
  </r>
  <r>
    <d v="2023-10-31T00:00:00"/>
    <x v="2"/>
    <s v="Фаниполь"/>
    <s v="Зелень"/>
    <s v="Кинза"/>
    <n v="650"/>
    <n v="83"/>
    <n v="53.95"/>
    <x v="10"/>
  </r>
  <r>
    <s v="31.10.2023 Итог"/>
    <x v="3"/>
    <m/>
    <m/>
    <m/>
    <m/>
    <m/>
    <n v="449.61500000000001"/>
    <x v="1"/>
  </r>
  <r>
    <d v="2023-11-01T00:00:00"/>
    <x v="2"/>
    <s v="Барановичи"/>
    <s v="Овощи"/>
    <s v="Кабачки"/>
    <n v="325"/>
    <n v="51"/>
    <n v="16.574999999999999"/>
    <x v="11"/>
  </r>
  <r>
    <d v="2023-11-01T00:00:00"/>
    <x v="0"/>
    <s v="Барановичи"/>
    <s v="Фрукты"/>
    <s v="Сливы"/>
    <n v="930"/>
    <n v="40"/>
    <n v="37.200000000000003"/>
    <x v="11"/>
  </r>
  <r>
    <d v="2023-11-01T00:00:00"/>
    <x v="0"/>
    <s v="Борисов"/>
    <s v="Зелень"/>
    <s v="Салат айсберг"/>
    <n v="1380"/>
    <n v="26"/>
    <n v="35.880000000000003"/>
    <x v="11"/>
  </r>
  <r>
    <d v="2023-11-01T00:00:00"/>
    <x v="2"/>
    <s v="Борисов"/>
    <s v="Овощи"/>
    <s v="Кабачки"/>
    <n v="325"/>
    <n v="7"/>
    <n v="2.2749999999999999"/>
    <x v="11"/>
  </r>
  <r>
    <d v="2023-11-01T00:00:00"/>
    <x v="2"/>
    <s v="Борисов"/>
    <s v="Фрукты"/>
    <s v="Абрикосы"/>
    <n v="1320"/>
    <n v="42"/>
    <n v="55.44"/>
    <x v="11"/>
  </r>
  <r>
    <d v="2023-11-01T00:00:00"/>
    <x v="4"/>
    <s v="Борисов"/>
    <s v="Ягоды"/>
    <s v="Смородина черная"/>
    <n v="1505"/>
    <n v="95"/>
    <n v="142.97499999999999"/>
    <x v="11"/>
  </r>
  <r>
    <d v="2023-11-01T00:00:00"/>
    <x v="0"/>
    <s v="Жодино"/>
    <s v="Фрукты"/>
    <s v="Абрикосы"/>
    <n v="1320"/>
    <n v="83"/>
    <n v="109.56"/>
    <x v="11"/>
  </r>
  <r>
    <d v="2023-11-01T00:00:00"/>
    <x v="2"/>
    <s v="Жодино"/>
    <s v="Ягоды"/>
    <s v="Брусника"/>
    <n v="1670"/>
    <n v="75"/>
    <n v="125.25"/>
    <x v="11"/>
  </r>
  <r>
    <d v="2023-11-01T00:00:00"/>
    <x v="0"/>
    <s v="Минск"/>
    <s v="Зелень"/>
    <s v="Салат римский"/>
    <n v="540"/>
    <n v="36"/>
    <n v="19.440000000000001"/>
    <x v="11"/>
  </r>
  <r>
    <d v="2023-11-01T00:00:00"/>
    <x v="1"/>
    <s v="Минск"/>
    <s v="Овощи"/>
    <s v="Морковь"/>
    <n v="715"/>
    <n v="100"/>
    <n v="71.5"/>
    <x v="11"/>
  </r>
  <r>
    <d v="2023-11-01T00:00:00"/>
    <x v="0"/>
    <s v="Минск"/>
    <s v="Овощи"/>
    <s v="Морковь"/>
    <n v="715"/>
    <n v="64"/>
    <n v="45.76"/>
    <x v="11"/>
  </r>
  <r>
    <d v="2023-11-01T00:00:00"/>
    <x v="2"/>
    <s v="Минск"/>
    <s v="Фрукты"/>
    <s v="Яблоки"/>
    <n v="1230"/>
    <n v="97"/>
    <n v="119.31"/>
    <x v="11"/>
  </r>
  <r>
    <d v="2023-11-01T00:00:00"/>
    <x v="2"/>
    <s v="Минск"/>
    <s v="Фрукты"/>
    <s v="Яблоки"/>
    <n v="1230"/>
    <n v="27"/>
    <n v="33.21"/>
    <x v="11"/>
  </r>
  <r>
    <d v="2023-11-01T00:00:00"/>
    <x v="0"/>
    <s v="Фаниполь"/>
    <s v="Фрукты"/>
    <s v="Яблоки"/>
    <n v="1230"/>
    <n v="90"/>
    <n v="110.7"/>
    <x v="11"/>
  </r>
  <r>
    <s v="01.11.2023 Итог"/>
    <x v="3"/>
    <m/>
    <m/>
    <m/>
    <m/>
    <m/>
    <n v="925.07500000000005"/>
    <x v="11"/>
  </r>
  <r>
    <d v="2023-11-02T00:00:00"/>
    <x v="4"/>
    <s v="Барановичи"/>
    <s v="Зелень"/>
    <s v="Петрушка"/>
    <n v="640"/>
    <n v="66"/>
    <n v="42.24"/>
    <x v="11"/>
  </r>
  <r>
    <d v="2023-11-02T00:00:00"/>
    <x v="1"/>
    <s v="Борисов"/>
    <s v="Зелень"/>
    <s v="Лук зеленый"/>
    <n v="705"/>
    <n v="17"/>
    <n v="11.984999999999999"/>
    <x v="11"/>
  </r>
  <r>
    <d v="2023-11-02T00:00:00"/>
    <x v="2"/>
    <s v="Борисов"/>
    <s v="Овощи"/>
    <s v="Морковь"/>
    <n v="715"/>
    <n v="8"/>
    <n v="5.72"/>
    <x v="11"/>
  </r>
  <r>
    <d v="2023-11-02T00:00:00"/>
    <x v="1"/>
    <s v="Столбцы"/>
    <s v="Овощи"/>
    <s v="Морковь"/>
    <n v="715"/>
    <n v="63"/>
    <n v="45.045000000000002"/>
    <x v="11"/>
  </r>
  <r>
    <d v="2023-11-02T00:00:00"/>
    <x v="4"/>
    <s v="Фаниполь"/>
    <s v="Зелень"/>
    <s v="Салат айсберг"/>
    <n v="1380"/>
    <n v="22"/>
    <n v="30.36"/>
    <x v="11"/>
  </r>
  <r>
    <d v="2023-11-02T00:00:00"/>
    <x v="4"/>
    <s v="Фаниполь"/>
    <s v="Ягоды"/>
    <s v="Клубника"/>
    <n v="2460"/>
    <n v="13"/>
    <n v="31.98"/>
    <x v="11"/>
  </r>
  <r>
    <d v="2023-11-02T00:00:00"/>
    <x v="2"/>
    <s v="Фаниполь"/>
    <s v="Ягоды"/>
    <s v="Клубника"/>
    <n v="2460"/>
    <n v="22"/>
    <n v="54.12"/>
    <x v="11"/>
  </r>
  <r>
    <d v="2023-11-02T00:00:00"/>
    <x v="2"/>
    <s v="Фаниполь"/>
    <s v="Ягоды"/>
    <s v="Черешня"/>
    <n v="1760"/>
    <n v="9"/>
    <n v="15.84"/>
    <x v="11"/>
  </r>
  <r>
    <s v="02.11.2023 Итог"/>
    <x v="3"/>
    <m/>
    <m/>
    <m/>
    <m/>
    <m/>
    <n v="237.29000000000002"/>
    <x v="11"/>
  </r>
  <r>
    <d v="2023-11-03T00:00:00"/>
    <x v="4"/>
    <s v="Барановичи"/>
    <s v="Ягоды"/>
    <s v="Клубника"/>
    <n v="2460"/>
    <n v="12"/>
    <n v="29.52"/>
    <x v="11"/>
  </r>
  <r>
    <d v="2023-11-03T00:00:00"/>
    <x v="0"/>
    <s v="Борисов"/>
    <s v="Зелень"/>
    <s v="Лук зеленый"/>
    <n v="705"/>
    <n v="73"/>
    <n v="51.465000000000003"/>
    <x v="11"/>
  </r>
  <r>
    <d v="2023-11-03T00:00:00"/>
    <x v="1"/>
    <s v="Борисов"/>
    <s v="Овощи"/>
    <s v="Капуста"/>
    <n v="460"/>
    <n v="87"/>
    <n v="40.020000000000003"/>
    <x v="11"/>
  </r>
  <r>
    <d v="2023-11-03T00:00:00"/>
    <x v="1"/>
    <s v="Борисов"/>
    <s v="Ягоды"/>
    <s v="Малина"/>
    <n v="2970"/>
    <n v="53"/>
    <n v="157.41"/>
    <x v="11"/>
  </r>
  <r>
    <d v="2023-11-03T00:00:00"/>
    <x v="1"/>
    <s v="Жодино"/>
    <s v="Овощи"/>
    <s v="Капуста"/>
    <n v="460"/>
    <n v="80"/>
    <n v="36.799999999999997"/>
    <x v="11"/>
  </r>
  <r>
    <d v="2023-11-03T00:00:00"/>
    <x v="1"/>
    <s v="Жодино"/>
    <s v="Фрукты"/>
    <s v="Апельсины"/>
    <n v="2540"/>
    <n v="44"/>
    <n v="111.76"/>
    <x v="11"/>
  </r>
  <r>
    <d v="2023-11-03T00:00:00"/>
    <x v="2"/>
    <s v="Жодино"/>
    <s v="Ягоды"/>
    <s v="Черешня"/>
    <n v="1760"/>
    <n v="82"/>
    <n v="144.32"/>
    <x v="11"/>
  </r>
  <r>
    <d v="2023-11-03T00:00:00"/>
    <x v="2"/>
    <s v="Столбцы"/>
    <s v="Ягоды"/>
    <s v="Черешня"/>
    <n v="1760"/>
    <n v="55"/>
    <n v="96.8"/>
    <x v="11"/>
  </r>
  <r>
    <d v="2023-11-03T00:00:00"/>
    <x v="2"/>
    <s v="Фаниполь"/>
    <s v="Зелень"/>
    <s v="Салат римский"/>
    <n v="540"/>
    <n v="83"/>
    <n v="44.82"/>
    <x v="11"/>
  </r>
  <r>
    <d v="2023-11-03T00:00:00"/>
    <x v="1"/>
    <s v="Фаниполь"/>
    <s v="Фрукты"/>
    <s v="Яблоки"/>
    <n v="1230"/>
    <n v="46"/>
    <n v="56.58"/>
    <x v="11"/>
  </r>
  <r>
    <d v="2023-11-03T00:00:00"/>
    <x v="4"/>
    <s v="Фаниполь"/>
    <s v="Фрукты"/>
    <s v="Груши"/>
    <n v="1420"/>
    <n v="58"/>
    <n v="82.36"/>
    <x v="11"/>
  </r>
  <r>
    <d v="2023-11-03T00:00:00"/>
    <x v="2"/>
    <s v="Фаниполь"/>
    <s v="Ягоды"/>
    <s v="Черешня"/>
    <n v="1760"/>
    <n v="75"/>
    <n v="132"/>
    <x v="11"/>
  </r>
  <r>
    <s v="03.11.2023 Итог"/>
    <x v="3"/>
    <m/>
    <m/>
    <m/>
    <m/>
    <m/>
    <n v="983.85500000000002"/>
    <x v="11"/>
  </r>
  <r>
    <d v="2023-11-04T00:00:00"/>
    <x v="1"/>
    <s v="Барановичи"/>
    <s v="Зелень"/>
    <s v="Салат римский"/>
    <n v="540"/>
    <n v="85"/>
    <n v="45.9"/>
    <x v="11"/>
  </r>
  <r>
    <d v="2023-11-04T00:00:00"/>
    <x v="4"/>
    <s v="Барановичи"/>
    <s v="Овощи"/>
    <s v="Капуста"/>
    <n v="460"/>
    <n v="75"/>
    <n v="34.5"/>
    <x v="11"/>
  </r>
  <r>
    <d v="2023-11-04T00:00:00"/>
    <x v="0"/>
    <s v="Барановичи"/>
    <s v="Фрукты"/>
    <s v="Сливы"/>
    <n v="930"/>
    <n v="36"/>
    <n v="33.479999999999997"/>
    <x v="11"/>
  </r>
  <r>
    <d v="2023-11-04T00:00:00"/>
    <x v="4"/>
    <s v="Барановичи"/>
    <s v="Фрукты"/>
    <s v="Яблоки"/>
    <n v="1230"/>
    <n v="78"/>
    <n v="95.94"/>
    <x v="11"/>
  </r>
  <r>
    <d v="2023-11-04T00:00:00"/>
    <x v="2"/>
    <s v="Борисов"/>
    <s v="Зелень"/>
    <s v="Укроп"/>
    <n v="650"/>
    <n v="80"/>
    <n v="52"/>
    <x v="11"/>
  </r>
  <r>
    <d v="2023-11-04T00:00:00"/>
    <x v="4"/>
    <s v="Жодино"/>
    <s v="Зелень"/>
    <s v="Салат айсберг"/>
    <n v="1380"/>
    <n v="15"/>
    <n v="20.7"/>
    <x v="11"/>
  </r>
  <r>
    <d v="2023-11-04T00:00:00"/>
    <x v="4"/>
    <s v="Жодино"/>
    <s v="Овощи"/>
    <s v="Баклажаны"/>
    <n v="890"/>
    <n v="66"/>
    <n v="58.74"/>
    <x v="11"/>
  </r>
  <r>
    <d v="2023-11-04T00:00:00"/>
    <x v="1"/>
    <s v="Жодино"/>
    <s v="Фрукты"/>
    <s v="Сливы"/>
    <n v="930"/>
    <n v="89"/>
    <n v="82.77"/>
    <x v="11"/>
  </r>
  <r>
    <d v="2023-11-04T00:00:00"/>
    <x v="2"/>
    <s v="Жодино"/>
    <s v="Ягоды"/>
    <s v="Малина"/>
    <n v="2970"/>
    <n v="39"/>
    <n v="115.83"/>
    <x v="11"/>
  </r>
  <r>
    <d v="2023-11-04T00:00:00"/>
    <x v="1"/>
    <s v="Минск"/>
    <s v="Зелень"/>
    <s v="Салат римский"/>
    <n v="540"/>
    <n v="8"/>
    <n v="4.32"/>
    <x v="11"/>
  </r>
  <r>
    <d v="2023-11-04T00:00:00"/>
    <x v="1"/>
    <s v="Фаниполь"/>
    <s v="Ягоды"/>
    <s v="Клубника"/>
    <n v="2460"/>
    <n v="32"/>
    <n v="78.72"/>
    <x v="11"/>
  </r>
  <r>
    <s v="04.11.2023 Итог"/>
    <x v="3"/>
    <m/>
    <m/>
    <m/>
    <m/>
    <m/>
    <n v="622.90000000000009"/>
    <x v="11"/>
  </r>
  <r>
    <d v="2023-11-05T00:00:00"/>
    <x v="2"/>
    <s v="Барановичи"/>
    <s v="Зелень"/>
    <s v="Салат айсберг"/>
    <n v="1380"/>
    <n v="6"/>
    <n v="8.2799999999999994"/>
    <x v="11"/>
  </r>
  <r>
    <d v="2023-11-05T00:00:00"/>
    <x v="4"/>
    <s v="Барановичи"/>
    <s v="Фрукты"/>
    <s v="Груши"/>
    <n v="1420"/>
    <n v="75"/>
    <n v="106.5"/>
    <x v="11"/>
  </r>
  <r>
    <d v="2023-11-05T00:00:00"/>
    <x v="2"/>
    <s v="Барановичи"/>
    <s v="Ягоды"/>
    <s v="Смородина черная"/>
    <n v="1505"/>
    <n v="88"/>
    <n v="132.44"/>
    <x v="11"/>
  </r>
  <r>
    <d v="2023-11-05T00:00:00"/>
    <x v="2"/>
    <s v="Борисов"/>
    <s v="Зелень"/>
    <s v="Лук зеленый"/>
    <n v="705"/>
    <n v="5"/>
    <n v="3.5249999999999999"/>
    <x v="11"/>
  </r>
  <r>
    <d v="2023-11-05T00:00:00"/>
    <x v="1"/>
    <s v="Борисов"/>
    <s v="Овощи"/>
    <s v="Кабачки"/>
    <n v="325"/>
    <n v="40"/>
    <n v="13"/>
    <x v="11"/>
  </r>
  <r>
    <d v="2023-11-05T00:00:00"/>
    <x v="2"/>
    <s v="Жодино"/>
    <s v="Фрукты"/>
    <s v="Бананы"/>
    <n v="2400"/>
    <n v="22"/>
    <n v="52.8"/>
    <x v="11"/>
  </r>
  <r>
    <d v="2023-11-05T00:00:00"/>
    <x v="4"/>
    <s v="Минск"/>
    <s v="Зелень"/>
    <s v="Кинза"/>
    <n v="650"/>
    <n v="10"/>
    <n v="6.5"/>
    <x v="11"/>
  </r>
  <r>
    <d v="2023-11-05T00:00:00"/>
    <x v="4"/>
    <s v="Минск"/>
    <s v="Фрукты"/>
    <s v="Яблоки"/>
    <n v="1230"/>
    <n v="34"/>
    <n v="41.82"/>
    <x v="11"/>
  </r>
  <r>
    <s v="05.11.2023 Итог"/>
    <x v="3"/>
    <m/>
    <m/>
    <m/>
    <m/>
    <m/>
    <n v="364.86500000000001"/>
    <x v="11"/>
  </r>
  <r>
    <d v="2023-11-06T00:00:00"/>
    <x v="1"/>
    <s v="Барановичи"/>
    <s v="Фрукты"/>
    <s v="Бананы"/>
    <n v="2400"/>
    <n v="6"/>
    <n v="14.4"/>
    <x v="11"/>
  </r>
  <r>
    <d v="2023-11-06T00:00:00"/>
    <x v="2"/>
    <s v="Барановичи"/>
    <s v="Фрукты"/>
    <s v="Сливы"/>
    <n v="930"/>
    <n v="54"/>
    <n v="50.22"/>
    <x v="11"/>
  </r>
  <r>
    <d v="2023-11-06T00:00:00"/>
    <x v="0"/>
    <s v="Борисов"/>
    <s v="Овощи"/>
    <s v="Морковь"/>
    <n v="715"/>
    <n v="91"/>
    <n v="65.064999999999998"/>
    <x v="11"/>
  </r>
  <r>
    <d v="2023-11-06T00:00:00"/>
    <x v="2"/>
    <s v="Борисов"/>
    <s v="Овощи"/>
    <s v="Морковь"/>
    <n v="715"/>
    <n v="90"/>
    <n v="64.349999999999994"/>
    <x v="11"/>
  </r>
  <r>
    <d v="2023-11-06T00:00:00"/>
    <x v="4"/>
    <s v="Борисов"/>
    <s v="Фрукты"/>
    <s v="Сливы"/>
    <n v="930"/>
    <n v="81"/>
    <n v="75.33"/>
    <x v="11"/>
  </r>
  <r>
    <d v="2023-11-06T00:00:00"/>
    <x v="2"/>
    <s v="Минск"/>
    <s v="Зелень"/>
    <s v="Укроп"/>
    <n v="650"/>
    <n v="93"/>
    <n v="60.45"/>
    <x v="11"/>
  </r>
  <r>
    <d v="2023-11-06T00:00:00"/>
    <x v="1"/>
    <s v="Минск"/>
    <s v="Овощи"/>
    <s v="Баклажаны"/>
    <n v="890"/>
    <n v="51"/>
    <n v="45.39"/>
    <x v="11"/>
  </r>
  <r>
    <d v="2023-11-06T00:00:00"/>
    <x v="1"/>
    <s v="Минск"/>
    <s v="Фрукты"/>
    <s v="Сливы"/>
    <n v="930"/>
    <n v="57"/>
    <n v="53.01"/>
    <x v="11"/>
  </r>
  <r>
    <d v="2023-11-06T00:00:00"/>
    <x v="2"/>
    <s v="Минск"/>
    <s v="Ягоды"/>
    <s v="Черешня"/>
    <n v="1760"/>
    <n v="26"/>
    <n v="45.76"/>
    <x v="11"/>
  </r>
  <r>
    <d v="2023-11-06T00:00:00"/>
    <x v="2"/>
    <s v="Минск"/>
    <s v="Ягоды"/>
    <s v="Смородина черная"/>
    <n v="1505"/>
    <n v="28"/>
    <n v="42.14"/>
    <x v="11"/>
  </r>
  <r>
    <d v="2023-11-06T00:00:00"/>
    <x v="2"/>
    <s v="Столбцы"/>
    <s v="Зелень"/>
    <s v="Салат римский"/>
    <n v="540"/>
    <n v="42"/>
    <n v="22.68"/>
    <x v="11"/>
  </r>
  <r>
    <d v="2023-11-06T00:00:00"/>
    <x v="4"/>
    <s v="Фаниполь"/>
    <s v="Зелень"/>
    <s v="Кинза"/>
    <n v="650"/>
    <n v="59"/>
    <n v="38.35"/>
    <x v="11"/>
  </r>
  <r>
    <d v="2023-11-06T00:00:00"/>
    <x v="1"/>
    <s v="Фаниполь"/>
    <s v="Овощи"/>
    <s v="Капуста"/>
    <n v="460"/>
    <n v="62"/>
    <n v="28.52"/>
    <x v="11"/>
  </r>
  <r>
    <d v="2023-11-06T00:00:00"/>
    <x v="4"/>
    <s v="Фаниполь"/>
    <s v="Овощи"/>
    <s v="Кабачки"/>
    <n v="325"/>
    <n v="37"/>
    <n v="12.025"/>
    <x v="11"/>
  </r>
  <r>
    <d v="2023-11-06T00:00:00"/>
    <x v="1"/>
    <s v="Фаниполь"/>
    <s v="Фрукты"/>
    <s v="Груши"/>
    <n v="1420"/>
    <n v="20"/>
    <n v="28.4"/>
    <x v="11"/>
  </r>
  <r>
    <s v="06.11.2023 Итог"/>
    <x v="3"/>
    <m/>
    <m/>
    <m/>
    <m/>
    <m/>
    <n v="646.08999999999992"/>
    <x v="11"/>
  </r>
  <r>
    <d v="2023-11-07T00:00:00"/>
    <x v="1"/>
    <s v="Барановичи"/>
    <s v="Зелень"/>
    <s v="Салат римский"/>
    <n v="540"/>
    <n v="62"/>
    <n v="33.479999999999997"/>
    <x v="11"/>
  </r>
  <r>
    <d v="2023-11-07T00:00:00"/>
    <x v="4"/>
    <s v="Борисов"/>
    <s v="Зелень"/>
    <s v="Салат римский"/>
    <n v="540"/>
    <n v="11"/>
    <n v="5.94"/>
    <x v="11"/>
  </r>
  <r>
    <d v="2023-11-07T00:00:00"/>
    <x v="1"/>
    <s v="Борисов"/>
    <s v="Фрукты"/>
    <s v="Абрикосы"/>
    <n v="1320"/>
    <n v="30"/>
    <n v="39.6"/>
    <x v="11"/>
  </r>
  <r>
    <d v="2023-11-07T00:00:00"/>
    <x v="1"/>
    <s v="Минск"/>
    <s v="Овощи"/>
    <s v="Кабачки"/>
    <n v="325"/>
    <n v="93"/>
    <n v="30.225000000000001"/>
    <x v="11"/>
  </r>
  <r>
    <d v="2023-11-07T00:00:00"/>
    <x v="1"/>
    <s v="Минск"/>
    <s v="Овощи"/>
    <s v="Баклажаны"/>
    <n v="890"/>
    <n v="24"/>
    <n v="21.36"/>
    <x v="11"/>
  </r>
  <r>
    <d v="2023-11-07T00:00:00"/>
    <x v="4"/>
    <s v="Минск"/>
    <s v="Ягоды"/>
    <s v="Клубника"/>
    <n v="2460"/>
    <n v="90"/>
    <n v="221.4"/>
    <x v="11"/>
  </r>
  <r>
    <d v="2023-11-07T00:00:00"/>
    <x v="2"/>
    <s v="Минск"/>
    <s v="Ягоды"/>
    <s v="Брусника"/>
    <n v="1670"/>
    <n v="88"/>
    <n v="146.96"/>
    <x v="11"/>
  </r>
  <r>
    <d v="2023-11-07T00:00:00"/>
    <x v="1"/>
    <s v="Минск"/>
    <s v="Ягоды"/>
    <s v="Клубника"/>
    <n v="2460"/>
    <n v="88"/>
    <n v="216.48"/>
    <x v="11"/>
  </r>
  <r>
    <d v="2023-11-07T00:00:00"/>
    <x v="0"/>
    <s v="Столбцы"/>
    <s v="Овощи"/>
    <s v="Морковь"/>
    <n v="715"/>
    <n v="46"/>
    <n v="32.89"/>
    <x v="11"/>
  </r>
  <r>
    <d v="2023-11-07T00:00:00"/>
    <x v="1"/>
    <s v="Фаниполь"/>
    <s v="Фрукты"/>
    <s v="Бананы"/>
    <n v="2400"/>
    <n v="11"/>
    <n v="26.4"/>
    <x v="11"/>
  </r>
  <r>
    <d v="2023-11-07T00:00:00"/>
    <x v="1"/>
    <s v="Фаниполь"/>
    <s v="Фрукты"/>
    <s v="Сливы"/>
    <n v="930"/>
    <n v="86"/>
    <n v="79.98"/>
    <x v="11"/>
  </r>
  <r>
    <d v="2023-11-07T00:00:00"/>
    <x v="0"/>
    <s v="Фаниполь"/>
    <s v="Ягоды"/>
    <s v="Голубика"/>
    <n v="3205"/>
    <n v="28"/>
    <n v="89.74"/>
    <x v="11"/>
  </r>
  <r>
    <d v="2023-11-07T00:00:00"/>
    <x v="2"/>
    <s v="Фаниполь"/>
    <s v="Ягоды"/>
    <s v="Брусника"/>
    <n v="1670"/>
    <n v="9"/>
    <n v="15.03"/>
    <x v="11"/>
  </r>
  <r>
    <s v="07.11.2023 Итог"/>
    <x v="3"/>
    <m/>
    <m/>
    <m/>
    <m/>
    <m/>
    <n v="959.48500000000001"/>
    <x v="11"/>
  </r>
  <r>
    <d v="2023-11-08T00:00:00"/>
    <x v="0"/>
    <s v="Барановичи"/>
    <s v="Овощи"/>
    <s v="Морковь"/>
    <n v="715"/>
    <n v="58"/>
    <n v="41.47"/>
    <x v="11"/>
  </r>
  <r>
    <d v="2023-11-08T00:00:00"/>
    <x v="4"/>
    <s v="Барановичи"/>
    <s v="Фрукты"/>
    <s v="Груши"/>
    <n v="1420"/>
    <n v="58"/>
    <n v="82.36"/>
    <x v="11"/>
  </r>
  <r>
    <d v="2023-11-08T00:00:00"/>
    <x v="4"/>
    <s v="Борисов"/>
    <s v="Фрукты"/>
    <s v="Сливы"/>
    <n v="930"/>
    <n v="50"/>
    <n v="46.5"/>
    <x v="11"/>
  </r>
  <r>
    <d v="2023-11-08T00:00:00"/>
    <x v="1"/>
    <s v="Минск"/>
    <s v="Зелень"/>
    <s v="Салат римский"/>
    <n v="540"/>
    <n v="51"/>
    <n v="27.54"/>
    <x v="11"/>
  </r>
  <r>
    <d v="2023-11-08T00:00:00"/>
    <x v="4"/>
    <s v="Столбцы"/>
    <s v="Зелень"/>
    <s v="Кинза"/>
    <n v="650"/>
    <n v="32"/>
    <n v="20.8"/>
    <x v="11"/>
  </r>
  <r>
    <d v="2023-11-08T00:00:00"/>
    <x v="4"/>
    <s v="Столбцы"/>
    <s v="Фрукты"/>
    <s v="Груши"/>
    <n v="1420"/>
    <n v="73"/>
    <n v="103.66"/>
    <x v="11"/>
  </r>
  <r>
    <d v="2023-11-08T00:00:00"/>
    <x v="2"/>
    <s v="Фаниполь"/>
    <s v="Зелень"/>
    <s v="Укроп"/>
    <n v="650"/>
    <n v="21"/>
    <n v="13.65"/>
    <x v="11"/>
  </r>
  <r>
    <d v="2023-11-08T00:00:00"/>
    <x v="1"/>
    <s v="Фаниполь"/>
    <s v="Зелень"/>
    <s v="Кинза"/>
    <n v="650"/>
    <n v="99"/>
    <n v="64.349999999999994"/>
    <x v="11"/>
  </r>
  <r>
    <s v="08.11.2023 Итог"/>
    <x v="3"/>
    <m/>
    <m/>
    <m/>
    <m/>
    <m/>
    <n v="400.32999999999993"/>
    <x v="11"/>
  </r>
  <r>
    <d v="2023-11-09T00:00:00"/>
    <x v="0"/>
    <s v="Барановичи"/>
    <s v="Ягоды"/>
    <s v="Смородина черная"/>
    <n v="1505"/>
    <n v="99"/>
    <n v="148.995"/>
    <x v="11"/>
  </r>
  <r>
    <d v="2023-11-09T00:00:00"/>
    <x v="1"/>
    <s v="Борисов"/>
    <s v="Овощи"/>
    <s v="Картофель"/>
    <n v="690"/>
    <n v="47"/>
    <n v="32.43"/>
    <x v="11"/>
  </r>
  <r>
    <d v="2023-11-09T00:00:00"/>
    <x v="2"/>
    <s v="Минск"/>
    <s v="Зелень"/>
    <s v="Кинза"/>
    <n v="650"/>
    <n v="13"/>
    <n v="8.4499999999999993"/>
    <x v="11"/>
  </r>
  <r>
    <d v="2023-11-09T00:00:00"/>
    <x v="4"/>
    <s v="Минск"/>
    <s v="Ягоды"/>
    <s v="Клубника"/>
    <n v="2460"/>
    <n v="45"/>
    <n v="110.7"/>
    <x v="11"/>
  </r>
  <r>
    <d v="2023-11-09T00:00:00"/>
    <x v="2"/>
    <s v="Столбцы"/>
    <s v="Овощи"/>
    <s v="Кабачки"/>
    <n v="325"/>
    <n v="56"/>
    <n v="18.2"/>
    <x v="11"/>
  </r>
  <r>
    <d v="2023-11-09T00:00:00"/>
    <x v="4"/>
    <s v="Столбцы"/>
    <s v="Овощи"/>
    <s v="Свекла"/>
    <n v="450"/>
    <n v="33"/>
    <n v="14.85"/>
    <x v="11"/>
  </r>
  <r>
    <d v="2023-11-09T00:00:00"/>
    <x v="0"/>
    <s v="Столбцы"/>
    <s v="Фрукты"/>
    <s v="Апельсины"/>
    <n v="2540"/>
    <n v="77"/>
    <n v="195.58"/>
    <x v="11"/>
  </r>
  <r>
    <d v="2023-11-09T00:00:00"/>
    <x v="1"/>
    <s v="Столбцы"/>
    <s v="Фрукты"/>
    <s v="Яблоки"/>
    <n v="1230"/>
    <n v="60"/>
    <n v="73.8"/>
    <x v="11"/>
  </r>
  <r>
    <d v="2023-11-09T00:00:00"/>
    <x v="0"/>
    <s v="Столбцы"/>
    <s v="Ягоды"/>
    <s v="Клубника"/>
    <n v="2460"/>
    <n v="62"/>
    <n v="152.52000000000001"/>
    <x v="11"/>
  </r>
  <r>
    <d v="2023-11-09T00:00:00"/>
    <x v="2"/>
    <s v="Фаниполь"/>
    <s v="Зелень"/>
    <s v="Салат римский"/>
    <n v="540"/>
    <n v="19"/>
    <n v="10.26"/>
    <x v="11"/>
  </r>
  <r>
    <s v="09.11.2023 Итог"/>
    <x v="3"/>
    <m/>
    <m/>
    <m/>
    <m/>
    <m/>
    <n v="765.78499999999997"/>
    <x v="11"/>
  </r>
  <r>
    <d v="2023-11-10T00:00:00"/>
    <x v="4"/>
    <s v="Барановичи"/>
    <s v="Овощи"/>
    <s v="Капуста"/>
    <n v="460"/>
    <n v="79"/>
    <n v="36.340000000000003"/>
    <x v="11"/>
  </r>
  <r>
    <d v="2023-11-10T00:00:00"/>
    <x v="1"/>
    <s v="Барановичи"/>
    <s v="Фрукты"/>
    <s v="Абрикосы"/>
    <n v="1320"/>
    <n v="7"/>
    <n v="9.24"/>
    <x v="11"/>
  </r>
  <r>
    <d v="2023-11-10T00:00:00"/>
    <x v="0"/>
    <s v="Барановичи"/>
    <s v="Ягоды"/>
    <s v="Черешня"/>
    <n v="1760"/>
    <n v="13"/>
    <n v="22.88"/>
    <x v="11"/>
  </r>
  <r>
    <d v="2023-11-10T00:00:00"/>
    <x v="1"/>
    <s v="Борисов"/>
    <s v="Овощи"/>
    <s v="Картофель"/>
    <n v="690"/>
    <n v="57"/>
    <n v="39.33"/>
    <x v="11"/>
  </r>
  <r>
    <d v="2023-11-10T00:00:00"/>
    <x v="1"/>
    <s v="Борисов"/>
    <s v="Фрукты"/>
    <s v="Груши"/>
    <n v="1420"/>
    <n v="11"/>
    <n v="15.62"/>
    <x v="11"/>
  </r>
  <r>
    <d v="2023-11-10T00:00:00"/>
    <x v="1"/>
    <s v="Борисов"/>
    <s v="Ягоды"/>
    <s v="Малина"/>
    <n v="2970"/>
    <n v="54"/>
    <n v="160.38"/>
    <x v="11"/>
  </r>
  <r>
    <d v="2023-11-10T00:00:00"/>
    <x v="2"/>
    <s v="Минск"/>
    <s v="Зелень"/>
    <s v="Салат айсберг"/>
    <n v="1380"/>
    <n v="74"/>
    <n v="102.12"/>
    <x v="11"/>
  </r>
  <r>
    <d v="2023-11-10T00:00:00"/>
    <x v="0"/>
    <s v="Столбцы"/>
    <s v="Овощи"/>
    <s v="Морковь"/>
    <n v="715"/>
    <n v="33"/>
    <n v="23.594999999999999"/>
    <x v="11"/>
  </r>
  <r>
    <d v="2023-11-10T00:00:00"/>
    <x v="0"/>
    <s v="Столбцы"/>
    <s v="Ягоды"/>
    <s v="Черешня"/>
    <n v="1760"/>
    <n v="90"/>
    <n v="158.4"/>
    <x v="11"/>
  </r>
  <r>
    <d v="2023-11-10T00:00:00"/>
    <x v="2"/>
    <s v="Фаниполь"/>
    <s v="Фрукты"/>
    <s v="Абрикосы"/>
    <n v="1320"/>
    <n v="40"/>
    <n v="52.8"/>
    <x v="11"/>
  </r>
  <r>
    <s v="10.11.2023 Итог"/>
    <x v="3"/>
    <m/>
    <m/>
    <m/>
    <m/>
    <m/>
    <n v="620.70499999999993"/>
    <x v="11"/>
  </r>
  <r>
    <d v="2023-11-11T00:00:00"/>
    <x v="4"/>
    <s v="Барановичи"/>
    <s v="Ягоды"/>
    <s v="Голубика"/>
    <n v="3205"/>
    <n v="83"/>
    <n v="266.01499999999999"/>
    <x v="11"/>
  </r>
  <r>
    <d v="2023-11-11T00:00:00"/>
    <x v="4"/>
    <s v="Борисов"/>
    <s v="Фрукты"/>
    <s v="Сливы"/>
    <n v="930"/>
    <n v="33"/>
    <n v="30.69"/>
    <x v="11"/>
  </r>
  <r>
    <d v="2023-11-11T00:00:00"/>
    <x v="2"/>
    <s v="Борисов"/>
    <s v="Ягоды"/>
    <s v="Малина"/>
    <n v="2970"/>
    <n v="65"/>
    <n v="193.05"/>
    <x v="11"/>
  </r>
  <r>
    <d v="2023-11-11T00:00:00"/>
    <x v="4"/>
    <s v="Столбцы"/>
    <s v="Овощи"/>
    <s v="Картофель"/>
    <n v="690"/>
    <n v="43"/>
    <n v="29.67"/>
    <x v="11"/>
  </r>
  <r>
    <d v="2023-11-11T00:00:00"/>
    <x v="0"/>
    <s v="Столбцы"/>
    <s v="Фрукты"/>
    <s v="Абрикосы"/>
    <n v="1320"/>
    <n v="58"/>
    <n v="76.56"/>
    <x v="11"/>
  </r>
  <r>
    <d v="2023-11-11T00:00:00"/>
    <x v="4"/>
    <s v="Столбцы"/>
    <s v="Ягоды"/>
    <s v="Брусника"/>
    <n v="1670"/>
    <n v="25"/>
    <n v="41.75"/>
    <x v="11"/>
  </r>
  <r>
    <d v="2023-11-11T00:00:00"/>
    <x v="2"/>
    <s v="Фаниполь"/>
    <s v="Фрукты"/>
    <s v="Абрикосы"/>
    <n v="1320"/>
    <n v="13"/>
    <n v="17.16"/>
    <x v="11"/>
  </r>
  <r>
    <d v="2023-11-11T00:00:00"/>
    <x v="2"/>
    <s v="Фаниполь"/>
    <s v="Ягоды"/>
    <s v="Клубника"/>
    <n v="2460"/>
    <n v="81"/>
    <n v="199.26"/>
    <x v="11"/>
  </r>
  <r>
    <s v="11.11.2023 Итог"/>
    <x v="3"/>
    <m/>
    <m/>
    <m/>
    <m/>
    <m/>
    <n v="854.15499999999986"/>
    <x v="11"/>
  </r>
  <r>
    <d v="2023-11-12T00:00:00"/>
    <x v="4"/>
    <s v="Барановичи"/>
    <s v="Ягоды"/>
    <s v="Черешня"/>
    <n v="1760"/>
    <n v="28"/>
    <n v="49.28"/>
    <x v="11"/>
  </r>
  <r>
    <d v="2023-11-12T00:00:00"/>
    <x v="1"/>
    <s v="Борисов"/>
    <s v="Фрукты"/>
    <s v="Абрикосы"/>
    <n v="1320"/>
    <n v="63"/>
    <n v="83.16"/>
    <x v="11"/>
  </r>
  <r>
    <d v="2023-11-12T00:00:00"/>
    <x v="4"/>
    <s v="Жодино"/>
    <s v="Зелень"/>
    <s v="Петрушка"/>
    <n v="640"/>
    <n v="52"/>
    <n v="33.28"/>
    <x v="11"/>
  </r>
  <r>
    <d v="2023-11-12T00:00:00"/>
    <x v="0"/>
    <s v="Столбцы"/>
    <s v="Зелень"/>
    <s v="Салат римский"/>
    <n v="540"/>
    <n v="56"/>
    <n v="30.24"/>
    <x v="11"/>
  </r>
  <r>
    <d v="2023-11-12T00:00:00"/>
    <x v="0"/>
    <s v="Столбцы"/>
    <s v="Фрукты"/>
    <s v="Сливы"/>
    <n v="930"/>
    <n v="92"/>
    <n v="85.56"/>
    <x v="11"/>
  </r>
  <r>
    <d v="2023-11-12T00:00:00"/>
    <x v="1"/>
    <s v="Фаниполь"/>
    <s v="Зелень"/>
    <s v="Кинза"/>
    <n v="650"/>
    <n v="54"/>
    <n v="35.1"/>
    <x v="11"/>
  </r>
  <r>
    <d v="2023-11-12T00:00:00"/>
    <x v="1"/>
    <s v="Фаниполь"/>
    <s v="Зелень"/>
    <s v="Петрушка"/>
    <n v="640"/>
    <n v="58"/>
    <n v="37.119999999999997"/>
    <x v="11"/>
  </r>
  <r>
    <d v="2023-11-12T00:00:00"/>
    <x v="1"/>
    <s v="Фаниполь"/>
    <s v="Овощи"/>
    <s v="Свекла"/>
    <n v="450"/>
    <n v="17"/>
    <n v="7.65"/>
    <x v="11"/>
  </r>
  <r>
    <d v="2023-11-12T00:00:00"/>
    <x v="4"/>
    <s v="Фаниполь"/>
    <s v="Ягоды"/>
    <s v="Клубника"/>
    <n v="2460"/>
    <n v="57"/>
    <n v="140.22"/>
    <x v="11"/>
  </r>
  <r>
    <s v="12.11.2023 Итог"/>
    <x v="3"/>
    <m/>
    <m/>
    <m/>
    <m/>
    <m/>
    <n v="501.61"/>
    <x v="11"/>
  </r>
  <r>
    <d v="2023-11-13T00:00:00"/>
    <x v="4"/>
    <s v="Барановичи"/>
    <s v="Фрукты"/>
    <s v="Груши"/>
    <n v="1420"/>
    <n v="67"/>
    <n v="95.14"/>
    <x v="11"/>
  </r>
  <r>
    <d v="2023-11-13T00:00:00"/>
    <x v="0"/>
    <s v="Борисов"/>
    <s v="Зелень"/>
    <s v="Укроп"/>
    <n v="650"/>
    <n v="12"/>
    <n v="7.8"/>
    <x v="11"/>
  </r>
  <r>
    <d v="2023-11-13T00:00:00"/>
    <x v="4"/>
    <s v="Борисов"/>
    <s v="Ягоды"/>
    <s v="Смородина черная"/>
    <n v="1505"/>
    <n v="79"/>
    <n v="118.895"/>
    <x v="11"/>
  </r>
  <r>
    <d v="2023-11-13T00:00:00"/>
    <x v="1"/>
    <s v="Борисов"/>
    <s v="Ягоды"/>
    <s v="Малина"/>
    <n v="2970"/>
    <n v="28"/>
    <n v="83.16"/>
    <x v="11"/>
  </r>
  <r>
    <d v="2023-11-13T00:00:00"/>
    <x v="0"/>
    <s v="Жодино"/>
    <s v="Овощи"/>
    <s v="Кабачки"/>
    <n v="325"/>
    <n v="44"/>
    <n v="14.3"/>
    <x v="11"/>
  </r>
  <r>
    <d v="2023-11-13T00:00:00"/>
    <x v="1"/>
    <s v="Жодино"/>
    <s v="Овощи"/>
    <s v="Кабачки"/>
    <n v="325"/>
    <n v="60"/>
    <n v="19.5"/>
    <x v="11"/>
  </r>
  <r>
    <d v="2023-11-13T00:00:00"/>
    <x v="4"/>
    <s v="Жодино"/>
    <s v="Фрукты"/>
    <s v="Груши"/>
    <n v="1420"/>
    <n v="72"/>
    <n v="102.24"/>
    <x v="11"/>
  </r>
  <r>
    <d v="2023-11-13T00:00:00"/>
    <x v="1"/>
    <s v="Минск"/>
    <s v="Ягоды"/>
    <s v="Клубника"/>
    <n v="2460"/>
    <n v="83"/>
    <n v="204.18"/>
    <x v="11"/>
  </r>
  <r>
    <d v="2023-11-13T00:00:00"/>
    <x v="0"/>
    <s v="Столбцы"/>
    <s v="Зелень"/>
    <s v="Укроп"/>
    <n v="650"/>
    <n v="47"/>
    <n v="30.55"/>
    <x v="11"/>
  </r>
  <r>
    <s v="13.11.2023 Итог"/>
    <x v="3"/>
    <m/>
    <m/>
    <m/>
    <m/>
    <m/>
    <n v="675.76499999999999"/>
    <x v="11"/>
  </r>
  <r>
    <d v="2023-11-14T00:00:00"/>
    <x v="2"/>
    <s v="Барановичи"/>
    <s v="Зелень"/>
    <s v="Укроп"/>
    <n v="650"/>
    <n v="41"/>
    <n v="26.65"/>
    <x v="11"/>
  </r>
  <r>
    <d v="2023-11-14T00:00:00"/>
    <x v="1"/>
    <s v="Борисов"/>
    <s v="Овощи"/>
    <s v="Картофель"/>
    <n v="690"/>
    <n v="23"/>
    <n v="15.87"/>
    <x v="11"/>
  </r>
  <r>
    <d v="2023-11-14T00:00:00"/>
    <x v="4"/>
    <s v="Борисов"/>
    <s v="Фрукты"/>
    <s v="Яблоки"/>
    <n v="1230"/>
    <n v="56"/>
    <n v="68.88"/>
    <x v="11"/>
  </r>
  <r>
    <d v="2023-11-14T00:00:00"/>
    <x v="2"/>
    <s v="Борисов"/>
    <s v="Ягоды"/>
    <s v="Малина"/>
    <n v="2970"/>
    <n v="8"/>
    <n v="23.76"/>
    <x v="11"/>
  </r>
  <r>
    <d v="2023-11-14T00:00:00"/>
    <x v="2"/>
    <s v="Минск"/>
    <s v="Овощи"/>
    <s v="Капуста"/>
    <n v="460"/>
    <n v="90"/>
    <n v="41.4"/>
    <x v="11"/>
  </r>
  <r>
    <d v="2023-11-14T00:00:00"/>
    <x v="2"/>
    <s v="Минск"/>
    <s v="Ягоды"/>
    <s v="Малина"/>
    <n v="2970"/>
    <n v="98"/>
    <n v="291.06"/>
    <x v="11"/>
  </r>
  <r>
    <d v="2023-11-14T00:00:00"/>
    <x v="1"/>
    <s v="Фаниполь"/>
    <s v="Овощи"/>
    <s v="Кабачки"/>
    <n v="325"/>
    <n v="50"/>
    <n v="16.25"/>
    <x v="11"/>
  </r>
  <r>
    <d v="2023-11-14T00:00:00"/>
    <x v="1"/>
    <s v="Фаниполь"/>
    <s v="Ягоды"/>
    <s v="Черешня"/>
    <n v="1760"/>
    <n v="57"/>
    <n v="100.32"/>
    <x v="11"/>
  </r>
  <r>
    <s v="14.11.2023 Итог"/>
    <x v="3"/>
    <m/>
    <m/>
    <m/>
    <m/>
    <m/>
    <n v="584.19000000000005"/>
    <x v="11"/>
  </r>
  <r>
    <d v="2023-11-15T00:00:00"/>
    <x v="4"/>
    <s v="Барановичи"/>
    <s v="Зелень"/>
    <s v="Кинза"/>
    <n v="650"/>
    <n v="70"/>
    <n v="45.5"/>
    <x v="11"/>
  </r>
  <r>
    <d v="2023-11-15T00:00:00"/>
    <x v="2"/>
    <s v="Барановичи"/>
    <s v="Фрукты"/>
    <s v="Сливы"/>
    <n v="930"/>
    <n v="11"/>
    <n v="10.23"/>
    <x v="11"/>
  </r>
  <r>
    <d v="2023-11-15T00:00:00"/>
    <x v="0"/>
    <s v="Жодино"/>
    <s v="Овощи"/>
    <s v="Морковь"/>
    <n v="715"/>
    <n v="93"/>
    <n v="66.495000000000005"/>
    <x v="11"/>
  </r>
  <r>
    <d v="2023-11-15T00:00:00"/>
    <x v="4"/>
    <s v="Минск"/>
    <s v="Ягоды"/>
    <s v="Голубика"/>
    <n v="3205"/>
    <n v="27"/>
    <n v="86.534999999999997"/>
    <x v="11"/>
  </r>
  <r>
    <d v="2023-11-15T00:00:00"/>
    <x v="4"/>
    <s v="Фаниполь"/>
    <s v="Ягоды"/>
    <s v="Черешня"/>
    <n v="1760"/>
    <n v="62"/>
    <n v="109.12"/>
    <x v="11"/>
  </r>
  <r>
    <s v="15.11.2023 Итог"/>
    <x v="3"/>
    <m/>
    <m/>
    <m/>
    <m/>
    <m/>
    <n v="317.88"/>
    <x v="11"/>
  </r>
  <r>
    <d v="2023-11-16T00:00:00"/>
    <x v="1"/>
    <s v="Борисов"/>
    <s v="Ягоды"/>
    <s v="Малина"/>
    <n v="2970"/>
    <n v="77"/>
    <n v="228.69"/>
    <x v="11"/>
  </r>
  <r>
    <d v="2023-11-16T00:00:00"/>
    <x v="1"/>
    <s v="Жодино"/>
    <s v="Зелень"/>
    <s v="Петрушка"/>
    <n v="640"/>
    <n v="43"/>
    <n v="27.52"/>
    <x v="11"/>
  </r>
  <r>
    <d v="2023-11-16T00:00:00"/>
    <x v="1"/>
    <s v="Столбцы"/>
    <s v="Ягоды"/>
    <s v="Малина"/>
    <n v="2970"/>
    <n v="37"/>
    <n v="109.89"/>
    <x v="11"/>
  </r>
  <r>
    <s v="16.11.2023 Итог"/>
    <x v="3"/>
    <m/>
    <m/>
    <m/>
    <m/>
    <m/>
    <n v="366.09999999999997"/>
    <x v="11"/>
  </r>
  <r>
    <d v="2023-11-17T00:00:00"/>
    <x v="2"/>
    <s v="Барановичи"/>
    <s v="Овощи"/>
    <s v="Картофель"/>
    <n v="690"/>
    <n v="52"/>
    <n v="35.880000000000003"/>
    <x v="11"/>
  </r>
  <r>
    <d v="2023-11-17T00:00:00"/>
    <x v="2"/>
    <s v="Борисов"/>
    <s v="Зелень"/>
    <s v="Салат римский"/>
    <n v="540"/>
    <n v="77"/>
    <n v="41.58"/>
    <x v="11"/>
  </r>
  <r>
    <d v="2023-11-17T00:00:00"/>
    <x v="1"/>
    <s v="Борисов"/>
    <s v="Овощи"/>
    <s v="Капуста"/>
    <n v="460"/>
    <n v="80"/>
    <n v="36.799999999999997"/>
    <x v="11"/>
  </r>
  <r>
    <d v="2023-11-17T00:00:00"/>
    <x v="2"/>
    <s v="Борисов"/>
    <s v="Овощи"/>
    <s v="Картофель"/>
    <n v="690"/>
    <n v="86"/>
    <n v="59.34"/>
    <x v="11"/>
  </r>
  <r>
    <d v="2023-11-17T00:00:00"/>
    <x v="4"/>
    <s v="Жодино"/>
    <s v="Ягоды"/>
    <s v="Черешня"/>
    <n v="1760"/>
    <n v="59"/>
    <n v="103.84"/>
    <x v="11"/>
  </r>
  <r>
    <d v="2023-11-17T00:00:00"/>
    <x v="1"/>
    <s v="Минск"/>
    <s v="Фрукты"/>
    <s v="Сливы"/>
    <n v="930"/>
    <n v="97"/>
    <n v="90.21"/>
    <x v="11"/>
  </r>
  <r>
    <d v="2023-11-17T00:00:00"/>
    <x v="4"/>
    <s v="Минск"/>
    <s v="Ягоды"/>
    <s v="Малина"/>
    <n v="2970"/>
    <n v="91"/>
    <n v="270.27"/>
    <x v="11"/>
  </r>
  <r>
    <d v="2023-11-17T00:00:00"/>
    <x v="2"/>
    <s v="Фаниполь"/>
    <s v="Фрукты"/>
    <s v="Абрикосы"/>
    <n v="1320"/>
    <n v="33"/>
    <n v="43.56"/>
    <x v="11"/>
  </r>
  <r>
    <s v="17.11.2023 Итог"/>
    <x v="3"/>
    <m/>
    <m/>
    <m/>
    <m/>
    <m/>
    <n v="681.48"/>
    <x v="11"/>
  </r>
  <r>
    <d v="2023-11-18T00:00:00"/>
    <x v="0"/>
    <s v="Барановичи"/>
    <s v="Зелень"/>
    <s v="Салат айсберг"/>
    <n v="1380"/>
    <n v="67"/>
    <n v="92.46"/>
    <x v="11"/>
  </r>
  <r>
    <d v="2023-11-18T00:00:00"/>
    <x v="4"/>
    <s v="Барановичи"/>
    <s v="Ягоды"/>
    <s v="Смородина черная"/>
    <n v="1505"/>
    <n v="55"/>
    <n v="82.775000000000006"/>
    <x v="11"/>
  </r>
  <r>
    <d v="2023-11-18T00:00:00"/>
    <x v="1"/>
    <s v="Минск"/>
    <s v="Фрукты"/>
    <s v="Бананы"/>
    <n v="2400"/>
    <n v="11"/>
    <n v="26.4"/>
    <x v="11"/>
  </r>
  <r>
    <d v="2023-11-18T00:00:00"/>
    <x v="4"/>
    <s v="Минск"/>
    <s v="Ягоды"/>
    <s v="Смородина черная"/>
    <n v="1505"/>
    <n v="53"/>
    <n v="79.765000000000001"/>
    <x v="11"/>
  </r>
  <r>
    <d v="2023-11-18T00:00:00"/>
    <x v="4"/>
    <s v="Минск"/>
    <s v="Ягоды"/>
    <s v="Клубника"/>
    <n v="2460"/>
    <n v="82"/>
    <n v="201.72"/>
    <x v="11"/>
  </r>
  <r>
    <d v="2023-11-18T00:00:00"/>
    <x v="0"/>
    <s v="Столбцы"/>
    <s v="Зелень"/>
    <s v="Лук зеленый"/>
    <n v="705"/>
    <n v="62"/>
    <n v="43.71"/>
    <x v="11"/>
  </r>
  <r>
    <s v="18.11.2023 Итог"/>
    <x v="3"/>
    <m/>
    <m/>
    <m/>
    <m/>
    <m/>
    <n v="526.83000000000004"/>
    <x v="11"/>
  </r>
  <r>
    <d v="2023-11-19T00:00:00"/>
    <x v="0"/>
    <s v="Барановичи"/>
    <s v="Овощи"/>
    <s v="Картофель"/>
    <n v="690"/>
    <n v="82"/>
    <n v="56.58"/>
    <x v="11"/>
  </r>
  <r>
    <d v="2023-11-19T00:00:00"/>
    <x v="2"/>
    <s v="Барановичи"/>
    <s v="Фрукты"/>
    <s v="Груши"/>
    <n v="1420"/>
    <n v="25"/>
    <n v="35.5"/>
    <x v="11"/>
  </r>
  <r>
    <d v="2023-11-19T00:00:00"/>
    <x v="4"/>
    <s v="Барановичи"/>
    <s v="Ягоды"/>
    <s v="Голубика"/>
    <n v="3205"/>
    <n v="97"/>
    <n v="310.88499999999999"/>
    <x v="11"/>
  </r>
  <r>
    <d v="2023-11-19T00:00:00"/>
    <x v="1"/>
    <s v="Борисов"/>
    <s v="Зелень"/>
    <s v="Укроп"/>
    <n v="650"/>
    <n v="88"/>
    <n v="57.2"/>
    <x v="11"/>
  </r>
  <r>
    <d v="2023-11-19T00:00:00"/>
    <x v="0"/>
    <s v="Жодино"/>
    <s v="Зелень"/>
    <s v="Салат айсберг"/>
    <n v="1380"/>
    <n v="78"/>
    <n v="107.64"/>
    <x v="11"/>
  </r>
  <r>
    <d v="2023-11-19T00:00:00"/>
    <x v="1"/>
    <s v="Жодино"/>
    <s v="Фрукты"/>
    <s v="Груши"/>
    <n v="1420"/>
    <n v="72"/>
    <n v="102.24"/>
    <x v="11"/>
  </r>
  <r>
    <d v="2023-11-19T00:00:00"/>
    <x v="1"/>
    <s v="Минск"/>
    <s v="Зелень"/>
    <s v="Лук зеленый"/>
    <n v="705"/>
    <n v="85"/>
    <n v="59.924999999999997"/>
    <x v="11"/>
  </r>
  <r>
    <d v="2023-11-19T00:00:00"/>
    <x v="4"/>
    <s v="Минск"/>
    <s v="Зелень"/>
    <s v="Лук зеленый"/>
    <n v="705"/>
    <n v="8"/>
    <n v="5.64"/>
    <x v="11"/>
  </r>
  <r>
    <d v="2023-11-19T00:00:00"/>
    <x v="1"/>
    <s v="Столбцы"/>
    <s v="Зелень"/>
    <s v="Салат айсберг"/>
    <n v="1380"/>
    <n v="30"/>
    <n v="41.4"/>
    <x v="11"/>
  </r>
  <r>
    <d v="2023-11-19T00:00:00"/>
    <x v="4"/>
    <s v="Столбцы"/>
    <s v="Фрукты"/>
    <s v="Сливы"/>
    <n v="930"/>
    <n v="12"/>
    <n v="11.16"/>
    <x v="11"/>
  </r>
  <r>
    <d v="2023-11-19T00:00:00"/>
    <x v="1"/>
    <s v="Столбцы"/>
    <s v="Ягоды"/>
    <s v="Брусника"/>
    <n v="1670"/>
    <n v="31"/>
    <n v="51.77"/>
    <x v="11"/>
  </r>
  <r>
    <d v="2023-11-19T00:00:00"/>
    <x v="1"/>
    <s v="Столбцы"/>
    <s v="Ягоды"/>
    <s v="Голубика"/>
    <n v="3205"/>
    <n v="54"/>
    <n v="173.07"/>
    <x v="11"/>
  </r>
  <r>
    <d v="2023-11-19T00:00:00"/>
    <x v="2"/>
    <s v="Фаниполь"/>
    <s v="Зелень"/>
    <s v="Салат айсберг"/>
    <n v="1380"/>
    <n v="9"/>
    <n v="12.42"/>
    <x v="11"/>
  </r>
  <r>
    <s v="19.11.2023 Итог"/>
    <x v="3"/>
    <m/>
    <m/>
    <m/>
    <m/>
    <m/>
    <n v="1025.4299999999998"/>
    <x v="11"/>
  </r>
  <r>
    <d v="2023-11-20T00:00:00"/>
    <x v="0"/>
    <s v="Борисов"/>
    <s v="Овощи"/>
    <s v="Картофель"/>
    <n v="690"/>
    <n v="31"/>
    <n v="21.39"/>
    <x v="11"/>
  </r>
  <r>
    <d v="2023-11-20T00:00:00"/>
    <x v="4"/>
    <s v="Жодино"/>
    <s v="Фрукты"/>
    <s v="Апельсины"/>
    <n v="2540"/>
    <n v="9"/>
    <n v="22.86"/>
    <x v="11"/>
  </r>
  <r>
    <d v="2023-11-20T00:00:00"/>
    <x v="0"/>
    <s v="Минск"/>
    <s v="Зелень"/>
    <s v="Салат айсберг"/>
    <n v="1380"/>
    <n v="25"/>
    <n v="34.5"/>
    <x v="11"/>
  </r>
  <r>
    <d v="2023-11-20T00:00:00"/>
    <x v="4"/>
    <s v="Минск"/>
    <s v="Зелень"/>
    <s v="Салат айсберг"/>
    <n v="1380"/>
    <n v="66"/>
    <n v="91.08"/>
    <x v="11"/>
  </r>
  <r>
    <d v="2023-11-20T00:00:00"/>
    <x v="4"/>
    <s v="Минск"/>
    <s v="Овощи"/>
    <s v="Баклажаны"/>
    <n v="890"/>
    <n v="47"/>
    <n v="41.83"/>
    <x v="11"/>
  </r>
  <r>
    <d v="2023-11-20T00:00:00"/>
    <x v="2"/>
    <s v="Столбцы"/>
    <s v="Ягоды"/>
    <s v="Клубника"/>
    <n v="2460"/>
    <n v="79"/>
    <n v="194.34"/>
    <x v="11"/>
  </r>
  <r>
    <s v="20.11.2023 Итог"/>
    <x v="3"/>
    <m/>
    <m/>
    <m/>
    <m/>
    <m/>
    <n v="406"/>
    <x v="11"/>
  </r>
  <r>
    <d v="2023-11-21T00:00:00"/>
    <x v="2"/>
    <s v="Барановичи"/>
    <s v="Овощи"/>
    <s v="Картофель"/>
    <n v="690"/>
    <n v="90"/>
    <n v="62.1"/>
    <x v="11"/>
  </r>
  <r>
    <d v="2023-11-21T00:00:00"/>
    <x v="1"/>
    <s v="Барановичи"/>
    <s v="Овощи"/>
    <s v="Морковь"/>
    <n v="715"/>
    <n v="20"/>
    <n v="14.3"/>
    <x v="11"/>
  </r>
  <r>
    <d v="2023-11-21T00:00:00"/>
    <x v="0"/>
    <s v="Барановичи"/>
    <s v="Фрукты"/>
    <s v="Бананы"/>
    <n v="2400"/>
    <n v="81"/>
    <n v="194.4"/>
    <x v="11"/>
  </r>
  <r>
    <d v="2023-11-21T00:00:00"/>
    <x v="2"/>
    <s v="Борисов"/>
    <s v="Зелень"/>
    <s v="Кинза"/>
    <n v="650"/>
    <n v="81"/>
    <n v="52.65"/>
    <x v="11"/>
  </r>
  <r>
    <d v="2023-11-21T00:00:00"/>
    <x v="1"/>
    <s v="Борисов"/>
    <s v="Овощи"/>
    <s v="Свекла"/>
    <n v="450"/>
    <n v="79"/>
    <n v="35.549999999999997"/>
    <x v="11"/>
  </r>
  <r>
    <d v="2023-11-21T00:00:00"/>
    <x v="1"/>
    <s v="Борисов"/>
    <s v="Фрукты"/>
    <s v="Бананы"/>
    <n v="2400"/>
    <n v="84"/>
    <n v="201.6"/>
    <x v="11"/>
  </r>
  <r>
    <d v="2023-11-21T00:00:00"/>
    <x v="0"/>
    <s v="Борисов"/>
    <s v="Ягоды"/>
    <s v="Малина"/>
    <n v="2970"/>
    <n v="36"/>
    <n v="106.92"/>
    <x v="11"/>
  </r>
  <r>
    <d v="2023-11-21T00:00:00"/>
    <x v="1"/>
    <s v="Жодино"/>
    <s v="Зелень"/>
    <s v="Салат айсберг"/>
    <n v="1380"/>
    <n v="70"/>
    <n v="96.6"/>
    <x v="11"/>
  </r>
  <r>
    <d v="2023-11-21T00:00:00"/>
    <x v="1"/>
    <s v="Жодино"/>
    <s v="Ягоды"/>
    <s v="Клубника"/>
    <n v="2460"/>
    <n v="62"/>
    <n v="152.52000000000001"/>
    <x v="11"/>
  </r>
  <r>
    <d v="2023-11-21T00:00:00"/>
    <x v="1"/>
    <s v="Минск"/>
    <s v="Фрукты"/>
    <s v="Груши"/>
    <n v="1420"/>
    <n v="62"/>
    <n v="88.04"/>
    <x v="11"/>
  </r>
  <r>
    <d v="2023-11-21T00:00:00"/>
    <x v="1"/>
    <s v="Минск"/>
    <s v="Фрукты"/>
    <s v="Апельсины"/>
    <n v="2540"/>
    <n v="63"/>
    <n v="160.02000000000001"/>
    <x v="11"/>
  </r>
  <r>
    <d v="2023-11-21T00:00:00"/>
    <x v="1"/>
    <s v="Минск"/>
    <s v="Ягоды"/>
    <s v="Клубника"/>
    <n v="2460"/>
    <n v="70"/>
    <n v="172.2"/>
    <x v="11"/>
  </r>
  <r>
    <d v="2023-11-21T00:00:00"/>
    <x v="1"/>
    <s v="Столбцы"/>
    <s v="Овощи"/>
    <s v="Морковь"/>
    <n v="715"/>
    <n v="55"/>
    <n v="39.325000000000003"/>
    <x v="11"/>
  </r>
  <r>
    <d v="2023-11-21T00:00:00"/>
    <x v="2"/>
    <s v="Фаниполь"/>
    <s v="Фрукты"/>
    <s v="Абрикосы"/>
    <n v="1320"/>
    <n v="39"/>
    <n v="51.48"/>
    <x v="11"/>
  </r>
  <r>
    <s v="21.11.2023 Итог"/>
    <x v="3"/>
    <m/>
    <m/>
    <m/>
    <m/>
    <m/>
    <n v="1427.7050000000002"/>
    <x v="11"/>
  </r>
  <r>
    <d v="2023-11-22T00:00:00"/>
    <x v="4"/>
    <s v="Барановичи"/>
    <s v="Зелень"/>
    <s v="Лук зеленый"/>
    <n v="705"/>
    <n v="34"/>
    <n v="23.97"/>
    <x v="11"/>
  </r>
  <r>
    <d v="2023-11-22T00:00:00"/>
    <x v="2"/>
    <s v="Борисов"/>
    <s v="Фрукты"/>
    <s v="Бананы"/>
    <n v="2400"/>
    <n v="43"/>
    <n v="103.2"/>
    <x v="11"/>
  </r>
  <r>
    <d v="2023-11-22T00:00:00"/>
    <x v="0"/>
    <s v="Борисов"/>
    <s v="Ягоды"/>
    <s v="Смородина черная"/>
    <n v="1505"/>
    <n v="6"/>
    <n v="9.0299999999999994"/>
    <x v="11"/>
  </r>
  <r>
    <d v="2023-11-22T00:00:00"/>
    <x v="2"/>
    <s v="Жодино"/>
    <s v="Зелень"/>
    <s v="Лук зеленый"/>
    <n v="705"/>
    <n v="23"/>
    <n v="16.215"/>
    <x v="11"/>
  </r>
  <r>
    <d v="2023-11-22T00:00:00"/>
    <x v="0"/>
    <s v="Жодино"/>
    <s v="Овощи"/>
    <s v="Кабачки"/>
    <n v="325"/>
    <n v="88"/>
    <n v="28.6"/>
    <x v="11"/>
  </r>
  <r>
    <d v="2023-11-22T00:00:00"/>
    <x v="2"/>
    <s v="Жодино"/>
    <s v="Ягоды"/>
    <s v="Смородина черная"/>
    <n v="1505"/>
    <n v="92"/>
    <n v="138.46"/>
    <x v="11"/>
  </r>
  <r>
    <d v="2023-11-22T00:00:00"/>
    <x v="1"/>
    <s v="Минск"/>
    <s v="Зелень"/>
    <s v="Кинза"/>
    <n v="650"/>
    <n v="93"/>
    <n v="60.45"/>
    <x v="11"/>
  </r>
  <r>
    <d v="2023-11-22T00:00:00"/>
    <x v="4"/>
    <s v="Минск"/>
    <s v="Овощи"/>
    <s v="Кабачки"/>
    <n v="325"/>
    <n v="48"/>
    <n v="15.6"/>
    <x v="11"/>
  </r>
  <r>
    <d v="2023-11-22T00:00:00"/>
    <x v="4"/>
    <s v="Столбцы"/>
    <s v="Зелень"/>
    <s v="Лук зеленый"/>
    <n v="705"/>
    <n v="53"/>
    <n v="37.365000000000002"/>
    <x v="11"/>
  </r>
  <r>
    <d v="2023-11-22T00:00:00"/>
    <x v="4"/>
    <s v="Столбцы"/>
    <s v="Фрукты"/>
    <s v="Груши"/>
    <n v="1420"/>
    <n v="64"/>
    <n v="90.88"/>
    <x v="11"/>
  </r>
  <r>
    <d v="2023-11-22T00:00:00"/>
    <x v="1"/>
    <s v="Фаниполь"/>
    <s v="Фрукты"/>
    <s v="Яблоки"/>
    <n v="1230"/>
    <n v="22"/>
    <n v="27.06"/>
    <x v="11"/>
  </r>
  <r>
    <s v="22.11.2023 Итог"/>
    <x v="3"/>
    <m/>
    <m/>
    <m/>
    <m/>
    <m/>
    <n v="550.82999999999993"/>
    <x v="11"/>
  </r>
  <r>
    <d v="2023-11-23T00:00:00"/>
    <x v="1"/>
    <s v="Барановичи"/>
    <s v="Овощи"/>
    <s v="Картофель"/>
    <n v="690"/>
    <n v="89"/>
    <n v="61.41"/>
    <x v="11"/>
  </r>
  <r>
    <d v="2023-11-23T00:00:00"/>
    <x v="2"/>
    <s v="Жодино"/>
    <s v="Зелень"/>
    <s v="Петрушка"/>
    <n v="640"/>
    <n v="38"/>
    <n v="24.32"/>
    <x v="11"/>
  </r>
  <r>
    <d v="2023-11-23T00:00:00"/>
    <x v="4"/>
    <s v="Минск"/>
    <s v="Зелень"/>
    <s v="Лук зеленый"/>
    <n v="705"/>
    <n v="37"/>
    <n v="26.085000000000001"/>
    <x v="11"/>
  </r>
  <r>
    <d v="2023-11-23T00:00:00"/>
    <x v="2"/>
    <s v="Минск"/>
    <s v="Овощи"/>
    <s v="Кабачки"/>
    <n v="325"/>
    <n v="75"/>
    <n v="24.375"/>
    <x v="11"/>
  </r>
  <r>
    <d v="2023-11-23T00:00:00"/>
    <x v="2"/>
    <s v="Минск"/>
    <s v="Фрукты"/>
    <s v="Груши"/>
    <n v="1420"/>
    <n v="95"/>
    <n v="134.9"/>
    <x v="11"/>
  </r>
  <r>
    <d v="2023-11-23T00:00:00"/>
    <x v="4"/>
    <s v="Столбцы"/>
    <s v="Зелень"/>
    <s v="Салат айсберг"/>
    <n v="1380"/>
    <n v="14"/>
    <n v="19.32"/>
    <x v="11"/>
  </r>
  <r>
    <d v="2023-11-23T00:00:00"/>
    <x v="4"/>
    <s v="Столбцы"/>
    <s v="Ягоды"/>
    <s v="Смородина черная"/>
    <n v="1505"/>
    <n v="90"/>
    <n v="135.44999999999999"/>
    <x v="11"/>
  </r>
  <r>
    <s v="23.11.2023 Итог"/>
    <x v="3"/>
    <m/>
    <m/>
    <m/>
    <m/>
    <m/>
    <n v="425.86"/>
    <x v="11"/>
  </r>
  <r>
    <d v="2023-11-24T00:00:00"/>
    <x v="1"/>
    <s v="Барановичи"/>
    <s v="Фрукты"/>
    <s v="Яблоки"/>
    <n v="1230"/>
    <n v="42"/>
    <n v="51.66"/>
    <x v="11"/>
  </r>
  <r>
    <d v="2023-11-24T00:00:00"/>
    <x v="2"/>
    <s v="Борисов"/>
    <s v="Фрукты"/>
    <s v="Яблоки"/>
    <n v="1230"/>
    <n v="46"/>
    <n v="56.58"/>
    <x v="11"/>
  </r>
  <r>
    <d v="2023-11-24T00:00:00"/>
    <x v="1"/>
    <s v="Жодино"/>
    <s v="Фрукты"/>
    <s v="Груши"/>
    <n v="1420"/>
    <n v="45"/>
    <n v="63.9"/>
    <x v="11"/>
  </r>
  <r>
    <d v="2023-11-24T00:00:00"/>
    <x v="4"/>
    <s v="Жодино"/>
    <s v="Фрукты"/>
    <s v="Сливы"/>
    <n v="930"/>
    <n v="93"/>
    <n v="86.49"/>
    <x v="11"/>
  </r>
  <r>
    <d v="2023-11-24T00:00:00"/>
    <x v="4"/>
    <s v="Жодино"/>
    <s v="Ягоды"/>
    <s v="Голубика"/>
    <n v="3205"/>
    <n v="82"/>
    <n v="262.81"/>
    <x v="11"/>
  </r>
  <r>
    <d v="2023-11-24T00:00:00"/>
    <x v="0"/>
    <s v="Минск"/>
    <s v="Фрукты"/>
    <s v="Апельсины"/>
    <n v="2540"/>
    <n v="48"/>
    <n v="121.92"/>
    <x v="11"/>
  </r>
  <r>
    <d v="2023-11-24T00:00:00"/>
    <x v="0"/>
    <s v="Минск"/>
    <s v="Фрукты"/>
    <s v="Бананы"/>
    <n v="2400"/>
    <n v="36"/>
    <n v="86.4"/>
    <x v="11"/>
  </r>
  <r>
    <d v="2023-11-24T00:00:00"/>
    <x v="1"/>
    <s v="Минск"/>
    <s v="Фрукты"/>
    <s v="Сливы"/>
    <n v="930"/>
    <n v="58"/>
    <n v="53.94"/>
    <x v="11"/>
  </r>
  <r>
    <d v="2023-11-24T00:00:00"/>
    <x v="1"/>
    <s v="Минск"/>
    <s v="Ягоды"/>
    <s v="Малина"/>
    <n v="2970"/>
    <n v="68"/>
    <n v="201.96"/>
    <x v="11"/>
  </r>
  <r>
    <d v="2023-11-24T00:00:00"/>
    <x v="2"/>
    <s v="Минск"/>
    <s v="Ягоды"/>
    <s v="Клубника"/>
    <n v="2460"/>
    <n v="28"/>
    <n v="68.88"/>
    <x v="11"/>
  </r>
  <r>
    <d v="2023-11-24T00:00:00"/>
    <x v="0"/>
    <s v="Столбцы"/>
    <s v="Ягоды"/>
    <s v="Смородина черная"/>
    <n v="1505"/>
    <n v="29"/>
    <n v="43.645000000000003"/>
    <x v="11"/>
  </r>
  <r>
    <d v="2023-11-24T00:00:00"/>
    <x v="4"/>
    <s v="Фаниполь"/>
    <s v="Овощи"/>
    <s v="Капуста"/>
    <n v="460"/>
    <n v="28"/>
    <n v="12.88"/>
    <x v="11"/>
  </r>
  <r>
    <s v="24.11.2023 Итог"/>
    <x v="3"/>
    <m/>
    <m/>
    <m/>
    <m/>
    <m/>
    <n v="1111.0650000000001"/>
    <x v="11"/>
  </r>
  <r>
    <d v="2023-11-25T00:00:00"/>
    <x v="4"/>
    <s v="Барановичи"/>
    <s v="Зелень"/>
    <s v="Кинза"/>
    <n v="650"/>
    <n v="40"/>
    <n v="26"/>
    <x v="11"/>
  </r>
  <r>
    <d v="2023-11-25T00:00:00"/>
    <x v="1"/>
    <s v="Борисов"/>
    <s v="Ягоды"/>
    <s v="Малина"/>
    <n v="2970"/>
    <n v="65"/>
    <n v="193.05"/>
    <x v="11"/>
  </r>
  <r>
    <d v="2023-11-25T00:00:00"/>
    <x v="1"/>
    <s v="Жодино"/>
    <s v="Фрукты"/>
    <s v="Абрикосы"/>
    <n v="1320"/>
    <n v="79"/>
    <n v="104.28"/>
    <x v="11"/>
  </r>
  <r>
    <d v="2023-11-25T00:00:00"/>
    <x v="4"/>
    <s v="Минск"/>
    <s v="Фрукты"/>
    <s v="Груши"/>
    <n v="1420"/>
    <n v="62"/>
    <n v="88.04"/>
    <x v="11"/>
  </r>
  <r>
    <d v="2023-11-25T00:00:00"/>
    <x v="2"/>
    <s v="Минск"/>
    <s v="Ягоды"/>
    <s v="Клубника"/>
    <n v="2460"/>
    <n v="51"/>
    <n v="125.46"/>
    <x v="11"/>
  </r>
  <r>
    <d v="2023-11-25T00:00:00"/>
    <x v="1"/>
    <s v="Минск"/>
    <s v="Ягоды"/>
    <s v="Смородина черная"/>
    <n v="1505"/>
    <n v="53"/>
    <n v="79.765000000000001"/>
    <x v="11"/>
  </r>
  <r>
    <d v="2023-11-25T00:00:00"/>
    <x v="1"/>
    <s v="Столбцы"/>
    <s v="Зелень"/>
    <s v="Лук зеленый"/>
    <n v="705"/>
    <n v="90"/>
    <n v="63.45"/>
    <x v="11"/>
  </r>
  <r>
    <d v="2023-11-25T00:00:00"/>
    <x v="1"/>
    <s v="Столбцы"/>
    <s v="Фрукты"/>
    <s v="Апельсины"/>
    <n v="2540"/>
    <n v="33"/>
    <n v="83.82"/>
    <x v="11"/>
  </r>
  <r>
    <d v="2023-11-25T00:00:00"/>
    <x v="1"/>
    <s v="Столбцы"/>
    <s v="Фрукты"/>
    <s v="Апельсины"/>
    <n v="2540"/>
    <n v="9"/>
    <n v="22.86"/>
    <x v="11"/>
  </r>
  <r>
    <d v="2023-11-25T00:00:00"/>
    <x v="2"/>
    <s v="Столбцы"/>
    <s v="Ягоды"/>
    <s v="Смородина черная"/>
    <n v="1505"/>
    <n v="53"/>
    <n v="79.765000000000001"/>
    <x v="11"/>
  </r>
  <r>
    <d v="2023-11-25T00:00:00"/>
    <x v="4"/>
    <s v="Фаниполь"/>
    <s v="Овощи"/>
    <s v="Морковь"/>
    <n v="715"/>
    <n v="95"/>
    <n v="67.924999999999997"/>
    <x v="11"/>
  </r>
  <r>
    <s v="25.11.2023 Итог"/>
    <x v="3"/>
    <m/>
    <m/>
    <m/>
    <m/>
    <m/>
    <n v="934.41499999999996"/>
    <x v="11"/>
  </r>
  <r>
    <d v="2023-11-26T00:00:00"/>
    <x v="2"/>
    <s v="Барановичи"/>
    <s v="Зелень"/>
    <s v="Салат айсберг"/>
    <n v="1380"/>
    <n v="65"/>
    <n v="89.7"/>
    <x v="11"/>
  </r>
  <r>
    <d v="2023-11-26T00:00:00"/>
    <x v="4"/>
    <s v="Барановичи"/>
    <s v="Овощи"/>
    <s v="Морковь"/>
    <n v="715"/>
    <n v="11"/>
    <n v="7.8650000000000002"/>
    <x v="11"/>
  </r>
  <r>
    <d v="2023-11-26T00:00:00"/>
    <x v="1"/>
    <s v="Барановичи"/>
    <s v="Фрукты"/>
    <s v="Яблоки"/>
    <n v="1230"/>
    <n v="18"/>
    <n v="22.14"/>
    <x v="11"/>
  </r>
  <r>
    <d v="2023-11-26T00:00:00"/>
    <x v="2"/>
    <s v="Барановичи"/>
    <s v="Фрукты"/>
    <s v="Груши"/>
    <n v="1420"/>
    <n v="42"/>
    <n v="59.64"/>
    <x v="11"/>
  </r>
  <r>
    <d v="2023-11-26T00:00:00"/>
    <x v="4"/>
    <s v="Борисов"/>
    <s v="Фрукты"/>
    <s v="Абрикосы"/>
    <n v="1320"/>
    <n v="66"/>
    <n v="87.12"/>
    <x v="11"/>
  </r>
  <r>
    <d v="2023-11-26T00:00:00"/>
    <x v="4"/>
    <s v="Жодино"/>
    <s v="Ягоды"/>
    <s v="Клубника"/>
    <n v="2460"/>
    <n v="21"/>
    <n v="51.66"/>
    <x v="11"/>
  </r>
  <r>
    <d v="2023-11-26T00:00:00"/>
    <x v="4"/>
    <s v="Жодино"/>
    <s v="Ягоды"/>
    <s v="Брусника"/>
    <n v="1670"/>
    <n v="88"/>
    <n v="146.96"/>
    <x v="11"/>
  </r>
  <r>
    <s v="26.11.2023 Итог"/>
    <x v="3"/>
    <m/>
    <m/>
    <m/>
    <m/>
    <m/>
    <n v="465.08500000000004"/>
    <x v="11"/>
  </r>
  <r>
    <d v="2023-11-27T00:00:00"/>
    <x v="2"/>
    <s v="Барановичи"/>
    <s v="Зелень"/>
    <s v="Салат айсберг"/>
    <n v="1380"/>
    <n v="44"/>
    <n v="60.72"/>
    <x v="11"/>
  </r>
  <r>
    <d v="2023-11-27T00:00:00"/>
    <x v="0"/>
    <s v="Барановичи"/>
    <s v="Овощи"/>
    <s v="Картофель"/>
    <n v="690"/>
    <n v="21"/>
    <n v="14.49"/>
    <x v="11"/>
  </r>
  <r>
    <d v="2023-11-27T00:00:00"/>
    <x v="0"/>
    <s v="Барановичи"/>
    <s v="Ягоды"/>
    <s v="Голубика"/>
    <n v="3205"/>
    <n v="17"/>
    <n v="54.484999999999999"/>
    <x v="11"/>
  </r>
  <r>
    <d v="2023-11-27T00:00:00"/>
    <x v="1"/>
    <s v="Барановичи"/>
    <s v="Ягоды"/>
    <s v="Клубника"/>
    <n v="2460"/>
    <n v="33"/>
    <n v="81.180000000000007"/>
    <x v="11"/>
  </r>
  <r>
    <d v="2023-11-27T00:00:00"/>
    <x v="4"/>
    <s v="Барановичи"/>
    <s v="Ягоды"/>
    <s v="Черешня"/>
    <n v="1760"/>
    <n v="100"/>
    <n v="176"/>
    <x v="11"/>
  </r>
  <r>
    <d v="2023-11-27T00:00:00"/>
    <x v="0"/>
    <s v="Жодино"/>
    <s v="Овощи"/>
    <s v="Баклажаны"/>
    <n v="890"/>
    <n v="54"/>
    <n v="48.06"/>
    <x v="11"/>
  </r>
  <r>
    <d v="2023-11-27T00:00:00"/>
    <x v="0"/>
    <s v="Жодино"/>
    <s v="Фрукты"/>
    <s v="Апельсины"/>
    <n v="2540"/>
    <n v="42"/>
    <n v="106.68"/>
    <x v="11"/>
  </r>
  <r>
    <d v="2023-11-27T00:00:00"/>
    <x v="0"/>
    <s v="Жодино"/>
    <s v="Ягоды"/>
    <s v="Смородина черная"/>
    <n v="1505"/>
    <n v="40"/>
    <n v="60.2"/>
    <x v="11"/>
  </r>
  <r>
    <d v="2023-11-27T00:00:00"/>
    <x v="4"/>
    <s v="Минск"/>
    <s v="Овощи"/>
    <s v="Баклажаны"/>
    <n v="890"/>
    <n v="95"/>
    <n v="84.55"/>
    <x v="11"/>
  </r>
  <r>
    <d v="2023-11-27T00:00:00"/>
    <x v="4"/>
    <s v="Минск"/>
    <s v="Овощи"/>
    <s v="Баклажаны"/>
    <n v="890"/>
    <n v="52"/>
    <n v="46.28"/>
    <x v="11"/>
  </r>
  <r>
    <d v="2023-11-27T00:00:00"/>
    <x v="0"/>
    <s v="Минск"/>
    <s v="Фрукты"/>
    <s v="Абрикосы"/>
    <n v="1320"/>
    <n v="77"/>
    <n v="101.64"/>
    <x v="11"/>
  </r>
  <r>
    <d v="2023-11-27T00:00:00"/>
    <x v="1"/>
    <s v="Столбцы"/>
    <s v="Овощи"/>
    <s v="Капуста"/>
    <n v="460"/>
    <n v="78"/>
    <n v="35.880000000000003"/>
    <x v="11"/>
  </r>
  <r>
    <d v="2023-11-27T00:00:00"/>
    <x v="0"/>
    <s v="Столбцы"/>
    <s v="Овощи"/>
    <s v="Капуста"/>
    <n v="460"/>
    <n v="98"/>
    <n v="45.08"/>
    <x v="11"/>
  </r>
  <r>
    <d v="2023-11-27T00:00:00"/>
    <x v="2"/>
    <s v="Столбцы"/>
    <s v="Фрукты"/>
    <s v="Сливы"/>
    <n v="930"/>
    <n v="12"/>
    <n v="11.16"/>
    <x v="11"/>
  </r>
  <r>
    <d v="2023-11-27T00:00:00"/>
    <x v="0"/>
    <s v="Столбцы"/>
    <s v="Фрукты"/>
    <s v="Яблоки"/>
    <n v="1230"/>
    <n v="59"/>
    <n v="72.569999999999993"/>
    <x v="11"/>
  </r>
  <r>
    <d v="2023-11-27T00:00:00"/>
    <x v="2"/>
    <s v="Столбцы"/>
    <s v="Ягоды"/>
    <s v="Смородина черная"/>
    <n v="1505"/>
    <n v="63"/>
    <n v="94.814999999999998"/>
    <x v="11"/>
  </r>
  <r>
    <d v="2023-11-27T00:00:00"/>
    <x v="4"/>
    <s v="Фаниполь"/>
    <s v="Зелень"/>
    <s v="Салат айсберг"/>
    <n v="1380"/>
    <n v="30"/>
    <n v="41.4"/>
    <x v="11"/>
  </r>
  <r>
    <s v="27.11.2023 Итог"/>
    <x v="3"/>
    <m/>
    <m/>
    <m/>
    <m/>
    <m/>
    <n v="1135.19"/>
    <x v="11"/>
  </r>
  <r>
    <d v="2023-11-28T00:00:00"/>
    <x v="4"/>
    <s v="Барановичи"/>
    <s v="Овощи"/>
    <s v="Свекла"/>
    <n v="450"/>
    <n v="88"/>
    <n v="39.6"/>
    <x v="11"/>
  </r>
  <r>
    <d v="2023-11-28T00:00:00"/>
    <x v="1"/>
    <s v="Барановичи"/>
    <s v="Овощи"/>
    <s v="Баклажаны"/>
    <n v="890"/>
    <n v="22"/>
    <n v="19.579999999999998"/>
    <x v="11"/>
  </r>
  <r>
    <d v="2023-11-28T00:00:00"/>
    <x v="2"/>
    <s v="Борисов"/>
    <s v="Овощи"/>
    <s v="Картофель"/>
    <n v="690"/>
    <n v="35"/>
    <n v="24.15"/>
    <x v="11"/>
  </r>
  <r>
    <d v="2023-11-28T00:00:00"/>
    <x v="2"/>
    <s v="Жодино"/>
    <s v="Овощи"/>
    <s v="Кабачки"/>
    <n v="325"/>
    <n v="70"/>
    <n v="22.75"/>
    <x v="11"/>
  </r>
  <r>
    <d v="2023-11-28T00:00:00"/>
    <x v="2"/>
    <s v="Жодино"/>
    <s v="Овощи"/>
    <s v="Морковь"/>
    <n v="715"/>
    <n v="31"/>
    <n v="22.164999999999999"/>
    <x v="11"/>
  </r>
  <r>
    <d v="2023-11-28T00:00:00"/>
    <x v="1"/>
    <s v="Жодино"/>
    <s v="Ягоды"/>
    <s v="Голубика"/>
    <n v="3205"/>
    <n v="8"/>
    <n v="25.64"/>
    <x v="11"/>
  </r>
  <r>
    <d v="2023-11-28T00:00:00"/>
    <x v="2"/>
    <s v="Минск"/>
    <s v="Зелень"/>
    <s v="Кинза"/>
    <n v="650"/>
    <n v="24"/>
    <n v="15.6"/>
    <x v="11"/>
  </r>
  <r>
    <d v="2023-11-28T00:00:00"/>
    <x v="1"/>
    <s v="Минск"/>
    <s v="Зелень"/>
    <s v="Петрушка"/>
    <n v="640"/>
    <n v="12"/>
    <n v="7.68"/>
    <x v="11"/>
  </r>
  <r>
    <d v="2023-11-28T00:00:00"/>
    <x v="4"/>
    <s v="Минск"/>
    <s v="Фрукты"/>
    <s v="Груши"/>
    <n v="1420"/>
    <n v="7"/>
    <n v="9.94"/>
    <x v="11"/>
  </r>
  <r>
    <d v="2023-11-28T00:00:00"/>
    <x v="1"/>
    <s v="Столбцы"/>
    <s v="Ягоды"/>
    <s v="Клубника"/>
    <n v="2460"/>
    <n v="10"/>
    <n v="24.6"/>
    <x v="11"/>
  </r>
  <r>
    <d v="2023-11-28T00:00:00"/>
    <x v="0"/>
    <s v="Фаниполь"/>
    <s v="Овощи"/>
    <s v="Свекла"/>
    <n v="450"/>
    <n v="99"/>
    <n v="44.55"/>
    <x v="11"/>
  </r>
  <r>
    <s v="28.11.2023 Итог"/>
    <x v="3"/>
    <m/>
    <m/>
    <m/>
    <m/>
    <m/>
    <n v="256.255"/>
    <x v="11"/>
  </r>
  <r>
    <d v="2023-11-29T00:00:00"/>
    <x v="1"/>
    <s v="Жодино"/>
    <s v="Ягоды"/>
    <s v="Смородина черная"/>
    <n v="1505"/>
    <n v="54"/>
    <n v="81.27"/>
    <x v="11"/>
  </r>
  <r>
    <d v="2023-11-29T00:00:00"/>
    <x v="1"/>
    <s v="Минск"/>
    <s v="Овощи"/>
    <s v="Картофель"/>
    <n v="690"/>
    <n v="7"/>
    <n v="4.83"/>
    <x v="11"/>
  </r>
  <r>
    <d v="2023-11-29T00:00:00"/>
    <x v="2"/>
    <s v="Минск"/>
    <s v="Фрукты"/>
    <s v="Апельсины"/>
    <n v="2540"/>
    <n v="28"/>
    <n v="71.12"/>
    <x v="11"/>
  </r>
  <r>
    <d v="2023-11-29T00:00:00"/>
    <x v="2"/>
    <s v="Столбцы"/>
    <s v="Зелень"/>
    <s v="Петрушка"/>
    <n v="640"/>
    <n v="87"/>
    <n v="55.68"/>
    <x v="11"/>
  </r>
  <r>
    <d v="2023-11-29T00:00:00"/>
    <x v="2"/>
    <s v="Столбцы"/>
    <s v="Зелень"/>
    <s v="Лук зеленый"/>
    <n v="705"/>
    <n v="65"/>
    <n v="45.825000000000003"/>
    <x v="11"/>
  </r>
  <r>
    <d v="2023-11-29T00:00:00"/>
    <x v="2"/>
    <s v="Столбцы"/>
    <s v="Ягоды"/>
    <s v="Брусника"/>
    <n v="1670"/>
    <n v="81"/>
    <n v="135.27000000000001"/>
    <x v="11"/>
  </r>
  <r>
    <d v="2023-11-29T00:00:00"/>
    <x v="0"/>
    <s v="Столбцы"/>
    <s v="Ягоды"/>
    <s v="Брусника"/>
    <n v="1670"/>
    <n v="60"/>
    <n v="100.2"/>
    <x v="11"/>
  </r>
  <r>
    <d v="2023-11-29T00:00:00"/>
    <x v="0"/>
    <s v="Фаниполь"/>
    <s v="Фрукты"/>
    <s v="Сливы"/>
    <n v="930"/>
    <n v="52"/>
    <n v="48.36"/>
    <x v="11"/>
  </r>
  <r>
    <s v="29.11.2023 Итог"/>
    <x v="3"/>
    <m/>
    <m/>
    <m/>
    <m/>
    <m/>
    <n v="542.55499999999995"/>
    <x v="11"/>
  </r>
  <r>
    <d v="2023-11-30T00:00:00"/>
    <x v="4"/>
    <s v="Барановичи"/>
    <s v="Ягоды"/>
    <s v="Клубника"/>
    <n v="2460"/>
    <n v="96"/>
    <n v="236.16"/>
    <x v="11"/>
  </r>
  <r>
    <d v="2023-11-30T00:00:00"/>
    <x v="4"/>
    <s v="Барановичи"/>
    <s v="Ягоды"/>
    <s v="Черешня"/>
    <n v="1760"/>
    <n v="18"/>
    <n v="31.68"/>
    <x v="11"/>
  </r>
  <r>
    <d v="2023-11-30T00:00:00"/>
    <x v="0"/>
    <s v="Борисов"/>
    <s v="Ягоды"/>
    <s v="Клубника"/>
    <n v="2460"/>
    <n v="69"/>
    <n v="169.74"/>
    <x v="11"/>
  </r>
  <r>
    <d v="2023-11-30T00:00:00"/>
    <x v="0"/>
    <s v="Жодино"/>
    <s v="Овощи"/>
    <s v="Картофель"/>
    <n v="690"/>
    <n v="63"/>
    <n v="43.47"/>
    <x v="11"/>
  </r>
  <r>
    <d v="2023-11-30T00:00:00"/>
    <x v="1"/>
    <s v="Жодино"/>
    <s v="Ягоды"/>
    <s v="Брусника"/>
    <n v="1670"/>
    <n v="72"/>
    <n v="120.24"/>
    <x v="11"/>
  </r>
  <r>
    <d v="2023-11-30T00:00:00"/>
    <x v="2"/>
    <s v="Столбцы"/>
    <s v="Фрукты"/>
    <s v="Груши"/>
    <n v="1420"/>
    <n v="36"/>
    <n v="51.12"/>
    <x v="11"/>
  </r>
  <r>
    <d v="2023-11-30T00:00:00"/>
    <x v="1"/>
    <s v="Столбцы"/>
    <s v="Ягоды"/>
    <s v="Смородина черная"/>
    <n v="1505"/>
    <n v="56"/>
    <n v="84.28"/>
    <x v="11"/>
  </r>
  <r>
    <d v="2023-11-30T00:00:00"/>
    <x v="4"/>
    <s v="Столбцы"/>
    <s v="Ягоды"/>
    <s v="Малина"/>
    <n v="2970"/>
    <n v="31"/>
    <n v="92.07"/>
    <x v="11"/>
  </r>
  <r>
    <s v="30.11.2023 Итог"/>
    <x v="3"/>
    <m/>
    <m/>
    <m/>
    <m/>
    <m/>
    <n v="828.76"/>
    <x v="1"/>
  </r>
  <r>
    <d v="2023-12-01T00:00:00"/>
    <x v="1"/>
    <s v="Барановичи"/>
    <s v="Ягоды"/>
    <s v="Голубика"/>
    <n v="3205"/>
    <n v="67"/>
    <n v="214.73500000000001"/>
    <x v="12"/>
  </r>
  <r>
    <d v="2023-12-01T00:00:00"/>
    <x v="2"/>
    <s v="Барановичи"/>
    <s v="Ягоды"/>
    <s v="Голубика"/>
    <n v="3205"/>
    <n v="84"/>
    <n v="269.22000000000003"/>
    <x v="12"/>
  </r>
  <r>
    <d v="2023-12-01T00:00:00"/>
    <x v="0"/>
    <s v="Жодино"/>
    <s v="Зелень"/>
    <s v="Укроп"/>
    <n v="650"/>
    <n v="79"/>
    <n v="51.35"/>
    <x v="12"/>
  </r>
  <r>
    <d v="2023-12-01T00:00:00"/>
    <x v="4"/>
    <s v="Жодино"/>
    <s v="Овощи"/>
    <s v="Баклажаны"/>
    <n v="890"/>
    <n v="67"/>
    <n v="59.63"/>
    <x v="12"/>
  </r>
  <r>
    <d v="2023-12-01T00:00:00"/>
    <x v="1"/>
    <s v="Жодино"/>
    <s v="Фрукты"/>
    <s v="Груши"/>
    <n v="1420"/>
    <n v="98"/>
    <n v="139.16"/>
    <x v="12"/>
  </r>
  <r>
    <d v="2023-12-01T00:00:00"/>
    <x v="0"/>
    <s v="Жодино"/>
    <s v="Ягоды"/>
    <s v="Смородина черная"/>
    <n v="1505"/>
    <n v="33"/>
    <n v="49.664999999999999"/>
    <x v="12"/>
  </r>
  <r>
    <d v="2023-12-01T00:00:00"/>
    <x v="4"/>
    <s v="Минск"/>
    <s v="Фрукты"/>
    <s v="Груши"/>
    <n v="1420"/>
    <n v="13"/>
    <n v="18.46"/>
    <x v="12"/>
  </r>
  <r>
    <d v="2023-12-01T00:00:00"/>
    <x v="4"/>
    <s v="Фаниполь"/>
    <s v="Зелень"/>
    <s v="Лук зеленый"/>
    <n v="705"/>
    <n v="22"/>
    <n v="15.51"/>
    <x v="12"/>
  </r>
  <r>
    <d v="2023-12-01T00:00:00"/>
    <x v="1"/>
    <s v="Фаниполь"/>
    <s v="Ягоды"/>
    <s v="Клубника"/>
    <n v="2460"/>
    <n v="11"/>
    <n v="27.06"/>
    <x v="12"/>
  </r>
  <r>
    <s v="01.12.2023 Итог"/>
    <x v="3"/>
    <m/>
    <m/>
    <m/>
    <m/>
    <m/>
    <n v="844.79"/>
    <x v="12"/>
  </r>
  <r>
    <d v="2023-12-02T00:00:00"/>
    <x v="2"/>
    <s v="Барановичи"/>
    <s v="Овощи"/>
    <s v="Морковь"/>
    <n v="715"/>
    <n v="45"/>
    <n v="32.174999999999997"/>
    <x v="12"/>
  </r>
  <r>
    <d v="2023-12-02T00:00:00"/>
    <x v="2"/>
    <s v="Барановичи"/>
    <s v="Овощи"/>
    <s v="Картофель"/>
    <n v="690"/>
    <n v="50"/>
    <n v="34.5"/>
    <x v="12"/>
  </r>
  <r>
    <d v="2023-12-02T00:00:00"/>
    <x v="4"/>
    <s v="Борисов"/>
    <s v="Зелень"/>
    <s v="Лук зеленый"/>
    <n v="705"/>
    <n v="70"/>
    <n v="49.35"/>
    <x v="12"/>
  </r>
  <r>
    <d v="2023-12-02T00:00:00"/>
    <x v="1"/>
    <s v="Борисов"/>
    <s v="Овощи"/>
    <s v="Свекла"/>
    <n v="450"/>
    <n v="40"/>
    <n v="18"/>
    <x v="12"/>
  </r>
  <r>
    <d v="2023-12-02T00:00:00"/>
    <x v="0"/>
    <s v="Борисов"/>
    <s v="Фрукты"/>
    <s v="Бананы"/>
    <n v="2400"/>
    <n v="57"/>
    <n v="136.80000000000001"/>
    <x v="12"/>
  </r>
  <r>
    <d v="2023-12-02T00:00:00"/>
    <x v="1"/>
    <s v="Борисов"/>
    <s v="Ягоды"/>
    <s v="Брусника"/>
    <n v="1670"/>
    <n v="76"/>
    <n v="126.92"/>
    <x v="12"/>
  </r>
  <r>
    <d v="2023-12-02T00:00:00"/>
    <x v="0"/>
    <s v="Борисов"/>
    <s v="Ягоды"/>
    <s v="Малина"/>
    <n v="2970"/>
    <n v="12"/>
    <n v="35.64"/>
    <x v="12"/>
  </r>
  <r>
    <d v="2023-12-02T00:00:00"/>
    <x v="2"/>
    <s v="Жодино"/>
    <s v="Фрукты"/>
    <s v="Бананы"/>
    <n v="2400"/>
    <n v="90"/>
    <n v="216"/>
    <x v="12"/>
  </r>
  <r>
    <d v="2023-12-02T00:00:00"/>
    <x v="4"/>
    <s v="Минск"/>
    <s v="Овощи"/>
    <s v="Кабачки"/>
    <n v="325"/>
    <n v="29"/>
    <n v="9.4250000000000007"/>
    <x v="12"/>
  </r>
  <r>
    <d v="2023-12-02T00:00:00"/>
    <x v="4"/>
    <s v="Минск"/>
    <s v="Ягоды"/>
    <s v="Брусника"/>
    <n v="1670"/>
    <n v="72"/>
    <n v="120.24"/>
    <x v="12"/>
  </r>
  <r>
    <d v="2023-12-02T00:00:00"/>
    <x v="2"/>
    <s v="Столбцы"/>
    <s v="Овощи"/>
    <s v="Свекла"/>
    <n v="450"/>
    <n v="53"/>
    <n v="23.85"/>
    <x v="12"/>
  </r>
  <r>
    <d v="2023-12-02T00:00:00"/>
    <x v="1"/>
    <s v="Столбцы"/>
    <s v="Фрукты"/>
    <s v="Груши"/>
    <n v="1420"/>
    <n v="27"/>
    <n v="38.340000000000003"/>
    <x v="12"/>
  </r>
  <r>
    <d v="2023-12-02T00:00:00"/>
    <x v="0"/>
    <s v="Фаниполь"/>
    <s v="Овощи"/>
    <s v="Кабачки"/>
    <n v="325"/>
    <n v="86"/>
    <n v="27.95"/>
    <x v="12"/>
  </r>
  <r>
    <s v="02.12.2023 Итог"/>
    <x v="3"/>
    <m/>
    <m/>
    <m/>
    <m/>
    <m/>
    <n v="869.19"/>
    <x v="12"/>
  </r>
  <r>
    <d v="2023-12-03T00:00:00"/>
    <x v="1"/>
    <s v="Барановичи"/>
    <s v="Зелень"/>
    <s v="Салат римский"/>
    <n v="540"/>
    <n v="52"/>
    <n v="28.08"/>
    <x v="12"/>
  </r>
  <r>
    <d v="2023-12-03T00:00:00"/>
    <x v="1"/>
    <s v="Столбцы"/>
    <s v="Ягоды"/>
    <s v="Голубика"/>
    <n v="3205"/>
    <n v="64"/>
    <n v="205.12"/>
    <x v="12"/>
  </r>
  <r>
    <s v="03.12.2023 Итог"/>
    <x v="3"/>
    <m/>
    <m/>
    <m/>
    <m/>
    <m/>
    <n v="233.2"/>
    <x v="12"/>
  </r>
  <r>
    <d v="2023-12-04T00:00:00"/>
    <x v="4"/>
    <s v="Барановичи"/>
    <s v="Зелень"/>
    <s v="Салат айсберг"/>
    <n v="1380"/>
    <n v="22"/>
    <n v="30.36"/>
    <x v="12"/>
  </r>
  <r>
    <d v="2023-12-04T00:00:00"/>
    <x v="2"/>
    <s v="Борисов"/>
    <s v="Зелень"/>
    <s v="Петрушка"/>
    <n v="640"/>
    <n v="37"/>
    <n v="23.68"/>
    <x v="12"/>
  </r>
  <r>
    <d v="2023-12-04T00:00:00"/>
    <x v="2"/>
    <s v="Жодино"/>
    <s v="Зелень"/>
    <s v="Кинза"/>
    <n v="650"/>
    <n v="26"/>
    <n v="16.899999999999999"/>
    <x v="12"/>
  </r>
  <r>
    <d v="2023-12-04T00:00:00"/>
    <x v="0"/>
    <s v="Минск"/>
    <s v="Овощи"/>
    <s v="Свекла"/>
    <n v="450"/>
    <n v="47"/>
    <n v="21.15"/>
    <x v="12"/>
  </r>
  <r>
    <d v="2023-12-04T00:00:00"/>
    <x v="0"/>
    <s v="Минск"/>
    <s v="Ягоды"/>
    <s v="Малина"/>
    <n v="2970"/>
    <n v="46"/>
    <n v="136.62"/>
    <x v="12"/>
  </r>
  <r>
    <d v="2023-12-04T00:00:00"/>
    <x v="1"/>
    <s v="Минск"/>
    <s v="Ягоды"/>
    <s v="Малина"/>
    <n v="2970"/>
    <n v="24"/>
    <n v="71.28"/>
    <x v="12"/>
  </r>
  <r>
    <d v="2023-12-04T00:00:00"/>
    <x v="4"/>
    <s v="Столбцы"/>
    <s v="Овощи"/>
    <s v="Свекла"/>
    <n v="450"/>
    <n v="95"/>
    <n v="42.75"/>
    <x v="12"/>
  </r>
  <r>
    <d v="2023-12-04T00:00:00"/>
    <x v="0"/>
    <s v="Столбцы"/>
    <s v="Овощи"/>
    <s v="Кабачки"/>
    <n v="325"/>
    <n v="42"/>
    <n v="13.65"/>
    <x v="12"/>
  </r>
  <r>
    <d v="2023-12-04T00:00:00"/>
    <x v="4"/>
    <s v="Столбцы"/>
    <s v="Ягоды"/>
    <s v="Голубика"/>
    <n v="3205"/>
    <n v="83"/>
    <n v="266.01499999999999"/>
    <x v="12"/>
  </r>
  <r>
    <d v="2023-12-04T00:00:00"/>
    <x v="1"/>
    <s v="Фаниполь"/>
    <s v="Зелень"/>
    <s v="Петрушка"/>
    <n v="640"/>
    <n v="68"/>
    <n v="43.52"/>
    <x v="12"/>
  </r>
  <r>
    <d v="2023-12-04T00:00:00"/>
    <x v="1"/>
    <s v="Фаниполь"/>
    <s v="Зелень"/>
    <s v="Укроп"/>
    <n v="650"/>
    <n v="39"/>
    <n v="25.35"/>
    <x v="12"/>
  </r>
  <r>
    <d v="2023-12-04T00:00:00"/>
    <x v="2"/>
    <s v="Фаниполь"/>
    <s v="Овощи"/>
    <s v="Баклажаны"/>
    <n v="890"/>
    <n v="20"/>
    <n v="17.8"/>
    <x v="12"/>
  </r>
  <r>
    <s v="04.12.2023 Итог"/>
    <x v="3"/>
    <m/>
    <m/>
    <m/>
    <m/>
    <m/>
    <n v="709.07499999999993"/>
    <x v="12"/>
  </r>
  <r>
    <d v="2023-12-05T00:00:00"/>
    <x v="4"/>
    <s v="Барановичи"/>
    <s v="Ягоды"/>
    <s v="Черешня"/>
    <n v="1760"/>
    <n v="13"/>
    <n v="22.88"/>
    <x v="12"/>
  </r>
  <r>
    <d v="2023-12-05T00:00:00"/>
    <x v="0"/>
    <s v="Барановичи"/>
    <s v="Ягоды"/>
    <s v="Клубника"/>
    <n v="2460"/>
    <n v="16"/>
    <n v="39.36"/>
    <x v="12"/>
  </r>
  <r>
    <d v="2023-12-05T00:00:00"/>
    <x v="0"/>
    <s v="Борисов"/>
    <s v="Зелень"/>
    <s v="Укроп"/>
    <n v="650"/>
    <n v="93"/>
    <n v="60.45"/>
    <x v="12"/>
  </r>
  <r>
    <d v="2023-12-05T00:00:00"/>
    <x v="0"/>
    <s v="Борисов"/>
    <s v="Зелень"/>
    <s v="Кинза"/>
    <n v="650"/>
    <n v="25"/>
    <n v="16.25"/>
    <x v="12"/>
  </r>
  <r>
    <d v="2023-12-05T00:00:00"/>
    <x v="1"/>
    <s v="Борисов"/>
    <s v="Фрукты"/>
    <s v="Абрикосы"/>
    <n v="1320"/>
    <n v="50"/>
    <n v="66"/>
    <x v="12"/>
  </r>
  <r>
    <d v="2023-12-05T00:00:00"/>
    <x v="2"/>
    <s v="Жодино"/>
    <s v="Зелень"/>
    <s v="Укроп"/>
    <n v="650"/>
    <n v="55"/>
    <n v="35.75"/>
    <x v="12"/>
  </r>
  <r>
    <d v="2023-12-05T00:00:00"/>
    <x v="2"/>
    <s v="Жодино"/>
    <s v="Фрукты"/>
    <s v="Бананы"/>
    <n v="2400"/>
    <n v="29"/>
    <n v="69.599999999999994"/>
    <x v="12"/>
  </r>
  <r>
    <d v="2023-12-05T00:00:00"/>
    <x v="1"/>
    <s v="Жодино"/>
    <s v="Фрукты"/>
    <s v="Бананы"/>
    <n v="2400"/>
    <n v="99"/>
    <n v="237.6"/>
    <x v="12"/>
  </r>
  <r>
    <d v="2023-12-05T00:00:00"/>
    <x v="2"/>
    <s v="Минск"/>
    <s v="Зелень"/>
    <s v="Салат римский"/>
    <n v="540"/>
    <n v="39"/>
    <n v="21.06"/>
    <x v="12"/>
  </r>
  <r>
    <d v="2023-12-05T00:00:00"/>
    <x v="0"/>
    <s v="Минск"/>
    <s v="Ягоды"/>
    <s v="Голубика"/>
    <n v="3205"/>
    <n v="95"/>
    <n v="304.47500000000002"/>
    <x v="12"/>
  </r>
  <r>
    <d v="2023-12-05T00:00:00"/>
    <x v="0"/>
    <s v="Столбцы"/>
    <s v="Овощи"/>
    <s v="Свекла"/>
    <n v="450"/>
    <n v="52"/>
    <n v="23.4"/>
    <x v="12"/>
  </r>
  <r>
    <d v="2023-12-05T00:00:00"/>
    <x v="2"/>
    <s v="Фаниполь"/>
    <s v="Ягоды"/>
    <s v="Малина"/>
    <n v="2970"/>
    <n v="62"/>
    <n v="184.14"/>
    <x v="12"/>
  </r>
  <r>
    <d v="2023-12-05T00:00:00"/>
    <x v="0"/>
    <s v="Фаниполь"/>
    <s v="Ягоды"/>
    <s v="Черешня"/>
    <n v="1760"/>
    <n v="66"/>
    <n v="116.16"/>
    <x v="12"/>
  </r>
  <r>
    <s v="05.12.2023 Итог"/>
    <x v="3"/>
    <m/>
    <m/>
    <m/>
    <m/>
    <m/>
    <n v="1197.125"/>
    <x v="12"/>
  </r>
  <r>
    <d v="2023-12-06T00:00:00"/>
    <x v="4"/>
    <s v="Барановичи"/>
    <s v="Овощи"/>
    <s v="Кабачки"/>
    <n v="325"/>
    <n v="58"/>
    <n v="18.850000000000001"/>
    <x v="12"/>
  </r>
  <r>
    <d v="2023-12-06T00:00:00"/>
    <x v="1"/>
    <s v="Барановичи"/>
    <s v="Овощи"/>
    <s v="Капуста"/>
    <n v="460"/>
    <n v="33"/>
    <n v="15.18"/>
    <x v="12"/>
  </r>
  <r>
    <d v="2023-12-06T00:00:00"/>
    <x v="0"/>
    <s v="Барановичи"/>
    <s v="Ягоды"/>
    <s v="Клубника"/>
    <n v="2460"/>
    <n v="58"/>
    <n v="142.68"/>
    <x v="12"/>
  </r>
  <r>
    <d v="2023-12-06T00:00:00"/>
    <x v="4"/>
    <s v="Борисов"/>
    <s v="Фрукты"/>
    <s v="Груши"/>
    <n v="1420"/>
    <n v="87"/>
    <n v="123.54"/>
    <x v="12"/>
  </r>
  <r>
    <d v="2023-12-06T00:00:00"/>
    <x v="1"/>
    <s v="Минск"/>
    <s v="Ягоды"/>
    <s v="Клубника"/>
    <n v="2460"/>
    <n v="77"/>
    <n v="189.42"/>
    <x v="12"/>
  </r>
  <r>
    <d v="2023-12-06T00:00:00"/>
    <x v="2"/>
    <s v="Минск"/>
    <s v="Ягоды"/>
    <s v="Черешня"/>
    <n v="1760"/>
    <n v="18"/>
    <n v="31.68"/>
    <x v="12"/>
  </r>
  <r>
    <d v="2023-12-06T00:00:00"/>
    <x v="4"/>
    <s v="Минск"/>
    <s v="Ягоды"/>
    <s v="Клубника"/>
    <n v="2460"/>
    <n v="19"/>
    <n v="46.74"/>
    <x v="12"/>
  </r>
  <r>
    <d v="2023-12-06T00:00:00"/>
    <x v="2"/>
    <s v="Столбцы"/>
    <s v="Овощи"/>
    <s v="Картофель"/>
    <n v="690"/>
    <n v="11"/>
    <n v="7.59"/>
    <x v="12"/>
  </r>
  <r>
    <d v="2023-12-06T00:00:00"/>
    <x v="2"/>
    <s v="Столбцы"/>
    <s v="Овощи"/>
    <s v="Кабачки"/>
    <n v="325"/>
    <n v="26"/>
    <n v="8.4499999999999993"/>
    <x v="12"/>
  </r>
  <r>
    <d v="2023-12-06T00:00:00"/>
    <x v="4"/>
    <s v="Столбцы"/>
    <s v="Овощи"/>
    <s v="Кабачки"/>
    <n v="325"/>
    <n v="12"/>
    <n v="3.9"/>
    <x v="12"/>
  </r>
  <r>
    <d v="2023-12-06T00:00:00"/>
    <x v="0"/>
    <s v="Столбцы"/>
    <s v="Фрукты"/>
    <s v="Абрикосы"/>
    <n v="1320"/>
    <n v="83"/>
    <n v="109.56"/>
    <x v="12"/>
  </r>
  <r>
    <d v="2023-12-06T00:00:00"/>
    <x v="2"/>
    <s v="Столбцы"/>
    <s v="Ягоды"/>
    <s v="Брусника"/>
    <n v="1670"/>
    <n v="85"/>
    <n v="141.94999999999999"/>
    <x v="12"/>
  </r>
  <r>
    <s v="06.12.2023 Итог"/>
    <x v="3"/>
    <m/>
    <m/>
    <m/>
    <m/>
    <m/>
    <n v="839.54"/>
    <x v="12"/>
  </r>
  <r>
    <d v="2023-12-07T00:00:00"/>
    <x v="0"/>
    <s v="Барановичи"/>
    <s v="Овощи"/>
    <s v="Свекла"/>
    <n v="450"/>
    <n v="8"/>
    <n v="3.6"/>
    <x v="12"/>
  </r>
  <r>
    <d v="2023-12-07T00:00:00"/>
    <x v="2"/>
    <s v="Борисов"/>
    <s v="Овощи"/>
    <s v="Свекла"/>
    <n v="450"/>
    <n v="97"/>
    <n v="43.65"/>
    <x v="12"/>
  </r>
  <r>
    <d v="2023-12-07T00:00:00"/>
    <x v="1"/>
    <s v="Борисов"/>
    <s v="Овощи"/>
    <s v="Баклажаны"/>
    <n v="890"/>
    <n v="5"/>
    <n v="4.45"/>
    <x v="12"/>
  </r>
  <r>
    <d v="2023-12-07T00:00:00"/>
    <x v="2"/>
    <s v="Борисов"/>
    <s v="Овощи"/>
    <s v="Свекла"/>
    <n v="450"/>
    <n v="60"/>
    <n v="27"/>
    <x v="12"/>
  </r>
  <r>
    <d v="2023-12-07T00:00:00"/>
    <x v="0"/>
    <s v="Жодино"/>
    <s v="Ягоды"/>
    <s v="Малина"/>
    <n v="2970"/>
    <n v="15"/>
    <n v="44.55"/>
    <x v="12"/>
  </r>
  <r>
    <d v="2023-12-07T00:00:00"/>
    <x v="2"/>
    <s v="Минск"/>
    <s v="Овощи"/>
    <s v="Картофель"/>
    <n v="690"/>
    <n v="47"/>
    <n v="32.43"/>
    <x v="12"/>
  </r>
  <r>
    <d v="2023-12-07T00:00:00"/>
    <x v="1"/>
    <s v="Столбцы"/>
    <s v="Фрукты"/>
    <s v="Груши"/>
    <n v="1420"/>
    <n v="6"/>
    <n v="8.52"/>
    <x v="12"/>
  </r>
  <r>
    <d v="2023-12-07T00:00:00"/>
    <x v="2"/>
    <s v="Фаниполь"/>
    <s v="Зелень"/>
    <s v="Петрушка"/>
    <n v="640"/>
    <n v="40"/>
    <n v="25.6"/>
    <x v="12"/>
  </r>
  <r>
    <d v="2023-12-07T00:00:00"/>
    <x v="0"/>
    <s v="Фаниполь"/>
    <s v="Фрукты"/>
    <s v="Бананы"/>
    <n v="2400"/>
    <n v="70"/>
    <n v="168"/>
    <x v="12"/>
  </r>
  <r>
    <d v="2023-12-07T00:00:00"/>
    <x v="0"/>
    <s v="Фаниполь"/>
    <s v="Фрукты"/>
    <s v="Апельсины"/>
    <n v="2540"/>
    <n v="62"/>
    <n v="157.47999999999999"/>
    <x v="12"/>
  </r>
  <r>
    <s v="07.12.2023 Итог"/>
    <x v="3"/>
    <m/>
    <m/>
    <m/>
    <m/>
    <m/>
    <n v="515.28"/>
    <x v="12"/>
  </r>
  <r>
    <d v="2023-12-08T00:00:00"/>
    <x v="2"/>
    <s v="Барановичи"/>
    <s v="Овощи"/>
    <s v="Баклажаны"/>
    <n v="890"/>
    <n v="87"/>
    <n v="77.430000000000007"/>
    <x v="12"/>
  </r>
  <r>
    <d v="2023-12-08T00:00:00"/>
    <x v="2"/>
    <s v="Барановичи"/>
    <s v="Фрукты"/>
    <s v="Бананы"/>
    <n v="2400"/>
    <n v="22"/>
    <n v="52.8"/>
    <x v="12"/>
  </r>
  <r>
    <d v="2023-12-08T00:00:00"/>
    <x v="4"/>
    <s v="Барановичи"/>
    <s v="Фрукты"/>
    <s v="Апельсины"/>
    <n v="2540"/>
    <n v="52"/>
    <n v="132.08000000000001"/>
    <x v="12"/>
  </r>
  <r>
    <d v="2023-12-08T00:00:00"/>
    <x v="4"/>
    <s v="Борисов"/>
    <s v="Фрукты"/>
    <s v="Сливы"/>
    <n v="930"/>
    <n v="19"/>
    <n v="17.670000000000002"/>
    <x v="12"/>
  </r>
  <r>
    <d v="2023-12-08T00:00:00"/>
    <x v="0"/>
    <s v="Борисов"/>
    <s v="Ягоды"/>
    <s v="Малина"/>
    <n v="2970"/>
    <n v="34"/>
    <n v="100.98"/>
    <x v="12"/>
  </r>
  <r>
    <d v="2023-12-08T00:00:00"/>
    <x v="1"/>
    <s v="Жодино"/>
    <s v="Зелень"/>
    <s v="Укроп"/>
    <n v="650"/>
    <n v="91"/>
    <n v="59.15"/>
    <x v="12"/>
  </r>
  <r>
    <d v="2023-12-08T00:00:00"/>
    <x v="0"/>
    <s v="Жодино"/>
    <s v="Зелень"/>
    <s v="Укроп"/>
    <n v="650"/>
    <n v="30"/>
    <n v="19.5"/>
    <x v="12"/>
  </r>
  <r>
    <d v="2023-12-08T00:00:00"/>
    <x v="4"/>
    <s v="Жодино"/>
    <s v="Овощи"/>
    <s v="Кабачки"/>
    <n v="325"/>
    <n v="78"/>
    <n v="25.35"/>
    <x v="12"/>
  </r>
  <r>
    <d v="2023-12-08T00:00:00"/>
    <x v="1"/>
    <s v="Жодино"/>
    <s v="Овощи"/>
    <s v="Картофель"/>
    <n v="690"/>
    <n v="72"/>
    <n v="49.68"/>
    <x v="12"/>
  </r>
  <r>
    <d v="2023-12-08T00:00:00"/>
    <x v="2"/>
    <s v="Жодино"/>
    <s v="Ягоды"/>
    <s v="Смородина черная"/>
    <n v="1505"/>
    <n v="77"/>
    <n v="115.88500000000001"/>
    <x v="12"/>
  </r>
  <r>
    <d v="2023-12-08T00:00:00"/>
    <x v="1"/>
    <s v="Минск"/>
    <s v="Зелень"/>
    <s v="Укроп"/>
    <n v="650"/>
    <n v="36"/>
    <n v="23.4"/>
    <x v="12"/>
  </r>
  <r>
    <d v="2023-12-08T00:00:00"/>
    <x v="0"/>
    <s v="Минск"/>
    <s v="Зелень"/>
    <s v="Салат римский"/>
    <n v="540"/>
    <n v="40"/>
    <n v="21.6"/>
    <x v="12"/>
  </r>
  <r>
    <d v="2023-12-08T00:00:00"/>
    <x v="0"/>
    <s v="Минск"/>
    <s v="Фрукты"/>
    <s v="Яблоки"/>
    <n v="1230"/>
    <n v="14"/>
    <n v="17.22"/>
    <x v="12"/>
  </r>
  <r>
    <d v="2023-12-08T00:00:00"/>
    <x v="4"/>
    <s v="Столбцы"/>
    <s v="Овощи"/>
    <s v="Морковь"/>
    <n v="715"/>
    <n v="33"/>
    <n v="23.594999999999999"/>
    <x v="12"/>
  </r>
  <r>
    <d v="2023-12-08T00:00:00"/>
    <x v="1"/>
    <s v="Столбцы"/>
    <s v="Ягоды"/>
    <s v="Брусника"/>
    <n v="1670"/>
    <n v="14"/>
    <n v="23.38"/>
    <x v="12"/>
  </r>
  <r>
    <d v="2023-12-08T00:00:00"/>
    <x v="1"/>
    <s v="Фаниполь"/>
    <s v="Фрукты"/>
    <s v="Абрикосы"/>
    <n v="1320"/>
    <n v="9"/>
    <n v="11.88"/>
    <x v="12"/>
  </r>
  <r>
    <d v="2023-12-08T00:00:00"/>
    <x v="1"/>
    <s v="Фаниполь"/>
    <s v="Ягоды"/>
    <s v="Черешня"/>
    <n v="1760"/>
    <n v="24"/>
    <n v="42.24"/>
    <x v="12"/>
  </r>
  <r>
    <s v="08.12.2023 Итог"/>
    <x v="3"/>
    <m/>
    <m/>
    <m/>
    <m/>
    <m/>
    <n v="813.84000000000015"/>
    <x v="12"/>
  </r>
  <r>
    <d v="2023-12-09T00:00:00"/>
    <x v="4"/>
    <s v="Барановичи"/>
    <s v="Ягоды"/>
    <s v="Брусника"/>
    <n v="1670"/>
    <n v="6"/>
    <n v="10.02"/>
    <x v="12"/>
  </r>
  <r>
    <d v="2023-12-09T00:00:00"/>
    <x v="1"/>
    <s v="Жодино"/>
    <s v="Зелень"/>
    <s v="Кинза"/>
    <n v="650"/>
    <n v="46"/>
    <n v="29.9"/>
    <x v="12"/>
  </r>
  <r>
    <d v="2023-12-09T00:00:00"/>
    <x v="0"/>
    <s v="Жодино"/>
    <s v="Фрукты"/>
    <s v="Абрикосы"/>
    <n v="1320"/>
    <n v="17"/>
    <n v="22.44"/>
    <x v="12"/>
  </r>
  <r>
    <d v="2023-12-09T00:00:00"/>
    <x v="4"/>
    <s v="Жодино"/>
    <s v="Ягоды"/>
    <s v="Клубника"/>
    <n v="2460"/>
    <n v="5"/>
    <n v="12.3"/>
    <x v="12"/>
  </r>
  <r>
    <d v="2023-12-09T00:00:00"/>
    <x v="2"/>
    <s v="Минск"/>
    <s v="Фрукты"/>
    <s v="Яблоки"/>
    <n v="1230"/>
    <n v="90"/>
    <n v="110.7"/>
    <x v="12"/>
  </r>
  <r>
    <d v="2023-12-09T00:00:00"/>
    <x v="2"/>
    <s v="Фаниполь"/>
    <s v="Овощи"/>
    <s v="Морковь"/>
    <n v="715"/>
    <n v="28"/>
    <n v="20.02"/>
    <x v="12"/>
  </r>
  <r>
    <s v="09.12.2023 Итог"/>
    <x v="3"/>
    <m/>
    <m/>
    <m/>
    <m/>
    <m/>
    <n v="205.38000000000002"/>
    <x v="12"/>
  </r>
  <r>
    <d v="2023-12-10T00:00:00"/>
    <x v="1"/>
    <s v="Барановичи"/>
    <s v="Овощи"/>
    <s v="Баклажаны"/>
    <n v="890"/>
    <n v="29"/>
    <n v="25.81"/>
    <x v="12"/>
  </r>
  <r>
    <d v="2023-12-10T00:00:00"/>
    <x v="1"/>
    <s v="Барановичи"/>
    <s v="Овощи"/>
    <s v="Морковь"/>
    <n v="715"/>
    <n v="51"/>
    <n v="36.465000000000003"/>
    <x v="12"/>
  </r>
  <r>
    <d v="2023-12-10T00:00:00"/>
    <x v="1"/>
    <s v="Барановичи"/>
    <s v="Ягоды"/>
    <s v="Черешня"/>
    <n v="1760"/>
    <n v="86"/>
    <n v="151.36000000000001"/>
    <x v="12"/>
  </r>
  <r>
    <d v="2023-12-10T00:00:00"/>
    <x v="4"/>
    <s v="Борисов"/>
    <s v="Овощи"/>
    <s v="Картофель"/>
    <n v="690"/>
    <n v="97"/>
    <n v="66.930000000000007"/>
    <x v="12"/>
  </r>
  <r>
    <d v="2023-12-10T00:00:00"/>
    <x v="4"/>
    <s v="Жодино"/>
    <s v="Овощи"/>
    <s v="Картофель"/>
    <n v="690"/>
    <n v="27"/>
    <n v="18.63"/>
    <x v="12"/>
  </r>
  <r>
    <d v="2023-12-10T00:00:00"/>
    <x v="2"/>
    <s v="Жодино"/>
    <s v="Овощи"/>
    <s v="Баклажаны"/>
    <n v="890"/>
    <n v="68"/>
    <n v="60.52"/>
    <x v="12"/>
  </r>
  <r>
    <d v="2023-12-10T00:00:00"/>
    <x v="1"/>
    <s v="Минск"/>
    <s v="Зелень"/>
    <s v="Кинза"/>
    <n v="650"/>
    <n v="34"/>
    <n v="22.1"/>
    <x v="12"/>
  </r>
  <r>
    <d v="2023-12-10T00:00:00"/>
    <x v="1"/>
    <s v="Минск"/>
    <s v="Фрукты"/>
    <s v="Сливы"/>
    <n v="930"/>
    <n v="33"/>
    <n v="30.69"/>
    <x v="12"/>
  </r>
  <r>
    <d v="2023-12-10T00:00:00"/>
    <x v="2"/>
    <s v="Минск"/>
    <s v="Ягоды"/>
    <s v="Черешня"/>
    <n v="1760"/>
    <n v="9"/>
    <n v="15.84"/>
    <x v="12"/>
  </r>
  <r>
    <d v="2023-12-10T00:00:00"/>
    <x v="1"/>
    <s v="Столбцы"/>
    <s v="Ягоды"/>
    <s v="Смородина черная"/>
    <n v="1505"/>
    <n v="15"/>
    <n v="22.574999999999999"/>
    <x v="12"/>
  </r>
  <r>
    <d v="2023-12-10T00:00:00"/>
    <x v="4"/>
    <s v="Фаниполь"/>
    <s v="Зелень"/>
    <s v="Салат айсберг"/>
    <n v="1380"/>
    <n v="65"/>
    <n v="89.7"/>
    <x v="12"/>
  </r>
  <r>
    <d v="2023-12-10T00:00:00"/>
    <x v="1"/>
    <s v="Фаниполь"/>
    <s v="Овощи"/>
    <s v="Морковь"/>
    <n v="715"/>
    <n v="35"/>
    <n v="25.024999999999999"/>
    <x v="12"/>
  </r>
  <r>
    <d v="2023-12-10T00:00:00"/>
    <x v="0"/>
    <s v="Фаниполь"/>
    <s v="Фрукты"/>
    <s v="Груши"/>
    <n v="1420"/>
    <n v="69"/>
    <n v="97.98"/>
    <x v="12"/>
  </r>
  <r>
    <s v="10.12.2023 Итог"/>
    <x v="3"/>
    <m/>
    <m/>
    <m/>
    <m/>
    <m/>
    <n v="663.625"/>
    <x v="12"/>
  </r>
  <r>
    <d v="2023-12-11T00:00:00"/>
    <x v="2"/>
    <s v="Барановичи"/>
    <s v="Овощи"/>
    <s v="Кабачки"/>
    <n v="325"/>
    <n v="75"/>
    <n v="24.375"/>
    <x v="12"/>
  </r>
  <r>
    <d v="2023-12-11T00:00:00"/>
    <x v="0"/>
    <s v="Барановичи"/>
    <s v="Овощи"/>
    <s v="Кабачки"/>
    <n v="325"/>
    <n v="87"/>
    <n v="28.274999999999999"/>
    <x v="12"/>
  </r>
  <r>
    <d v="2023-12-11T00:00:00"/>
    <x v="1"/>
    <s v="Фаниполь"/>
    <s v="Зелень"/>
    <s v="Петрушка"/>
    <n v="640"/>
    <n v="80"/>
    <n v="51.2"/>
    <x v="12"/>
  </r>
  <r>
    <d v="2023-12-11T00:00:00"/>
    <x v="4"/>
    <s v="Фаниполь"/>
    <s v="Зелень"/>
    <s v="Петрушка"/>
    <n v="640"/>
    <n v="78"/>
    <n v="49.92"/>
    <x v="12"/>
  </r>
  <r>
    <d v="2023-12-11T00:00:00"/>
    <x v="4"/>
    <s v="Фаниполь"/>
    <s v="Фрукты"/>
    <s v="Апельсины"/>
    <n v="2540"/>
    <n v="24"/>
    <n v="60.96"/>
    <x v="12"/>
  </r>
  <r>
    <s v="11.12.2023 Итог"/>
    <x v="3"/>
    <m/>
    <m/>
    <m/>
    <m/>
    <m/>
    <n v="214.73"/>
    <x v="12"/>
  </r>
  <r>
    <d v="2023-12-12T00:00:00"/>
    <x v="4"/>
    <s v="Барановичи"/>
    <s v="Ягоды"/>
    <s v="Голубика"/>
    <n v="3205"/>
    <n v="10"/>
    <n v="32.049999999999997"/>
    <x v="12"/>
  </r>
  <r>
    <d v="2023-12-12T00:00:00"/>
    <x v="4"/>
    <s v="Борисов"/>
    <s v="Зелень"/>
    <s v="Лук зеленый"/>
    <n v="705"/>
    <n v="78"/>
    <n v="54.99"/>
    <x v="12"/>
  </r>
  <r>
    <d v="2023-12-12T00:00:00"/>
    <x v="1"/>
    <s v="Жодино"/>
    <s v="Зелень"/>
    <s v="Укроп"/>
    <n v="650"/>
    <n v="69"/>
    <n v="44.85"/>
    <x v="12"/>
  </r>
  <r>
    <d v="2023-12-12T00:00:00"/>
    <x v="1"/>
    <s v="Минск"/>
    <s v="Фрукты"/>
    <s v="Бананы"/>
    <n v="2400"/>
    <n v="28"/>
    <n v="67.2"/>
    <x v="12"/>
  </r>
  <r>
    <d v="2023-12-12T00:00:00"/>
    <x v="1"/>
    <s v="Минск"/>
    <s v="Ягоды"/>
    <s v="Черешня"/>
    <n v="1760"/>
    <n v="82"/>
    <n v="144.32"/>
    <x v="12"/>
  </r>
  <r>
    <d v="2023-12-12T00:00:00"/>
    <x v="0"/>
    <s v="Минск"/>
    <s v="Ягоды"/>
    <s v="Малина"/>
    <n v="2970"/>
    <n v="5"/>
    <n v="14.85"/>
    <x v="12"/>
  </r>
  <r>
    <d v="2023-12-12T00:00:00"/>
    <x v="0"/>
    <s v="Столбцы"/>
    <s v="Фрукты"/>
    <s v="Груши"/>
    <n v="1420"/>
    <n v="34"/>
    <n v="48.28"/>
    <x v="12"/>
  </r>
  <r>
    <d v="2023-12-12T00:00:00"/>
    <x v="4"/>
    <s v="Столбцы"/>
    <s v="Ягоды"/>
    <s v="Голубика"/>
    <n v="3205"/>
    <n v="34"/>
    <n v="108.97"/>
    <x v="12"/>
  </r>
  <r>
    <s v="12.12.2023 Итог"/>
    <x v="3"/>
    <m/>
    <m/>
    <m/>
    <m/>
    <m/>
    <n v="515.51"/>
    <x v="12"/>
  </r>
  <r>
    <d v="2023-12-13T00:00:00"/>
    <x v="0"/>
    <s v="Барановичи"/>
    <s v="Овощи"/>
    <s v="Картофель"/>
    <n v="690"/>
    <n v="24"/>
    <n v="16.559999999999999"/>
    <x v="12"/>
  </r>
  <r>
    <d v="2023-12-13T00:00:00"/>
    <x v="1"/>
    <s v="Барановичи"/>
    <s v="Ягоды"/>
    <s v="Смородина черная"/>
    <n v="1505"/>
    <n v="9"/>
    <n v="13.545"/>
    <x v="12"/>
  </r>
  <r>
    <d v="2023-12-13T00:00:00"/>
    <x v="4"/>
    <s v="Борисов"/>
    <s v="Фрукты"/>
    <s v="Груши"/>
    <n v="1420"/>
    <n v="29"/>
    <n v="41.18"/>
    <x v="12"/>
  </r>
  <r>
    <d v="2023-12-13T00:00:00"/>
    <x v="1"/>
    <s v="Жодино"/>
    <s v="Зелень"/>
    <s v="Салат айсберг"/>
    <n v="1380"/>
    <n v="45"/>
    <n v="62.1"/>
    <x v="12"/>
  </r>
  <r>
    <d v="2023-12-13T00:00:00"/>
    <x v="2"/>
    <s v="Столбцы"/>
    <s v="Ягоды"/>
    <s v="Брусника"/>
    <n v="1670"/>
    <n v="84"/>
    <n v="140.28"/>
    <x v="12"/>
  </r>
  <r>
    <s v="13.12.2023 Итог"/>
    <x v="3"/>
    <m/>
    <m/>
    <m/>
    <m/>
    <m/>
    <n v="273.66499999999996"/>
    <x v="12"/>
  </r>
  <r>
    <d v="2023-12-14T00:00:00"/>
    <x v="2"/>
    <s v="Барановичи"/>
    <s v="Зелень"/>
    <s v="Кинза"/>
    <n v="650"/>
    <n v="33"/>
    <n v="21.45"/>
    <x v="12"/>
  </r>
  <r>
    <d v="2023-12-14T00:00:00"/>
    <x v="2"/>
    <s v="Барановичи"/>
    <s v="Овощи"/>
    <s v="Капуста"/>
    <n v="460"/>
    <n v="32"/>
    <n v="14.72"/>
    <x v="12"/>
  </r>
  <r>
    <d v="2023-12-14T00:00:00"/>
    <x v="1"/>
    <s v="Барановичи"/>
    <s v="Овощи"/>
    <s v="Морковь"/>
    <n v="715"/>
    <n v="22"/>
    <n v="15.73"/>
    <x v="12"/>
  </r>
  <r>
    <d v="2023-12-14T00:00:00"/>
    <x v="4"/>
    <s v="Барановичи"/>
    <s v="Фрукты"/>
    <s v="Яблоки"/>
    <n v="1230"/>
    <n v="17"/>
    <n v="20.91"/>
    <x v="12"/>
  </r>
  <r>
    <d v="2023-12-14T00:00:00"/>
    <x v="1"/>
    <s v="Барановичи"/>
    <s v="Фрукты"/>
    <s v="Яблоки"/>
    <n v="1230"/>
    <n v="36"/>
    <n v="44.28"/>
    <x v="12"/>
  </r>
  <r>
    <d v="2023-12-14T00:00:00"/>
    <x v="1"/>
    <s v="Барановичи"/>
    <s v="Фрукты"/>
    <s v="Апельсины"/>
    <n v="2540"/>
    <n v="7"/>
    <n v="17.78"/>
    <x v="12"/>
  </r>
  <r>
    <d v="2023-12-14T00:00:00"/>
    <x v="4"/>
    <s v="Борисов"/>
    <s v="Зелень"/>
    <s v="Лук зеленый"/>
    <n v="705"/>
    <n v="76"/>
    <n v="53.58"/>
    <x v="12"/>
  </r>
  <r>
    <d v="2023-12-14T00:00:00"/>
    <x v="2"/>
    <s v="Борисов"/>
    <s v="Ягоды"/>
    <s v="Голубика"/>
    <n v="3205"/>
    <n v="89"/>
    <n v="285.245"/>
    <x v="12"/>
  </r>
  <r>
    <d v="2023-12-14T00:00:00"/>
    <x v="2"/>
    <s v="Жодино"/>
    <s v="Ягоды"/>
    <s v="Смородина черная"/>
    <n v="1505"/>
    <n v="97"/>
    <n v="145.98500000000001"/>
    <x v="12"/>
  </r>
  <r>
    <d v="2023-12-14T00:00:00"/>
    <x v="0"/>
    <s v="Фаниполь"/>
    <s v="Фрукты"/>
    <s v="Яблоки"/>
    <n v="1230"/>
    <n v="64"/>
    <n v="78.72"/>
    <x v="12"/>
  </r>
  <r>
    <s v="14.12.2023 Итог"/>
    <x v="3"/>
    <m/>
    <m/>
    <m/>
    <m/>
    <m/>
    <n v="698.40000000000009"/>
    <x v="12"/>
  </r>
  <r>
    <d v="2023-12-15T00:00:00"/>
    <x v="4"/>
    <s v="Барановичи"/>
    <s v="Ягоды"/>
    <s v="Смородина черная"/>
    <n v="1505"/>
    <n v="69"/>
    <n v="103.845"/>
    <x v="12"/>
  </r>
  <r>
    <d v="2023-12-15T00:00:00"/>
    <x v="1"/>
    <s v="Борисов"/>
    <s v="Зелень"/>
    <s v="Укроп"/>
    <n v="650"/>
    <n v="48"/>
    <n v="31.2"/>
    <x v="12"/>
  </r>
  <r>
    <d v="2023-12-15T00:00:00"/>
    <x v="4"/>
    <s v="Борисов"/>
    <s v="Овощи"/>
    <s v="Свекла"/>
    <n v="450"/>
    <n v="98"/>
    <n v="44.1"/>
    <x v="12"/>
  </r>
  <r>
    <d v="2023-12-15T00:00:00"/>
    <x v="1"/>
    <s v="Борисов"/>
    <s v="Фрукты"/>
    <s v="Абрикосы"/>
    <n v="1320"/>
    <n v="49"/>
    <n v="64.680000000000007"/>
    <x v="12"/>
  </r>
  <r>
    <d v="2023-12-15T00:00:00"/>
    <x v="0"/>
    <s v="Борисов"/>
    <s v="Ягоды"/>
    <s v="Клубника"/>
    <n v="2460"/>
    <n v="85"/>
    <n v="209.1"/>
    <x v="12"/>
  </r>
  <r>
    <d v="2023-12-15T00:00:00"/>
    <x v="1"/>
    <s v="Жодино"/>
    <s v="Ягоды"/>
    <s v="Клубника"/>
    <n v="2460"/>
    <n v="74"/>
    <n v="182.04"/>
    <x v="12"/>
  </r>
  <r>
    <d v="2023-12-15T00:00:00"/>
    <x v="1"/>
    <s v="Жодино"/>
    <s v="Ягоды"/>
    <s v="Смородина черная"/>
    <n v="1505"/>
    <n v="82"/>
    <n v="123.41"/>
    <x v="12"/>
  </r>
  <r>
    <d v="2023-12-15T00:00:00"/>
    <x v="1"/>
    <s v="Минск"/>
    <s v="Фрукты"/>
    <s v="Яблоки"/>
    <n v="1230"/>
    <n v="49"/>
    <n v="60.27"/>
    <x v="12"/>
  </r>
  <r>
    <d v="2023-12-15T00:00:00"/>
    <x v="2"/>
    <s v="Столбцы"/>
    <s v="Овощи"/>
    <s v="Капуста"/>
    <n v="460"/>
    <n v="23"/>
    <n v="10.58"/>
    <x v="12"/>
  </r>
  <r>
    <d v="2023-12-15T00:00:00"/>
    <x v="4"/>
    <s v="Фаниполь"/>
    <s v="Овощи"/>
    <s v="Кабачки"/>
    <n v="325"/>
    <n v="68"/>
    <n v="22.1"/>
    <x v="12"/>
  </r>
  <r>
    <d v="2023-12-15T00:00:00"/>
    <x v="0"/>
    <s v="Фаниполь"/>
    <s v="Фрукты"/>
    <s v="Бананы"/>
    <n v="2400"/>
    <n v="24"/>
    <n v="57.6"/>
    <x v="12"/>
  </r>
  <r>
    <s v="15.12.2023 Итог"/>
    <x v="3"/>
    <m/>
    <m/>
    <m/>
    <m/>
    <m/>
    <n v="908.92499999999995"/>
    <x v="12"/>
  </r>
  <r>
    <d v="2023-12-16T00:00:00"/>
    <x v="0"/>
    <s v="Барановичи"/>
    <s v="Овощи"/>
    <s v="Капуста"/>
    <n v="460"/>
    <n v="12"/>
    <n v="5.52"/>
    <x v="12"/>
  </r>
  <r>
    <d v="2023-12-16T00:00:00"/>
    <x v="2"/>
    <s v="Барановичи"/>
    <s v="Ягоды"/>
    <s v="Черешня"/>
    <n v="1760"/>
    <n v="58"/>
    <n v="102.08"/>
    <x v="12"/>
  </r>
  <r>
    <d v="2023-12-16T00:00:00"/>
    <x v="2"/>
    <s v="Борисов"/>
    <s v="Зелень"/>
    <s v="Петрушка"/>
    <n v="640"/>
    <n v="40"/>
    <n v="25.6"/>
    <x v="12"/>
  </r>
  <r>
    <d v="2023-12-16T00:00:00"/>
    <x v="4"/>
    <s v="Минск"/>
    <s v="Зелень"/>
    <s v="Салат римский"/>
    <n v="540"/>
    <n v="65"/>
    <n v="35.1"/>
    <x v="12"/>
  </r>
  <r>
    <d v="2023-12-16T00:00:00"/>
    <x v="4"/>
    <s v="Фаниполь"/>
    <s v="Зелень"/>
    <s v="Салат айсберг"/>
    <n v="1380"/>
    <n v="44"/>
    <n v="60.72"/>
    <x v="12"/>
  </r>
  <r>
    <d v="2023-12-16T00:00:00"/>
    <x v="2"/>
    <s v="Фаниполь"/>
    <s v="Овощи"/>
    <s v="Баклажаны"/>
    <n v="890"/>
    <n v="63"/>
    <n v="56.07"/>
    <x v="12"/>
  </r>
  <r>
    <d v="2023-12-16T00:00:00"/>
    <x v="0"/>
    <s v="Фаниполь"/>
    <s v="Фрукты"/>
    <s v="Абрикосы"/>
    <n v="1320"/>
    <n v="54"/>
    <n v="71.28"/>
    <x v="12"/>
  </r>
  <r>
    <s v="16.12.2023 Итог"/>
    <x v="3"/>
    <m/>
    <m/>
    <m/>
    <m/>
    <m/>
    <n v="356.37"/>
    <x v="12"/>
  </r>
  <r>
    <d v="2023-12-17T00:00:00"/>
    <x v="0"/>
    <s v="Барановичи"/>
    <s v="Зелень"/>
    <s v="Укроп"/>
    <n v="650"/>
    <n v="44"/>
    <n v="28.6"/>
    <x v="12"/>
  </r>
  <r>
    <d v="2023-12-17T00:00:00"/>
    <x v="0"/>
    <s v="Барановичи"/>
    <s v="Зелень"/>
    <s v="Кинза"/>
    <n v="650"/>
    <n v="26"/>
    <n v="16.899999999999999"/>
    <x v="12"/>
  </r>
  <r>
    <d v="2023-12-17T00:00:00"/>
    <x v="2"/>
    <s v="Борисов"/>
    <s v="Фрукты"/>
    <s v="Сливы"/>
    <n v="930"/>
    <n v="87"/>
    <n v="80.91"/>
    <x v="12"/>
  </r>
  <r>
    <d v="2023-12-17T00:00:00"/>
    <x v="0"/>
    <s v="Борисов"/>
    <s v="Фрукты"/>
    <s v="Яблоки"/>
    <n v="1230"/>
    <n v="61"/>
    <n v="75.03"/>
    <x v="12"/>
  </r>
  <r>
    <d v="2023-12-17T00:00:00"/>
    <x v="0"/>
    <s v="Борисов"/>
    <s v="Фрукты"/>
    <s v="Яблоки"/>
    <n v="1230"/>
    <n v="17"/>
    <n v="20.91"/>
    <x v="12"/>
  </r>
  <r>
    <d v="2023-12-17T00:00:00"/>
    <x v="4"/>
    <s v="Жодино"/>
    <s v="Фрукты"/>
    <s v="Апельсины"/>
    <n v="2540"/>
    <n v="88"/>
    <n v="223.52"/>
    <x v="12"/>
  </r>
  <r>
    <d v="2023-12-17T00:00:00"/>
    <x v="0"/>
    <s v="Жодино"/>
    <s v="Фрукты"/>
    <s v="Сливы"/>
    <n v="930"/>
    <n v="66"/>
    <n v="61.38"/>
    <x v="12"/>
  </r>
  <r>
    <d v="2023-12-17T00:00:00"/>
    <x v="0"/>
    <s v="Жодино"/>
    <s v="Фрукты"/>
    <s v="Абрикосы"/>
    <n v="1320"/>
    <n v="94"/>
    <n v="124.08"/>
    <x v="12"/>
  </r>
  <r>
    <d v="2023-12-17T00:00:00"/>
    <x v="4"/>
    <s v="Минск"/>
    <s v="Ягоды"/>
    <s v="Черешня"/>
    <n v="1760"/>
    <n v="20"/>
    <n v="35.200000000000003"/>
    <x v="12"/>
  </r>
  <r>
    <d v="2023-12-17T00:00:00"/>
    <x v="4"/>
    <s v="Фаниполь"/>
    <s v="Зелень"/>
    <s v="Салат айсберг"/>
    <n v="1380"/>
    <n v="22"/>
    <n v="30.36"/>
    <x v="12"/>
  </r>
  <r>
    <d v="2023-12-17T00:00:00"/>
    <x v="1"/>
    <s v="Фаниполь"/>
    <s v="Овощи"/>
    <s v="Баклажаны"/>
    <n v="890"/>
    <n v="95"/>
    <n v="84.55"/>
    <x v="12"/>
  </r>
  <r>
    <s v="17.12.2023 Итог"/>
    <x v="3"/>
    <m/>
    <m/>
    <m/>
    <m/>
    <m/>
    <n v="781.44"/>
    <x v="12"/>
  </r>
  <r>
    <d v="2023-12-18T00:00:00"/>
    <x v="0"/>
    <s v="Барановичи"/>
    <s v="Зелень"/>
    <s v="Петрушка"/>
    <n v="640"/>
    <n v="62"/>
    <n v="39.68"/>
    <x v="12"/>
  </r>
  <r>
    <d v="2023-12-18T00:00:00"/>
    <x v="2"/>
    <s v="Барановичи"/>
    <s v="Фрукты"/>
    <s v="Сливы"/>
    <n v="930"/>
    <n v="35"/>
    <n v="32.549999999999997"/>
    <x v="12"/>
  </r>
  <r>
    <d v="2023-12-18T00:00:00"/>
    <x v="0"/>
    <s v="Борисов"/>
    <s v="Овощи"/>
    <s v="Морковь"/>
    <n v="715"/>
    <n v="46"/>
    <n v="32.89"/>
    <x v="12"/>
  </r>
  <r>
    <d v="2023-12-18T00:00:00"/>
    <x v="4"/>
    <s v="Жодино"/>
    <s v="Овощи"/>
    <s v="Морковь"/>
    <n v="715"/>
    <n v="60"/>
    <n v="42.9"/>
    <x v="12"/>
  </r>
  <r>
    <d v="2023-12-18T00:00:00"/>
    <x v="0"/>
    <s v="Жодино"/>
    <s v="Ягоды"/>
    <s v="Малина"/>
    <n v="2970"/>
    <n v="76"/>
    <n v="225.72"/>
    <x v="12"/>
  </r>
  <r>
    <d v="2023-12-18T00:00:00"/>
    <x v="1"/>
    <s v="Минск"/>
    <s v="Зелень"/>
    <s v="Салат римский"/>
    <n v="540"/>
    <n v="19"/>
    <n v="10.26"/>
    <x v="12"/>
  </r>
  <r>
    <d v="2023-12-18T00:00:00"/>
    <x v="0"/>
    <s v="Столбцы"/>
    <s v="Овощи"/>
    <s v="Капуста"/>
    <n v="460"/>
    <n v="26"/>
    <n v="11.96"/>
    <x v="12"/>
  </r>
  <r>
    <d v="2023-12-18T00:00:00"/>
    <x v="2"/>
    <s v="Столбцы"/>
    <s v="Фрукты"/>
    <s v="Сливы"/>
    <n v="930"/>
    <n v="66"/>
    <n v="61.38"/>
    <x v="12"/>
  </r>
  <r>
    <d v="2023-12-18T00:00:00"/>
    <x v="2"/>
    <s v="Столбцы"/>
    <s v="Ягоды"/>
    <s v="Смородина черная"/>
    <n v="1505"/>
    <n v="36"/>
    <n v="54.18"/>
    <x v="12"/>
  </r>
  <r>
    <s v="18.12.2023 Итог"/>
    <x v="3"/>
    <m/>
    <m/>
    <m/>
    <m/>
    <m/>
    <n v="511.52"/>
    <x v="12"/>
  </r>
  <r>
    <d v="2023-12-19T00:00:00"/>
    <x v="0"/>
    <s v="Барановичи"/>
    <s v="Зелень"/>
    <s v="Салат римский"/>
    <n v="540"/>
    <n v="65"/>
    <n v="35.1"/>
    <x v="12"/>
  </r>
  <r>
    <d v="2023-12-19T00:00:00"/>
    <x v="0"/>
    <s v="Барановичи"/>
    <s v="Фрукты"/>
    <s v="Яблоки"/>
    <n v="1230"/>
    <n v="16"/>
    <n v="19.68"/>
    <x v="12"/>
  </r>
  <r>
    <d v="2023-12-19T00:00:00"/>
    <x v="2"/>
    <s v="Барановичи"/>
    <s v="Ягоды"/>
    <s v="Малина"/>
    <n v="2970"/>
    <n v="52"/>
    <n v="154.44"/>
    <x v="12"/>
  </r>
  <r>
    <d v="2023-12-19T00:00:00"/>
    <x v="1"/>
    <s v="Барановичи"/>
    <s v="Ягоды"/>
    <s v="Клубника"/>
    <n v="2460"/>
    <n v="79"/>
    <n v="194.34"/>
    <x v="12"/>
  </r>
  <r>
    <d v="2023-12-19T00:00:00"/>
    <x v="1"/>
    <s v="Борисов"/>
    <s v="Ягоды"/>
    <s v="Черешня"/>
    <n v="1760"/>
    <n v="68"/>
    <n v="119.68"/>
    <x v="12"/>
  </r>
  <r>
    <d v="2023-12-19T00:00:00"/>
    <x v="1"/>
    <s v="Минск"/>
    <s v="Овощи"/>
    <s v="Капуста"/>
    <n v="460"/>
    <n v="57"/>
    <n v="26.22"/>
    <x v="12"/>
  </r>
  <r>
    <d v="2023-12-19T00:00:00"/>
    <x v="4"/>
    <s v="Минск"/>
    <s v="Овощи"/>
    <s v="Кабачки"/>
    <n v="325"/>
    <n v="5"/>
    <n v="1.625"/>
    <x v="12"/>
  </r>
  <r>
    <d v="2023-12-19T00:00:00"/>
    <x v="0"/>
    <s v="Минск"/>
    <s v="Фрукты"/>
    <s v="Абрикосы"/>
    <n v="1320"/>
    <n v="82"/>
    <n v="108.24"/>
    <x v="12"/>
  </r>
  <r>
    <d v="2023-12-19T00:00:00"/>
    <x v="4"/>
    <s v="Столбцы"/>
    <s v="Зелень"/>
    <s v="Петрушка"/>
    <n v="640"/>
    <n v="45"/>
    <n v="28.8"/>
    <x v="12"/>
  </r>
  <r>
    <d v="2023-12-19T00:00:00"/>
    <x v="2"/>
    <s v="Фаниполь"/>
    <s v="Зелень"/>
    <s v="Салат айсберг"/>
    <n v="1380"/>
    <n v="82"/>
    <n v="113.16"/>
    <x v="12"/>
  </r>
  <r>
    <d v="2023-12-19T00:00:00"/>
    <x v="0"/>
    <s v="Фаниполь"/>
    <s v="Зелень"/>
    <s v="Салат римский"/>
    <n v="540"/>
    <n v="70"/>
    <n v="37.799999999999997"/>
    <x v="12"/>
  </r>
  <r>
    <d v="2023-12-19T00:00:00"/>
    <x v="0"/>
    <s v="Фаниполь"/>
    <s v="Фрукты"/>
    <s v="Апельсины"/>
    <n v="2540"/>
    <n v="54"/>
    <n v="137.16"/>
    <x v="12"/>
  </r>
  <r>
    <s v="19.12.2023 Итог"/>
    <x v="3"/>
    <m/>
    <m/>
    <m/>
    <m/>
    <m/>
    <n v="976.24499999999989"/>
    <x v="12"/>
  </r>
  <r>
    <d v="2023-12-20T00:00:00"/>
    <x v="2"/>
    <s v="Борисов"/>
    <s v="Овощи"/>
    <s v="Картофель"/>
    <n v="690"/>
    <n v="51"/>
    <n v="35.19"/>
    <x v="12"/>
  </r>
  <r>
    <d v="2023-12-20T00:00:00"/>
    <x v="0"/>
    <s v="Борисов"/>
    <s v="Фрукты"/>
    <s v="Абрикосы"/>
    <n v="1320"/>
    <n v="84"/>
    <n v="110.88"/>
    <x v="12"/>
  </r>
  <r>
    <d v="2023-12-20T00:00:00"/>
    <x v="1"/>
    <s v="Жодино"/>
    <s v="Ягоды"/>
    <s v="Смородина черная"/>
    <n v="1505"/>
    <n v="45"/>
    <n v="67.724999999999994"/>
    <x v="12"/>
  </r>
  <r>
    <d v="2023-12-20T00:00:00"/>
    <x v="2"/>
    <s v="Минск"/>
    <s v="Овощи"/>
    <s v="Кабачки"/>
    <n v="325"/>
    <n v="15"/>
    <n v="4.875"/>
    <x v="12"/>
  </r>
  <r>
    <d v="2023-12-20T00:00:00"/>
    <x v="0"/>
    <s v="Минск"/>
    <s v="Фрукты"/>
    <s v="Груши"/>
    <n v="1420"/>
    <n v="38"/>
    <n v="53.96"/>
    <x v="12"/>
  </r>
  <r>
    <d v="2023-12-20T00:00:00"/>
    <x v="4"/>
    <s v="Столбцы"/>
    <s v="Зелень"/>
    <s v="Петрушка"/>
    <n v="640"/>
    <n v="45"/>
    <n v="28.8"/>
    <x v="12"/>
  </r>
  <r>
    <d v="2023-12-20T00:00:00"/>
    <x v="4"/>
    <s v="Столбцы"/>
    <s v="Овощи"/>
    <s v="Картофель"/>
    <n v="690"/>
    <n v="27"/>
    <n v="18.63"/>
    <x v="12"/>
  </r>
  <r>
    <d v="2023-12-20T00:00:00"/>
    <x v="2"/>
    <s v="Столбцы"/>
    <s v="Овощи"/>
    <s v="Кабачки"/>
    <n v="325"/>
    <n v="52"/>
    <n v="16.899999999999999"/>
    <x v="12"/>
  </r>
  <r>
    <d v="2023-12-20T00:00:00"/>
    <x v="2"/>
    <s v="Столбцы"/>
    <s v="Фрукты"/>
    <s v="Абрикосы"/>
    <n v="1320"/>
    <n v="42"/>
    <n v="55.44"/>
    <x v="12"/>
  </r>
  <r>
    <d v="2023-12-20T00:00:00"/>
    <x v="2"/>
    <s v="Столбцы"/>
    <s v="Ягоды"/>
    <s v="Смородина черная"/>
    <n v="1505"/>
    <n v="30"/>
    <n v="45.15"/>
    <x v="12"/>
  </r>
  <r>
    <d v="2023-12-20T00:00:00"/>
    <x v="2"/>
    <s v="Фаниполь"/>
    <s v="Овощи"/>
    <s v="Морковь"/>
    <n v="715"/>
    <n v="62"/>
    <n v="44.33"/>
    <x v="12"/>
  </r>
  <r>
    <d v="2023-12-20T00:00:00"/>
    <x v="1"/>
    <s v="Фаниполь"/>
    <s v="Овощи"/>
    <s v="Картофель"/>
    <n v="690"/>
    <n v="71"/>
    <n v="48.99"/>
    <x v="12"/>
  </r>
  <r>
    <d v="2023-12-20T00:00:00"/>
    <x v="0"/>
    <s v="Фаниполь"/>
    <s v="Овощи"/>
    <s v="Баклажаны"/>
    <n v="890"/>
    <n v="27"/>
    <n v="24.03"/>
    <x v="12"/>
  </r>
  <r>
    <s v="20.12.2023 Итог"/>
    <x v="3"/>
    <m/>
    <m/>
    <m/>
    <m/>
    <m/>
    <n v="554.89999999999986"/>
    <x v="12"/>
  </r>
  <r>
    <d v="2023-12-21T00:00:00"/>
    <x v="4"/>
    <s v="Жодино"/>
    <s v="Зелень"/>
    <s v="Лук зеленый"/>
    <n v="705"/>
    <n v="93"/>
    <n v="65.564999999999998"/>
    <x v="12"/>
  </r>
  <r>
    <d v="2023-12-21T00:00:00"/>
    <x v="4"/>
    <s v="Жодино"/>
    <s v="Ягоды"/>
    <s v="Смородина черная"/>
    <n v="1505"/>
    <n v="67"/>
    <n v="100.83499999999999"/>
    <x v="12"/>
  </r>
  <r>
    <d v="2023-12-21T00:00:00"/>
    <x v="1"/>
    <s v="Минск"/>
    <s v="Фрукты"/>
    <s v="Яблоки"/>
    <n v="1230"/>
    <n v="40"/>
    <n v="49.2"/>
    <x v="12"/>
  </r>
  <r>
    <d v="2023-12-21T00:00:00"/>
    <x v="1"/>
    <s v="Фаниполь"/>
    <s v="Зелень"/>
    <s v="Салат айсберг"/>
    <n v="1380"/>
    <n v="34"/>
    <n v="46.92"/>
    <x v="12"/>
  </r>
  <r>
    <d v="2023-12-21T00:00:00"/>
    <x v="0"/>
    <s v="Фаниполь"/>
    <s v="Овощи"/>
    <s v="Кабачки"/>
    <n v="325"/>
    <n v="35"/>
    <n v="11.375"/>
    <x v="12"/>
  </r>
  <r>
    <d v="2023-12-21T00:00:00"/>
    <x v="2"/>
    <s v="Фаниполь"/>
    <s v="Овощи"/>
    <s v="Морковь"/>
    <n v="715"/>
    <n v="12"/>
    <n v="8.58"/>
    <x v="12"/>
  </r>
  <r>
    <s v="21.12.2023 Итог"/>
    <x v="3"/>
    <m/>
    <m/>
    <m/>
    <m/>
    <m/>
    <n v="282.47499999999997"/>
    <x v="12"/>
  </r>
  <r>
    <d v="2023-12-22T00:00:00"/>
    <x v="1"/>
    <s v="Барановичи"/>
    <s v="Овощи"/>
    <s v="Капуста"/>
    <n v="460"/>
    <n v="60"/>
    <n v="27.6"/>
    <x v="12"/>
  </r>
  <r>
    <d v="2023-12-22T00:00:00"/>
    <x v="1"/>
    <s v="Борисов"/>
    <s v="Овощи"/>
    <s v="Свекла"/>
    <n v="450"/>
    <n v="14"/>
    <n v="6.3"/>
    <x v="12"/>
  </r>
  <r>
    <d v="2023-12-22T00:00:00"/>
    <x v="1"/>
    <s v="Жодино"/>
    <s v="Овощи"/>
    <s v="Капуста"/>
    <n v="460"/>
    <n v="23"/>
    <n v="10.58"/>
    <x v="12"/>
  </r>
  <r>
    <d v="2023-12-22T00:00:00"/>
    <x v="0"/>
    <s v="Жодино"/>
    <s v="Ягоды"/>
    <s v="Голубика"/>
    <n v="3205"/>
    <n v="85"/>
    <n v="272.42500000000001"/>
    <x v="12"/>
  </r>
  <r>
    <d v="2023-12-22T00:00:00"/>
    <x v="2"/>
    <s v="Столбцы"/>
    <s v="Зелень"/>
    <s v="Петрушка"/>
    <n v="640"/>
    <n v="22"/>
    <n v="14.08"/>
    <x v="12"/>
  </r>
  <r>
    <d v="2023-12-22T00:00:00"/>
    <x v="2"/>
    <s v="Столбцы"/>
    <s v="Зелень"/>
    <s v="Кинза"/>
    <n v="650"/>
    <n v="54"/>
    <n v="35.1"/>
    <x v="12"/>
  </r>
  <r>
    <d v="2023-12-22T00:00:00"/>
    <x v="0"/>
    <s v="Столбцы"/>
    <s v="Фрукты"/>
    <s v="Сливы"/>
    <n v="930"/>
    <n v="93"/>
    <n v="86.49"/>
    <x v="12"/>
  </r>
  <r>
    <d v="2023-12-22T00:00:00"/>
    <x v="1"/>
    <s v="Фаниполь"/>
    <s v="Зелень"/>
    <s v="Укроп"/>
    <n v="650"/>
    <n v="66"/>
    <n v="42.9"/>
    <x v="12"/>
  </r>
  <r>
    <d v="2023-12-22T00:00:00"/>
    <x v="1"/>
    <s v="Фаниполь"/>
    <s v="Зелень"/>
    <s v="Кинза"/>
    <n v="650"/>
    <n v="50"/>
    <n v="32.5"/>
    <x v="12"/>
  </r>
  <r>
    <d v="2023-12-22T00:00:00"/>
    <x v="2"/>
    <s v="Фаниполь"/>
    <s v="Овощи"/>
    <s v="Морковь"/>
    <n v="715"/>
    <n v="66"/>
    <n v="47.19"/>
    <x v="12"/>
  </r>
  <r>
    <d v="2023-12-22T00:00:00"/>
    <x v="2"/>
    <s v="Фаниполь"/>
    <s v="Ягоды"/>
    <s v="Голубика"/>
    <n v="3205"/>
    <n v="71"/>
    <n v="227.55500000000001"/>
    <x v="12"/>
  </r>
  <r>
    <s v="22.12.2023 Итог"/>
    <x v="3"/>
    <m/>
    <m/>
    <m/>
    <m/>
    <m/>
    <n v="802.72"/>
    <x v="12"/>
  </r>
  <r>
    <d v="2023-12-23T00:00:00"/>
    <x v="2"/>
    <s v="Барановичи"/>
    <s v="Фрукты"/>
    <s v="Яблоки"/>
    <n v="1230"/>
    <n v="37"/>
    <n v="45.51"/>
    <x v="12"/>
  </r>
  <r>
    <d v="2023-12-23T00:00:00"/>
    <x v="0"/>
    <s v="Борисов"/>
    <s v="Зелень"/>
    <s v="Кинза"/>
    <n v="650"/>
    <n v="65"/>
    <n v="42.25"/>
    <x v="12"/>
  </r>
  <r>
    <d v="2023-12-23T00:00:00"/>
    <x v="0"/>
    <s v="Борисов"/>
    <s v="Овощи"/>
    <s v="Морковь"/>
    <n v="715"/>
    <n v="53"/>
    <n v="37.895000000000003"/>
    <x v="12"/>
  </r>
  <r>
    <d v="2023-12-23T00:00:00"/>
    <x v="2"/>
    <s v="Борисов"/>
    <s v="Ягоды"/>
    <s v="Клубника"/>
    <n v="2460"/>
    <n v="24"/>
    <n v="59.04"/>
    <x v="12"/>
  </r>
  <r>
    <d v="2023-12-23T00:00:00"/>
    <x v="1"/>
    <s v="Жодино"/>
    <s v="Овощи"/>
    <s v="Морковь"/>
    <n v="715"/>
    <n v="84"/>
    <n v="60.06"/>
    <x v="12"/>
  </r>
  <r>
    <d v="2023-12-23T00:00:00"/>
    <x v="4"/>
    <s v="Жодино"/>
    <s v="Фрукты"/>
    <s v="Бананы"/>
    <n v="2400"/>
    <n v="87"/>
    <n v="208.8"/>
    <x v="12"/>
  </r>
  <r>
    <d v="2023-12-23T00:00:00"/>
    <x v="0"/>
    <s v="Столбцы"/>
    <s v="Зелень"/>
    <s v="Лук зеленый"/>
    <n v="705"/>
    <n v="15"/>
    <n v="10.574999999999999"/>
    <x v="12"/>
  </r>
  <r>
    <d v="2023-12-23T00:00:00"/>
    <x v="1"/>
    <s v="Столбцы"/>
    <s v="Овощи"/>
    <s v="Капуста"/>
    <n v="460"/>
    <n v="85"/>
    <n v="39.1"/>
    <x v="12"/>
  </r>
  <r>
    <d v="2023-12-23T00:00:00"/>
    <x v="2"/>
    <s v="Столбцы"/>
    <s v="Овощи"/>
    <s v="Морковь"/>
    <n v="715"/>
    <n v="32"/>
    <n v="22.88"/>
    <x v="12"/>
  </r>
  <r>
    <d v="2023-12-23T00:00:00"/>
    <x v="1"/>
    <s v="Столбцы"/>
    <s v="Фрукты"/>
    <s v="Груши"/>
    <n v="1420"/>
    <n v="97"/>
    <n v="137.74"/>
    <x v="12"/>
  </r>
  <r>
    <s v="23.12.2023 Итог"/>
    <x v="3"/>
    <m/>
    <m/>
    <m/>
    <m/>
    <m/>
    <n v="663.85"/>
    <x v="12"/>
  </r>
  <r>
    <d v="2023-12-24T00:00:00"/>
    <x v="0"/>
    <s v="Барановичи"/>
    <s v="Овощи"/>
    <s v="Капуста"/>
    <n v="460"/>
    <n v="69"/>
    <n v="31.74"/>
    <x v="12"/>
  </r>
  <r>
    <d v="2023-12-24T00:00:00"/>
    <x v="0"/>
    <s v="Борисов"/>
    <s v="Зелень"/>
    <s v="Петрушка"/>
    <n v="640"/>
    <n v="24"/>
    <n v="15.36"/>
    <x v="12"/>
  </r>
  <r>
    <d v="2023-12-24T00:00:00"/>
    <x v="2"/>
    <s v="Борисов"/>
    <s v="Зелень"/>
    <s v="Салат айсберг"/>
    <n v="1380"/>
    <n v="61"/>
    <n v="84.18"/>
    <x v="12"/>
  </r>
  <r>
    <d v="2023-12-24T00:00:00"/>
    <x v="0"/>
    <s v="Борисов"/>
    <s v="Ягоды"/>
    <s v="Малина"/>
    <n v="2970"/>
    <n v="42"/>
    <n v="124.74"/>
    <x v="12"/>
  </r>
  <r>
    <d v="2023-12-24T00:00:00"/>
    <x v="0"/>
    <s v="Жодино"/>
    <s v="Фрукты"/>
    <s v="Сливы"/>
    <n v="930"/>
    <n v="38"/>
    <n v="35.340000000000003"/>
    <x v="12"/>
  </r>
  <r>
    <d v="2023-12-24T00:00:00"/>
    <x v="4"/>
    <s v="Минск"/>
    <s v="Овощи"/>
    <s v="Кабачки"/>
    <n v="325"/>
    <n v="81"/>
    <n v="26.324999999999999"/>
    <x v="12"/>
  </r>
  <r>
    <d v="2023-12-24T00:00:00"/>
    <x v="1"/>
    <s v="Столбцы"/>
    <s v="Фрукты"/>
    <s v="Апельсины"/>
    <n v="2540"/>
    <n v="43"/>
    <n v="109.22"/>
    <x v="12"/>
  </r>
  <r>
    <d v="2023-12-24T00:00:00"/>
    <x v="0"/>
    <s v="Столбцы"/>
    <s v="Ягоды"/>
    <s v="Брусника"/>
    <n v="1670"/>
    <n v="6"/>
    <n v="10.02"/>
    <x v="12"/>
  </r>
  <r>
    <d v="2023-12-24T00:00:00"/>
    <x v="0"/>
    <s v="Фаниполь"/>
    <s v="Овощи"/>
    <s v="Баклажаны"/>
    <n v="890"/>
    <n v="97"/>
    <n v="86.33"/>
    <x v="12"/>
  </r>
  <r>
    <d v="2023-12-24T00:00:00"/>
    <x v="1"/>
    <s v="Фаниполь"/>
    <s v="Овощи"/>
    <s v="Морковь"/>
    <n v="715"/>
    <n v="51"/>
    <n v="36.465000000000003"/>
    <x v="12"/>
  </r>
  <r>
    <d v="2023-12-24T00:00:00"/>
    <x v="1"/>
    <s v="Фаниполь"/>
    <s v="Овощи"/>
    <s v="Баклажаны"/>
    <n v="890"/>
    <n v="40"/>
    <n v="35.6"/>
    <x v="12"/>
  </r>
  <r>
    <s v="24.12.2023 Итог"/>
    <x v="3"/>
    <m/>
    <m/>
    <m/>
    <m/>
    <m/>
    <n v="595.32000000000005"/>
    <x v="12"/>
  </r>
  <r>
    <d v="2023-12-25T00:00:00"/>
    <x v="4"/>
    <s v="Барановичи"/>
    <s v="Зелень"/>
    <s v="Кинза"/>
    <n v="650"/>
    <n v="20"/>
    <n v="13"/>
    <x v="12"/>
  </r>
  <r>
    <d v="2023-12-25T00:00:00"/>
    <x v="2"/>
    <s v="Барановичи"/>
    <s v="Зелень"/>
    <s v="Петрушка"/>
    <n v="640"/>
    <n v="96"/>
    <n v="61.44"/>
    <x v="12"/>
  </r>
  <r>
    <d v="2023-12-25T00:00:00"/>
    <x v="4"/>
    <s v="Барановичи"/>
    <s v="Овощи"/>
    <s v="Баклажаны"/>
    <n v="890"/>
    <n v="98"/>
    <n v="87.22"/>
    <x v="12"/>
  </r>
  <r>
    <d v="2023-12-25T00:00:00"/>
    <x v="4"/>
    <s v="Барановичи"/>
    <s v="Овощи"/>
    <s v="Свекла"/>
    <n v="450"/>
    <n v="40"/>
    <n v="18"/>
    <x v="12"/>
  </r>
  <r>
    <d v="2023-12-25T00:00:00"/>
    <x v="2"/>
    <s v="Борисов"/>
    <s v="Овощи"/>
    <s v="Капуста"/>
    <n v="460"/>
    <n v="81"/>
    <n v="37.26"/>
    <x v="12"/>
  </r>
  <r>
    <d v="2023-12-25T00:00:00"/>
    <x v="1"/>
    <s v="Жодино"/>
    <s v="Фрукты"/>
    <s v="Яблоки"/>
    <n v="1230"/>
    <n v="81"/>
    <n v="99.63"/>
    <x v="12"/>
  </r>
  <r>
    <d v="2023-12-25T00:00:00"/>
    <x v="0"/>
    <s v="Фаниполь"/>
    <s v="Овощи"/>
    <s v="Картофель"/>
    <n v="690"/>
    <n v="13"/>
    <n v="8.9700000000000006"/>
    <x v="12"/>
  </r>
  <r>
    <s v="25.12.2023 Итог"/>
    <x v="3"/>
    <m/>
    <m/>
    <m/>
    <m/>
    <m/>
    <n v="325.52"/>
    <x v="12"/>
  </r>
  <r>
    <d v="2023-12-26T00:00:00"/>
    <x v="2"/>
    <s v="Барановичи"/>
    <s v="Овощи"/>
    <s v="Кабачки"/>
    <n v="325"/>
    <n v="85"/>
    <n v="27.625"/>
    <x v="12"/>
  </r>
  <r>
    <d v="2023-12-26T00:00:00"/>
    <x v="0"/>
    <s v="Барановичи"/>
    <s v="Овощи"/>
    <s v="Кабачки"/>
    <n v="325"/>
    <n v="5"/>
    <n v="1.625"/>
    <x v="12"/>
  </r>
  <r>
    <d v="2023-12-26T00:00:00"/>
    <x v="2"/>
    <s v="Барановичи"/>
    <s v="Фрукты"/>
    <s v="Апельсины"/>
    <n v="2540"/>
    <n v="93"/>
    <n v="236.22"/>
    <x v="12"/>
  </r>
  <r>
    <d v="2023-12-26T00:00:00"/>
    <x v="0"/>
    <s v="Барановичи"/>
    <s v="Ягоды"/>
    <s v="Малина"/>
    <n v="2970"/>
    <n v="94"/>
    <n v="279.18"/>
    <x v="12"/>
  </r>
  <r>
    <d v="2023-12-26T00:00:00"/>
    <x v="2"/>
    <s v="Барановичи"/>
    <s v="Ягоды"/>
    <s v="Брусника"/>
    <n v="1670"/>
    <n v="93"/>
    <n v="155.31"/>
    <x v="12"/>
  </r>
  <r>
    <d v="2023-12-26T00:00:00"/>
    <x v="2"/>
    <s v="Борисов"/>
    <s v="Овощи"/>
    <s v="Морковь"/>
    <n v="715"/>
    <n v="57"/>
    <n v="40.755000000000003"/>
    <x v="12"/>
  </r>
  <r>
    <d v="2023-12-26T00:00:00"/>
    <x v="4"/>
    <s v="Борисов"/>
    <s v="Овощи"/>
    <s v="Картофель"/>
    <n v="690"/>
    <n v="61"/>
    <n v="42.09"/>
    <x v="12"/>
  </r>
  <r>
    <d v="2023-12-26T00:00:00"/>
    <x v="1"/>
    <s v="Борисов"/>
    <s v="Овощи"/>
    <s v="Картофель"/>
    <n v="690"/>
    <n v="81"/>
    <n v="55.89"/>
    <x v="12"/>
  </r>
  <r>
    <d v="2023-12-26T00:00:00"/>
    <x v="0"/>
    <s v="Жодино"/>
    <s v="Фрукты"/>
    <s v="Апельсины"/>
    <n v="2540"/>
    <n v="28"/>
    <n v="71.12"/>
    <x v="12"/>
  </r>
  <r>
    <d v="2023-12-26T00:00:00"/>
    <x v="4"/>
    <s v="Столбцы"/>
    <s v="Зелень"/>
    <s v="Петрушка"/>
    <n v="640"/>
    <n v="47"/>
    <n v="30.08"/>
    <x v="12"/>
  </r>
  <r>
    <d v="2023-12-26T00:00:00"/>
    <x v="4"/>
    <s v="Столбцы"/>
    <s v="Зелень"/>
    <s v="Салат айсберг"/>
    <n v="1380"/>
    <n v="19"/>
    <n v="26.22"/>
    <x v="12"/>
  </r>
  <r>
    <d v="2023-12-26T00:00:00"/>
    <x v="2"/>
    <s v="Столбцы"/>
    <s v="Фрукты"/>
    <s v="Бананы"/>
    <n v="2400"/>
    <n v="17"/>
    <n v="40.799999999999997"/>
    <x v="12"/>
  </r>
  <r>
    <d v="2023-12-26T00:00:00"/>
    <x v="1"/>
    <s v="Фаниполь"/>
    <s v="Овощи"/>
    <s v="Свекла"/>
    <n v="450"/>
    <n v="90"/>
    <n v="40.5"/>
    <x v="12"/>
  </r>
  <r>
    <d v="2023-12-26T00:00:00"/>
    <x v="0"/>
    <s v="Фаниполь"/>
    <s v="Ягоды"/>
    <s v="Брусника"/>
    <n v="1670"/>
    <n v="37"/>
    <n v="61.79"/>
    <x v="12"/>
  </r>
  <r>
    <s v="26.12.2023 Итог"/>
    <x v="3"/>
    <m/>
    <m/>
    <m/>
    <m/>
    <m/>
    <n v="1109.2049999999999"/>
    <x v="12"/>
  </r>
  <r>
    <d v="2023-12-27T00:00:00"/>
    <x v="1"/>
    <s v="Барановичи"/>
    <s v="Овощи"/>
    <s v="Кабачки"/>
    <n v="325"/>
    <n v="17"/>
    <n v="5.5250000000000004"/>
    <x v="12"/>
  </r>
  <r>
    <d v="2023-12-27T00:00:00"/>
    <x v="0"/>
    <s v="Барановичи"/>
    <s v="Фрукты"/>
    <s v="Абрикосы"/>
    <n v="1320"/>
    <n v="88"/>
    <n v="116.16"/>
    <x v="12"/>
  </r>
  <r>
    <d v="2023-12-27T00:00:00"/>
    <x v="0"/>
    <s v="Борисов"/>
    <s v="Ягоды"/>
    <s v="Брусника"/>
    <n v="1670"/>
    <n v="99"/>
    <n v="165.33"/>
    <x v="12"/>
  </r>
  <r>
    <d v="2023-12-27T00:00:00"/>
    <x v="2"/>
    <s v="Жодино"/>
    <s v="Овощи"/>
    <s v="Кабачки"/>
    <n v="325"/>
    <n v="55"/>
    <n v="17.875"/>
    <x v="12"/>
  </r>
  <r>
    <d v="2023-12-27T00:00:00"/>
    <x v="2"/>
    <s v="Жодино"/>
    <s v="Ягоды"/>
    <s v="Смородина черная"/>
    <n v="1505"/>
    <n v="92"/>
    <n v="138.46"/>
    <x v="12"/>
  </r>
  <r>
    <d v="2023-12-27T00:00:00"/>
    <x v="4"/>
    <s v="Столбцы"/>
    <s v="Зелень"/>
    <s v="Укроп"/>
    <n v="650"/>
    <n v="88"/>
    <n v="57.2"/>
    <x v="12"/>
  </r>
  <r>
    <d v="2023-12-27T00:00:00"/>
    <x v="2"/>
    <s v="Столбцы"/>
    <s v="Зелень"/>
    <s v="Салат айсберг"/>
    <n v="1380"/>
    <n v="66"/>
    <n v="91.08"/>
    <x v="12"/>
  </r>
  <r>
    <d v="2023-12-27T00:00:00"/>
    <x v="0"/>
    <s v="Столбцы"/>
    <s v="Фрукты"/>
    <s v="Груши"/>
    <n v="1420"/>
    <n v="22"/>
    <n v="31.24"/>
    <x v="12"/>
  </r>
  <r>
    <d v="2023-12-27T00:00:00"/>
    <x v="1"/>
    <s v="Фаниполь"/>
    <s v="Фрукты"/>
    <s v="Груши"/>
    <n v="1420"/>
    <n v="6"/>
    <n v="8.52"/>
    <x v="12"/>
  </r>
  <r>
    <d v="2023-12-27T00:00:00"/>
    <x v="4"/>
    <s v="Фаниполь"/>
    <s v="Ягоды"/>
    <s v="Малина"/>
    <n v="2970"/>
    <n v="94"/>
    <n v="279.18"/>
    <x v="12"/>
  </r>
  <r>
    <s v="27.12.2023 Итог"/>
    <x v="3"/>
    <m/>
    <m/>
    <m/>
    <m/>
    <m/>
    <n v="910.56999999999994"/>
    <x v="12"/>
  </r>
  <r>
    <d v="2023-12-28T00:00:00"/>
    <x v="1"/>
    <s v="Барановичи"/>
    <s v="Зелень"/>
    <s v="Салат римский"/>
    <n v="540"/>
    <n v="56"/>
    <n v="30.24"/>
    <x v="12"/>
  </r>
  <r>
    <d v="2023-12-28T00:00:00"/>
    <x v="1"/>
    <s v="Борисов"/>
    <s v="Зелень"/>
    <s v="Салат айсберг"/>
    <n v="1380"/>
    <n v="61"/>
    <n v="84.18"/>
    <x v="12"/>
  </r>
  <r>
    <d v="2023-12-28T00:00:00"/>
    <x v="1"/>
    <s v="Жодино"/>
    <s v="Зелень"/>
    <s v="Салат римский"/>
    <n v="540"/>
    <n v="5"/>
    <n v="2.7"/>
    <x v="12"/>
  </r>
  <r>
    <d v="2023-12-28T00:00:00"/>
    <x v="4"/>
    <s v="Минск"/>
    <s v="Овощи"/>
    <s v="Капуста"/>
    <n v="460"/>
    <n v="34"/>
    <n v="15.64"/>
    <x v="12"/>
  </r>
  <r>
    <d v="2023-12-28T00:00:00"/>
    <x v="4"/>
    <s v="Минск"/>
    <s v="Овощи"/>
    <s v="Картофель"/>
    <n v="690"/>
    <n v="56"/>
    <n v="38.64"/>
    <x v="12"/>
  </r>
  <r>
    <d v="2023-12-28T00:00:00"/>
    <x v="2"/>
    <s v="Минск"/>
    <s v="Овощи"/>
    <s v="Свекла"/>
    <n v="450"/>
    <n v="50"/>
    <n v="22.5"/>
    <x v="12"/>
  </r>
  <r>
    <d v="2023-12-28T00:00:00"/>
    <x v="0"/>
    <s v="Минск"/>
    <s v="Фрукты"/>
    <s v="Яблоки"/>
    <n v="1230"/>
    <n v="33"/>
    <n v="40.590000000000003"/>
    <x v="12"/>
  </r>
  <r>
    <d v="2023-12-28T00:00:00"/>
    <x v="4"/>
    <s v="Минск"/>
    <s v="Ягоды"/>
    <s v="Клубника"/>
    <n v="2460"/>
    <n v="12"/>
    <n v="29.52"/>
    <x v="12"/>
  </r>
  <r>
    <d v="2023-12-28T00:00:00"/>
    <x v="2"/>
    <s v="Столбцы"/>
    <s v="Зелень"/>
    <s v="Кинза"/>
    <n v="650"/>
    <n v="72"/>
    <n v="46.8"/>
    <x v="12"/>
  </r>
  <r>
    <d v="2023-12-28T00:00:00"/>
    <x v="4"/>
    <s v="Столбцы"/>
    <s v="Овощи"/>
    <s v="Свекла"/>
    <n v="450"/>
    <n v="41"/>
    <n v="18.45"/>
    <x v="12"/>
  </r>
  <r>
    <d v="2023-12-28T00:00:00"/>
    <x v="4"/>
    <s v="Столбцы"/>
    <s v="Фрукты"/>
    <s v="Яблоки"/>
    <n v="1230"/>
    <n v="80"/>
    <n v="98.4"/>
    <x v="12"/>
  </r>
  <r>
    <d v="2023-12-28T00:00:00"/>
    <x v="0"/>
    <s v="Столбцы"/>
    <s v="Фрукты"/>
    <s v="Бананы"/>
    <n v="2400"/>
    <n v="71"/>
    <n v="170.4"/>
    <x v="12"/>
  </r>
  <r>
    <d v="2023-12-28T00:00:00"/>
    <x v="4"/>
    <s v="Столбцы"/>
    <s v="Ягоды"/>
    <s v="Черешня"/>
    <n v="1760"/>
    <n v="54"/>
    <n v="95.04"/>
    <x v="12"/>
  </r>
  <r>
    <d v="2023-12-28T00:00:00"/>
    <x v="0"/>
    <s v="Фаниполь"/>
    <s v="Зелень"/>
    <s v="Лук зеленый"/>
    <n v="705"/>
    <n v="95"/>
    <n v="66.974999999999994"/>
    <x v="12"/>
  </r>
  <r>
    <d v="2023-12-28T00:00:00"/>
    <x v="4"/>
    <s v="Фаниполь"/>
    <s v="Фрукты"/>
    <s v="Абрикосы"/>
    <n v="1320"/>
    <n v="74"/>
    <n v="97.68"/>
    <x v="12"/>
  </r>
  <r>
    <s v="28.12.2023 Итог"/>
    <x v="3"/>
    <m/>
    <m/>
    <m/>
    <m/>
    <m/>
    <n v="857.75499999999988"/>
    <x v="12"/>
  </r>
  <r>
    <d v="2023-12-29T00:00:00"/>
    <x v="0"/>
    <s v="Борисов"/>
    <s v="Зелень"/>
    <s v="Кинза"/>
    <n v="650"/>
    <n v="6"/>
    <n v="3.9"/>
    <x v="12"/>
  </r>
  <r>
    <d v="2023-12-29T00:00:00"/>
    <x v="1"/>
    <s v="Борисов"/>
    <s v="Зелень"/>
    <s v="Салат римский"/>
    <n v="540"/>
    <n v="97"/>
    <n v="52.38"/>
    <x v="12"/>
  </r>
  <r>
    <d v="2023-12-29T00:00:00"/>
    <x v="1"/>
    <s v="Борисов"/>
    <s v="Овощи"/>
    <s v="Морковь"/>
    <n v="715"/>
    <n v="91"/>
    <n v="65.064999999999998"/>
    <x v="12"/>
  </r>
  <r>
    <d v="2023-12-29T00:00:00"/>
    <x v="2"/>
    <s v="Борисов"/>
    <s v="Овощи"/>
    <s v="Свекла"/>
    <n v="450"/>
    <n v="14"/>
    <n v="6.3"/>
    <x v="12"/>
  </r>
  <r>
    <d v="2023-12-29T00:00:00"/>
    <x v="4"/>
    <s v="Жодино"/>
    <s v="Зелень"/>
    <s v="Петрушка"/>
    <n v="640"/>
    <n v="46"/>
    <n v="29.44"/>
    <x v="12"/>
  </r>
  <r>
    <d v="2023-12-29T00:00:00"/>
    <x v="0"/>
    <s v="Жодино"/>
    <s v="Ягоды"/>
    <s v="Голубика"/>
    <n v="3205"/>
    <n v="7"/>
    <n v="22.434999999999999"/>
    <x v="12"/>
  </r>
  <r>
    <d v="2023-12-29T00:00:00"/>
    <x v="4"/>
    <s v="Минск"/>
    <s v="Овощи"/>
    <s v="Баклажаны"/>
    <n v="890"/>
    <n v="76"/>
    <n v="67.64"/>
    <x v="12"/>
  </r>
  <r>
    <d v="2023-12-29T00:00:00"/>
    <x v="0"/>
    <s v="Минск"/>
    <s v="Фрукты"/>
    <s v="Сливы"/>
    <n v="930"/>
    <n v="36"/>
    <n v="33.479999999999997"/>
    <x v="12"/>
  </r>
  <r>
    <d v="2023-12-29T00:00:00"/>
    <x v="2"/>
    <s v="Столбцы"/>
    <s v="Овощи"/>
    <s v="Картофель"/>
    <n v="690"/>
    <n v="15"/>
    <n v="10.35"/>
    <x v="12"/>
  </r>
  <r>
    <d v="2023-12-29T00:00:00"/>
    <x v="2"/>
    <s v="Столбцы"/>
    <s v="Ягоды"/>
    <s v="Голубика"/>
    <n v="3205"/>
    <n v="37"/>
    <n v="118.58499999999999"/>
    <x v="12"/>
  </r>
  <r>
    <d v="2023-12-29T00:00:00"/>
    <x v="2"/>
    <s v="Столбцы"/>
    <s v="Ягоды"/>
    <s v="Малина"/>
    <n v="2970"/>
    <n v="21"/>
    <n v="62.37"/>
    <x v="12"/>
  </r>
  <r>
    <d v="2023-12-29T00:00:00"/>
    <x v="0"/>
    <s v="Фаниполь"/>
    <s v="Фрукты"/>
    <s v="Бананы"/>
    <n v="2400"/>
    <n v="29"/>
    <n v="69.599999999999994"/>
    <x v="12"/>
  </r>
  <r>
    <s v="29.12.2023 Итог"/>
    <x v="3"/>
    <m/>
    <m/>
    <m/>
    <m/>
    <m/>
    <n v="541.54500000000007"/>
    <x v="12"/>
  </r>
  <r>
    <d v="2023-12-30T00:00:00"/>
    <x v="0"/>
    <s v="Барановичи"/>
    <s v="Фрукты"/>
    <s v="Яблоки"/>
    <n v="1230"/>
    <n v="8"/>
    <n v="9.84"/>
    <x v="12"/>
  </r>
  <r>
    <d v="2023-12-30T00:00:00"/>
    <x v="4"/>
    <s v="Барановичи"/>
    <s v="Ягоды"/>
    <s v="Смородина черная"/>
    <n v="1505"/>
    <n v="67"/>
    <n v="100.83499999999999"/>
    <x v="12"/>
  </r>
  <r>
    <d v="2023-12-30T00:00:00"/>
    <x v="2"/>
    <s v="Борисов"/>
    <s v="Фрукты"/>
    <s v="Груши"/>
    <n v="1420"/>
    <n v="46"/>
    <n v="65.319999999999993"/>
    <x v="12"/>
  </r>
  <r>
    <d v="2023-12-30T00:00:00"/>
    <x v="0"/>
    <s v="Борисов"/>
    <s v="Фрукты"/>
    <s v="Абрикосы"/>
    <n v="1320"/>
    <n v="67"/>
    <n v="88.44"/>
    <x v="12"/>
  </r>
  <r>
    <d v="2023-12-30T00:00:00"/>
    <x v="2"/>
    <s v="Жодино"/>
    <s v="Зелень"/>
    <s v="Салат айсберг"/>
    <n v="1380"/>
    <n v="85"/>
    <n v="117.3"/>
    <x v="12"/>
  </r>
  <r>
    <d v="2023-12-30T00:00:00"/>
    <x v="4"/>
    <s v="Жодино"/>
    <s v="Овощи"/>
    <s v="Картофель"/>
    <n v="690"/>
    <n v="34"/>
    <n v="23.46"/>
    <x v="12"/>
  </r>
  <r>
    <d v="2023-12-30T00:00:00"/>
    <x v="0"/>
    <s v="Жодино"/>
    <s v="Фрукты"/>
    <s v="Яблоки"/>
    <n v="1230"/>
    <n v="30"/>
    <n v="36.9"/>
    <x v="12"/>
  </r>
  <r>
    <d v="2023-12-30T00:00:00"/>
    <x v="1"/>
    <s v="Минск"/>
    <s v="Зелень"/>
    <s v="Лук зеленый"/>
    <n v="705"/>
    <n v="93"/>
    <n v="65.564999999999998"/>
    <x v="12"/>
  </r>
  <r>
    <d v="2023-12-30T00:00:00"/>
    <x v="1"/>
    <s v="Столбцы"/>
    <s v="Фрукты"/>
    <s v="Апельсины"/>
    <n v="2540"/>
    <n v="94"/>
    <n v="238.76"/>
    <x v="12"/>
  </r>
  <r>
    <d v="2023-12-30T00:00:00"/>
    <x v="0"/>
    <s v="Столбцы"/>
    <s v="Ягоды"/>
    <s v="Клубника"/>
    <n v="2460"/>
    <n v="16"/>
    <n v="39.36"/>
    <x v="12"/>
  </r>
  <r>
    <s v="30.12.2023 Итог"/>
    <x v="3"/>
    <m/>
    <m/>
    <m/>
    <m/>
    <m/>
    <n v="785.78"/>
    <x v="12"/>
  </r>
  <r>
    <d v="2023-12-31T00:00:00"/>
    <x v="1"/>
    <s v="Барановичи"/>
    <s v="Фрукты"/>
    <s v="Яблоки"/>
    <n v="1230"/>
    <n v="29"/>
    <n v="35.67"/>
    <x v="12"/>
  </r>
  <r>
    <d v="2023-12-31T00:00:00"/>
    <x v="1"/>
    <s v="Борисов"/>
    <s v="Зелень"/>
    <s v="Укроп"/>
    <n v="650"/>
    <n v="56"/>
    <n v="36.4"/>
    <x v="12"/>
  </r>
  <r>
    <d v="2023-12-31T00:00:00"/>
    <x v="1"/>
    <s v="Минск"/>
    <s v="Ягоды"/>
    <s v="Клубника"/>
    <n v="2460"/>
    <n v="19"/>
    <n v="46.74"/>
    <x v="12"/>
  </r>
  <r>
    <d v="2023-12-31T00:00:00"/>
    <x v="1"/>
    <s v="Столбцы"/>
    <s v="Ягоды"/>
    <s v="Клубника"/>
    <n v="2460"/>
    <n v="8"/>
    <n v="19.68"/>
    <x v="12"/>
  </r>
  <r>
    <d v="2023-12-31T00:00:00"/>
    <x v="2"/>
    <s v="Фаниполь"/>
    <s v="Зелень"/>
    <s v="Петрушка"/>
    <n v="640"/>
    <n v="30"/>
    <n v="19.2"/>
    <x v="12"/>
  </r>
  <r>
    <s v="31.12.2023 Итог"/>
    <x v="3"/>
    <m/>
    <m/>
    <m/>
    <m/>
    <m/>
    <n v="157.69"/>
    <x v="12"/>
  </r>
  <r>
    <d v="2025-10-25T00:00:00"/>
    <x v="5"/>
    <s v="Борисов"/>
    <s v="Зелень"/>
    <s v="Лук зеленый"/>
    <n v="7050"/>
    <n v="588"/>
    <n v="4145.3999999999996"/>
    <x v="10"/>
  </r>
  <r>
    <s v="25.10.2025 Итог"/>
    <x v="3"/>
    <m/>
    <m/>
    <m/>
    <m/>
    <m/>
    <n v="4145.3999999999996"/>
    <x v="1"/>
  </r>
  <r>
    <s v="Общий итог"/>
    <x v="3"/>
    <m/>
    <m/>
    <m/>
    <m/>
    <m/>
    <n v="241608.3849999999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32599-9A4A-4094-AF39-DAE131EEE357}" name="Сводная таблица1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F7" firstHeaderRow="0" firstDataRow="1" firstDataCol="1"/>
  <pivotFields count="8">
    <pivotField showAll="0"/>
    <pivotField axis="axisRow" dataField="1" showAll="0">
      <items count="7">
        <item x="4"/>
        <item x="2"/>
        <item x="1"/>
        <item x="5"/>
        <item x="0"/>
        <item h="1" x="3"/>
        <item t="default"/>
      </items>
    </pivotField>
    <pivotField showAll="0">
      <items count="8">
        <item x="3"/>
        <item x="0"/>
        <item x="4"/>
        <item x="1"/>
        <item x="5"/>
        <item x="6"/>
        <item x="2"/>
        <item t="default"/>
      </items>
    </pivotField>
    <pivotField showAll="0"/>
    <pivotField showAll="0"/>
    <pivotField showAll="0"/>
    <pivotField showAll="0"/>
    <pivotField dataField="1" numFmtId="164" showAll="0">
      <items count="1805">
        <item x="611"/>
        <item x="531"/>
        <item x="574"/>
        <item x="1249"/>
        <item x="412"/>
        <item x="881"/>
        <item x="1078"/>
        <item x="1622"/>
        <item x="278"/>
        <item x="438"/>
        <item x="708"/>
        <item x="271"/>
        <item x="1219"/>
        <item x="1006"/>
        <item x="1063"/>
        <item x="342"/>
        <item x="181"/>
        <item x="1071"/>
        <item x="1118"/>
        <item x="1419"/>
        <item x="814"/>
        <item x="407"/>
        <item x="1031"/>
        <item x="862"/>
        <item x="928"/>
        <item x="495"/>
        <item x="1330"/>
        <item x="839"/>
        <item x="1597"/>
        <item x="672"/>
        <item x="148"/>
        <item x="241"/>
        <item x="38"/>
        <item x="279"/>
        <item x="1395"/>
        <item x="398"/>
        <item x="1413"/>
        <item x="683"/>
        <item x="53"/>
        <item x="1518"/>
        <item x="1452"/>
        <item x="24"/>
        <item x="118"/>
        <item x="1772"/>
        <item x="560"/>
        <item x="1210"/>
        <item x="1151"/>
        <item x="1225"/>
        <item x="562"/>
        <item x="1383"/>
        <item x="182"/>
        <item x="421"/>
        <item x="25"/>
        <item x="726"/>
        <item x="303"/>
        <item x="459"/>
        <item x="73"/>
        <item x="513"/>
        <item x="716"/>
        <item x="791"/>
        <item x="1539"/>
        <item x="1712"/>
        <item x="625"/>
        <item x="1034"/>
        <item x="1706"/>
        <item x="1022"/>
        <item x="93"/>
        <item x="116"/>
        <item x="244"/>
        <item x="178"/>
        <item x="1590"/>
        <item x="375"/>
        <item x="170"/>
        <item x="1738"/>
        <item x="528"/>
        <item x="1041"/>
        <item x="1542"/>
        <item x="431"/>
        <item x="63"/>
        <item x="445"/>
        <item x="1011"/>
        <item x="61"/>
        <item x="14"/>
        <item x="665"/>
        <item x="529"/>
        <item x="1531"/>
        <item x="956"/>
        <item x="125"/>
        <item x="1070"/>
        <item x="753"/>
        <item x="470"/>
        <item x="75"/>
        <item x="704"/>
        <item x="857"/>
        <item x="1156"/>
        <item x="1207"/>
        <item x="162"/>
        <item x="1302"/>
        <item x="13"/>
        <item x="1033"/>
        <item x="558"/>
        <item x="308"/>
        <item x="1338"/>
        <item x="1009"/>
        <item x="9"/>
        <item x="673"/>
        <item x="1102"/>
        <item x="1171"/>
        <item x="893"/>
        <item x="986"/>
        <item x="28"/>
        <item x="460"/>
        <item x="51"/>
        <item x="1038"/>
        <item x="1373"/>
        <item x="286"/>
        <item x="1420"/>
        <item x="1092"/>
        <item x="223"/>
        <item x="1177"/>
        <item x="561"/>
        <item x="1130"/>
        <item x="480"/>
        <item x="1146"/>
        <item x="114"/>
        <item x="684"/>
        <item x="260"/>
        <item x="509"/>
        <item x="664"/>
        <item x="992"/>
        <item x="277"/>
        <item x="481"/>
        <item x="1238"/>
        <item x="1216"/>
        <item x="542"/>
        <item x="1163"/>
        <item x="1162"/>
        <item x="1412"/>
        <item x="294"/>
        <item x="735"/>
        <item x="1168"/>
        <item x="1455"/>
        <item x="535"/>
        <item x="957"/>
        <item x="973"/>
        <item x="1447"/>
        <item x="368"/>
        <item x="1559"/>
        <item x="264"/>
        <item x="382"/>
        <item x="974"/>
        <item x="1391"/>
        <item x="856"/>
        <item x="327"/>
        <item x="505"/>
        <item x="496"/>
        <item x="291"/>
        <item x="155"/>
        <item x="904"/>
        <item x="310"/>
        <item x="274"/>
        <item x="1595"/>
        <item x="994"/>
        <item x="1175"/>
        <item x="1284"/>
        <item x="84"/>
        <item x="333"/>
        <item x="1503"/>
        <item x="172"/>
        <item x="154"/>
        <item x="130"/>
        <item x="612"/>
        <item x="522"/>
        <item x="1523"/>
        <item x="1051"/>
        <item x="628"/>
        <item x="1579"/>
        <item x="1578"/>
        <item x="1106"/>
        <item x="671"/>
        <item x="337"/>
        <item x="309"/>
        <item x="681"/>
        <item x="141"/>
        <item x="482"/>
        <item x="1511"/>
        <item x="1408"/>
        <item x="1237"/>
        <item x="357"/>
        <item x="590"/>
        <item x="401"/>
        <item x="324"/>
        <item x="220"/>
        <item x="245"/>
        <item x="370"/>
        <item x="45"/>
        <item x="827"/>
        <item x="1541"/>
        <item x="160"/>
        <item x="1615"/>
        <item x="157"/>
        <item x="325"/>
        <item x="378"/>
        <item x="619"/>
        <item x="1261"/>
        <item x="1077"/>
        <item x="134"/>
        <item x="743"/>
        <item x="1668"/>
        <item x="1076"/>
        <item x="1386"/>
        <item x="202"/>
        <item x="689"/>
        <item x="1000"/>
        <item x="1621"/>
        <item x="208"/>
        <item x="1732"/>
        <item x="924"/>
        <item x="149"/>
        <item x="837"/>
        <item x="275"/>
        <item x="1245"/>
        <item x="1382"/>
        <item x="568"/>
        <item x="1048"/>
        <item x="167"/>
        <item x="695"/>
        <item x="1187"/>
        <item x="772"/>
        <item x="1725"/>
        <item x="1206"/>
        <item x="817"/>
        <item x="383"/>
        <item x="981"/>
        <item x="46"/>
        <item x="361"/>
        <item x="1153"/>
        <item x="1084"/>
        <item x="229"/>
        <item x="191"/>
        <item x="1203"/>
        <item x="1204"/>
        <item x="1354"/>
        <item x="965"/>
        <item x="469"/>
        <item x="1494"/>
        <item x="1232"/>
        <item x="397"/>
        <item x="254"/>
        <item x="1520"/>
        <item x="86"/>
        <item x="4"/>
        <item x="1016"/>
        <item x="313"/>
        <item x="947"/>
        <item x="128"/>
        <item x="1742"/>
        <item x="1184"/>
        <item x="306"/>
        <item x="587"/>
        <item x="1526"/>
        <item x="799"/>
        <item x="120"/>
        <item x="1436"/>
        <item x="1066"/>
        <item x="812"/>
        <item x="78"/>
        <item x="237"/>
        <item x="1329"/>
        <item x="1461"/>
        <item x="177"/>
        <item x="184"/>
        <item x="230"/>
        <item x="1514"/>
        <item x="1657"/>
        <item x="506"/>
        <item x="360"/>
        <item x="387"/>
        <item x="1635"/>
        <item x="225"/>
        <item x="800"/>
        <item x="64"/>
        <item x="253"/>
        <item x="199"/>
        <item x="533"/>
        <item x="615"/>
        <item x="48"/>
        <item x="543"/>
        <item x="1062"/>
        <item x="1794"/>
        <item x="659"/>
        <item x="106"/>
        <item x="940"/>
        <item x="1487"/>
        <item x="1745"/>
        <item x="1653"/>
        <item x="1515"/>
        <item x="1256"/>
        <item x="1484"/>
        <item x="350"/>
        <item x="458"/>
        <item x="1470"/>
        <item x="512"/>
        <item x="1290"/>
        <item x="29"/>
        <item x="1460"/>
        <item x="212"/>
        <item x="58"/>
        <item x="1025"/>
        <item x="756"/>
        <item x="450"/>
        <item x="548"/>
        <item x="1730"/>
        <item x="1117"/>
        <item x="1254"/>
        <item x="999"/>
        <item x="1695"/>
        <item x="1259"/>
        <item x="287"/>
        <item x="1375"/>
        <item x="22"/>
        <item x="65"/>
        <item x="269"/>
        <item x="104"/>
        <item x="1697"/>
        <item x="1699"/>
        <item x="864"/>
        <item x="1272"/>
        <item x="1478"/>
        <item x="573"/>
        <item x="418"/>
        <item x="200"/>
        <item x="546"/>
        <item x="768"/>
        <item x="1488"/>
        <item x="715"/>
        <item x="750"/>
        <item x="830"/>
        <item x="641"/>
        <item x="490"/>
        <item x="847"/>
        <item x="676"/>
        <item x="427"/>
        <item x="1114"/>
        <item x="1537"/>
        <item x="1099"/>
        <item x="1744"/>
        <item x="364"/>
        <item x="376"/>
        <item x="1698"/>
        <item x="620"/>
        <item x="217"/>
        <item x="190"/>
        <item x="257"/>
        <item x="885"/>
        <item x="645"/>
        <item x="239"/>
        <item x="1427"/>
        <item x="379"/>
        <item x="1258"/>
        <item x="961"/>
        <item x="1113"/>
        <item x="638"/>
        <item x="1394"/>
        <item x="951"/>
        <item x="1737"/>
        <item x="131"/>
        <item x="840"/>
        <item x="189"/>
        <item x="631"/>
        <item x="1612"/>
        <item x="1307"/>
        <item x="117"/>
        <item x="745"/>
        <item x="762"/>
        <item x="1474"/>
        <item x="33"/>
        <item x="1046"/>
        <item x="1131"/>
        <item x="650"/>
        <item x="654"/>
        <item x="1399"/>
        <item x="1121"/>
        <item x="1340"/>
        <item x="738"/>
        <item x="657"/>
        <item x="426"/>
        <item x="1654"/>
        <item x="945"/>
        <item x="853"/>
        <item x="1288"/>
        <item x="242"/>
        <item x="1429"/>
        <item x="1560"/>
        <item x="1469"/>
        <item x="266"/>
        <item x="554"/>
        <item x="1023"/>
        <item x="789"/>
        <item x="1093"/>
        <item x="633"/>
        <item x="582"/>
        <item x="600"/>
        <item x="1544"/>
        <item x="1125"/>
        <item x="851"/>
        <item x="227"/>
        <item x="1371"/>
        <item x="667"/>
        <item x="1604"/>
        <item x="1368"/>
        <item x="968"/>
        <item x="1788"/>
        <item x="72"/>
        <item x="1426"/>
        <item x="1656"/>
        <item x="1309"/>
        <item x="472"/>
        <item x="938"/>
        <item x="1643"/>
        <item x="145"/>
        <item x="1091"/>
        <item x="1667"/>
        <item x="1336"/>
        <item x="385"/>
        <item x="1538"/>
        <item x="17"/>
        <item x="447"/>
        <item x="1437"/>
        <item x="1295"/>
        <item x="746"/>
        <item x="785"/>
        <item x="27"/>
        <item x="653"/>
        <item x="1042"/>
        <item x="1441"/>
        <item x="610"/>
        <item x="163"/>
        <item x="449"/>
        <item x="1190"/>
        <item x="108"/>
        <item x="1191"/>
        <item x="365"/>
        <item x="1411"/>
        <item x="807"/>
        <item x="1326"/>
        <item x="1007"/>
        <item x="816"/>
        <item x="392"/>
        <item x="993"/>
        <item x="692"/>
        <item x="408"/>
        <item x="878"/>
        <item x="1529"/>
        <item x="81"/>
        <item x="622"/>
        <item x="1250"/>
        <item x="441"/>
        <item x="1170"/>
        <item x="516"/>
        <item x="1318"/>
        <item x="67"/>
        <item x="124"/>
        <item x="787"/>
        <item x="206"/>
        <item x="868"/>
        <item x="1566"/>
        <item x="1346"/>
        <item x="714"/>
        <item x="256"/>
        <item x="636"/>
        <item x="1074"/>
        <item x="711"/>
        <item x="1417"/>
        <item x="570"/>
        <item x="406"/>
        <item x="555"/>
        <item x="782"/>
        <item x="1057"/>
        <item x="332"/>
        <item x="1466"/>
        <item x="637"/>
        <item x="466"/>
        <item x="917"/>
        <item x="158"/>
        <item x="228"/>
        <item x="1760"/>
        <item x="1017"/>
        <item x="661"/>
        <item x="280"/>
        <item x="1513"/>
        <item x="393"/>
        <item x="1512"/>
        <item x="877"/>
        <item x="577"/>
        <item x="719"/>
        <item x="677"/>
        <item x="1294"/>
        <item x="690"/>
        <item x="416"/>
        <item x="770"/>
        <item x="302"/>
        <item x="1069"/>
        <item x="1800"/>
        <item x="519"/>
        <item x="395"/>
        <item x="349"/>
        <item x="547"/>
        <item x="60"/>
        <item x="1533"/>
        <item x="467"/>
        <item x="1214"/>
        <item x="597"/>
        <item x="1584"/>
        <item x="1671"/>
        <item x="372"/>
        <item x="1"/>
        <item x="1634"/>
        <item x="213"/>
        <item x="173"/>
        <item x="1142"/>
        <item x="511"/>
        <item x="1764"/>
        <item x="1777"/>
        <item x="818"/>
        <item x="248"/>
        <item x="1243"/>
        <item x="796"/>
        <item x="8"/>
        <item x="588"/>
        <item x="907"/>
        <item x="434"/>
        <item x="1568"/>
        <item x="193"/>
        <item x="1619"/>
        <item x="1379"/>
        <item x="603"/>
        <item x="471"/>
        <item x="984"/>
        <item x="624"/>
        <item x="1528"/>
        <item x="488"/>
        <item x="1780"/>
        <item x="903"/>
        <item x="1195"/>
        <item x="1625"/>
        <item x="1278"/>
        <item x="581"/>
        <item x="44"/>
        <item x="1109"/>
        <item x="425"/>
        <item x="795"/>
        <item x="1415"/>
        <item x="477"/>
        <item x="1058"/>
        <item x="215"/>
        <item x="319"/>
        <item x="1019"/>
        <item x="205"/>
        <item x="699"/>
        <item x="1581"/>
        <item x="539"/>
        <item x="1789"/>
        <item x="233"/>
        <item x="919"/>
        <item x="1787"/>
        <item x="1196"/>
        <item x="1086"/>
        <item x="36"/>
        <item x="402"/>
        <item x="175"/>
        <item x="709"/>
        <item x="849"/>
        <item x="356"/>
        <item x="1304"/>
        <item x="52"/>
        <item x="417"/>
        <item x="15"/>
        <item x="1134"/>
        <item x="1157"/>
        <item x="187"/>
        <item x="1687"/>
        <item x="820"/>
        <item x="838"/>
        <item x="941"/>
        <item x="1594"/>
        <item x="409"/>
        <item x="11"/>
        <item x="1776"/>
        <item x="1509"/>
        <item x="1627"/>
        <item x="1532"/>
        <item x="62"/>
        <item x="594"/>
        <item x="1731"/>
        <item x="224"/>
        <item x="353"/>
        <item x="504"/>
        <item x="1358"/>
        <item x="20"/>
        <item x="140"/>
        <item x="1721"/>
        <item x="530"/>
        <item x="498"/>
        <item x="451"/>
        <item x="763"/>
        <item x="1701"/>
        <item x="321"/>
        <item x="713"/>
        <item x="915"/>
        <item x="1323"/>
        <item x="352"/>
        <item x="929"/>
        <item x="797"/>
        <item x="267"/>
        <item x="1044"/>
        <item x="42"/>
        <item x="1389"/>
        <item x="916"/>
        <item x="414"/>
        <item x="1549"/>
        <item x="1565"/>
        <item x="103"/>
        <item x="629"/>
        <item x="317"/>
        <item x="1642"/>
        <item x="1709"/>
        <item x="97"/>
        <item x="1768"/>
        <item x="773"/>
        <item x="487"/>
        <item x="1208"/>
        <item x="1332"/>
        <item x="744"/>
        <item x="899"/>
        <item x="185"/>
        <item x="1351"/>
        <item x="1648"/>
        <item x="559"/>
        <item x="6"/>
        <item x="161"/>
        <item x="1145"/>
        <item x="1571"/>
        <item x="433"/>
        <item x="1606"/>
        <item x="143"/>
        <item x="374"/>
        <item x="1047"/>
        <item x="1491"/>
        <item x="925"/>
        <item x="767"/>
        <item x="180"/>
        <item x="1456"/>
        <item x="1773"/>
        <item x="318"/>
        <item x="430"/>
        <item x="644"/>
        <item x="413"/>
        <item x="422"/>
        <item x="23"/>
        <item x="10"/>
        <item x="77"/>
        <item x="607"/>
        <item x="273"/>
        <item x="1253"/>
        <item x="1004"/>
        <item x="922"/>
        <item x="1262"/>
        <item x="455"/>
        <item x="1182"/>
        <item x="1507"/>
        <item x="1376"/>
        <item x="1416"/>
        <item x="494"/>
        <item x="359"/>
        <item x="1101"/>
        <item x="1015"/>
        <item x="369"/>
        <item x="297"/>
        <item x="810"/>
        <item x="1298"/>
        <item x="1045"/>
        <item x="1570"/>
        <item x="1100"/>
        <item x="1629"/>
        <item x="652"/>
        <item x="1213"/>
        <item x="101"/>
        <item x="1052"/>
        <item x="955"/>
        <item x="724"/>
        <item x="249"/>
        <item x="222"/>
        <item x="1280"/>
        <item x="270"/>
        <item x="1722"/>
        <item x="262"/>
        <item x="674"/>
        <item x="805"/>
        <item x="1233"/>
        <item x="1645"/>
        <item x="623"/>
        <item x="1588"/>
        <item x="930"/>
        <item x="1685"/>
        <item x="1362"/>
        <item x="1649"/>
        <item x="1029"/>
        <item x="972"/>
        <item x="211"/>
        <item x="282"/>
        <item x="1572"/>
        <item x="960"/>
        <item x="276"/>
        <item x="1690"/>
        <item x="1040"/>
        <item x="94"/>
        <item x="136"/>
        <item x="1652"/>
        <item x="526"/>
        <item x="1525"/>
        <item x="658"/>
        <item x="987"/>
        <item x="804"/>
        <item x="760"/>
        <item x="37"/>
        <item x="1504"/>
        <item x="197"/>
        <item x="1352"/>
        <item x="442"/>
        <item x="1767"/>
        <item x="995"/>
        <item x="142"/>
        <item x="483"/>
        <item x="1199"/>
        <item x="1273"/>
        <item x="946"/>
        <item x="608"/>
        <item x="35"/>
        <item x="1167"/>
        <item x="747"/>
        <item x="717"/>
        <item x="1108"/>
        <item x="1377"/>
        <item x="985"/>
        <item x="39"/>
        <item x="882"/>
        <item x="766"/>
        <item x="1140"/>
        <item x="1716"/>
        <item x="285"/>
        <item x="99"/>
        <item x="1602"/>
        <item x="567"/>
        <item x="1072"/>
        <item x="1322"/>
        <item x="429"/>
        <item x="1361"/>
        <item x="844"/>
        <item x="240"/>
        <item x="614"/>
        <item x="556"/>
        <item x="351"/>
        <item x="537"/>
        <item x="963"/>
        <item x="880"/>
        <item x="179"/>
        <item x="83"/>
        <item x="605"/>
        <item x="688"/>
        <item x="700"/>
        <item x="218"/>
        <item x="1554"/>
        <item x="69"/>
        <item x="660"/>
        <item x="1424"/>
        <item x="1152"/>
        <item x="550"/>
        <item x="226"/>
        <item x="1221"/>
        <item x="1349"/>
        <item x="842"/>
        <item x="627"/>
        <item x="334"/>
        <item x="1239"/>
        <item x="1271"/>
        <item x="1096"/>
        <item x="1472"/>
        <item x="147"/>
        <item x="523"/>
        <item x="12"/>
        <item x="457"/>
        <item x="1123"/>
        <item x="1707"/>
        <item x="174"/>
        <item x="776"/>
        <item x="1319"/>
        <item x="565"/>
        <item x="156"/>
        <item x="1778"/>
        <item x="500"/>
        <item x="1226"/>
        <item x="1755"/>
        <item x="875"/>
        <item x="866"/>
        <item x="586"/>
        <item x="1103"/>
        <item x="493"/>
        <item x="829"/>
        <item x="777"/>
        <item x="1759"/>
        <item x="1012"/>
        <item x="1783"/>
        <item x="1616"/>
        <item x="1217"/>
        <item x="1089"/>
        <item x="1587"/>
        <item x="265"/>
        <item x="541"/>
        <item x="1090"/>
        <item x="1193"/>
        <item x="79"/>
        <item x="578"/>
        <item x="668"/>
        <item x="1796"/>
        <item x="423"/>
        <item x="1270"/>
        <item x="649"/>
        <item x="1257"/>
        <item x="251"/>
        <item x="1174"/>
        <item x="1013"/>
        <item x="391"/>
        <item x="1141"/>
        <item x="936"/>
        <item x="1201"/>
        <item x="203"/>
        <item x="85"/>
        <item x="1275"/>
        <item x="982"/>
        <item x="833"/>
        <item x="1312"/>
        <item x="1422"/>
        <item x="630"/>
        <item x="1137"/>
        <item x="221"/>
        <item x="825"/>
        <item x="261"/>
        <item x="725"/>
        <item x="752"/>
        <item x="599"/>
        <item x="2"/>
        <item x="298"/>
        <item x="1223"/>
        <item x="843"/>
        <item x="1172"/>
        <item x="1021"/>
        <item x="1770"/>
        <item x="824"/>
        <item x="137"/>
        <item x="1609"/>
        <item x="912"/>
        <item x="1104"/>
        <item x="210"/>
        <item x="247"/>
        <item x="1677"/>
        <item x="54"/>
        <item x="112"/>
        <item x="538"/>
        <item x="90"/>
        <item x="1748"/>
        <item x="21"/>
        <item x="320"/>
        <item x="757"/>
        <item x="691"/>
        <item x="1496"/>
        <item x="891"/>
        <item x="1345"/>
        <item x="1500"/>
        <item x="879"/>
        <item x="834"/>
        <item x="1344"/>
        <item x="1265"/>
        <item x="1444"/>
        <item x="168"/>
        <item x="1179"/>
        <item x="707"/>
        <item x="1269"/>
        <item x="1068"/>
        <item x="748"/>
        <item x="1552"/>
        <item x="1611"/>
        <item x="1459"/>
        <item x="1054"/>
        <item x="68"/>
        <item x="801"/>
        <item x="311"/>
        <item x="1136"/>
        <item x="1506"/>
        <item x="1637"/>
        <item x="1715"/>
        <item x="821"/>
        <item x="26"/>
        <item x="613"/>
        <item x="1640"/>
        <item x="474"/>
        <item x="363"/>
        <item x="874"/>
        <item x="571"/>
        <item x="1710"/>
        <item x="774"/>
        <item x="1279"/>
        <item x="734"/>
        <item x="288"/>
        <item x="1014"/>
        <item x="358"/>
        <item x="1435"/>
        <item x="886"/>
        <item x="621"/>
        <item x="1342"/>
        <item x="1576"/>
        <item x="1497"/>
        <item x="575"/>
        <item x="991"/>
        <item x="186"/>
        <item x="1758"/>
        <item x="544"/>
        <item x="464"/>
        <item x="411"/>
        <item x="1374"/>
        <item x="1127"/>
        <item x="1266"/>
        <item x="1143"/>
        <item x="997"/>
        <item x="771"/>
        <item x="1234"/>
        <item x="88"/>
        <item x="651"/>
        <item x="1282"/>
        <item x="478"/>
        <item x="867"/>
        <item x="1505"/>
        <item x="892"/>
        <item x="527"/>
        <item x="499"/>
        <item x="219"/>
        <item x="909"/>
        <item x="1339"/>
        <item x="138"/>
        <item x="786"/>
        <item x="890"/>
        <item x="424"/>
        <item x="1396"/>
        <item x="30"/>
        <item x="678"/>
        <item x="235"/>
        <item x="5"/>
        <item x="618"/>
        <item x="1550"/>
        <item x="836"/>
        <item x="1573"/>
        <item x="576"/>
        <item x="1350"/>
        <item x="819"/>
        <item x="1267"/>
        <item x="942"/>
        <item x="377"/>
        <item x="1498"/>
        <item x="194"/>
        <item x="1714"/>
        <item x="1347"/>
        <item x="1583"/>
        <item x="111"/>
        <item x="16"/>
        <item x="146"/>
        <item x="595"/>
        <item x="888"/>
        <item x="1180"/>
        <item x="729"/>
        <item x="238"/>
        <item x="1111"/>
        <item x="166"/>
        <item x="281"/>
        <item x="687"/>
        <item x="446"/>
        <item x="1703"/>
        <item x="49"/>
        <item x="390"/>
        <item x="617"/>
        <item x="432"/>
        <item x="1037"/>
        <item x="1438"/>
        <item x="733"/>
        <item x="345"/>
        <item x="1075"/>
        <item x="1388"/>
        <item x="315"/>
        <item x="399"/>
        <item x="1020"/>
        <item x="1008"/>
        <item x="1479"/>
        <item x="340"/>
        <item x="1064"/>
        <item x="501"/>
        <item x="329"/>
        <item x="1148"/>
        <item x="1784"/>
        <item x="91"/>
        <item x="634"/>
        <item x="362"/>
        <item x="1692"/>
        <item x="679"/>
        <item x="872"/>
        <item x="1798"/>
        <item x="1244"/>
        <item x="272"/>
        <item x="754"/>
        <item x="604"/>
        <item x="1200"/>
        <item x="1305"/>
        <item x="347"/>
        <item x="1705"/>
        <item x="1366"/>
        <item x="336"/>
        <item x="596"/>
        <item x="1623"/>
        <item x="40"/>
        <item x="105"/>
        <item x="845"/>
        <item x="1299"/>
        <item x="520"/>
        <item x="1198"/>
        <item x="1161"/>
        <item x="958"/>
        <item x="905"/>
        <item x="579"/>
        <item x="918"/>
        <item x="1682"/>
        <item x="381"/>
        <item x="865"/>
        <item x="485"/>
        <item x="860"/>
        <item x="115"/>
        <item x="721"/>
        <item x="300"/>
        <item x="855"/>
        <item x="1516"/>
        <item x="1381"/>
        <item x="476"/>
        <item x="740"/>
        <item x="906"/>
        <item x="1301"/>
        <item x="255"/>
        <item x="1055"/>
        <item x="443"/>
        <item x="405"/>
        <item x="1646"/>
        <item x="808"/>
        <item x="1483"/>
        <item x="911"/>
        <item x="92"/>
        <item x="549"/>
        <item x="1264"/>
        <item x="861"/>
        <item x="373"/>
        <item x="1718"/>
        <item x="759"/>
        <item x="647"/>
        <item x="783"/>
        <item x="1220"/>
        <item x="1065"/>
        <item x="831"/>
        <item x="1097"/>
        <item x="755"/>
        <item x="473"/>
        <item x="1079"/>
        <item x="602"/>
        <item x="1674"/>
        <item x="47"/>
        <item x="854"/>
        <item x="978"/>
        <item x="926"/>
        <item x="640"/>
        <item x="448"/>
        <item x="32"/>
        <item x="1183"/>
        <item x="150"/>
        <item x="1562"/>
        <item x="792"/>
        <item x="307"/>
        <item x="384"/>
        <item x="183"/>
        <item x="591"/>
        <item x="769"/>
        <item x="465"/>
        <item x="232"/>
        <item x="884"/>
        <item x="931"/>
        <item x="1458"/>
        <item x="889"/>
        <item x="1164"/>
        <item x="56"/>
        <item x="1356"/>
        <item x="456"/>
        <item x="439"/>
        <item x="1749"/>
        <item x="971"/>
        <item x="1082"/>
        <item x="1402"/>
        <item x="463"/>
        <item x="1421"/>
        <item x="354"/>
        <item x="1397"/>
        <item x="1087"/>
        <item x="415"/>
        <item x="898"/>
        <item x="95"/>
        <item x="731"/>
        <item x="1053"/>
        <item x="696"/>
        <item x="339"/>
        <item x="1592"/>
        <item x="1236"/>
        <item x="305"/>
        <item x="1599"/>
        <item x="1227"/>
        <item x="440"/>
        <item x="592"/>
        <item x="1094"/>
        <item x="921"/>
        <item x="1410"/>
        <item x="826"/>
        <item x="1451"/>
        <item x="1311"/>
        <item x="1147"/>
        <item x="939"/>
        <item x="525"/>
        <item x="252"/>
        <item x="778"/>
        <item x="967"/>
        <item x="1577"/>
        <item x="732"/>
        <item x="1385"/>
        <item x="1083"/>
        <item x="338"/>
        <item x="1276"/>
        <item x="632"/>
        <item x="461"/>
        <item x="669"/>
        <item x="102"/>
        <item x="806"/>
        <item x="702"/>
        <item x="779"/>
        <item x="701"/>
        <item x="1241"/>
        <item x="491"/>
        <item x="811"/>
        <item x="1795"/>
        <item x="932"/>
        <item x="76"/>
        <item x="1673"/>
        <item x="216"/>
        <item x="1482"/>
        <item x="514"/>
        <item x="1763"/>
        <item x="1116"/>
        <item x="521"/>
        <item x="195"/>
        <item x="910"/>
        <item x="1173"/>
        <item x="666"/>
        <item x="935"/>
        <item x="326"/>
        <item x="201"/>
        <item x="1327"/>
        <item x="706"/>
        <item x="900"/>
        <item x="152"/>
        <item x="121"/>
        <item x="1367"/>
        <item x="284"/>
        <item x="1754"/>
        <item x="1122"/>
        <item x="1600"/>
        <item x="739"/>
        <item x="583"/>
        <item x="510"/>
        <item x="580"/>
        <item x="1567"/>
        <item x="444"/>
        <item x="1158"/>
        <item x="1166"/>
        <item x="295"/>
        <item x="655"/>
        <item x="585"/>
        <item x="107"/>
        <item x="933"/>
        <item x="403"/>
        <item x="1231"/>
        <item x="1392"/>
        <item x="736"/>
        <item x="1465"/>
        <item x="144"/>
        <item x="289"/>
        <item x="1132"/>
        <item x="902"/>
        <item x="396"/>
        <item x="1308"/>
        <item x="1489"/>
        <item x="1321"/>
        <item x="682"/>
        <item x="1317"/>
        <item x="720"/>
        <item x="1524"/>
        <item x="508"/>
        <item x="566"/>
        <item x="484"/>
        <item x="741"/>
        <item x="662"/>
        <item x="1325"/>
        <item x="764"/>
        <item x="524"/>
        <item x="1032"/>
        <item x="894"/>
        <item x="1492"/>
        <item x="563"/>
        <item x="1364"/>
        <item x="572"/>
        <item x="475"/>
        <item x="784"/>
        <item x="1061"/>
        <item x="1608"/>
        <item x="82"/>
        <item x="642"/>
        <item x="1401"/>
        <item x="366"/>
        <item x="1624"/>
        <item x="1717"/>
        <item x="551"/>
        <item x="209"/>
        <item x="1557"/>
        <item x="1212"/>
        <item x="410"/>
        <item x="1291"/>
        <item x="1765"/>
        <item x="70"/>
        <item x="159"/>
        <item x="949"/>
        <item x="1400"/>
        <item x="1480"/>
        <item x="710"/>
        <item x="462"/>
        <item x="1129"/>
        <item x="207"/>
        <item x="1449"/>
        <item x="1431"/>
        <item x="71"/>
        <item x="693"/>
        <item x="234"/>
        <item x="871"/>
        <item x="1154"/>
        <item x="1027"/>
        <item x="976"/>
        <item x="127"/>
        <item x="296"/>
        <item x="18"/>
        <item x="1639"/>
        <item x="1585"/>
        <item x="953"/>
        <item x="852"/>
        <item x="400"/>
        <item x="1002"/>
        <item x="1252"/>
        <item x="1446"/>
        <item x="685"/>
        <item x="896"/>
        <item x="1378"/>
        <item x="1555"/>
        <item x="371"/>
        <item x="979"/>
        <item x="802"/>
        <item x="7"/>
        <item x="452"/>
        <item x="1661"/>
        <item x="502"/>
        <item x="1024"/>
        <item x="920"/>
        <item x="165"/>
        <item x="1471"/>
        <item x="846"/>
        <item x="132"/>
        <item x="1663"/>
        <item x="1110"/>
        <item x="1423"/>
        <item x="859"/>
        <item x="1545"/>
        <item x="346"/>
        <item x="990"/>
        <item x="453"/>
        <item x="290"/>
        <item x="1359"/>
        <item x="1618"/>
        <item x="1463"/>
        <item x="246"/>
        <item x="479"/>
        <item x="1739"/>
        <item x="1801"/>
        <item x="1405"/>
        <item x="643"/>
        <item x="1693"/>
        <item x="703"/>
        <item x="1228"/>
        <item x="394"/>
        <item x="1665"/>
        <item x="59"/>
        <item x="176"/>
        <item x="122"/>
        <item x="1370"/>
        <item x="123"/>
        <item x="1433"/>
        <item x="815"/>
        <item x="34"/>
        <item x="292"/>
        <item x="293"/>
        <item x="1343"/>
        <item x="1355"/>
        <item x="243"/>
        <item x="1363"/>
        <item x="1211"/>
        <item x="1296"/>
        <item x="330"/>
        <item x="1197"/>
        <item x="1128"/>
        <item x="1589"/>
        <item x="192"/>
        <item x="1563"/>
        <item x="1792"/>
        <item x="96"/>
        <item x="74"/>
        <item x="536"/>
        <item x="832"/>
        <item x="727"/>
        <item x="133"/>
        <item x="386"/>
        <item x="1188"/>
        <item x="598"/>
        <item x="1268"/>
        <item x="1613"/>
        <item x="1286"/>
        <item x="970"/>
        <item x="823"/>
        <item x="87"/>
        <item x="312"/>
        <item x="126"/>
        <item x="897"/>
        <item x="848"/>
        <item x="1059"/>
        <item x="1292"/>
        <item x="722"/>
        <item x="1080"/>
        <item x="1119"/>
        <item x="436"/>
        <item x="323"/>
        <item x="1547"/>
        <item x="552"/>
        <item x="109"/>
        <item x="428"/>
        <item x="98"/>
        <item x="380"/>
        <item x="1135"/>
        <item x="1593"/>
        <item x="1688"/>
        <item x="589"/>
        <item x="1662"/>
        <item x="781"/>
        <item x="1430"/>
        <item x="944"/>
        <item x="1285"/>
        <item x="1669"/>
        <item x="728"/>
        <item x="1691"/>
        <item x="1683"/>
        <item x="793"/>
        <item x="1036"/>
        <item x="914"/>
        <item x="1486"/>
        <item x="1728"/>
        <item x="1743"/>
        <item x="1316"/>
        <item x="564"/>
        <item x="1313"/>
        <item x="258"/>
        <item x="263"/>
        <item x="1407"/>
        <item x="1779"/>
        <item x="1753"/>
        <item x="1035"/>
        <item x="1160"/>
        <item x="507"/>
        <item x="492"/>
        <item x="1747"/>
        <item x="1724"/>
        <item x="435"/>
        <item x="1658"/>
        <item x="113"/>
        <item x="1536"/>
        <item x="188"/>
        <item x="1628"/>
        <item x="962"/>
        <item x="343"/>
        <item x="153"/>
        <item x="718"/>
        <item x="1149"/>
        <item x="1510"/>
        <item x="314"/>
        <item x="1085"/>
        <item x="1287"/>
        <item x="344"/>
        <item x="331"/>
        <item x="869"/>
        <item x="1774"/>
        <item x="952"/>
        <item x="515"/>
        <item x="1404"/>
        <item x="1281"/>
        <item x="322"/>
        <item x="1107"/>
        <item x="697"/>
        <item x="532"/>
        <item x="1729"/>
        <item x="1328"/>
        <item x="204"/>
        <item x="348"/>
        <item x="1720"/>
        <item x="419"/>
        <item x="557"/>
        <item x="1644"/>
        <item x="41"/>
        <item x="996"/>
        <item x="1230"/>
        <item x="196"/>
        <item x="518"/>
        <item x="335"/>
        <item x="489"/>
        <item x="388"/>
        <item x="55"/>
        <item x="1003"/>
        <item x="1246"/>
        <item x="1630"/>
        <item x="0"/>
        <item x="977"/>
        <item x="304"/>
        <item x="646"/>
        <item x="1159"/>
        <item x="1335"/>
        <item x="1713"/>
        <item x="545"/>
        <item x="1334"/>
        <item x="540"/>
        <item x="1468"/>
        <item x="231"/>
        <item x="606"/>
        <item x="1248"/>
        <item x="1561"/>
        <item x="1439"/>
        <item x="1680"/>
        <item x="966"/>
        <item x="299"/>
        <item x="675"/>
        <item x="1751"/>
        <item x="164"/>
        <item x="1432"/>
        <item x="1786"/>
        <item x="1306"/>
        <item x="1178"/>
        <item x="1189"/>
        <item x="1771"/>
        <item x="883"/>
        <item x="751"/>
        <item x="1333"/>
        <item x="169"/>
        <item x="790"/>
        <item x="1138"/>
        <item x="1522"/>
        <item x="1633"/>
        <item x="1450"/>
        <item x="1222"/>
        <item x="139"/>
        <item x="1734"/>
        <item x="50"/>
        <item x="927"/>
        <item x="259"/>
        <item x="1073"/>
        <item x="1049"/>
        <item x="1678"/>
        <item x="813"/>
        <item x="1535"/>
        <item x="1785"/>
        <item x="66"/>
        <item x="616"/>
        <item x="1043"/>
        <item x="1534"/>
        <item x="1010"/>
        <item x="943"/>
        <item x="1144"/>
        <item x="1418"/>
        <item x="1260"/>
        <item x="959"/>
        <item x="1030"/>
        <item x="841"/>
        <item x="937"/>
        <item x="3"/>
        <item x="1242"/>
        <item x="1757"/>
        <item x="1393"/>
        <item x="1115"/>
        <item x="670"/>
        <item x="1651"/>
        <item x="1028"/>
        <item x="1679"/>
        <item x="1475"/>
        <item x="950"/>
        <item x="1575"/>
        <item x="1209"/>
        <item x="1521"/>
        <item x="135"/>
        <item x="663"/>
        <item x="1176"/>
        <item x="1660"/>
        <item x="1617"/>
        <item x="1060"/>
        <item x="1315"/>
        <item x="1454"/>
        <item x="1689"/>
        <item x="1263"/>
        <item x="31"/>
        <item x="1126"/>
        <item x="989"/>
        <item x="1556"/>
        <item x="1303"/>
        <item x="1409"/>
        <item x="1453"/>
        <item x="1464"/>
        <item x="1700"/>
        <item x="1240"/>
        <item x="742"/>
        <item x="876"/>
        <item x="1493"/>
        <item x="1638"/>
        <item x="1251"/>
        <item x="983"/>
        <item x="1476"/>
        <item x="954"/>
        <item x="1569"/>
        <item x="1081"/>
        <item x="803"/>
        <item x="1708"/>
        <item x="1194"/>
        <item x="761"/>
        <item x="1473"/>
        <item x="969"/>
        <item x="626"/>
        <item x="1310"/>
        <item x="1477"/>
        <item x="1672"/>
        <item x="1448"/>
        <item x="1414"/>
        <item x="822"/>
        <item x="1384"/>
        <item x="1603"/>
        <item x="1607"/>
        <item x="1762"/>
        <item x="1740"/>
        <item x="1750"/>
        <item x="1684"/>
        <item x="1591"/>
        <item x="1425"/>
        <item x="1558"/>
        <item x="1598"/>
        <item x="1797"/>
        <item x="1462"/>
        <item x="1719"/>
        <item x="1353"/>
        <item x="1696"/>
        <item x="1582"/>
        <item x="1769"/>
        <item x="601"/>
        <item x="698"/>
        <item x="1632"/>
        <item x="1105"/>
        <item x="1218"/>
        <item x="775"/>
        <item x="1341"/>
        <item x="89"/>
        <item x="639"/>
        <item x="1001"/>
        <item x="1403"/>
        <item x="1676"/>
        <item x="1564"/>
        <item x="1247"/>
        <item x="780"/>
        <item x="798"/>
        <item x="1782"/>
        <item x="908"/>
        <item x="1614"/>
        <item x="1387"/>
        <item x="1324"/>
        <item x="1666"/>
        <item x="1650"/>
        <item x="913"/>
        <item x="988"/>
        <item x="1495"/>
        <item x="1543"/>
        <item x="1655"/>
        <item x="1501"/>
        <item x="873"/>
        <item x="1442"/>
        <item x="1095"/>
        <item x="119"/>
        <item x="723"/>
        <item x="1553"/>
        <item x="749"/>
        <item x="1746"/>
        <item x="1781"/>
        <item x="1205"/>
        <item x="1445"/>
        <item x="1481"/>
        <item x="1314"/>
        <item x="870"/>
        <item x="1675"/>
        <item x="1120"/>
        <item x="1681"/>
        <item x="656"/>
        <item x="975"/>
        <item x="705"/>
        <item x="1005"/>
        <item x="110"/>
        <item x="1752"/>
        <item x="283"/>
        <item x="1440"/>
        <item x="1443"/>
        <item x="1155"/>
        <item x="1169"/>
        <item x="737"/>
        <item x="1733"/>
        <item x="1428"/>
        <item x="1067"/>
        <item x="1369"/>
        <item x="1540"/>
        <item x="1467"/>
        <item x="765"/>
        <item x="1457"/>
        <item x="1320"/>
        <item x="593"/>
        <item x="1192"/>
        <item x="1026"/>
        <item x="809"/>
        <item x="1398"/>
        <item x="1185"/>
        <item x="635"/>
        <item x="1406"/>
        <item x="1202"/>
        <item x="1580"/>
        <item x="1664"/>
        <item x="609"/>
        <item x="1502"/>
        <item x="923"/>
        <item x="1530"/>
        <item x="1527"/>
        <item x="1331"/>
        <item x="712"/>
        <item x="367"/>
        <item x="1050"/>
        <item x="1761"/>
        <item x="858"/>
        <item x="828"/>
        <item x="250"/>
        <item x="1297"/>
        <item x="1799"/>
        <item x="1165"/>
        <item x="1490"/>
        <item x="1546"/>
        <item x="1775"/>
        <item x="694"/>
        <item x="1485"/>
        <item x="19"/>
        <item x="1741"/>
        <item x="680"/>
        <item x="1519"/>
        <item x="1181"/>
        <item x="1229"/>
        <item x="901"/>
        <item x="794"/>
        <item x="1723"/>
        <item x="1605"/>
        <item x="1348"/>
        <item x="1390"/>
        <item x="863"/>
        <item x="1626"/>
        <item x="1736"/>
        <item x="1631"/>
        <item x="1551"/>
        <item x="1726"/>
        <item x="1018"/>
        <item x="1670"/>
        <item x="1793"/>
        <item x="1727"/>
        <item x="964"/>
        <item x="1186"/>
        <item x="1574"/>
        <item x="43"/>
        <item x="895"/>
        <item x="1112"/>
        <item x="503"/>
        <item x="100"/>
        <item x="1365"/>
        <item x="835"/>
        <item x="1224"/>
        <item x="1215"/>
        <item x="328"/>
        <item x="1150"/>
        <item x="57"/>
        <item x="1548"/>
        <item x="129"/>
        <item x="1274"/>
        <item x="1380"/>
        <item x="730"/>
        <item x="80"/>
        <item x="1098"/>
        <item x="1756"/>
        <item x="1357"/>
        <item x="1620"/>
        <item x="1791"/>
        <item x="1517"/>
        <item x="850"/>
        <item x="934"/>
        <item x="1641"/>
        <item x="1255"/>
        <item x="1235"/>
        <item x="1704"/>
        <item x="998"/>
        <item x="1124"/>
        <item x="1659"/>
        <item x="1293"/>
        <item x="948"/>
        <item x="1610"/>
        <item x="980"/>
        <item x="1766"/>
        <item x="788"/>
        <item x="1647"/>
        <item x="1596"/>
        <item x="1372"/>
        <item x="1133"/>
        <item x="1289"/>
        <item x="1686"/>
        <item x="214"/>
        <item x="1499"/>
        <item x="1056"/>
        <item x="1586"/>
        <item x="1283"/>
        <item x="758"/>
        <item x="1300"/>
        <item x="887"/>
        <item x="1508"/>
        <item x="1360"/>
        <item x="686"/>
        <item x="1790"/>
        <item x="1702"/>
        <item x="648"/>
        <item x="1636"/>
        <item x="1711"/>
        <item x="1139"/>
        <item x="1039"/>
        <item x="1601"/>
        <item x="420"/>
        <item x="1088"/>
        <item x="517"/>
        <item x="1735"/>
        <item x="584"/>
        <item x="1337"/>
        <item x="1277"/>
        <item x="468"/>
        <item x="1434"/>
        <item x="497"/>
        <item x="454"/>
        <item x="404"/>
        <item x="151"/>
        <item x="437"/>
        <item x="1694"/>
        <item x="569"/>
        <item x="268"/>
        <item x="486"/>
        <item x="355"/>
        <item x="341"/>
        <item x="534"/>
        <item x="236"/>
        <item x="316"/>
        <item x="171"/>
        <item x="301"/>
        <item x="198"/>
        <item x="389"/>
        <item x="553"/>
        <item x="1802"/>
        <item x="180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Продажи, BYN" fld="7" baseField="1" baseItem="0" numFmtId="2"/>
    <dataField name="Количество продаж" fld="1" subtotal="count" baseField="1" baseItem="2"/>
    <dataField name="Средний чек" fld="7" subtotal="average" baseField="1" baseItem="2"/>
    <dataField name="Самое дорогое приобретение" fld="7" subtotal="max" baseField="1" baseItem="0"/>
    <dataField name="Самое дешевое приобретение" fld="7" subtotal="min" baseField="1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28103-BFEC-4C1E-BF0D-6EA2EA112E53}" name="Сводная таблица5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32:D49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91113-D1E9-4A60-995D-7495C88EC3AE}" name="Сводная таблица4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17:C30" firstHeaderRow="1" firstDataRow="1" firstDataCol="1"/>
  <pivotFields count="9">
    <pivotField axis="axisRow" showAll="0">
      <items count="674">
        <item x="1"/>
        <item x="3"/>
        <item x="59"/>
        <item x="121"/>
        <item x="181"/>
        <item x="243"/>
        <item x="303"/>
        <item x="365"/>
        <item x="427"/>
        <item x="487"/>
        <item x="549"/>
        <item x="609"/>
        <item x="5"/>
        <item x="61"/>
        <item x="123"/>
        <item x="183"/>
        <item x="245"/>
        <item x="305"/>
        <item x="367"/>
        <item x="429"/>
        <item x="489"/>
        <item x="551"/>
        <item x="611"/>
        <item x="7"/>
        <item x="63"/>
        <item x="125"/>
        <item x="185"/>
        <item x="247"/>
        <item x="307"/>
        <item x="369"/>
        <item x="431"/>
        <item x="491"/>
        <item x="553"/>
        <item x="613"/>
        <item x="9"/>
        <item x="65"/>
        <item x="127"/>
        <item x="187"/>
        <item x="249"/>
        <item x="309"/>
        <item x="371"/>
        <item x="433"/>
        <item x="493"/>
        <item x="555"/>
        <item x="615"/>
        <item x="11"/>
        <item x="67"/>
        <item x="129"/>
        <item x="189"/>
        <item x="251"/>
        <item x="311"/>
        <item x="373"/>
        <item x="435"/>
        <item x="495"/>
        <item x="557"/>
        <item x="617"/>
        <item x="13"/>
        <item x="69"/>
        <item x="131"/>
        <item x="191"/>
        <item x="253"/>
        <item x="313"/>
        <item x="375"/>
        <item x="437"/>
        <item x="497"/>
        <item x="559"/>
        <item x="619"/>
        <item x="15"/>
        <item x="71"/>
        <item x="133"/>
        <item x="193"/>
        <item x="255"/>
        <item x="315"/>
        <item x="377"/>
        <item x="439"/>
        <item x="499"/>
        <item x="561"/>
        <item x="621"/>
        <item x="17"/>
        <item x="73"/>
        <item x="135"/>
        <item x="195"/>
        <item x="257"/>
        <item x="317"/>
        <item x="379"/>
        <item x="441"/>
        <item x="501"/>
        <item x="563"/>
        <item x="623"/>
        <item x="19"/>
        <item x="75"/>
        <item x="137"/>
        <item x="197"/>
        <item x="259"/>
        <item x="319"/>
        <item x="381"/>
        <item x="443"/>
        <item x="503"/>
        <item x="565"/>
        <item x="625"/>
        <item x="21"/>
        <item x="77"/>
        <item x="139"/>
        <item x="199"/>
        <item x="261"/>
        <item x="321"/>
        <item x="383"/>
        <item x="445"/>
        <item x="505"/>
        <item x="567"/>
        <item x="627"/>
        <item x="23"/>
        <item x="79"/>
        <item x="141"/>
        <item x="201"/>
        <item x="263"/>
        <item x="323"/>
        <item x="385"/>
        <item x="447"/>
        <item x="507"/>
        <item x="569"/>
        <item x="629"/>
        <item x="25"/>
        <item x="81"/>
        <item x="143"/>
        <item x="203"/>
        <item x="265"/>
        <item x="325"/>
        <item x="387"/>
        <item x="449"/>
        <item x="509"/>
        <item x="571"/>
        <item x="631"/>
        <item x="27"/>
        <item x="83"/>
        <item x="145"/>
        <item x="205"/>
        <item x="267"/>
        <item x="327"/>
        <item x="389"/>
        <item x="451"/>
        <item x="511"/>
        <item x="573"/>
        <item x="633"/>
        <item x="29"/>
        <item x="85"/>
        <item x="147"/>
        <item x="207"/>
        <item x="269"/>
        <item x="329"/>
        <item x="391"/>
        <item x="453"/>
        <item x="513"/>
        <item x="575"/>
        <item x="635"/>
        <item x="31"/>
        <item x="87"/>
        <item x="149"/>
        <item x="209"/>
        <item x="271"/>
        <item x="331"/>
        <item x="393"/>
        <item x="455"/>
        <item x="515"/>
        <item x="577"/>
        <item x="637"/>
        <item x="33"/>
        <item x="89"/>
        <item x="151"/>
        <item x="211"/>
        <item x="273"/>
        <item x="333"/>
        <item x="395"/>
        <item x="457"/>
        <item x="517"/>
        <item x="579"/>
        <item x="639"/>
        <item x="35"/>
        <item x="91"/>
        <item x="153"/>
        <item x="213"/>
        <item x="275"/>
        <item x="335"/>
        <item x="397"/>
        <item x="459"/>
        <item x="519"/>
        <item x="581"/>
        <item x="641"/>
        <item x="37"/>
        <item x="93"/>
        <item x="155"/>
        <item x="215"/>
        <item x="277"/>
        <item x="337"/>
        <item x="399"/>
        <item x="461"/>
        <item x="521"/>
        <item x="583"/>
        <item x="643"/>
        <item x="39"/>
        <item x="95"/>
        <item x="157"/>
        <item x="217"/>
        <item x="279"/>
        <item x="339"/>
        <item x="401"/>
        <item x="463"/>
        <item x="523"/>
        <item x="585"/>
        <item x="645"/>
        <item x="41"/>
        <item x="97"/>
        <item x="159"/>
        <item x="219"/>
        <item x="281"/>
        <item x="341"/>
        <item x="403"/>
        <item x="465"/>
        <item x="525"/>
        <item x="587"/>
        <item x="647"/>
        <item x="43"/>
        <item x="99"/>
        <item x="161"/>
        <item x="221"/>
        <item x="283"/>
        <item x="343"/>
        <item x="405"/>
        <item x="467"/>
        <item x="527"/>
        <item x="589"/>
        <item x="649"/>
        <item x="45"/>
        <item x="101"/>
        <item x="163"/>
        <item x="223"/>
        <item x="285"/>
        <item x="345"/>
        <item x="407"/>
        <item x="469"/>
        <item x="529"/>
        <item x="591"/>
        <item x="651"/>
        <item x="47"/>
        <item x="103"/>
        <item x="165"/>
        <item x="225"/>
        <item x="287"/>
        <item x="347"/>
        <item x="409"/>
        <item x="471"/>
        <item x="531"/>
        <item x="593"/>
        <item x="653"/>
        <item x="49"/>
        <item x="105"/>
        <item x="167"/>
        <item x="227"/>
        <item x="289"/>
        <item x="349"/>
        <item x="411"/>
        <item x="473"/>
        <item x="533"/>
        <item x="595"/>
        <item x="655"/>
        <item x="51"/>
        <item x="107"/>
        <item x="169"/>
        <item x="229"/>
        <item x="291"/>
        <item x="351"/>
        <item x="413"/>
        <item x="475"/>
        <item x="535"/>
        <item x="671"/>
        <item x="597"/>
        <item x="657"/>
        <item x="53"/>
        <item x="109"/>
        <item x="171"/>
        <item x="231"/>
        <item x="293"/>
        <item x="353"/>
        <item x="415"/>
        <item x="477"/>
        <item x="537"/>
        <item x="599"/>
        <item x="659"/>
        <item x="55"/>
        <item x="111"/>
        <item x="173"/>
        <item x="233"/>
        <item x="295"/>
        <item x="355"/>
        <item x="417"/>
        <item x="479"/>
        <item x="539"/>
        <item x="601"/>
        <item x="661"/>
        <item x="57"/>
        <item x="113"/>
        <item x="175"/>
        <item x="235"/>
        <item x="297"/>
        <item x="357"/>
        <item x="419"/>
        <item x="481"/>
        <item x="541"/>
        <item x="603"/>
        <item x="663"/>
        <item x="115"/>
        <item x="177"/>
        <item x="237"/>
        <item x="299"/>
        <item x="359"/>
        <item x="421"/>
        <item x="483"/>
        <item x="543"/>
        <item x="605"/>
        <item x="665"/>
        <item x="117"/>
        <item x="179"/>
        <item x="239"/>
        <item x="301"/>
        <item x="361"/>
        <item x="423"/>
        <item x="485"/>
        <item x="545"/>
        <item x="607"/>
        <item x="667"/>
        <item x="119"/>
        <item x="241"/>
        <item x="363"/>
        <item x="425"/>
        <item x="547"/>
        <item x="669"/>
        <item x="672"/>
        <item x="0"/>
        <item x="2"/>
        <item x="4"/>
        <item x="6"/>
        <item x="8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x="38"/>
        <item x="40"/>
        <item x="42"/>
        <item x="44"/>
        <item x="46"/>
        <item x="48"/>
        <item x="50"/>
        <item x="52"/>
        <item x="54"/>
        <item x="56"/>
        <item x="58"/>
        <item x="60"/>
        <item x="62"/>
        <item x="64"/>
        <item x="66"/>
        <item x="68"/>
        <item x="70"/>
        <item x="72"/>
        <item x="74"/>
        <item x="76"/>
        <item x="78"/>
        <item x="80"/>
        <item x="82"/>
        <item x="84"/>
        <item x="86"/>
        <item x="88"/>
        <item x="90"/>
        <item x="92"/>
        <item x="94"/>
        <item x="96"/>
        <item x="98"/>
        <item x="100"/>
        <item x="102"/>
        <item x="104"/>
        <item x="106"/>
        <item x="108"/>
        <item x="110"/>
        <item x="112"/>
        <item x="114"/>
        <item x="116"/>
        <item x="118"/>
        <item x="120"/>
        <item x="122"/>
        <item x="124"/>
        <item x="126"/>
        <item x="128"/>
        <item x="130"/>
        <item x="132"/>
        <item x="134"/>
        <item x="136"/>
        <item x="138"/>
        <item x="140"/>
        <item x="142"/>
        <item x="144"/>
        <item x="146"/>
        <item x="148"/>
        <item x="150"/>
        <item x="152"/>
        <item x="154"/>
        <item x="156"/>
        <item x="158"/>
        <item x="160"/>
        <item x="162"/>
        <item x="164"/>
        <item x="166"/>
        <item x="168"/>
        <item x="170"/>
        <item x="172"/>
        <item x="174"/>
        <item x="176"/>
        <item x="178"/>
        <item x="180"/>
        <item x="182"/>
        <item x="184"/>
        <item x="186"/>
        <item x="188"/>
        <item x="190"/>
        <item x="192"/>
        <item x="194"/>
        <item x="196"/>
        <item x="198"/>
        <item x="200"/>
        <item x="202"/>
        <item x="204"/>
        <item x="206"/>
        <item x="208"/>
        <item x="210"/>
        <item x="212"/>
        <item x="214"/>
        <item x="216"/>
        <item x="218"/>
        <item x="220"/>
        <item x="222"/>
        <item x="224"/>
        <item x="226"/>
        <item x="228"/>
        <item x="230"/>
        <item x="232"/>
        <item x="234"/>
        <item x="236"/>
        <item x="238"/>
        <item x="240"/>
        <item x="242"/>
        <item x="244"/>
        <item x="246"/>
        <item x="248"/>
        <item x="250"/>
        <item x="252"/>
        <item x="254"/>
        <item x="256"/>
        <item x="258"/>
        <item x="260"/>
        <item x="262"/>
        <item x="264"/>
        <item x="266"/>
        <item x="268"/>
        <item x="270"/>
        <item x="272"/>
        <item x="274"/>
        <item x="276"/>
        <item x="278"/>
        <item x="280"/>
        <item x="282"/>
        <item x="284"/>
        <item x="286"/>
        <item x="288"/>
        <item x="290"/>
        <item x="292"/>
        <item x="294"/>
        <item x="296"/>
        <item x="298"/>
        <item x="300"/>
        <item x="302"/>
        <item x="304"/>
        <item x="306"/>
        <item x="308"/>
        <item x="310"/>
        <item x="312"/>
        <item x="314"/>
        <item x="316"/>
        <item x="318"/>
        <item x="320"/>
        <item x="322"/>
        <item x="324"/>
        <item x="326"/>
        <item x="328"/>
        <item x="330"/>
        <item x="332"/>
        <item x="334"/>
        <item x="336"/>
        <item x="338"/>
        <item x="340"/>
        <item x="342"/>
        <item x="344"/>
        <item x="346"/>
        <item x="348"/>
        <item x="350"/>
        <item x="352"/>
        <item x="354"/>
        <item x="356"/>
        <item x="358"/>
        <item x="360"/>
        <item x="362"/>
        <item x="364"/>
        <item x="366"/>
        <item x="368"/>
        <item x="370"/>
        <item x="372"/>
        <item x="374"/>
        <item x="376"/>
        <item x="378"/>
        <item x="380"/>
        <item x="382"/>
        <item x="384"/>
        <item x="386"/>
        <item x="388"/>
        <item x="390"/>
        <item x="392"/>
        <item x="394"/>
        <item x="396"/>
        <item x="398"/>
        <item x="400"/>
        <item x="402"/>
        <item x="404"/>
        <item x="406"/>
        <item x="408"/>
        <item x="410"/>
        <item x="412"/>
        <item x="414"/>
        <item x="416"/>
        <item x="418"/>
        <item x="420"/>
        <item x="422"/>
        <item x="424"/>
        <item x="426"/>
        <item x="428"/>
        <item x="430"/>
        <item x="432"/>
        <item x="434"/>
        <item x="436"/>
        <item x="438"/>
        <item x="440"/>
        <item x="442"/>
        <item x="444"/>
        <item x="446"/>
        <item x="448"/>
        <item x="450"/>
        <item x="452"/>
        <item x="454"/>
        <item x="456"/>
        <item x="458"/>
        <item x="460"/>
        <item x="462"/>
        <item x="464"/>
        <item x="466"/>
        <item x="468"/>
        <item x="470"/>
        <item x="472"/>
        <item x="474"/>
        <item x="476"/>
        <item x="478"/>
        <item x="480"/>
        <item x="482"/>
        <item x="484"/>
        <item x="486"/>
        <item x="488"/>
        <item x="490"/>
        <item x="492"/>
        <item x="494"/>
        <item x="496"/>
        <item x="498"/>
        <item x="500"/>
        <item x="502"/>
        <item x="504"/>
        <item x="506"/>
        <item x="508"/>
        <item x="510"/>
        <item x="512"/>
        <item x="514"/>
        <item x="516"/>
        <item x="518"/>
        <item x="520"/>
        <item x="522"/>
        <item x="524"/>
        <item x="526"/>
        <item x="528"/>
        <item x="530"/>
        <item x="532"/>
        <item x="534"/>
        <item x="536"/>
        <item x="538"/>
        <item x="540"/>
        <item x="542"/>
        <item x="544"/>
        <item x="546"/>
        <item x="548"/>
        <item x="550"/>
        <item x="552"/>
        <item x="554"/>
        <item x="556"/>
        <item x="558"/>
        <item x="560"/>
        <item x="562"/>
        <item x="564"/>
        <item x="566"/>
        <item x="568"/>
        <item x="570"/>
        <item x="572"/>
        <item x="574"/>
        <item x="576"/>
        <item x="578"/>
        <item x="580"/>
        <item x="582"/>
        <item x="584"/>
        <item x="586"/>
        <item x="588"/>
        <item x="590"/>
        <item x="592"/>
        <item x="594"/>
        <item x="596"/>
        <item x="598"/>
        <item x="600"/>
        <item x="602"/>
        <item x="604"/>
        <item x="606"/>
        <item x="608"/>
        <item x="610"/>
        <item x="612"/>
        <item x="614"/>
        <item x="616"/>
        <item x="618"/>
        <item x="620"/>
        <item x="622"/>
        <item x="624"/>
        <item x="626"/>
        <item x="628"/>
        <item x="630"/>
        <item x="632"/>
        <item x="634"/>
        <item x="636"/>
        <item x="638"/>
        <item x="640"/>
        <item x="642"/>
        <item x="644"/>
        <item x="646"/>
        <item x="648"/>
        <item x="650"/>
        <item x="652"/>
        <item x="654"/>
        <item x="656"/>
        <item x="658"/>
        <item x="660"/>
        <item x="662"/>
        <item x="664"/>
        <item x="666"/>
        <item x="668"/>
        <item x="67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14">
        <item sd="0" x="0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x="1"/>
        <item t="default"/>
      </items>
    </pivotField>
  </pivotFields>
  <rowFields count="2">
    <field x="8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Сумма по полю Итого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E8479-FD38-4D06-BC8E-7F507BC36919}" name="Сводная таблица14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Квартал">
  <location ref="B79:C84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1805">
        <item x="611"/>
        <item x="531"/>
        <item x="574"/>
        <item x="1249"/>
        <item x="412"/>
        <item x="881"/>
        <item x="1078"/>
        <item x="1622"/>
        <item x="278"/>
        <item x="438"/>
        <item x="708"/>
        <item x="271"/>
        <item x="1219"/>
        <item x="1006"/>
        <item x="1063"/>
        <item x="342"/>
        <item x="181"/>
        <item x="1071"/>
        <item x="1118"/>
        <item x="1419"/>
        <item x="814"/>
        <item x="407"/>
        <item x="1031"/>
        <item x="862"/>
        <item x="928"/>
        <item x="495"/>
        <item x="1330"/>
        <item x="839"/>
        <item x="1597"/>
        <item x="672"/>
        <item x="148"/>
        <item x="241"/>
        <item x="38"/>
        <item x="279"/>
        <item x="1395"/>
        <item x="398"/>
        <item x="1413"/>
        <item x="683"/>
        <item x="53"/>
        <item x="1518"/>
        <item x="1452"/>
        <item x="24"/>
        <item x="118"/>
        <item x="1772"/>
        <item x="560"/>
        <item x="1210"/>
        <item x="1151"/>
        <item x="1225"/>
        <item x="562"/>
        <item x="1383"/>
        <item x="182"/>
        <item x="421"/>
        <item x="25"/>
        <item x="726"/>
        <item x="303"/>
        <item x="459"/>
        <item x="73"/>
        <item x="513"/>
        <item x="716"/>
        <item x="791"/>
        <item x="1539"/>
        <item x="1712"/>
        <item x="625"/>
        <item x="1034"/>
        <item x="1706"/>
        <item x="1022"/>
        <item x="93"/>
        <item x="116"/>
        <item x="244"/>
        <item x="178"/>
        <item x="1590"/>
        <item x="375"/>
        <item x="170"/>
        <item x="1738"/>
        <item x="528"/>
        <item x="1041"/>
        <item x="1542"/>
        <item x="431"/>
        <item x="63"/>
        <item x="445"/>
        <item x="1011"/>
        <item x="61"/>
        <item x="14"/>
        <item x="665"/>
        <item x="529"/>
        <item x="1531"/>
        <item x="956"/>
        <item x="125"/>
        <item x="1070"/>
        <item x="753"/>
        <item x="470"/>
        <item x="75"/>
        <item x="704"/>
        <item x="857"/>
        <item x="1156"/>
        <item x="1207"/>
        <item x="162"/>
        <item x="1302"/>
        <item x="13"/>
        <item x="1033"/>
        <item x="558"/>
        <item x="308"/>
        <item x="1338"/>
        <item x="1009"/>
        <item x="9"/>
        <item x="673"/>
        <item x="1102"/>
        <item x="1171"/>
        <item x="893"/>
        <item x="986"/>
        <item x="28"/>
        <item x="460"/>
        <item x="51"/>
        <item x="1038"/>
        <item x="1373"/>
        <item x="286"/>
        <item x="1420"/>
        <item x="1092"/>
        <item x="223"/>
        <item x="1177"/>
        <item x="561"/>
        <item x="1130"/>
        <item x="480"/>
        <item x="1146"/>
        <item x="114"/>
        <item x="684"/>
        <item x="260"/>
        <item x="509"/>
        <item x="664"/>
        <item x="992"/>
        <item x="277"/>
        <item x="481"/>
        <item x="1238"/>
        <item x="1216"/>
        <item x="542"/>
        <item x="1163"/>
        <item x="1162"/>
        <item x="1412"/>
        <item x="294"/>
        <item x="735"/>
        <item x="1168"/>
        <item x="1455"/>
        <item x="535"/>
        <item x="957"/>
        <item x="973"/>
        <item x="1447"/>
        <item x="368"/>
        <item x="1559"/>
        <item x="264"/>
        <item x="382"/>
        <item x="974"/>
        <item x="1391"/>
        <item x="856"/>
        <item x="327"/>
        <item x="505"/>
        <item x="496"/>
        <item x="291"/>
        <item x="155"/>
        <item x="904"/>
        <item x="310"/>
        <item x="274"/>
        <item x="1595"/>
        <item x="994"/>
        <item x="1175"/>
        <item x="1284"/>
        <item x="84"/>
        <item x="333"/>
        <item x="1503"/>
        <item x="172"/>
        <item x="154"/>
        <item x="130"/>
        <item x="612"/>
        <item x="522"/>
        <item x="1523"/>
        <item x="1051"/>
        <item x="628"/>
        <item x="1579"/>
        <item x="1578"/>
        <item x="1106"/>
        <item x="671"/>
        <item x="337"/>
        <item x="309"/>
        <item x="681"/>
        <item x="141"/>
        <item x="482"/>
        <item x="1511"/>
        <item x="1408"/>
        <item x="1237"/>
        <item x="357"/>
        <item x="590"/>
        <item x="401"/>
        <item x="324"/>
        <item x="220"/>
        <item x="245"/>
        <item x="370"/>
        <item x="45"/>
        <item x="827"/>
        <item x="1541"/>
        <item x="160"/>
        <item x="1615"/>
        <item x="157"/>
        <item x="325"/>
        <item x="378"/>
        <item x="619"/>
        <item x="1261"/>
        <item x="1077"/>
        <item x="134"/>
        <item x="743"/>
        <item x="1668"/>
        <item x="1076"/>
        <item x="1386"/>
        <item x="202"/>
        <item x="689"/>
        <item x="1000"/>
        <item x="1621"/>
        <item x="208"/>
        <item x="1732"/>
        <item x="924"/>
        <item x="149"/>
        <item x="837"/>
        <item x="275"/>
        <item x="1245"/>
        <item x="1382"/>
        <item x="568"/>
        <item x="1048"/>
        <item x="167"/>
        <item x="695"/>
        <item x="1187"/>
        <item x="772"/>
        <item x="1725"/>
        <item x="1206"/>
        <item x="817"/>
        <item x="383"/>
        <item x="981"/>
        <item x="46"/>
        <item x="361"/>
        <item x="1153"/>
        <item x="1084"/>
        <item x="229"/>
        <item x="191"/>
        <item x="1203"/>
        <item x="1204"/>
        <item x="1354"/>
        <item x="965"/>
        <item x="469"/>
        <item x="1494"/>
        <item x="1232"/>
        <item x="397"/>
        <item x="254"/>
        <item x="1520"/>
        <item x="86"/>
        <item x="4"/>
        <item x="1016"/>
        <item x="313"/>
        <item x="947"/>
        <item x="128"/>
        <item x="1742"/>
        <item x="1184"/>
        <item x="306"/>
        <item x="587"/>
        <item x="1526"/>
        <item x="799"/>
        <item x="120"/>
        <item x="1436"/>
        <item x="1066"/>
        <item x="812"/>
        <item x="78"/>
        <item x="237"/>
        <item x="1329"/>
        <item x="1461"/>
        <item x="177"/>
        <item x="184"/>
        <item x="230"/>
        <item x="1514"/>
        <item x="1657"/>
        <item x="506"/>
        <item x="360"/>
        <item x="387"/>
        <item x="1635"/>
        <item x="225"/>
        <item x="800"/>
        <item x="64"/>
        <item x="253"/>
        <item x="199"/>
        <item x="533"/>
        <item x="615"/>
        <item x="48"/>
        <item x="543"/>
        <item x="1062"/>
        <item x="1794"/>
        <item x="659"/>
        <item x="106"/>
        <item x="940"/>
        <item x="1487"/>
        <item x="1745"/>
        <item x="1653"/>
        <item x="1515"/>
        <item x="1256"/>
        <item x="1484"/>
        <item x="350"/>
        <item x="458"/>
        <item x="1470"/>
        <item x="512"/>
        <item x="1290"/>
        <item x="29"/>
        <item x="1460"/>
        <item x="212"/>
        <item x="58"/>
        <item x="1025"/>
        <item x="756"/>
        <item x="450"/>
        <item x="548"/>
        <item x="1730"/>
        <item x="1117"/>
        <item x="1254"/>
        <item x="999"/>
        <item x="1695"/>
        <item x="1259"/>
        <item x="287"/>
        <item x="1375"/>
        <item x="22"/>
        <item x="65"/>
        <item x="269"/>
        <item x="104"/>
        <item x="1697"/>
        <item x="1699"/>
        <item x="864"/>
        <item x="1272"/>
        <item x="1478"/>
        <item x="573"/>
        <item x="418"/>
        <item x="200"/>
        <item x="546"/>
        <item x="768"/>
        <item x="1488"/>
        <item x="715"/>
        <item x="750"/>
        <item x="830"/>
        <item x="641"/>
        <item x="490"/>
        <item x="847"/>
        <item x="676"/>
        <item x="427"/>
        <item x="1114"/>
        <item x="1537"/>
        <item x="1099"/>
        <item x="1744"/>
        <item x="364"/>
        <item x="376"/>
        <item x="1698"/>
        <item x="620"/>
        <item x="217"/>
        <item x="190"/>
        <item x="257"/>
        <item x="885"/>
        <item x="645"/>
        <item x="239"/>
        <item x="1427"/>
        <item x="379"/>
        <item x="1258"/>
        <item x="961"/>
        <item x="1113"/>
        <item x="638"/>
        <item x="1394"/>
        <item x="951"/>
        <item x="1737"/>
        <item x="131"/>
        <item x="840"/>
        <item x="189"/>
        <item x="631"/>
        <item x="1612"/>
        <item x="1307"/>
        <item x="117"/>
        <item x="745"/>
        <item x="762"/>
        <item x="1474"/>
        <item x="33"/>
        <item x="1046"/>
        <item x="1131"/>
        <item x="650"/>
        <item x="654"/>
        <item x="1399"/>
        <item x="1121"/>
        <item x="1340"/>
        <item x="738"/>
        <item x="657"/>
        <item x="426"/>
        <item x="1654"/>
        <item x="945"/>
        <item x="853"/>
        <item x="1288"/>
        <item x="242"/>
        <item x="1429"/>
        <item x="1560"/>
        <item x="1469"/>
        <item x="266"/>
        <item x="554"/>
        <item x="1023"/>
        <item x="789"/>
        <item x="1093"/>
        <item x="633"/>
        <item x="582"/>
        <item x="600"/>
        <item x="1544"/>
        <item x="1125"/>
        <item x="851"/>
        <item x="227"/>
        <item x="1371"/>
        <item x="667"/>
        <item x="1604"/>
        <item x="1368"/>
        <item x="968"/>
        <item x="1788"/>
        <item x="72"/>
        <item x="1426"/>
        <item x="1656"/>
        <item x="1309"/>
        <item x="472"/>
        <item x="938"/>
        <item x="1643"/>
        <item x="145"/>
        <item x="1091"/>
        <item x="1667"/>
        <item x="1336"/>
        <item x="385"/>
        <item x="1538"/>
        <item x="17"/>
        <item x="447"/>
        <item x="1437"/>
        <item x="1295"/>
        <item x="746"/>
        <item x="785"/>
        <item x="27"/>
        <item x="653"/>
        <item x="1042"/>
        <item x="1441"/>
        <item x="610"/>
        <item x="163"/>
        <item x="449"/>
        <item x="1190"/>
        <item x="108"/>
        <item x="1191"/>
        <item x="365"/>
        <item x="1411"/>
        <item x="807"/>
        <item x="1326"/>
        <item x="1007"/>
        <item x="816"/>
        <item x="392"/>
        <item x="993"/>
        <item x="692"/>
        <item x="408"/>
        <item x="878"/>
        <item x="1529"/>
        <item x="81"/>
        <item x="622"/>
        <item x="1250"/>
        <item x="441"/>
        <item x="1170"/>
        <item x="516"/>
        <item x="1318"/>
        <item x="67"/>
        <item x="124"/>
        <item x="787"/>
        <item x="206"/>
        <item x="868"/>
        <item x="1566"/>
        <item x="1346"/>
        <item x="714"/>
        <item x="256"/>
        <item x="636"/>
        <item x="1074"/>
        <item x="711"/>
        <item x="1417"/>
        <item x="570"/>
        <item x="406"/>
        <item x="555"/>
        <item x="782"/>
        <item x="1057"/>
        <item x="332"/>
        <item x="1466"/>
        <item x="637"/>
        <item x="466"/>
        <item x="917"/>
        <item x="158"/>
        <item x="228"/>
        <item x="1760"/>
        <item x="1017"/>
        <item x="661"/>
        <item x="280"/>
        <item x="1513"/>
        <item x="393"/>
        <item x="1512"/>
        <item x="877"/>
        <item x="577"/>
        <item x="719"/>
        <item x="677"/>
        <item x="1294"/>
        <item x="690"/>
        <item x="416"/>
        <item x="770"/>
        <item x="302"/>
        <item x="1069"/>
        <item x="1800"/>
        <item x="519"/>
        <item x="395"/>
        <item x="349"/>
        <item x="547"/>
        <item x="60"/>
        <item x="1533"/>
        <item x="467"/>
        <item x="1214"/>
        <item x="597"/>
        <item x="1584"/>
        <item x="1671"/>
        <item x="372"/>
        <item x="1"/>
        <item x="1634"/>
        <item x="213"/>
        <item x="173"/>
        <item x="1142"/>
        <item x="511"/>
        <item x="1764"/>
        <item x="1777"/>
        <item x="818"/>
        <item x="248"/>
        <item x="1243"/>
        <item x="796"/>
        <item x="8"/>
        <item x="588"/>
        <item x="907"/>
        <item x="434"/>
        <item x="1568"/>
        <item x="193"/>
        <item x="1619"/>
        <item x="1379"/>
        <item x="603"/>
        <item x="471"/>
        <item x="984"/>
        <item x="624"/>
        <item x="1528"/>
        <item x="488"/>
        <item x="1780"/>
        <item x="903"/>
        <item x="1195"/>
        <item x="1625"/>
        <item x="1278"/>
        <item x="581"/>
        <item x="44"/>
        <item x="1109"/>
        <item x="425"/>
        <item x="795"/>
        <item x="1415"/>
        <item x="477"/>
        <item x="1058"/>
        <item x="215"/>
        <item x="319"/>
        <item x="1019"/>
        <item x="205"/>
        <item x="699"/>
        <item x="1581"/>
        <item x="539"/>
        <item x="1789"/>
        <item x="233"/>
        <item x="919"/>
        <item x="1787"/>
        <item x="1196"/>
        <item x="1086"/>
        <item x="36"/>
        <item x="402"/>
        <item x="175"/>
        <item x="709"/>
        <item x="849"/>
        <item x="356"/>
        <item x="1304"/>
        <item x="52"/>
        <item x="417"/>
        <item x="15"/>
        <item x="1134"/>
        <item x="1157"/>
        <item x="187"/>
        <item x="1687"/>
        <item x="820"/>
        <item x="838"/>
        <item x="941"/>
        <item x="1594"/>
        <item x="409"/>
        <item x="11"/>
        <item x="1776"/>
        <item x="1509"/>
        <item x="1627"/>
        <item x="1532"/>
        <item x="62"/>
        <item x="594"/>
        <item x="1731"/>
        <item x="224"/>
        <item x="353"/>
        <item x="504"/>
        <item x="1358"/>
        <item x="20"/>
        <item x="140"/>
        <item x="1721"/>
        <item x="530"/>
        <item x="498"/>
        <item x="451"/>
        <item x="763"/>
        <item x="1701"/>
        <item x="321"/>
        <item x="713"/>
        <item x="915"/>
        <item x="1323"/>
        <item x="352"/>
        <item x="929"/>
        <item x="797"/>
        <item x="267"/>
        <item x="1044"/>
        <item x="42"/>
        <item x="1389"/>
        <item x="916"/>
        <item x="414"/>
        <item x="1549"/>
        <item x="1565"/>
        <item x="103"/>
        <item x="629"/>
        <item x="317"/>
        <item x="1642"/>
        <item x="1709"/>
        <item x="97"/>
        <item x="1768"/>
        <item x="773"/>
        <item x="487"/>
        <item x="1208"/>
        <item x="1332"/>
        <item x="744"/>
        <item x="899"/>
        <item x="185"/>
        <item x="1351"/>
        <item x="1648"/>
        <item x="559"/>
        <item x="6"/>
        <item x="161"/>
        <item x="1145"/>
        <item x="1571"/>
        <item x="433"/>
        <item x="1606"/>
        <item x="143"/>
        <item x="374"/>
        <item x="1047"/>
        <item x="1491"/>
        <item x="925"/>
        <item x="767"/>
        <item x="180"/>
        <item x="1456"/>
        <item x="1773"/>
        <item x="318"/>
        <item x="430"/>
        <item x="644"/>
        <item x="413"/>
        <item x="422"/>
        <item x="23"/>
        <item x="10"/>
        <item x="77"/>
        <item x="607"/>
        <item x="273"/>
        <item x="1253"/>
        <item x="1004"/>
        <item x="922"/>
        <item x="1262"/>
        <item x="455"/>
        <item x="1182"/>
        <item x="1507"/>
        <item x="1376"/>
        <item x="1416"/>
        <item x="494"/>
        <item x="359"/>
        <item x="1101"/>
        <item x="1015"/>
        <item x="369"/>
        <item x="297"/>
        <item x="810"/>
        <item x="1298"/>
        <item x="1045"/>
        <item x="1570"/>
        <item x="1100"/>
        <item x="1629"/>
        <item x="652"/>
        <item x="1213"/>
        <item x="101"/>
        <item x="1052"/>
        <item x="955"/>
        <item x="724"/>
        <item x="249"/>
        <item x="222"/>
        <item x="1280"/>
        <item x="270"/>
        <item x="1722"/>
        <item x="262"/>
        <item x="674"/>
        <item x="805"/>
        <item x="1233"/>
        <item x="1645"/>
        <item x="623"/>
        <item x="1588"/>
        <item x="930"/>
        <item x="1685"/>
        <item x="1362"/>
        <item x="1649"/>
        <item x="1029"/>
        <item x="972"/>
        <item x="211"/>
        <item x="282"/>
        <item x="1572"/>
        <item x="960"/>
        <item x="276"/>
        <item x="1690"/>
        <item x="1040"/>
        <item x="94"/>
        <item x="136"/>
        <item x="1652"/>
        <item x="526"/>
        <item x="1525"/>
        <item x="658"/>
        <item x="987"/>
        <item x="804"/>
        <item x="760"/>
        <item x="37"/>
        <item x="1504"/>
        <item x="197"/>
        <item x="1352"/>
        <item x="442"/>
        <item x="1767"/>
        <item x="995"/>
        <item x="142"/>
        <item x="483"/>
        <item x="1199"/>
        <item x="1273"/>
        <item x="946"/>
        <item x="608"/>
        <item x="35"/>
        <item x="1167"/>
        <item x="747"/>
        <item x="717"/>
        <item x="1108"/>
        <item x="1377"/>
        <item x="985"/>
        <item x="39"/>
        <item x="882"/>
        <item x="766"/>
        <item x="1140"/>
        <item x="1716"/>
        <item x="285"/>
        <item x="99"/>
        <item x="1602"/>
        <item x="567"/>
        <item x="1072"/>
        <item x="1322"/>
        <item x="429"/>
        <item x="1361"/>
        <item x="844"/>
        <item x="240"/>
        <item x="614"/>
        <item x="556"/>
        <item x="351"/>
        <item x="537"/>
        <item x="963"/>
        <item x="880"/>
        <item x="179"/>
        <item x="83"/>
        <item x="605"/>
        <item x="688"/>
        <item x="700"/>
        <item x="218"/>
        <item x="1554"/>
        <item x="69"/>
        <item x="660"/>
        <item x="1424"/>
        <item x="1152"/>
        <item x="550"/>
        <item x="226"/>
        <item x="1221"/>
        <item x="1349"/>
        <item x="842"/>
        <item x="627"/>
        <item x="334"/>
        <item x="1239"/>
        <item x="1271"/>
        <item x="1096"/>
        <item x="1472"/>
        <item x="147"/>
        <item x="523"/>
        <item x="12"/>
        <item x="457"/>
        <item x="1123"/>
        <item x="1707"/>
        <item x="174"/>
        <item x="776"/>
        <item x="1319"/>
        <item x="565"/>
        <item x="156"/>
        <item x="1778"/>
        <item x="500"/>
        <item x="1226"/>
        <item x="1755"/>
        <item x="875"/>
        <item x="866"/>
        <item x="586"/>
        <item x="1103"/>
        <item x="493"/>
        <item x="829"/>
        <item x="777"/>
        <item x="1759"/>
        <item x="1012"/>
        <item x="1783"/>
        <item x="1616"/>
        <item x="1217"/>
        <item x="1089"/>
        <item x="1587"/>
        <item x="265"/>
        <item x="541"/>
        <item x="1090"/>
        <item x="1193"/>
        <item x="79"/>
        <item x="578"/>
        <item x="668"/>
        <item x="1796"/>
        <item x="423"/>
        <item x="1270"/>
        <item x="649"/>
        <item x="1257"/>
        <item x="251"/>
        <item x="1174"/>
        <item x="1013"/>
        <item x="391"/>
        <item x="1141"/>
        <item x="936"/>
        <item x="1201"/>
        <item x="203"/>
        <item x="85"/>
        <item x="1275"/>
        <item x="982"/>
        <item x="833"/>
        <item x="1312"/>
        <item x="1422"/>
        <item x="630"/>
        <item x="1137"/>
        <item x="221"/>
        <item x="825"/>
        <item x="261"/>
        <item x="725"/>
        <item x="752"/>
        <item x="599"/>
        <item x="2"/>
        <item x="298"/>
        <item x="1223"/>
        <item x="843"/>
        <item x="1172"/>
        <item x="1021"/>
        <item x="1770"/>
        <item x="824"/>
        <item x="137"/>
        <item x="1609"/>
        <item x="912"/>
        <item x="1104"/>
        <item x="210"/>
        <item x="247"/>
        <item x="1677"/>
        <item x="54"/>
        <item x="112"/>
        <item x="538"/>
        <item x="90"/>
        <item x="1748"/>
        <item x="21"/>
        <item x="320"/>
        <item x="757"/>
        <item x="691"/>
        <item x="1496"/>
        <item x="891"/>
        <item x="1345"/>
        <item x="1500"/>
        <item x="879"/>
        <item x="834"/>
        <item x="1344"/>
        <item x="1265"/>
        <item x="1444"/>
        <item x="168"/>
        <item x="1179"/>
        <item x="707"/>
        <item x="1269"/>
        <item x="1068"/>
        <item x="748"/>
        <item x="1552"/>
        <item x="1611"/>
        <item x="1459"/>
        <item x="1054"/>
        <item x="68"/>
        <item x="801"/>
        <item x="311"/>
        <item x="1136"/>
        <item x="1506"/>
        <item x="1637"/>
        <item x="1715"/>
        <item x="821"/>
        <item x="26"/>
        <item x="613"/>
        <item x="1640"/>
        <item x="474"/>
        <item x="363"/>
        <item x="874"/>
        <item x="571"/>
        <item x="1710"/>
        <item x="774"/>
        <item x="1279"/>
        <item x="734"/>
        <item x="288"/>
        <item x="1014"/>
        <item x="358"/>
        <item x="1435"/>
        <item x="886"/>
        <item x="621"/>
        <item x="1342"/>
        <item x="1576"/>
        <item x="1497"/>
        <item x="575"/>
        <item x="991"/>
        <item x="186"/>
        <item x="1758"/>
        <item x="544"/>
        <item x="464"/>
        <item x="411"/>
        <item x="1374"/>
        <item x="1127"/>
        <item x="1266"/>
        <item x="1143"/>
        <item x="997"/>
        <item x="771"/>
        <item x="1234"/>
        <item x="88"/>
        <item x="651"/>
        <item x="1282"/>
        <item x="478"/>
        <item x="867"/>
        <item x="1505"/>
        <item x="892"/>
        <item x="527"/>
        <item x="499"/>
        <item x="219"/>
        <item x="909"/>
        <item x="1339"/>
        <item x="138"/>
        <item x="786"/>
        <item x="890"/>
        <item x="424"/>
        <item x="1396"/>
        <item x="30"/>
        <item x="678"/>
        <item x="235"/>
        <item x="5"/>
        <item x="618"/>
        <item x="1550"/>
        <item x="836"/>
        <item x="1573"/>
        <item x="576"/>
        <item x="1350"/>
        <item x="819"/>
        <item x="1267"/>
        <item x="942"/>
        <item x="377"/>
        <item x="1498"/>
        <item x="194"/>
        <item x="1714"/>
        <item x="1347"/>
        <item x="1583"/>
        <item x="111"/>
        <item x="16"/>
        <item x="146"/>
        <item x="595"/>
        <item x="888"/>
        <item x="1180"/>
        <item x="729"/>
        <item x="238"/>
        <item x="1111"/>
        <item x="166"/>
        <item x="281"/>
        <item x="687"/>
        <item x="446"/>
        <item x="1703"/>
        <item x="49"/>
        <item x="390"/>
        <item x="617"/>
        <item x="432"/>
        <item x="1037"/>
        <item x="1438"/>
        <item x="733"/>
        <item x="345"/>
        <item x="1075"/>
        <item x="1388"/>
        <item x="315"/>
        <item x="399"/>
        <item x="1020"/>
        <item x="1008"/>
        <item x="1479"/>
        <item x="340"/>
        <item x="1064"/>
        <item x="501"/>
        <item x="329"/>
        <item x="1148"/>
        <item x="1784"/>
        <item x="91"/>
        <item x="634"/>
        <item x="362"/>
        <item x="1692"/>
        <item x="679"/>
        <item x="872"/>
        <item x="1798"/>
        <item x="1244"/>
        <item x="272"/>
        <item x="754"/>
        <item x="604"/>
        <item x="1200"/>
        <item x="1305"/>
        <item x="347"/>
        <item x="1705"/>
        <item x="1366"/>
        <item x="336"/>
        <item x="596"/>
        <item x="1623"/>
        <item x="40"/>
        <item x="105"/>
        <item x="845"/>
        <item x="1299"/>
        <item x="520"/>
        <item x="1198"/>
        <item x="1161"/>
        <item x="958"/>
        <item x="905"/>
        <item x="579"/>
        <item x="918"/>
        <item x="1682"/>
        <item x="381"/>
        <item x="865"/>
        <item x="485"/>
        <item x="860"/>
        <item x="115"/>
        <item x="721"/>
        <item x="300"/>
        <item x="855"/>
        <item x="1516"/>
        <item x="1381"/>
        <item x="476"/>
        <item x="740"/>
        <item x="906"/>
        <item x="1301"/>
        <item x="255"/>
        <item x="1055"/>
        <item x="443"/>
        <item x="405"/>
        <item x="1646"/>
        <item x="808"/>
        <item x="1483"/>
        <item x="911"/>
        <item x="92"/>
        <item x="549"/>
        <item x="1264"/>
        <item x="861"/>
        <item x="373"/>
        <item x="1718"/>
        <item x="759"/>
        <item x="647"/>
        <item x="783"/>
        <item x="1220"/>
        <item x="1065"/>
        <item x="831"/>
        <item x="1097"/>
        <item x="755"/>
        <item x="473"/>
        <item x="1079"/>
        <item x="602"/>
        <item x="1674"/>
        <item x="47"/>
        <item x="854"/>
        <item x="978"/>
        <item x="926"/>
        <item x="640"/>
        <item x="448"/>
        <item x="32"/>
        <item x="1183"/>
        <item x="150"/>
        <item x="1562"/>
        <item x="792"/>
        <item x="307"/>
        <item x="384"/>
        <item x="183"/>
        <item x="591"/>
        <item x="769"/>
        <item x="465"/>
        <item x="232"/>
        <item x="884"/>
        <item x="931"/>
        <item x="1458"/>
        <item x="889"/>
        <item x="1164"/>
        <item x="56"/>
        <item x="1356"/>
        <item x="456"/>
        <item x="439"/>
        <item x="1749"/>
        <item x="971"/>
        <item x="1082"/>
        <item x="1402"/>
        <item x="463"/>
        <item x="1421"/>
        <item x="354"/>
        <item x="1397"/>
        <item x="1087"/>
        <item x="415"/>
        <item x="898"/>
        <item x="95"/>
        <item x="731"/>
        <item x="1053"/>
        <item x="696"/>
        <item x="339"/>
        <item x="1592"/>
        <item x="1236"/>
        <item x="305"/>
        <item x="1599"/>
        <item x="1227"/>
        <item x="440"/>
        <item x="592"/>
        <item x="1094"/>
        <item x="921"/>
        <item x="1410"/>
        <item x="826"/>
        <item x="1451"/>
        <item x="1311"/>
        <item x="1147"/>
        <item x="939"/>
        <item x="525"/>
        <item x="252"/>
        <item x="778"/>
        <item x="967"/>
        <item x="1577"/>
        <item x="732"/>
        <item x="1385"/>
        <item x="1083"/>
        <item x="338"/>
        <item x="1276"/>
        <item x="632"/>
        <item x="461"/>
        <item x="669"/>
        <item x="102"/>
        <item x="806"/>
        <item x="702"/>
        <item x="779"/>
        <item x="701"/>
        <item x="1241"/>
        <item x="491"/>
        <item x="811"/>
        <item x="1795"/>
        <item x="932"/>
        <item x="76"/>
        <item x="1673"/>
        <item x="216"/>
        <item x="1482"/>
        <item x="514"/>
        <item x="1763"/>
        <item x="1116"/>
        <item x="521"/>
        <item x="195"/>
        <item x="910"/>
        <item x="1173"/>
        <item x="666"/>
        <item x="935"/>
        <item x="326"/>
        <item x="201"/>
        <item x="1327"/>
        <item x="706"/>
        <item x="900"/>
        <item x="152"/>
        <item x="121"/>
        <item x="1367"/>
        <item x="284"/>
        <item x="1754"/>
        <item x="1122"/>
        <item x="1600"/>
        <item x="739"/>
        <item x="583"/>
        <item x="510"/>
        <item x="580"/>
        <item x="1567"/>
        <item x="444"/>
        <item x="1158"/>
        <item x="1166"/>
        <item x="295"/>
        <item x="655"/>
        <item x="585"/>
        <item x="107"/>
        <item x="933"/>
        <item x="403"/>
        <item x="1231"/>
        <item x="1392"/>
        <item x="736"/>
        <item x="1465"/>
        <item x="144"/>
        <item x="289"/>
        <item x="1132"/>
        <item x="902"/>
        <item x="396"/>
        <item x="1308"/>
        <item x="1489"/>
        <item x="1321"/>
        <item x="682"/>
        <item x="1317"/>
        <item x="720"/>
        <item x="1524"/>
        <item x="508"/>
        <item x="566"/>
        <item x="484"/>
        <item x="741"/>
        <item x="662"/>
        <item x="1325"/>
        <item x="764"/>
        <item x="524"/>
        <item x="1032"/>
        <item x="894"/>
        <item x="1492"/>
        <item x="563"/>
        <item x="1364"/>
        <item x="572"/>
        <item x="475"/>
        <item x="784"/>
        <item x="1061"/>
        <item x="1608"/>
        <item x="82"/>
        <item x="642"/>
        <item x="1401"/>
        <item x="366"/>
        <item x="1624"/>
        <item x="1717"/>
        <item x="551"/>
        <item x="209"/>
        <item x="1557"/>
        <item x="1212"/>
        <item x="410"/>
        <item x="1291"/>
        <item x="1765"/>
        <item x="70"/>
        <item x="159"/>
        <item x="949"/>
        <item x="1400"/>
        <item x="1480"/>
        <item x="710"/>
        <item x="462"/>
        <item x="1129"/>
        <item x="207"/>
        <item x="1449"/>
        <item x="1431"/>
        <item x="71"/>
        <item x="693"/>
        <item x="234"/>
        <item x="871"/>
        <item x="1154"/>
        <item x="1027"/>
        <item x="976"/>
        <item x="127"/>
        <item x="296"/>
        <item x="18"/>
        <item x="1639"/>
        <item x="1585"/>
        <item x="953"/>
        <item x="852"/>
        <item x="400"/>
        <item x="1002"/>
        <item x="1252"/>
        <item x="1446"/>
        <item x="685"/>
        <item x="896"/>
        <item x="1378"/>
        <item x="1555"/>
        <item x="371"/>
        <item x="979"/>
        <item x="802"/>
        <item x="7"/>
        <item x="452"/>
        <item x="1661"/>
        <item x="502"/>
        <item x="1024"/>
        <item x="920"/>
        <item x="165"/>
        <item x="1471"/>
        <item x="846"/>
        <item x="132"/>
        <item x="1663"/>
        <item x="1110"/>
        <item x="1423"/>
        <item x="859"/>
        <item x="1545"/>
        <item x="346"/>
        <item x="990"/>
        <item x="453"/>
        <item x="290"/>
        <item x="1359"/>
        <item x="1618"/>
        <item x="1463"/>
        <item x="246"/>
        <item x="479"/>
        <item x="1739"/>
        <item x="1801"/>
        <item x="1405"/>
        <item x="643"/>
        <item x="1693"/>
        <item x="703"/>
        <item x="1228"/>
        <item x="394"/>
        <item x="1665"/>
        <item x="59"/>
        <item x="176"/>
        <item x="122"/>
        <item x="1370"/>
        <item x="123"/>
        <item x="1433"/>
        <item x="815"/>
        <item x="34"/>
        <item x="292"/>
        <item x="293"/>
        <item x="1343"/>
        <item x="1355"/>
        <item x="243"/>
        <item x="1363"/>
        <item x="1211"/>
        <item x="1296"/>
        <item x="330"/>
        <item x="1197"/>
        <item x="1128"/>
        <item x="1589"/>
        <item x="192"/>
        <item x="1563"/>
        <item x="1792"/>
        <item x="96"/>
        <item x="74"/>
        <item x="536"/>
        <item x="832"/>
        <item x="727"/>
        <item x="133"/>
        <item x="386"/>
        <item x="1188"/>
        <item x="598"/>
        <item x="1268"/>
        <item x="1613"/>
        <item x="1286"/>
        <item x="970"/>
        <item x="823"/>
        <item x="87"/>
        <item x="312"/>
        <item x="126"/>
        <item x="897"/>
        <item x="848"/>
        <item x="1059"/>
        <item x="1292"/>
        <item x="722"/>
        <item x="1080"/>
        <item x="1119"/>
        <item x="436"/>
        <item x="323"/>
        <item x="1547"/>
        <item x="552"/>
        <item x="109"/>
        <item x="428"/>
        <item x="98"/>
        <item x="380"/>
        <item x="1135"/>
        <item x="1593"/>
        <item x="1688"/>
        <item x="589"/>
        <item x="1662"/>
        <item x="781"/>
        <item x="1430"/>
        <item x="944"/>
        <item x="1285"/>
        <item x="1669"/>
        <item x="728"/>
        <item x="1691"/>
        <item x="1683"/>
        <item x="793"/>
        <item x="1036"/>
        <item x="914"/>
        <item x="1486"/>
        <item x="1728"/>
        <item x="1743"/>
        <item x="1316"/>
        <item x="564"/>
        <item x="1313"/>
        <item x="258"/>
        <item x="263"/>
        <item x="1407"/>
        <item x="1779"/>
        <item x="1753"/>
        <item x="1035"/>
        <item x="1160"/>
        <item x="507"/>
        <item x="492"/>
        <item x="1747"/>
        <item x="1724"/>
        <item x="435"/>
        <item x="1658"/>
        <item x="113"/>
        <item x="1536"/>
        <item x="188"/>
        <item x="1628"/>
        <item x="962"/>
        <item x="343"/>
        <item x="153"/>
        <item x="718"/>
        <item x="1149"/>
        <item x="1510"/>
        <item x="314"/>
        <item x="1085"/>
        <item x="1287"/>
        <item x="344"/>
        <item x="331"/>
        <item x="869"/>
        <item x="1774"/>
        <item x="952"/>
        <item x="515"/>
        <item x="1404"/>
        <item x="1281"/>
        <item x="322"/>
        <item x="1107"/>
        <item x="697"/>
        <item x="532"/>
        <item x="1729"/>
        <item x="1328"/>
        <item x="204"/>
        <item x="348"/>
        <item x="1720"/>
        <item x="419"/>
        <item x="557"/>
        <item x="1644"/>
        <item x="41"/>
        <item x="996"/>
        <item x="1230"/>
        <item x="196"/>
        <item x="518"/>
        <item x="335"/>
        <item x="489"/>
        <item x="388"/>
        <item x="55"/>
        <item x="1003"/>
        <item x="1246"/>
        <item x="1630"/>
        <item x="0"/>
        <item x="977"/>
        <item x="304"/>
        <item x="646"/>
        <item x="1159"/>
        <item x="1335"/>
        <item x="1713"/>
        <item x="545"/>
        <item x="1334"/>
        <item x="540"/>
        <item x="1468"/>
        <item x="231"/>
        <item x="606"/>
        <item x="1248"/>
        <item x="1561"/>
        <item x="1439"/>
        <item x="1680"/>
        <item x="966"/>
        <item x="299"/>
        <item x="675"/>
        <item x="1751"/>
        <item x="164"/>
        <item x="1432"/>
        <item x="1786"/>
        <item x="1306"/>
        <item x="1178"/>
        <item x="1189"/>
        <item x="1771"/>
        <item x="883"/>
        <item x="751"/>
        <item x="1333"/>
        <item x="169"/>
        <item x="790"/>
        <item x="1138"/>
        <item x="1522"/>
        <item x="1633"/>
        <item x="1450"/>
        <item x="1222"/>
        <item x="139"/>
        <item x="1734"/>
        <item x="50"/>
        <item x="927"/>
        <item x="259"/>
        <item x="1073"/>
        <item x="1049"/>
        <item x="1678"/>
        <item x="813"/>
        <item x="1535"/>
        <item x="1785"/>
        <item x="66"/>
        <item x="616"/>
        <item x="1043"/>
        <item x="1534"/>
        <item x="1010"/>
        <item x="943"/>
        <item x="1144"/>
        <item x="1418"/>
        <item x="1260"/>
        <item x="959"/>
        <item x="1030"/>
        <item x="841"/>
        <item x="937"/>
        <item x="3"/>
        <item x="1242"/>
        <item x="1757"/>
        <item x="1393"/>
        <item x="1115"/>
        <item x="670"/>
        <item x="1651"/>
        <item x="1028"/>
        <item x="1679"/>
        <item x="1475"/>
        <item x="950"/>
        <item x="1575"/>
        <item x="1209"/>
        <item x="1521"/>
        <item x="135"/>
        <item x="663"/>
        <item x="1176"/>
        <item x="1660"/>
        <item x="1617"/>
        <item x="1060"/>
        <item x="1315"/>
        <item x="1454"/>
        <item x="1689"/>
        <item x="1263"/>
        <item x="31"/>
        <item x="1126"/>
        <item x="989"/>
        <item x="1556"/>
        <item x="1303"/>
        <item x="1409"/>
        <item x="1453"/>
        <item x="1464"/>
        <item x="1700"/>
        <item x="1240"/>
        <item x="742"/>
        <item x="876"/>
        <item x="1493"/>
        <item x="1638"/>
        <item x="1251"/>
        <item x="983"/>
        <item x="1476"/>
        <item x="954"/>
        <item x="1569"/>
        <item x="1081"/>
        <item x="803"/>
        <item x="1708"/>
        <item x="1194"/>
        <item x="761"/>
        <item x="1473"/>
        <item x="969"/>
        <item x="626"/>
        <item x="1310"/>
        <item x="1477"/>
        <item x="1672"/>
        <item x="1448"/>
        <item x="1414"/>
        <item x="822"/>
        <item x="1384"/>
        <item x="1603"/>
        <item x="1607"/>
        <item x="1762"/>
        <item x="1740"/>
        <item x="1750"/>
        <item x="1684"/>
        <item x="1591"/>
        <item x="1425"/>
        <item x="1558"/>
        <item x="1598"/>
        <item x="1797"/>
        <item x="1462"/>
        <item x="1719"/>
        <item x="1353"/>
        <item x="1696"/>
        <item x="1582"/>
        <item x="1769"/>
        <item x="601"/>
        <item x="698"/>
        <item x="1632"/>
        <item x="1105"/>
        <item x="1218"/>
        <item x="775"/>
        <item x="1341"/>
        <item x="89"/>
        <item x="639"/>
        <item x="1001"/>
        <item x="1403"/>
        <item x="1676"/>
        <item x="1564"/>
        <item x="1247"/>
        <item x="780"/>
        <item x="798"/>
        <item x="1782"/>
        <item x="908"/>
        <item x="1614"/>
        <item x="1387"/>
        <item x="1324"/>
        <item x="1666"/>
        <item x="1650"/>
        <item x="913"/>
        <item x="988"/>
        <item x="1495"/>
        <item x="1543"/>
        <item x="1655"/>
        <item x="1501"/>
        <item x="873"/>
        <item x="1442"/>
        <item x="1095"/>
        <item x="119"/>
        <item x="723"/>
        <item x="1553"/>
        <item x="749"/>
        <item x="1746"/>
        <item x="1781"/>
        <item x="1205"/>
        <item x="1445"/>
        <item x="1481"/>
        <item x="1314"/>
        <item x="870"/>
        <item x="1675"/>
        <item x="1120"/>
        <item x="1681"/>
        <item x="656"/>
        <item x="975"/>
        <item x="705"/>
        <item x="1005"/>
        <item x="110"/>
        <item x="1752"/>
        <item x="283"/>
        <item x="1440"/>
        <item x="1443"/>
        <item x="1155"/>
        <item x="1169"/>
        <item x="737"/>
        <item x="1733"/>
        <item x="1428"/>
        <item x="1067"/>
        <item x="1369"/>
        <item x="1540"/>
        <item x="1467"/>
        <item x="765"/>
        <item x="1457"/>
        <item x="1320"/>
        <item x="593"/>
        <item x="1192"/>
        <item x="1026"/>
        <item x="809"/>
        <item x="1398"/>
        <item x="1185"/>
        <item x="635"/>
        <item x="1406"/>
        <item x="1202"/>
        <item x="1580"/>
        <item x="1664"/>
        <item x="609"/>
        <item x="1502"/>
        <item x="923"/>
        <item x="1530"/>
        <item x="1527"/>
        <item x="1331"/>
        <item x="712"/>
        <item x="367"/>
        <item x="1050"/>
        <item x="1761"/>
        <item x="858"/>
        <item x="828"/>
        <item x="250"/>
        <item x="1297"/>
        <item x="1799"/>
        <item x="1165"/>
        <item x="1490"/>
        <item x="1546"/>
        <item x="1775"/>
        <item x="694"/>
        <item x="1485"/>
        <item x="19"/>
        <item x="1741"/>
        <item x="680"/>
        <item x="1519"/>
        <item x="1181"/>
        <item x="1229"/>
        <item x="901"/>
        <item x="794"/>
        <item x="1723"/>
        <item x="1605"/>
        <item x="1348"/>
        <item x="1390"/>
        <item x="863"/>
        <item x="1626"/>
        <item x="1736"/>
        <item x="1631"/>
        <item x="1551"/>
        <item x="1726"/>
        <item x="1018"/>
        <item x="1670"/>
        <item x="1793"/>
        <item x="1727"/>
        <item x="964"/>
        <item x="1186"/>
        <item x="1574"/>
        <item x="43"/>
        <item x="895"/>
        <item x="1112"/>
        <item x="503"/>
        <item x="100"/>
        <item x="1365"/>
        <item x="835"/>
        <item x="1224"/>
        <item x="1215"/>
        <item x="328"/>
        <item x="1150"/>
        <item x="57"/>
        <item x="1548"/>
        <item x="129"/>
        <item x="1274"/>
        <item x="1380"/>
        <item x="730"/>
        <item x="80"/>
        <item x="1098"/>
        <item x="1756"/>
        <item x="1357"/>
        <item x="1620"/>
        <item x="1791"/>
        <item x="1517"/>
        <item x="850"/>
        <item x="934"/>
        <item x="1641"/>
        <item x="1255"/>
        <item x="1235"/>
        <item x="1704"/>
        <item x="998"/>
        <item x="1124"/>
        <item x="1659"/>
        <item x="1293"/>
        <item x="948"/>
        <item x="1610"/>
        <item x="980"/>
        <item x="1766"/>
        <item x="788"/>
        <item x="1647"/>
        <item x="1596"/>
        <item x="1372"/>
        <item x="1133"/>
        <item x="1289"/>
        <item x="1686"/>
        <item x="214"/>
        <item x="1499"/>
        <item x="1056"/>
        <item x="1586"/>
        <item x="1283"/>
        <item x="758"/>
        <item x="1300"/>
        <item x="887"/>
        <item x="1508"/>
        <item x="1360"/>
        <item x="686"/>
        <item x="1790"/>
        <item x="1702"/>
        <item x="648"/>
        <item x="1636"/>
        <item x="1711"/>
        <item x="1139"/>
        <item x="1039"/>
        <item x="1601"/>
        <item x="420"/>
        <item x="1088"/>
        <item x="517"/>
        <item x="1735"/>
        <item x="584"/>
        <item x="1337"/>
        <item x="1277"/>
        <item x="468"/>
        <item x="1434"/>
        <item x="497"/>
        <item x="454"/>
        <item x="404"/>
        <item x="151"/>
        <item x="437"/>
        <item x="1694"/>
        <item x="569"/>
        <item x="268"/>
        <item x="486"/>
        <item x="355"/>
        <item x="341"/>
        <item x="534"/>
        <item x="236"/>
        <item x="316"/>
        <item x="171"/>
        <item x="301"/>
        <item x="198"/>
        <item x="389"/>
        <item x="553"/>
        <item x="1802"/>
        <item h="1" x="1803"/>
        <item t="default"/>
      </items>
    </pivotField>
    <pivotField axis="axisRow" showAll="0">
      <items count="6">
        <item x="0"/>
        <item x="1"/>
        <item x="2"/>
        <item x="4"/>
        <item h="1"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Итого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F4579-287E-4AA2-A150-EEDCD23B784D}" name="Сводная таблица9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H78:M84" firstHeaderRow="0" firstDataRow="1" firstDataCol="1"/>
  <pivotFields count="8">
    <pivotField showAll="0"/>
    <pivotField axis="axisRow" dataField="1" showAll="0">
      <items count="7">
        <item x="4"/>
        <item x="2"/>
        <item x="1"/>
        <item x="5"/>
        <item x="0"/>
        <item h="1" x="3"/>
        <item t="default"/>
      </items>
    </pivotField>
    <pivotField showAll="0">
      <items count="8">
        <item x="3"/>
        <item x="0"/>
        <item x="4"/>
        <item x="1"/>
        <item x="5"/>
        <item x="6"/>
        <item x="2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Продажи, BYN" fld="7" baseField="1" baseItem="0" numFmtId="2"/>
    <dataField name="Количество продаж" fld="1" subtotal="count" baseField="1" baseItem="2"/>
    <dataField name="Средний чек" fld="7" subtotal="average" baseField="1" baseItem="2"/>
    <dataField name="Самое дорогое приобретение" fld="7" subtotal="max" baseField="1" baseItem="0"/>
    <dataField name="Самое дешевое приобретение" fld="7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24B51-EE59-49FE-BE33-FF1FC0E73CAA}" name="Сводная таблица17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rowHeaderCaption="Заказчик">
  <location ref="B87:C94" firstHeaderRow="1" firstDataRow="1" firstDataCol="1"/>
  <pivotFields count="9">
    <pivotField showAll="0"/>
    <pivotField axis="axisRow" showAll="0">
      <items count="7">
        <item x="4"/>
        <item x="2"/>
        <item x="1"/>
        <item x="5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Активность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F9EF4-628F-426E-A726-7F25259DE30C}" name="Сводная таблица8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F58:F72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14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"/>
        <item t="default"/>
      </items>
    </pivotField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915D0-8872-43C5-B845-E19145A96A12}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H2:J19" firstHeaderRow="1" firstDataRow="1" firstDataCol="0"/>
  <pivotFields count="8">
    <pivotField showAll="0">
      <items count="674">
        <item x="1"/>
        <item x="3"/>
        <item x="59"/>
        <item x="121"/>
        <item x="181"/>
        <item x="243"/>
        <item x="303"/>
        <item x="365"/>
        <item x="427"/>
        <item x="487"/>
        <item x="549"/>
        <item x="609"/>
        <item x="5"/>
        <item x="61"/>
        <item x="123"/>
        <item x="183"/>
        <item x="245"/>
        <item x="305"/>
        <item x="367"/>
        <item x="429"/>
        <item x="489"/>
        <item x="551"/>
        <item x="611"/>
        <item x="7"/>
        <item x="63"/>
        <item x="125"/>
        <item x="185"/>
        <item x="247"/>
        <item x="307"/>
        <item x="369"/>
        <item x="431"/>
        <item x="491"/>
        <item x="553"/>
        <item x="613"/>
        <item x="9"/>
        <item x="65"/>
        <item x="127"/>
        <item x="187"/>
        <item x="249"/>
        <item x="309"/>
        <item x="371"/>
        <item x="433"/>
        <item x="493"/>
        <item x="555"/>
        <item x="615"/>
        <item x="11"/>
        <item x="67"/>
        <item x="129"/>
        <item x="189"/>
        <item x="251"/>
        <item x="311"/>
        <item x="373"/>
        <item x="435"/>
        <item x="495"/>
        <item x="557"/>
        <item x="617"/>
        <item x="13"/>
        <item x="69"/>
        <item x="131"/>
        <item x="191"/>
        <item x="253"/>
        <item x="313"/>
        <item x="375"/>
        <item x="437"/>
        <item x="497"/>
        <item x="559"/>
        <item x="619"/>
        <item x="15"/>
        <item x="71"/>
        <item x="133"/>
        <item x="193"/>
        <item x="255"/>
        <item x="315"/>
        <item x="377"/>
        <item x="439"/>
        <item x="499"/>
        <item x="561"/>
        <item x="621"/>
        <item x="17"/>
        <item x="73"/>
        <item x="135"/>
        <item x="195"/>
        <item x="257"/>
        <item x="317"/>
        <item x="379"/>
        <item x="441"/>
        <item x="501"/>
        <item x="563"/>
        <item x="623"/>
        <item x="19"/>
        <item x="75"/>
        <item x="137"/>
        <item x="197"/>
        <item x="259"/>
        <item x="319"/>
        <item x="381"/>
        <item x="443"/>
        <item x="503"/>
        <item x="565"/>
        <item x="625"/>
        <item x="21"/>
        <item x="77"/>
        <item x="139"/>
        <item x="199"/>
        <item x="261"/>
        <item x="321"/>
        <item x="383"/>
        <item x="445"/>
        <item x="505"/>
        <item x="567"/>
        <item x="627"/>
        <item x="23"/>
        <item x="79"/>
        <item x="141"/>
        <item x="201"/>
        <item x="263"/>
        <item x="323"/>
        <item x="385"/>
        <item x="447"/>
        <item x="507"/>
        <item x="569"/>
        <item x="629"/>
        <item x="25"/>
        <item x="81"/>
        <item x="143"/>
        <item x="203"/>
        <item x="265"/>
        <item x="325"/>
        <item x="387"/>
        <item x="449"/>
        <item x="509"/>
        <item x="571"/>
        <item x="631"/>
        <item x="27"/>
        <item x="83"/>
        <item x="145"/>
        <item x="205"/>
        <item x="267"/>
        <item x="327"/>
        <item x="389"/>
        <item x="451"/>
        <item x="511"/>
        <item x="573"/>
        <item x="633"/>
        <item x="29"/>
        <item x="85"/>
        <item x="147"/>
        <item x="207"/>
        <item x="269"/>
        <item x="329"/>
        <item x="391"/>
        <item x="453"/>
        <item x="513"/>
        <item x="575"/>
        <item x="635"/>
        <item x="31"/>
        <item x="87"/>
        <item x="149"/>
        <item x="209"/>
        <item x="271"/>
        <item x="331"/>
        <item x="393"/>
        <item x="455"/>
        <item x="515"/>
        <item x="577"/>
        <item x="637"/>
        <item x="33"/>
        <item x="89"/>
        <item x="151"/>
        <item x="211"/>
        <item x="273"/>
        <item x="333"/>
        <item x="395"/>
        <item x="457"/>
        <item x="517"/>
        <item x="579"/>
        <item x="639"/>
        <item x="35"/>
        <item x="91"/>
        <item x="153"/>
        <item x="213"/>
        <item x="275"/>
        <item x="335"/>
        <item x="397"/>
        <item x="459"/>
        <item x="519"/>
        <item x="581"/>
        <item x="641"/>
        <item x="37"/>
        <item x="93"/>
        <item x="155"/>
        <item x="215"/>
        <item x="277"/>
        <item x="337"/>
        <item x="399"/>
        <item x="461"/>
        <item x="521"/>
        <item x="583"/>
        <item x="643"/>
        <item x="39"/>
        <item x="95"/>
        <item x="157"/>
        <item x="217"/>
        <item x="279"/>
        <item x="339"/>
        <item x="401"/>
        <item x="463"/>
        <item x="523"/>
        <item x="585"/>
        <item x="645"/>
        <item x="41"/>
        <item x="97"/>
        <item x="159"/>
        <item x="219"/>
        <item x="281"/>
        <item x="341"/>
        <item x="403"/>
        <item x="465"/>
        <item x="525"/>
        <item x="587"/>
        <item x="647"/>
        <item x="43"/>
        <item x="99"/>
        <item x="161"/>
        <item x="221"/>
        <item x="283"/>
        <item x="343"/>
        <item x="405"/>
        <item x="467"/>
        <item x="527"/>
        <item x="589"/>
        <item x="649"/>
        <item x="45"/>
        <item x="101"/>
        <item x="163"/>
        <item x="223"/>
        <item x="285"/>
        <item x="345"/>
        <item x="407"/>
        <item x="469"/>
        <item x="529"/>
        <item x="591"/>
        <item x="651"/>
        <item x="47"/>
        <item x="103"/>
        <item x="165"/>
        <item x="225"/>
        <item x="287"/>
        <item x="347"/>
        <item x="409"/>
        <item x="471"/>
        <item x="531"/>
        <item x="593"/>
        <item x="653"/>
        <item x="49"/>
        <item x="105"/>
        <item x="167"/>
        <item x="227"/>
        <item x="289"/>
        <item x="349"/>
        <item x="411"/>
        <item x="473"/>
        <item x="533"/>
        <item x="595"/>
        <item x="655"/>
        <item x="51"/>
        <item x="107"/>
        <item x="169"/>
        <item x="229"/>
        <item x="291"/>
        <item x="351"/>
        <item x="413"/>
        <item x="475"/>
        <item x="535"/>
        <item x="671"/>
        <item x="597"/>
        <item x="657"/>
        <item x="53"/>
        <item x="109"/>
        <item x="171"/>
        <item x="231"/>
        <item x="293"/>
        <item x="353"/>
        <item x="415"/>
        <item x="477"/>
        <item x="537"/>
        <item x="599"/>
        <item x="659"/>
        <item x="55"/>
        <item x="111"/>
        <item x="173"/>
        <item x="233"/>
        <item x="295"/>
        <item x="355"/>
        <item x="417"/>
        <item x="479"/>
        <item x="539"/>
        <item x="601"/>
        <item x="661"/>
        <item x="57"/>
        <item x="113"/>
        <item x="175"/>
        <item x="235"/>
        <item x="297"/>
        <item x="357"/>
        <item x="419"/>
        <item x="481"/>
        <item x="541"/>
        <item x="603"/>
        <item x="663"/>
        <item x="115"/>
        <item x="177"/>
        <item x="237"/>
        <item x="299"/>
        <item x="359"/>
        <item x="421"/>
        <item x="483"/>
        <item x="543"/>
        <item x="605"/>
        <item x="665"/>
        <item x="117"/>
        <item x="179"/>
        <item x="239"/>
        <item x="301"/>
        <item x="361"/>
        <item x="423"/>
        <item x="485"/>
        <item x="545"/>
        <item x="607"/>
        <item x="667"/>
        <item x="119"/>
        <item x="241"/>
        <item x="363"/>
        <item x="425"/>
        <item x="547"/>
        <item x="669"/>
        <item x="672"/>
        <item x="0"/>
        <item x="2"/>
        <item x="4"/>
        <item x="6"/>
        <item x="8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x="38"/>
        <item x="40"/>
        <item x="42"/>
        <item x="44"/>
        <item x="46"/>
        <item x="48"/>
        <item x="50"/>
        <item x="52"/>
        <item x="54"/>
        <item x="56"/>
        <item x="58"/>
        <item x="60"/>
        <item x="62"/>
        <item x="64"/>
        <item x="66"/>
        <item x="68"/>
        <item x="70"/>
        <item x="72"/>
        <item x="74"/>
        <item x="76"/>
        <item x="78"/>
        <item x="80"/>
        <item x="82"/>
        <item x="84"/>
        <item x="86"/>
        <item x="88"/>
        <item x="90"/>
        <item x="92"/>
        <item x="94"/>
        <item x="96"/>
        <item x="98"/>
        <item x="100"/>
        <item x="102"/>
        <item x="104"/>
        <item x="106"/>
        <item x="108"/>
        <item x="110"/>
        <item x="112"/>
        <item x="114"/>
        <item x="116"/>
        <item x="118"/>
        <item x="120"/>
        <item x="122"/>
        <item x="124"/>
        <item x="126"/>
        <item x="128"/>
        <item x="130"/>
        <item x="132"/>
        <item x="134"/>
        <item x="136"/>
        <item x="138"/>
        <item x="140"/>
        <item x="142"/>
        <item x="144"/>
        <item x="146"/>
        <item x="148"/>
        <item x="150"/>
        <item x="152"/>
        <item x="154"/>
        <item x="156"/>
        <item x="158"/>
        <item x="160"/>
        <item x="162"/>
        <item x="164"/>
        <item x="166"/>
        <item x="168"/>
        <item x="170"/>
        <item x="172"/>
        <item x="174"/>
        <item x="176"/>
        <item x="178"/>
        <item x="180"/>
        <item x="182"/>
        <item x="184"/>
        <item x="186"/>
        <item x="188"/>
        <item x="190"/>
        <item x="192"/>
        <item x="194"/>
        <item x="196"/>
        <item x="198"/>
        <item x="200"/>
        <item x="202"/>
        <item x="204"/>
        <item x="206"/>
        <item x="208"/>
        <item x="210"/>
        <item x="212"/>
        <item x="214"/>
        <item x="216"/>
        <item x="218"/>
        <item x="220"/>
        <item x="222"/>
        <item x="224"/>
        <item x="226"/>
        <item x="228"/>
        <item x="230"/>
        <item x="232"/>
        <item x="234"/>
        <item x="236"/>
        <item x="238"/>
        <item x="240"/>
        <item x="242"/>
        <item x="244"/>
        <item x="246"/>
        <item x="248"/>
        <item x="250"/>
        <item x="252"/>
        <item x="254"/>
        <item x="256"/>
        <item x="258"/>
        <item x="260"/>
        <item x="262"/>
        <item x="264"/>
        <item x="266"/>
        <item x="268"/>
        <item x="270"/>
        <item x="272"/>
        <item x="274"/>
        <item x="276"/>
        <item x="278"/>
        <item x="280"/>
        <item x="282"/>
        <item x="284"/>
        <item x="286"/>
        <item x="288"/>
        <item x="290"/>
        <item x="292"/>
        <item x="294"/>
        <item x="296"/>
        <item x="298"/>
        <item x="300"/>
        <item x="302"/>
        <item x="304"/>
        <item x="306"/>
        <item x="308"/>
        <item x="310"/>
        <item x="312"/>
        <item x="314"/>
        <item x="316"/>
        <item x="318"/>
        <item x="320"/>
        <item x="322"/>
        <item x="324"/>
        <item x="326"/>
        <item x="328"/>
        <item x="330"/>
        <item x="332"/>
        <item x="334"/>
        <item x="336"/>
        <item x="338"/>
        <item x="340"/>
        <item x="342"/>
        <item x="344"/>
        <item x="346"/>
        <item x="348"/>
        <item x="350"/>
        <item x="352"/>
        <item x="354"/>
        <item x="356"/>
        <item x="358"/>
        <item x="360"/>
        <item x="362"/>
        <item x="364"/>
        <item x="366"/>
        <item x="368"/>
        <item x="370"/>
        <item x="372"/>
        <item x="374"/>
        <item x="376"/>
        <item x="378"/>
        <item x="380"/>
        <item x="382"/>
        <item x="384"/>
        <item x="386"/>
        <item x="388"/>
        <item x="390"/>
        <item x="392"/>
        <item x="394"/>
        <item x="396"/>
        <item x="398"/>
        <item x="400"/>
        <item x="402"/>
        <item x="404"/>
        <item x="406"/>
        <item x="408"/>
        <item x="410"/>
        <item x="412"/>
        <item x="414"/>
        <item x="416"/>
        <item x="418"/>
        <item x="420"/>
        <item x="422"/>
        <item x="424"/>
        <item x="426"/>
        <item x="428"/>
        <item x="430"/>
        <item x="432"/>
        <item x="434"/>
        <item x="436"/>
        <item x="438"/>
        <item x="440"/>
        <item x="442"/>
        <item x="444"/>
        <item x="446"/>
        <item x="448"/>
        <item x="450"/>
        <item x="452"/>
        <item x="454"/>
        <item x="456"/>
        <item x="458"/>
        <item x="460"/>
        <item x="462"/>
        <item x="464"/>
        <item x="466"/>
        <item x="468"/>
        <item x="470"/>
        <item x="472"/>
        <item x="474"/>
        <item x="476"/>
        <item x="478"/>
        <item x="480"/>
        <item x="482"/>
        <item x="484"/>
        <item x="486"/>
        <item x="488"/>
        <item x="490"/>
        <item x="492"/>
        <item x="494"/>
        <item x="496"/>
        <item x="498"/>
        <item x="500"/>
        <item x="502"/>
        <item x="504"/>
        <item x="506"/>
        <item x="508"/>
        <item x="510"/>
        <item x="512"/>
        <item x="514"/>
        <item x="516"/>
        <item x="518"/>
        <item x="520"/>
        <item x="522"/>
        <item x="524"/>
        <item x="526"/>
        <item x="528"/>
        <item x="530"/>
        <item x="532"/>
        <item x="534"/>
        <item x="536"/>
        <item x="538"/>
        <item x="540"/>
        <item x="542"/>
        <item x="544"/>
        <item x="546"/>
        <item x="548"/>
        <item x="550"/>
        <item x="552"/>
        <item x="554"/>
        <item x="556"/>
        <item x="558"/>
        <item x="560"/>
        <item x="562"/>
        <item x="564"/>
        <item x="566"/>
        <item x="568"/>
        <item x="570"/>
        <item x="572"/>
        <item x="574"/>
        <item x="576"/>
        <item x="578"/>
        <item x="580"/>
        <item x="582"/>
        <item x="584"/>
        <item x="586"/>
        <item x="588"/>
        <item x="590"/>
        <item x="592"/>
        <item x="594"/>
        <item x="596"/>
        <item x="598"/>
        <item x="600"/>
        <item x="602"/>
        <item x="604"/>
        <item x="606"/>
        <item x="608"/>
        <item x="610"/>
        <item x="612"/>
        <item x="614"/>
        <item x="616"/>
        <item x="618"/>
        <item x="620"/>
        <item x="622"/>
        <item x="624"/>
        <item x="626"/>
        <item x="628"/>
        <item x="630"/>
        <item x="632"/>
        <item x="634"/>
        <item x="636"/>
        <item x="638"/>
        <item x="640"/>
        <item x="642"/>
        <item x="644"/>
        <item x="646"/>
        <item x="648"/>
        <item x="650"/>
        <item x="652"/>
        <item x="654"/>
        <item x="656"/>
        <item x="658"/>
        <item x="660"/>
        <item x="662"/>
        <item x="664"/>
        <item x="666"/>
        <item x="668"/>
        <item x="67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50371-8A67-4D1D-B3DE-CEC8D00F20A3}" name="Сводная таблица15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rowHeaderCaption="Наименование товара">
  <location ref="E79:F104" firstHeaderRow="1" firstDataRow="1" firstDataCol="1"/>
  <pivotFields count="9">
    <pivotField showAll="0"/>
    <pivotField showAll="0"/>
    <pivotField showAll="0"/>
    <pivotField showAll="0">
      <items count="6">
        <item x="1"/>
        <item x="2"/>
        <item x="0"/>
        <item x="4"/>
        <item x="3"/>
        <item t="default"/>
      </items>
    </pivotField>
    <pivotField axis="axisRow" showAll="0">
      <items count="26">
        <item x="0"/>
        <item x="24"/>
        <item x="16"/>
        <item x="17"/>
        <item x="14"/>
        <item x="21"/>
        <item x="22"/>
        <item x="2"/>
        <item x="8"/>
        <item x="9"/>
        <item x="18"/>
        <item x="15"/>
        <item x="23"/>
        <item x="11"/>
        <item x="12"/>
        <item x="6"/>
        <item x="1"/>
        <item x="19"/>
        <item x="4"/>
        <item x="5"/>
        <item x="13"/>
        <item x="20"/>
        <item x="7"/>
        <item x="10"/>
        <item h="1" x="3"/>
        <item t="default"/>
      </items>
    </pivotField>
    <pivotField showAll="0"/>
    <pivotField dataField="1" showAll="0"/>
    <pivotField numFmtId="164"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Сумма по полю Количество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EECD1-9082-43D6-B379-27652A1FD2DC}" name="Итоги!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J40:O46" firstHeaderRow="0" firstDataRow="1" firstDataCol="1"/>
  <pivotFields count="8">
    <pivotField showAll="0"/>
    <pivotField axis="axisRow" dataField="1" showAll="0">
      <items count="7">
        <item x="4"/>
        <item x="2"/>
        <item x="1"/>
        <item x="5"/>
        <item x="0"/>
        <item h="1" x="3"/>
        <item t="default"/>
      </items>
    </pivotField>
    <pivotField showAll="0">
      <items count="8">
        <item x="3"/>
        <item x="0"/>
        <item x="4"/>
        <item x="1"/>
        <item x="5"/>
        <item x="6"/>
        <item x="2"/>
        <item t="default"/>
      </items>
    </pivotField>
    <pivotField showAll="0"/>
    <pivotField showAll="0"/>
    <pivotField showAll="0"/>
    <pivotField showAll="0"/>
    <pivotField dataField="1" numFmtId="164" showAll="0">
      <items count="1805">
        <item x="611"/>
        <item x="531"/>
        <item x="574"/>
        <item x="1249"/>
        <item x="412"/>
        <item x="881"/>
        <item x="1078"/>
        <item x="1622"/>
        <item x="278"/>
        <item x="438"/>
        <item x="708"/>
        <item x="271"/>
        <item x="1219"/>
        <item x="1006"/>
        <item x="1063"/>
        <item x="342"/>
        <item x="181"/>
        <item x="1071"/>
        <item x="1118"/>
        <item x="1419"/>
        <item x="814"/>
        <item x="407"/>
        <item x="1031"/>
        <item x="862"/>
        <item x="928"/>
        <item x="495"/>
        <item x="1330"/>
        <item x="839"/>
        <item x="1597"/>
        <item x="672"/>
        <item x="148"/>
        <item x="241"/>
        <item x="38"/>
        <item x="279"/>
        <item x="1395"/>
        <item x="398"/>
        <item x="1413"/>
        <item x="683"/>
        <item x="53"/>
        <item x="1518"/>
        <item x="1452"/>
        <item x="24"/>
        <item x="118"/>
        <item x="1772"/>
        <item x="560"/>
        <item x="1210"/>
        <item x="1151"/>
        <item x="1225"/>
        <item x="562"/>
        <item x="1383"/>
        <item x="182"/>
        <item x="421"/>
        <item x="25"/>
        <item x="726"/>
        <item x="303"/>
        <item x="459"/>
        <item x="73"/>
        <item x="513"/>
        <item x="716"/>
        <item x="791"/>
        <item x="1539"/>
        <item x="1712"/>
        <item x="625"/>
        <item x="1034"/>
        <item x="1706"/>
        <item x="1022"/>
        <item x="93"/>
        <item x="116"/>
        <item x="244"/>
        <item x="178"/>
        <item x="1590"/>
        <item x="375"/>
        <item x="170"/>
        <item x="1738"/>
        <item x="528"/>
        <item x="1041"/>
        <item x="1542"/>
        <item x="431"/>
        <item x="63"/>
        <item x="445"/>
        <item x="1011"/>
        <item x="61"/>
        <item x="14"/>
        <item x="665"/>
        <item x="529"/>
        <item x="1531"/>
        <item x="956"/>
        <item x="125"/>
        <item x="1070"/>
        <item x="753"/>
        <item x="470"/>
        <item x="75"/>
        <item x="704"/>
        <item x="857"/>
        <item x="1156"/>
        <item x="1207"/>
        <item x="162"/>
        <item x="1302"/>
        <item x="13"/>
        <item x="1033"/>
        <item x="558"/>
        <item x="308"/>
        <item x="1338"/>
        <item x="1009"/>
        <item x="9"/>
        <item x="673"/>
        <item x="1102"/>
        <item x="1171"/>
        <item x="893"/>
        <item x="986"/>
        <item x="28"/>
        <item x="460"/>
        <item x="51"/>
        <item x="1038"/>
        <item x="1373"/>
        <item x="286"/>
        <item x="1420"/>
        <item x="1092"/>
        <item x="223"/>
        <item x="1177"/>
        <item x="561"/>
        <item x="1130"/>
        <item x="480"/>
        <item x="1146"/>
        <item x="114"/>
        <item x="684"/>
        <item x="260"/>
        <item x="509"/>
        <item x="664"/>
        <item x="992"/>
        <item x="277"/>
        <item x="481"/>
        <item x="1238"/>
        <item x="1216"/>
        <item x="542"/>
        <item x="1163"/>
        <item x="1162"/>
        <item x="1412"/>
        <item x="294"/>
        <item x="735"/>
        <item x="1168"/>
        <item x="1455"/>
        <item x="535"/>
        <item x="957"/>
        <item x="973"/>
        <item x="1447"/>
        <item x="368"/>
        <item x="1559"/>
        <item x="264"/>
        <item x="382"/>
        <item x="974"/>
        <item x="1391"/>
        <item x="856"/>
        <item x="327"/>
        <item x="505"/>
        <item x="496"/>
        <item x="291"/>
        <item x="155"/>
        <item x="904"/>
        <item x="310"/>
        <item x="274"/>
        <item x="1595"/>
        <item x="994"/>
        <item x="1175"/>
        <item x="1284"/>
        <item x="84"/>
        <item x="333"/>
        <item x="1503"/>
        <item x="172"/>
        <item x="154"/>
        <item x="130"/>
        <item x="612"/>
        <item x="522"/>
        <item x="1523"/>
        <item x="1051"/>
        <item x="628"/>
        <item x="1579"/>
        <item x="1578"/>
        <item x="1106"/>
        <item x="671"/>
        <item x="337"/>
        <item x="309"/>
        <item x="681"/>
        <item x="141"/>
        <item x="482"/>
        <item x="1511"/>
        <item x="1408"/>
        <item x="1237"/>
        <item x="357"/>
        <item x="590"/>
        <item x="401"/>
        <item x="324"/>
        <item x="220"/>
        <item x="245"/>
        <item x="370"/>
        <item x="45"/>
        <item x="827"/>
        <item x="1541"/>
        <item x="160"/>
        <item x="1615"/>
        <item x="157"/>
        <item x="325"/>
        <item x="378"/>
        <item x="619"/>
        <item x="1261"/>
        <item x="1077"/>
        <item x="134"/>
        <item x="743"/>
        <item x="1668"/>
        <item x="1076"/>
        <item x="1386"/>
        <item x="202"/>
        <item x="689"/>
        <item x="1000"/>
        <item x="1621"/>
        <item x="208"/>
        <item x="1732"/>
        <item x="924"/>
        <item x="149"/>
        <item x="837"/>
        <item x="275"/>
        <item x="1245"/>
        <item x="1382"/>
        <item x="568"/>
        <item x="1048"/>
        <item x="167"/>
        <item x="695"/>
        <item x="1187"/>
        <item x="772"/>
        <item x="1725"/>
        <item x="1206"/>
        <item x="817"/>
        <item x="383"/>
        <item x="981"/>
        <item x="46"/>
        <item x="361"/>
        <item x="1153"/>
        <item x="1084"/>
        <item x="229"/>
        <item x="191"/>
        <item x="1203"/>
        <item x="1204"/>
        <item x="1354"/>
        <item x="965"/>
        <item x="469"/>
        <item x="1494"/>
        <item x="1232"/>
        <item x="397"/>
        <item x="254"/>
        <item x="1520"/>
        <item x="86"/>
        <item x="4"/>
        <item x="1016"/>
        <item x="313"/>
        <item x="947"/>
        <item x="128"/>
        <item x="1742"/>
        <item x="1184"/>
        <item x="306"/>
        <item x="587"/>
        <item x="1526"/>
        <item x="799"/>
        <item x="120"/>
        <item x="1436"/>
        <item x="1066"/>
        <item x="812"/>
        <item x="78"/>
        <item x="237"/>
        <item x="1329"/>
        <item x="1461"/>
        <item x="177"/>
        <item x="184"/>
        <item x="230"/>
        <item x="1514"/>
        <item x="1657"/>
        <item x="506"/>
        <item x="360"/>
        <item x="387"/>
        <item x="1635"/>
        <item x="225"/>
        <item x="800"/>
        <item x="64"/>
        <item x="253"/>
        <item x="199"/>
        <item x="533"/>
        <item x="615"/>
        <item x="48"/>
        <item x="543"/>
        <item x="1062"/>
        <item x="1794"/>
        <item x="659"/>
        <item x="106"/>
        <item x="940"/>
        <item x="1487"/>
        <item x="1745"/>
        <item x="1653"/>
        <item x="1515"/>
        <item x="1256"/>
        <item x="1484"/>
        <item x="350"/>
        <item x="458"/>
        <item x="1470"/>
        <item x="512"/>
        <item x="1290"/>
        <item x="29"/>
        <item x="1460"/>
        <item x="212"/>
        <item x="58"/>
        <item x="1025"/>
        <item x="756"/>
        <item x="450"/>
        <item x="548"/>
        <item x="1730"/>
        <item x="1117"/>
        <item x="1254"/>
        <item x="999"/>
        <item x="1695"/>
        <item x="1259"/>
        <item x="287"/>
        <item x="1375"/>
        <item x="22"/>
        <item x="65"/>
        <item x="269"/>
        <item x="104"/>
        <item x="1697"/>
        <item x="1699"/>
        <item x="864"/>
        <item x="1272"/>
        <item x="1478"/>
        <item x="573"/>
        <item x="418"/>
        <item x="200"/>
        <item x="546"/>
        <item x="768"/>
        <item x="1488"/>
        <item x="715"/>
        <item x="750"/>
        <item x="830"/>
        <item x="641"/>
        <item x="490"/>
        <item x="847"/>
        <item x="676"/>
        <item x="427"/>
        <item x="1114"/>
        <item x="1537"/>
        <item x="1099"/>
        <item x="1744"/>
        <item x="364"/>
        <item x="376"/>
        <item x="1698"/>
        <item x="620"/>
        <item x="217"/>
        <item x="190"/>
        <item x="257"/>
        <item x="885"/>
        <item x="645"/>
        <item x="239"/>
        <item x="1427"/>
        <item x="379"/>
        <item x="1258"/>
        <item x="961"/>
        <item x="1113"/>
        <item x="638"/>
        <item x="1394"/>
        <item x="951"/>
        <item x="1737"/>
        <item x="131"/>
        <item x="840"/>
        <item x="189"/>
        <item x="631"/>
        <item x="1612"/>
        <item x="1307"/>
        <item x="117"/>
        <item x="745"/>
        <item x="762"/>
        <item x="1474"/>
        <item x="33"/>
        <item x="1046"/>
        <item x="1131"/>
        <item x="650"/>
        <item x="654"/>
        <item x="1399"/>
        <item x="1121"/>
        <item x="1340"/>
        <item x="738"/>
        <item x="657"/>
        <item x="426"/>
        <item x="1654"/>
        <item x="945"/>
        <item x="853"/>
        <item x="1288"/>
        <item x="242"/>
        <item x="1429"/>
        <item x="1560"/>
        <item x="1469"/>
        <item x="266"/>
        <item x="554"/>
        <item x="1023"/>
        <item x="789"/>
        <item x="1093"/>
        <item x="633"/>
        <item x="582"/>
        <item x="600"/>
        <item x="1544"/>
        <item x="1125"/>
        <item x="851"/>
        <item x="227"/>
        <item x="1371"/>
        <item x="667"/>
        <item x="1604"/>
        <item x="1368"/>
        <item x="968"/>
        <item x="1788"/>
        <item x="72"/>
        <item x="1426"/>
        <item x="1656"/>
        <item x="1309"/>
        <item x="472"/>
        <item x="938"/>
        <item x="1643"/>
        <item x="145"/>
        <item x="1091"/>
        <item x="1667"/>
        <item x="1336"/>
        <item x="385"/>
        <item x="1538"/>
        <item x="17"/>
        <item x="447"/>
        <item x="1437"/>
        <item x="1295"/>
        <item x="746"/>
        <item x="785"/>
        <item x="27"/>
        <item x="653"/>
        <item x="1042"/>
        <item x="1441"/>
        <item x="610"/>
        <item x="163"/>
        <item x="449"/>
        <item x="1190"/>
        <item x="108"/>
        <item x="1191"/>
        <item x="365"/>
        <item x="1411"/>
        <item x="807"/>
        <item x="1326"/>
        <item x="1007"/>
        <item x="816"/>
        <item x="392"/>
        <item x="993"/>
        <item x="692"/>
        <item x="408"/>
        <item x="878"/>
        <item x="1529"/>
        <item x="81"/>
        <item x="622"/>
        <item x="1250"/>
        <item x="441"/>
        <item x="1170"/>
        <item x="516"/>
        <item x="1318"/>
        <item x="67"/>
        <item x="124"/>
        <item x="787"/>
        <item x="206"/>
        <item x="868"/>
        <item x="1566"/>
        <item x="1346"/>
        <item x="714"/>
        <item x="256"/>
        <item x="636"/>
        <item x="1074"/>
        <item x="711"/>
        <item x="1417"/>
        <item x="570"/>
        <item x="406"/>
        <item x="555"/>
        <item x="782"/>
        <item x="1057"/>
        <item x="332"/>
        <item x="1466"/>
        <item x="637"/>
        <item x="466"/>
        <item x="917"/>
        <item x="158"/>
        <item x="228"/>
        <item x="1760"/>
        <item x="1017"/>
        <item x="661"/>
        <item x="280"/>
        <item x="1513"/>
        <item x="393"/>
        <item x="1512"/>
        <item x="877"/>
        <item x="577"/>
        <item x="719"/>
        <item x="677"/>
        <item x="1294"/>
        <item x="690"/>
        <item x="416"/>
        <item x="770"/>
        <item x="302"/>
        <item x="1069"/>
        <item x="1800"/>
        <item x="519"/>
        <item x="395"/>
        <item x="349"/>
        <item x="547"/>
        <item x="60"/>
        <item x="1533"/>
        <item x="467"/>
        <item x="1214"/>
        <item x="597"/>
        <item x="1584"/>
        <item x="1671"/>
        <item x="372"/>
        <item x="1"/>
        <item x="1634"/>
        <item x="213"/>
        <item x="173"/>
        <item x="1142"/>
        <item x="511"/>
        <item x="1764"/>
        <item x="1777"/>
        <item x="818"/>
        <item x="248"/>
        <item x="1243"/>
        <item x="796"/>
        <item x="8"/>
        <item x="588"/>
        <item x="907"/>
        <item x="434"/>
        <item x="1568"/>
        <item x="193"/>
        <item x="1619"/>
        <item x="1379"/>
        <item x="603"/>
        <item x="471"/>
        <item x="984"/>
        <item x="624"/>
        <item x="1528"/>
        <item x="488"/>
        <item x="1780"/>
        <item x="903"/>
        <item x="1195"/>
        <item x="1625"/>
        <item x="1278"/>
        <item x="581"/>
        <item x="44"/>
        <item x="1109"/>
        <item x="425"/>
        <item x="795"/>
        <item x="1415"/>
        <item x="477"/>
        <item x="1058"/>
        <item x="215"/>
        <item x="319"/>
        <item x="1019"/>
        <item x="205"/>
        <item x="699"/>
        <item x="1581"/>
        <item x="539"/>
        <item x="1789"/>
        <item x="233"/>
        <item x="919"/>
        <item x="1787"/>
        <item x="1196"/>
        <item x="1086"/>
        <item x="36"/>
        <item x="402"/>
        <item x="175"/>
        <item x="709"/>
        <item x="849"/>
        <item x="356"/>
        <item x="1304"/>
        <item x="52"/>
        <item x="417"/>
        <item x="15"/>
        <item x="1134"/>
        <item x="1157"/>
        <item x="187"/>
        <item x="1687"/>
        <item x="820"/>
        <item x="838"/>
        <item x="941"/>
        <item x="1594"/>
        <item x="409"/>
        <item x="11"/>
        <item x="1776"/>
        <item x="1509"/>
        <item x="1627"/>
        <item x="1532"/>
        <item x="62"/>
        <item x="594"/>
        <item x="1731"/>
        <item x="224"/>
        <item x="353"/>
        <item x="504"/>
        <item x="1358"/>
        <item x="20"/>
        <item x="140"/>
        <item x="1721"/>
        <item x="530"/>
        <item x="498"/>
        <item x="451"/>
        <item x="763"/>
        <item x="1701"/>
        <item x="321"/>
        <item x="713"/>
        <item x="915"/>
        <item x="1323"/>
        <item x="352"/>
        <item x="929"/>
        <item x="797"/>
        <item x="267"/>
        <item x="1044"/>
        <item x="42"/>
        <item x="1389"/>
        <item x="916"/>
        <item x="414"/>
        <item x="1549"/>
        <item x="1565"/>
        <item x="103"/>
        <item x="629"/>
        <item x="317"/>
        <item x="1642"/>
        <item x="1709"/>
        <item x="97"/>
        <item x="1768"/>
        <item x="773"/>
        <item x="487"/>
        <item x="1208"/>
        <item x="1332"/>
        <item x="744"/>
        <item x="899"/>
        <item x="185"/>
        <item x="1351"/>
        <item x="1648"/>
        <item x="559"/>
        <item x="6"/>
        <item x="161"/>
        <item x="1145"/>
        <item x="1571"/>
        <item x="433"/>
        <item x="1606"/>
        <item x="143"/>
        <item x="374"/>
        <item x="1047"/>
        <item x="1491"/>
        <item x="925"/>
        <item x="767"/>
        <item x="180"/>
        <item x="1456"/>
        <item x="1773"/>
        <item x="318"/>
        <item x="430"/>
        <item x="644"/>
        <item x="413"/>
        <item x="422"/>
        <item x="23"/>
        <item x="10"/>
        <item x="77"/>
        <item x="607"/>
        <item x="273"/>
        <item x="1253"/>
        <item x="1004"/>
        <item x="922"/>
        <item x="1262"/>
        <item x="455"/>
        <item x="1182"/>
        <item x="1507"/>
        <item x="1376"/>
        <item x="1416"/>
        <item x="494"/>
        <item x="359"/>
        <item x="1101"/>
        <item x="1015"/>
        <item x="369"/>
        <item x="297"/>
        <item x="810"/>
        <item x="1298"/>
        <item x="1045"/>
        <item x="1570"/>
        <item x="1100"/>
        <item x="1629"/>
        <item x="652"/>
        <item x="1213"/>
        <item x="101"/>
        <item x="1052"/>
        <item x="955"/>
        <item x="724"/>
        <item x="249"/>
        <item x="222"/>
        <item x="1280"/>
        <item x="270"/>
        <item x="1722"/>
        <item x="262"/>
        <item x="674"/>
        <item x="805"/>
        <item x="1233"/>
        <item x="1645"/>
        <item x="623"/>
        <item x="1588"/>
        <item x="930"/>
        <item x="1685"/>
        <item x="1362"/>
        <item x="1649"/>
        <item x="1029"/>
        <item x="972"/>
        <item x="211"/>
        <item x="282"/>
        <item x="1572"/>
        <item x="960"/>
        <item x="276"/>
        <item x="1690"/>
        <item x="1040"/>
        <item x="94"/>
        <item x="136"/>
        <item x="1652"/>
        <item x="526"/>
        <item x="1525"/>
        <item x="658"/>
        <item x="987"/>
        <item x="804"/>
        <item x="760"/>
        <item x="37"/>
        <item x="1504"/>
        <item x="197"/>
        <item x="1352"/>
        <item x="442"/>
        <item x="1767"/>
        <item x="995"/>
        <item x="142"/>
        <item x="483"/>
        <item x="1199"/>
        <item x="1273"/>
        <item x="946"/>
        <item x="608"/>
        <item x="35"/>
        <item x="1167"/>
        <item x="747"/>
        <item x="717"/>
        <item x="1108"/>
        <item x="1377"/>
        <item x="985"/>
        <item x="39"/>
        <item x="882"/>
        <item x="766"/>
        <item x="1140"/>
        <item x="1716"/>
        <item x="285"/>
        <item x="99"/>
        <item x="1602"/>
        <item x="567"/>
        <item x="1072"/>
        <item x="1322"/>
        <item x="429"/>
        <item x="1361"/>
        <item x="844"/>
        <item x="240"/>
        <item x="614"/>
        <item x="556"/>
        <item x="351"/>
        <item x="537"/>
        <item x="963"/>
        <item x="880"/>
        <item x="179"/>
        <item x="83"/>
        <item x="605"/>
        <item x="688"/>
        <item x="700"/>
        <item x="218"/>
        <item x="1554"/>
        <item x="69"/>
        <item x="660"/>
        <item x="1424"/>
        <item x="1152"/>
        <item x="550"/>
        <item x="226"/>
        <item x="1221"/>
        <item x="1349"/>
        <item x="842"/>
        <item x="627"/>
        <item x="334"/>
        <item x="1239"/>
        <item x="1271"/>
        <item x="1096"/>
        <item x="1472"/>
        <item x="147"/>
        <item x="523"/>
        <item x="12"/>
        <item x="457"/>
        <item x="1123"/>
        <item x="1707"/>
        <item x="174"/>
        <item x="776"/>
        <item x="1319"/>
        <item x="565"/>
        <item x="156"/>
        <item x="1778"/>
        <item x="500"/>
        <item x="1226"/>
        <item x="1755"/>
        <item x="875"/>
        <item x="866"/>
        <item x="586"/>
        <item x="1103"/>
        <item x="493"/>
        <item x="829"/>
        <item x="777"/>
        <item x="1759"/>
        <item x="1012"/>
        <item x="1783"/>
        <item x="1616"/>
        <item x="1217"/>
        <item x="1089"/>
        <item x="1587"/>
        <item x="265"/>
        <item x="541"/>
        <item x="1090"/>
        <item x="1193"/>
        <item x="79"/>
        <item x="578"/>
        <item x="668"/>
        <item x="1796"/>
        <item x="423"/>
        <item x="1270"/>
        <item x="649"/>
        <item x="1257"/>
        <item x="251"/>
        <item x="1174"/>
        <item x="1013"/>
        <item x="391"/>
        <item x="1141"/>
        <item x="936"/>
        <item x="1201"/>
        <item x="203"/>
        <item x="85"/>
        <item x="1275"/>
        <item x="982"/>
        <item x="833"/>
        <item x="1312"/>
        <item x="1422"/>
        <item x="630"/>
        <item x="1137"/>
        <item x="221"/>
        <item x="825"/>
        <item x="261"/>
        <item x="725"/>
        <item x="752"/>
        <item x="599"/>
        <item x="2"/>
        <item x="298"/>
        <item x="1223"/>
        <item x="843"/>
        <item x="1172"/>
        <item x="1021"/>
        <item x="1770"/>
        <item x="824"/>
        <item x="137"/>
        <item x="1609"/>
        <item x="912"/>
        <item x="1104"/>
        <item x="210"/>
        <item x="247"/>
        <item x="1677"/>
        <item x="54"/>
        <item x="112"/>
        <item x="538"/>
        <item x="90"/>
        <item x="1748"/>
        <item x="21"/>
        <item x="320"/>
        <item x="757"/>
        <item x="691"/>
        <item x="1496"/>
        <item x="891"/>
        <item x="1345"/>
        <item x="1500"/>
        <item x="879"/>
        <item x="834"/>
        <item x="1344"/>
        <item x="1265"/>
        <item x="1444"/>
        <item x="168"/>
        <item x="1179"/>
        <item x="707"/>
        <item x="1269"/>
        <item x="1068"/>
        <item x="748"/>
        <item x="1552"/>
        <item x="1611"/>
        <item x="1459"/>
        <item x="1054"/>
        <item x="68"/>
        <item x="801"/>
        <item x="311"/>
        <item x="1136"/>
        <item x="1506"/>
        <item x="1637"/>
        <item x="1715"/>
        <item x="821"/>
        <item x="26"/>
        <item x="613"/>
        <item x="1640"/>
        <item x="474"/>
        <item x="363"/>
        <item x="874"/>
        <item x="571"/>
        <item x="1710"/>
        <item x="774"/>
        <item x="1279"/>
        <item x="734"/>
        <item x="288"/>
        <item x="1014"/>
        <item x="358"/>
        <item x="1435"/>
        <item x="886"/>
        <item x="621"/>
        <item x="1342"/>
        <item x="1576"/>
        <item x="1497"/>
        <item x="575"/>
        <item x="991"/>
        <item x="186"/>
        <item x="1758"/>
        <item x="544"/>
        <item x="464"/>
        <item x="411"/>
        <item x="1374"/>
        <item x="1127"/>
        <item x="1266"/>
        <item x="1143"/>
        <item x="997"/>
        <item x="771"/>
        <item x="1234"/>
        <item x="88"/>
        <item x="651"/>
        <item x="1282"/>
        <item x="478"/>
        <item x="867"/>
        <item x="1505"/>
        <item x="892"/>
        <item x="527"/>
        <item x="499"/>
        <item x="219"/>
        <item x="909"/>
        <item x="1339"/>
        <item x="138"/>
        <item x="786"/>
        <item x="890"/>
        <item x="424"/>
        <item x="1396"/>
        <item x="30"/>
        <item x="678"/>
        <item x="235"/>
        <item x="5"/>
        <item x="618"/>
        <item x="1550"/>
        <item x="836"/>
        <item x="1573"/>
        <item x="576"/>
        <item x="1350"/>
        <item x="819"/>
        <item x="1267"/>
        <item x="942"/>
        <item x="377"/>
        <item x="1498"/>
        <item x="194"/>
        <item x="1714"/>
        <item x="1347"/>
        <item x="1583"/>
        <item x="111"/>
        <item x="16"/>
        <item x="146"/>
        <item x="595"/>
        <item x="888"/>
        <item x="1180"/>
        <item x="729"/>
        <item x="238"/>
        <item x="1111"/>
        <item x="166"/>
        <item x="281"/>
        <item x="687"/>
        <item x="446"/>
        <item x="1703"/>
        <item x="49"/>
        <item x="390"/>
        <item x="617"/>
        <item x="432"/>
        <item x="1037"/>
        <item x="1438"/>
        <item x="733"/>
        <item x="345"/>
        <item x="1075"/>
        <item x="1388"/>
        <item x="315"/>
        <item x="399"/>
        <item x="1020"/>
        <item x="1008"/>
        <item x="1479"/>
        <item x="340"/>
        <item x="1064"/>
        <item x="501"/>
        <item x="329"/>
        <item x="1148"/>
        <item x="1784"/>
        <item x="91"/>
        <item x="634"/>
        <item x="362"/>
        <item x="1692"/>
        <item x="679"/>
        <item x="872"/>
        <item x="1798"/>
        <item x="1244"/>
        <item x="272"/>
        <item x="754"/>
        <item x="604"/>
        <item x="1200"/>
        <item x="1305"/>
        <item x="347"/>
        <item x="1705"/>
        <item x="1366"/>
        <item x="336"/>
        <item x="596"/>
        <item x="1623"/>
        <item x="40"/>
        <item x="105"/>
        <item x="845"/>
        <item x="1299"/>
        <item x="520"/>
        <item x="1198"/>
        <item x="1161"/>
        <item x="958"/>
        <item x="905"/>
        <item x="579"/>
        <item x="918"/>
        <item x="1682"/>
        <item x="381"/>
        <item x="865"/>
        <item x="485"/>
        <item x="860"/>
        <item x="115"/>
        <item x="721"/>
        <item x="300"/>
        <item x="855"/>
        <item x="1516"/>
        <item x="1381"/>
        <item x="476"/>
        <item x="740"/>
        <item x="906"/>
        <item x="1301"/>
        <item x="255"/>
        <item x="1055"/>
        <item x="443"/>
        <item x="405"/>
        <item x="1646"/>
        <item x="808"/>
        <item x="1483"/>
        <item x="911"/>
        <item x="92"/>
        <item x="549"/>
        <item x="1264"/>
        <item x="861"/>
        <item x="373"/>
        <item x="1718"/>
        <item x="759"/>
        <item x="647"/>
        <item x="783"/>
        <item x="1220"/>
        <item x="1065"/>
        <item x="831"/>
        <item x="1097"/>
        <item x="755"/>
        <item x="473"/>
        <item x="1079"/>
        <item x="602"/>
        <item x="1674"/>
        <item x="47"/>
        <item x="854"/>
        <item x="978"/>
        <item x="926"/>
        <item x="640"/>
        <item x="448"/>
        <item x="32"/>
        <item x="1183"/>
        <item x="150"/>
        <item x="1562"/>
        <item x="792"/>
        <item x="307"/>
        <item x="384"/>
        <item x="183"/>
        <item x="591"/>
        <item x="769"/>
        <item x="465"/>
        <item x="232"/>
        <item x="884"/>
        <item x="931"/>
        <item x="1458"/>
        <item x="889"/>
        <item x="1164"/>
        <item x="56"/>
        <item x="1356"/>
        <item x="456"/>
        <item x="439"/>
        <item x="1749"/>
        <item x="971"/>
        <item x="1082"/>
        <item x="1402"/>
        <item x="463"/>
        <item x="1421"/>
        <item x="354"/>
        <item x="1397"/>
        <item x="1087"/>
        <item x="415"/>
        <item x="898"/>
        <item x="95"/>
        <item x="731"/>
        <item x="1053"/>
        <item x="696"/>
        <item x="339"/>
        <item x="1592"/>
        <item x="1236"/>
        <item x="305"/>
        <item x="1599"/>
        <item x="1227"/>
        <item x="440"/>
        <item x="592"/>
        <item x="1094"/>
        <item x="921"/>
        <item x="1410"/>
        <item x="826"/>
        <item x="1451"/>
        <item x="1311"/>
        <item x="1147"/>
        <item x="939"/>
        <item x="525"/>
        <item x="252"/>
        <item x="778"/>
        <item x="967"/>
        <item x="1577"/>
        <item x="732"/>
        <item x="1385"/>
        <item x="1083"/>
        <item x="338"/>
        <item x="1276"/>
        <item x="632"/>
        <item x="461"/>
        <item x="669"/>
        <item x="102"/>
        <item x="806"/>
        <item x="702"/>
        <item x="779"/>
        <item x="701"/>
        <item x="1241"/>
        <item x="491"/>
        <item x="811"/>
        <item x="1795"/>
        <item x="932"/>
        <item x="76"/>
        <item x="1673"/>
        <item x="216"/>
        <item x="1482"/>
        <item x="514"/>
        <item x="1763"/>
        <item x="1116"/>
        <item x="521"/>
        <item x="195"/>
        <item x="910"/>
        <item x="1173"/>
        <item x="666"/>
        <item x="935"/>
        <item x="326"/>
        <item x="201"/>
        <item x="1327"/>
        <item x="706"/>
        <item x="900"/>
        <item x="152"/>
        <item x="121"/>
        <item x="1367"/>
        <item x="284"/>
        <item x="1754"/>
        <item x="1122"/>
        <item x="1600"/>
        <item x="739"/>
        <item x="583"/>
        <item x="510"/>
        <item x="580"/>
        <item x="1567"/>
        <item x="444"/>
        <item x="1158"/>
        <item x="1166"/>
        <item x="295"/>
        <item x="655"/>
        <item x="585"/>
        <item x="107"/>
        <item x="933"/>
        <item x="403"/>
        <item x="1231"/>
        <item x="1392"/>
        <item x="736"/>
        <item x="1465"/>
        <item x="144"/>
        <item x="289"/>
        <item x="1132"/>
        <item x="902"/>
        <item x="396"/>
        <item x="1308"/>
        <item x="1489"/>
        <item x="1321"/>
        <item x="682"/>
        <item x="1317"/>
        <item x="720"/>
        <item x="1524"/>
        <item x="508"/>
        <item x="566"/>
        <item x="484"/>
        <item x="741"/>
        <item x="662"/>
        <item x="1325"/>
        <item x="764"/>
        <item x="524"/>
        <item x="1032"/>
        <item x="894"/>
        <item x="1492"/>
        <item x="563"/>
        <item x="1364"/>
        <item x="572"/>
        <item x="475"/>
        <item x="784"/>
        <item x="1061"/>
        <item x="1608"/>
        <item x="82"/>
        <item x="642"/>
        <item x="1401"/>
        <item x="366"/>
        <item x="1624"/>
        <item x="1717"/>
        <item x="551"/>
        <item x="209"/>
        <item x="1557"/>
        <item x="1212"/>
        <item x="410"/>
        <item x="1291"/>
        <item x="1765"/>
        <item x="70"/>
        <item x="159"/>
        <item x="949"/>
        <item x="1400"/>
        <item x="1480"/>
        <item x="710"/>
        <item x="462"/>
        <item x="1129"/>
        <item x="207"/>
        <item x="1449"/>
        <item x="1431"/>
        <item x="71"/>
        <item x="693"/>
        <item x="234"/>
        <item x="871"/>
        <item x="1154"/>
        <item x="1027"/>
        <item x="976"/>
        <item x="127"/>
        <item x="296"/>
        <item x="18"/>
        <item x="1639"/>
        <item x="1585"/>
        <item x="953"/>
        <item x="852"/>
        <item x="400"/>
        <item x="1002"/>
        <item x="1252"/>
        <item x="1446"/>
        <item x="685"/>
        <item x="896"/>
        <item x="1378"/>
        <item x="1555"/>
        <item x="371"/>
        <item x="979"/>
        <item x="802"/>
        <item x="7"/>
        <item x="452"/>
        <item x="1661"/>
        <item x="502"/>
        <item x="1024"/>
        <item x="920"/>
        <item x="165"/>
        <item x="1471"/>
        <item x="846"/>
        <item x="132"/>
        <item x="1663"/>
        <item x="1110"/>
        <item x="1423"/>
        <item x="859"/>
        <item x="1545"/>
        <item x="346"/>
        <item x="990"/>
        <item x="453"/>
        <item x="290"/>
        <item x="1359"/>
        <item x="1618"/>
        <item x="1463"/>
        <item x="246"/>
        <item x="479"/>
        <item x="1739"/>
        <item x="1801"/>
        <item x="1405"/>
        <item x="643"/>
        <item x="1693"/>
        <item x="703"/>
        <item x="1228"/>
        <item x="394"/>
        <item x="1665"/>
        <item x="59"/>
        <item x="176"/>
        <item x="122"/>
        <item x="1370"/>
        <item x="123"/>
        <item x="1433"/>
        <item x="815"/>
        <item x="34"/>
        <item x="292"/>
        <item x="293"/>
        <item x="1343"/>
        <item x="1355"/>
        <item x="243"/>
        <item x="1363"/>
        <item x="1211"/>
        <item x="1296"/>
        <item x="330"/>
        <item x="1197"/>
        <item x="1128"/>
        <item x="1589"/>
        <item x="192"/>
        <item x="1563"/>
        <item x="1792"/>
        <item x="96"/>
        <item x="74"/>
        <item x="536"/>
        <item x="832"/>
        <item x="727"/>
        <item x="133"/>
        <item x="386"/>
        <item x="1188"/>
        <item x="598"/>
        <item x="1268"/>
        <item x="1613"/>
        <item x="1286"/>
        <item x="970"/>
        <item x="823"/>
        <item x="87"/>
        <item x="312"/>
        <item x="126"/>
        <item x="897"/>
        <item x="848"/>
        <item x="1059"/>
        <item x="1292"/>
        <item x="722"/>
        <item x="1080"/>
        <item x="1119"/>
        <item x="436"/>
        <item x="323"/>
        <item x="1547"/>
        <item x="552"/>
        <item x="109"/>
        <item x="428"/>
        <item x="98"/>
        <item x="380"/>
        <item x="1135"/>
        <item x="1593"/>
        <item x="1688"/>
        <item x="589"/>
        <item x="1662"/>
        <item x="781"/>
        <item x="1430"/>
        <item x="944"/>
        <item x="1285"/>
        <item x="1669"/>
        <item x="728"/>
        <item x="1691"/>
        <item x="1683"/>
        <item x="793"/>
        <item x="1036"/>
        <item x="914"/>
        <item x="1486"/>
        <item x="1728"/>
        <item x="1743"/>
        <item x="1316"/>
        <item x="564"/>
        <item x="1313"/>
        <item x="258"/>
        <item x="263"/>
        <item x="1407"/>
        <item x="1779"/>
        <item x="1753"/>
        <item x="1035"/>
        <item x="1160"/>
        <item x="507"/>
        <item x="492"/>
        <item x="1747"/>
        <item x="1724"/>
        <item x="435"/>
        <item x="1658"/>
        <item x="113"/>
        <item x="1536"/>
        <item x="188"/>
        <item x="1628"/>
        <item x="962"/>
        <item x="343"/>
        <item x="153"/>
        <item x="718"/>
        <item x="1149"/>
        <item x="1510"/>
        <item x="314"/>
        <item x="1085"/>
        <item x="1287"/>
        <item x="344"/>
        <item x="331"/>
        <item x="869"/>
        <item x="1774"/>
        <item x="952"/>
        <item x="515"/>
        <item x="1404"/>
        <item x="1281"/>
        <item x="322"/>
        <item x="1107"/>
        <item x="697"/>
        <item x="532"/>
        <item x="1729"/>
        <item x="1328"/>
        <item x="204"/>
        <item x="348"/>
        <item x="1720"/>
        <item x="419"/>
        <item x="557"/>
        <item x="1644"/>
        <item x="41"/>
        <item x="996"/>
        <item x="1230"/>
        <item x="196"/>
        <item x="518"/>
        <item x="335"/>
        <item x="489"/>
        <item x="388"/>
        <item x="55"/>
        <item x="1003"/>
        <item x="1246"/>
        <item x="1630"/>
        <item x="0"/>
        <item x="977"/>
        <item x="304"/>
        <item x="646"/>
        <item x="1159"/>
        <item x="1335"/>
        <item x="1713"/>
        <item x="545"/>
        <item x="1334"/>
        <item x="540"/>
        <item x="1468"/>
        <item x="231"/>
        <item x="606"/>
        <item x="1248"/>
        <item x="1561"/>
        <item x="1439"/>
        <item x="1680"/>
        <item x="966"/>
        <item x="299"/>
        <item x="675"/>
        <item x="1751"/>
        <item x="164"/>
        <item x="1432"/>
        <item x="1786"/>
        <item x="1306"/>
        <item x="1178"/>
        <item x="1189"/>
        <item x="1771"/>
        <item x="883"/>
        <item x="751"/>
        <item x="1333"/>
        <item x="169"/>
        <item x="790"/>
        <item x="1138"/>
        <item x="1522"/>
        <item x="1633"/>
        <item x="1450"/>
        <item x="1222"/>
        <item x="139"/>
        <item x="1734"/>
        <item x="50"/>
        <item x="927"/>
        <item x="259"/>
        <item x="1073"/>
        <item x="1049"/>
        <item x="1678"/>
        <item x="813"/>
        <item x="1535"/>
        <item x="1785"/>
        <item x="66"/>
        <item x="616"/>
        <item x="1043"/>
        <item x="1534"/>
        <item x="1010"/>
        <item x="943"/>
        <item x="1144"/>
        <item x="1418"/>
        <item x="1260"/>
        <item x="959"/>
        <item x="1030"/>
        <item x="841"/>
        <item x="937"/>
        <item x="3"/>
        <item x="1242"/>
        <item x="1757"/>
        <item x="1393"/>
        <item x="1115"/>
        <item x="670"/>
        <item x="1651"/>
        <item x="1028"/>
        <item x="1679"/>
        <item x="1475"/>
        <item x="950"/>
        <item x="1575"/>
        <item x="1209"/>
        <item x="1521"/>
        <item x="135"/>
        <item x="663"/>
        <item x="1176"/>
        <item x="1660"/>
        <item x="1617"/>
        <item x="1060"/>
        <item x="1315"/>
        <item x="1454"/>
        <item x="1689"/>
        <item x="1263"/>
        <item x="31"/>
        <item x="1126"/>
        <item x="989"/>
        <item x="1556"/>
        <item x="1303"/>
        <item x="1409"/>
        <item x="1453"/>
        <item x="1464"/>
        <item x="1700"/>
        <item x="1240"/>
        <item x="742"/>
        <item x="876"/>
        <item x="1493"/>
        <item x="1638"/>
        <item x="1251"/>
        <item x="983"/>
        <item x="1476"/>
        <item x="954"/>
        <item x="1569"/>
        <item x="1081"/>
        <item x="803"/>
        <item x="1708"/>
        <item x="1194"/>
        <item x="761"/>
        <item x="1473"/>
        <item x="969"/>
        <item x="626"/>
        <item x="1310"/>
        <item x="1477"/>
        <item x="1672"/>
        <item x="1448"/>
        <item x="1414"/>
        <item x="822"/>
        <item x="1384"/>
        <item x="1603"/>
        <item x="1607"/>
        <item x="1762"/>
        <item x="1740"/>
        <item x="1750"/>
        <item x="1684"/>
        <item x="1591"/>
        <item x="1425"/>
        <item x="1558"/>
        <item x="1598"/>
        <item x="1797"/>
        <item x="1462"/>
        <item x="1719"/>
        <item x="1353"/>
        <item x="1696"/>
        <item x="1582"/>
        <item x="1769"/>
        <item x="601"/>
        <item x="698"/>
        <item x="1632"/>
        <item x="1105"/>
        <item x="1218"/>
        <item x="775"/>
        <item x="1341"/>
        <item x="89"/>
        <item x="639"/>
        <item x="1001"/>
        <item x="1403"/>
        <item x="1676"/>
        <item x="1564"/>
        <item x="1247"/>
        <item x="780"/>
        <item x="798"/>
        <item x="1782"/>
        <item x="908"/>
        <item x="1614"/>
        <item x="1387"/>
        <item x="1324"/>
        <item x="1666"/>
        <item x="1650"/>
        <item x="913"/>
        <item x="988"/>
        <item x="1495"/>
        <item x="1543"/>
        <item x="1655"/>
        <item x="1501"/>
        <item x="873"/>
        <item x="1442"/>
        <item x="1095"/>
        <item x="119"/>
        <item x="723"/>
        <item x="1553"/>
        <item x="749"/>
        <item x="1746"/>
        <item x="1781"/>
        <item x="1205"/>
        <item x="1445"/>
        <item x="1481"/>
        <item x="1314"/>
        <item x="870"/>
        <item x="1675"/>
        <item x="1120"/>
        <item x="1681"/>
        <item x="656"/>
        <item x="975"/>
        <item x="705"/>
        <item x="1005"/>
        <item x="110"/>
        <item x="1752"/>
        <item x="283"/>
        <item x="1440"/>
        <item x="1443"/>
        <item x="1155"/>
        <item x="1169"/>
        <item x="737"/>
        <item x="1733"/>
        <item x="1428"/>
        <item x="1067"/>
        <item x="1369"/>
        <item x="1540"/>
        <item x="1467"/>
        <item x="765"/>
        <item x="1457"/>
        <item x="1320"/>
        <item x="593"/>
        <item x="1192"/>
        <item x="1026"/>
        <item x="809"/>
        <item x="1398"/>
        <item x="1185"/>
        <item x="635"/>
        <item x="1406"/>
        <item x="1202"/>
        <item x="1580"/>
        <item x="1664"/>
        <item x="609"/>
        <item x="1502"/>
        <item x="923"/>
        <item x="1530"/>
        <item x="1527"/>
        <item x="1331"/>
        <item x="712"/>
        <item x="367"/>
        <item x="1050"/>
        <item x="1761"/>
        <item x="858"/>
        <item x="828"/>
        <item x="250"/>
        <item x="1297"/>
        <item x="1799"/>
        <item x="1165"/>
        <item x="1490"/>
        <item x="1546"/>
        <item x="1775"/>
        <item x="694"/>
        <item x="1485"/>
        <item x="19"/>
        <item x="1741"/>
        <item x="680"/>
        <item x="1519"/>
        <item x="1181"/>
        <item x="1229"/>
        <item x="901"/>
        <item x="794"/>
        <item x="1723"/>
        <item x="1605"/>
        <item x="1348"/>
        <item x="1390"/>
        <item x="863"/>
        <item x="1626"/>
        <item x="1736"/>
        <item x="1631"/>
        <item x="1551"/>
        <item x="1726"/>
        <item x="1018"/>
        <item x="1670"/>
        <item x="1793"/>
        <item x="1727"/>
        <item x="964"/>
        <item x="1186"/>
        <item x="1574"/>
        <item x="43"/>
        <item x="895"/>
        <item x="1112"/>
        <item x="503"/>
        <item x="100"/>
        <item x="1365"/>
        <item x="835"/>
        <item x="1224"/>
        <item x="1215"/>
        <item x="328"/>
        <item x="1150"/>
        <item x="57"/>
        <item x="1548"/>
        <item x="129"/>
        <item x="1274"/>
        <item x="1380"/>
        <item x="730"/>
        <item x="80"/>
        <item x="1098"/>
        <item x="1756"/>
        <item x="1357"/>
        <item x="1620"/>
        <item x="1791"/>
        <item x="1517"/>
        <item x="850"/>
        <item x="934"/>
        <item x="1641"/>
        <item x="1255"/>
        <item x="1235"/>
        <item x="1704"/>
        <item x="998"/>
        <item x="1124"/>
        <item x="1659"/>
        <item x="1293"/>
        <item x="948"/>
        <item x="1610"/>
        <item x="980"/>
        <item x="1766"/>
        <item x="788"/>
        <item x="1647"/>
        <item x="1596"/>
        <item x="1372"/>
        <item x="1133"/>
        <item x="1289"/>
        <item x="1686"/>
        <item x="214"/>
        <item x="1499"/>
        <item x="1056"/>
        <item x="1586"/>
        <item x="1283"/>
        <item x="758"/>
        <item x="1300"/>
        <item x="887"/>
        <item x="1508"/>
        <item x="1360"/>
        <item x="686"/>
        <item x="1790"/>
        <item x="1702"/>
        <item x="648"/>
        <item x="1636"/>
        <item x="1711"/>
        <item x="1139"/>
        <item x="1039"/>
        <item x="1601"/>
        <item x="420"/>
        <item x="1088"/>
        <item x="517"/>
        <item x="1735"/>
        <item x="584"/>
        <item x="1337"/>
        <item x="1277"/>
        <item x="468"/>
        <item x="1434"/>
        <item x="497"/>
        <item x="454"/>
        <item x="404"/>
        <item x="151"/>
        <item x="437"/>
        <item x="1694"/>
        <item x="569"/>
        <item x="268"/>
        <item x="486"/>
        <item x="355"/>
        <item x="341"/>
        <item x="534"/>
        <item x="236"/>
        <item x="316"/>
        <item x="171"/>
        <item x="301"/>
        <item x="198"/>
        <item x="389"/>
        <item x="553"/>
        <item x="1802"/>
        <item x="180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Продажи, BYN" fld="7" baseField="1" baseItem="0" numFmtId="2"/>
    <dataField name="Количество продаж" fld="1" subtotal="count" baseField="1" baseItem="2"/>
    <dataField name="Средний чек" fld="7" subtotal="average" baseField="1" baseItem="2"/>
    <dataField name="Самое дорогое приобретение" fld="7" subtotal="max" baseField="1" baseItem="0"/>
    <dataField name="Самое дешевое приобретение" fld="7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94157-4637-47BE-BC56-4A588FC14711}" name="Сводная таблица11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K90:L144" firstHeaderRow="1" firstDataRow="1" firstDataCol="1"/>
  <pivotFields count="9">
    <pivotField showAll="0"/>
    <pivotField axis="axisRow" showAll="0">
      <items count="7">
        <item x="4"/>
        <item x="2"/>
        <item x="1"/>
        <item x="5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axis="axisRow" showAll="0">
      <items count="14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"/>
        <item t="default"/>
      </items>
    </pivotField>
  </pivotFields>
  <rowFields count="2">
    <field x="1"/>
    <field x="8"/>
  </rowFields>
  <rowItems count="54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Сумма по полю Итого" fld="7" showDataAs="runTotal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C96FD-E59F-49E6-B740-D0BD09A8BA1F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B2:C9" firstHeaderRow="1" firstDataRow="1" firstDataCol="1"/>
  <pivotFields count="8">
    <pivotField showAll="0"/>
    <pivotField showAll="0"/>
    <pivotField axis="axisRow" showAll="0">
      <items count="8">
        <item x="3"/>
        <item x="0"/>
        <item x="4"/>
        <item x="1"/>
        <item x="5"/>
        <item x="6"/>
        <item h="1" x="2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умма по полю Итого" fld="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806E4-545F-4183-AA5A-59F445CA5E7D}" name="Сводная таблица16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108:C112" firstHeaderRow="1" firstDataRow="1" firstDataCol="1"/>
  <pivotFields count="9">
    <pivotField showAll="0"/>
    <pivotField showAll="0"/>
    <pivotField axis="axisRow" showAll="0">
      <items count="8">
        <item h="1" x="3"/>
        <item x="0"/>
        <item h="1" x="4"/>
        <item x="1"/>
        <item h="1" x="5"/>
        <item x="6"/>
        <item h="1" x="2"/>
        <item t="default"/>
      </items>
    </pivotField>
    <pivotField showAll="0"/>
    <pivotField showAll="0"/>
    <pivotField showAll="0"/>
    <pivotField showAll="0"/>
    <pivotField dataField="1" numFmtId="164" showAll="0">
      <items count="1805">
        <item x="611"/>
        <item x="531"/>
        <item x="574"/>
        <item x="1249"/>
        <item x="412"/>
        <item x="881"/>
        <item x="1078"/>
        <item x="1622"/>
        <item x="278"/>
        <item x="438"/>
        <item x="708"/>
        <item x="271"/>
        <item x="1219"/>
        <item x="1006"/>
        <item x="1063"/>
        <item x="342"/>
        <item x="181"/>
        <item x="1071"/>
        <item x="1118"/>
        <item x="1419"/>
        <item x="814"/>
        <item x="407"/>
        <item x="1031"/>
        <item x="862"/>
        <item x="928"/>
        <item x="495"/>
        <item x="1330"/>
        <item x="839"/>
        <item x="1597"/>
        <item x="672"/>
        <item x="148"/>
        <item x="241"/>
        <item x="38"/>
        <item x="279"/>
        <item x="1395"/>
        <item x="398"/>
        <item x="1413"/>
        <item x="683"/>
        <item x="53"/>
        <item x="1518"/>
        <item x="1452"/>
        <item x="24"/>
        <item x="118"/>
        <item x="1772"/>
        <item x="560"/>
        <item x="1210"/>
        <item x="1151"/>
        <item x="1225"/>
        <item x="562"/>
        <item x="1383"/>
        <item x="182"/>
        <item x="421"/>
        <item x="25"/>
        <item x="726"/>
        <item x="303"/>
        <item x="459"/>
        <item x="73"/>
        <item x="513"/>
        <item x="716"/>
        <item x="791"/>
        <item x="1539"/>
        <item x="1712"/>
        <item x="625"/>
        <item x="1034"/>
        <item x="1706"/>
        <item x="1022"/>
        <item x="93"/>
        <item x="116"/>
        <item x="244"/>
        <item x="178"/>
        <item x="1590"/>
        <item x="375"/>
        <item x="170"/>
        <item x="1738"/>
        <item x="528"/>
        <item x="1041"/>
        <item x="1542"/>
        <item x="431"/>
        <item x="63"/>
        <item x="445"/>
        <item x="1011"/>
        <item x="61"/>
        <item x="14"/>
        <item x="665"/>
        <item x="529"/>
        <item x="1531"/>
        <item x="956"/>
        <item x="125"/>
        <item x="1070"/>
        <item x="753"/>
        <item x="470"/>
        <item x="75"/>
        <item x="704"/>
        <item x="857"/>
        <item x="1156"/>
        <item x="1207"/>
        <item x="162"/>
        <item x="1302"/>
        <item x="13"/>
        <item x="1033"/>
        <item x="558"/>
        <item x="308"/>
        <item x="1338"/>
        <item x="1009"/>
        <item x="9"/>
        <item x="673"/>
        <item x="1102"/>
        <item x="1171"/>
        <item x="893"/>
        <item x="986"/>
        <item x="28"/>
        <item x="460"/>
        <item x="51"/>
        <item x="1038"/>
        <item x="1373"/>
        <item x="286"/>
        <item x="1420"/>
        <item x="1092"/>
        <item x="223"/>
        <item x="1177"/>
        <item x="561"/>
        <item x="1130"/>
        <item x="480"/>
        <item x="1146"/>
        <item x="114"/>
        <item x="684"/>
        <item x="260"/>
        <item x="509"/>
        <item x="664"/>
        <item x="992"/>
        <item x="277"/>
        <item x="481"/>
        <item x="1238"/>
        <item x="1216"/>
        <item x="542"/>
        <item x="1163"/>
        <item x="1162"/>
        <item x="1412"/>
        <item x="294"/>
        <item x="735"/>
        <item x="1168"/>
        <item x="1455"/>
        <item x="535"/>
        <item x="957"/>
        <item x="973"/>
        <item x="1447"/>
        <item x="368"/>
        <item x="1559"/>
        <item x="264"/>
        <item x="382"/>
        <item x="974"/>
        <item x="1391"/>
        <item x="856"/>
        <item x="327"/>
        <item x="505"/>
        <item x="496"/>
        <item x="291"/>
        <item x="155"/>
        <item x="904"/>
        <item x="310"/>
        <item x="274"/>
        <item x="1595"/>
        <item x="994"/>
        <item x="1175"/>
        <item x="1284"/>
        <item x="84"/>
        <item x="333"/>
        <item x="1503"/>
        <item x="172"/>
        <item x="154"/>
        <item x="130"/>
        <item x="612"/>
        <item x="522"/>
        <item x="1523"/>
        <item x="1051"/>
        <item x="628"/>
        <item x="1579"/>
        <item x="1578"/>
        <item x="1106"/>
        <item x="671"/>
        <item x="337"/>
        <item x="309"/>
        <item x="681"/>
        <item x="141"/>
        <item x="482"/>
        <item x="1511"/>
        <item x="1408"/>
        <item x="1237"/>
        <item x="357"/>
        <item x="590"/>
        <item x="401"/>
        <item x="324"/>
        <item x="220"/>
        <item x="245"/>
        <item x="370"/>
        <item x="45"/>
        <item x="827"/>
        <item x="1541"/>
        <item x="160"/>
        <item x="1615"/>
        <item x="157"/>
        <item x="325"/>
        <item x="378"/>
        <item x="619"/>
        <item x="1261"/>
        <item x="1077"/>
        <item x="134"/>
        <item x="743"/>
        <item x="1668"/>
        <item x="1076"/>
        <item x="1386"/>
        <item x="202"/>
        <item x="689"/>
        <item x="1000"/>
        <item x="1621"/>
        <item x="208"/>
        <item x="1732"/>
        <item x="924"/>
        <item x="149"/>
        <item x="837"/>
        <item x="275"/>
        <item x="1245"/>
        <item x="1382"/>
        <item x="568"/>
        <item x="1048"/>
        <item x="167"/>
        <item x="695"/>
        <item x="1187"/>
        <item x="772"/>
        <item x="1725"/>
        <item x="1206"/>
        <item x="817"/>
        <item x="383"/>
        <item x="981"/>
        <item x="46"/>
        <item x="361"/>
        <item x="1153"/>
        <item x="1084"/>
        <item x="229"/>
        <item x="191"/>
        <item x="1203"/>
        <item x="1204"/>
        <item x="1354"/>
        <item x="965"/>
        <item x="469"/>
        <item x="1494"/>
        <item x="1232"/>
        <item x="397"/>
        <item x="254"/>
        <item x="1520"/>
        <item x="86"/>
        <item x="4"/>
        <item x="1016"/>
        <item x="313"/>
        <item x="947"/>
        <item x="128"/>
        <item x="1742"/>
        <item x="1184"/>
        <item x="306"/>
        <item x="587"/>
        <item x="1526"/>
        <item x="799"/>
        <item x="120"/>
        <item x="1436"/>
        <item x="1066"/>
        <item x="812"/>
        <item x="78"/>
        <item x="237"/>
        <item x="1329"/>
        <item x="1461"/>
        <item x="177"/>
        <item x="184"/>
        <item x="230"/>
        <item x="1514"/>
        <item x="1657"/>
        <item x="506"/>
        <item x="360"/>
        <item x="387"/>
        <item x="1635"/>
        <item x="225"/>
        <item x="800"/>
        <item x="64"/>
        <item x="253"/>
        <item x="199"/>
        <item x="533"/>
        <item x="615"/>
        <item x="48"/>
        <item x="543"/>
        <item x="1062"/>
        <item x="1794"/>
        <item x="659"/>
        <item x="106"/>
        <item x="940"/>
        <item x="1487"/>
        <item x="1745"/>
        <item x="1653"/>
        <item x="1515"/>
        <item x="1256"/>
        <item x="1484"/>
        <item x="350"/>
        <item x="458"/>
        <item x="1470"/>
        <item x="512"/>
        <item x="1290"/>
        <item x="29"/>
        <item x="1460"/>
        <item x="212"/>
        <item x="58"/>
        <item x="1025"/>
        <item x="756"/>
        <item x="450"/>
        <item x="548"/>
        <item x="1730"/>
        <item x="1117"/>
        <item x="1254"/>
        <item x="999"/>
        <item x="1695"/>
        <item x="1259"/>
        <item x="287"/>
        <item x="1375"/>
        <item x="22"/>
        <item x="65"/>
        <item x="269"/>
        <item x="104"/>
        <item x="1697"/>
        <item x="1699"/>
        <item x="864"/>
        <item x="1272"/>
        <item x="1478"/>
        <item x="573"/>
        <item x="418"/>
        <item x="200"/>
        <item x="546"/>
        <item x="768"/>
        <item x="1488"/>
        <item x="715"/>
        <item x="750"/>
        <item x="830"/>
        <item x="641"/>
        <item x="490"/>
        <item x="847"/>
        <item x="676"/>
        <item x="427"/>
        <item x="1114"/>
        <item x="1537"/>
        <item x="1099"/>
        <item x="1744"/>
        <item x="364"/>
        <item x="376"/>
        <item x="1698"/>
        <item x="620"/>
        <item x="217"/>
        <item x="190"/>
        <item x="257"/>
        <item x="885"/>
        <item x="645"/>
        <item x="239"/>
        <item x="1427"/>
        <item x="379"/>
        <item x="1258"/>
        <item x="961"/>
        <item x="1113"/>
        <item x="638"/>
        <item x="1394"/>
        <item x="951"/>
        <item x="1737"/>
        <item x="131"/>
        <item x="840"/>
        <item x="189"/>
        <item x="631"/>
        <item x="1612"/>
        <item x="1307"/>
        <item x="117"/>
        <item x="745"/>
        <item x="762"/>
        <item x="1474"/>
        <item x="33"/>
        <item x="1046"/>
        <item x="1131"/>
        <item x="650"/>
        <item x="654"/>
        <item x="1399"/>
        <item x="1121"/>
        <item x="1340"/>
        <item x="738"/>
        <item x="657"/>
        <item x="426"/>
        <item x="1654"/>
        <item x="945"/>
        <item x="853"/>
        <item x="1288"/>
        <item x="242"/>
        <item x="1429"/>
        <item x="1560"/>
        <item x="1469"/>
        <item x="266"/>
        <item x="554"/>
        <item x="1023"/>
        <item x="789"/>
        <item x="1093"/>
        <item x="633"/>
        <item x="582"/>
        <item x="600"/>
        <item x="1544"/>
        <item x="1125"/>
        <item x="851"/>
        <item x="227"/>
        <item x="1371"/>
        <item x="667"/>
        <item x="1604"/>
        <item x="1368"/>
        <item x="968"/>
        <item x="1788"/>
        <item x="72"/>
        <item x="1426"/>
        <item x="1656"/>
        <item x="1309"/>
        <item x="472"/>
        <item x="938"/>
        <item x="1643"/>
        <item x="145"/>
        <item x="1091"/>
        <item x="1667"/>
        <item x="1336"/>
        <item x="385"/>
        <item x="1538"/>
        <item x="17"/>
        <item x="447"/>
        <item x="1437"/>
        <item x="1295"/>
        <item x="746"/>
        <item x="785"/>
        <item x="27"/>
        <item x="653"/>
        <item x="1042"/>
        <item x="1441"/>
        <item x="610"/>
        <item x="163"/>
        <item x="449"/>
        <item x="1190"/>
        <item x="108"/>
        <item x="1191"/>
        <item x="365"/>
        <item x="1411"/>
        <item x="807"/>
        <item x="1326"/>
        <item x="1007"/>
        <item x="816"/>
        <item x="392"/>
        <item x="993"/>
        <item x="692"/>
        <item x="408"/>
        <item x="878"/>
        <item x="1529"/>
        <item x="81"/>
        <item x="622"/>
        <item x="1250"/>
        <item x="441"/>
        <item x="1170"/>
        <item x="516"/>
        <item x="1318"/>
        <item x="67"/>
        <item x="124"/>
        <item x="787"/>
        <item x="206"/>
        <item x="868"/>
        <item x="1566"/>
        <item x="1346"/>
        <item x="714"/>
        <item x="256"/>
        <item x="636"/>
        <item x="1074"/>
        <item x="711"/>
        <item x="1417"/>
        <item x="570"/>
        <item x="406"/>
        <item x="555"/>
        <item x="782"/>
        <item x="1057"/>
        <item x="332"/>
        <item x="1466"/>
        <item x="637"/>
        <item x="466"/>
        <item x="917"/>
        <item x="158"/>
        <item x="228"/>
        <item x="1760"/>
        <item x="1017"/>
        <item x="661"/>
        <item x="280"/>
        <item x="1513"/>
        <item x="393"/>
        <item x="1512"/>
        <item x="877"/>
        <item x="577"/>
        <item x="719"/>
        <item x="677"/>
        <item x="1294"/>
        <item x="690"/>
        <item x="416"/>
        <item x="770"/>
        <item x="302"/>
        <item x="1069"/>
        <item x="1800"/>
        <item x="519"/>
        <item x="395"/>
        <item x="349"/>
        <item x="547"/>
        <item x="60"/>
        <item x="1533"/>
        <item x="467"/>
        <item x="1214"/>
        <item x="597"/>
        <item x="1584"/>
        <item x="1671"/>
        <item x="372"/>
        <item x="1"/>
        <item x="1634"/>
        <item x="213"/>
        <item x="173"/>
        <item x="1142"/>
        <item x="511"/>
        <item x="1764"/>
        <item x="1777"/>
        <item x="818"/>
        <item x="248"/>
        <item x="1243"/>
        <item x="796"/>
        <item x="8"/>
        <item x="588"/>
        <item x="907"/>
        <item x="434"/>
        <item x="1568"/>
        <item x="193"/>
        <item x="1619"/>
        <item x="1379"/>
        <item x="603"/>
        <item x="471"/>
        <item x="984"/>
        <item x="624"/>
        <item x="1528"/>
        <item x="488"/>
        <item x="1780"/>
        <item x="903"/>
        <item x="1195"/>
        <item x="1625"/>
        <item x="1278"/>
        <item x="581"/>
        <item x="44"/>
        <item x="1109"/>
        <item x="425"/>
        <item x="795"/>
        <item x="1415"/>
        <item x="477"/>
        <item x="1058"/>
        <item x="215"/>
        <item x="319"/>
        <item x="1019"/>
        <item x="205"/>
        <item x="699"/>
        <item x="1581"/>
        <item x="539"/>
        <item x="1789"/>
        <item x="233"/>
        <item x="919"/>
        <item x="1787"/>
        <item x="1196"/>
        <item x="1086"/>
        <item x="36"/>
        <item x="402"/>
        <item x="175"/>
        <item x="709"/>
        <item x="849"/>
        <item x="356"/>
        <item x="1304"/>
        <item x="52"/>
        <item x="417"/>
        <item x="15"/>
        <item x="1134"/>
        <item x="1157"/>
        <item x="187"/>
        <item x="1687"/>
        <item x="820"/>
        <item x="838"/>
        <item x="941"/>
        <item x="1594"/>
        <item x="409"/>
        <item x="11"/>
        <item x="1776"/>
        <item x="1509"/>
        <item x="1627"/>
        <item x="1532"/>
        <item x="62"/>
        <item x="594"/>
        <item x="1731"/>
        <item x="224"/>
        <item x="353"/>
        <item x="504"/>
        <item x="1358"/>
        <item x="20"/>
        <item x="140"/>
        <item x="1721"/>
        <item x="530"/>
        <item x="498"/>
        <item x="451"/>
        <item x="763"/>
        <item x="1701"/>
        <item x="321"/>
        <item x="713"/>
        <item x="915"/>
        <item x="1323"/>
        <item x="352"/>
        <item x="929"/>
        <item x="797"/>
        <item x="267"/>
        <item x="1044"/>
        <item x="42"/>
        <item x="1389"/>
        <item x="916"/>
        <item x="414"/>
        <item x="1549"/>
        <item x="1565"/>
        <item x="103"/>
        <item x="629"/>
        <item x="317"/>
        <item x="1642"/>
        <item x="1709"/>
        <item x="97"/>
        <item x="1768"/>
        <item x="773"/>
        <item x="487"/>
        <item x="1208"/>
        <item x="1332"/>
        <item x="744"/>
        <item x="899"/>
        <item x="185"/>
        <item x="1351"/>
        <item x="1648"/>
        <item x="559"/>
        <item x="6"/>
        <item x="161"/>
        <item x="1145"/>
        <item x="1571"/>
        <item x="433"/>
        <item x="1606"/>
        <item x="143"/>
        <item x="374"/>
        <item x="1047"/>
        <item x="1491"/>
        <item x="925"/>
        <item x="767"/>
        <item x="180"/>
        <item x="1456"/>
        <item x="1773"/>
        <item x="318"/>
        <item x="430"/>
        <item x="644"/>
        <item x="413"/>
        <item x="422"/>
        <item x="23"/>
        <item x="10"/>
        <item x="77"/>
        <item x="607"/>
        <item x="273"/>
        <item x="1253"/>
        <item x="1004"/>
        <item x="922"/>
        <item x="1262"/>
        <item x="455"/>
        <item x="1182"/>
        <item x="1507"/>
        <item x="1376"/>
        <item x="1416"/>
        <item x="494"/>
        <item x="359"/>
        <item x="1101"/>
        <item x="1015"/>
        <item x="369"/>
        <item x="297"/>
        <item x="810"/>
        <item x="1298"/>
        <item x="1045"/>
        <item x="1570"/>
        <item x="1100"/>
        <item x="1629"/>
        <item x="652"/>
        <item x="1213"/>
        <item x="101"/>
        <item x="1052"/>
        <item x="955"/>
        <item x="724"/>
        <item x="249"/>
        <item x="222"/>
        <item x="1280"/>
        <item x="270"/>
        <item x="1722"/>
        <item x="262"/>
        <item x="674"/>
        <item x="805"/>
        <item x="1233"/>
        <item x="1645"/>
        <item x="623"/>
        <item x="1588"/>
        <item x="930"/>
        <item x="1685"/>
        <item x="1362"/>
        <item x="1649"/>
        <item x="1029"/>
        <item x="972"/>
        <item x="211"/>
        <item x="282"/>
        <item x="1572"/>
        <item x="960"/>
        <item x="276"/>
        <item x="1690"/>
        <item x="1040"/>
        <item x="94"/>
        <item x="136"/>
        <item x="1652"/>
        <item x="526"/>
        <item x="1525"/>
        <item x="658"/>
        <item x="987"/>
        <item x="804"/>
        <item x="760"/>
        <item x="37"/>
        <item x="1504"/>
        <item x="197"/>
        <item x="1352"/>
        <item x="442"/>
        <item x="1767"/>
        <item x="995"/>
        <item x="142"/>
        <item x="483"/>
        <item x="1199"/>
        <item x="1273"/>
        <item x="946"/>
        <item x="608"/>
        <item x="35"/>
        <item x="1167"/>
        <item x="747"/>
        <item x="717"/>
        <item x="1108"/>
        <item x="1377"/>
        <item x="985"/>
        <item x="39"/>
        <item x="882"/>
        <item x="766"/>
        <item x="1140"/>
        <item x="1716"/>
        <item x="285"/>
        <item x="99"/>
        <item x="1602"/>
        <item x="567"/>
        <item x="1072"/>
        <item x="1322"/>
        <item x="429"/>
        <item x="1361"/>
        <item x="844"/>
        <item x="240"/>
        <item x="614"/>
        <item x="556"/>
        <item x="351"/>
        <item x="537"/>
        <item x="963"/>
        <item x="880"/>
        <item x="179"/>
        <item x="83"/>
        <item x="605"/>
        <item x="688"/>
        <item x="700"/>
        <item x="218"/>
        <item x="1554"/>
        <item x="69"/>
        <item x="660"/>
        <item x="1424"/>
        <item x="1152"/>
        <item x="550"/>
        <item x="226"/>
        <item x="1221"/>
        <item x="1349"/>
        <item x="842"/>
        <item x="627"/>
        <item x="334"/>
        <item x="1239"/>
        <item x="1271"/>
        <item x="1096"/>
        <item x="1472"/>
        <item x="147"/>
        <item x="523"/>
        <item x="12"/>
        <item x="457"/>
        <item x="1123"/>
        <item x="1707"/>
        <item x="174"/>
        <item x="776"/>
        <item x="1319"/>
        <item x="565"/>
        <item x="156"/>
        <item x="1778"/>
        <item x="500"/>
        <item x="1226"/>
        <item x="1755"/>
        <item x="875"/>
        <item x="866"/>
        <item x="586"/>
        <item x="1103"/>
        <item x="493"/>
        <item x="829"/>
        <item x="777"/>
        <item x="1759"/>
        <item x="1012"/>
        <item x="1783"/>
        <item x="1616"/>
        <item x="1217"/>
        <item x="1089"/>
        <item x="1587"/>
        <item x="265"/>
        <item x="541"/>
        <item x="1090"/>
        <item x="1193"/>
        <item x="79"/>
        <item x="578"/>
        <item x="668"/>
        <item x="1796"/>
        <item x="423"/>
        <item x="1270"/>
        <item x="649"/>
        <item x="1257"/>
        <item x="251"/>
        <item x="1174"/>
        <item x="1013"/>
        <item x="391"/>
        <item x="1141"/>
        <item x="936"/>
        <item x="1201"/>
        <item x="203"/>
        <item x="85"/>
        <item x="1275"/>
        <item x="982"/>
        <item x="833"/>
        <item x="1312"/>
        <item x="1422"/>
        <item x="630"/>
        <item x="1137"/>
        <item x="221"/>
        <item x="825"/>
        <item x="261"/>
        <item x="725"/>
        <item x="752"/>
        <item x="599"/>
        <item x="2"/>
        <item x="298"/>
        <item x="1223"/>
        <item x="843"/>
        <item x="1172"/>
        <item x="1021"/>
        <item x="1770"/>
        <item x="824"/>
        <item x="137"/>
        <item x="1609"/>
        <item x="912"/>
        <item x="1104"/>
        <item x="210"/>
        <item x="247"/>
        <item x="1677"/>
        <item x="54"/>
        <item x="112"/>
        <item x="538"/>
        <item x="90"/>
        <item x="1748"/>
        <item x="21"/>
        <item x="320"/>
        <item x="757"/>
        <item x="691"/>
        <item x="1496"/>
        <item x="891"/>
        <item x="1345"/>
        <item x="1500"/>
        <item x="879"/>
        <item x="834"/>
        <item x="1344"/>
        <item x="1265"/>
        <item x="1444"/>
        <item x="168"/>
        <item x="1179"/>
        <item x="707"/>
        <item x="1269"/>
        <item x="1068"/>
        <item x="748"/>
        <item x="1552"/>
        <item x="1611"/>
        <item x="1459"/>
        <item x="1054"/>
        <item x="68"/>
        <item x="801"/>
        <item x="311"/>
        <item x="1136"/>
        <item x="1506"/>
        <item x="1637"/>
        <item x="1715"/>
        <item x="821"/>
        <item x="26"/>
        <item x="613"/>
        <item x="1640"/>
        <item x="474"/>
        <item x="363"/>
        <item x="874"/>
        <item x="571"/>
        <item x="1710"/>
        <item x="774"/>
        <item x="1279"/>
        <item x="734"/>
        <item x="288"/>
        <item x="1014"/>
        <item x="358"/>
        <item x="1435"/>
        <item x="886"/>
        <item x="621"/>
        <item x="1342"/>
        <item x="1576"/>
        <item x="1497"/>
        <item x="575"/>
        <item x="991"/>
        <item x="186"/>
        <item x="1758"/>
        <item x="544"/>
        <item x="464"/>
        <item x="411"/>
        <item x="1374"/>
        <item x="1127"/>
        <item x="1266"/>
        <item x="1143"/>
        <item x="997"/>
        <item x="771"/>
        <item x="1234"/>
        <item x="88"/>
        <item x="651"/>
        <item x="1282"/>
        <item x="478"/>
        <item x="867"/>
        <item x="1505"/>
        <item x="892"/>
        <item x="527"/>
        <item x="499"/>
        <item x="219"/>
        <item x="909"/>
        <item x="1339"/>
        <item x="138"/>
        <item x="786"/>
        <item x="890"/>
        <item x="424"/>
        <item x="1396"/>
        <item x="30"/>
        <item x="678"/>
        <item x="235"/>
        <item x="5"/>
        <item x="618"/>
        <item x="1550"/>
        <item x="836"/>
        <item x="1573"/>
        <item x="576"/>
        <item x="1350"/>
        <item x="819"/>
        <item x="1267"/>
        <item x="942"/>
        <item x="377"/>
        <item x="1498"/>
        <item x="194"/>
        <item x="1714"/>
        <item x="1347"/>
        <item x="1583"/>
        <item x="111"/>
        <item x="16"/>
        <item x="146"/>
        <item x="595"/>
        <item x="888"/>
        <item x="1180"/>
        <item x="729"/>
        <item x="238"/>
        <item x="1111"/>
        <item x="166"/>
        <item x="281"/>
        <item x="687"/>
        <item x="446"/>
        <item x="1703"/>
        <item x="49"/>
        <item x="390"/>
        <item x="617"/>
        <item x="432"/>
        <item x="1037"/>
        <item x="1438"/>
        <item x="733"/>
        <item x="345"/>
        <item x="1075"/>
        <item x="1388"/>
        <item x="315"/>
        <item x="399"/>
        <item x="1020"/>
        <item x="1008"/>
        <item x="1479"/>
        <item x="340"/>
        <item x="1064"/>
        <item x="501"/>
        <item x="329"/>
        <item x="1148"/>
        <item x="1784"/>
        <item x="91"/>
        <item x="634"/>
        <item x="362"/>
        <item x="1692"/>
        <item x="679"/>
        <item x="872"/>
        <item x="1798"/>
        <item x="1244"/>
        <item x="272"/>
        <item x="754"/>
        <item x="604"/>
        <item x="1200"/>
        <item x="1305"/>
        <item x="347"/>
        <item x="1705"/>
        <item x="1366"/>
        <item x="336"/>
        <item x="596"/>
        <item x="1623"/>
        <item x="40"/>
        <item x="105"/>
        <item x="845"/>
        <item x="1299"/>
        <item x="520"/>
        <item x="1198"/>
        <item x="1161"/>
        <item x="958"/>
        <item x="905"/>
        <item x="579"/>
        <item x="918"/>
        <item x="1682"/>
        <item x="381"/>
        <item x="865"/>
        <item x="485"/>
        <item x="860"/>
        <item x="115"/>
        <item x="721"/>
        <item x="300"/>
        <item x="855"/>
        <item x="1516"/>
        <item x="1381"/>
        <item x="476"/>
        <item x="740"/>
        <item x="906"/>
        <item x="1301"/>
        <item x="255"/>
        <item x="1055"/>
        <item x="443"/>
        <item x="405"/>
        <item x="1646"/>
        <item x="808"/>
        <item x="1483"/>
        <item x="911"/>
        <item x="92"/>
        <item x="549"/>
        <item x="1264"/>
        <item x="861"/>
        <item x="373"/>
        <item x="1718"/>
        <item x="759"/>
        <item x="647"/>
        <item x="783"/>
        <item x="1220"/>
        <item x="1065"/>
        <item x="831"/>
        <item x="1097"/>
        <item x="755"/>
        <item x="473"/>
        <item x="1079"/>
        <item x="602"/>
        <item x="1674"/>
        <item x="47"/>
        <item x="854"/>
        <item x="978"/>
        <item x="926"/>
        <item x="640"/>
        <item x="448"/>
        <item x="32"/>
        <item x="1183"/>
        <item x="150"/>
        <item x="1562"/>
        <item x="792"/>
        <item x="307"/>
        <item x="384"/>
        <item x="183"/>
        <item x="591"/>
        <item x="769"/>
        <item x="465"/>
        <item x="232"/>
        <item x="884"/>
        <item x="931"/>
        <item x="1458"/>
        <item x="889"/>
        <item x="1164"/>
        <item x="56"/>
        <item x="1356"/>
        <item x="456"/>
        <item x="439"/>
        <item x="1749"/>
        <item x="971"/>
        <item x="1082"/>
        <item x="1402"/>
        <item x="463"/>
        <item x="1421"/>
        <item x="354"/>
        <item x="1397"/>
        <item x="1087"/>
        <item x="415"/>
        <item x="898"/>
        <item x="95"/>
        <item x="731"/>
        <item x="1053"/>
        <item x="696"/>
        <item x="339"/>
        <item x="1592"/>
        <item x="1236"/>
        <item x="305"/>
        <item x="1599"/>
        <item x="1227"/>
        <item x="440"/>
        <item x="592"/>
        <item x="1094"/>
        <item x="921"/>
        <item x="1410"/>
        <item x="826"/>
        <item x="1451"/>
        <item x="1311"/>
        <item x="1147"/>
        <item x="939"/>
        <item x="525"/>
        <item x="252"/>
        <item x="778"/>
        <item x="967"/>
        <item x="1577"/>
        <item x="732"/>
        <item x="1385"/>
        <item x="1083"/>
        <item x="338"/>
        <item x="1276"/>
        <item x="632"/>
        <item x="461"/>
        <item x="669"/>
        <item x="102"/>
        <item x="806"/>
        <item x="702"/>
        <item x="779"/>
        <item x="701"/>
        <item x="1241"/>
        <item x="491"/>
        <item x="811"/>
        <item x="1795"/>
        <item x="932"/>
        <item x="76"/>
        <item x="1673"/>
        <item x="216"/>
        <item x="1482"/>
        <item x="514"/>
        <item x="1763"/>
        <item x="1116"/>
        <item x="521"/>
        <item x="195"/>
        <item x="910"/>
        <item x="1173"/>
        <item x="666"/>
        <item x="935"/>
        <item x="326"/>
        <item x="201"/>
        <item x="1327"/>
        <item x="706"/>
        <item x="900"/>
        <item x="152"/>
        <item x="121"/>
        <item x="1367"/>
        <item x="284"/>
        <item x="1754"/>
        <item x="1122"/>
        <item x="1600"/>
        <item x="739"/>
        <item x="583"/>
        <item x="510"/>
        <item x="580"/>
        <item x="1567"/>
        <item x="444"/>
        <item x="1158"/>
        <item x="1166"/>
        <item x="295"/>
        <item x="655"/>
        <item x="585"/>
        <item x="107"/>
        <item x="933"/>
        <item x="403"/>
        <item x="1231"/>
        <item x="1392"/>
        <item x="736"/>
        <item x="1465"/>
        <item x="144"/>
        <item x="289"/>
        <item x="1132"/>
        <item x="902"/>
        <item x="396"/>
        <item x="1308"/>
        <item x="1489"/>
        <item x="1321"/>
        <item x="682"/>
        <item x="1317"/>
        <item x="720"/>
        <item x="1524"/>
        <item x="508"/>
        <item x="566"/>
        <item x="484"/>
        <item x="741"/>
        <item x="662"/>
        <item x="1325"/>
        <item x="764"/>
        <item x="524"/>
        <item x="1032"/>
        <item x="894"/>
        <item x="1492"/>
        <item x="563"/>
        <item x="1364"/>
        <item x="572"/>
        <item x="475"/>
        <item x="784"/>
        <item x="1061"/>
        <item x="1608"/>
        <item x="82"/>
        <item x="642"/>
        <item x="1401"/>
        <item x="366"/>
        <item x="1624"/>
        <item x="1717"/>
        <item x="551"/>
        <item x="209"/>
        <item x="1557"/>
        <item x="1212"/>
        <item x="410"/>
        <item x="1291"/>
        <item x="1765"/>
        <item x="70"/>
        <item x="159"/>
        <item x="949"/>
        <item x="1400"/>
        <item x="1480"/>
        <item x="710"/>
        <item x="462"/>
        <item x="1129"/>
        <item x="207"/>
        <item x="1449"/>
        <item x="1431"/>
        <item x="71"/>
        <item x="693"/>
        <item x="234"/>
        <item x="871"/>
        <item x="1154"/>
        <item x="1027"/>
        <item x="976"/>
        <item x="127"/>
        <item x="296"/>
        <item x="18"/>
        <item x="1639"/>
        <item x="1585"/>
        <item x="953"/>
        <item x="852"/>
        <item x="400"/>
        <item x="1002"/>
        <item x="1252"/>
        <item x="1446"/>
        <item x="685"/>
        <item x="896"/>
        <item x="1378"/>
        <item x="1555"/>
        <item x="371"/>
        <item x="979"/>
        <item x="802"/>
        <item x="7"/>
        <item x="452"/>
        <item x="1661"/>
        <item x="502"/>
        <item x="1024"/>
        <item x="920"/>
        <item x="165"/>
        <item x="1471"/>
        <item x="846"/>
        <item x="132"/>
        <item x="1663"/>
        <item x="1110"/>
        <item x="1423"/>
        <item x="859"/>
        <item x="1545"/>
        <item x="346"/>
        <item x="990"/>
        <item x="453"/>
        <item x="290"/>
        <item x="1359"/>
        <item x="1618"/>
        <item x="1463"/>
        <item x="246"/>
        <item x="479"/>
        <item x="1739"/>
        <item x="1801"/>
        <item x="1405"/>
        <item x="643"/>
        <item x="1693"/>
        <item x="703"/>
        <item x="1228"/>
        <item x="394"/>
        <item x="1665"/>
        <item x="59"/>
        <item x="176"/>
        <item x="122"/>
        <item x="1370"/>
        <item x="123"/>
        <item x="1433"/>
        <item x="815"/>
        <item x="34"/>
        <item x="292"/>
        <item x="293"/>
        <item x="1343"/>
        <item x="1355"/>
        <item x="243"/>
        <item x="1363"/>
        <item x="1211"/>
        <item x="1296"/>
        <item x="330"/>
        <item x="1197"/>
        <item x="1128"/>
        <item x="1589"/>
        <item x="192"/>
        <item x="1563"/>
        <item x="1792"/>
        <item x="96"/>
        <item x="74"/>
        <item x="536"/>
        <item x="832"/>
        <item x="727"/>
        <item x="133"/>
        <item x="386"/>
        <item x="1188"/>
        <item x="598"/>
        <item x="1268"/>
        <item x="1613"/>
        <item x="1286"/>
        <item x="970"/>
        <item x="823"/>
        <item x="87"/>
        <item x="312"/>
        <item x="126"/>
        <item x="897"/>
        <item x="848"/>
        <item x="1059"/>
        <item x="1292"/>
        <item x="722"/>
        <item x="1080"/>
        <item x="1119"/>
        <item x="436"/>
        <item x="323"/>
        <item x="1547"/>
        <item x="552"/>
        <item x="109"/>
        <item x="428"/>
        <item x="98"/>
        <item x="380"/>
        <item x="1135"/>
        <item x="1593"/>
        <item x="1688"/>
        <item x="589"/>
        <item x="1662"/>
        <item x="781"/>
        <item x="1430"/>
        <item x="944"/>
        <item x="1285"/>
        <item x="1669"/>
        <item x="728"/>
        <item x="1691"/>
        <item x="1683"/>
        <item x="793"/>
        <item x="1036"/>
        <item x="914"/>
        <item x="1486"/>
        <item x="1728"/>
        <item x="1743"/>
        <item x="1316"/>
        <item x="564"/>
        <item x="1313"/>
        <item x="258"/>
        <item x="263"/>
        <item x="1407"/>
        <item x="1779"/>
        <item x="1753"/>
        <item x="1035"/>
        <item x="1160"/>
        <item x="507"/>
        <item x="492"/>
        <item x="1747"/>
        <item x="1724"/>
        <item x="435"/>
        <item x="1658"/>
        <item x="113"/>
        <item x="1536"/>
        <item x="188"/>
        <item x="1628"/>
        <item x="962"/>
        <item x="343"/>
        <item x="153"/>
        <item x="718"/>
        <item x="1149"/>
        <item x="1510"/>
        <item x="314"/>
        <item x="1085"/>
        <item x="1287"/>
        <item x="344"/>
        <item x="331"/>
        <item x="869"/>
        <item x="1774"/>
        <item x="952"/>
        <item x="515"/>
        <item x="1404"/>
        <item x="1281"/>
        <item x="322"/>
        <item x="1107"/>
        <item x="697"/>
        <item x="532"/>
        <item x="1729"/>
        <item x="1328"/>
        <item x="204"/>
        <item x="348"/>
        <item x="1720"/>
        <item x="419"/>
        <item x="557"/>
        <item x="1644"/>
        <item x="41"/>
        <item x="996"/>
        <item x="1230"/>
        <item x="196"/>
        <item x="518"/>
        <item x="335"/>
        <item x="489"/>
        <item x="388"/>
        <item x="55"/>
        <item x="1003"/>
        <item x="1246"/>
        <item x="1630"/>
        <item x="0"/>
        <item x="977"/>
        <item x="304"/>
        <item x="646"/>
        <item x="1159"/>
        <item x="1335"/>
        <item x="1713"/>
        <item x="545"/>
        <item x="1334"/>
        <item x="540"/>
        <item x="1468"/>
        <item x="231"/>
        <item x="606"/>
        <item x="1248"/>
        <item x="1561"/>
        <item x="1439"/>
        <item x="1680"/>
        <item x="966"/>
        <item x="299"/>
        <item x="675"/>
        <item x="1751"/>
        <item x="164"/>
        <item x="1432"/>
        <item x="1786"/>
        <item x="1306"/>
        <item x="1178"/>
        <item x="1189"/>
        <item x="1771"/>
        <item x="883"/>
        <item x="751"/>
        <item x="1333"/>
        <item x="169"/>
        <item x="790"/>
        <item x="1138"/>
        <item x="1522"/>
        <item x="1633"/>
        <item x="1450"/>
        <item x="1222"/>
        <item x="139"/>
        <item x="1734"/>
        <item x="50"/>
        <item x="927"/>
        <item x="259"/>
        <item x="1073"/>
        <item x="1049"/>
        <item x="1678"/>
        <item x="813"/>
        <item x="1535"/>
        <item x="1785"/>
        <item x="66"/>
        <item x="616"/>
        <item x="1043"/>
        <item x="1534"/>
        <item x="1010"/>
        <item x="943"/>
        <item x="1144"/>
        <item x="1418"/>
        <item x="1260"/>
        <item x="959"/>
        <item x="1030"/>
        <item x="841"/>
        <item x="937"/>
        <item x="3"/>
        <item x="1242"/>
        <item x="1757"/>
        <item x="1393"/>
        <item x="1115"/>
        <item x="670"/>
        <item x="1651"/>
        <item x="1028"/>
        <item x="1679"/>
        <item x="1475"/>
        <item x="950"/>
        <item x="1575"/>
        <item x="1209"/>
        <item x="1521"/>
        <item x="135"/>
        <item x="663"/>
        <item x="1176"/>
        <item x="1660"/>
        <item x="1617"/>
        <item x="1060"/>
        <item x="1315"/>
        <item x="1454"/>
        <item x="1689"/>
        <item x="1263"/>
        <item x="31"/>
        <item x="1126"/>
        <item x="989"/>
        <item x="1556"/>
        <item x="1303"/>
        <item x="1409"/>
        <item x="1453"/>
        <item x="1464"/>
        <item x="1700"/>
        <item x="1240"/>
        <item x="742"/>
        <item x="876"/>
        <item x="1493"/>
        <item x="1638"/>
        <item x="1251"/>
        <item x="983"/>
        <item x="1476"/>
        <item x="954"/>
        <item x="1569"/>
        <item x="1081"/>
        <item x="803"/>
        <item x="1708"/>
        <item x="1194"/>
        <item x="761"/>
        <item x="1473"/>
        <item x="969"/>
        <item x="626"/>
        <item x="1310"/>
        <item x="1477"/>
        <item x="1672"/>
        <item x="1448"/>
        <item x="1414"/>
        <item x="822"/>
        <item x="1384"/>
        <item x="1603"/>
        <item x="1607"/>
        <item x="1762"/>
        <item x="1740"/>
        <item x="1750"/>
        <item x="1684"/>
        <item x="1591"/>
        <item x="1425"/>
        <item x="1558"/>
        <item x="1598"/>
        <item x="1797"/>
        <item x="1462"/>
        <item x="1719"/>
        <item x="1353"/>
        <item x="1696"/>
        <item x="1582"/>
        <item x="1769"/>
        <item x="601"/>
        <item x="698"/>
        <item x="1632"/>
        <item x="1105"/>
        <item x="1218"/>
        <item x="775"/>
        <item x="1341"/>
        <item x="89"/>
        <item x="639"/>
        <item x="1001"/>
        <item x="1403"/>
        <item x="1676"/>
        <item x="1564"/>
        <item x="1247"/>
        <item x="780"/>
        <item x="798"/>
        <item x="1782"/>
        <item x="908"/>
        <item x="1614"/>
        <item x="1387"/>
        <item x="1324"/>
        <item x="1666"/>
        <item x="1650"/>
        <item x="913"/>
        <item x="988"/>
        <item x="1495"/>
        <item x="1543"/>
        <item x="1655"/>
        <item x="1501"/>
        <item x="873"/>
        <item x="1442"/>
        <item x="1095"/>
        <item x="119"/>
        <item x="723"/>
        <item x="1553"/>
        <item x="749"/>
        <item x="1746"/>
        <item x="1781"/>
        <item x="1205"/>
        <item x="1445"/>
        <item x="1481"/>
        <item x="1314"/>
        <item x="870"/>
        <item x="1675"/>
        <item x="1120"/>
        <item x="1681"/>
        <item x="656"/>
        <item x="975"/>
        <item x="705"/>
        <item x="1005"/>
        <item x="110"/>
        <item x="1752"/>
        <item x="283"/>
        <item x="1440"/>
        <item x="1443"/>
        <item x="1155"/>
        <item x="1169"/>
        <item x="737"/>
        <item x="1733"/>
        <item x="1428"/>
        <item x="1067"/>
        <item x="1369"/>
        <item x="1540"/>
        <item x="1467"/>
        <item x="765"/>
        <item x="1457"/>
        <item x="1320"/>
        <item x="593"/>
        <item x="1192"/>
        <item x="1026"/>
        <item x="809"/>
        <item x="1398"/>
        <item x="1185"/>
        <item x="635"/>
        <item x="1406"/>
        <item x="1202"/>
        <item x="1580"/>
        <item x="1664"/>
        <item x="609"/>
        <item x="1502"/>
        <item x="923"/>
        <item x="1530"/>
        <item x="1527"/>
        <item x="1331"/>
        <item x="712"/>
        <item x="367"/>
        <item x="1050"/>
        <item x="1761"/>
        <item x="858"/>
        <item x="828"/>
        <item x="250"/>
        <item x="1297"/>
        <item x="1799"/>
        <item x="1165"/>
        <item x="1490"/>
        <item x="1546"/>
        <item x="1775"/>
        <item x="694"/>
        <item x="1485"/>
        <item x="19"/>
        <item x="1741"/>
        <item x="680"/>
        <item x="1519"/>
        <item x="1181"/>
        <item x="1229"/>
        <item x="901"/>
        <item x="794"/>
        <item x="1723"/>
        <item x="1605"/>
        <item x="1348"/>
        <item x="1390"/>
        <item x="863"/>
        <item x="1626"/>
        <item x="1736"/>
        <item x="1631"/>
        <item x="1551"/>
        <item x="1726"/>
        <item x="1018"/>
        <item x="1670"/>
        <item x="1793"/>
        <item x="1727"/>
        <item x="964"/>
        <item x="1186"/>
        <item x="1574"/>
        <item x="43"/>
        <item x="895"/>
        <item x="1112"/>
        <item x="503"/>
        <item x="100"/>
        <item x="1365"/>
        <item x="835"/>
        <item x="1224"/>
        <item x="1215"/>
        <item x="328"/>
        <item x="1150"/>
        <item x="57"/>
        <item x="1548"/>
        <item x="129"/>
        <item x="1274"/>
        <item x="1380"/>
        <item x="730"/>
        <item x="80"/>
        <item x="1098"/>
        <item x="1756"/>
        <item x="1357"/>
        <item x="1620"/>
        <item x="1791"/>
        <item x="1517"/>
        <item x="850"/>
        <item x="934"/>
        <item x="1641"/>
        <item x="1255"/>
        <item x="1235"/>
        <item x="1704"/>
        <item x="998"/>
        <item x="1124"/>
        <item x="1659"/>
        <item x="1293"/>
        <item x="948"/>
        <item x="1610"/>
        <item x="980"/>
        <item x="1766"/>
        <item x="788"/>
        <item x="1647"/>
        <item x="1596"/>
        <item x="1372"/>
        <item x="1133"/>
        <item x="1289"/>
        <item x="1686"/>
        <item x="214"/>
        <item x="1499"/>
        <item x="1056"/>
        <item x="1586"/>
        <item x="1283"/>
        <item x="758"/>
        <item x="1300"/>
        <item x="887"/>
        <item x="1508"/>
        <item x="1360"/>
        <item x="686"/>
        <item x="1790"/>
        <item x="1702"/>
        <item x="648"/>
        <item x="1636"/>
        <item x="1711"/>
        <item x="1139"/>
        <item x="1039"/>
        <item x="1601"/>
        <item x="420"/>
        <item x="1088"/>
        <item x="517"/>
        <item x="1735"/>
        <item x="584"/>
        <item x="1337"/>
        <item x="1277"/>
        <item x="468"/>
        <item x="1434"/>
        <item x="497"/>
        <item x="454"/>
        <item x="404"/>
        <item x="151"/>
        <item x="437"/>
        <item x="1694"/>
        <item x="569"/>
        <item x="268"/>
        <item x="486"/>
        <item x="355"/>
        <item x="341"/>
        <item x="534"/>
        <item x="236"/>
        <item x="316"/>
        <item x="171"/>
        <item x="301"/>
        <item x="198"/>
        <item x="389"/>
        <item x="553"/>
        <item x="1802"/>
        <item h="1" x="1803"/>
        <item t="default"/>
      </items>
    </pivotField>
    <pivotField showAll="0"/>
  </pivotFields>
  <rowFields count="1">
    <field x="2"/>
  </rowFields>
  <rowItems count="4">
    <i>
      <x v="1"/>
    </i>
    <i>
      <x v="3"/>
    </i>
    <i>
      <x v="5"/>
    </i>
    <i t="grand">
      <x/>
    </i>
  </rowItems>
  <colItems count="1">
    <i/>
  </colItems>
  <dataFields count="1">
    <dataField name="Сумма по полю Итого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8CB8F-1511-41A0-977F-63C3E8808585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E2:F7" firstHeaderRow="1" firstDataRow="1" firstDataCol="1"/>
  <pivotFields count="8">
    <pivotField showAll="0"/>
    <pivotField showAll="0"/>
    <pivotField showAll="0"/>
    <pivotField axis="axisRow" showAll="0">
      <items count="6">
        <item sd="0" x="1"/>
        <item sd="0" x="2"/>
        <item sd="0" x="0"/>
        <item sd="0" x="4"/>
        <item h="1" sd="0" x="3"/>
        <item t="default" sd="0"/>
      </items>
    </pivotField>
    <pivotField axis="axisRow" showAll="0">
      <items count="26">
        <item x="0"/>
        <item x="24"/>
        <item x="16"/>
        <item x="17"/>
        <item x="14"/>
        <item x="21"/>
        <item x="22"/>
        <item x="2"/>
        <item x="8"/>
        <item x="9"/>
        <item x="18"/>
        <item x="15"/>
        <item x="23"/>
        <item x="11"/>
        <item x="12"/>
        <item x="6"/>
        <item x="1"/>
        <item x="19"/>
        <item x="4"/>
        <item x="5"/>
        <item x="13"/>
        <item x="20"/>
        <item x="7"/>
        <item x="10"/>
        <item h="1" x="3"/>
        <item t="default"/>
      </items>
    </pivotField>
    <pivotField showAll="0"/>
    <pivotField showAll="0"/>
    <pivotField dataField="1" numFmtId="164" showAll="0">
      <items count="1805">
        <item x="611"/>
        <item x="531"/>
        <item x="574"/>
        <item x="1249"/>
        <item x="412"/>
        <item x="881"/>
        <item x="1078"/>
        <item x="1622"/>
        <item x="278"/>
        <item x="438"/>
        <item x="708"/>
        <item x="271"/>
        <item x="1219"/>
        <item x="1006"/>
        <item x="1063"/>
        <item x="342"/>
        <item x="181"/>
        <item x="1071"/>
        <item x="1118"/>
        <item x="1419"/>
        <item x="814"/>
        <item x="407"/>
        <item x="1031"/>
        <item x="862"/>
        <item x="928"/>
        <item x="495"/>
        <item x="1330"/>
        <item x="839"/>
        <item x="1597"/>
        <item x="672"/>
        <item x="148"/>
        <item x="241"/>
        <item x="38"/>
        <item x="279"/>
        <item x="1395"/>
        <item x="398"/>
        <item x="1413"/>
        <item x="683"/>
        <item x="53"/>
        <item x="1518"/>
        <item x="1452"/>
        <item x="24"/>
        <item x="118"/>
        <item x="1772"/>
        <item x="560"/>
        <item x="1210"/>
        <item x="1151"/>
        <item x="1225"/>
        <item x="562"/>
        <item x="1383"/>
        <item x="182"/>
        <item x="421"/>
        <item x="25"/>
        <item x="726"/>
        <item x="303"/>
        <item x="459"/>
        <item x="73"/>
        <item x="513"/>
        <item x="716"/>
        <item x="791"/>
        <item x="1539"/>
        <item x="1712"/>
        <item x="625"/>
        <item x="1034"/>
        <item x="1706"/>
        <item x="1022"/>
        <item x="93"/>
        <item x="116"/>
        <item x="244"/>
        <item x="178"/>
        <item x="1590"/>
        <item x="375"/>
        <item x="170"/>
        <item x="1738"/>
        <item x="528"/>
        <item x="1041"/>
        <item x="1542"/>
        <item x="431"/>
        <item x="63"/>
        <item x="445"/>
        <item x="1011"/>
        <item x="61"/>
        <item x="14"/>
        <item x="665"/>
        <item x="529"/>
        <item x="1531"/>
        <item x="956"/>
        <item x="125"/>
        <item x="1070"/>
        <item x="753"/>
        <item x="470"/>
        <item x="75"/>
        <item x="704"/>
        <item x="857"/>
        <item x="1156"/>
        <item x="1207"/>
        <item x="162"/>
        <item x="1302"/>
        <item x="13"/>
        <item x="1033"/>
        <item x="558"/>
        <item x="308"/>
        <item x="1338"/>
        <item x="1009"/>
        <item x="9"/>
        <item x="673"/>
        <item x="1102"/>
        <item x="1171"/>
        <item x="893"/>
        <item x="986"/>
        <item x="28"/>
        <item x="460"/>
        <item x="51"/>
        <item x="1038"/>
        <item x="1373"/>
        <item x="286"/>
        <item x="1420"/>
        <item x="1092"/>
        <item x="223"/>
        <item x="1177"/>
        <item x="561"/>
        <item x="1130"/>
        <item x="480"/>
        <item x="1146"/>
        <item x="114"/>
        <item x="684"/>
        <item x="260"/>
        <item x="509"/>
        <item x="664"/>
        <item x="992"/>
        <item x="277"/>
        <item x="481"/>
        <item x="1238"/>
        <item x="1216"/>
        <item x="542"/>
        <item x="1163"/>
        <item x="1162"/>
        <item x="1412"/>
        <item x="294"/>
        <item x="735"/>
        <item x="1168"/>
        <item x="1455"/>
        <item x="535"/>
        <item x="957"/>
        <item x="973"/>
        <item x="1447"/>
        <item x="368"/>
        <item x="1559"/>
        <item x="264"/>
        <item x="382"/>
        <item x="974"/>
        <item x="1391"/>
        <item x="856"/>
        <item x="327"/>
        <item x="505"/>
        <item x="496"/>
        <item x="291"/>
        <item x="155"/>
        <item x="904"/>
        <item x="310"/>
        <item x="274"/>
        <item x="1595"/>
        <item x="994"/>
        <item x="1175"/>
        <item x="1284"/>
        <item x="84"/>
        <item x="333"/>
        <item x="1503"/>
        <item x="172"/>
        <item x="154"/>
        <item x="130"/>
        <item x="612"/>
        <item x="522"/>
        <item x="1523"/>
        <item x="1051"/>
        <item x="628"/>
        <item x="1579"/>
        <item x="1578"/>
        <item x="1106"/>
        <item x="671"/>
        <item x="337"/>
        <item x="309"/>
        <item x="681"/>
        <item x="141"/>
        <item x="482"/>
        <item x="1511"/>
        <item x="1408"/>
        <item x="1237"/>
        <item x="357"/>
        <item x="590"/>
        <item x="401"/>
        <item x="324"/>
        <item x="220"/>
        <item x="245"/>
        <item x="370"/>
        <item x="45"/>
        <item x="827"/>
        <item x="1541"/>
        <item x="160"/>
        <item x="1615"/>
        <item x="157"/>
        <item x="325"/>
        <item x="378"/>
        <item x="619"/>
        <item x="1261"/>
        <item x="1077"/>
        <item x="134"/>
        <item x="743"/>
        <item x="1668"/>
        <item x="1076"/>
        <item x="1386"/>
        <item x="202"/>
        <item x="689"/>
        <item x="1000"/>
        <item x="1621"/>
        <item x="208"/>
        <item x="1732"/>
        <item x="924"/>
        <item x="149"/>
        <item x="837"/>
        <item x="275"/>
        <item x="1245"/>
        <item x="1382"/>
        <item x="568"/>
        <item x="1048"/>
        <item x="167"/>
        <item x="695"/>
        <item x="1187"/>
        <item x="772"/>
        <item x="1725"/>
        <item x="1206"/>
        <item x="817"/>
        <item x="383"/>
        <item x="981"/>
        <item x="46"/>
        <item x="361"/>
        <item x="1153"/>
        <item x="1084"/>
        <item x="229"/>
        <item x="191"/>
        <item x="1203"/>
        <item x="1204"/>
        <item x="1354"/>
        <item x="965"/>
        <item x="469"/>
        <item x="1494"/>
        <item x="1232"/>
        <item x="397"/>
        <item x="254"/>
        <item x="1520"/>
        <item x="86"/>
        <item x="4"/>
        <item x="1016"/>
        <item x="313"/>
        <item x="947"/>
        <item x="128"/>
        <item x="1742"/>
        <item x="1184"/>
        <item x="306"/>
        <item x="587"/>
        <item x="1526"/>
        <item x="799"/>
        <item x="120"/>
        <item x="1436"/>
        <item x="1066"/>
        <item x="812"/>
        <item x="78"/>
        <item x="237"/>
        <item x="1329"/>
        <item x="1461"/>
        <item x="177"/>
        <item x="184"/>
        <item x="230"/>
        <item x="1514"/>
        <item x="1657"/>
        <item x="506"/>
        <item x="360"/>
        <item x="387"/>
        <item x="1635"/>
        <item x="225"/>
        <item x="800"/>
        <item x="64"/>
        <item x="253"/>
        <item x="199"/>
        <item x="533"/>
        <item x="615"/>
        <item x="48"/>
        <item x="543"/>
        <item x="1062"/>
        <item x="1794"/>
        <item x="659"/>
        <item x="106"/>
        <item x="940"/>
        <item x="1487"/>
        <item x="1745"/>
        <item x="1653"/>
        <item x="1515"/>
        <item x="1256"/>
        <item x="1484"/>
        <item x="350"/>
        <item x="458"/>
        <item x="1470"/>
        <item x="512"/>
        <item x="1290"/>
        <item x="29"/>
        <item x="1460"/>
        <item x="212"/>
        <item x="58"/>
        <item x="1025"/>
        <item x="756"/>
        <item x="450"/>
        <item x="548"/>
        <item x="1730"/>
        <item x="1117"/>
        <item x="1254"/>
        <item x="999"/>
        <item x="1695"/>
        <item x="1259"/>
        <item x="287"/>
        <item x="1375"/>
        <item x="22"/>
        <item x="65"/>
        <item x="269"/>
        <item x="104"/>
        <item x="1697"/>
        <item x="1699"/>
        <item x="864"/>
        <item x="1272"/>
        <item x="1478"/>
        <item x="573"/>
        <item x="418"/>
        <item x="200"/>
        <item x="546"/>
        <item x="768"/>
        <item x="1488"/>
        <item x="715"/>
        <item x="750"/>
        <item x="830"/>
        <item x="641"/>
        <item x="490"/>
        <item x="847"/>
        <item x="676"/>
        <item x="427"/>
        <item x="1114"/>
        <item x="1537"/>
        <item x="1099"/>
        <item x="1744"/>
        <item x="364"/>
        <item x="376"/>
        <item x="1698"/>
        <item x="620"/>
        <item x="217"/>
        <item x="190"/>
        <item x="257"/>
        <item x="885"/>
        <item x="645"/>
        <item x="239"/>
        <item x="1427"/>
        <item x="379"/>
        <item x="1258"/>
        <item x="961"/>
        <item x="1113"/>
        <item x="638"/>
        <item x="1394"/>
        <item x="951"/>
        <item x="1737"/>
        <item x="131"/>
        <item x="840"/>
        <item x="189"/>
        <item x="631"/>
        <item x="1612"/>
        <item x="1307"/>
        <item x="117"/>
        <item x="745"/>
        <item x="762"/>
        <item x="1474"/>
        <item x="33"/>
        <item x="1046"/>
        <item x="1131"/>
        <item x="650"/>
        <item x="654"/>
        <item x="1399"/>
        <item x="1121"/>
        <item x="1340"/>
        <item x="738"/>
        <item x="657"/>
        <item x="426"/>
        <item x="1654"/>
        <item x="945"/>
        <item x="853"/>
        <item x="1288"/>
        <item x="242"/>
        <item x="1429"/>
        <item x="1560"/>
        <item x="1469"/>
        <item x="266"/>
        <item x="554"/>
        <item x="1023"/>
        <item x="789"/>
        <item x="1093"/>
        <item x="633"/>
        <item x="582"/>
        <item x="600"/>
        <item x="1544"/>
        <item x="1125"/>
        <item x="851"/>
        <item x="227"/>
        <item x="1371"/>
        <item x="667"/>
        <item x="1604"/>
        <item x="1368"/>
        <item x="968"/>
        <item x="1788"/>
        <item x="72"/>
        <item x="1426"/>
        <item x="1656"/>
        <item x="1309"/>
        <item x="472"/>
        <item x="938"/>
        <item x="1643"/>
        <item x="145"/>
        <item x="1091"/>
        <item x="1667"/>
        <item x="1336"/>
        <item x="385"/>
        <item x="1538"/>
        <item x="17"/>
        <item x="447"/>
        <item x="1437"/>
        <item x="1295"/>
        <item x="746"/>
        <item x="785"/>
        <item x="27"/>
        <item x="653"/>
        <item x="1042"/>
        <item x="1441"/>
        <item x="610"/>
        <item x="163"/>
        <item x="449"/>
        <item x="1190"/>
        <item x="108"/>
        <item x="1191"/>
        <item x="365"/>
        <item x="1411"/>
        <item x="807"/>
        <item x="1326"/>
        <item x="1007"/>
        <item x="816"/>
        <item x="392"/>
        <item x="993"/>
        <item x="692"/>
        <item x="408"/>
        <item x="878"/>
        <item x="1529"/>
        <item x="81"/>
        <item x="622"/>
        <item x="1250"/>
        <item x="441"/>
        <item x="1170"/>
        <item x="516"/>
        <item x="1318"/>
        <item x="67"/>
        <item x="124"/>
        <item x="787"/>
        <item x="206"/>
        <item x="868"/>
        <item x="1566"/>
        <item x="1346"/>
        <item x="714"/>
        <item x="256"/>
        <item x="636"/>
        <item x="1074"/>
        <item x="711"/>
        <item x="1417"/>
        <item x="570"/>
        <item x="406"/>
        <item x="555"/>
        <item x="782"/>
        <item x="1057"/>
        <item x="332"/>
        <item x="1466"/>
        <item x="637"/>
        <item x="466"/>
        <item x="917"/>
        <item x="158"/>
        <item x="228"/>
        <item x="1760"/>
        <item x="1017"/>
        <item x="661"/>
        <item x="280"/>
        <item x="1513"/>
        <item x="393"/>
        <item x="1512"/>
        <item x="877"/>
        <item x="577"/>
        <item x="719"/>
        <item x="677"/>
        <item x="1294"/>
        <item x="690"/>
        <item x="416"/>
        <item x="770"/>
        <item x="302"/>
        <item x="1069"/>
        <item x="1800"/>
        <item x="519"/>
        <item x="395"/>
        <item x="349"/>
        <item x="547"/>
        <item x="60"/>
        <item x="1533"/>
        <item x="467"/>
        <item x="1214"/>
        <item x="597"/>
        <item x="1584"/>
        <item x="1671"/>
        <item x="372"/>
        <item x="1"/>
        <item x="1634"/>
        <item x="213"/>
        <item x="173"/>
        <item x="1142"/>
        <item x="511"/>
        <item x="1764"/>
        <item x="1777"/>
        <item x="818"/>
        <item x="248"/>
        <item x="1243"/>
        <item x="796"/>
        <item x="8"/>
        <item x="588"/>
        <item x="907"/>
        <item x="434"/>
        <item x="1568"/>
        <item x="193"/>
        <item x="1619"/>
        <item x="1379"/>
        <item x="603"/>
        <item x="471"/>
        <item x="984"/>
        <item x="624"/>
        <item x="1528"/>
        <item x="488"/>
        <item x="1780"/>
        <item x="903"/>
        <item x="1195"/>
        <item x="1625"/>
        <item x="1278"/>
        <item x="581"/>
        <item x="44"/>
        <item x="1109"/>
        <item x="425"/>
        <item x="795"/>
        <item x="1415"/>
        <item x="477"/>
        <item x="1058"/>
        <item x="215"/>
        <item x="319"/>
        <item x="1019"/>
        <item x="205"/>
        <item x="699"/>
        <item x="1581"/>
        <item x="539"/>
        <item x="1789"/>
        <item x="233"/>
        <item x="919"/>
        <item x="1787"/>
        <item x="1196"/>
        <item x="1086"/>
        <item x="36"/>
        <item x="402"/>
        <item x="175"/>
        <item x="709"/>
        <item x="849"/>
        <item x="356"/>
        <item x="1304"/>
        <item x="52"/>
        <item x="417"/>
        <item x="15"/>
        <item x="1134"/>
        <item x="1157"/>
        <item x="187"/>
        <item x="1687"/>
        <item x="820"/>
        <item x="838"/>
        <item x="941"/>
        <item x="1594"/>
        <item x="409"/>
        <item x="11"/>
        <item x="1776"/>
        <item x="1509"/>
        <item x="1627"/>
        <item x="1532"/>
        <item x="62"/>
        <item x="594"/>
        <item x="1731"/>
        <item x="224"/>
        <item x="353"/>
        <item x="504"/>
        <item x="1358"/>
        <item x="20"/>
        <item x="140"/>
        <item x="1721"/>
        <item x="530"/>
        <item x="498"/>
        <item x="451"/>
        <item x="763"/>
        <item x="1701"/>
        <item x="321"/>
        <item x="713"/>
        <item x="915"/>
        <item x="1323"/>
        <item x="352"/>
        <item x="929"/>
        <item x="797"/>
        <item x="267"/>
        <item x="1044"/>
        <item x="42"/>
        <item x="1389"/>
        <item x="916"/>
        <item x="414"/>
        <item x="1549"/>
        <item x="1565"/>
        <item x="103"/>
        <item x="629"/>
        <item x="317"/>
        <item x="1642"/>
        <item x="1709"/>
        <item x="97"/>
        <item x="1768"/>
        <item x="773"/>
        <item x="487"/>
        <item x="1208"/>
        <item x="1332"/>
        <item x="744"/>
        <item x="899"/>
        <item x="185"/>
        <item x="1351"/>
        <item x="1648"/>
        <item x="559"/>
        <item x="6"/>
        <item x="161"/>
        <item x="1145"/>
        <item x="1571"/>
        <item x="433"/>
        <item x="1606"/>
        <item x="143"/>
        <item x="374"/>
        <item x="1047"/>
        <item x="1491"/>
        <item x="925"/>
        <item x="767"/>
        <item x="180"/>
        <item x="1456"/>
        <item x="1773"/>
        <item x="318"/>
        <item x="430"/>
        <item x="644"/>
        <item x="413"/>
        <item x="422"/>
        <item x="23"/>
        <item x="10"/>
        <item x="77"/>
        <item x="607"/>
        <item x="273"/>
        <item x="1253"/>
        <item x="1004"/>
        <item x="922"/>
        <item x="1262"/>
        <item x="455"/>
        <item x="1182"/>
        <item x="1507"/>
        <item x="1376"/>
        <item x="1416"/>
        <item x="494"/>
        <item x="359"/>
        <item x="1101"/>
        <item x="1015"/>
        <item x="369"/>
        <item x="297"/>
        <item x="810"/>
        <item x="1298"/>
        <item x="1045"/>
        <item x="1570"/>
        <item x="1100"/>
        <item x="1629"/>
        <item x="652"/>
        <item x="1213"/>
        <item x="101"/>
        <item x="1052"/>
        <item x="955"/>
        <item x="724"/>
        <item x="249"/>
        <item x="222"/>
        <item x="1280"/>
        <item x="270"/>
        <item x="1722"/>
        <item x="262"/>
        <item x="674"/>
        <item x="805"/>
        <item x="1233"/>
        <item x="1645"/>
        <item x="623"/>
        <item x="1588"/>
        <item x="930"/>
        <item x="1685"/>
        <item x="1362"/>
        <item x="1649"/>
        <item x="1029"/>
        <item x="972"/>
        <item x="211"/>
        <item x="282"/>
        <item x="1572"/>
        <item x="960"/>
        <item x="276"/>
        <item x="1690"/>
        <item x="1040"/>
        <item x="94"/>
        <item x="136"/>
        <item x="1652"/>
        <item x="526"/>
        <item x="1525"/>
        <item x="658"/>
        <item x="987"/>
        <item x="804"/>
        <item x="760"/>
        <item x="37"/>
        <item x="1504"/>
        <item x="197"/>
        <item x="1352"/>
        <item x="442"/>
        <item x="1767"/>
        <item x="995"/>
        <item x="142"/>
        <item x="483"/>
        <item x="1199"/>
        <item x="1273"/>
        <item x="946"/>
        <item x="608"/>
        <item x="35"/>
        <item x="1167"/>
        <item x="747"/>
        <item x="717"/>
        <item x="1108"/>
        <item x="1377"/>
        <item x="985"/>
        <item x="39"/>
        <item x="882"/>
        <item x="766"/>
        <item x="1140"/>
        <item x="1716"/>
        <item x="285"/>
        <item x="99"/>
        <item x="1602"/>
        <item x="567"/>
        <item x="1072"/>
        <item x="1322"/>
        <item x="429"/>
        <item x="1361"/>
        <item x="844"/>
        <item x="240"/>
        <item x="614"/>
        <item x="556"/>
        <item x="351"/>
        <item x="537"/>
        <item x="963"/>
        <item x="880"/>
        <item x="179"/>
        <item x="83"/>
        <item x="605"/>
        <item x="688"/>
        <item x="700"/>
        <item x="218"/>
        <item x="1554"/>
        <item x="69"/>
        <item x="660"/>
        <item x="1424"/>
        <item x="1152"/>
        <item x="550"/>
        <item x="226"/>
        <item x="1221"/>
        <item x="1349"/>
        <item x="842"/>
        <item x="627"/>
        <item x="334"/>
        <item x="1239"/>
        <item x="1271"/>
        <item x="1096"/>
        <item x="1472"/>
        <item x="147"/>
        <item x="523"/>
        <item x="12"/>
        <item x="457"/>
        <item x="1123"/>
        <item x="1707"/>
        <item x="174"/>
        <item x="776"/>
        <item x="1319"/>
        <item x="565"/>
        <item x="156"/>
        <item x="1778"/>
        <item x="500"/>
        <item x="1226"/>
        <item x="1755"/>
        <item x="875"/>
        <item x="866"/>
        <item x="586"/>
        <item x="1103"/>
        <item x="493"/>
        <item x="829"/>
        <item x="777"/>
        <item x="1759"/>
        <item x="1012"/>
        <item x="1783"/>
        <item x="1616"/>
        <item x="1217"/>
        <item x="1089"/>
        <item x="1587"/>
        <item x="265"/>
        <item x="541"/>
        <item x="1090"/>
        <item x="1193"/>
        <item x="79"/>
        <item x="578"/>
        <item x="668"/>
        <item x="1796"/>
        <item x="423"/>
        <item x="1270"/>
        <item x="649"/>
        <item x="1257"/>
        <item x="251"/>
        <item x="1174"/>
        <item x="1013"/>
        <item x="391"/>
        <item x="1141"/>
        <item x="936"/>
        <item x="1201"/>
        <item x="203"/>
        <item x="85"/>
        <item x="1275"/>
        <item x="982"/>
        <item x="833"/>
        <item x="1312"/>
        <item x="1422"/>
        <item x="630"/>
        <item x="1137"/>
        <item x="221"/>
        <item x="825"/>
        <item x="261"/>
        <item x="725"/>
        <item x="752"/>
        <item x="599"/>
        <item x="2"/>
        <item x="298"/>
        <item x="1223"/>
        <item x="843"/>
        <item x="1172"/>
        <item x="1021"/>
        <item x="1770"/>
        <item x="824"/>
        <item x="137"/>
        <item x="1609"/>
        <item x="912"/>
        <item x="1104"/>
        <item x="210"/>
        <item x="247"/>
        <item x="1677"/>
        <item x="54"/>
        <item x="112"/>
        <item x="538"/>
        <item x="90"/>
        <item x="1748"/>
        <item x="21"/>
        <item x="320"/>
        <item x="757"/>
        <item x="691"/>
        <item x="1496"/>
        <item x="891"/>
        <item x="1345"/>
        <item x="1500"/>
        <item x="879"/>
        <item x="834"/>
        <item x="1344"/>
        <item x="1265"/>
        <item x="1444"/>
        <item x="168"/>
        <item x="1179"/>
        <item x="707"/>
        <item x="1269"/>
        <item x="1068"/>
        <item x="748"/>
        <item x="1552"/>
        <item x="1611"/>
        <item x="1459"/>
        <item x="1054"/>
        <item x="68"/>
        <item x="801"/>
        <item x="311"/>
        <item x="1136"/>
        <item x="1506"/>
        <item x="1637"/>
        <item x="1715"/>
        <item x="821"/>
        <item x="26"/>
        <item x="613"/>
        <item x="1640"/>
        <item x="474"/>
        <item x="363"/>
        <item x="874"/>
        <item x="571"/>
        <item x="1710"/>
        <item x="774"/>
        <item x="1279"/>
        <item x="734"/>
        <item x="288"/>
        <item x="1014"/>
        <item x="358"/>
        <item x="1435"/>
        <item x="886"/>
        <item x="621"/>
        <item x="1342"/>
        <item x="1576"/>
        <item x="1497"/>
        <item x="575"/>
        <item x="991"/>
        <item x="186"/>
        <item x="1758"/>
        <item x="544"/>
        <item x="464"/>
        <item x="411"/>
        <item x="1374"/>
        <item x="1127"/>
        <item x="1266"/>
        <item x="1143"/>
        <item x="997"/>
        <item x="771"/>
        <item x="1234"/>
        <item x="88"/>
        <item x="651"/>
        <item x="1282"/>
        <item x="478"/>
        <item x="867"/>
        <item x="1505"/>
        <item x="892"/>
        <item x="527"/>
        <item x="499"/>
        <item x="219"/>
        <item x="909"/>
        <item x="1339"/>
        <item x="138"/>
        <item x="786"/>
        <item x="890"/>
        <item x="424"/>
        <item x="1396"/>
        <item x="30"/>
        <item x="678"/>
        <item x="235"/>
        <item x="5"/>
        <item x="618"/>
        <item x="1550"/>
        <item x="836"/>
        <item x="1573"/>
        <item x="576"/>
        <item x="1350"/>
        <item x="819"/>
        <item x="1267"/>
        <item x="942"/>
        <item x="377"/>
        <item x="1498"/>
        <item x="194"/>
        <item x="1714"/>
        <item x="1347"/>
        <item x="1583"/>
        <item x="111"/>
        <item x="16"/>
        <item x="146"/>
        <item x="595"/>
        <item x="888"/>
        <item x="1180"/>
        <item x="729"/>
        <item x="238"/>
        <item x="1111"/>
        <item x="166"/>
        <item x="281"/>
        <item x="687"/>
        <item x="446"/>
        <item x="1703"/>
        <item x="49"/>
        <item x="390"/>
        <item x="617"/>
        <item x="432"/>
        <item x="1037"/>
        <item x="1438"/>
        <item x="733"/>
        <item x="345"/>
        <item x="1075"/>
        <item x="1388"/>
        <item x="315"/>
        <item x="399"/>
        <item x="1020"/>
        <item x="1008"/>
        <item x="1479"/>
        <item x="340"/>
        <item x="1064"/>
        <item x="501"/>
        <item x="329"/>
        <item x="1148"/>
        <item x="1784"/>
        <item x="91"/>
        <item x="634"/>
        <item x="362"/>
        <item x="1692"/>
        <item x="679"/>
        <item x="872"/>
        <item x="1798"/>
        <item x="1244"/>
        <item x="272"/>
        <item x="754"/>
        <item x="604"/>
        <item x="1200"/>
        <item x="1305"/>
        <item x="347"/>
        <item x="1705"/>
        <item x="1366"/>
        <item x="336"/>
        <item x="596"/>
        <item x="1623"/>
        <item x="40"/>
        <item x="105"/>
        <item x="845"/>
        <item x="1299"/>
        <item x="520"/>
        <item x="1198"/>
        <item x="1161"/>
        <item x="958"/>
        <item x="905"/>
        <item x="579"/>
        <item x="918"/>
        <item x="1682"/>
        <item x="381"/>
        <item x="865"/>
        <item x="485"/>
        <item x="860"/>
        <item x="115"/>
        <item x="721"/>
        <item x="300"/>
        <item x="855"/>
        <item x="1516"/>
        <item x="1381"/>
        <item x="476"/>
        <item x="740"/>
        <item x="906"/>
        <item x="1301"/>
        <item x="255"/>
        <item x="1055"/>
        <item x="443"/>
        <item x="405"/>
        <item x="1646"/>
        <item x="808"/>
        <item x="1483"/>
        <item x="911"/>
        <item x="92"/>
        <item x="549"/>
        <item x="1264"/>
        <item x="861"/>
        <item x="373"/>
        <item x="1718"/>
        <item x="759"/>
        <item x="647"/>
        <item x="783"/>
        <item x="1220"/>
        <item x="1065"/>
        <item x="831"/>
        <item x="1097"/>
        <item x="755"/>
        <item x="473"/>
        <item x="1079"/>
        <item x="602"/>
        <item x="1674"/>
        <item x="47"/>
        <item x="854"/>
        <item x="978"/>
        <item x="926"/>
        <item x="640"/>
        <item x="448"/>
        <item x="32"/>
        <item x="1183"/>
        <item x="150"/>
        <item x="1562"/>
        <item x="792"/>
        <item x="307"/>
        <item x="384"/>
        <item x="183"/>
        <item x="591"/>
        <item x="769"/>
        <item x="465"/>
        <item x="232"/>
        <item x="884"/>
        <item x="931"/>
        <item x="1458"/>
        <item x="889"/>
        <item x="1164"/>
        <item x="56"/>
        <item x="1356"/>
        <item x="456"/>
        <item x="439"/>
        <item x="1749"/>
        <item x="971"/>
        <item x="1082"/>
        <item x="1402"/>
        <item x="463"/>
        <item x="1421"/>
        <item x="354"/>
        <item x="1397"/>
        <item x="1087"/>
        <item x="415"/>
        <item x="898"/>
        <item x="95"/>
        <item x="731"/>
        <item x="1053"/>
        <item x="696"/>
        <item x="339"/>
        <item x="1592"/>
        <item x="1236"/>
        <item x="305"/>
        <item x="1599"/>
        <item x="1227"/>
        <item x="440"/>
        <item x="592"/>
        <item x="1094"/>
        <item x="921"/>
        <item x="1410"/>
        <item x="826"/>
        <item x="1451"/>
        <item x="1311"/>
        <item x="1147"/>
        <item x="939"/>
        <item x="525"/>
        <item x="252"/>
        <item x="778"/>
        <item x="967"/>
        <item x="1577"/>
        <item x="732"/>
        <item x="1385"/>
        <item x="1083"/>
        <item x="338"/>
        <item x="1276"/>
        <item x="632"/>
        <item x="461"/>
        <item x="669"/>
        <item x="102"/>
        <item x="806"/>
        <item x="702"/>
        <item x="779"/>
        <item x="701"/>
        <item x="1241"/>
        <item x="491"/>
        <item x="811"/>
        <item x="1795"/>
        <item x="932"/>
        <item x="76"/>
        <item x="1673"/>
        <item x="216"/>
        <item x="1482"/>
        <item x="514"/>
        <item x="1763"/>
        <item x="1116"/>
        <item x="521"/>
        <item x="195"/>
        <item x="910"/>
        <item x="1173"/>
        <item x="666"/>
        <item x="935"/>
        <item x="326"/>
        <item x="201"/>
        <item x="1327"/>
        <item x="706"/>
        <item x="900"/>
        <item x="152"/>
        <item x="121"/>
        <item x="1367"/>
        <item x="284"/>
        <item x="1754"/>
        <item x="1122"/>
        <item x="1600"/>
        <item x="739"/>
        <item x="583"/>
        <item x="510"/>
        <item x="580"/>
        <item x="1567"/>
        <item x="444"/>
        <item x="1158"/>
        <item x="1166"/>
        <item x="295"/>
        <item x="655"/>
        <item x="585"/>
        <item x="107"/>
        <item x="933"/>
        <item x="403"/>
        <item x="1231"/>
        <item x="1392"/>
        <item x="736"/>
        <item x="1465"/>
        <item x="144"/>
        <item x="289"/>
        <item x="1132"/>
        <item x="902"/>
        <item x="396"/>
        <item x="1308"/>
        <item x="1489"/>
        <item x="1321"/>
        <item x="682"/>
        <item x="1317"/>
        <item x="720"/>
        <item x="1524"/>
        <item x="508"/>
        <item x="566"/>
        <item x="484"/>
        <item x="741"/>
        <item x="662"/>
        <item x="1325"/>
        <item x="764"/>
        <item x="524"/>
        <item x="1032"/>
        <item x="894"/>
        <item x="1492"/>
        <item x="563"/>
        <item x="1364"/>
        <item x="572"/>
        <item x="475"/>
        <item x="784"/>
        <item x="1061"/>
        <item x="1608"/>
        <item x="82"/>
        <item x="642"/>
        <item x="1401"/>
        <item x="366"/>
        <item x="1624"/>
        <item x="1717"/>
        <item x="551"/>
        <item x="209"/>
        <item x="1557"/>
        <item x="1212"/>
        <item x="410"/>
        <item x="1291"/>
        <item x="1765"/>
        <item x="70"/>
        <item x="159"/>
        <item x="949"/>
        <item x="1400"/>
        <item x="1480"/>
        <item x="710"/>
        <item x="462"/>
        <item x="1129"/>
        <item x="207"/>
        <item x="1449"/>
        <item x="1431"/>
        <item x="71"/>
        <item x="693"/>
        <item x="234"/>
        <item x="871"/>
        <item x="1154"/>
        <item x="1027"/>
        <item x="976"/>
        <item x="127"/>
        <item x="296"/>
        <item x="18"/>
        <item x="1639"/>
        <item x="1585"/>
        <item x="953"/>
        <item x="852"/>
        <item x="400"/>
        <item x="1002"/>
        <item x="1252"/>
        <item x="1446"/>
        <item x="685"/>
        <item x="896"/>
        <item x="1378"/>
        <item x="1555"/>
        <item x="371"/>
        <item x="979"/>
        <item x="802"/>
        <item x="7"/>
        <item x="452"/>
        <item x="1661"/>
        <item x="502"/>
        <item x="1024"/>
        <item x="920"/>
        <item x="165"/>
        <item x="1471"/>
        <item x="846"/>
        <item x="132"/>
        <item x="1663"/>
        <item x="1110"/>
        <item x="1423"/>
        <item x="859"/>
        <item x="1545"/>
        <item x="346"/>
        <item x="990"/>
        <item x="453"/>
        <item x="290"/>
        <item x="1359"/>
        <item x="1618"/>
        <item x="1463"/>
        <item x="246"/>
        <item x="479"/>
        <item x="1739"/>
        <item x="1801"/>
        <item x="1405"/>
        <item x="643"/>
        <item x="1693"/>
        <item x="703"/>
        <item x="1228"/>
        <item x="394"/>
        <item x="1665"/>
        <item x="59"/>
        <item x="176"/>
        <item x="122"/>
        <item x="1370"/>
        <item x="123"/>
        <item x="1433"/>
        <item x="815"/>
        <item x="34"/>
        <item x="292"/>
        <item x="293"/>
        <item x="1343"/>
        <item x="1355"/>
        <item x="243"/>
        <item x="1363"/>
        <item x="1211"/>
        <item x="1296"/>
        <item x="330"/>
        <item x="1197"/>
        <item x="1128"/>
        <item x="1589"/>
        <item x="192"/>
        <item x="1563"/>
        <item x="1792"/>
        <item x="96"/>
        <item x="74"/>
        <item x="536"/>
        <item x="832"/>
        <item x="727"/>
        <item x="133"/>
        <item x="386"/>
        <item x="1188"/>
        <item x="598"/>
        <item x="1268"/>
        <item x="1613"/>
        <item x="1286"/>
        <item x="970"/>
        <item x="823"/>
        <item x="87"/>
        <item x="312"/>
        <item x="126"/>
        <item x="897"/>
        <item x="848"/>
        <item x="1059"/>
        <item x="1292"/>
        <item x="722"/>
        <item x="1080"/>
        <item x="1119"/>
        <item x="436"/>
        <item x="323"/>
        <item x="1547"/>
        <item x="552"/>
        <item x="109"/>
        <item x="428"/>
        <item x="98"/>
        <item x="380"/>
        <item x="1135"/>
        <item x="1593"/>
        <item x="1688"/>
        <item x="589"/>
        <item x="1662"/>
        <item x="781"/>
        <item x="1430"/>
        <item x="944"/>
        <item x="1285"/>
        <item x="1669"/>
        <item x="728"/>
        <item x="1691"/>
        <item x="1683"/>
        <item x="793"/>
        <item x="1036"/>
        <item x="914"/>
        <item x="1486"/>
        <item x="1728"/>
        <item x="1743"/>
        <item x="1316"/>
        <item x="564"/>
        <item x="1313"/>
        <item x="258"/>
        <item x="263"/>
        <item x="1407"/>
        <item x="1779"/>
        <item x="1753"/>
        <item x="1035"/>
        <item x="1160"/>
        <item x="507"/>
        <item x="492"/>
        <item x="1747"/>
        <item x="1724"/>
        <item x="435"/>
        <item x="1658"/>
        <item x="113"/>
        <item x="1536"/>
        <item x="188"/>
        <item x="1628"/>
        <item x="962"/>
        <item x="343"/>
        <item x="153"/>
        <item x="718"/>
        <item x="1149"/>
        <item x="1510"/>
        <item x="314"/>
        <item x="1085"/>
        <item x="1287"/>
        <item x="344"/>
        <item x="331"/>
        <item x="869"/>
        <item x="1774"/>
        <item x="952"/>
        <item x="515"/>
        <item x="1404"/>
        <item x="1281"/>
        <item x="322"/>
        <item x="1107"/>
        <item x="697"/>
        <item x="532"/>
        <item x="1729"/>
        <item x="1328"/>
        <item x="204"/>
        <item x="348"/>
        <item x="1720"/>
        <item x="419"/>
        <item x="557"/>
        <item x="1644"/>
        <item x="41"/>
        <item x="996"/>
        <item x="1230"/>
        <item x="196"/>
        <item x="518"/>
        <item x="335"/>
        <item x="489"/>
        <item x="388"/>
        <item x="55"/>
        <item x="1003"/>
        <item x="1246"/>
        <item x="1630"/>
        <item x="0"/>
        <item x="977"/>
        <item x="304"/>
        <item x="646"/>
        <item x="1159"/>
        <item x="1335"/>
        <item x="1713"/>
        <item x="545"/>
        <item x="1334"/>
        <item x="540"/>
        <item x="1468"/>
        <item x="231"/>
        <item x="606"/>
        <item x="1248"/>
        <item x="1561"/>
        <item x="1439"/>
        <item x="1680"/>
        <item x="966"/>
        <item x="299"/>
        <item x="675"/>
        <item x="1751"/>
        <item x="164"/>
        <item x="1432"/>
        <item x="1786"/>
        <item x="1306"/>
        <item x="1178"/>
        <item x="1189"/>
        <item x="1771"/>
        <item x="883"/>
        <item x="751"/>
        <item x="1333"/>
        <item x="169"/>
        <item x="790"/>
        <item x="1138"/>
        <item x="1522"/>
        <item x="1633"/>
        <item x="1450"/>
        <item x="1222"/>
        <item x="139"/>
        <item x="1734"/>
        <item x="50"/>
        <item x="927"/>
        <item x="259"/>
        <item x="1073"/>
        <item x="1049"/>
        <item x="1678"/>
        <item x="813"/>
        <item x="1535"/>
        <item x="1785"/>
        <item x="66"/>
        <item x="616"/>
        <item x="1043"/>
        <item x="1534"/>
        <item x="1010"/>
        <item x="943"/>
        <item x="1144"/>
        <item x="1418"/>
        <item x="1260"/>
        <item x="959"/>
        <item x="1030"/>
        <item x="841"/>
        <item x="937"/>
        <item x="3"/>
        <item x="1242"/>
        <item x="1757"/>
        <item x="1393"/>
        <item x="1115"/>
        <item x="670"/>
        <item x="1651"/>
        <item x="1028"/>
        <item x="1679"/>
        <item x="1475"/>
        <item x="950"/>
        <item x="1575"/>
        <item x="1209"/>
        <item x="1521"/>
        <item x="135"/>
        <item x="663"/>
        <item x="1176"/>
        <item x="1660"/>
        <item x="1617"/>
        <item x="1060"/>
        <item x="1315"/>
        <item x="1454"/>
        <item x="1689"/>
        <item x="1263"/>
        <item x="31"/>
        <item x="1126"/>
        <item x="989"/>
        <item x="1556"/>
        <item x="1303"/>
        <item x="1409"/>
        <item x="1453"/>
        <item x="1464"/>
        <item x="1700"/>
        <item x="1240"/>
        <item x="742"/>
        <item x="876"/>
        <item x="1493"/>
        <item x="1638"/>
        <item x="1251"/>
        <item x="983"/>
        <item x="1476"/>
        <item x="954"/>
        <item x="1569"/>
        <item x="1081"/>
        <item x="803"/>
        <item x="1708"/>
        <item x="1194"/>
        <item x="761"/>
        <item x="1473"/>
        <item x="969"/>
        <item x="626"/>
        <item x="1310"/>
        <item x="1477"/>
        <item x="1672"/>
        <item x="1448"/>
        <item x="1414"/>
        <item x="822"/>
        <item x="1384"/>
        <item x="1603"/>
        <item x="1607"/>
        <item x="1762"/>
        <item x="1740"/>
        <item x="1750"/>
        <item x="1684"/>
        <item x="1591"/>
        <item x="1425"/>
        <item x="1558"/>
        <item x="1598"/>
        <item x="1797"/>
        <item x="1462"/>
        <item x="1719"/>
        <item x="1353"/>
        <item x="1696"/>
        <item x="1582"/>
        <item x="1769"/>
        <item x="601"/>
        <item x="698"/>
        <item x="1632"/>
        <item x="1105"/>
        <item x="1218"/>
        <item x="775"/>
        <item x="1341"/>
        <item x="89"/>
        <item x="639"/>
        <item x="1001"/>
        <item x="1403"/>
        <item x="1676"/>
        <item x="1564"/>
        <item x="1247"/>
        <item x="780"/>
        <item x="798"/>
        <item x="1782"/>
        <item x="908"/>
        <item x="1614"/>
        <item x="1387"/>
        <item x="1324"/>
        <item x="1666"/>
        <item x="1650"/>
        <item x="913"/>
        <item x="988"/>
        <item x="1495"/>
        <item x="1543"/>
        <item x="1655"/>
        <item x="1501"/>
        <item x="873"/>
        <item x="1442"/>
        <item x="1095"/>
        <item x="119"/>
        <item x="723"/>
        <item x="1553"/>
        <item x="749"/>
        <item x="1746"/>
        <item x="1781"/>
        <item x="1205"/>
        <item x="1445"/>
        <item x="1481"/>
        <item x="1314"/>
        <item x="870"/>
        <item x="1675"/>
        <item x="1120"/>
        <item x="1681"/>
        <item x="656"/>
        <item x="975"/>
        <item x="705"/>
        <item x="1005"/>
        <item x="110"/>
        <item x="1752"/>
        <item x="283"/>
        <item x="1440"/>
        <item x="1443"/>
        <item x="1155"/>
        <item x="1169"/>
        <item x="737"/>
        <item x="1733"/>
        <item x="1428"/>
        <item x="1067"/>
        <item x="1369"/>
        <item x="1540"/>
        <item x="1467"/>
        <item x="765"/>
        <item x="1457"/>
        <item x="1320"/>
        <item x="593"/>
        <item x="1192"/>
        <item x="1026"/>
        <item x="809"/>
        <item x="1398"/>
        <item x="1185"/>
        <item x="635"/>
        <item x="1406"/>
        <item x="1202"/>
        <item x="1580"/>
        <item x="1664"/>
        <item x="609"/>
        <item x="1502"/>
        <item x="923"/>
        <item x="1530"/>
        <item x="1527"/>
        <item x="1331"/>
        <item x="712"/>
        <item x="367"/>
        <item x="1050"/>
        <item x="1761"/>
        <item x="858"/>
        <item x="828"/>
        <item x="250"/>
        <item x="1297"/>
        <item x="1799"/>
        <item x="1165"/>
        <item x="1490"/>
        <item x="1546"/>
        <item x="1775"/>
        <item x="694"/>
        <item x="1485"/>
        <item x="19"/>
        <item x="1741"/>
        <item x="680"/>
        <item x="1519"/>
        <item x="1181"/>
        <item x="1229"/>
        <item x="901"/>
        <item x="794"/>
        <item x="1723"/>
        <item x="1605"/>
        <item x="1348"/>
        <item x="1390"/>
        <item x="863"/>
        <item x="1626"/>
        <item x="1736"/>
        <item x="1631"/>
        <item x="1551"/>
        <item x="1726"/>
        <item x="1018"/>
        <item x="1670"/>
        <item x="1793"/>
        <item x="1727"/>
        <item x="964"/>
        <item x="1186"/>
        <item x="1574"/>
        <item x="43"/>
        <item x="895"/>
        <item x="1112"/>
        <item x="503"/>
        <item x="100"/>
        <item x="1365"/>
        <item x="835"/>
        <item x="1224"/>
        <item x="1215"/>
        <item x="328"/>
        <item x="1150"/>
        <item x="57"/>
        <item x="1548"/>
        <item x="129"/>
        <item x="1274"/>
        <item x="1380"/>
        <item x="730"/>
        <item x="80"/>
        <item x="1098"/>
        <item x="1756"/>
        <item x="1357"/>
        <item x="1620"/>
        <item x="1791"/>
        <item x="1517"/>
        <item x="850"/>
        <item x="934"/>
        <item x="1641"/>
        <item x="1255"/>
        <item x="1235"/>
        <item x="1704"/>
        <item x="998"/>
        <item x="1124"/>
        <item x="1659"/>
        <item x="1293"/>
        <item x="948"/>
        <item x="1610"/>
        <item x="980"/>
        <item x="1766"/>
        <item x="788"/>
        <item x="1647"/>
        <item x="1596"/>
        <item x="1372"/>
        <item x="1133"/>
        <item x="1289"/>
        <item x="1686"/>
        <item x="214"/>
        <item x="1499"/>
        <item x="1056"/>
        <item x="1586"/>
        <item x="1283"/>
        <item x="758"/>
        <item x="1300"/>
        <item x="887"/>
        <item x="1508"/>
        <item x="1360"/>
        <item x="686"/>
        <item x="1790"/>
        <item x="1702"/>
        <item x="648"/>
        <item x="1636"/>
        <item x="1711"/>
        <item x="1139"/>
        <item x="1039"/>
        <item x="1601"/>
        <item x="420"/>
        <item x="1088"/>
        <item x="517"/>
        <item x="1735"/>
        <item x="584"/>
        <item x="1337"/>
        <item x="1277"/>
        <item x="468"/>
        <item x="1434"/>
        <item x="497"/>
        <item x="454"/>
        <item x="404"/>
        <item x="151"/>
        <item x="437"/>
        <item x="1694"/>
        <item x="569"/>
        <item x="268"/>
        <item x="486"/>
        <item x="355"/>
        <item x="341"/>
        <item x="534"/>
        <item x="236"/>
        <item x="316"/>
        <item x="171"/>
        <item x="301"/>
        <item x="198"/>
        <item x="389"/>
        <item x="553"/>
        <item x="1802"/>
        <item x="1803"/>
        <item t="default"/>
      </items>
    </pivotField>
  </pivotFields>
  <rowFields count="2">
    <field x="3"/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Итого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3B2D6-DE43-42FA-8EE3-C09F1CE68D2D}" name="Сводная таблица6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F32:H49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FE851-7306-4593-A5C6-7304C8541101}" name="Сводная таблица7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58:D75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род" xr10:uid="{46D34155-891F-4CF6-A2FA-219F9C54638C}" sourceName="Город">
  <pivotTables>
    <pivotTable tabId="6" name="Сводная таблица9"/>
  </pivotTables>
  <data>
    <tabular pivotCacheId="1000279871">
      <items count="7">
        <i x="3" s="1"/>
        <i x="0" s="1"/>
        <i x="4" s="1"/>
        <i x="1" s="1"/>
        <i x="5" s="1"/>
        <i x="6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вартал" xr10:uid="{452B3AA0-AFFC-405F-93FC-549BAD7FD1A4}" sourceName="Квартал ">
  <pivotTables>
    <pivotTable tabId="6" name="Сводная таблица14"/>
  </pivotTables>
  <data>
    <tabular pivotCacheId="1449615795">
      <items count="5">
        <i x="0" s="1"/>
        <i x="1" s="1"/>
        <i x="2" s="1"/>
        <i x="4" s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тегория_товара1" xr10:uid="{CE0C6FD6-3495-431E-84BE-7D8F0A40EBA9}" sourceName="Категория товара">
  <pivotTables>
    <pivotTable tabId="6" name="Сводная таблица15"/>
  </pivotTables>
  <data>
    <tabular pivotCacheId="1449615795">
      <items count="5">
        <i x="1" s="1"/>
        <i x="2" s="1"/>
        <i x="0" s="1"/>
        <i x="4" s="1"/>
        <i x="3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Заказчик" xr10:uid="{CC02B2FB-EB42-4CE4-A04F-66E70893BDC2}" sourceName="Заказчик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тегория_товара" xr10:uid="{4969503B-7F3B-4FA5-A880-3EA0999840B5}" sourceName="Категория товара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овар" xr10:uid="{FF164938-D541-478B-A55F-9C27D0AC9FB1}" sourceName="Товар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Заказчик" xr10:uid="{3201BA57-ED01-45B8-A096-AD4DED209D8D}" cache="Срез_Заказчик" caption="Заказчик" rowHeight="234950"/>
  <slicer name="Категория товара" xr10:uid="{47980955-6058-4E82-A5E2-1C6664F33251}" cache="Срез_Категория_товара" caption="Категория товара" rowHeight="234950"/>
  <slicer name="Товар" xr10:uid="{AA47E806-718A-4081-B515-68EF29526C65}" cache="Срез_Товар" caption="Товар" columnCount="4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Город" xr10:uid="{E57E4970-39AC-4A37-B38F-42F292119C77}" cache="Срез_Город" caption="Город" rowHeight="234950"/>
  <slicer name="Квартал " xr10:uid="{F88EEB2C-0467-4301-80C6-30AEDE6F641D}" cache="Срез_Квартал" caption="Квартал " rowHeight="234950"/>
  <slicer name="Категория товара 1" xr10:uid="{545827E0-CB1A-468E-8730-F11270897A3D}" cache="Срез_Категория_товара1" caption="Категория товара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09220F-3F7B-4966-A026-7260617DA0B1}" name="Таблица5" displayName="Таблица5" ref="A1:H870" totalsRowShown="0">
  <autoFilter ref="A1:H870" xr:uid="{18EFD07B-4BD1-47D4-88A1-EA3470C65C90}"/>
  <tableColumns count="8">
    <tableColumn id="1" xr3:uid="{536FB562-9DE6-430D-80A8-43BBE9999CD4}" name="Дата" dataDxfId="6"/>
    <tableColumn id="2" xr3:uid="{1B2E6780-86F1-4439-B7A6-ED03E8D8D650}" name="Заказчик"/>
    <tableColumn id="3" xr3:uid="{BB879875-62B5-4EE2-BC4F-4CEE759C9709}" name="Город"/>
    <tableColumn id="4" xr3:uid="{D6D0D6F7-B77E-4B06-9AB2-70184149C99A}" name="Категория товара"/>
    <tableColumn id="5" xr3:uid="{29016F3E-0C13-49A0-A636-0421CD6B9795}" name="Товар"/>
    <tableColumn id="6" xr3:uid="{78548A3B-5D0A-4D59-A390-8247F7E64DA8}" name="Цена за упаковку"/>
    <tableColumn id="7" xr3:uid="{A03728A1-2DCF-49E1-A98D-E56EF29CCF43}" name="Количество"/>
    <tableColumn id="8" xr3:uid="{7261FD7F-8181-475B-A1F9-CFBFFEBB94F5}" name="Итого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98462-0955-45BD-B480-1B5A0EB9BE3B}" name="Таблица1" displayName="Таблица1" ref="A11:H3787" totalsRowShown="0" headerRowDxfId="11" headerRowBorderDxfId="10" tableBorderDxfId="9">
  <autoFilter ref="A11:H3787" xr:uid="{AE37B1FD-DF1F-4E63-AA33-9437B75C008F}">
    <filterColumn colId="1">
      <filters>
        <filter val="Копеечка"/>
      </filters>
    </filterColumn>
    <filterColumn colId="3">
      <filters>
        <filter val="Фрукты"/>
      </filters>
    </filterColumn>
    <filterColumn colId="4">
      <filters>
        <filter val="Яблоки"/>
      </filters>
    </filterColumn>
  </autoFilter>
  <tableColumns count="8">
    <tableColumn id="1" xr3:uid="{15FA4871-1945-44E3-A705-9877A039A339}" name="Дата" dataDxfId="8"/>
    <tableColumn id="2" xr3:uid="{B426B901-5F60-4D11-A2A4-49BBB4B5BA36}" name="Заказчик"/>
    <tableColumn id="3" xr3:uid="{DBA73A9E-4362-43C6-B84D-D3EF9C5870A6}" name="Город"/>
    <tableColumn id="4" xr3:uid="{37E4B19F-B8B2-406D-A253-53BB45A5C747}" name="Категория товара"/>
    <tableColumn id="5" xr3:uid="{92E3EE83-3748-41AE-B3BA-C64BA0D68071}" name="Товар"/>
    <tableColumn id="6" xr3:uid="{0D3228A7-C3DD-4BAC-8231-1C846F3518EC}" name="Цена за упаковку"/>
    <tableColumn id="7" xr3:uid="{84D3553B-04A3-4C07-8447-30CECA69759E}" name="Количество"/>
    <tableColumn id="8" xr3:uid="{A001AD8A-035F-4AEE-B0C6-F6E6A1811BC1}" name="Итого" dataDxfId="7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microsoft.com/office/2007/relationships/slicer" Target="../slicers/slicer2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B9EF-8024-4F7A-8359-AE32FF376189}">
  <dimension ref="A1:H870"/>
  <sheetViews>
    <sheetView tabSelected="1" workbookViewId="0">
      <selection activeCell="N13" sqref="N13"/>
    </sheetView>
  </sheetViews>
  <sheetFormatPr defaultRowHeight="14.4" x14ac:dyDescent="0.3"/>
  <cols>
    <col min="1" max="1" width="13.88671875" customWidth="1"/>
    <col min="2" max="2" width="10.88671875" customWidth="1"/>
    <col min="4" max="4" width="18.21875" customWidth="1"/>
    <col min="6" max="6" width="18.33203125" customWidth="1"/>
    <col min="7" max="7" width="13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9">
        <v>45291</v>
      </c>
      <c r="B2" t="s">
        <v>45</v>
      </c>
      <c r="C2" t="s">
        <v>33</v>
      </c>
      <c r="D2" t="s">
        <v>24</v>
      </c>
      <c r="E2" t="s">
        <v>36</v>
      </c>
      <c r="F2">
        <v>2460</v>
      </c>
      <c r="G2">
        <v>8</v>
      </c>
      <c r="H2">
        <v>19.68</v>
      </c>
    </row>
    <row r="3" spans="1:8" x14ac:dyDescent="0.3">
      <c r="A3" s="9">
        <v>44927</v>
      </c>
      <c r="B3" t="s">
        <v>45</v>
      </c>
      <c r="C3" t="s">
        <v>15</v>
      </c>
      <c r="D3" t="s">
        <v>10</v>
      </c>
      <c r="E3" t="s">
        <v>16</v>
      </c>
      <c r="F3">
        <v>1380</v>
      </c>
      <c r="G3">
        <v>27</v>
      </c>
      <c r="H3">
        <v>37.26</v>
      </c>
    </row>
    <row r="4" spans="1:8" x14ac:dyDescent="0.3">
      <c r="A4" s="9">
        <v>45291</v>
      </c>
      <c r="B4" t="s">
        <v>45</v>
      </c>
      <c r="C4" t="s">
        <v>15</v>
      </c>
      <c r="D4" t="s">
        <v>24</v>
      </c>
      <c r="E4" t="s">
        <v>36</v>
      </c>
      <c r="F4">
        <v>2460</v>
      </c>
      <c r="G4">
        <v>19</v>
      </c>
      <c r="H4">
        <v>46.74</v>
      </c>
    </row>
    <row r="5" spans="1:8" x14ac:dyDescent="0.3">
      <c r="A5" s="9">
        <v>45291</v>
      </c>
      <c r="B5" t="s">
        <v>45</v>
      </c>
      <c r="C5" t="s">
        <v>9</v>
      </c>
      <c r="D5" t="s">
        <v>10</v>
      </c>
      <c r="E5" t="s">
        <v>41</v>
      </c>
      <c r="F5">
        <v>650</v>
      </c>
      <c r="G5">
        <v>56</v>
      </c>
      <c r="H5">
        <v>36.4</v>
      </c>
    </row>
    <row r="6" spans="1:8" x14ac:dyDescent="0.3">
      <c r="A6" s="9">
        <v>45291</v>
      </c>
      <c r="B6" t="s">
        <v>45</v>
      </c>
      <c r="C6" t="s">
        <v>20</v>
      </c>
      <c r="D6" t="s">
        <v>13</v>
      </c>
      <c r="E6" t="s">
        <v>29</v>
      </c>
      <c r="F6">
        <v>1230</v>
      </c>
      <c r="G6">
        <v>29</v>
      </c>
      <c r="H6">
        <v>35.67</v>
      </c>
    </row>
    <row r="7" spans="1:8" x14ac:dyDescent="0.3">
      <c r="A7" s="9">
        <v>45290</v>
      </c>
      <c r="B7" t="s">
        <v>45</v>
      </c>
      <c r="C7" t="s">
        <v>33</v>
      </c>
      <c r="D7" t="s">
        <v>13</v>
      </c>
      <c r="E7" t="s">
        <v>44</v>
      </c>
      <c r="F7">
        <v>2540</v>
      </c>
      <c r="G7">
        <v>94</v>
      </c>
      <c r="H7">
        <v>238.76</v>
      </c>
    </row>
    <row r="8" spans="1:8" x14ac:dyDescent="0.3">
      <c r="A8" s="9">
        <v>45290</v>
      </c>
      <c r="B8" t="s">
        <v>45</v>
      </c>
      <c r="C8" t="s">
        <v>15</v>
      </c>
      <c r="D8" t="s">
        <v>10</v>
      </c>
      <c r="E8" t="s">
        <v>11</v>
      </c>
      <c r="F8">
        <v>705</v>
      </c>
      <c r="G8">
        <v>93</v>
      </c>
      <c r="H8">
        <v>65.564999999999998</v>
      </c>
    </row>
    <row r="9" spans="1:8" x14ac:dyDescent="0.3">
      <c r="A9" s="9">
        <v>44958</v>
      </c>
      <c r="B9" t="s">
        <v>45</v>
      </c>
      <c r="C9" t="s">
        <v>9</v>
      </c>
      <c r="D9" t="s">
        <v>24</v>
      </c>
      <c r="E9" t="s">
        <v>25</v>
      </c>
      <c r="F9">
        <v>1760</v>
      </c>
      <c r="G9">
        <v>84</v>
      </c>
      <c r="H9">
        <v>147.84</v>
      </c>
    </row>
    <row r="10" spans="1:8" x14ac:dyDescent="0.3">
      <c r="A10" s="9">
        <v>45289</v>
      </c>
      <c r="B10" t="s">
        <v>45</v>
      </c>
      <c r="C10" t="s">
        <v>9</v>
      </c>
      <c r="D10" t="s">
        <v>18</v>
      </c>
      <c r="E10" t="s">
        <v>31</v>
      </c>
      <c r="F10">
        <v>715</v>
      </c>
      <c r="G10">
        <v>91</v>
      </c>
      <c r="H10">
        <v>65.064999999999998</v>
      </c>
    </row>
    <row r="11" spans="1:8" x14ac:dyDescent="0.3">
      <c r="A11" s="9">
        <v>45289</v>
      </c>
      <c r="B11" t="s">
        <v>45</v>
      </c>
      <c r="C11" t="s">
        <v>9</v>
      </c>
      <c r="D11" t="s">
        <v>10</v>
      </c>
      <c r="E11" t="s">
        <v>40</v>
      </c>
      <c r="F11">
        <v>540</v>
      </c>
      <c r="G11">
        <v>97</v>
      </c>
      <c r="H11">
        <v>52.38</v>
      </c>
    </row>
    <row r="12" spans="1:8" x14ac:dyDescent="0.3">
      <c r="A12" s="9">
        <v>45288</v>
      </c>
      <c r="B12" t="s">
        <v>45</v>
      </c>
      <c r="C12" t="s">
        <v>26</v>
      </c>
      <c r="D12" t="s">
        <v>10</v>
      </c>
      <c r="E12" t="s">
        <v>40</v>
      </c>
      <c r="F12">
        <v>540</v>
      </c>
      <c r="G12">
        <v>5</v>
      </c>
      <c r="H12">
        <v>2.7</v>
      </c>
    </row>
    <row r="13" spans="1:8" x14ac:dyDescent="0.3">
      <c r="A13" s="9">
        <v>45288</v>
      </c>
      <c r="B13" t="s">
        <v>45</v>
      </c>
      <c r="C13" t="s">
        <v>9</v>
      </c>
      <c r="D13" t="s">
        <v>10</v>
      </c>
      <c r="E13" t="s">
        <v>16</v>
      </c>
      <c r="F13">
        <v>1380</v>
      </c>
      <c r="G13">
        <v>61</v>
      </c>
      <c r="H13">
        <v>84.18</v>
      </c>
    </row>
    <row r="14" spans="1:8" x14ac:dyDescent="0.3">
      <c r="A14" s="9">
        <v>45288</v>
      </c>
      <c r="B14" t="s">
        <v>45</v>
      </c>
      <c r="C14" t="s">
        <v>20</v>
      </c>
      <c r="D14" t="s">
        <v>10</v>
      </c>
      <c r="E14" t="s">
        <v>40</v>
      </c>
      <c r="F14">
        <v>540</v>
      </c>
      <c r="G14">
        <v>56</v>
      </c>
      <c r="H14">
        <v>30.24</v>
      </c>
    </row>
    <row r="15" spans="1:8" x14ac:dyDescent="0.3">
      <c r="A15" s="9">
        <v>45287</v>
      </c>
      <c r="B15" t="s">
        <v>45</v>
      </c>
      <c r="C15" t="s">
        <v>35</v>
      </c>
      <c r="D15" t="s">
        <v>13</v>
      </c>
      <c r="E15" t="s">
        <v>43</v>
      </c>
      <c r="F15">
        <v>1420</v>
      </c>
      <c r="G15">
        <v>6</v>
      </c>
      <c r="H15">
        <v>8.52</v>
      </c>
    </row>
    <row r="16" spans="1:8" x14ac:dyDescent="0.3">
      <c r="A16" s="9">
        <v>45287</v>
      </c>
      <c r="B16" t="s">
        <v>45</v>
      </c>
      <c r="C16" t="s">
        <v>20</v>
      </c>
      <c r="D16" t="s">
        <v>18</v>
      </c>
      <c r="E16" t="s">
        <v>19</v>
      </c>
      <c r="F16">
        <v>325</v>
      </c>
      <c r="G16">
        <v>17</v>
      </c>
      <c r="H16">
        <v>5.5250000000000004</v>
      </c>
    </row>
    <row r="17" spans="1:8" x14ac:dyDescent="0.3">
      <c r="A17" s="9">
        <v>45286</v>
      </c>
      <c r="B17" t="s">
        <v>45</v>
      </c>
      <c r="C17" t="s">
        <v>35</v>
      </c>
      <c r="D17" t="s">
        <v>18</v>
      </c>
      <c r="E17" t="s">
        <v>21</v>
      </c>
      <c r="F17">
        <v>450</v>
      </c>
      <c r="G17">
        <v>90</v>
      </c>
      <c r="H17">
        <v>40.5</v>
      </c>
    </row>
    <row r="18" spans="1:8" x14ac:dyDescent="0.3">
      <c r="A18" s="9">
        <v>44958</v>
      </c>
      <c r="B18" t="s">
        <v>45</v>
      </c>
      <c r="C18" t="s">
        <v>33</v>
      </c>
      <c r="D18" t="s">
        <v>24</v>
      </c>
      <c r="E18" t="s">
        <v>34</v>
      </c>
      <c r="F18">
        <v>1670</v>
      </c>
      <c r="G18">
        <v>49</v>
      </c>
      <c r="H18">
        <v>81.83</v>
      </c>
    </row>
    <row r="19" spans="1:8" x14ac:dyDescent="0.3">
      <c r="A19" s="9">
        <v>44958</v>
      </c>
      <c r="B19" t="s">
        <v>45</v>
      </c>
      <c r="C19" t="s">
        <v>35</v>
      </c>
      <c r="D19" t="s">
        <v>18</v>
      </c>
      <c r="E19" t="s">
        <v>28</v>
      </c>
      <c r="F19">
        <v>690</v>
      </c>
      <c r="G19">
        <v>45</v>
      </c>
      <c r="H19">
        <v>31.05</v>
      </c>
    </row>
    <row r="20" spans="1:8" x14ac:dyDescent="0.3">
      <c r="A20" s="9">
        <v>45286</v>
      </c>
      <c r="B20" t="s">
        <v>45</v>
      </c>
      <c r="C20" t="s">
        <v>9</v>
      </c>
      <c r="D20" t="s">
        <v>18</v>
      </c>
      <c r="E20" t="s">
        <v>28</v>
      </c>
      <c r="F20">
        <v>690</v>
      </c>
      <c r="G20">
        <v>81</v>
      </c>
      <c r="H20">
        <v>55.89</v>
      </c>
    </row>
    <row r="21" spans="1:8" x14ac:dyDescent="0.3">
      <c r="A21" s="9">
        <v>45285</v>
      </c>
      <c r="B21" t="s">
        <v>45</v>
      </c>
      <c r="C21" t="s">
        <v>26</v>
      </c>
      <c r="D21" t="s">
        <v>13</v>
      </c>
      <c r="E21" t="s">
        <v>29</v>
      </c>
      <c r="F21">
        <v>1230</v>
      </c>
      <c r="G21">
        <v>81</v>
      </c>
      <c r="H21">
        <v>99.63</v>
      </c>
    </row>
    <row r="22" spans="1:8" x14ac:dyDescent="0.3">
      <c r="A22" s="9">
        <v>45284</v>
      </c>
      <c r="B22" t="s">
        <v>45</v>
      </c>
      <c r="C22" t="s">
        <v>35</v>
      </c>
      <c r="D22" t="s">
        <v>18</v>
      </c>
      <c r="E22" t="s">
        <v>37</v>
      </c>
      <c r="F22">
        <v>890</v>
      </c>
      <c r="G22">
        <v>40</v>
      </c>
      <c r="H22">
        <v>35.6</v>
      </c>
    </row>
    <row r="23" spans="1:8" x14ac:dyDescent="0.3">
      <c r="A23" s="9">
        <v>45284</v>
      </c>
      <c r="B23" t="s">
        <v>45</v>
      </c>
      <c r="C23" t="s">
        <v>35</v>
      </c>
      <c r="D23" t="s">
        <v>18</v>
      </c>
      <c r="E23" t="s">
        <v>31</v>
      </c>
      <c r="F23">
        <v>715</v>
      </c>
      <c r="G23">
        <v>51</v>
      </c>
      <c r="H23">
        <v>36.465000000000003</v>
      </c>
    </row>
    <row r="24" spans="1:8" x14ac:dyDescent="0.3">
      <c r="A24" s="9">
        <v>45284</v>
      </c>
      <c r="B24" t="s">
        <v>45</v>
      </c>
      <c r="C24" t="s">
        <v>33</v>
      </c>
      <c r="D24" t="s">
        <v>13</v>
      </c>
      <c r="E24" t="s">
        <v>44</v>
      </c>
      <c r="F24">
        <v>2540</v>
      </c>
      <c r="G24">
        <v>43</v>
      </c>
      <c r="H24">
        <v>109.22</v>
      </c>
    </row>
    <row r="25" spans="1:8" x14ac:dyDescent="0.3">
      <c r="A25" s="9">
        <v>45283</v>
      </c>
      <c r="B25" t="s">
        <v>45</v>
      </c>
      <c r="C25" t="s">
        <v>33</v>
      </c>
      <c r="D25" t="s">
        <v>13</v>
      </c>
      <c r="E25" t="s">
        <v>43</v>
      </c>
      <c r="F25">
        <v>1420</v>
      </c>
      <c r="G25">
        <v>97</v>
      </c>
      <c r="H25">
        <v>137.74</v>
      </c>
    </row>
    <row r="26" spans="1:8" x14ac:dyDescent="0.3">
      <c r="A26" s="9">
        <v>44959</v>
      </c>
      <c r="B26" t="s">
        <v>45</v>
      </c>
      <c r="C26" t="s">
        <v>9</v>
      </c>
      <c r="D26" t="s">
        <v>18</v>
      </c>
      <c r="E26" t="s">
        <v>28</v>
      </c>
      <c r="F26">
        <v>690</v>
      </c>
      <c r="G26">
        <v>9</v>
      </c>
      <c r="H26">
        <v>6.21</v>
      </c>
    </row>
    <row r="27" spans="1:8" x14ac:dyDescent="0.3">
      <c r="A27" s="9">
        <v>45283</v>
      </c>
      <c r="B27" t="s">
        <v>45</v>
      </c>
      <c r="C27" t="s">
        <v>33</v>
      </c>
      <c r="D27" t="s">
        <v>18</v>
      </c>
      <c r="E27" t="s">
        <v>27</v>
      </c>
      <c r="F27">
        <v>460</v>
      </c>
      <c r="G27">
        <v>85</v>
      </c>
      <c r="H27">
        <v>39.1</v>
      </c>
    </row>
    <row r="28" spans="1:8" x14ac:dyDescent="0.3">
      <c r="A28" s="9">
        <v>44959</v>
      </c>
      <c r="B28" t="s">
        <v>45</v>
      </c>
      <c r="C28" t="s">
        <v>26</v>
      </c>
      <c r="D28" t="s">
        <v>13</v>
      </c>
      <c r="E28" t="s">
        <v>14</v>
      </c>
      <c r="F28">
        <v>1320</v>
      </c>
      <c r="G28">
        <v>54</v>
      </c>
      <c r="H28">
        <v>71.28</v>
      </c>
    </row>
    <row r="29" spans="1:8" x14ac:dyDescent="0.3">
      <c r="A29" s="9">
        <v>45283</v>
      </c>
      <c r="B29" t="s">
        <v>45</v>
      </c>
      <c r="C29" t="s">
        <v>26</v>
      </c>
      <c r="D29" t="s">
        <v>18</v>
      </c>
      <c r="E29" t="s">
        <v>31</v>
      </c>
      <c r="F29">
        <v>715</v>
      </c>
      <c r="G29">
        <v>84</v>
      </c>
      <c r="H29">
        <v>60.06</v>
      </c>
    </row>
    <row r="30" spans="1:8" x14ac:dyDescent="0.3">
      <c r="A30" s="9">
        <v>44959</v>
      </c>
      <c r="B30" t="s">
        <v>45</v>
      </c>
      <c r="C30" t="s">
        <v>33</v>
      </c>
      <c r="D30" t="s">
        <v>18</v>
      </c>
      <c r="E30" t="s">
        <v>31</v>
      </c>
      <c r="F30">
        <v>715</v>
      </c>
      <c r="G30">
        <v>15</v>
      </c>
      <c r="H30">
        <v>10.725</v>
      </c>
    </row>
    <row r="31" spans="1:8" x14ac:dyDescent="0.3">
      <c r="A31" s="9">
        <v>45282</v>
      </c>
      <c r="B31" t="s">
        <v>45</v>
      </c>
      <c r="C31" t="s">
        <v>35</v>
      </c>
      <c r="D31" t="s">
        <v>10</v>
      </c>
      <c r="E31" t="s">
        <v>39</v>
      </c>
      <c r="F31">
        <v>650</v>
      </c>
      <c r="G31">
        <v>50</v>
      </c>
      <c r="H31">
        <v>32.5</v>
      </c>
    </row>
    <row r="32" spans="1:8" x14ac:dyDescent="0.3">
      <c r="A32" s="9">
        <v>45282</v>
      </c>
      <c r="B32" t="s">
        <v>45</v>
      </c>
      <c r="C32" t="s">
        <v>35</v>
      </c>
      <c r="D32" t="s">
        <v>10</v>
      </c>
      <c r="E32" t="s">
        <v>41</v>
      </c>
      <c r="F32">
        <v>650</v>
      </c>
      <c r="G32">
        <v>66</v>
      </c>
      <c r="H32">
        <v>42.9</v>
      </c>
    </row>
    <row r="33" spans="1:8" x14ac:dyDescent="0.3">
      <c r="A33" s="9">
        <v>45282</v>
      </c>
      <c r="B33" t="s">
        <v>45</v>
      </c>
      <c r="C33" t="s">
        <v>26</v>
      </c>
      <c r="D33" t="s">
        <v>18</v>
      </c>
      <c r="E33" t="s">
        <v>27</v>
      </c>
      <c r="F33">
        <v>460</v>
      </c>
      <c r="G33">
        <v>23</v>
      </c>
      <c r="H33">
        <v>10.58</v>
      </c>
    </row>
    <row r="34" spans="1:8" x14ac:dyDescent="0.3">
      <c r="A34" s="9">
        <v>45282</v>
      </c>
      <c r="B34" t="s">
        <v>45</v>
      </c>
      <c r="C34" t="s">
        <v>9</v>
      </c>
      <c r="D34" t="s">
        <v>18</v>
      </c>
      <c r="E34" t="s">
        <v>21</v>
      </c>
      <c r="F34">
        <v>450</v>
      </c>
      <c r="G34">
        <v>14</v>
      </c>
      <c r="H34">
        <v>6.3</v>
      </c>
    </row>
    <row r="35" spans="1:8" x14ac:dyDescent="0.3">
      <c r="A35" s="9">
        <v>44960</v>
      </c>
      <c r="B35" t="s">
        <v>45</v>
      </c>
      <c r="C35" t="s">
        <v>9</v>
      </c>
      <c r="D35" t="s">
        <v>18</v>
      </c>
      <c r="E35" t="s">
        <v>31</v>
      </c>
      <c r="F35">
        <v>715</v>
      </c>
      <c r="G35">
        <v>39</v>
      </c>
      <c r="H35">
        <v>27.885000000000002</v>
      </c>
    </row>
    <row r="36" spans="1:8" x14ac:dyDescent="0.3">
      <c r="A36" s="9">
        <v>45282</v>
      </c>
      <c r="B36" t="s">
        <v>45</v>
      </c>
      <c r="C36" t="s">
        <v>20</v>
      </c>
      <c r="D36" t="s">
        <v>18</v>
      </c>
      <c r="E36" t="s">
        <v>27</v>
      </c>
      <c r="F36">
        <v>460</v>
      </c>
      <c r="G36">
        <v>60</v>
      </c>
      <c r="H36">
        <v>27.6</v>
      </c>
    </row>
    <row r="37" spans="1:8" x14ac:dyDescent="0.3">
      <c r="A37" s="9">
        <v>45281</v>
      </c>
      <c r="B37" t="s">
        <v>45</v>
      </c>
      <c r="C37" t="s">
        <v>35</v>
      </c>
      <c r="D37" t="s">
        <v>10</v>
      </c>
      <c r="E37" t="s">
        <v>16</v>
      </c>
      <c r="F37">
        <v>1380</v>
      </c>
      <c r="G37">
        <v>34</v>
      </c>
      <c r="H37">
        <v>46.92</v>
      </c>
    </row>
    <row r="38" spans="1:8" x14ac:dyDescent="0.3">
      <c r="A38" s="9">
        <v>45281</v>
      </c>
      <c r="B38" t="s">
        <v>45</v>
      </c>
      <c r="C38" t="s">
        <v>15</v>
      </c>
      <c r="D38" t="s">
        <v>13</v>
      </c>
      <c r="E38" t="s">
        <v>29</v>
      </c>
      <c r="F38">
        <v>1230</v>
      </c>
      <c r="G38">
        <v>40</v>
      </c>
      <c r="H38">
        <v>49.2</v>
      </c>
    </row>
    <row r="39" spans="1:8" x14ac:dyDescent="0.3">
      <c r="A39" s="9">
        <v>45280</v>
      </c>
      <c r="B39" t="s">
        <v>45</v>
      </c>
      <c r="C39" t="s">
        <v>35</v>
      </c>
      <c r="D39" t="s">
        <v>18</v>
      </c>
      <c r="E39" t="s">
        <v>28</v>
      </c>
      <c r="F39">
        <v>690</v>
      </c>
      <c r="G39">
        <v>71</v>
      </c>
      <c r="H39">
        <v>48.99</v>
      </c>
    </row>
    <row r="40" spans="1:8" x14ac:dyDescent="0.3">
      <c r="A40" s="9">
        <v>45280</v>
      </c>
      <c r="B40" t="s">
        <v>45</v>
      </c>
      <c r="C40" t="s">
        <v>26</v>
      </c>
      <c r="D40" t="s">
        <v>24</v>
      </c>
      <c r="E40" t="s">
        <v>32</v>
      </c>
      <c r="F40">
        <v>1505</v>
      </c>
      <c r="G40">
        <v>45</v>
      </c>
      <c r="H40">
        <v>67.724999999999994</v>
      </c>
    </row>
    <row r="41" spans="1:8" x14ac:dyDescent="0.3">
      <c r="A41" s="9">
        <v>45279</v>
      </c>
      <c r="B41" t="s">
        <v>45</v>
      </c>
      <c r="C41" t="s">
        <v>15</v>
      </c>
      <c r="D41" t="s">
        <v>18</v>
      </c>
      <c r="E41" t="s">
        <v>27</v>
      </c>
      <c r="F41">
        <v>460</v>
      </c>
      <c r="G41">
        <v>57</v>
      </c>
      <c r="H41">
        <v>26.22</v>
      </c>
    </row>
    <row r="42" spans="1:8" x14ac:dyDescent="0.3">
      <c r="A42" s="9">
        <v>45279</v>
      </c>
      <c r="B42" t="s">
        <v>45</v>
      </c>
      <c r="C42" t="s">
        <v>9</v>
      </c>
      <c r="D42" t="s">
        <v>24</v>
      </c>
      <c r="E42" t="s">
        <v>25</v>
      </c>
      <c r="F42">
        <v>1760</v>
      </c>
      <c r="G42">
        <v>68</v>
      </c>
      <c r="H42">
        <v>119.68</v>
      </c>
    </row>
    <row r="43" spans="1:8" x14ac:dyDescent="0.3">
      <c r="A43" s="9">
        <v>44960</v>
      </c>
      <c r="B43" t="s">
        <v>45</v>
      </c>
      <c r="C43" t="s">
        <v>33</v>
      </c>
      <c r="D43" t="s">
        <v>24</v>
      </c>
      <c r="E43" t="s">
        <v>30</v>
      </c>
      <c r="F43">
        <v>2970</v>
      </c>
      <c r="G43">
        <v>80</v>
      </c>
      <c r="H43">
        <v>237.6</v>
      </c>
    </row>
    <row r="44" spans="1:8" x14ac:dyDescent="0.3">
      <c r="A44" s="9">
        <v>45279</v>
      </c>
      <c r="B44" t="s">
        <v>45</v>
      </c>
      <c r="C44" t="s">
        <v>20</v>
      </c>
      <c r="D44" t="s">
        <v>24</v>
      </c>
      <c r="E44" t="s">
        <v>36</v>
      </c>
      <c r="F44">
        <v>2460</v>
      </c>
      <c r="G44">
        <v>79</v>
      </c>
      <c r="H44">
        <v>194.34</v>
      </c>
    </row>
    <row r="45" spans="1:8" x14ac:dyDescent="0.3">
      <c r="A45" s="9">
        <v>45278</v>
      </c>
      <c r="B45" t="s">
        <v>45</v>
      </c>
      <c r="C45" t="s">
        <v>15</v>
      </c>
      <c r="D45" t="s">
        <v>10</v>
      </c>
      <c r="E45" t="s">
        <v>40</v>
      </c>
      <c r="F45">
        <v>540</v>
      </c>
      <c r="G45">
        <v>19</v>
      </c>
      <c r="H45">
        <v>10.26</v>
      </c>
    </row>
    <row r="46" spans="1:8" x14ac:dyDescent="0.3">
      <c r="A46" s="9">
        <v>45277</v>
      </c>
      <c r="B46" t="s">
        <v>45</v>
      </c>
      <c r="C46" t="s">
        <v>35</v>
      </c>
      <c r="D46" t="s">
        <v>18</v>
      </c>
      <c r="E46" t="s">
        <v>37</v>
      </c>
      <c r="F46">
        <v>890</v>
      </c>
      <c r="G46">
        <v>95</v>
      </c>
      <c r="H46">
        <v>84.55</v>
      </c>
    </row>
    <row r="47" spans="1:8" x14ac:dyDescent="0.3">
      <c r="A47" s="9">
        <v>45275</v>
      </c>
      <c r="B47" t="s">
        <v>45</v>
      </c>
      <c r="C47" t="s">
        <v>15</v>
      </c>
      <c r="D47" t="s">
        <v>13</v>
      </c>
      <c r="E47" t="s">
        <v>29</v>
      </c>
      <c r="F47">
        <v>1230</v>
      </c>
      <c r="G47">
        <v>49</v>
      </c>
      <c r="H47">
        <v>60.27</v>
      </c>
    </row>
    <row r="48" spans="1:8" x14ac:dyDescent="0.3">
      <c r="A48" s="9">
        <v>44961</v>
      </c>
      <c r="B48" t="s">
        <v>45</v>
      </c>
      <c r="C48" t="s">
        <v>26</v>
      </c>
      <c r="D48" t="s">
        <v>10</v>
      </c>
      <c r="E48" t="s">
        <v>41</v>
      </c>
      <c r="F48">
        <v>650</v>
      </c>
      <c r="G48">
        <v>29</v>
      </c>
      <c r="H48">
        <v>18.850000000000001</v>
      </c>
    </row>
    <row r="49" spans="1:8" x14ac:dyDescent="0.3">
      <c r="A49" s="9">
        <v>45275</v>
      </c>
      <c r="B49" t="s">
        <v>45</v>
      </c>
      <c r="C49" t="s">
        <v>26</v>
      </c>
      <c r="D49" t="s">
        <v>24</v>
      </c>
      <c r="E49" t="s">
        <v>32</v>
      </c>
      <c r="F49">
        <v>1505</v>
      </c>
      <c r="G49">
        <v>82</v>
      </c>
      <c r="H49">
        <v>123.41</v>
      </c>
    </row>
    <row r="50" spans="1:8" x14ac:dyDescent="0.3">
      <c r="A50" s="9">
        <v>45275</v>
      </c>
      <c r="B50" t="s">
        <v>45</v>
      </c>
      <c r="C50" t="s">
        <v>26</v>
      </c>
      <c r="D50" t="s">
        <v>24</v>
      </c>
      <c r="E50" t="s">
        <v>36</v>
      </c>
      <c r="F50">
        <v>2460</v>
      </c>
      <c r="G50">
        <v>74</v>
      </c>
      <c r="H50">
        <v>182.04</v>
      </c>
    </row>
    <row r="51" spans="1:8" x14ac:dyDescent="0.3">
      <c r="A51" s="9">
        <v>45275</v>
      </c>
      <c r="B51" t="s">
        <v>45</v>
      </c>
      <c r="C51" t="s">
        <v>9</v>
      </c>
      <c r="D51" t="s">
        <v>13</v>
      </c>
      <c r="E51" t="s">
        <v>14</v>
      </c>
      <c r="F51">
        <v>1320</v>
      </c>
      <c r="G51">
        <v>49</v>
      </c>
      <c r="H51">
        <v>64.680000000000007</v>
      </c>
    </row>
    <row r="52" spans="1:8" x14ac:dyDescent="0.3">
      <c r="A52" s="9">
        <v>45275</v>
      </c>
      <c r="B52" t="s">
        <v>45</v>
      </c>
      <c r="C52" t="s">
        <v>9</v>
      </c>
      <c r="D52" t="s">
        <v>10</v>
      </c>
      <c r="E52" t="s">
        <v>41</v>
      </c>
      <c r="F52">
        <v>650</v>
      </c>
      <c r="G52">
        <v>48</v>
      </c>
      <c r="H52">
        <v>31.2</v>
      </c>
    </row>
    <row r="53" spans="1:8" x14ac:dyDescent="0.3">
      <c r="A53" s="9">
        <v>44962</v>
      </c>
      <c r="B53" t="s">
        <v>45</v>
      </c>
      <c r="C53" t="s">
        <v>9</v>
      </c>
      <c r="D53" t="s">
        <v>24</v>
      </c>
      <c r="E53" t="s">
        <v>42</v>
      </c>
      <c r="F53">
        <v>3205</v>
      </c>
      <c r="G53">
        <v>96</v>
      </c>
      <c r="H53">
        <v>307.68</v>
      </c>
    </row>
    <row r="54" spans="1:8" x14ac:dyDescent="0.3">
      <c r="A54" s="9">
        <v>45274</v>
      </c>
      <c r="B54" t="s">
        <v>45</v>
      </c>
      <c r="C54" t="s">
        <v>20</v>
      </c>
      <c r="D54" t="s">
        <v>13</v>
      </c>
      <c r="E54" t="s">
        <v>44</v>
      </c>
      <c r="F54">
        <v>2540</v>
      </c>
      <c r="G54">
        <v>7</v>
      </c>
      <c r="H54">
        <v>17.78</v>
      </c>
    </row>
    <row r="55" spans="1:8" x14ac:dyDescent="0.3">
      <c r="A55" s="9">
        <v>45274</v>
      </c>
      <c r="B55" t="s">
        <v>45</v>
      </c>
      <c r="C55" t="s">
        <v>20</v>
      </c>
      <c r="D55" t="s">
        <v>13</v>
      </c>
      <c r="E55" t="s">
        <v>29</v>
      </c>
      <c r="F55">
        <v>1230</v>
      </c>
      <c r="G55">
        <v>36</v>
      </c>
      <c r="H55">
        <v>44.28</v>
      </c>
    </row>
    <row r="56" spans="1:8" x14ac:dyDescent="0.3">
      <c r="A56" s="9">
        <v>45274</v>
      </c>
      <c r="B56" t="s">
        <v>45</v>
      </c>
      <c r="C56" t="s">
        <v>20</v>
      </c>
      <c r="D56" t="s">
        <v>18</v>
      </c>
      <c r="E56" t="s">
        <v>31</v>
      </c>
      <c r="F56">
        <v>715</v>
      </c>
      <c r="G56">
        <v>22</v>
      </c>
      <c r="H56">
        <v>15.73</v>
      </c>
    </row>
    <row r="57" spans="1:8" x14ac:dyDescent="0.3">
      <c r="A57" s="9">
        <v>45273</v>
      </c>
      <c r="B57" t="s">
        <v>45</v>
      </c>
      <c r="C57" t="s">
        <v>26</v>
      </c>
      <c r="D57" t="s">
        <v>10</v>
      </c>
      <c r="E57" t="s">
        <v>16</v>
      </c>
      <c r="F57">
        <v>1380</v>
      </c>
      <c r="G57">
        <v>45</v>
      </c>
      <c r="H57">
        <v>62.1</v>
      </c>
    </row>
    <row r="58" spans="1:8" x14ac:dyDescent="0.3">
      <c r="A58" s="9">
        <v>45273</v>
      </c>
      <c r="B58" t="s">
        <v>45</v>
      </c>
      <c r="C58" t="s">
        <v>20</v>
      </c>
      <c r="D58" t="s">
        <v>24</v>
      </c>
      <c r="E58" t="s">
        <v>32</v>
      </c>
      <c r="F58">
        <v>1505</v>
      </c>
      <c r="G58">
        <v>9</v>
      </c>
      <c r="H58">
        <v>13.545</v>
      </c>
    </row>
    <row r="59" spans="1:8" x14ac:dyDescent="0.3">
      <c r="A59" s="9">
        <v>44962</v>
      </c>
      <c r="B59" t="s">
        <v>45</v>
      </c>
      <c r="C59" t="s">
        <v>33</v>
      </c>
      <c r="D59" t="s">
        <v>13</v>
      </c>
      <c r="E59" t="s">
        <v>43</v>
      </c>
      <c r="F59">
        <v>1420</v>
      </c>
      <c r="G59">
        <v>76</v>
      </c>
      <c r="H59">
        <v>107.92</v>
      </c>
    </row>
    <row r="60" spans="1:8" x14ac:dyDescent="0.3">
      <c r="A60" s="9">
        <v>45272</v>
      </c>
      <c r="B60" t="s">
        <v>45</v>
      </c>
      <c r="C60" t="s">
        <v>15</v>
      </c>
      <c r="D60" t="s">
        <v>24</v>
      </c>
      <c r="E60" t="s">
        <v>25</v>
      </c>
      <c r="F60">
        <v>1760</v>
      </c>
      <c r="G60">
        <v>82</v>
      </c>
      <c r="H60">
        <v>144.32</v>
      </c>
    </row>
    <row r="61" spans="1:8" x14ac:dyDescent="0.3">
      <c r="A61" s="9">
        <v>45272</v>
      </c>
      <c r="B61" t="s">
        <v>45</v>
      </c>
      <c r="C61" t="s">
        <v>15</v>
      </c>
      <c r="D61" t="s">
        <v>13</v>
      </c>
      <c r="E61" t="s">
        <v>38</v>
      </c>
      <c r="F61">
        <v>2400</v>
      </c>
      <c r="G61">
        <v>28</v>
      </c>
      <c r="H61">
        <v>67.2</v>
      </c>
    </row>
    <row r="62" spans="1:8" x14ac:dyDescent="0.3">
      <c r="A62" s="9">
        <v>45272</v>
      </c>
      <c r="B62" t="s">
        <v>45</v>
      </c>
      <c r="C62" t="s">
        <v>26</v>
      </c>
      <c r="D62" t="s">
        <v>10</v>
      </c>
      <c r="E62" t="s">
        <v>41</v>
      </c>
      <c r="F62">
        <v>650</v>
      </c>
      <c r="G62">
        <v>69</v>
      </c>
      <c r="H62">
        <v>44.85</v>
      </c>
    </row>
    <row r="63" spans="1:8" x14ac:dyDescent="0.3">
      <c r="A63" s="9">
        <v>45271</v>
      </c>
      <c r="B63" t="s">
        <v>45</v>
      </c>
      <c r="C63" t="s">
        <v>35</v>
      </c>
      <c r="D63" t="s">
        <v>10</v>
      </c>
      <c r="E63" t="s">
        <v>23</v>
      </c>
      <c r="F63">
        <v>640</v>
      </c>
      <c r="G63">
        <v>80</v>
      </c>
      <c r="H63">
        <v>51.2</v>
      </c>
    </row>
    <row r="64" spans="1:8" x14ac:dyDescent="0.3">
      <c r="A64" s="9">
        <v>45270</v>
      </c>
      <c r="B64" t="s">
        <v>45</v>
      </c>
      <c r="C64" t="s">
        <v>35</v>
      </c>
      <c r="D64" t="s">
        <v>18</v>
      </c>
      <c r="E64" t="s">
        <v>31</v>
      </c>
      <c r="F64">
        <v>715</v>
      </c>
      <c r="G64">
        <v>35</v>
      </c>
      <c r="H64">
        <v>25.024999999999999</v>
      </c>
    </row>
    <row r="65" spans="1:8" x14ac:dyDescent="0.3">
      <c r="A65" s="9">
        <v>45270</v>
      </c>
      <c r="B65" t="s">
        <v>45</v>
      </c>
      <c r="C65" t="s">
        <v>33</v>
      </c>
      <c r="D65" t="s">
        <v>24</v>
      </c>
      <c r="E65" t="s">
        <v>32</v>
      </c>
      <c r="F65">
        <v>1505</v>
      </c>
      <c r="G65">
        <v>15</v>
      </c>
      <c r="H65">
        <v>22.574999999999999</v>
      </c>
    </row>
    <row r="66" spans="1:8" x14ac:dyDescent="0.3">
      <c r="A66" s="9">
        <v>45270</v>
      </c>
      <c r="B66" t="s">
        <v>45</v>
      </c>
      <c r="C66" t="s">
        <v>15</v>
      </c>
      <c r="D66" t="s">
        <v>13</v>
      </c>
      <c r="E66" t="s">
        <v>22</v>
      </c>
      <c r="F66">
        <v>930</v>
      </c>
      <c r="G66">
        <v>33</v>
      </c>
      <c r="H66">
        <v>30.69</v>
      </c>
    </row>
    <row r="67" spans="1:8" x14ac:dyDescent="0.3">
      <c r="A67" s="9">
        <v>45270</v>
      </c>
      <c r="B67" t="s">
        <v>45</v>
      </c>
      <c r="C67" t="s">
        <v>15</v>
      </c>
      <c r="D67" t="s">
        <v>10</v>
      </c>
      <c r="E67" t="s">
        <v>39</v>
      </c>
      <c r="F67">
        <v>650</v>
      </c>
      <c r="G67">
        <v>34</v>
      </c>
      <c r="H67">
        <v>22.1</v>
      </c>
    </row>
    <row r="68" spans="1:8" x14ac:dyDescent="0.3">
      <c r="A68" s="9">
        <v>45270</v>
      </c>
      <c r="B68" t="s">
        <v>45</v>
      </c>
      <c r="C68" t="s">
        <v>20</v>
      </c>
      <c r="D68" t="s">
        <v>24</v>
      </c>
      <c r="E68" t="s">
        <v>25</v>
      </c>
      <c r="F68">
        <v>1760</v>
      </c>
      <c r="G68">
        <v>86</v>
      </c>
      <c r="H68">
        <v>151.36000000000001</v>
      </c>
    </row>
    <row r="69" spans="1:8" x14ac:dyDescent="0.3">
      <c r="A69" s="9">
        <v>45270</v>
      </c>
      <c r="B69" t="s">
        <v>45</v>
      </c>
      <c r="C69" t="s">
        <v>20</v>
      </c>
      <c r="D69" t="s">
        <v>18</v>
      </c>
      <c r="E69" t="s">
        <v>31</v>
      </c>
      <c r="F69">
        <v>715</v>
      </c>
      <c r="G69">
        <v>51</v>
      </c>
      <c r="H69">
        <v>36.465000000000003</v>
      </c>
    </row>
    <row r="70" spans="1:8" x14ac:dyDescent="0.3">
      <c r="A70" s="9">
        <v>44964</v>
      </c>
      <c r="B70" t="s">
        <v>45</v>
      </c>
      <c r="C70" t="s">
        <v>20</v>
      </c>
      <c r="D70" t="s">
        <v>10</v>
      </c>
      <c r="E70" t="s">
        <v>23</v>
      </c>
      <c r="F70">
        <v>640</v>
      </c>
      <c r="G70">
        <v>52</v>
      </c>
      <c r="H70">
        <v>33.28</v>
      </c>
    </row>
    <row r="71" spans="1:8" x14ac:dyDescent="0.3">
      <c r="A71" s="9">
        <v>45270</v>
      </c>
      <c r="B71" t="s">
        <v>45</v>
      </c>
      <c r="C71" t="s">
        <v>20</v>
      </c>
      <c r="D71" t="s">
        <v>18</v>
      </c>
      <c r="E71" t="s">
        <v>37</v>
      </c>
      <c r="F71">
        <v>890</v>
      </c>
      <c r="G71">
        <v>29</v>
      </c>
      <c r="H71">
        <v>25.81</v>
      </c>
    </row>
    <row r="72" spans="1:8" x14ac:dyDescent="0.3">
      <c r="A72" s="9">
        <v>45269</v>
      </c>
      <c r="B72" t="s">
        <v>45</v>
      </c>
      <c r="C72" t="s">
        <v>26</v>
      </c>
      <c r="D72" t="s">
        <v>10</v>
      </c>
      <c r="E72" t="s">
        <v>39</v>
      </c>
      <c r="F72">
        <v>650</v>
      </c>
      <c r="G72">
        <v>46</v>
      </c>
      <c r="H72">
        <v>29.9</v>
      </c>
    </row>
    <row r="73" spans="1:8" x14ac:dyDescent="0.3">
      <c r="A73" s="9">
        <v>45268</v>
      </c>
      <c r="B73" t="s">
        <v>45</v>
      </c>
      <c r="C73" t="s">
        <v>35</v>
      </c>
      <c r="D73" t="s">
        <v>24</v>
      </c>
      <c r="E73" t="s">
        <v>25</v>
      </c>
      <c r="F73">
        <v>1760</v>
      </c>
      <c r="G73">
        <v>24</v>
      </c>
      <c r="H73">
        <v>42.24</v>
      </c>
    </row>
    <row r="74" spans="1:8" x14ac:dyDescent="0.3">
      <c r="A74" s="9">
        <v>45268</v>
      </c>
      <c r="B74" t="s">
        <v>45</v>
      </c>
      <c r="C74" t="s">
        <v>35</v>
      </c>
      <c r="D74" t="s">
        <v>13</v>
      </c>
      <c r="E74" t="s">
        <v>14</v>
      </c>
      <c r="F74">
        <v>1320</v>
      </c>
      <c r="G74">
        <v>9</v>
      </c>
      <c r="H74">
        <v>11.88</v>
      </c>
    </row>
    <row r="75" spans="1:8" x14ac:dyDescent="0.3">
      <c r="A75" s="9">
        <v>45268</v>
      </c>
      <c r="B75" t="s">
        <v>45</v>
      </c>
      <c r="C75" t="s">
        <v>33</v>
      </c>
      <c r="D75" t="s">
        <v>24</v>
      </c>
      <c r="E75" t="s">
        <v>34</v>
      </c>
      <c r="F75">
        <v>1670</v>
      </c>
      <c r="G75">
        <v>14</v>
      </c>
      <c r="H75">
        <v>23.38</v>
      </c>
    </row>
    <row r="76" spans="1:8" x14ac:dyDescent="0.3">
      <c r="A76" s="9">
        <v>44964</v>
      </c>
      <c r="B76" t="s">
        <v>45</v>
      </c>
      <c r="C76" t="s">
        <v>15</v>
      </c>
      <c r="D76" t="s">
        <v>10</v>
      </c>
      <c r="E76" t="s">
        <v>41</v>
      </c>
      <c r="F76">
        <v>650</v>
      </c>
      <c r="G76">
        <v>11</v>
      </c>
      <c r="H76">
        <v>7.15</v>
      </c>
    </row>
    <row r="77" spans="1:8" x14ac:dyDescent="0.3">
      <c r="A77" s="9">
        <v>45268</v>
      </c>
      <c r="B77" t="s">
        <v>45</v>
      </c>
      <c r="C77" t="s">
        <v>15</v>
      </c>
      <c r="D77" t="s">
        <v>10</v>
      </c>
      <c r="E77" t="s">
        <v>41</v>
      </c>
      <c r="F77">
        <v>650</v>
      </c>
      <c r="G77">
        <v>36</v>
      </c>
      <c r="H77">
        <v>23.4</v>
      </c>
    </row>
    <row r="78" spans="1:8" x14ac:dyDescent="0.3">
      <c r="A78" s="9">
        <v>45268</v>
      </c>
      <c r="B78" t="s">
        <v>45</v>
      </c>
      <c r="C78" t="s">
        <v>26</v>
      </c>
      <c r="D78" t="s">
        <v>18</v>
      </c>
      <c r="E78" t="s">
        <v>28</v>
      </c>
      <c r="F78">
        <v>690</v>
      </c>
      <c r="G78">
        <v>72</v>
      </c>
      <c r="H78">
        <v>49.68</v>
      </c>
    </row>
    <row r="79" spans="1:8" x14ac:dyDescent="0.3">
      <c r="A79" s="9">
        <v>45268</v>
      </c>
      <c r="B79" t="s">
        <v>45</v>
      </c>
      <c r="C79" t="s">
        <v>26</v>
      </c>
      <c r="D79" t="s">
        <v>10</v>
      </c>
      <c r="E79" t="s">
        <v>41</v>
      </c>
      <c r="F79">
        <v>650</v>
      </c>
      <c r="G79">
        <v>91</v>
      </c>
      <c r="H79">
        <v>59.15</v>
      </c>
    </row>
    <row r="80" spans="1:8" x14ac:dyDescent="0.3">
      <c r="A80" s="9">
        <v>45267</v>
      </c>
      <c r="B80" t="s">
        <v>45</v>
      </c>
      <c r="C80" t="s">
        <v>33</v>
      </c>
      <c r="D80" t="s">
        <v>13</v>
      </c>
      <c r="E80" t="s">
        <v>43</v>
      </c>
      <c r="F80">
        <v>1420</v>
      </c>
      <c r="G80">
        <v>6</v>
      </c>
      <c r="H80">
        <v>8.52</v>
      </c>
    </row>
    <row r="81" spans="1:8" x14ac:dyDescent="0.3">
      <c r="A81" s="9">
        <v>45267</v>
      </c>
      <c r="B81" t="s">
        <v>45</v>
      </c>
      <c r="C81" t="s">
        <v>9</v>
      </c>
      <c r="D81" t="s">
        <v>18</v>
      </c>
      <c r="E81" t="s">
        <v>37</v>
      </c>
      <c r="F81">
        <v>890</v>
      </c>
      <c r="G81">
        <v>5</v>
      </c>
      <c r="H81">
        <v>4.45</v>
      </c>
    </row>
    <row r="82" spans="1:8" x14ac:dyDescent="0.3">
      <c r="A82" s="9">
        <v>45266</v>
      </c>
      <c r="B82" t="s">
        <v>45</v>
      </c>
      <c r="C82" t="s">
        <v>15</v>
      </c>
      <c r="D82" t="s">
        <v>24</v>
      </c>
      <c r="E82" t="s">
        <v>36</v>
      </c>
      <c r="F82">
        <v>2460</v>
      </c>
      <c r="G82">
        <v>77</v>
      </c>
      <c r="H82">
        <v>189.42</v>
      </c>
    </row>
    <row r="83" spans="1:8" x14ac:dyDescent="0.3">
      <c r="A83" s="9">
        <v>45266</v>
      </c>
      <c r="B83" t="s">
        <v>45</v>
      </c>
      <c r="C83" t="s">
        <v>20</v>
      </c>
      <c r="D83" t="s">
        <v>18</v>
      </c>
      <c r="E83" t="s">
        <v>27</v>
      </c>
      <c r="F83">
        <v>460</v>
      </c>
      <c r="G83">
        <v>33</v>
      </c>
      <c r="H83">
        <v>15.18</v>
      </c>
    </row>
    <row r="84" spans="1:8" x14ac:dyDescent="0.3">
      <c r="A84" s="9">
        <v>45265</v>
      </c>
      <c r="B84" t="s">
        <v>45</v>
      </c>
      <c r="C84" t="s">
        <v>26</v>
      </c>
      <c r="D84" t="s">
        <v>13</v>
      </c>
      <c r="E84" t="s">
        <v>38</v>
      </c>
      <c r="F84">
        <v>2400</v>
      </c>
      <c r="G84">
        <v>99</v>
      </c>
      <c r="H84">
        <v>237.6</v>
      </c>
    </row>
    <row r="85" spans="1:8" x14ac:dyDescent="0.3">
      <c r="A85" s="9">
        <v>44965</v>
      </c>
      <c r="B85" t="s">
        <v>45</v>
      </c>
      <c r="C85" t="s">
        <v>20</v>
      </c>
      <c r="D85" t="s">
        <v>24</v>
      </c>
      <c r="E85" t="s">
        <v>32</v>
      </c>
      <c r="F85">
        <v>1505</v>
      </c>
      <c r="G85">
        <v>89</v>
      </c>
      <c r="H85">
        <v>133.94499999999999</v>
      </c>
    </row>
    <row r="86" spans="1:8" x14ac:dyDescent="0.3">
      <c r="A86" s="9">
        <v>45265</v>
      </c>
      <c r="B86" t="s">
        <v>45</v>
      </c>
      <c r="C86" t="s">
        <v>9</v>
      </c>
      <c r="D86" t="s">
        <v>13</v>
      </c>
      <c r="E86" t="s">
        <v>14</v>
      </c>
      <c r="F86">
        <v>1320</v>
      </c>
      <c r="G86">
        <v>50</v>
      </c>
      <c r="H86">
        <v>66</v>
      </c>
    </row>
    <row r="87" spans="1:8" x14ac:dyDescent="0.3">
      <c r="A87" s="9">
        <v>45264</v>
      </c>
      <c r="B87" t="s">
        <v>45</v>
      </c>
      <c r="C87" t="s">
        <v>35</v>
      </c>
      <c r="D87" t="s">
        <v>10</v>
      </c>
      <c r="E87" t="s">
        <v>41</v>
      </c>
      <c r="F87">
        <v>650</v>
      </c>
      <c r="G87">
        <v>39</v>
      </c>
      <c r="H87">
        <v>25.35</v>
      </c>
    </row>
    <row r="88" spans="1:8" x14ac:dyDescent="0.3">
      <c r="A88" s="9">
        <v>45264</v>
      </c>
      <c r="B88" t="s">
        <v>45</v>
      </c>
      <c r="C88" t="s">
        <v>35</v>
      </c>
      <c r="D88" t="s">
        <v>10</v>
      </c>
      <c r="E88" t="s">
        <v>23</v>
      </c>
      <c r="F88">
        <v>640</v>
      </c>
      <c r="G88">
        <v>68</v>
      </c>
      <c r="H88">
        <v>43.52</v>
      </c>
    </row>
    <row r="89" spans="1:8" x14ac:dyDescent="0.3">
      <c r="A89" s="9">
        <v>44965</v>
      </c>
      <c r="B89" t="s">
        <v>45</v>
      </c>
      <c r="C89" t="s">
        <v>33</v>
      </c>
      <c r="D89" t="s">
        <v>18</v>
      </c>
      <c r="E89" t="s">
        <v>27</v>
      </c>
      <c r="F89">
        <v>460</v>
      </c>
      <c r="G89">
        <v>43</v>
      </c>
      <c r="H89">
        <v>19.78</v>
      </c>
    </row>
    <row r="90" spans="1:8" x14ac:dyDescent="0.3">
      <c r="A90" s="9">
        <v>44965</v>
      </c>
      <c r="B90" t="s">
        <v>45</v>
      </c>
      <c r="C90" t="s">
        <v>33</v>
      </c>
      <c r="D90" t="s">
        <v>13</v>
      </c>
      <c r="E90" t="s">
        <v>44</v>
      </c>
      <c r="F90">
        <v>2540</v>
      </c>
      <c r="G90">
        <v>70</v>
      </c>
      <c r="H90">
        <v>177.8</v>
      </c>
    </row>
    <row r="91" spans="1:8" x14ac:dyDescent="0.3">
      <c r="A91" s="9">
        <v>45264</v>
      </c>
      <c r="B91" t="s">
        <v>45</v>
      </c>
      <c r="C91" t="s">
        <v>15</v>
      </c>
      <c r="D91" t="s">
        <v>24</v>
      </c>
      <c r="E91" t="s">
        <v>30</v>
      </c>
      <c r="F91">
        <v>2970</v>
      </c>
      <c r="G91">
        <v>24</v>
      </c>
      <c r="H91">
        <v>71.28</v>
      </c>
    </row>
    <row r="92" spans="1:8" x14ac:dyDescent="0.3">
      <c r="A92" s="9">
        <v>45263</v>
      </c>
      <c r="B92" t="s">
        <v>45</v>
      </c>
      <c r="C92" t="s">
        <v>33</v>
      </c>
      <c r="D92" t="s">
        <v>24</v>
      </c>
      <c r="E92" t="s">
        <v>42</v>
      </c>
      <c r="F92">
        <v>3205</v>
      </c>
      <c r="G92">
        <v>64</v>
      </c>
      <c r="H92">
        <v>205.12</v>
      </c>
    </row>
    <row r="93" spans="1:8" x14ac:dyDescent="0.3">
      <c r="A93" s="9">
        <v>45263</v>
      </c>
      <c r="B93" t="s">
        <v>45</v>
      </c>
      <c r="C93" t="s">
        <v>20</v>
      </c>
      <c r="D93" t="s">
        <v>10</v>
      </c>
      <c r="E93" t="s">
        <v>40</v>
      </c>
      <c r="F93">
        <v>540</v>
      </c>
      <c r="G93">
        <v>52</v>
      </c>
      <c r="H93">
        <v>28.08</v>
      </c>
    </row>
    <row r="94" spans="1:8" x14ac:dyDescent="0.3">
      <c r="A94" s="9">
        <v>45262</v>
      </c>
      <c r="B94" t="s">
        <v>45</v>
      </c>
      <c r="C94" t="s">
        <v>33</v>
      </c>
      <c r="D94" t="s">
        <v>13</v>
      </c>
      <c r="E94" t="s">
        <v>43</v>
      </c>
      <c r="F94">
        <v>1420</v>
      </c>
      <c r="G94">
        <v>27</v>
      </c>
      <c r="H94">
        <v>38.340000000000003</v>
      </c>
    </row>
    <row r="95" spans="1:8" x14ac:dyDescent="0.3">
      <c r="A95" s="9">
        <v>45262</v>
      </c>
      <c r="B95" t="s">
        <v>45</v>
      </c>
      <c r="C95" t="s">
        <v>9</v>
      </c>
      <c r="D95" t="s">
        <v>24</v>
      </c>
      <c r="E95" t="s">
        <v>34</v>
      </c>
      <c r="F95">
        <v>1670</v>
      </c>
      <c r="G95">
        <v>76</v>
      </c>
      <c r="H95">
        <v>126.92</v>
      </c>
    </row>
    <row r="96" spans="1:8" x14ac:dyDescent="0.3">
      <c r="A96" s="9">
        <v>44966</v>
      </c>
      <c r="B96" t="s">
        <v>45</v>
      </c>
      <c r="C96" t="s">
        <v>26</v>
      </c>
      <c r="D96" t="s">
        <v>10</v>
      </c>
      <c r="E96" t="s">
        <v>40</v>
      </c>
      <c r="F96">
        <v>540</v>
      </c>
      <c r="G96">
        <v>15</v>
      </c>
      <c r="H96">
        <v>8.1</v>
      </c>
    </row>
    <row r="97" spans="1:8" x14ac:dyDescent="0.3">
      <c r="A97" s="9">
        <v>45262</v>
      </c>
      <c r="B97" t="s">
        <v>45</v>
      </c>
      <c r="C97" t="s">
        <v>9</v>
      </c>
      <c r="D97" t="s">
        <v>18</v>
      </c>
      <c r="E97" t="s">
        <v>21</v>
      </c>
      <c r="F97">
        <v>450</v>
      </c>
      <c r="G97">
        <v>40</v>
      </c>
      <c r="H97">
        <v>18</v>
      </c>
    </row>
    <row r="98" spans="1:8" x14ac:dyDescent="0.3">
      <c r="A98" s="9">
        <v>44966</v>
      </c>
      <c r="B98" t="s">
        <v>45</v>
      </c>
      <c r="C98" t="s">
        <v>33</v>
      </c>
      <c r="D98" t="s">
        <v>24</v>
      </c>
      <c r="E98" t="s">
        <v>25</v>
      </c>
      <c r="F98">
        <v>1760</v>
      </c>
      <c r="G98">
        <v>63</v>
      </c>
      <c r="H98">
        <v>110.88</v>
      </c>
    </row>
    <row r="99" spans="1:8" x14ac:dyDescent="0.3">
      <c r="A99" s="9">
        <v>45261</v>
      </c>
      <c r="B99" t="s">
        <v>45</v>
      </c>
      <c r="C99" t="s">
        <v>35</v>
      </c>
      <c r="D99" t="s">
        <v>24</v>
      </c>
      <c r="E99" t="s">
        <v>36</v>
      </c>
      <c r="F99">
        <v>2460</v>
      </c>
      <c r="G99">
        <v>11</v>
      </c>
      <c r="H99">
        <v>27.06</v>
      </c>
    </row>
    <row r="100" spans="1:8" x14ac:dyDescent="0.3">
      <c r="A100" s="9">
        <v>45261</v>
      </c>
      <c r="B100" t="s">
        <v>45</v>
      </c>
      <c r="C100" t="s">
        <v>26</v>
      </c>
      <c r="D100" t="s">
        <v>13</v>
      </c>
      <c r="E100" t="s">
        <v>43</v>
      </c>
      <c r="F100">
        <v>1420</v>
      </c>
      <c r="G100">
        <v>98</v>
      </c>
      <c r="H100">
        <v>139.16</v>
      </c>
    </row>
    <row r="101" spans="1:8" x14ac:dyDescent="0.3">
      <c r="A101" s="9">
        <v>45261</v>
      </c>
      <c r="B101" t="s">
        <v>45</v>
      </c>
      <c r="C101" t="s">
        <v>20</v>
      </c>
      <c r="D101" t="s">
        <v>24</v>
      </c>
      <c r="E101" t="s">
        <v>42</v>
      </c>
      <c r="F101">
        <v>3205</v>
      </c>
      <c r="G101">
        <v>67</v>
      </c>
      <c r="H101">
        <v>214.73500000000001</v>
      </c>
    </row>
    <row r="102" spans="1:8" x14ac:dyDescent="0.3">
      <c r="A102" s="9">
        <v>44966</v>
      </c>
      <c r="B102" t="s">
        <v>45</v>
      </c>
      <c r="C102" t="s">
        <v>35</v>
      </c>
      <c r="D102" t="s">
        <v>13</v>
      </c>
      <c r="E102" t="s">
        <v>22</v>
      </c>
      <c r="F102">
        <v>930</v>
      </c>
      <c r="G102">
        <v>60</v>
      </c>
      <c r="H102">
        <v>55.8</v>
      </c>
    </row>
    <row r="103" spans="1:8" x14ac:dyDescent="0.3">
      <c r="A103" s="9">
        <v>45260</v>
      </c>
      <c r="B103" t="s">
        <v>45</v>
      </c>
      <c r="C103" t="s">
        <v>33</v>
      </c>
      <c r="D103" t="s">
        <v>24</v>
      </c>
      <c r="E103" t="s">
        <v>32</v>
      </c>
      <c r="F103">
        <v>1505</v>
      </c>
      <c r="G103">
        <v>56</v>
      </c>
      <c r="H103">
        <v>84.28</v>
      </c>
    </row>
    <row r="104" spans="1:8" x14ac:dyDescent="0.3">
      <c r="A104" s="9">
        <v>45260</v>
      </c>
      <c r="B104" t="s">
        <v>45</v>
      </c>
      <c r="C104" t="s">
        <v>26</v>
      </c>
      <c r="D104" t="s">
        <v>24</v>
      </c>
      <c r="E104" t="s">
        <v>34</v>
      </c>
      <c r="F104">
        <v>1670</v>
      </c>
      <c r="G104">
        <v>72</v>
      </c>
      <c r="H104">
        <v>120.24</v>
      </c>
    </row>
    <row r="105" spans="1:8" x14ac:dyDescent="0.3">
      <c r="A105" s="9">
        <v>44967</v>
      </c>
      <c r="B105" t="s">
        <v>45</v>
      </c>
      <c r="C105" t="s">
        <v>20</v>
      </c>
      <c r="D105" t="s">
        <v>24</v>
      </c>
      <c r="E105" t="s">
        <v>34</v>
      </c>
      <c r="F105">
        <v>1670</v>
      </c>
      <c r="G105">
        <v>70</v>
      </c>
      <c r="H105">
        <v>116.9</v>
      </c>
    </row>
    <row r="106" spans="1:8" x14ac:dyDescent="0.3">
      <c r="A106" s="9">
        <v>45259</v>
      </c>
      <c r="B106" t="s">
        <v>45</v>
      </c>
      <c r="C106" t="s">
        <v>15</v>
      </c>
      <c r="D106" t="s">
        <v>18</v>
      </c>
      <c r="E106" t="s">
        <v>28</v>
      </c>
      <c r="F106">
        <v>690</v>
      </c>
      <c r="G106">
        <v>7</v>
      </c>
      <c r="H106">
        <v>4.83</v>
      </c>
    </row>
    <row r="107" spans="1:8" x14ac:dyDescent="0.3">
      <c r="A107" s="9">
        <v>44967</v>
      </c>
      <c r="B107" t="s">
        <v>45</v>
      </c>
      <c r="C107" t="s">
        <v>9</v>
      </c>
      <c r="D107" t="s">
        <v>18</v>
      </c>
      <c r="E107" t="s">
        <v>31</v>
      </c>
      <c r="F107">
        <v>715</v>
      </c>
      <c r="G107">
        <v>34</v>
      </c>
      <c r="H107">
        <v>24.31</v>
      </c>
    </row>
    <row r="108" spans="1:8" x14ac:dyDescent="0.3">
      <c r="A108" s="9">
        <v>44967</v>
      </c>
      <c r="B108" t="s">
        <v>45</v>
      </c>
      <c r="C108" t="s">
        <v>26</v>
      </c>
      <c r="D108" t="s">
        <v>24</v>
      </c>
      <c r="E108" t="s">
        <v>32</v>
      </c>
      <c r="F108">
        <v>1505</v>
      </c>
      <c r="G108">
        <v>60</v>
      </c>
      <c r="H108">
        <v>90.3</v>
      </c>
    </row>
    <row r="109" spans="1:8" x14ac:dyDescent="0.3">
      <c r="A109" s="9">
        <v>44967</v>
      </c>
      <c r="B109" t="s">
        <v>45</v>
      </c>
      <c r="C109" t="s">
        <v>15</v>
      </c>
      <c r="D109" t="s">
        <v>18</v>
      </c>
      <c r="E109" t="s">
        <v>21</v>
      </c>
      <c r="F109">
        <v>450</v>
      </c>
      <c r="G109">
        <v>50</v>
      </c>
      <c r="H109">
        <v>22.5</v>
      </c>
    </row>
    <row r="110" spans="1:8" x14ac:dyDescent="0.3">
      <c r="A110" s="9">
        <v>45259</v>
      </c>
      <c r="B110" t="s">
        <v>45</v>
      </c>
      <c r="C110" t="s">
        <v>26</v>
      </c>
      <c r="D110" t="s">
        <v>24</v>
      </c>
      <c r="E110" t="s">
        <v>32</v>
      </c>
      <c r="F110">
        <v>1505</v>
      </c>
      <c r="G110">
        <v>54</v>
      </c>
      <c r="H110">
        <v>81.27</v>
      </c>
    </row>
    <row r="111" spans="1:8" x14ac:dyDescent="0.3">
      <c r="A111" s="9">
        <v>44967</v>
      </c>
      <c r="B111" t="s">
        <v>45</v>
      </c>
      <c r="C111" t="s">
        <v>35</v>
      </c>
      <c r="D111" t="s">
        <v>24</v>
      </c>
      <c r="E111" t="s">
        <v>36</v>
      </c>
      <c r="F111">
        <v>2460</v>
      </c>
      <c r="G111">
        <v>13</v>
      </c>
      <c r="H111">
        <v>31.98</v>
      </c>
    </row>
    <row r="112" spans="1:8" x14ac:dyDescent="0.3">
      <c r="A112" s="9">
        <v>45258</v>
      </c>
      <c r="B112" t="s">
        <v>45</v>
      </c>
      <c r="C112" t="s">
        <v>33</v>
      </c>
      <c r="D112" t="s">
        <v>24</v>
      </c>
      <c r="E112" t="s">
        <v>36</v>
      </c>
      <c r="F112">
        <v>2460</v>
      </c>
      <c r="G112">
        <v>10</v>
      </c>
      <c r="H112">
        <v>24.6</v>
      </c>
    </row>
    <row r="113" spans="1:8" x14ac:dyDescent="0.3">
      <c r="A113" s="9">
        <v>45258</v>
      </c>
      <c r="B113" t="s">
        <v>45</v>
      </c>
      <c r="C113" t="s">
        <v>15</v>
      </c>
      <c r="D113" t="s">
        <v>10</v>
      </c>
      <c r="E113" t="s">
        <v>23</v>
      </c>
      <c r="F113">
        <v>640</v>
      </c>
      <c r="G113">
        <v>12</v>
      </c>
      <c r="H113">
        <v>7.68</v>
      </c>
    </row>
    <row r="114" spans="1:8" x14ac:dyDescent="0.3">
      <c r="A114" s="9">
        <v>45258</v>
      </c>
      <c r="B114" t="s">
        <v>45</v>
      </c>
      <c r="C114" t="s">
        <v>26</v>
      </c>
      <c r="D114" t="s">
        <v>24</v>
      </c>
      <c r="E114" t="s">
        <v>42</v>
      </c>
      <c r="F114">
        <v>3205</v>
      </c>
      <c r="G114">
        <v>8</v>
      </c>
      <c r="H114">
        <v>25.64</v>
      </c>
    </row>
    <row r="115" spans="1:8" x14ac:dyDescent="0.3">
      <c r="A115" s="9">
        <v>45258</v>
      </c>
      <c r="B115" t="s">
        <v>45</v>
      </c>
      <c r="C115" t="s">
        <v>20</v>
      </c>
      <c r="D115" t="s">
        <v>18</v>
      </c>
      <c r="E115" t="s">
        <v>37</v>
      </c>
      <c r="F115">
        <v>890</v>
      </c>
      <c r="G115">
        <v>22</v>
      </c>
      <c r="H115">
        <v>19.579999999999998</v>
      </c>
    </row>
    <row r="116" spans="1:8" x14ac:dyDescent="0.3">
      <c r="A116" s="9">
        <v>44968</v>
      </c>
      <c r="B116" t="s">
        <v>45</v>
      </c>
      <c r="C116" t="s">
        <v>9</v>
      </c>
      <c r="D116" t="s">
        <v>24</v>
      </c>
      <c r="E116" t="s">
        <v>25</v>
      </c>
      <c r="F116">
        <v>1760</v>
      </c>
      <c r="G116">
        <v>38</v>
      </c>
      <c r="H116">
        <v>66.88</v>
      </c>
    </row>
    <row r="117" spans="1:8" x14ac:dyDescent="0.3">
      <c r="A117" s="9">
        <v>45257</v>
      </c>
      <c r="B117" t="s">
        <v>45</v>
      </c>
      <c r="C117" t="s">
        <v>33</v>
      </c>
      <c r="D117" t="s">
        <v>18</v>
      </c>
      <c r="E117" t="s">
        <v>27</v>
      </c>
      <c r="F117">
        <v>460</v>
      </c>
      <c r="G117">
        <v>78</v>
      </c>
      <c r="H117">
        <v>35.880000000000003</v>
      </c>
    </row>
    <row r="118" spans="1:8" x14ac:dyDescent="0.3">
      <c r="A118" s="9">
        <v>45257</v>
      </c>
      <c r="B118" t="s">
        <v>45</v>
      </c>
      <c r="C118" t="s">
        <v>20</v>
      </c>
      <c r="D118" t="s">
        <v>24</v>
      </c>
      <c r="E118" t="s">
        <v>36</v>
      </c>
      <c r="F118">
        <v>2460</v>
      </c>
      <c r="G118">
        <v>33</v>
      </c>
      <c r="H118">
        <v>81.180000000000007</v>
      </c>
    </row>
    <row r="119" spans="1:8" x14ac:dyDescent="0.3">
      <c r="A119" s="9">
        <v>45256</v>
      </c>
      <c r="B119" t="s">
        <v>45</v>
      </c>
      <c r="C119" t="s">
        <v>20</v>
      </c>
      <c r="D119" t="s">
        <v>13</v>
      </c>
      <c r="E119" t="s">
        <v>29</v>
      </c>
      <c r="F119">
        <v>1230</v>
      </c>
      <c r="G119">
        <v>18</v>
      </c>
      <c r="H119">
        <v>22.14</v>
      </c>
    </row>
    <row r="120" spans="1:8" x14ac:dyDescent="0.3">
      <c r="A120" s="9">
        <v>44968</v>
      </c>
      <c r="B120" t="s">
        <v>45</v>
      </c>
      <c r="C120" t="s">
        <v>15</v>
      </c>
      <c r="D120" t="s">
        <v>24</v>
      </c>
      <c r="E120" t="s">
        <v>34</v>
      </c>
      <c r="F120">
        <v>1670</v>
      </c>
      <c r="G120">
        <v>70</v>
      </c>
      <c r="H120">
        <v>116.9</v>
      </c>
    </row>
    <row r="121" spans="1:8" x14ac:dyDescent="0.3">
      <c r="A121" s="9">
        <v>45255</v>
      </c>
      <c r="B121" t="s">
        <v>45</v>
      </c>
      <c r="C121" t="s">
        <v>33</v>
      </c>
      <c r="D121" t="s">
        <v>13</v>
      </c>
      <c r="E121" t="s">
        <v>44</v>
      </c>
      <c r="F121">
        <v>2540</v>
      </c>
      <c r="G121">
        <v>9</v>
      </c>
      <c r="H121">
        <v>22.86</v>
      </c>
    </row>
    <row r="122" spans="1:8" x14ac:dyDescent="0.3">
      <c r="A122" s="9">
        <v>44968</v>
      </c>
      <c r="B122" t="s">
        <v>45</v>
      </c>
      <c r="C122" t="s">
        <v>33</v>
      </c>
      <c r="D122" t="s">
        <v>18</v>
      </c>
      <c r="E122" t="s">
        <v>37</v>
      </c>
      <c r="F122">
        <v>890</v>
      </c>
      <c r="G122">
        <v>31</v>
      </c>
      <c r="H122">
        <v>27.59</v>
      </c>
    </row>
    <row r="123" spans="1:8" x14ac:dyDescent="0.3">
      <c r="A123" s="9">
        <v>45255</v>
      </c>
      <c r="B123" t="s">
        <v>45</v>
      </c>
      <c r="C123" t="s">
        <v>33</v>
      </c>
      <c r="D123" t="s">
        <v>13</v>
      </c>
      <c r="E123" t="s">
        <v>44</v>
      </c>
      <c r="F123">
        <v>2540</v>
      </c>
      <c r="G123">
        <v>33</v>
      </c>
      <c r="H123">
        <v>83.82</v>
      </c>
    </row>
    <row r="124" spans="1:8" x14ac:dyDescent="0.3">
      <c r="A124" s="9">
        <v>45255</v>
      </c>
      <c r="B124" t="s">
        <v>45</v>
      </c>
      <c r="C124" t="s">
        <v>33</v>
      </c>
      <c r="D124" t="s">
        <v>10</v>
      </c>
      <c r="E124" t="s">
        <v>11</v>
      </c>
      <c r="F124">
        <v>705</v>
      </c>
      <c r="G124">
        <v>90</v>
      </c>
      <c r="H124">
        <v>63.45</v>
      </c>
    </row>
    <row r="125" spans="1:8" x14ac:dyDescent="0.3">
      <c r="A125" s="9">
        <v>45255</v>
      </c>
      <c r="B125" t="s">
        <v>45</v>
      </c>
      <c r="C125" t="s">
        <v>15</v>
      </c>
      <c r="D125" t="s">
        <v>24</v>
      </c>
      <c r="E125" t="s">
        <v>32</v>
      </c>
      <c r="F125">
        <v>1505</v>
      </c>
      <c r="G125">
        <v>53</v>
      </c>
      <c r="H125">
        <v>79.765000000000001</v>
      </c>
    </row>
    <row r="126" spans="1:8" x14ac:dyDescent="0.3">
      <c r="A126" s="9">
        <v>45255</v>
      </c>
      <c r="B126" t="s">
        <v>45</v>
      </c>
      <c r="C126" t="s">
        <v>26</v>
      </c>
      <c r="D126" t="s">
        <v>13</v>
      </c>
      <c r="E126" t="s">
        <v>14</v>
      </c>
      <c r="F126">
        <v>1320</v>
      </c>
      <c r="G126">
        <v>79</v>
      </c>
      <c r="H126">
        <v>104.28</v>
      </c>
    </row>
    <row r="127" spans="1:8" x14ac:dyDescent="0.3">
      <c r="A127" s="9">
        <v>45255</v>
      </c>
      <c r="B127" t="s">
        <v>45</v>
      </c>
      <c r="C127" t="s">
        <v>9</v>
      </c>
      <c r="D127" t="s">
        <v>24</v>
      </c>
      <c r="E127" t="s">
        <v>30</v>
      </c>
      <c r="F127">
        <v>2970</v>
      </c>
      <c r="G127">
        <v>65</v>
      </c>
      <c r="H127">
        <v>193.05</v>
      </c>
    </row>
    <row r="128" spans="1:8" x14ac:dyDescent="0.3">
      <c r="A128" s="9">
        <v>45254</v>
      </c>
      <c r="B128" t="s">
        <v>45</v>
      </c>
      <c r="C128" t="s">
        <v>15</v>
      </c>
      <c r="D128" t="s">
        <v>24</v>
      </c>
      <c r="E128" t="s">
        <v>30</v>
      </c>
      <c r="F128">
        <v>2970</v>
      </c>
      <c r="G128">
        <v>68</v>
      </c>
      <c r="H128">
        <v>201.96</v>
      </c>
    </row>
    <row r="129" spans="1:8" x14ac:dyDescent="0.3">
      <c r="A129" s="9">
        <v>44969</v>
      </c>
      <c r="B129" t="s">
        <v>45</v>
      </c>
      <c r="C129" t="s">
        <v>9</v>
      </c>
      <c r="D129" t="s">
        <v>24</v>
      </c>
      <c r="E129" t="s">
        <v>30</v>
      </c>
      <c r="F129">
        <v>2970</v>
      </c>
      <c r="G129">
        <v>55</v>
      </c>
      <c r="H129">
        <v>163.35</v>
      </c>
    </row>
    <row r="130" spans="1:8" x14ac:dyDescent="0.3">
      <c r="A130" s="9">
        <v>44969</v>
      </c>
      <c r="B130" t="s">
        <v>45</v>
      </c>
      <c r="C130" t="s">
        <v>33</v>
      </c>
      <c r="D130" t="s">
        <v>18</v>
      </c>
      <c r="E130" t="s">
        <v>21</v>
      </c>
      <c r="F130">
        <v>450</v>
      </c>
      <c r="G130">
        <v>74</v>
      </c>
      <c r="H130">
        <v>33.299999999999997</v>
      </c>
    </row>
    <row r="131" spans="1:8" x14ac:dyDescent="0.3">
      <c r="A131" s="9">
        <v>45254</v>
      </c>
      <c r="B131" t="s">
        <v>45</v>
      </c>
      <c r="C131" t="s">
        <v>15</v>
      </c>
      <c r="D131" t="s">
        <v>13</v>
      </c>
      <c r="E131" t="s">
        <v>22</v>
      </c>
      <c r="F131">
        <v>930</v>
      </c>
      <c r="G131">
        <v>58</v>
      </c>
      <c r="H131">
        <v>53.94</v>
      </c>
    </row>
    <row r="132" spans="1:8" x14ac:dyDescent="0.3">
      <c r="A132" s="9">
        <v>45254</v>
      </c>
      <c r="B132" t="s">
        <v>45</v>
      </c>
      <c r="C132" t="s">
        <v>26</v>
      </c>
      <c r="D132" t="s">
        <v>13</v>
      </c>
      <c r="E132" t="s">
        <v>43</v>
      </c>
      <c r="F132">
        <v>1420</v>
      </c>
      <c r="G132">
        <v>45</v>
      </c>
      <c r="H132">
        <v>63.9</v>
      </c>
    </row>
    <row r="133" spans="1:8" x14ac:dyDescent="0.3">
      <c r="A133" s="9">
        <v>45254</v>
      </c>
      <c r="B133" t="s">
        <v>45</v>
      </c>
      <c r="C133" t="s">
        <v>20</v>
      </c>
      <c r="D133" t="s">
        <v>13</v>
      </c>
      <c r="E133" t="s">
        <v>29</v>
      </c>
      <c r="F133">
        <v>1230</v>
      </c>
      <c r="G133">
        <v>42</v>
      </c>
      <c r="H133">
        <v>51.66</v>
      </c>
    </row>
    <row r="134" spans="1:8" x14ac:dyDescent="0.3">
      <c r="A134" s="9">
        <v>44969</v>
      </c>
      <c r="B134" t="s">
        <v>45</v>
      </c>
      <c r="C134" t="s">
        <v>9</v>
      </c>
      <c r="D134" t="s">
        <v>18</v>
      </c>
      <c r="E134" t="s">
        <v>28</v>
      </c>
      <c r="F134">
        <v>690</v>
      </c>
      <c r="G134">
        <v>29</v>
      </c>
      <c r="H134">
        <v>20.010000000000002</v>
      </c>
    </row>
    <row r="135" spans="1:8" x14ac:dyDescent="0.3">
      <c r="A135" s="9">
        <v>45253</v>
      </c>
      <c r="B135" t="s">
        <v>45</v>
      </c>
      <c r="C135" t="s">
        <v>20</v>
      </c>
      <c r="D135" t="s">
        <v>18</v>
      </c>
      <c r="E135" t="s">
        <v>28</v>
      </c>
      <c r="F135">
        <v>690</v>
      </c>
      <c r="G135">
        <v>89</v>
      </c>
      <c r="H135">
        <v>61.41</v>
      </c>
    </row>
    <row r="136" spans="1:8" x14ac:dyDescent="0.3">
      <c r="A136" s="9">
        <v>45252</v>
      </c>
      <c r="B136" t="s">
        <v>45</v>
      </c>
      <c r="C136" t="s">
        <v>35</v>
      </c>
      <c r="D136" t="s">
        <v>13</v>
      </c>
      <c r="E136" t="s">
        <v>29</v>
      </c>
      <c r="F136">
        <v>1230</v>
      </c>
      <c r="G136">
        <v>22</v>
      </c>
      <c r="H136">
        <v>27.06</v>
      </c>
    </row>
    <row r="137" spans="1:8" x14ac:dyDescent="0.3">
      <c r="A137" s="9">
        <v>45252</v>
      </c>
      <c r="B137" t="s">
        <v>45</v>
      </c>
      <c r="C137" t="s">
        <v>15</v>
      </c>
      <c r="D137" t="s">
        <v>10</v>
      </c>
      <c r="E137" t="s">
        <v>39</v>
      </c>
      <c r="F137">
        <v>650</v>
      </c>
      <c r="G137">
        <v>93</v>
      </c>
      <c r="H137">
        <v>60.45</v>
      </c>
    </row>
    <row r="138" spans="1:8" x14ac:dyDescent="0.3">
      <c r="A138" s="9">
        <v>45251</v>
      </c>
      <c r="B138" t="s">
        <v>45</v>
      </c>
      <c r="C138" t="s">
        <v>33</v>
      </c>
      <c r="D138" t="s">
        <v>18</v>
      </c>
      <c r="E138" t="s">
        <v>31</v>
      </c>
      <c r="F138">
        <v>715</v>
      </c>
      <c r="G138">
        <v>55</v>
      </c>
      <c r="H138">
        <v>39.325000000000003</v>
      </c>
    </row>
    <row r="139" spans="1:8" x14ac:dyDescent="0.3">
      <c r="A139" s="9">
        <v>45251</v>
      </c>
      <c r="B139" t="s">
        <v>45</v>
      </c>
      <c r="C139" t="s">
        <v>15</v>
      </c>
      <c r="D139" t="s">
        <v>24</v>
      </c>
      <c r="E139" t="s">
        <v>36</v>
      </c>
      <c r="F139">
        <v>2460</v>
      </c>
      <c r="G139">
        <v>70</v>
      </c>
      <c r="H139">
        <v>172.2</v>
      </c>
    </row>
    <row r="140" spans="1:8" x14ac:dyDescent="0.3">
      <c r="A140" s="9">
        <v>45251</v>
      </c>
      <c r="B140" t="s">
        <v>45</v>
      </c>
      <c r="C140" t="s">
        <v>15</v>
      </c>
      <c r="D140" t="s">
        <v>13</v>
      </c>
      <c r="E140" t="s">
        <v>44</v>
      </c>
      <c r="F140">
        <v>2540</v>
      </c>
      <c r="G140">
        <v>63</v>
      </c>
      <c r="H140">
        <v>160.02000000000001</v>
      </c>
    </row>
    <row r="141" spans="1:8" x14ac:dyDescent="0.3">
      <c r="A141" s="9">
        <v>45251</v>
      </c>
      <c r="B141" t="s">
        <v>45</v>
      </c>
      <c r="C141" t="s">
        <v>15</v>
      </c>
      <c r="D141" t="s">
        <v>13</v>
      </c>
      <c r="E141" t="s">
        <v>43</v>
      </c>
      <c r="F141">
        <v>1420</v>
      </c>
      <c r="G141">
        <v>62</v>
      </c>
      <c r="H141">
        <v>88.04</v>
      </c>
    </row>
    <row r="142" spans="1:8" x14ac:dyDescent="0.3">
      <c r="A142" s="9">
        <v>45251</v>
      </c>
      <c r="B142" t="s">
        <v>45</v>
      </c>
      <c r="C142" t="s">
        <v>26</v>
      </c>
      <c r="D142" t="s">
        <v>24</v>
      </c>
      <c r="E142" t="s">
        <v>36</v>
      </c>
      <c r="F142">
        <v>2460</v>
      </c>
      <c r="G142">
        <v>62</v>
      </c>
      <c r="H142">
        <v>152.52000000000001</v>
      </c>
    </row>
    <row r="143" spans="1:8" x14ac:dyDescent="0.3">
      <c r="A143" s="9">
        <v>45251</v>
      </c>
      <c r="B143" t="s">
        <v>45</v>
      </c>
      <c r="C143" t="s">
        <v>26</v>
      </c>
      <c r="D143" t="s">
        <v>10</v>
      </c>
      <c r="E143" t="s">
        <v>16</v>
      </c>
      <c r="F143">
        <v>1380</v>
      </c>
      <c r="G143">
        <v>70</v>
      </c>
      <c r="H143">
        <v>96.6</v>
      </c>
    </row>
    <row r="144" spans="1:8" x14ac:dyDescent="0.3">
      <c r="A144" s="9">
        <v>45251</v>
      </c>
      <c r="B144" t="s">
        <v>45</v>
      </c>
      <c r="C144" t="s">
        <v>9</v>
      </c>
      <c r="D144" t="s">
        <v>13</v>
      </c>
      <c r="E144" t="s">
        <v>38</v>
      </c>
      <c r="F144">
        <v>2400</v>
      </c>
      <c r="G144">
        <v>84</v>
      </c>
      <c r="H144">
        <v>201.6</v>
      </c>
    </row>
    <row r="145" spans="1:8" x14ac:dyDescent="0.3">
      <c r="A145" s="9">
        <v>44971</v>
      </c>
      <c r="B145" t="s">
        <v>45</v>
      </c>
      <c r="C145" t="s">
        <v>9</v>
      </c>
      <c r="D145" t="s">
        <v>24</v>
      </c>
      <c r="E145" t="s">
        <v>42</v>
      </c>
      <c r="F145">
        <v>3205</v>
      </c>
      <c r="G145">
        <v>94</v>
      </c>
      <c r="H145">
        <v>301.27</v>
      </c>
    </row>
    <row r="146" spans="1:8" x14ac:dyDescent="0.3">
      <c r="A146" s="9">
        <v>45251</v>
      </c>
      <c r="B146" t="s">
        <v>45</v>
      </c>
      <c r="C146" t="s">
        <v>9</v>
      </c>
      <c r="D146" t="s">
        <v>18</v>
      </c>
      <c r="E146" t="s">
        <v>21</v>
      </c>
      <c r="F146">
        <v>450</v>
      </c>
      <c r="G146">
        <v>79</v>
      </c>
      <c r="H146">
        <v>35.549999999999997</v>
      </c>
    </row>
    <row r="147" spans="1:8" x14ac:dyDescent="0.3">
      <c r="A147" s="9">
        <v>45251</v>
      </c>
      <c r="B147" t="s">
        <v>45</v>
      </c>
      <c r="C147" t="s">
        <v>20</v>
      </c>
      <c r="D147" t="s">
        <v>18</v>
      </c>
      <c r="E147" t="s">
        <v>31</v>
      </c>
      <c r="F147">
        <v>715</v>
      </c>
      <c r="G147">
        <v>20</v>
      </c>
      <c r="H147">
        <v>14.3</v>
      </c>
    </row>
    <row r="148" spans="1:8" x14ac:dyDescent="0.3">
      <c r="A148" s="9">
        <v>45249</v>
      </c>
      <c r="B148" t="s">
        <v>45</v>
      </c>
      <c r="C148" t="s">
        <v>33</v>
      </c>
      <c r="D148" t="s">
        <v>24</v>
      </c>
      <c r="E148" t="s">
        <v>42</v>
      </c>
      <c r="F148">
        <v>3205</v>
      </c>
      <c r="G148">
        <v>54</v>
      </c>
      <c r="H148">
        <v>173.07</v>
      </c>
    </row>
    <row r="149" spans="1:8" x14ac:dyDescent="0.3">
      <c r="A149" s="9">
        <v>45249</v>
      </c>
      <c r="B149" t="s">
        <v>45</v>
      </c>
      <c r="C149" t="s">
        <v>33</v>
      </c>
      <c r="D149" t="s">
        <v>24</v>
      </c>
      <c r="E149" t="s">
        <v>34</v>
      </c>
      <c r="F149">
        <v>1670</v>
      </c>
      <c r="G149">
        <v>31</v>
      </c>
      <c r="H149">
        <v>51.77</v>
      </c>
    </row>
    <row r="150" spans="1:8" x14ac:dyDescent="0.3">
      <c r="A150" s="9">
        <v>44971</v>
      </c>
      <c r="B150" t="s">
        <v>45</v>
      </c>
      <c r="C150" t="s">
        <v>26</v>
      </c>
      <c r="D150" t="s">
        <v>24</v>
      </c>
      <c r="E150" t="s">
        <v>32</v>
      </c>
      <c r="F150">
        <v>1505</v>
      </c>
      <c r="G150">
        <v>85</v>
      </c>
      <c r="H150">
        <v>127.925</v>
      </c>
    </row>
    <row r="151" spans="1:8" x14ac:dyDescent="0.3">
      <c r="A151" s="9">
        <v>44971</v>
      </c>
      <c r="B151" t="s">
        <v>45</v>
      </c>
      <c r="C151" t="s">
        <v>15</v>
      </c>
      <c r="D151" t="s">
        <v>18</v>
      </c>
      <c r="E151" t="s">
        <v>31</v>
      </c>
      <c r="F151">
        <v>715</v>
      </c>
      <c r="G151">
        <v>14</v>
      </c>
      <c r="H151">
        <v>10.01</v>
      </c>
    </row>
    <row r="152" spans="1:8" x14ac:dyDescent="0.3">
      <c r="A152" s="9">
        <v>45249</v>
      </c>
      <c r="B152" t="s">
        <v>45</v>
      </c>
      <c r="C152" t="s">
        <v>33</v>
      </c>
      <c r="D152" t="s">
        <v>10</v>
      </c>
      <c r="E152" t="s">
        <v>16</v>
      </c>
      <c r="F152">
        <v>1380</v>
      </c>
      <c r="G152">
        <v>30</v>
      </c>
      <c r="H152">
        <v>41.4</v>
      </c>
    </row>
    <row r="153" spans="1:8" x14ac:dyDescent="0.3">
      <c r="A153" s="9">
        <v>44971</v>
      </c>
      <c r="B153" t="s">
        <v>45</v>
      </c>
      <c r="C153" t="s">
        <v>15</v>
      </c>
      <c r="D153" t="s">
        <v>13</v>
      </c>
      <c r="E153" t="s">
        <v>44</v>
      </c>
      <c r="F153">
        <v>2540</v>
      </c>
      <c r="G153">
        <v>12</v>
      </c>
      <c r="H153">
        <v>30.48</v>
      </c>
    </row>
    <row r="154" spans="1:8" x14ac:dyDescent="0.3">
      <c r="A154" s="9">
        <v>45249</v>
      </c>
      <c r="B154" t="s">
        <v>45</v>
      </c>
      <c r="C154" t="s">
        <v>15</v>
      </c>
      <c r="D154" t="s">
        <v>10</v>
      </c>
      <c r="E154" t="s">
        <v>11</v>
      </c>
      <c r="F154">
        <v>705</v>
      </c>
      <c r="G154">
        <v>85</v>
      </c>
      <c r="H154">
        <v>59.924999999999997</v>
      </c>
    </row>
    <row r="155" spans="1:8" x14ac:dyDescent="0.3">
      <c r="A155" s="9">
        <v>45249</v>
      </c>
      <c r="B155" t="s">
        <v>45</v>
      </c>
      <c r="C155" t="s">
        <v>26</v>
      </c>
      <c r="D155" t="s">
        <v>13</v>
      </c>
      <c r="E155" t="s">
        <v>43</v>
      </c>
      <c r="F155">
        <v>1420</v>
      </c>
      <c r="G155">
        <v>72</v>
      </c>
      <c r="H155">
        <v>102.24</v>
      </c>
    </row>
    <row r="156" spans="1:8" x14ac:dyDescent="0.3">
      <c r="A156" s="9">
        <v>44971</v>
      </c>
      <c r="B156" t="s">
        <v>45</v>
      </c>
      <c r="C156" t="s">
        <v>33</v>
      </c>
      <c r="D156" t="s">
        <v>24</v>
      </c>
      <c r="E156" t="s">
        <v>42</v>
      </c>
      <c r="F156">
        <v>3205</v>
      </c>
      <c r="G156">
        <v>54</v>
      </c>
      <c r="H156">
        <v>173.07</v>
      </c>
    </row>
    <row r="157" spans="1:8" x14ac:dyDescent="0.3">
      <c r="A157" s="9">
        <v>45249</v>
      </c>
      <c r="B157" t="s">
        <v>45</v>
      </c>
      <c r="C157" t="s">
        <v>9</v>
      </c>
      <c r="D157" t="s">
        <v>10</v>
      </c>
      <c r="E157" t="s">
        <v>41</v>
      </c>
      <c r="F157">
        <v>650</v>
      </c>
      <c r="G157">
        <v>88</v>
      </c>
      <c r="H157">
        <v>57.2</v>
      </c>
    </row>
    <row r="158" spans="1:8" x14ac:dyDescent="0.3">
      <c r="A158" s="9">
        <v>45248</v>
      </c>
      <c r="B158" t="s">
        <v>45</v>
      </c>
      <c r="C158" t="s">
        <v>15</v>
      </c>
      <c r="D158" t="s">
        <v>13</v>
      </c>
      <c r="E158" t="s">
        <v>38</v>
      </c>
      <c r="F158">
        <v>2400</v>
      </c>
      <c r="G158">
        <v>11</v>
      </c>
      <c r="H158">
        <v>26.4</v>
      </c>
    </row>
    <row r="159" spans="1:8" x14ac:dyDescent="0.3">
      <c r="A159" s="9">
        <v>45247</v>
      </c>
      <c r="B159" t="s">
        <v>45</v>
      </c>
      <c r="C159" t="s">
        <v>15</v>
      </c>
      <c r="D159" t="s">
        <v>13</v>
      </c>
      <c r="E159" t="s">
        <v>22</v>
      </c>
      <c r="F159">
        <v>930</v>
      </c>
      <c r="G159">
        <v>97</v>
      </c>
      <c r="H159">
        <v>90.21</v>
      </c>
    </row>
    <row r="160" spans="1:8" x14ac:dyDescent="0.3">
      <c r="A160" s="9">
        <v>44971</v>
      </c>
      <c r="B160" t="s">
        <v>45</v>
      </c>
      <c r="C160" t="s">
        <v>9</v>
      </c>
      <c r="D160" t="s">
        <v>13</v>
      </c>
      <c r="E160" t="s">
        <v>14</v>
      </c>
      <c r="F160">
        <v>1320</v>
      </c>
      <c r="G160">
        <v>31</v>
      </c>
      <c r="H160">
        <v>40.92</v>
      </c>
    </row>
    <row r="161" spans="1:8" x14ac:dyDescent="0.3">
      <c r="A161" s="9">
        <v>45247</v>
      </c>
      <c r="B161" t="s">
        <v>45</v>
      </c>
      <c r="C161" t="s">
        <v>9</v>
      </c>
      <c r="D161" t="s">
        <v>18</v>
      </c>
      <c r="E161" t="s">
        <v>27</v>
      </c>
      <c r="F161">
        <v>460</v>
      </c>
      <c r="G161">
        <v>80</v>
      </c>
      <c r="H161">
        <v>36.799999999999997</v>
      </c>
    </row>
    <row r="162" spans="1:8" x14ac:dyDescent="0.3">
      <c r="A162" s="9">
        <v>44972</v>
      </c>
      <c r="B162" t="s">
        <v>45</v>
      </c>
      <c r="C162" t="s">
        <v>20</v>
      </c>
      <c r="D162" t="s">
        <v>10</v>
      </c>
      <c r="E162" t="s">
        <v>39</v>
      </c>
      <c r="F162">
        <v>650</v>
      </c>
      <c r="G162">
        <v>88</v>
      </c>
      <c r="H162">
        <v>57.2</v>
      </c>
    </row>
    <row r="163" spans="1:8" x14ac:dyDescent="0.3">
      <c r="A163" s="9">
        <v>45246</v>
      </c>
      <c r="B163" t="s">
        <v>45</v>
      </c>
      <c r="C163" t="s">
        <v>33</v>
      </c>
      <c r="D163" t="s">
        <v>24</v>
      </c>
      <c r="E163" t="s">
        <v>30</v>
      </c>
      <c r="F163">
        <v>2970</v>
      </c>
      <c r="G163">
        <v>37</v>
      </c>
      <c r="H163">
        <v>109.89</v>
      </c>
    </row>
    <row r="164" spans="1:8" x14ac:dyDescent="0.3">
      <c r="A164" s="9">
        <v>45246</v>
      </c>
      <c r="B164" t="s">
        <v>45</v>
      </c>
      <c r="C164" t="s">
        <v>26</v>
      </c>
      <c r="D164" t="s">
        <v>10</v>
      </c>
      <c r="E164" t="s">
        <v>23</v>
      </c>
      <c r="F164">
        <v>640</v>
      </c>
      <c r="G164">
        <v>43</v>
      </c>
      <c r="H164">
        <v>27.52</v>
      </c>
    </row>
    <row r="165" spans="1:8" x14ac:dyDescent="0.3">
      <c r="A165" s="9">
        <v>45246</v>
      </c>
      <c r="B165" t="s">
        <v>45</v>
      </c>
      <c r="C165" t="s">
        <v>9</v>
      </c>
      <c r="D165" t="s">
        <v>24</v>
      </c>
      <c r="E165" t="s">
        <v>30</v>
      </c>
      <c r="F165">
        <v>2970</v>
      </c>
      <c r="G165">
        <v>77</v>
      </c>
      <c r="H165">
        <v>228.69</v>
      </c>
    </row>
    <row r="166" spans="1:8" x14ac:dyDescent="0.3">
      <c r="A166" s="9">
        <v>45244</v>
      </c>
      <c r="B166" t="s">
        <v>45</v>
      </c>
      <c r="C166" t="s">
        <v>35</v>
      </c>
      <c r="D166" t="s">
        <v>24</v>
      </c>
      <c r="E166" t="s">
        <v>25</v>
      </c>
      <c r="F166">
        <v>1760</v>
      </c>
      <c r="G166">
        <v>57</v>
      </c>
      <c r="H166">
        <v>100.32</v>
      </c>
    </row>
    <row r="167" spans="1:8" x14ac:dyDescent="0.3">
      <c r="A167" s="9">
        <v>45244</v>
      </c>
      <c r="B167" t="s">
        <v>45</v>
      </c>
      <c r="C167" t="s">
        <v>35</v>
      </c>
      <c r="D167" t="s">
        <v>18</v>
      </c>
      <c r="E167" t="s">
        <v>19</v>
      </c>
      <c r="F167">
        <v>325</v>
      </c>
      <c r="G167">
        <v>50</v>
      </c>
      <c r="H167">
        <v>16.25</v>
      </c>
    </row>
    <row r="168" spans="1:8" x14ac:dyDescent="0.3">
      <c r="A168" s="9">
        <v>45244</v>
      </c>
      <c r="B168" t="s">
        <v>45</v>
      </c>
      <c r="C168" t="s">
        <v>9</v>
      </c>
      <c r="D168" t="s">
        <v>18</v>
      </c>
      <c r="E168" t="s">
        <v>28</v>
      </c>
      <c r="F168">
        <v>690</v>
      </c>
      <c r="G168">
        <v>23</v>
      </c>
      <c r="H168">
        <v>15.87</v>
      </c>
    </row>
    <row r="169" spans="1:8" x14ac:dyDescent="0.3">
      <c r="A169" s="9">
        <v>45243</v>
      </c>
      <c r="B169" t="s">
        <v>45</v>
      </c>
      <c r="C169" t="s">
        <v>15</v>
      </c>
      <c r="D169" t="s">
        <v>24</v>
      </c>
      <c r="E169" t="s">
        <v>36</v>
      </c>
      <c r="F169">
        <v>2460</v>
      </c>
      <c r="G169">
        <v>83</v>
      </c>
      <c r="H169">
        <v>204.18</v>
      </c>
    </row>
    <row r="170" spans="1:8" x14ac:dyDescent="0.3">
      <c r="A170" s="9">
        <v>45243</v>
      </c>
      <c r="B170" t="s">
        <v>45</v>
      </c>
      <c r="C170" t="s">
        <v>26</v>
      </c>
      <c r="D170" t="s">
        <v>18</v>
      </c>
      <c r="E170" t="s">
        <v>19</v>
      </c>
      <c r="F170">
        <v>325</v>
      </c>
      <c r="G170">
        <v>60</v>
      </c>
      <c r="H170">
        <v>19.5</v>
      </c>
    </row>
    <row r="171" spans="1:8" x14ac:dyDescent="0.3">
      <c r="A171" s="9">
        <v>45243</v>
      </c>
      <c r="B171" t="s">
        <v>45</v>
      </c>
      <c r="C171" t="s">
        <v>9</v>
      </c>
      <c r="D171" t="s">
        <v>24</v>
      </c>
      <c r="E171" t="s">
        <v>30</v>
      </c>
      <c r="F171">
        <v>2970</v>
      </c>
      <c r="G171">
        <v>28</v>
      </c>
      <c r="H171">
        <v>83.16</v>
      </c>
    </row>
    <row r="172" spans="1:8" x14ac:dyDescent="0.3">
      <c r="A172" s="9">
        <v>45242</v>
      </c>
      <c r="B172" t="s">
        <v>45</v>
      </c>
      <c r="C172" t="s">
        <v>35</v>
      </c>
      <c r="D172" t="s">
        <v>18</v>
      </c>
      <c r="E172" t="s">
        <v>21</v>
      </c>
      <c r="F172">
        <v>450</v>
      </c>
      <c r="G172">
        <v>17</v>
      </c>
      <c r="H172">
        <v>7.65</v>
      </c>
    </row>
    <row r="173" spans="1:8" x14ac:dyDescent="0.3">
      <c r="A173" s="9">
        <v>44972</v>
      </c>
      <c r="B173" t="s">
        <v>45</v>
      </c>
      <c r="C173" t="s">
        <v>33</v>
      </c>
      <c r="D173" t="s">
        <v>18</v>
      </c>
      <c r="E173" t="s">
        <v>21</v>
      </c>
      <c r="F173">
        <v>450</v>
      </c>
      <c r="G173">
        <v>22</v>
      </c>
      <c r="H173">
        <v>9.9</v>
      </c>
    </row>
    <row r="174" spans="1:8" x14ac:dyDescent="0.3">
      <c r="A174" s="9">
        <v>45242</v>
      </c>
      <c r="B174" t="s">
        <v>45</v>
      </c>
      <c r="C174" t="s">
        <v>35</v>
      </c>
      <c r="D174" t="s">
        <v>10</v>
      </c>
      <c r="E174" t="s">
        <v>23</v>
      </c>
      <c r="F174">
        <v>640</v>
      </c>
      <c r="G174">
        <v>58</v>
      </c>
      <c r="H174">
        <v>37.119999999999997</v>
      </c>
    </row>
    <row r="175" spans="1:8" x14ac:dyDescent="0.3">
      <c r="A175" s="9">
        <v>45242</v>
      </c>
      <c r="B175" t="s">
        <v>45</v>
      </c>
      <c r="C175" t="s">
        <v>35</v>
      </c>
      <c r="D175" t="s">
        <v>10</v>
      </c>
      <c r="E175" t="s">
        <v>39</v>
      </c>
      <c r="F175">
        <v>650</v>
      </c>
      <c r="G175">
        <v>54</v>
      </c>
      <c r="H175">
        <v>35.1</v>
      </c>
    </row>
    <row r="176" spans="1:8" x14ac:dyDescent="0.3">
      <c r="A176" s="9">
        <v>45242</v>
      </c>
      <c r="B176" t="s">
        <v>45</v>
      </c>
      <c r="C176" t="s">
        <v>9</v>
      </c>
      <c r="D176" t="s">
        <v>13</v>
      </c>
      <c r="E176" t="s">
        <v>14</v>
      </c>
      <c r="F176">
        <v>1320</v>
      </c>
      <c r="G176">
        <v>63</v>
      </c>
      <c r="H176">
        <v>83.16</v>
      </c>
    </row>
    <row r="177" spans="1:8" x14ac:dyDescent="0.3">
      <c r="A177" s="9">
        <v>45240</v>
      </c>
      <c r="B177" t="s">
        <v>45</v>
      </c>
      <c r="C177" t="s">
        <v>9</v>
      </c>
      <c r="D177" t="s">
        <v>24</v>
      </c>
      <c r="E177" t="s">
        <v>30</v>
      </c>
      <c r="F177">
        <v>2970</v>
      </c>
      <c r="G177">
        <v>54</v>
      </c>
      <c r="H177">
        <v>160.38</v>
      </c>
    </row>
    <row r="178" spans="1:8" x14ac:dyDescent="0.3">
      <c r="A178" s="9">
        <v>45240</v>
      </c>
      <c r="B178" t="s">
        <v>45</v>
      </c>
      <c r="C178" t="s">
        <v>9</v>
      </c>
      <c r="D178" t="s">
        <v>13</v>
      </c>
      <c r="E178" t="s">
        <v>43</v>
      </c>
      <c r="F178">
        <v>1420</v>
      </c>
      <c r="G178">
        <v>11</v>
      </c>
      <c r="H178">
        <v>15.62</v>
      </c>
    </row>
    <row r="179" spans="1:8" x14ac:dyDescent="0.3">
      <c r="A179" s="9">
        <v>45240</v>
      </c>
      <c r="B179" t="s">
        <v>45</v>
      </c>
      <c r="C179" t="s">
        <v>9</v>
      </c>
      <c r="D179" t="s">
        <v>18</v>
      </c>
      <c r="E179" t="s">
        <v>28</v>
      </c>
      <c r="F179">
        <v>690</v>
      </c>
      <c r="G179">
        <v>57</v>
      </c>
      <c r="H179">
        <v>39.33</v>
      </c>
    </row>
    <row r="180" spans="1:8" x14ac:dyDescent="0.3">
      <c r="A180" s="9">
        <v>45240</v>
      </c>
      <c r="B180" t="s">
        <v>45</v>
      </c>
      <c r="C180" t="s">
        <v>20</v>
      </c>
      <c r="D180" t="s">
        <v>13</v>
      </c>
      <c r="E180" t="s">
        <v>14</v>
      </c>
      <c r="F180">
        <v>1320</v>
      </c>
      <c r="G180">
        <v>7</v>
      </c>
      <c r="H180">
        <v>9.24</v>
      </c>
    </row>
    <row r="181" spans="1:8" x14ac:dyDescent="0.3">
      <c r="A181" s="9">
        <v>45239</v>
      </c>
      <c r="B181" t="s">
        <v>45</v>
      </c>
      <c r="C181" t="s">
        <v>33</v>
      </c>
      <c r="D181" t="s">
        <v>13</v>
      </c>
      <c r="E181" t="s">
        <v>29</v>
      </c>
      <c r="F181">
        <v>1230</v>
      </c>
      <c r="G181">
        <v>60</v>
      </c>
      <c r="H181">
        <v>73.8</v>
      </c>
    </row>
    <row r="182" spans="1:8" x14ac:dyDescent="0.3">
      <c r="A182" s="9">
        <v>45239</v>
      </c>
      <c r="B182" t="s">
        <v>45</v>
      </c>
      <c r="C182" t="s">
        <v>9</v>
      </c>
      <c r="D182" t="s">
        <v>18</v>
      </c>
      <c r="E182" t="s">
        <v>28</v>
      </c>
      <c r="F182">
        <v>690</v>
      </c>
      <c r="G182">
        <v>47</v>
      </c>
      <c r="H182">
        <v>32.43</v>
      </c>
    </row>
    <row r="183" spans="1:8" x14ac:dyDescent="0.3">
      <c r="A183" s="9">
        <v>44973</v>
      </c>
      <c r="B183" t="s">
        <v>45</v>
      </c>
      <c r="C183" t="s">
        <v>20</v>
      </c>
      <c r="D183" t="s">
        <v>10</v>
      </c>
      <c r="E183" t="s">
        <v>23</v>
      </c>
      <c r="F183">
        <v>640</v>
      </c>
      <c r="G183">
        <v>23</v>
      </c>
      <c r="H183">
        <v>14.72</v>
      </c>
    </row>
    <row r="184" spans="1:8" x14ac:dyDescent="0.3">
      <c r="A184" s="9">
        <v>45238</v>
      </c>
      <c r="B184" t="s">
        <v>45</v>
      </c>
      <c r="C184" t="s">
        <v>35</v>
      </c>
      <c r="D184" t="s">
        <v>10</v>
      </c>
      <c r="E184" t="s">
        <v>39</v>
      </c>
      <c r="F184">
        <v>650</v>
      </c>
      <c r="G184">
        <v>99</v>
      </c>
      <c r="H184">
        <v>64.349999999999994</v>
      </c>
    </row>
    <row r="185" spans="1:8" x14ac:dyDescent="0.3">
      <c r="A185" s="9">
        <v>45238</v>
      </c>
      <c r="B185" t="s">
        <v>45</v>
      </c>
      <c r="C185" t="s">
        <v>15</v>
      </c>
      <c r="D185" t="s">
        <v>10</v>
      </c>
      <c r="E185" t="s">
        <v>40</v>
      </c>
      <c r="F185">
        <v>540</v>
      </c>
      <c r="G185">
        <v>51</v>
      </c>
      <c r="H185">
        <v>27.54</v>
      </c>
    </row>
    <row r="186" spans="1:8" x14ac:dyDescent="0.3">
      <c r="A186" s="9">
        <v>45237</v>
      </c>
      <c r="B186" t="s">
        <v>45</v>
      </c>
      <c r="C186" t="s">
        <v>35</v>
      </c>
      <c r="D186" t="s">
        <v>13</v>
      </c>
      <c r="E186" t="s">
        <v>22</v>
      </c>
      <c r="F186">
        <v>930</v>
      </c>
      <c r="G186">
        <v>86</v>
      </c>
      <c r="H186">
        <v>79.98</v>
      </c>
    </row>
    <row r="187" spans="1:8" x14ac:dyDescent="0.3">
      <c r="A187" s="9">
        <v>44973</v>
      </c>
      <c r="B187" t="s">
        <v>45</v>
      </c>
      <c r="C187" t="s">
        <v>9</v>
      </c>
      <c r="D187" t="s">
        <v>18</v>
      </c>
      <c r="E187" t="s">
        <v>21</v>
      </c>
      <c r="F187">
        <v>450</v>
      </c>
      <c r="G187">
        <v>91</v>
      </c>
      <c r="H187">
        <v>40.950000000000003</v>
      </c>
    </row>
    <row r="188" spans="1:8" x14ac:dyDescent="0.3">
      <c r="A188" s="9">
        <v>45237</v>
      </c>
      <c r="B188" t="s">
        <v>45</v>
      </c>
      <c r="C188" t="s">
        <v>35</v>
      </c>
      <c r="D188" t="s">
        <v>13</v>
      </c>
      <c r="E188" t="s">
        <v>38</v>
      </c>
      <c r="F188">
        <v>2400</v>
      </c>
      <c r="G188">
        <v>11</v>
      </c>
      <c r="H188">
        <v>26.4</v>
      </c>
    </row>
    <row r="189" spans="1:8" x14ac:dyDescent="0.3">
      <c r="A189" s="9">
        <v>45237</v>
      </c>
      <c r="B189" t="s">
        <v>45</v>
      </c>
      <c r="C189" t="s">
        <v>15</v>
      </c>
      <c r="D189" t="s">
        <v>24</v>
      </c>
      <c r="E189" t="s">
        <v>36</v>
      </c>
      <c r="F189">
        <v>2460</v>
      </c>
      <c r="G189">
        <v>88</v>
      </c>
      <c r="H189">
        <v>216.48</v>
      </c>
    </row>
    <row r="190" spans="1:8" x14ac:dyDescent="0.3">
      <c r="A190" s="9">
        <v>45237</v>
      </c>
      <c r="B190" t="s">
        <v>45</v>
      </c>
      <c r="C190" t="s">
        <v>15</v>
      </c>
      <c r="D190" t="s">
        <v>18</v>
      </c>
      <c r="E190" t="s">
        <v>37</v>
      </c>
      <c r="F190">
        <v>890</v>
      </c>
      <c r="G190">
        <v>24</v>
      </c>
      <c r="H190">
        <v>21.36</v>
      </c>
    </row>
    <row r="191" spans="1:8" x14ac:dyDescent="0.3">
      <c r="A191" s="9">
        <v>45237</v>
      </c>
      <c r="B191" t="s">
        <v>45</v>
      </c>
      <c r="C191" t="s">
        <v>15</v>
      </c>
      <c r="D191" t="s">
        <v>18</v>
      </c>
      <c r="E191" t="s">
        <v>19</v>
      </c>
      <c r="F191">
        <v>325</v>
      </c>
      <c r="G191">
        <v>93</v>
      </c>
      <c r="H191">
        <v>30.225000000000001</v>
      </c>
    </row>
    <row r="192" spans="1:8" x14ac:dyDescent="0.3">
      <c r="A192" s="9">
        <v>45237</v>
      </c>
      <c r="B192" t="s">
        <v>45</v>
      </c>
      <c r="C192" t="s">
        <v>9</v>
      </c>
      <c r="D192" t="s">
        <v>13</v>
      </c>
      <c r="E192" t="s">
        <v>14</v>
      </c>
      <c r="F192">
        <v>1320</v>
      </c>
      <c r="G192">
        <v>30</v>
      </c>
      <c r="H192">
        <v>39.6</v>
      </c>
    </row>
    <row r="193" spans="1:8" x14ac:dyDescent="0.3">
      <c r="A193" s="9">
        <v>45237</v>
      </c>
      <c r="B193" t="s">
        <v>45</v>
      </c>
      <c r="C193" t="s">
        <v>20</v>
      </c>
      <c r="D193" t="s">
        <v>10</v>
      </c>
      <c r="E193" t="s">
        <v>40</v>
      </c>
      <c r="F193">
        <v>540</v>
      </c>
      <c r="G193">
        <v>62</v>
      </c>
      <c r="H193">
        <v>33.479999999999997</v>
      </c>
    </row>
    <row r="194" spans="1:8" x14ac:dyDescent="0.3">
      <c r="A194" s="9">
        <v>44973</v>
      </c>
      <c r="B194" t="s">
        <v>45</v>
      </c>
      <c r="C194" t="s">
        <v>26</v>
      </c>
      <c r="D194" t="s">
        <v>13</v>
      </c>
      <c r="E194" t="s">
        <v>14</v>
      </c>
      <c r="F194">
        <v>1320</v>
      </c>
      <c r="G194">
        <v>5</v>
      </c>
      <c r="H194">
        <v>6.6</v>
      </c>
    </row>
    <row r="195" spans="1:8" x14ac:dyDescent="0.3">
      <c r="A195" s="9">
        <v>44973</v>
      </c>
      <c r="B195" t="s">
        <v>45</v>
      </c>
      <c r="C195" t="s">
        <v>26</v>
      </c>
      <c r="D195" t="s">
        <v>24</v>
      </c>
      <c r="E195" t="s">
        <v>34</v>
      </c>
      <c r="F195">
        <v>1670</v>
      </c>
      <c r="G195">
        <v>63</v>
      </c>
      <c r="H195">
        <v>105.21</v>
      </c>
    </row>
    <row r="196" spans="1:8" x14ac:dyDescent="0.3">
      <c r="A196" s="9">
        <v>44973</v>
      </c>
      <c r="B196" t="s">
        <v>45</v>
      </c>
      <c r="C196" t="s">
        <v>26</v>
      </c>
      <c r="D196" t="s">
        <v>24</v>
      </c>
      <c r="E196" t="s">
        <v>25</v>
      </c>
      <c r="F196">
        <v>1760</v>
      </c>
      <c r="G196">
        <v>12</v>
      </c>
      <c r="H196">
        <v>21.12</v>
      </c>
    </row>
    <row r="197" spans="1:8" x14ac:dyDescent="0.3">
      <c r="A197" s="9">
        <v>45236</v>
      </c>
      <c r="B197" t="s">
        <v>45</v>
      </c>
      <c r="C197" t="s">
        <v>35</v>
      </c>
      <c r="D197" t="s">
        <v>13</v>
      </c>
      <c r="E197" t="s">
        <v>43</v>
      </c>
      <c r="F197">
        <v>1420</v>
      </c>
      <c r="G197">
        <v>20</v>
      </c>
      <c r="H197">
        <v>28.4</v>
      </c>
    </row>
    <row r="198" spans="1:8" x14ac:dyDescent="0.3">
      <c r="A198" s="9">
        <v>45236</v>
      </c>
      <c r="B198" t="s">
        <v>45</v>
      </c>
      <c r="C198" t="s">
        <v>35</v>
      </c>
      <c r="D198" t="s">
        <v>18</v>
      </c>
      <c r="E198" t="s">
        <v>27</v>
      </c>
      <c r="F198">
        <v>460</v>
      </c>
      <c r="G198">
        <v>62</v>
      </c>
      <c r="H198">
        <v>28.52</v>
      </c>
    </row>
    <row r="199" spans="1:8" x14ac:dyDescent="0.3">
      <c r="A199" s="9">
        <v>44973</v>
      </c>
      <c r="B199" t="s">
        <v>45</v>
      </c>
      <c r="C199" t="s">
        <v>15</v>
      </c>
      <c r="D199" t="s">
        <v>13</v>
      </c>
      <c r="E199" t="s">
        <v>29</v>
      </c>
      <c r="F199">
        <v>1230</v>
      </c>
      <c r="G199">
        <v>34</v>
      </c>
      <c r="H199">
        <v>41.82</v>
      </c>
    </row>
    <row r="200" spans="1:8" x14ac:dyDescent="0.3">
      <c r="A200" s="9">
        <v>45236</v>
      </c>
      <c r="B200" t="s">
        <v>45</v>
      </c>
      <c r="C200" t="s">
        <v>15</v>
      </c>
      <c r="D200" t="s">
        <v>13</v>
      </c>
      <c r="E200" t="s">
        <v>22</v>
      </c>
      <c r="F200">
        <v>930</v>
      </c>
      <c r="G200">
        <v>57</v>
      </c>
      <c r="H200">
        <v>53.01</v>
      </c>
    </row>
    <row r="201" spans="1:8" x14ac:dyDescent="0.3">
      <c r="A201" s="9">
        <v>45236</v>
      </c>
      <c r="B201" t="s">
        <v>45</v>
      </c>
      <c r="C201" t="s">
        <v>15</v>
      </c>
      <c r="D201" t="s">
        <v>18</v>
      </c>
      <c r="E201" t="s">
        <v>37</v>
      </c>
      <c r="F201">
        <v>890</v>
      </c>
      <c r="G201">
        <v>51</v>
      </c>
      <c r="H201">
        <v>45.39</v>
      </c>
    </row>
    <row r="202" spans="1:8" x14ac:dyDescent="0.3">
      <c r="A202" s="9">
        <v>45236</v>
      </c>
      <c r="B202" t="s">
        <v>45</v>
      </c>
      <c r="C202" t="s">
        <v>20</v>
      </c>
      <c r="D202" t="s">
        <v>13</v>
      </c>
      <c r="E202" t="s">
        <v>38</v>
      </c>
      <c r="F202">
        <v>2400</v>
      </c>
      <c r="G202">
        <v>6</v>
      </c>
      <c r="H202">
        <v>14.4</v>
      </c>
    </row>
    <row r="203" spans="1:8" x14ac:dyDescent="0.3">
      <c r="A203" s="9">
        <v>45235</v>
      </c>
      <c r="B203" t="s">
        <v>45</v>
      </c>
      <c r="C203" t="s">
        <v>9</v>
      </c>
      <c r="D203" t="s">
        <v>18</v>
      </c>
      <c r="E203" t="s">
        <v>19</v>
      </c>
      <c r="F203">
        <v>325</v>
      </c>
      <c r="G203">
        <v>40</v>
      </c>
      <c r="H203">
        <v>13</v>
      </c>
    </row>
    <row r="204" spans="1:8" x14ac:dyDescent="0.3">
      <c r="A204" s="9">
        <v>45234</v>
      </c>
      <c r="B204" t="s">
        <v>45</v>
      </c>
      <c r="C204" t="s">
        <v>35</v>
      </c>
      <c r="D204" t="s">
        <v>24</v>
      </c>
      <c r="E204" t="s">
        <v>36</v>
      </c>
      <c r="F204">
        <v>2460</v>
      </c>
      <c r="G204">
        <v>32</v>
      </c>
      <c r="H204">
        <v>78.72</v>
      </c>
    </row>
    <row r="205" spans="1:8" x14ac:dyDescent="0.3">
      <c r="A205" s="9">
        <v>45234</v>
      </c>
      <c r="B205" t="s">
        <v>45</v>
      </c>
      <c r="C205" t="s">
        <v>15</v>
      </c>
      <c r="D205" t="s">
        <v>10</v>
      </c>
      <c r="E205" t="s">
        <v>40</v>
      </c>
      <c r="F205">
        <v>540</v>
      </c>
      <c r="G205">
        <v>8</v>
      </c>
      <c r="H205">
        <v>4.32</v>
      </c>
    </row>
    <row r="206" spans="1:8" x14ac:dyDescent="0.3">
      <c r="A206" s="9">
        <v>44973</v>
      </c>
      <c r="B206" t="s">
        <v>45</v>
      </c>
      <c r="C206" t="s">
        <v>35</v>
      </c>
      <c r="D206" t="s">
        <v>13</v>
      </c>
      <c r="E206" t="s">
        <v>38</v>
      </c>
      <c r="F206">
        <v>2400</v>
      </c>
      <c r="G206">
        <v>16</v>
      </c>
      <c r="H206">
        <v>38.4</v>
      </c>
    </row>
    <row r="207" spans="1:8" x14ac:dyDescent="0.3">
      <c r="A207" s="9">
        <v>45234</v>
      </c>
      <c r="B207" t="s">
        <v>45</v>
      </c>
      <c r="C207" t="s">
        <v>26</v>
      </c>
      <c r="D207" t="s">
        <v>13</v>
      </c>
      <c r="E207" t="s">
        <v>22</v>
      </c>
      <c r="F207">
        <v>930</v>
      </c>
      <c r="G207">
        <v>89</v>
      </c>
      <c r="H207">
        <v>82.77</v>
      </c>
    </row>
    <row r="208" spans="1:8" x14ac:dyDescent="0.3">
      <c r="A208" s="9">
        <v>45234</v>
      </c>
      <c r="B208" t="s">
        <v>45</v>
      </c>
      <c r="C208" t="s">
        <v>20</v>
      </c>
      <c r="D208" t="s">
        <v>10</v>
      </c>
      <c r="E208" t="s">
        <v>40</v>
      </c>
      <c r="F208">
        <v>540</v>
      </c>
      <c r="G208">
        <v>85</v>
      </c>
      <c r="H208">
        <v>45.9</v>
      </c>
    </row>
    <row r="209" spans="1:8" x14ac:dyDescent="0.3">
      <c r="A209" s="9">
        <v>44973</v>
      </c>
      <c r="B209" t="s">
        <v>45</v>
      </c>
      <c r="C209" t="s">
        <v>35</v>
      </c>
      <c r="D209" t="s">
        <v>24</v>
      </c>
      <c r="E209" t="s">
        <v>30</v>
      </c>
      <c r="F209">
        <v>2970</v>
      </c>
      <c r="G209">
        <v>81</v>
      </c>
      <c r="H209">
        <v>240.57</v>
      </c>
    </row>
    <row r="210" spans="1:8" x14ac:dyDescent="0.3">
      <c r="A210" s="9">
        <v>44973</v>
      </c>
      <c r="B210" t="s">
        <v>45</v>
      </c>
      <c r="C210" t="s">
        <v>26</v>
      </c>
      <c r="D210" t="s">
        <v>18</v>
      </c>
      <c r="E210" t="s">
        <v>28</v>
      </c>
      <c r="F210">
        <v>690</v>
      </c>
      <c r="G210">
        <v>78</v>
      </c>
      <c r="H210">
        <v>53.82</v>
      </c>
    </row>
    <row r="211" spans="1:8" x14ac:dyDescent="0.3">
      <c r="A211" s="9">
        <v>45233</v>
      </c>
      <c r="B211" t="s">
        <v>45</v>
      </c>
      <c r="C211" t="s">
        <v>35</v>
      </c>
      <c r="D211" t="s">
        <v>13</v>
      </c>
      <c r="E211" t="s">
        <v>29</v>
      </c>
      <c r="F211">
        <v>1230</v>
      </c>
      <c r="G211">
        <v>46</v>
      </c>
      <c r="H211">
        <v>56.58</v>
      </c>
    </row>
    <row r="212" spans="1:8" x14ac:dyDescent="0.3">
      <c r="A212" s="9">
        <v>45233</v>
      </c>
      <c r="B212" t="s">
        <v>45</v>
      </c>
      <c r="C212" t="s">
        <v>26</v>
      </c>
      <c r="D212" t="s">
        <v>13</v>
      </c>
      <c r="E212" t="s">
        <v>44</v>
      </c>
      <c r="F212">
        <v>2540</v>
      </c>
      <c r="G212">
        <v>44</v>
      </c>
      <c r="H212">
        <v>111.76</v>
      </c>
    </row>
    <row r="213" spans="1:8" x14ac:dyDescent="0.3">
      <c r="A213" s="9">
        <v>45233</v>
      </c>
      <c r="B213" t="s">
        <v>45</v>
      </c>
      <c r="C213" t="s">
        <v>26</v>
      </c>
      <c r="D213" t="s">
        <v>18</v>
      </c>
      <c r="E213" t="s">
        <v>27</v>
      </c>
      <c r="F213">
        <v>460</v>
      </c>
      <c r="G213">
        <v>80</v>
      </c>
      <c r="H213">
        <v>36.799999999999997</v>
      </c>
    </row>
    <row r="214" spans="1:8" x14ac:dyDescent="0.3">
      <c r="A214" s="9">
        <v>45233</v>
      </c>
      <c r="B214" t="s">
        <v>45</v>
      </c>
      <c r="C214" t="s">
        <v>9</v>
      </c>
      <c r="D214" t="s">
        <v>24</v>
      </c>
      <c r="E214" t="s">
        <v>30</v>
      </c>
      <c r="F214">
        <v>2970</v>
      </c>
      <c r="G214">
        <v>53</v>
      </c>
      <c r="H214">
        <v>157.41</v>
      </c>
    </row>
    <row r="215" spans="1:8" x14ac:dyDescent="0.3">
      <c r="A215" s="9">
        <v>44974</v>
      </c>
      <c r="B215" t="s">
        <v>45</v>
      </c>
      <c r="C215" t="s">
        <v>26</v>
      </c>
      <c r="D215" t="s">
        <v>10</v>
      </c>
      <c r="E215" t="s">
        <v>40</v>
      </c>
      <c r="F215">
        <v>540</v>
      </c>
      <c r="G215">
        <v>32</v>
      </c>
      <c r="H215">
        <v>17.28</v>
      </c>
    </row>
    <row r="216" spans="1:8" x14ac:dyDescent="0.3">
      <c r="A216" s="9">
        <v>45233</v>
      </c>
      <c r="B216" t="s">
        <v>45</v>
      </c>
      <c r="C216" t="s">
        <v>9</v>
      </c>
      <c r="D216" t="s">
        <v>18</v>
      </c>
      <c r="E216" t="s">
        <v>27</v>
      </c>
      <c r="F216">
        <v>460</v>
      </c>
      <c r="G216">
        <v>87</v>
      </c>
      <c r="H216">
        <v>40.020000000000003</v>
      </c>
    </row>
    <row r="217" spans="1:8" x14ac:dyDescent="0.3">
      <c r="A217" s="9">
        <v>45232</v>
      </c>
      <c r="B217" t="s">
        <v>45</v>
      </c>
      <c r="C217" t="s">
        <v>33</v>
      </c>
      <c r="D217" t="s">
        <v>18</v>
      </c>
      <c r="E217" t="s">
        <v>31</v>
      </c>
      <c r="F217">
        <v>715</v>
      </c>
      <c r="G217">
        <v>63</v>
      </c>
      <c r="H217">
        <v>45.045000000000002</v>
      </c>
    </row>
    <row r="218" spans="1:8" x14ac:dyDescent="0.3">
      <c r="A218" s="9">
        <v>45232</v>
      </c>
      <c r="B218" t="s">
        <v>45</v>
      </c>
      <c r="C218" t="s">
        <v>9</v>
      </c>
      <c r="D218" t="s">
        <v>10</v>
      </c>
      <c r="E218" t="s">
        <v>11</v>
      </c>
      <c r="F218">
        <v>705</v>
      </c>
      <c r="G218">
        <v>17</v>
      </c>
      <c r="H218">
        <v>11.984999999999999</v>
      </c>
    </row>
    <row r="219" spans="1:8" x14ac:dyDescent="0.3">
      <c r="A219" s="9">
        <v>44974</v>
      </c>
      <c r="B219" t="s">
        <v>45</v>
      </c>
      <c r="C219" t="s">
        <v>15</v>
      </c>
      <c r="D219" t="s">
        <v>13</v>
      </c>
      <c r="E219" t="s">
        <v>22</v>
      </c>
      <c r="F219">
        <v>930</v>
      </c>
      <c r="G219">
        <v>36</v>
      </c>
      <c r="H219">
        <v>33.479999999999997</v>
      </c>
    </row>
    <row r="220" spans="1:8" x14ac:dyDescent="0.3">
      <c r="A220" s="9">
        <v>45231</v>
      </c>
      <c r="B220" t="s">
        <v>45</v>
      </c>
      <c r="C220" t="s">
        <v>15</v>
      </c>
      <c r="D220" t="s">
        <v>18</v>
      </c>
      <c r="E220" t="s">
        <v>31</v>
      </c>
      <c r="F220">
        <v>715</v>
      </c>
      <c r="G220">
        <v>100</v>
      </c>
      <c r="H220">
        <v>71.5</v>
      </c>
    </row>
    <row r="221" spans="1:8" x14ac:dyDescent="0.3">
      <c r="A221" s="9">
        <v>45230</v>
      </c>
      <c r="B221" t="s">
        <v>45</v>
      </c>
      <c r="C221" t="s">
        <v>26</v>
      </c>
      <c r="D221" t="s">
        <v>24</v>
      </c>
      <c r="E221" t="s">
        <v>42</v>
      </c>
      <c r="F221">
        <v>3205</v>
      </c>
      <c r="G221">
        <v>22</v>
      </c>
      <c r="H221">
        <v>70.510000000000005</v>
      </c>
    </row>
    <row r="222" spans="1:8" x14ac:dyDescent="0.3">
      <c r="A222" s="9">
        <v>45230</v>
      </c>
      <c r="B222" t="s">
        <v>45</v>
      </c>
      <c r="C222" t="s">
        <v>26</v>
      </c>
      <c r="D222" t="s">
        <v>13</v>
      </c>
      <c r="E222" t="s">
        <v>43</v>
      </c>
      <c r="F222">
        <v>1420</v>
      </c>
      <c r="G222">
        <v>100</v>
      </c>
      <c r="H222">
        <v>142</v>
      </c>
    </row>
    <row r="223" spans="1:8" x14ac:dyDescent="0.3">
      <c r="A223" s="9">
        <v>45230</v>
      </c>
      <c r="B223" t="s">
        <v>45</v>
      </c>
      <c r="C223" t="s">
        <v>26</v>
      </c>
      <c r="D223" t="s">
        <v>13</v>
      </c>
      <c r="E223" t="s">
        <v>43</v>
      </c>
      <c r="F223">
        <v>1420</v>
      </c>
      <c r="G223">
        <v>50</v>
      </c>
      <c r="H223">
        <v>71</v>
      </c>
    </row>
    <row r="224" spans="1:8" x14ac:dyDescent="0.3">
      <c r="A224" s="9">
        <v>45229</v>
      </c>
      <c r="B224" t="s">
        <v>45</v>
      </c>
      <c r="C224" t="s">
        <v>15</v>
      </c>
      <c r="D224" t="s">
        <v>18</v>
      </c>
      <c r="E224" t="s">
        <v>37</v>
      </c>
      <c r="F224">
        <v>890</v>
      </c>
      <c r="G224">
        <v>70</v>
      </c>
      <c r="H224">
        <v>62.3</v>
      </c>
    </row>
    <row r="225" spans="1:8" x14ac:dyDescent="0.3">
      <c r="A225" s="9">
        <v>45229</v>
      </c>
      <c r="B225" t="s">
        <v>45</v>
      </c>
      <c r="C225" t="s">
        <v>26</v>
      </c>
      <c r="D225" t="s">
        <v>13</v>
      </c>
      <c r="E225" t="s">
        <v>38</v>
      </c>
      <c r="F225">
        <v>2400</v>
      </c>
      <c r="G225">
        <v>60</v>
      </c>
      <c r="H225">
        <v>144</v>
      </c>
    </row>
    <row r="226" spans="1:8" x14ac:dyDescent="0.3">
      <c r="A226" s="9">
        <v>45228</v>
      </c>
      <c r="B226" t="s">
        <v>45</v>
      </c>
      <c r="C226" t="s">
        <v>15</v>
      </c>
      <c r="D226" t="s">
        <v>13</v>
      </c>
      <c r="E226" t="s">
        <v>29</v>
      </c>
      <c r="F226">
        <v>1230</v>
      </c>
      <c r="G226">
        <v>90</v>
      </c>
      <c r="H226">
        <v>110.7</v>
      </c>
    </row>
    <row r="227" spans="1:8" x14ac:dyDescent="0.3">
      <c r="A227" s="9">
        <v>45228</v>
      </c>
      <c r="B227" t="s">
        <v>45</v>
      </c>
      <c r="C227" t="s">
        <v>20</v>
      </c>
      <c r="D227" t="s">
        <v>24</v>
      </c>
      <c r="E227" t="s">
        <v>42</v>
      </c>
      <c r="F227">
        <v>3205</v>
      </c>
      <c r="G227">
        <v>51</v>
      </c>
      <c r="H227">
        <v>163.45500000000001</v>
      </c>
    </row>
    <row r="228" spans="1:8" x14ac:dyDescent="0.3">
      <c r="A228" s="9">
        <v>44975</v>
      </c>
      <c r="B228" t="s">
        <v>45</v>
      </c>
      <c r="C228" t="s">
        <v>20</v>
      </c>
      <c r="D228" t="s">
        <v>10</v>
      </c>
      <c r="E228" t="s">
        <v>16</v>
      </c>
      <c r="F228">
        <v>1380</v>
      </c>
      <c r="G228">
        <v>29</v>
      </c>
      <c r="H228">
        <v>40.020000000000003</v>
      </c>
    </row>
    <row r="229" spans="1:8" x14ac:dyDescent="0.3">
      <c r="A229" s="9">
        <v>45227</v>
      </c>
      <c r="B229" t="s">
        <v>45</v>
      </c>
      <c r="C229" t="s">
        <v>9</v>
      </c>
      <c r="D229" t="s">
        <v>18</v>
      </c>
      <c r="E229" t="s">
        <v>31</v>
      </c>
      <c r="F229">
        <v>715</v>
      </c>
      <c r="G229">
        <v>25</v>
      </c>
      <c r="H229">
        <v>17.875</v>
      </c>
    </row>
    <row r="230" spans="1:8" x14ac:dyDescent="0.3">
      <c r="A230" s="9">
        <v>45226</v>
      </c>
      <c r="B230" t="s">
        <v>45</v>
      </c>
      <c r="C230" t="s">
        <v>35</v>
      </c>
      <c r="D230" t="s">
        <v>18</v>
      </c>
      <c r="E230" t="s">
        <v>27</v>
      </c>
      <c r="F230">
        <v>460</v>
      </c>
      <c r="G230">
        <v>74</v>
      </c>
      <c r="H230">
        <v>34.04</v>
      </c>
    </row>
    <row r="231" spans="1:8" x14ac:dyDescent="0.3">
      <c r="A231" s="9">
        <v>45226</v>
      </c>
      <c r="B231" t="s">
        <v>45</v>
      </c>
      <c r="C231" t="s">
        <v>33</v>
      </c>
      <c r="D231" t="s">
        <v>13</v>
      </c>
      <c r="E231" t="s">
        <v>29</v>
      </c>
      <c r="F231">
        <v>1230</v>
      </c>
      <c r="G231">
        <v>51</v>
      </c>
      <c r="H231">
        <v>62.73</v>
      </c>
    </row>
    <row r="232" spans="1:8" x14ac:dyDescent="0.3">
      <c r="A232" s="9">
        <v>45226</v>
      </c>
      <c r="B232" t="s">
        <v>45</v>
      </c>
      <c r="C232" t="s">
        <v>15</v>
      </c>
      <c r="D232" t="s">
        <v>10</v>
      </c>
      <c r="E232" t="s">
        <v>16</v>
      </c>
      <c r="F232">
        <v>1380</v>
      </c>
      <c r="G232">
        <v>98</v>
      </c>
      <c r="H232">
        <v>135.24</v>
      </c>
    </row>
    <row r="233" spans="1:8" x14ac:dyDescent="0.3">
      <c r="A233" s="9">
        <v>45226</v>
      </c>
      <c r="B233" t="s">
        <v>45</v>
      </c>
      <c r="C233" t="s">
        <v>9</v>
      </c>
      <c r="D233" t="s">
        <v>10</v>
      </c>
      <c r="E233" t="s">
        <v>23</v>
      </c>
      <c r="F233">
        <v>640</v>
      </c>
      <c r="G233">
        <v>5</v>
      </c>
      <c r="H233">
        <v>3.2</v>
      </c>
    </row>
    <row r="234" spans="1:8" x14ac:dyDescent="0.3">
      <c r="A234" s="9">
        <v>44975</v>
      </c>
      <c r="B234" t="s">
        <v>45</v>
      </c>
      <c r="C234" t="s">
        <v>26</v>
      </c>
      <c r="D234" t="s">
        <v>10</v>
      </c>
      <c r="E234" t="s">
        <v>39</v>
      </c>
      <c r="F234">
        <v>650</v>
      </c>
      <c r="G234">
        <v>29</v>
      </c>
      <c r="H234">
        <v>18.850000000000001</v>
      </c>
    </row>
    <row r="235" spans="1:8" x14ac:dyDescent="0.3">
      <c r="A235" s="9">
        <v>45225</v>
      </c>
      <c r="B235" t="s">
        <v>45</v>
      </c>
      <c r="C235" t="s">
        <v>26</v>
      </c>
      <c r="D235" t="s">
        <v>24</v>
      </c>
      <c r="E235" t="s">
        <v>25</v>
      </c>
      <c r="F235">
        <v>1760</v>
      </c>
      <c r="G235">
        <v>89</v>
      </c>
      <c r="H235">
        <v>156.63999999999999</v>
      </c>
    </row>
    <row r="236" spans="1:8" x14ac:dyDescent="0.3">
      <c r="A236" s="9">
        <v>44975</v>
      </c>
      <c r="B236" t="s">
        <v>45</v>
      </c>
      <c r="C236" t="s">
        <v>26</v>
      </c>
      <c r="D236" t="s">
        <v>10</v>
      </c>
      <c r="E236" t="s">
        <v>39</v>
      </c>
      <c r="F236">
        <v>650</v>
      </c>
      <c r="G236">
        <v>99</v>
      </c>
      <c r="H236">
        <v>64.349999999999994</v>
      </c>
    </row>
    <row r="237" spans="1:8" x14ac:dyDescent="0.3">
      <c r="A237" s="9">
        <v>44975</v>
      </c>
      <c r="B237" t="s">
        <v>45</v>
      </c>
      <c r="C237" t="s">
        <v>26</v>
      </c>
      <c r="D237" t="s">
        <v>10</v>
      </c>
      <c r="E237" t="s">
        <v>23</v>
      </c>
      <c r="F237">
        <v>640</v>
      </c>
      <c r="G237">
        <v>79</v>
      </c>
      <c r="H237">
        <v>50.56</v>
      </c>
    </row>
    <row r="238" spans="1:8" x14ac:dyDescent="0.3">
      <c r="A238" s="9">
        <v>45225</v>
      </c>
      <c r="B238" t="s">
        <v>45</v>
      </c>
      <c r="C238" t="s">
        <v>26</v>
      </c>
      <c r="D238" t="s">
        <v>13</v>
      </c>
      <c r="E238" t="s">
        <v>44</v>
      </c>
      <c r="F238">
        <v>2540</v>
      </c>
      <c r="G238">
        <v>53</v>
      </c>
      <c r="H238">
        <v>134.62</v>
      </c>
    </row>
    <row r="239" spans="1:8" x14ac:dyDescent="0.3">
      <c r="A239" s="9">
        <v>45224</v>
      </c>
      <c r="B239" t="s">
        <v>45</v>
      </c>
      <c r="C239" t="s">
        <v>35</v>
      </c>
      <c r="D239" t="s">
        <v>13</v>
      </c>
      <c r="E239" t="s">
        <v>22</v>
      </c>
      <c r="F239">
        <v>930</v>
      </c>
      <c r="G239">
        <v>89</v>
      </c>
      <c r="H239">
        <v>82.77</v>
      </c>
    </row>
    <row r="240" spans="1:8" x14ac:dyDescent="0.3">
      <c r="A240" s="9">
        <v>45223</v>
      </c>
      <c r="B240" t="s">
        <v>45</v>
      </c>
      <c r="C240" t="s">
        <v>35</v>
      </c>
      <c r="D240" t="s">
        <v>10</v>
      </c>
      <c r="E240" t="s">
        <v>39</v>
      </c>
      <c r="F240">
        <v>650</v>
      </c>
      <c r="G240">
        <v>33</v>
      </c>
      <c r="H240">
        <v>21.45</v>
      </c>
    </row>
    <row r="241" spans="1:8" x14ac:dyDescent="0.3">
      <c r="A241" s="9">
        <v>44975</v>
      </c>
      <c r="B241" t="s">
        <v>45</v>
      </c>
      <c r="C241" t="s">
        <v>15</v>
      </c>
      <c r="D241" t="s">
        <v>10</v>
      </c>
      <c r="E241" t="s">
        <v>39</v>
      </c>
      <c r="F241">
        <v>650</v>
      </c>
      <c r="G241">
        <v>90</v>
      </c>
      <c r="H241">
        <v>58.5</v>
      </c>
    </row>
    <row r="242" spans="1:8" x14ac:dyDescent="0.3">
      <c r="A242" s="9">
        <v>45223</v>
      </c>
      <c r="B242" t="s">
        <v>45</v>
      </c>
      <c r="C242" t="s">
        <v>33</v>
      </c>
      <c r="D242" t="s">
        <v>24</v>
      </c>
      <c r="E242" t="s">
        <v>25</v>
      </c>
      <c r="F242">
        <v>1760</v>
      </c>
      <c r="G242">
        <v>100</v>
      </c>
      <c r="H242">
        <v>176</v>
      </c>
    </row>
    <row r="243" spans="1:8" x14ac:dyDescent="0.3">
      <c r="A243" s="9">
        <v>44975</v>
      </c>
      <c r="B243" t="s">
        <v>45</v>
      </c>
      <c r="C243" t="s">
        <v>15</v>
      </c>
      <c r="D243" t="s">
        <v>18</v>
      </c>
      <c r="E243" t="s">
        <v>28</v>
      </c>
      <c r="F243">
        <v>690</v>
      </c>
      <c r="G243">
        <v>51</v>
      </c>
      <c r="H243">
        <v>35.19</v>
      </c>
    </row>
    <row r="244" spans="1:8" x14ac:dyDescent="0.3">
      <c r="A244" s="9">
        <v>45223</v>
      </c>
      <c r="B244" t="s">
        <v>45</v>
      </c>
      <c r="C244" t="s">
        <v>9</v>
      </c>
      <c r="D244" t="s">
        <v>24</v>
      </c>
      <c r="E244" t="s">
        <v>42</v>
      </c>
      <c r="F244">
        <v>3205</v>
      </c>
      <c r="G244">
        <v>12</v>
      </c>
      <c r="H244">
        <v>38.46</v>
      </c>
    </row>
    <row r="245" spans="1:8" x14ac:dyDescent="0.3">
      <c r="A245" s="9">
        <v>45223</v>
      </c>
      <c r="B245" t="s">
        <v>45</v>
      </c>
      <c r="C245" t="s">
        <v>20</v>
      </c>
      <c r="D245" t="s">
        <v>13</v>
      </c>
      <c r="E245" t="s">
        <v>43</v>
      </c>
      <c r="F245">
        <v>1420</v>
      </c>
      <c r="G245">
        <v>25</v>
      </c>
      <c r="H245">
        <v>35.5</v>
      </c>
    </row>
    <row r="246" spans="1:8" x14ac:dyDescent="0.3">
      <c r="A246" s="9">
        <v>45222</v>
      </c>
      <c r="B246" t="s">
        <v>45</v>
      </c>
      <c r="C246" t="s">
        <v>15</v>
      </c>
      <c r="D246" t="s">
        <v>10</v>
      </c>
      <c r="E246" t="s">
        <v>16</v>
      </c>
      <c r="F246">
        <v>1380</v>
      </c>
      <c r="G246">
        <v>97</v>
      </c>
      <c r="H246">
        <v>133.86000000000001</v>
      </c>
    </row>
    <row r="247" spans="1:8" x14ac:dyDescent="0.3">
      <c r="A247" s="9">
        <v>45221</v>
      </c>
      <c r="B247" t="s">
        <v>45</v>
      </c>
      <c r="C247" t="s">
        <v>35</v>
      </c>
      <c r="D247" t="s">
        <v>10</v>
      </c>
      <c r="E247" t="s">
        <v>23</v>
      </c>
      <c r="F247">
        <v>640</v>
      </c>
      <c r="G247">
        <v>70</v>
      </c>
      <c r="H247">
        <v>44.8</v>
      </c>
    </row>
    <row r="248" spans="1:8" x14ac:dyDescent="0.3">
      <c r="A248" s="9">
        <v>44975</v>
      </c>
      <c r="B248" t="s">
        <v>45</v>
      </c>
      <c r="C248" t="s">
        <v>35</v>
      </c>
      <c r="D248" t="s">
        <v>10</v>
      </c>
      <c r="E248" t="s">
        <v>16</v>
      </c>
      <c r="F248">
        <v>1380</v>
      </c>
      <c r="G248">
        <v>34</v>
      </c>
      <c r="H248">
        <v>46.92</v>
      </c>
    </row>
    <row r="249" spans="1:8" x14ac:dyDescent="0.3">
      <c r="A249" s="9">
        <v>45220</v>
      </c>
      <c r="B249" t="s">
        <v>45</v>
      </c>
      <c r="C249" t="s">
        <v>26</v>
      </c>
      <c r="D249" t="s">
        <v>10</v>
      </c>
      <c r="E249" t="s">
        <v>23</v>
      </c>
      <c r="F249">
        <v>640</v>
      </c>
      <c r="G249">
        <v>98</v>
      </c>
      <c r="H249">
        <v>62.72</v>
      </c>
    </row>
    <row r="250" spans="1:8" x14ac:dyDescent="0.3">
      <c r="A250" s="9">
        <v>45220</v>
      </c>
      <c r="B250" t="s">
        <v>45</v>
      </c>
      <c r="C250" t="s">
        <v>9</v>
      </c>
      <c r="D250" t="s">
        <v>24</v>
      </c>
      <c r="E250" t="s">
        <v>36</v>
      </c>
      <c r="F250">
        <v>2460</v>
      </c>
      <c r="G250">
        <v>80</v>
      </c>
      <c r="H250">
        <v>196.8</v>
      </c>
    </row>
    <row r="251" spans="1:8" x14ac:dyDescent="0.3">
      <c r="A251" s="9">
        <v>45219</v>
      </c>
      <c r="B251" t="s">
        <v>45</v>
      </c>
      <c r="C251" t="s">
        <v>15</v>
      </c>
      <c r="D251" t="s">
        <v>18</v>
      </c>
      <c r="E251" t="s">
        <v>21</v>
      </c>
      <c r="F251">
        <v>450</v>
      </c>
      <c r="G251">
        <v>76</v>
      </c>
      <c r="H251">
        <v>34.200000000000003</v>
      </c>
    </row>
    <row r="252" spans="1:8" x14ac:dyDescent="0.3">
      <c r="A252" s="9">
        <v>44975</v>
      </c>
      <c r="B252" t="s">
        <v>45</v>
      </c>
      <c r="C252" t="s">
        <v>35</v>
      </c>
      <c r="D252" t="s">
        <v>13</v>
      </c>
      <c r="E252" t="s">
        <v>29</v>
      </c>
      <c r="F252">
        <v>1230</v>
      </c>
      <c r="G252">
        <v>33</v>
      </c>
      <c r="H252">
        <v>40.590000000000003</v>
      </c>
    </row>
    <row r="253" spans="1:8" x14ac:dyDescent="0.3">
      <c r="A253" s="9">
        <v>45219</v>
      </c>
      <c r="B253" t="s">
        <v>45</v>
      </c>
      <c r="C253" t="s">
        <v>26</v>
      </c>
      <c r="D253" t="s">
        <v>18</v>
      </c>
      <c r="E253" t="s">
        <v>28</v>
      </c>
      <c r="F253">
        <v>690</v>
      </c>
      <c r="G253">
        <v>96</v>
      </c>
      <c r="H253">
        <v>66.239999999999995</v>
      </c>
    </row>
    <row r="254" spans="1:8" x14ac:dyDescent="0.3">
      <c r="A254" s="9">
        <v>45219</v>
      </c>
      <c r="B254" t="s">
        <v>45</v>
      </c>
      <c r="C254" t="s">
        <v>20</v>
      </c>
      <c r="D254" t="s">
        <v>18</v>
      </c>
      <c r="E254" t="s">
        <v>31</v>
      </c>
      <c r="F254">
        <v>715</v>
      </c>
      <c r="G254">
        <v>25</v>
      </c>
      <c r="H254">
        <v>17.875</v>
      </c>
    </row>
    <row r="255" spans="1:8" x14ac:dyDescent="0.3">
      <c r="A255" s="9">
        <v>45218</v>
      </c>
      <c r="B255" t="s">
        <v>45</v>
      </c>
      <c r="C255" t="s">
        <v>15</v>
      </c>
      <c r="D255" t="s">
        <v>24</v>
      </c>
      <c r="E255" t="s">
        <v>30</v>
      </c>
      <c r="F255">
        <v>2970</v>
      </c>
      <c r="G255">
        <v>23</v>
      </c>
      <c r="H255">
        <v>68.31</v>
      </c>
    </row>
    <row r="256" spans="1:8" x14ac:dyDescent="0.3">
      <c r="A256" s="9">
        <v>45218</v>
      </c>
      <c r="B256" t="s">
        <v>45</v>
      </c>
      <c r="C256" t="s">
        <v>9</v>
      </c>
      <c r="D256" t="s">
        <v>24</v>
      </c>
      <c r="E256" t="s">
        <v>32</v>
      </c>
      <c r="F256">
        <v>1505</v>
      </c>
      <c r="G256">
        <v>41</v>
      </c>
      <c r="H256">
        <v>61.704999999999998</v>
      </c>
    </row>
    <row r="257" spans="1:8" x14ac:dyDescent="0.3">
      <c r="A257" s="9">
        <v>45218</v>
      </c>
      <c r="B257" t="s">
        <v>45</v>
      </c>
      <c r="C257" t="s">
        <v>9</v>
      </c>
      <c r="D257" t="s">
        <v>10</v>
      </c>
      <c r="E257" t="s">
        <v>16</v>
      </c>
      <c r="F257">
        <v>1380</v>
      </c>
      <c r="G257">
        <v>13</v>
      </c>
      <c r="H257">
        <v>17.940000000000001</v>
      </c>
    </row>
    <row r="258" spans="1:8" x14ac:dyDescent="0.3">
      <c r="A258" s="9">
        <v>45217</v>
      </c>
      <c r="B258" t="s">
        <v>45</v>
      </c>
      <c r="C258" t="s">
        <v>26</v>
      </c>
      <c r="D258" t="s">
        <v>24</v>
      </c>
      <c r="E258" t="s">
        <v>30</v>
      </c>
      <c r="F258">
        <v>2970</v>
      </c>
      <c r="G258">
        <v>62</v>
      </c>
      <c r="H258">
        <v>184.14</v>
      </c>
    </row>
    <row r="259" spans="1:8" x14ac:dyDescent="0.3">
      <c r="A259" s="9">
        <v>45217</v>
      </c>
      <c r="B259" t="s">
        <v>45</v>
      </c>
      <c r="C259" t="s">
        <v>20</v>
      </c>
      <c r="D259" t="s">
        <v>24</v>
      </c>
      <c r="E259" t="s">
        <v>42</v>
      </c>
      <c r="F259">
        <v>3205</v>
      </c>
      <c r="G259">
        <v>94</v>
      </c>
      <c r="H259">
        <v>301.27</v>
      </c>
    </row>
    <row r="260" spans="1:8" x14ac:dyDescent="0.3">
      <c r="A260" s="9">
        <v>45216</v>
      </c>
      <c r="B260" t="s">
        <v>45</v>
      </c>
      <c r="C260" t="s">
        <v>35</v>
      </c>
      <c r="D260" t="s">
        <v>10</v>
      </c>
      <c r="E260" t="s">
        <v>39</v>
      </c>
      <c r="F260">
        <v>650</v>
      </c>
      <c r="G260">
        <v>98</v>
      </c>
      <c r="H260">
        <v>63.7</v>
      </c>
    </row>
    <row r="261" spans="1:8" x14ac:dyDescent="0.3">
      <c r="A261" s="9">
        <v>44976</v>
      </c>
      <c r="B261" t="s">
        <v>45</v>
      </c>
      <c r="C261" t="s">
        <v>15</v>
      </c>
      <c r="D261" t="s">
        <v>13</v>
      </c>
      <c r="E261" t="s">
        <v>38</v>
      </c>
      <c r="F261">
        <v>2400</v>
      </c>
      <c r="G261">
        <v>12</v>
      </c>
      <c r="H261">
        <v>28.8</v>
      </c>
    </row>
    <row r="262" spans="1:8" x14ac:dyDescent="0.3">
      <c r="A262" s="9">
        <v>44976</v>
      </c>
      <c r="B262" t="s">
        <v>45</v>
      </c>
      <c r="C262" t="s">
        <v>15</v>
      </c>
      <c r="D262" t="s">
        <v>24</v>
      </c>
      <c r="E262" t="s">
        <v>30</v>
      </c>
      <c r="F262">
        <v>2970</v>
      </c>
      <c r="G262">
        <v>56</v>
      </c>
      <c r="H262">
        <v>166.32</v>
      </c>
    </row>
    <row r="263" spans="1:8" x14ac:dyDescent="0.3">
      <c r="A263" s="9">
        <v>45216</v>
      </c>
      <c r="B263" t="s">
        <v>45</v>
      </c>
      <c r="C263" t="s">
        <v>33</v>
      </c>
      <c r="D263" t="s">
        <v>13</v>
      </c>
      <c r="E263" t="s">
        <v>38</v>
      </c>
      <c r="F263">
        <v>2400</v>
      </c>
      <c r="G263">
        <v>6</v>
      </c>
      <c r="H263">
        <v>14.4</v>
      </c>
    </row>
    <row r="264" spans="1:8" x14ac:dyDescent="0.3">
      <c r="A264" s="9">
        <v>45216</v>
      </c>
      <c r="B264" t="s">
        <v>45</v>
      </c>
      <c r="C264" t="s">
        <v>33</v>
      </c>
      <c r="D264" t="s">
        <v>18</v>
      </c>
      <c r="E264" t="s">
        <v>37</v>
      </c>
      <c r="F264">
        <v>890</v>
      </c>
      <c r="G264">
        <v>25</v>
      </c>
      <c r="H264">
        <v>22.25</v>
      </c>
    </row>
    <row r="265" spans="1:8" x14ac:dyDescent="0.3">
      <c r="A265" s="9">
        <v>44976</v>
      </c>
      <c r="B265" t="s">
        <v>45</v>
      </c>
      <c r="C265" t="s">
        <v>33</v>
      </c>
      <c r="D265" t="s">
        <v>24</v>
      </c>
      <c r="E265" t="s">
        <v>30</v>
      </c>
      <c r="F265">
        <v>2970</v>
      </c>
      <c r="G265">
        <v>53</v>
      </c>
      <c r="H265">
        <v>157.41</v>
      </c>
    </row>
    <row r="266" spans="1:8" x14ac:dyDescent="0.3">
      <c r="A266" s="9">
        <v>44976</v>
      </c>
      <c r="B266" t="s">
        <v>45</v>
      </c>
      <c r="C266" t="s">
        <v>35</v>
      </c>
      <c r="D266" t="s">
        <v>10</v>
      </c>
      <c r="E266" t="s">
        <v>39</v>
      </c>
      <c r="F266">
        <v>650</v>
      </c>
      <c r="G266">
        <v>90</v>
      </c>
      <c r="H266">
        <v>58.5</v>
      </c>
    </row>
    <row r="267" spans="1:8" x14ac:dyDescent="0.3">
      <c r="A267" s="9">
        <v>45215</v>
      </c>
      <c r="B267" t="s">
        <v>45</v>
      </c>
      <c r="C267" t="s">
        <v>9</v>
      </c>
      <c r="D267" t="s">
        <v>18</v>
      </c>
      <c r="E267" t="s">
        <v>37</v>
      </c>
      <c r="F267">
        <v>890</v>
      </c>
      <c r="G267">
        <v>58</v>
      </c>
      <c r="H267">
        <v>51.62</v>
      </c>
    </row>
    <row r="268" spans="1:8" x14ac:dyDescent="0.3">
      <c r="A268" s="9">
        <v>45215</v>
      </c>
      <c r="B268" t="s">
        <v>45</v>
      </c>
      <c r="C268" t="s">
        <v>9</v>
      </c>
      <c r="D268" t="s">
        <v>10</v>
      </c>
      <c r="E268" t="s">
        <v>41</v>
      </c>
      <c r="F268">
        <v>650</v>
      </c>
      <c r="G268">
        <v>95</v>
      </c>
      <c r="H268">
        <v>61.75</v>
      </c>
    </row>
    <row r="269" spans="1:8" x14ac:dyDescent="0.3">
      <c r="A269" s="9">
        <v>45214</v>
      </c>
      <c r="B269" t="s">
        <v>45</v>
      </c>
      <c r="C269" t="s">
        <v>15</v>
      </c>
      <c r="D269" t="s">
        <v>13</v>
      </c>
      <c r="E269" t="s">
        <v>43</v>
      </c>
      <c r="F269">
        <v>1420</v>
      </c>
      <c r="G269">
        <v>8</v>
      </c>
      <c r="H269">
        <v>11.36</v>
      </c>
    </row>
    <row r="270" spans="1:8" x14ac:dyDescent="0.3">
      <c r="A270" s="9">
        <v>45214</v>
      </c>
      <c r="B270" t="s">
        <v>45</v>
      </c>
      <c r="C270" t="s">
        <v>15</v>
      </c>
      <c r="D270" t="s">
        <v>10</v>
      </c>
      <c r="E270" t="s">
        <v>23</v>
      </c>
      <c r="F270">
        <v>640</v>
      </c>
      <c r="G270">
        <v>83</v>
      </c>
      <c r="H270">
        <v>53.12</v>
      </c>
    </row>
    <row r="271" spans="1:8" x14ac:dyDescent="0.3">
      <c r="A271" s="9">
        <v>45214</v>
      </c>
      <c r="B271" t="s">
        <v>45</v>
      </c>
      <c r="C271" t="s">
        <v>9</v>
      </c>
      <c r="D271" t="s">
        <v>24</v>
      </c>
      <c r="E271" t="s">
        <v>30</v>
      </c>
      <c r="F271">
        <v>2970</v>
      </c>
      <c r="G271">
        <v>20</v>
      </c>
      <c r="H271">
        <v>59.4</v>
      </c>
    </row>
    <row r="272" spans="1:8" x14ac:dyDescent="0.3">
      <c r="A272" s="9">
        <v>45214</v>
      </c>
      <c r="B272" t="s">
        <v>45</v>
      </c>
      <c r="C272" t="s">
        <v>9</v>
      </c>
      <c r="D272" t="s">
        <v>13</v>
      </c>
      <c r="E272" t="s">
        <v>14</v>
      </c>
      <c r="F272">
        <v>1320</v>
      </c>
      <c r="G272">
        <v>68</v>
      </c>
      <c r="H272">
        <v>89.76</v>
      </c>
    </row>
    <row r="273" spans="1:8" x14ac:dyDescent="0.3">
      <c r="A273" s="9">
        <v>45214</v>
      </c>
      <c r="B273" t="s">
        <v>45</v>
      </c>
      <c r="C273" t="s">
        <v>20</v>
      </c>
      <c r="D273" t="s">
        <v>13</v>
      </c>
      <c r="E273" t="s">
        <v>38</v>
      </c>
      <c r="F273">
        <v>2400</v>
      </c>
      <c r="G273">
        <v>86</v>
      </c>
      <c r="H273">
        <v>206.4</v>
      </c>
    </row>
    <row r="274" spans="1:8" x14ac:dyDescent="0.3">
      <c r="A274" s="9">
        <v>45213</v>
      </c>
      <c r="B274" t="s">
        <v>45</v>
      </c>
      <c r="C274" t="s">
        <v>9</v>
      </c>
      <c r="D274" t="s">
        <v>10</v>
      </c>
      <c r="E274" t="s">
        <v>40</v>
      </c>
      <c r="F274">
        <v>540</v>
      </c>
      <c r="G274">
        <v>39</v>
      </c>
      <c r="H274">
        <v>21.06</v>
      </c>
    </row>
    <row r="275" spans="1:8" x14ac:dyDescent="0.3">
      <c r="A275" s="9">
        <v>45212</v>
      </c>
      <c r="B275" t="s">
        <v>45</v>
      </c>
      <c r="C275" t="s">
        <v>15</v>
      </c>
      <c r="D275" t="s">
        <v>24</v>
      </c>
      <c r="E275" t="s">
        <v>42</v>
      </c>
      <c r="F275">
        <v>3205</v>
      </c>
      <c r="G275">
        <v>36</v>
      </c>
      <c r="H275">
        <v>115.38</v>
      </c>
    </row>
    <row r="276" spans="1:8" x14ac:dyDescent="0.3">
      <c r="A276" s="9">
        <v>45212</v>
      </c>
      <c r="B276" t="s">
        <v>45</v>
      </c>
      <c r="C276" t="s">
        <v>9</v>
      </c>
      <c r="D276" t="s">
        <v>18</v>
      </c>
      <c r="E276" t="s">
        <v>37</v>
      </c>
      <c r="F276">
        <v>890</v>
      </c>
      <c r="G276">
        <v>83</v>
      </c>
      <c r="H276">
        <v>73.87</v>
      </c>
    </row>
    <row r="277" spans="1:8" x14ac:dyDescent="0.3">
      <c r="A277" s="9">
        <v>45212</v>
      </c>
      <c r="B277" t="s">
        <v>45</v>
      </c>
      <c r="C277" t="s">
        <v>20</v>
      </c>
      <c r="D277" t="s">
        <v>10</v>
      </c>
      <c r="E277" t="s">
        <v>16</v>
      </c>
      <c r="F277">
        <v>1380</v>
      </c>
      <c r="G277">
        <v>44</v>
      </c>
      <c r="H277">
        <v>60.72</v>
      </c>
    </row>
    <row r="278" spans="1:8" x14ac:dyDescent="0.3">
      <c r="A278" s="9">
        <v>45210</v>
      </c>
      <c r="B278" t="s">
        <v>45</v>
      </c>
      <c r="C278" t="s">
        <v>35</v>
      </c>
      <c r="D278" t="s">
        <v>24</v>
      </c>
      <c r="E278" t="s">
        <v>34</v>
      </c>
      <c r="F278">
        <v>1670</v>
      </c>
      <c r="G278">
        <v>48</v>
      </c>
      <c r="H278">
        <v>80.16</v>
      </c>
    </row>
    <row r="279" spans="1:8" x14ac:dyDescent="0.3">
      <c r="A279" s="9">
        <v>45210</v>
      </c>
      <c r="B279" t="s">
        <v>45</v>
      </c>
      <c r="C279" t="s">
        <v>15</v>
      </c>
      <c r="D279" t="s">
        <v>18</v>
      </c>
      <c r="E279" t="s">
        <v>28</v>
      </c>
      <c r="F279">
        <v>690</v>
      </c>
      <c r="G279">
        <v>74</v>
      </c>
      <c r="H279">
        <v>51.06</v>
      </c>
    </row>
    <row r="280" spans="1:8" x14ac:dyDescent="0.3">
      <c r="A280" s="9">
        <v>44977</v>
      </c>
      <c r="B280" t="s">
        <v>45</v>
      </c>
      <c r="C280" t="s">
        <v>26</v>
      </c>
      <c r="D280" t="s">
        <v>24</v>
      </c>
      <c r="E280" t="s">
        <v>30</v>
      </c>
      <c r="F280">
        <v>2970</v>
      </c>
      <c r="G280">
        <v>70</v>
      </c>
      <c r="H280">
        <v>207.9</v>
      </c>
    </row>
    <row r="281" spans="1:8" x14ac:dyDescent="0.3">
      <c r="A281" s="9">
        <v>45209</v>
      </c>
      <c r="B281" t="s">
        <v>45</v>
      </c>
      <c r="C281" t="s">
        <v>26</v>
      </c>
      <c r="D281" t="s">
        <v>13</v>
      </c>
      <c r="E281" t="s">
        <v>22</v>
      </c>
      <c r="F281">
        <v>930</v>
      </c>
      <c r="G281">
        <v>48</v>
      </c>
      <c r="H281">
        <v>44.64</v>
      </c>
    </row>
    <row r="282" spans="1:8" x14ac:dyDescent="0.3">
      <c r="A282" s="9">
        <v>45209</v>
      </c>
      <c r="B282" t="s">
        <v>45</v>
      </c>
      <c r="C282" t="s">
        <v>26</v>
      </c>
      <c r="D282" t="s">
        <v>18</v>
      </c>
      <c r="E282" t="s">
        <v>37</v>
      </c>
      <c r="F282">
        <v>890</v>
      </c>
      <c r="G282">
        <v>50</v>
      </c>
      <c r="H282">
        <v>44.5</v>
      </c>
    </row>
    <row r="283" spans="1:8" x14ac:dyDescent="0.3">
      <c r="A283" s="9">
        <v>44977</v>
      </c>
      <c r="B283" t="s">
        <v>45</v>
      </c>
      <c r="C283" t="s">
        <v>33</v>
      </c>
      <c r="D283" t="s">
        <v>18</v>
      </c>
      <c r="E283" t="s">
        <v>19</v>
      </c>
      <c r="F283">
        <v>325</v>
      </c>
      <c r="G283">
        <v>37</v>
      </c>
      <c r="H283">
        <v>12.025</v>
      </c>
    </row>
    <row r="284" spans="1:8" x14ac:dyDescent="0.3">
      <c r="A284" s="9">
        <v>45208</v>
      </c>
      <c r="B284" t="s">
        <v>45</v>
      </c>
      <c r="C284" t="s">
        <v>15</v>
      </c>
      <c r="D284" t="s">
        <v>13</v>
      </c>
      <c r="E284" t="s">
        <v>29</v>
      </c>
      <c r="F284">
        <v>1230</v>
      </c>
      <c r="G284">
        <v>8</v>
      </c>
      <c r="H284">
        <v>9.84</v>
      </c>
    </row>
    <row r="285" spans="1:8" x14ac:dyDescent="0.3">
      <c r="A285" s="9">
        <v>45208</v>
      </c>
      <c r="B285" t="s">
        <v>45</v>
      </c>
      <c r="C285" t="s">
        <v>20</v>
      </c>
      <c r="D285" t="s">
        <v>13</v>
      </c>
      <c r="E285" t="s">
        <v>22</v>
      </c>
      <c r="F285">
        <v>930</v>
      </c>
      <c r="G285">
        <v>99</v>
      </c>
      <c r="H285">
        <v>92.07</v>
      </c>
    </row>
    <row r="286" spans="1:8" x14ac:dyDescent="0.3">
      <c r="A286" s="9">
        <v>44977</v>
      </c>
      <c r="B286" t="s">
        <v>45</v>
      </c>
      <c r="C286" t="s">
        <v>35</v>
      </c>
      <c r="D286" t="s">
        <v>13</v>
      </c>
      <c r="E286" t="s">
        <v>44</v>
      </c>
      <c r="F286">
        <v>2540</v>
      </c>
      <c r="G286">
        <v>82</v>
      </c>
      <c r="H286">
        <v>208.28</v>
      </c>
    </row>
    <row r="287" spans="1:8" x14ac:dyDescent="0.3">
      <c r="A287" s="9">
        <v>45208</v>
      </c>
      <c r="B287" t="s">
        <v>45</v>
      </c>
      <c r="C287" t="s">
        <v>20</v>
      </c>
      <c r="D287" t="s">
        <v>10</v>
      </c>
      <c r="E287" t="s">
        <v>40</v>
      </c>
      <c r="F287">
        <v>540</v>
      </c>
      <c r="G287">
        <v>36</v>
      </c>
      <c r="H287">
        <v>19.440000000000001</v>
      </c>
    </row>
    <row r="288" spans="1:8" x14ac:dyDescent="0.3">
      <c r="A288" s="9">
        <v>45206</v>
      </c>
      <c r="B288" t="s">
        <v>45</v>
      </c>
      <c r="C288" t="s">
        <v>33</v>
      </c>
      <c r="D288" t="s">
        <v>24</v>
      </c>
      <c r="E288" t="s">
        <v>34</v>
      </c>
      <c r="F288">
        <v>1670</v>
      </c>
      <c r="G288">
        <v>14</v>
      </c>
      <c r="H288">
        <v>23.38</v>
      </c>
    </row>
    <row r="289" spans="1:8" x14ac:dyDescent="0.3">
      <c r="A289" s="9">
        <v>44977</v>
      </c>
      <c r="B289" t="s">
        <v>45</v>
      </c>
      <c r="C289" t="s">
        <v>9</v>
      </c>
      <c r="D289" t="s">
        <v>18</v>
      </c>
      <c r="E289" t="s">
        <v>19</v>
      </c>
      <c r="F289">
        <v>325</v>
      </c>
      <c r="G289">
        <v>89</v>
      </c>
      <c r="H289">
        <v>28.925000000000001</v>
      </c>
    </row>
    <row r="290" spans="1:8" x14ac:dyDescent="0.3">
      <c r="A290" s="9">
        <v>45205</v>
      </c>
      <c r="B290" t="s">
        <v>45</v>
      </c>
      <c r="C290" t="s">
        <v>9</v>
      </c>
      <c r="D290" t="s">
        <v>18</v>
      </c>
      <c r="E290" t="s">
        <v>21</v>
      </c>
      <c r="F290">
        <v>450</v>
      </c>
      <c r="G290">
        <v>21</v>
      </c>
      <c r="H290">
        <v>9.4499999999999993</v>
      </c>
    </row>
    <row r="291" spans="1:8" x14ac:dyDescent="0.3">
      <c r="A291" s="9">
        <v>45205</v>
      </c>
      <c r="B291" t="s">
        <v>45</v>
      </c>
      <c r="C291" t="s">
        <v>9</v>
      </c>
      <c r="D291" t="s">
        <v>10</v>
      </c>
      <c r="E291" t="s">
        <v>16</v>
      </c>
      <c r="F291">
        <v>1380</v>
      </c>
      <c r="G291">
        <v>80</v>
      </c>
      <c r="H291">
        <v>110.4</v>
      </c>
    </row>
    <row r="292" spans="1:8" x14ac:dyDescent="0.3">
      <c r="A292" s="9">
        <v>45204</v>
      </c>
      <c r="B292" t="s">
        <v>45</v>
      </c>
      <c r="C292" t="s">
        <v>35</v>
      </c>
      <c r="D292" t="s">
        <v>10</v>
      </c>
      <c r="E292" t="s">
        <v>40</v>
      </c>
      <c r="F292">
        <v>540</v>
      </c>
      <c r="G292">
        <v>15</v>
      </c>
      <c r="H292">
        <v>8.1</v>
      </c>
    </row>
    <row r="293" spans="1:8" x14ac:dyDescent="0.3">
      <c r="A293" s="9">
        <v>45204</v>
      </c>
      <c r="B293" t="s">
        <v>45</v>
      </c>
      <c r="C293" t="s">
        <v>15</v>
      </c>
      <c r="D293" t="s">
        <v>24</v>
      </c>
      <c r="E293" t="s">
        <v>25</v>
      </c>
      <c r="F293">
        <v>1760</v>
      </c>
      <c r="G293">
        <v>61</v>
      </c>
      <c r="H293">
        <v>107.36</v>
      </c>
    </row>
    <row r="294" spans="1:8" x14ac:dyDescent="0.3">
      <c r="A294" s="9">
        <v>45204</v>
      </c>
      <c r="B294" t="s">
        <v>45</v>
      </c>
      <c r="C294" t="s">
        <v>15</v>
      </c>
      <c r="D294" t="s">
        <v>10</v>
      </c>
      <c r="E294" t="s">
        <v>40</v>
      </c>
      <c r="F294">
        <v>540</v>
      </c>
      <c r="G294">
        <v>17</v>
      </c>
      <c r="H294">
        <v>9.18</v>
      </c>
    </row>
    <row r="295" spans="1:8" x14ac:dyDescent="0.3">
      <c r="A295" s="9">
        <v>45203</v>
      </c>
      <c r="B295" t="s">
        <v>45</v>
      </c>
      <c r="C295" t="s">
        <v>33</v>
      </c>
      <c r="D295" t="s">
        <v>18</v>
      </c>
      <c r="E295" t="s">
        <v>37</v>
      </c>
      <c r="F295">
        <v>890</v>
      </c>
      <c r="G295">
        <v>90</v>
      </c>
      <c r="H295">
        <v>80.099999999999994</v>
      </c>
    </row>
    <row r="296" spans="1:8" x14ac:dyDescent="0.3">
      <c r="A296" s="9">
        <v>44978</v>
      </c>
      <c r="B296" t="s">
        <v>45</v>
      </c>
      <c r="C296" t="s">
        <v>9</v>
      </c>
      <c r="D296" t="s">
        <v>24</v>
      </c>
      <c r="E296" t="s">
        <v>36</v>
      </c>
      <c r="F296">
        <v>2460</v>
      </c>
      <c r="G296">
        <v>36</v>
      </c>
      <c r="H296">
        <v>88.56</v>
      </c>
    </row>
    <row r="297" spans="1:8" x14ac:dyDescent="0.3">
      <c r="A297" s="9">
        <v>45203</v>
      </c>
      <c r="B297" t="s">
        <v>45</v>
      </c>
      <c r="C297" t="s">
        <v>15</v>
      </c>
      <c r="D297" t="s">
        <v>24</v>
      </c>
      <c r="E297" t="s">
        <v>30</v>
      </c>
      <c r="F297">
        <v>2970</v>
      </c>
      <c r="G297">
        <v>11</v>
      </c>
      <c r="H297">
        <v>32.67</v>
      </c>
    </row>
    <row r="298" spans="1:8" x14ac:dyDescent="0.3">
      <c r="A298" s="9">
        <v>45203</v>
      </c>
      <c r="B298" t="s">
        <v>45</v>
      </c>
      <c r="C298" t="s">
        <v>26</v>
      </c>
      <c r="D298" t="s">
        <v>18</v>
      </c>
      <c r="E298" t="s">
        <v>27</v>
      </c>
      <c r="F298">
        <v>460</v>
      </c>
      <c r="G298">
        <v>48</v>
      </c>
      <c r="H298">
        <v>22.08</v>
      </c>
    </row>
    <row r="299" spans="1:8" x14ac:dyDescent="0.3">
      <c r="A299" s="9">
        <v>45201</v>
      </c>
      <c r="B299" t="s">
        <v>45</v>
      </c>
      <c r="C299" t="s">
        <v>9</v>
      </c>
      <c r="D299" t="s">
        <v>18</v>
      </c>
      <c r="E299" t="s">
        <v>19</v>
      </c>
      <c r="F299">
        <v>325</v>
      </c>
      <c r="G299">
        <v>91</v>
      </c>
      <c r="H299">
        <v>29.574999999999999</v>
      </c>
    </row>
    <row r="300" spans="1:8" x14ac:dyDescent="0.3">
      <c r="A300" s="9">
        <v>45200</v>
      </c>
      <c r="B300" t="s">
        <v>45</v>
      </c>
      <c r="C300" t="s">
        <v>35</v>
      </c>
      <c r="D300" t="s">
        <v>24</v>
      </c>
      <c r="E300" t="s">
        <v>34</v>
      </c>
      <c r="F300">
        <v>1670</v>
      </c>
      <c r="G300">
        <v>99</v>
      </c>
      <c r="H300">
        <v>165.33</v>
      </c>
    </row>
    <row r="301" spans="1:8" x14ac:dyDescent="0.3">
      <c r="A301" s="9">
        <v>44978</v>
      </c>
      <c r="B301" t="s">
        <v>45</v>
      </c>
      <c r="C301" t="s">
        <v>33</v>
      </c>
      <c r="D301" t="s">
        <v>13</v>
      </c>
      <c r="E301" t="s">
        <v>43</v>
      </c>
      <c r="F301">
        <v>1420</v>
      </c>
      <c r="G301">
        <v>37</v>
      </c>
      <c r="H301">
        <v>52.54</v>
      </c>
    </row>
    <row r="302" spans="1:8" x14ac:dyDescent="0.3">
      <c r="A302" s="9">
        <v>45200</v>
      </c>
      <c r="B302" t="s">
        <v>45</v>
      </c>
      <c r="C302" t="s">
        <v>35</v>
      </c>
      <c r="D302" t="s">
        <v>18</v>
      </c>
      <c r="E302" t="s">
        <v>21</v>
      </c>
      <c r="F302">
        <v>450</v>
      </c>
      <c r="G302">
        <v>28</v>
      </c>
      <c r="H302">
        <v>12.6</v>
      </c>
    </row>
    <row r="303" spans="1:8" x14ac:dyDescent="0.3">
      <c r="A303" s="9">
        <v>45200</v>
      </c>
      <c r="B303" t="s">
        <v>45</v>
      </c>
      <c r="C303" t="s">
        <v>9</v>
      </c>
      <c r="D303" t="s">
        <v>18</v>
      </c>
      <c r="E303" t="s">
        <v>31</v>
      </c>
      <c r="F303">
        <v>715</v>
      </c>
      <c r="G303">
        <v>36</v>
      </c>
      <c r="H303">
        <v>25.74</v>
      </c>
    </row>
    <row r="304" spans="1:8" x14ac:dyDescent="0.3">
      <c r="A304" s="9">
        <v>44978</v>
      </c>
      <c r="B304" t="s">
        <v>45</v>
      </c>
      <c r="C304" t="s">
        <v>35</v>
      </c>
      <c r="D304" t="s">
        <v>13</v>
      </c>
      <c r="E304" t="s">
        <v>22</v>
      </c>
      <c r="F304">
        <v>930</v>
      </c>
      <c r="G304">
        <v>6</v>
      </c>
      <c r="H304">
        <v>5.58</v>
      </c>
    </row>
    <row r="305" spans="1:8" x14ac:dyDescent="0.3">
      <c r="A305" s="9">
        <v>45199</v>
      </c>
      <c r="B305" t="s">
        <v>45</v>
      </c>
      <c r="C305" t="s">
        <v>15</v>
      </c>
      <c r="D305" t="s">
        <v>10</v>
      </c>
      <c r="E305" t="s">
        <v>11</v>
      </c>
      <c r="F305">
        <v>705</v>
      </c>
      <c r="G305">
        <v>44</v>
      </c>
      <c r="H305">
        <v>31.02</v>
      </c>
    </row>
    <row r="306" spans="1:8" x14ac:dyDescent="0.3">
      <c r="A306" s="9">
        <v>45199</v>
      </c>
      <c r="B306" t="s">
        <v>45</v>
      </c>
      <c r="C306" t="s">
        <v>26</v>
      </c>
      <c r="D306" t="s">
        <v>10</v>
      </c>
      <c r="E306" t="s">
        <v>41</v>
      </c>
      <c r="F306">
        <v>650</v>
      </c>
      <c r="G306">
        <v>45</v>
      </c>
      <c r="H306">
        <v>29.25</v>
      </c>
    </row>
    <row r="307" spans="1:8" x14ac:dyDescent="0.3">
      <c r="A307" s="9">
        <v>45198</v>
      </c>
      <c r="B307" t="s">
        <v>45</v>
      </c>
      <c r="C307" t="s">
        <v>35</v>
      </c>
      <c r="D307" t="s">
        <v>10</v>
      </c>
      <c r="E307" t="s">
        <v>41</v>
      </c>
      <c r="F307">
        <v>650</v>
      </c>
      <c r="G307">
        <v>25</v>
      </c>
      <c r="H307">
        <v>16.25</v>
      </c>
    </row>
    <row r="308" spans="1:8" x14ac:dyDescent="0.3">
      <c r="A308" s="9">
        <v>44978</v>
      </c>
      <c r="B308" t="s">
        <v>45</v>
      </c>
      <c r="C308" t="s">
        <v>20</v>
      </c>
      <c r="D308" t="s">
        <v>24</v>
      </c>
      <c r="E308" t="s">
        <v>36</v>
      </c>
      <c r="F308">
        <v>2460</v>
      </c>
      <c r="G308">
        <v>11</v>
      </c>
      <c r="H308">
        <v>27.06</v>
      </c>
    </row>
    <row r="309" spans="1:8" x14ac:dyDescent="0.3">
      <c r="A309" s="9">
        <v>45198</v>
      </c>
      <c r="B309" t="s">
        <v>45</v>
      </c>
      <c r="C309" t="s">
        <v>33</v>
      </c>
      <c r="D309" t="s">
        <v>13</v>
      </c>
      <c r="E309" t="s">
        <v>29</v>
      </c>
      <c r="F309">
        <v>1230</v>
      </c>
      <c r="G309">
        <v>22</v>
      </c>
      <c r="H309">
        <v>27.06</v>
      </c>
    </row>
    <row r="310" spans="1:8" x14ac:dyDescent="0.3">
      <c r="A310" s="9">
        <v>45198</v>
      </c>
      <c r="B310" t="s">
        <v>45</v>
      </c>
      <c r="C310" t="s">
        <v>15</v>
      </c>
      <c r="D310" t="s">
        <v>10</v>
      </c>
      <c r="E310" t="s">
        <v>11</v>
      </c>
      <c r="F310">
        <v>705</v>
      </c>
      <c r="G310">
        <v>59</v>
      </c>
      <c r="H310">
        <v>41.594999999999999</v>
      </c>
    </row>
    <row r="311" spans="1:8" x14ac:dyDescent="0.3">
      <c r="A311" s="9">
        <v>45197</v>
      </c>
      <c r="B311" t="s">
        <v>45</v>
      </c>
      <c r="C311" t="s">
        <v>9</v>
      </c>
      <c r="D311" t="s">
        <v>18</v>
      </c>
      <c r="E311" t="s">
        <v>19</v>
      </c>
      <c r="F311">
        <v>325</v>
      </c>
      <c r="G311">
        <v>97</v>
      </c>
      <c r="H311">
        <v>31.524999999999999</v>
      </c>
    </row>
    <row r="312" spans="1:8" x14ac:dyDescent="0.3">
      <c r="A312" s="9">
        <v>45196</v>
      </c>
      <c r="B312" t="s">
        <v>45</v>
      </c>
      <c r="C312" t="s">
        <v>35</v>
      </c>
      <c r="D312" t="s">
        <v>13</v>
      </c>
      <c r="E312" t="s">
        <v>38</v>
      </c>
      <c r="F312">
        <v>2400</v>
      </c>
      <c r="G312">
        <v>96</v>
      </c>
      <c r="H312">
        <v>230.4</v>
      </c>
    </row>
    <row r="313" spans="1:8" x14ac:dyDescent="0.3">
      <c r="A313" s="9">
        <v>44979</v>
      </c>
      <c r="B313" t="s">
        <v>45</v>
      </c>
      <c r="C313" t="s">
        <v>9</v>
      </c>
      <c r="D313" t="s">
        <v>18</v>
      </c>
      <c r="E313" t="s">
        <v>28</v>
      </c>
      <c r="F313">
        <v>690</v>
      </c>
      <c r="G313">
        <v>26</v>
      </c>
      <c r="H313">
        <v>17.940000000000001</v>
      </c>
    </row>
    <row r="314" spans="1:8" x14ac:dyDescent="0.3">
      <c r="A314" s="9">
        <v>45195</v>
      </c>
      <c r="B314" t="s">
        <v>45</v>
      </c>
      <c r="C314" t="s">
        <v>33</v>
      </c>
      <c r="D314" t="s">
        <v>13</v>
      </c>
      <c r="E314" t="s">
        <v>38</v>
      </c>
      <c r="F314">
        <v>2400</v>
      </c>
      <c r="G314">
        <v>43</v>
      </c>
      <c r="H314">
        <v>103.2</v>
      </c>
    </row>
    <row r="315" spans="1:8" x14ac:dyDescent="0.3">
      <c r="A315" s="9">
        <v>45195</v>
      </c>
      <c r="B315" t="s">
        <v>45</v>
      </c>
      <c r="C315" t="s">
        <v>33</v>
      </c>
      <c r="D315" t="s">
        <v>10</v>
      </c>
      <c r="E315" t="s">
        <v>41</v>
      </c>
      <c r="F315">
        <v>650</v>
      </c>
      <c r="G315">
        <v>82</v>
      </c>
      <c r="H315">
        <v>53.3</v>
      </c>
    </row>
    <row r="316" spans="1:8" x14ac:dyDescent="0.3">
      <c r="A316" s="9">
        <v>44979</v>
      </c>
      <c r="B316" t="s">
        <v>45</v>
      </c>
      <c r="C316" t="s">
        <v>26</v>
      </c>
      <c r="D316" t="s">
        <v>10</v>
      </c>
      <c r="E316" t="s">
        <v>40</v>
      </c>
      <c r="F316">
        <v>540</v>
      </c>
      <c r="G316">
        <v>21</v>
      </c>
      <c r="H316">
        <v>11.34</v>
      </c>
    </row>
    <row r="317" spans="1:8" x14ac:dyDescent="0.3">
      <c r="A317" s="9">
        <v>44979</v>
      </c>
      <c r="B317" t="s">
        <v>45</v>
      </c>
      <c r="C317" t="s">
        <v>26</v>
      </c>
      <c r="D317" t="s">
        <v>18</v>
      </c>
      <c r="E317" t="s">
        <v>37</v>
      </c>
      <c r="F317">
        <v>890</v>
      </c>
      <c r="G317">
        <v>27</v>
      </c>
      <c r="H317">
        <v>24.03</v>
      </c>
    </row>
    <row r="318" spans="1:8" x14ac:dyDescent="0.3">
      <c r="A318" s="9">
        <v>45193</v>
      </c>
      <c r="B318" t="s">
        <v>45</v>
      </c>
      <c r="C318" t="s">
        <v>35</v>
      </c>
      <c r="D318" t="s">
        <v>18</v>
      </c>
      <c r="E318" t="s">
        <v>19</v>
      </c>
      <c r="F318">
        <v>325</v>
      </c>
      <c r="G318">
        <v>32</v>
      </c>
      <c r="H318">
        <v>10.4</v>
      </c>
    </row>
    <row r="319" spans="1:8" x14ac:dyDescent="0.3">
      <c r="A319" s="9">
        <v>45193</v>
      </c>
      <c r="B319" t="s">
        <v>45</v>
      </c>
      <c r="C319" t="s">
        <v>9</v>
      </c>
      <c r="D319" t="s">
        <v>18</v>
      </c>
      <c r="E319" t="s">
        <v>19</v>
      </c>
      <c r="F319">
        <v>325</v>
      </c>
      <c r="G319">
        <v>17</v>
      </c>
      <c r="H319">
        <v>5.5250000000000004</v>
      </c>
    </row>
    <row r="320" spans="1:8" x14ac:dyDescent="0.3">
      <c r="A320" s="9">
        <v>45192</v>
      </c>
      <c r="B320" t="s">
        <v>45</v>
      </c>
      <c r="C320" t="s">
        <v>33</v>
      </c>
      <c r="D320" t="s">
        <v>24</v>
      </c>
      <c r="E320" t="s">
        <v>25</v>
      </c>
      <c r="F320">
        <v>1760</v>
      </c>
      <c r="G320">
        <v>41</v>
      </c>
      <c r="H320">
        <v>72.16</v>
      </c>
    </row>
    <row r="321" spans="1:8" x14ac:dyDescent="0.3">
      <c r="A321" s="9">
        <v>45192</v>
      </c>
      <c r="B321" t="s">
        <v>45</v>
      </c>
      <c r="C321" t="s">
        <v>15</v>
      </c>
      <c r="D321" t="s">
        <v>13</v>
      </c>
      <c r="E321" t="s">
        <v>44</v>
      </c>
      <c r="F321">
        <v>2540</v>
      </c>
      <c r="G321">
        <v>97</v>
      </c>
      <c r="H321">
        <v>246.38</v>
      </c>
    </row>
    <row r="322" spans="1:8" x14ac:dyDescent="0.3">
      <c r="A322" s="9">
        <v>45192</v>
      </c>
      <c r="B322" t="s">
        <v>45</v>
      </c>
      <c r="C322" t="s">
        <v>15</v>
      </c>
      <c r="D322" t="s">
        <v>10</v>
      </c>
      <c r="E322" t="s">
        <v>40</v>
      </c>
      <c r="F322">
        <v>540</v>
      </c>
      <c r="G322">
        <v>65</v>
      </c>
      <c r="H322">
        <v>35.1</v>
      </c>
    </row>
    <row r="323" spans="1:8" x14ac:dyDescent="0.3">
      <c r="A323" s="9">
        <v>45192</v>
      </c>
      <c r="B323" t="s">
        <v>45</v>
      </c>
      <c r="C323" t="s">
        <v>9</v>
      </c>
      <c r="D323" t="s">
        <v>24</v>
      </c>
      <c r="E323" t="s">
        <v>36</v>
      </c>
      <c r="F323">
        <v>2460</v>
      </c>
      <c r="G323">
        <v>8</v>
      </c>
      <c r="H323">
        <v>19.68</v>
      </c>
    </row>
    <row r="324" spans="1:8" x14ac:dyDescent="0.3">
      <c r="A324" s="9">
        <v>45191</v>
      </c>
      <c r="B324" t="s">
        <v>45</v>
      </c>
      <c r="C324" t="s">
        <v>35</v>
      </c>
      <c r="D324" t="s">
        <v>13</v>
      </c>
      <c r="E324" t="s">
        <v>14</v>
      </c>
      <c r="F324">
        <v>1320</v>
      </c>
      <c r="G324">
        <v>72</v>
      </c>
      <c r="H324">
        <v>95.04</v>
      </c>
    </row>
    <row r="325" spans="1:8" x14ac:dyDescent="0.3">
      <c r="A325" s="9">
        <v>44979</v>
      </c>
      <c r="B325" t="s">
        <v>45</v>
      </c>
      <c r="C325" t="s">
        <v>33</v>
      </c>
      <c r="D325" t="s">
        <v>24</v>
      </c>
      <c r="E325" t="s">
        <v>36</v>
      </c>
      <c r="F325">
        <v>2460</v>
      </c>
      <c r="G325">
        <v>51</v>
      </c>
      <c r="H325">
        <v>125.46</v>
      </c>
    </row>
    <row r="326" spans="1:8" x14ac:dyDescent="0.3">
      <c r="A326" s="9">
        <v>45191</v>
      </c>
      <c r="B326" t="s">
        <v>45</v>
      </c>
      <c r="C326" t="s">
        <v>35</v>
      </c>
      <c r="D326" t="s">
        <v>18</v>
      </c>
      <c r="E326" t="s">
        <v>19</v>
      </c>
      <c r="F326">
        <v>325</v>
      </c>
      <c r="G326">
        <v>42</v>
      </c>
      <c r="H326">
        <v>13.65</v>
      </c>
    </row>
    <row r="327" spans="1:8" x14ac:dyDescent="0.3">
      <c r="A327" s="9">
        <v>45191</v>
      </c>
      <c r="B327" t="s">
        <v>45</v>
      </c>
      <c r="C327" t="s">
        <v>35</v>
      </c>
      <c r="D327" t="s">
        <v>18</v>
      </c>
      <c r="E327" t="s">
        <v>28</v>
      </c>
      <c r="F327">
        <v>690</v>
      </c>
      <c r="G327">
        <v>57</v>
      </c>
      <c r="H327">
        <v>39.33</v>
      </c>
    </row>
    <row r="328" spans="1:8" x14ac:dyDescent="0.3">
      <c r="A328" s="9">
        <v>45191</v>
      </c>
      <c r="B328" t="s">
        <v>45</v>
      </c>
      <c r="C328" t="s">
        <v>9</v>
      </c>
      <c r="D328" t="s">
        <v>13</v>
      </c>
      <c r="E328" t="s">
        <v>38</v>
      </c>
      <c r="F328">
        <v>2400</v>
      </c>
      <c r="G328">
        <v>93</v>
      </c>
      <c r="H328">
        <v>223.2</v>
      </c>
    </row>
    <row r="329" spans="1:8" x14ac:dyDescent="0.3">
      <c r="A329" s="9">
        <v>45190</v>
      </c>
      <c r="B329" t="s">
        <v>45</v>
      </c>
      <c r="C329" t="s">
        <v>35</v>
      </c>
      <c r="D329" t="s">
        <v>24</v>
      </c>
      <c r="E329" t="s">
        <v>34</v>
      </c>
      <c r="F329">
        <v>1670</v>
      </c>
      <c r="G329">
        <v>29</v>
      </c>
      <c r="H329">
        <v>48.43</v>
      </c>
    </row>
    <row r="330" spans="1:8" x14ac:dyDescent="0.3">
      <c r="A330" s="9">
        <v>44979</v>
      </c>
      <c r="B330" t="s">
        <v>45</v>
      </c>
      <c r="C330" t="s">
        <v>15</v>
      </c>
      <c r="D330" t="s">
        <v>13</v>
      </c>
      <c r="E330" t="s">
        <v>44</v>
      </c>
      <c r="F330">
        <v>2540</v>
      </c>
      <c r="G330">
        <v>37</v>
      </c>
      <c r="H330">
        <v>93.98</v>
      </c>
    </row>
    <row r="331" spans="1:8" x14ac:dyDescent="0.3">
      <c r="A331" s="9">
        <v>45190</v>
      </c>
      <c r="B331" t="s">
        <v>45</v>
      </c>
      <c r="C331" t="s">
        <v>9</v>
      </c>
      <c r="D331" t="s">
        <v>13</v>
      </c>
      <c r="E331" t="s">
        <v>44</v>
      </c>
      <c r="F331">
        <v>2540</v>
      </c>
      <c r="G331">
        <v>56</v>
      </c>
      <c r="H331">
        <v>142.24</v>
      </c>
    </row>
    <row r="332" spans="1:8" x14ac:dyDescent="0.3">
      <c r="A332" s="9">
        <v>45189</v>
      </c>
      <c r="B332" t="s">
        <v>45</v>
      </c>
      <c r="C332" t="s">
        <v>33</v>
      </c>
      <c r="D332" t="s">
        <v>18</v>
      </c>
      <c r="E332" t="s">
        <v>31</v>
      </c>
      <c r="F332">
        <v>715</v>
      </c>
      <c r="G332">
        <v>79</v>
      </c>
      <c r="H332">
        <v>56.484999999999999</v>
      </c>
    </row>
    <row r="333" spans="1:8" x14ac:dyDescent="0.3">
      <c r="A333" s="9">
        <v>44980</v>
      </c>
      <c r="B333" t="s">
        <v>45</v>
      </c>
      <c r="C333" t="s">
        <v>20</v>
      </c>
      <c r="D333" t="s">
        <v>13</v>
      </c>
      <c r="E333" t="s">
        <v>22</v>
      </c>
      <c r="F333">
        <v>930</v>
      </c>
      <c r="G333">
        <v>39</v>
      </c>
      <c r="H333">
        <v>36.270000000000003</v>
      </c>
    </row>
    <row r="334" spans="1:8" x14ac:dyDescent="0.3">
      <c r="A334" s="9">
        <v>45189</v>
      </c>
      <c r="B334" t="s">
        <v>45</v>
      </c>
      <c r="C334" t="s">
        <v>20</v>
      </c>
      <c r="D334" t="s">
        <v>10</v>
      </c>
      <c r="E334" t="s">
        <v>23</v>
      </c>
      <c r="F334">
        <v>640</v>
      </c>
      <c r="G334">
        <v>34</v>
      </c>
      <c r="H334">
        <v>21.76</v>
      </c>
    </row>
    <row r="335" spans="1:8" x14ac:dyDescent="0.3">
      <c r="A335" s="9">
        <v>45187</v>
      </c>
      <c r="B335" t="s">
        <v>45</v>
      </c>
      <c r="C335" t="s">
        <v>35</v>
      </c>
      <c r="D335" t="s">
        <v>24</v>
      </c>
      <c r="E335" t="s">
        <v>34</v>
      </c>
      <c r="F335">
        <v>1670</v>
      </c>
      <c r="G335">
        <v>36</v>
      </c>
      <c r="H335">
        <v>60.12</v>
      </c>
    </row>
    <row r="336" spans="1:8" x14ac:dyDescent="0.3">
      <c r="A336" s="9">
        <v>44980</v>
      </c>
      <c r="B336" t="s">
        <v>45</v>
      </c>
      <c r="C336" t="s">
        <v>9</v>
      </c>
      <c r="D336" t="s">
        <v>13</v>
      </c>
      <c r="E336" t="s">
        <v>43</v>
      </c>
      <c r="F336">
        <v>1420</v>
      </c>
      <c r="G336">
        <v>79</v>
      </c>
      <c r="H336">
        <v>112.18</v>
      </c>
    </row>
    <row r="337" spans="1:8" x14ac:dyDescent="0.3">
      <c r="A337" s="9">
        <v>45187</v>
      </c>
      <c r="B337" t="s">
        <v>45</v>
      </c>
      <c r="C337" t="s">
        <v>35</v>
      </c>
      <c r="D337" t="s">
        <v>10</v>
      </c>
      <c r="E337" t="s">
        <v>41</v>
      </c>
      <c r="F337">
        <v>650</v>
      </c>
      <c r="G337">
        <v>24</v>
      </c>
      <c r="H337">
        <v>15.6</v>
      </c>
    </row>
    <row r="338" spans="1:8" x14ac:dyDescent="0.3">
      <c r="A338" s="9">
        <v>45187</v>
      </c>
      <c r="B338" t="s">
        <v>45</v>
      </c>
      <c r="C338" t="s">
        <v>33</v>
      </c>
      <c r="D338" t="s">
        <v>10</v>
      </c>
      <c r="E338" t="s">
        <v>16</v>
      </c>
      <c r="F338">
        <v>1380</v>
      </c>
      <c r="G338">
        <v>10</v>
      </c>
      <c r="H338">
        <v>13.8</v>
      </c>
    </row>
    <row r="339" spans="1:8" x14ac:dyDescent="0.3">
      <c r="A339" s="9">
        <v>45186</v>
      </c>
      <c r="B339" t="s">
        <v>45</v>
      </c>
      <c r="C339" t="s">
        <v>26</v>
      </c>
      <c r="D339" t="s">
        <v>13</v>
      </c>
      <c r="E339" t="s">
        <v>38</v>
      </c>
      <c r="F339">
        <v>2400</v>
      </c>
      <c r="G339">
        <v>96</v>
      </c>
      <c r="H339">
        <v>230.4</v>
      </c>
    </row>
    <row r="340" spans="1:8" x14ac:dyDescent="0.3">
      <c r="A340" s="9">
        <v>45186</v>
      </c>
      <c r="B340" t="s">
        <v>45</v>
      </c>
      <c r="C340" t="s">
        <v>20</v>
      </c>
      <c r="D340" t="s">
        <v>18</v>
      </c>
      <c r="E340" t="s">
        <v>37</v>
      </c>
      <c r="F340">
        <v>890</v>
      </c>
      <c r="G340">
        <v>92</v>
      </c>
      <c r="H340">
        <v>81.88</v>
      </c>
    </row>
    <row r="341" spans="1:8" x14ac:dyDescent="0.3">
      <c r="A341" s="9">
        <v>44980</v>
      </c>
      <c r="B341" t="s">
        <v>45</v>
      </c>
      <c r="C341" t="s">
        <v>15</v>
      </c>
      <c r="D341" t="s">
        <v>13</v>
      </c>
      <c r="E341" t="s">
        <v>43</v>
      </c>
      <c r="F341">
        <v>1420</v>
      </c>
      <c r="G341">
        <v>11</v>
      </c>
      <c r="H341">
        <v>15.62</v>
      </c>
    </row>
    <row r="342" spans="1:8" x14ac:dyDescent="0.3">
      <c r="A342" s="9">
        <v>44980</v>
      </c>
      <c r="B342" t="s">
        <v>45</v>
      </c>
      <c r="C342" t="s">
        <v>15</v>
      </c>
      <c r="D342" t="s">
        <v>13</v>
      </c>
      <c r="E342" t="s">
        <v>43</v>
      </c>
      <c r="F342">
        <v>1420</v>
      </c>
      <c r="G342">
        <v>10</v>
      </c>
      <c r="H342">
        <v>14.2</v>
      </c>
    </row>
    <row r="343" spans="1:8" x14ac:dyDescent="0.3">
      <c r="A343" s="9">
        <v>44980</v>
      </c>
      <c r="B343" t="s">
        <v>45</v>
      </c>
      <c r="C343" t="s">
        <v>15</v>
      </c>
      <c r="D343" t="s">
        <v>24</v>
      </c>
      <c r="E343" t="s">
        <v>42</v>
      </c>
      <c r="F343">
        <v>3205</v>
      </c>
      <c r="G343">
        <v>22</v>
      </c>
      <c r="H343">
        <v>70.510000000000005</v>
      </c>
    </row>
    <row r="344" spans="1:8" x14ac:dyDescent="0.3">
      <c r="A344" s="9">
        <v>45185</v>
      </c>
      <c r="B344" t="s">
        <v>45</v>
      </c>
      <c r="C344" t="s">
        <v>35</v>
      </c>
      <c r="D344" t="s">
        <v>24</v>
      </c>
      <c r="E344" t="s">
        <v>25</v>
      </c>
      <c r="F344">
        <v>1760</v>
      </c>
      <c r="G344">
        <v>71</v>
      </c>
      <c r="H344">
        <v>124.96</v>
      </c>
    </row>
    <row r="345" spans="1:8" x14ac:dyDescent="0.3">
      <c r="A345" s="9">
        <v>45185</v>
      </c>
      <c r="B345" t="s">
        <v>45</v>
      </c>
      <c r="C345" t="s">
        <v>26</v>
      </c>
      <c r="D345" t="s">
        <v>10</v>
      </c>
      <c r="E345" t="s">
        <v>11</v>
      </c>
      <c r="F345">
        <v>705</v>
      </c>
      <c r="G345">
        <v>42</v>
      </c>
      <c r="H345">
        <v>29.61</v>
      </c>
    </row>
    <row r="346" spans="1:8" x14ac:dyDescent="0.3">
      <c r="A346" s="9">
        <v>45184</v>
      </c>
      <c r="B346" t="s">
        <v>45</v>
      </c>
      <c r="C346" t="s">
        <v>26</v>
      </c>
      <c r="D346" t="s">
        <v>13</v>
      </c>
      <c r="E346" t="s">
        <v>14</v>
      </c>
      <c r="F346">
        <v>1320</v>
      </c>
      <c r="G346">
        <v>98</v>
      </c>
      <c r="H346">
        <v>129.36000000000001</v>
      </c>
    </row>
    <row r="347" spans="1:8" x14ac:dyDescent="0.3">
      <c r="A347" s="9">
        <v>45184</v>
      </c>
      <c r="B347" t="s">
        <v>45</v>
      </c>
      <c r="C347" t="s">
        <v>26</v>
      </c>
      <c r="D347" t="s">
        <v>13</v>
      </c>
      <c r="E347" t="s">
        <v>22</v>
      </c>
      <c r="F347">
        <v>930</v>
      </c>
      <c r="G347">
        <v>27</v>
      </c>
      <c r="H347">
        <v>25.11</v>
      </c>
    </row>
    <row r="348" spans="1:8" x14ac:dyDescent="0.3">
      <c r="A348" s="9">
        <v>45184</v>
      </c>
      <c r="B348" t="s">
        <v>45</v>
      </c>
      <c r="C348" t="s">
        <v>26</v>
      </c>
      <c r="D348" t="s">
        <v>13</v>
      </c>
      <c r="E348" t="s">
        <v>14</v>
      </c>
      <c r="F348">
        <v>1320</v>
      </c>
      <c r="G348">
        <v>87</v>
      </c>
      <c r="H348">
        <v>114.84</v>
      </c>
    </row>
    <row r="349" spans="1:8" x14ac:dyDescent="0.3">
      <c r="A349" s="9">
        <v>45184</v>
      </c>
      <c r="B349" t="s">
        <v>45</v>
      </c>
      <c r="C349" t="s">
        <v>26</v>
      </c>
      <c r="D349" t="s">
        <v>10</v>
      </c>
      <c r="E349" t="s">
        <v>11</v>
      </c>
      <c r="F349">
        <v>705</v>
      </c>
      <c r="G349">
        <v>32</v>
      </c>
      <c r="H349">
        <v>22.56</v>
      </c>
    </row>
    <row r="350" spans="1:8" x14ac:dyDescent="0.3">
      <c r="A350" s="9">
        <v>45184</v>
      </c>
      <c r="B350" t="s">
        <v>45</v>
      </c>
      <c r="C350" t="s">
        <v>20</v>
      </c>
      <c r="D350" t="s">
        <v>24</v>
      </c>
      <c r="E350" t="s">
        <v>30</v>
      </c>
      <c r="F350">
        <v>2970</v>
      </c>
      <c r="G350">
        <v>69</v>
      </c>
      <c r="H350">
        <v>204.93</v>
      </c>
    </row>
    <row r="351" spans="1:8" x14ac:dyDescent="0.3">
      <c r="A351" s="9">
        <v>45183</v>
      </c>
      <c r="B351" t="s">
        <v>45</v>
      </c>
      <c r="C351" t="s">
        <v>15</v>
      </c>
      <c r="D351" t="s">
        <v>13</v>
      </c>
      <c r="E351" t="s">
        <v>38</v>
      </c>
      <c r="F351">
        <v>2400</v>
      </c>
      <c r="G351">
        <v>45</v>
      </c>
      <c r="H351">
        <v>108</v>
      </c>
    </row>
    <row r="352" spans="1:8" x14ac:dyDescent="0.3">
      <c r="A352" s="9">
        <v>44981</v>
      </c>
      <c r="B352" t="s">
        <v>45</v>
      </c>
      <c r="C352" t="s">
        <v>20</v>
      </c>
      <c r="D352" t="s">
        <v>10</v>
      </c>
      <c r="E352" t="s">
        <v>39</v>
      </c>
      <c r="F352">
        <v>650</v>
      </c>
      <c r="G352">
        <v>69</v>
      </c>
      <c r="H352">
        <v>44.85</v>
      </c>
    </row>
    <row r="353" spans="1:8" x14ac:dyDescent="0.3">
      <c r="A353" s="9">
        <v>45183</v>
      </c>
      <c r="B353" t="s">
        <v>45</v>
      </c>
      <c r="C353" t="s">
        <v>9</v>
      </c>
      <c r="D353" t="s">
        <v>13</v>
      </c>
      <c r="E353" t="s">
        <v>14</v>
      </c>
      <c r="F353">
        <v>1320</v>
      </c>
      <c r="G353">
        <v>74</v>
      </c>
      <c r="H353">
        <v>97.68</v>
      </c>
    </row>
    <row r="354" spans="1:8" x14ac:dyDescent="0.3">
      <c r="A354" s="9">
        <v>45183</v>
      </c>
      <c r="B354" t="s">
        <v>45</v>
      </c>
      <c r="C354" t="s">
        <v>9</v>
      </c>
      <c r="D354" t="s">
        <v>18</v>
      </c>
      <c r="E354" t="s">
        <v>27</v>
      </c>
      <c r="F354">
        <v>460</v>
      </c>
      <c r="G354">
        <v>88</v>
      </c>
      <c r="H354">
        <v>40.479999999999997</v>
      </c>
    </row>
    <row r="355" spans="1:8" x14ac:dyDescent="0.3">
      <c r="A355" s="9">
        <v>44981</v>
      </c>
      <c r="B355" t="s">
        <v>45</v>
      </c>
      <c r="C355" t="s">
        <v>20</v>
      </c>
      <c r="D355" t="s">
        <v>24</v>
      </c>
      <c r="E355" t="s">
        <v>42</v>
      </c>
      <c r="F355">
        <v>3205</v>
      </c>
      <c r="G355">
        <v>21</v>
      </c>
      <c r="H355">
        <v>67.305000000000007</v>
      </c>
    </row>
    <row r="356" spans="1:8" x14ac:dyDescent="0.3">
      <c r="A356" s="9">
        <v>45182</v>
      </c>
      <c r="B356" t="s">
        <v>45</v>
      </c>
      <c r="C356" t="s">
        <v>15</v>
      </c>
      <c r="D356" t="s">
        <v>13</v>
      </c>
      <c r="E356" t="s">
        <v>43</v>
      </c>
      <c r="F356">
        <v>1420</v>
      </c>
      <c r="G356">
        <v>11</v>
      </c>
      <c r="H356">
        <v>15.62</v>
      </c>
    </row>
    <row r="357" spans="1:8" x14ac:dyDescent="0.3">
      <c r="A357" s="9">
        <v>45182</v>
      </c>
      <c r="B357" t="s">
        <v>45</v>
      </c>
      <c r="C357" t="s">
        <v>20</v>
      </c>
      <c r="D357" t="s">
        <v>10</v>
      </c>
      <c r="E357" t="s">
        <v>11</v>
      </c>
      <c r="F357">
        <v>705</v>
      </c>
      <c r="G357">
        <v>35</v>
      </c>
      <c r="H357">
        <v>24.675000000000001</v>
      </c>
    </row>
    <row r="358" spans="1:8" x14ac:dyDescent="0.3">
      <c r="A358" s="9">
        <v>45181</v>
      </c>
      <c r="B358" t="s">
        <v>45</v>
      </c>
      <c r="C358" t="s">
        <v>35</v>
      </c>
      <c r="D358" t="s">
        <v>18</v>
      </c>
      <c r="E358" t="s">
        <v>27</v>
      </c>
      <c r="F358">
        <v>460</v>
      </c>
      <c r="G358">
        <v>7</v>
      </c>
      <c r="H358">
        <v>3.22</v>
      </c>
    </row>
    <row r="359" spans="1:8" x14ac:dyDescent="0.3">
      <c r="A359" s="9">
        <v>45180</v>
      </c>
      <c r="B359" t="s">
        <v>45</v>
      </c>
      <c r="C359" t="s">
        <v>15</v>
      </c>
      <c r="D359" t="s">
        <v>10</v>
      </c>
      <c r="E359" t="s">
        <v>39</v>
      </c>
      <c r="F359">
        <v>650</v>
      </c>
      <c r="G359">
        <v>7</v>
      </c>
      <c r="H359">
        <v>4.55</v>
      </c>
    </row>
    <row r="360" spans="1:8" x14ac:dyDescent="0.3">
      <c r="A360" s="9">
        <v>45178</v>
      </c>
      <c r="B360" t="s">
        <v>45</v>
      </c>
      <c r="C360" t="s">
        <v>26</v>
      </c>
      <c r="D360" t="s">
        <v>18</v>
      </c>
      <c r="E360" t="s">
        <v>28</v>
      </c>
      <c r="F360">
        <v>690</v>
      </c>
      <c r="G360">
        <v>94</v>
      </c>
      <c r="H360">
        <v>64.86</v>
      </c>
    </row>
    <row r="361" spans="1:8" x14ac:dyDescent="0.3">
      <c r="A361" s="9">
        <v>45177</v>
      </c>
      <c r="B361" t="s">
        <v>45</v>
      </c>
      <c r="C361" t="s">
        <v>9</v>
      </c>
      <c r="D361" t="s">
        <v>13</v>
      </c>
      <c r="E361" t="s">
        <v>22</v>
      </c>
      <c r="F361">
        <v>930</v>
      </c>
      <c r="G361">
        <v>34</v>
      </c>
      <c r="H361">
        <v>31.62</v>
      </c>
    </row>
    <row r="362" spans="1:8" x14ac:dyDescent="0.3">
      <c r="A362" s="9">
        <v>45177</v>
      </c>
      <c r="B362" t="s">
        <v>45</v>
      </c>
      <c r="C362" t="s">
        <v>20</v>
      </c>
      <c r="D362" t="s">
        <v>13</v>
      </c>
      <c r="E362" t="s">
        <v>44</v>
      </c>
      <c r="F362">
        <v>2540</v>
      </c>
      <c r="G362">
        <v>82</v>
      </c>
      <c r="H362">
        <v>208.28</v>
      </c>
    </row>
    <row r="363" spans="1:8" x14ac:dyDescent="0.3">
      <c r="A363" s="9">
        <v>45176</v>
      </c>
      <c r="B363" t="s">
        <v>45</v>
      </c>
      <c r="C363" t="s">
        <v>33</v>
      </c>
      <c r="D363" t="s">
        <v>24</v>
      </c>
      <c r="E363" t="s">
        <v>32</v>
      </c>
      <c r="F363">
        <v>1505</v>
      </c>
      <c r="G363">
        <v>76</v>
      </c>
      <c r="H363">
        <v>114.38</v>
      </c>
    </row>
    <row r="364" spans="1:8" x14ac:dyDescent="0.3">
      <c r="A364" s="9">
        <v>45176</v>
      </c>
      <c r="B364" t="s">
        <v>45</v>
      </c>
      <c r="C364" t="s">
        <v>26</v>
      </c>
      <c r="D364" t="s">
        <v>18</v>
      </c>
      <c r="E364" t="s">
        <v>27</v>
      </c>
      <c r="F364">
        <v>460</v>
      </c>
      <c r="G364">
        <v>59</v>
      </c>
      <c r="H364">
        <v>27.14</v>
      </c>
    </row>
    <row r="365" spans="1:8" x14ac:dyDescent="0.3">
      <c r="A365" s="9">
        <v>45176</v>
      </c>
      <c r="B365" t="s">
        <v>45</v>
      </c>
      <c r="C365" t="s">
        <v>9</v>
      </c>
      <c r="D365" t="s">
        <v>10</v>
      </c>
      <c r="E365" t="s">
        <v>16</v>
      </c>
      <c r="F365">
        <v>1380</v>
      </c>
      <c r="G365">
        <v>14</v>
      </c>
      <c r="H365">
        <v>19.32</v>
      </c>
    </row>
    <row r="366" spans="1:8" x14ac:dyDescent="0.3">
      <c r="A366" s="9">
        <v>44982</v>
      </c>
      <c r="B366" t="s">
        <v>45</v>
      </c>
      <c r="C366" t="s">
        <v>20</v>
      </c>
      <c r="D366" t="s">
        <v>10</v>
      </c>
      <c r="E366" t="s">
        <v>16</v>
      </c>
      <c r="F366">
        <v>1380</v>
      </c>
      <c r="G366">
        <v>63</v>
      </c>
      <c r="H366">
        <v>86.94</v>
      </c>
    </row>
    <row r="367" spans="1:8" x14ac:dyDescent="0.3">
      <c r="A367" s="9">
        <v>44982</v>
      </c>
      <c r="B367" t="s">
        <v>45</v>
      </c>
      <c r="C367" t="s">
        <v>20</v>
      </c>
      <c r="D367" t="s">
        <v>10</v>
      </c>
      <c r="E367" t="s">
        <v>39</v>
      </c>
      <c r="F367">
        <v>650</v>
      </c>
      <c r="G367">
        <v>21</v>
      </c>
      <c r="H367">
        <v>13.65</v>
      </c>
    </row>
    <row r="368" spans="1:8" x14ac:dyDescent="0.3">
      <c r="A368" s="9">
        <v>45175</v>
      </c>
      <c r="B368" t="s">
        <v>45</v>
      </c>
      <c r="C368" t="s">
        <v>26</v>
      </c>
      <c r="D368" t="s">
        <v>13</v>
      </c>
      <c r="E368" t="s">
        <v>43</v>
      </c>
      <c r="F368">
        <v>1420</v>
      </c>
      <c r="G368">
        <v>12</v>
      </c>
      <c r="H368">
        <v>17.04</v>
      </c>
    </row>
    <row r="369" spans="1:8" x14ac:dyDescent="0.3">
      <c r="A369" s="9">
        <v>45175</v>
      </c>
      <c r="B369" t="s">
        <v>45</v>
      </c>
      <c r="C369" t="s">
        <v>9</v>
      </c>
      <c r="D369" t="s">
        <v>24</v>
      </c>
      <c r="E369" t="s">
        <v>25</v>
      </c>
      <c r="F369">
        <v>1760</v>
      </c>
      <c r="G369">
        <v>99</v>
      </c>
      <c r="H369">
        <v>174.24</v>
      </c>
    </row>
    <row r="370" spans="1:8" x14ac:dyDescent="0.3">
      <c r="A370" s="9">
        <v>44982</v>
      </c>
      <c r="B370" t="s">
        <v>45</v>
      </c>
      <c r="C370" t="s">
        <v>20</v>
      </c>
      <c r="D370" t="s">
        <v>24</v>
      </c>
      <c r="E370" t="s">
        <v>32</v>
      </c>
      <c r="F370">
        <v>1505</v>
      </c>
      <c r="G370">
        <v>53</v>
      </c>
      <c r="H370">
        <v>79.765000000000001</v>
      </c>
    </row>
    <row r="371" spans="1:8" x14ac:dyDescent="0.3">
      <c r="A371" s="9">
        <v>45174</v>
      </c>
      <c r="B371" t="s">
        <v>45</v>
      </c>
      <c r="C371" t="s">
        <v>33</v>
      </c>
      <c r="D371" t="s">
        <v>10</v>
      </c>
      <c r="E371" t="s">
        <v>40</v>
      </c>
      <c r="F371">
        <v>540</v>
      </c>
      <c r="G371">
        <v>39</v>
      </c>
      <c r="H371">
        <v>21.06</v>
      </c>
    </row>
    <row r="372" spans="1:8" x14ac:dyDescent="0.3">
      <c r="A372" s="9">
        <v>44982</v>
      </c>
      <c r="B372" t="s">
        <v>45</v>
      </c>
      <c r="C372" t="s">
        <v>26</v>
      </c>
      <c r="D372" t="s">
        <v>10</v>
      </c>
      <c r="E372" t="s">
        <v>40</v>
      </c>
      <c r="F372">
        <v>540</v>
      </c>
      <c r="G372">
        <v>27</v>
      </c>
      <c r="H372">
        <v>14.58</v>
      </c>
    </row>
    <row r="373" spans="1:8" x14ac:dyDescent="0.3">
      <c r="A373" s="9">
        <v>45174</v>
      </c>
      <c r="B373" t="s">
        <v>45</v>
      </c>
      <c r="C373" t="s">
        <v>26</v>
      </c>
      <c r="D373" t="s">
        <v>24</v>
      </c>
      <c r="E373" t="s">
        <v>34</v>
      </c>
      <c r="F373">
        <v>1670</v>
      </c>
      <c r="G373">
        <v>53</v>
      </c>
      <c r="H373">
        <v>88.51</v>
      </c>
    </row>
    <row r="374" spans="1:8" x14ac:dyDescent="0.3">
      <c r="A374" s="9">
        <v>44982</v>
      </c>
      <c r="B374" t="s">
        <v>45</v>
      </c>
      <c r="C374" t="s">
        <v>26</v>
      </c>
      <c r="D374" t="s">
        <v>24</v>
      </c>
      <c r="E374" t="s">
        <v>32</v>
      </c>
      <c r="F374">
        <v>1505</v>
      </c>
      <c r="G374">
        <v>39</v>
      </c>
      <c r="H374">
        <v>58.695</v>
      </c>
    </row>
    <row r="375" spans="1:8" x14ac:dyDescent="0.3">
      <c r="A375" s="9">
        <v>44982</v>
      </c>
      <c r="B375" t="s">
        <v>45</v>
      </c>
      <c r="C375" t="s">
        <v>15</v>
      </c>
      <c r="D375" t="s">
        <v>18</v>
      </c>
      <c r="E375" t="s">
        <v>19</v>
      </c>
      <c r="F375">
        <v>325</v>
      </c>
      <c r="G375">
        <v>98</v>
      </c>
      <c r="H375">
        <v>31.85</v>
      </c>
    </row>
    <row r="376" spans="1:8" x14ac:dyDescent="0.3">
      <c r="A376" s="9">
        <v>45174</v>
      </c>
      <c r="B376" t="s">
        <v>45</v>
      </c>
      <c r="C376" t="s">
        <v>26</v>
      </c>
      <c r="D376" t="s">
        <v>24</v>
      </c>
      <c r="E376" t="s">
        <v>30</v>
      </c>
      <c r="F376">
        <v>2970</v>
      </c>
      <c r="G376">
        <v>36</v>
      </c>
      <c r="H376">
        <v>106.92</v>
      </c>
    </row>
    <row r="377" spans="1:8" x14ac:dyDescent="0.3">
      <c r="A377" s="9">
        <v>45174</v>
      </c>
      <c r="B377" t="s">
        <v>45</v>
      </c>
      <c r="C377" t="s">
        <v>20</v>
      </c>
      <c r="D377" t="s">
        <v>13</v>
      </c>
      <c r="E377" t="s">
        <v>44</v>
      </c>
      <c r="F377">
        <v>2540</v>
      </c>
      <c r="G377">
        <v>21</v>
      </c>
      <c r="H377">
        <v>53.34</v>
      </c>
    </row>
    <row r="378" spans="1:8" x14ac:dyDescent="0.3">
      <c r="A378" s="9">
        <v>45174</v>
      </c>
      <c r="B378" t="s">
        <v>45</v>
      </c>
      <c r="C378" t="s">
        <v>20</v>
      </c>
      <c r="D378" t="s">
        <v>18</v>
      </c>
      <c r="E378" t="s">
        <v>19</v>
      </c>
      <c r="F378">
        <v>325</v>
      </c>
      <c r="G378">
        <v>58</v>
      </c>
      <c r="H378">
        <v>18.850000000000001</v>
      </c>
    </row>
    <row r="379" spans="1:8" x14ac:dyDescent="0.3">
      <c r="A379" s="9">
        <v>45173</v>
      </c>
      <c r="B379" t="s">
        <v>45</v>
      </c>
      <c r="C379" t="s">
        <v>35</v>
      </c>
      <c r="D379" t="s">
        <v>13</v>
      </c>
      <c r="E379" t="s">
        <v>43</v>
      </c>
      <c r="F379">
        <v>1420</v>
      </c>
      <c r="G379">
        <v>74</v>
      </c>
      <c r="H379">
        <v>105.08</v>
      </c>
    </row>
    <row r="380" spans="1:8" x14ac:dyDescent="0.3">
      <c r="A380" s="9">
        <v>44982</v>
      </c>
      <c r="B380" t="s">
        <v>45</v>
      </c>
      <c r="C380" t="s">
        <v>35</v>
      </c>
      <c r="D380" t="s">
        <v>24</v>
      </c>
      <c r="E380" t="s">
        <v>34</v>
      </c>
      <c r="F380">
        <v>1670</v>
      </c>
      <c r="G380">
        <v>67</v>
      </c>
      <c r="H380">
        <v>111.89</v>
      </c>
    </row>
    <row r="381" spans="1:8" x14ac:dyDescent="0.3">
      <c r="A381" s="9">
        <v>44982</v>
      </c>
      <c r="B381" t="s">
        <v>45</v>
      </c>
      <c r="C381" t="s">
        <v>35</v>
      </c>
      <c r="D381" t="s">
        <v>24</v>
      </c>
      <c r="E381" t="s">
        <v>42</v>
      </c>
      <c r="F381">
        <v>3205</v>
      </c>
      <c r="G381">
        <v>38</v>
      </c>
      <c r="H381">
        <v>121.79</v>
      </c>
    </row>
    <row r="382" spans="1:8" x14ac:dyDescent="0.3">
      <c r="A382" s="9">
        <v>44982</v>
      </c>
      <c r="B382" t="s">
        <v>45</v>
      </c>
      <c r="C382" t="s">
        <v>33</v>
      </c>
      <c r="D382" t="s">
        <v>24</v>
      </c>
      <c r="E382" t="s">
        <v>42</v>
      </c>
      <c r="F382">
        <v>3205</v>
      </c>
      <c r="G382">
        <v>27</v>
      </c>
      <c r="H382">
        <v>86.534999999999997</v>
      </c>
    </row>
    <row r="383" spans="1:8" x14ac:dyDescent="0.3">
      <c r="A383" s="9">
        <v>45173</v>
      </c>
      <c r="B383" t="s">
        <v>45</v>
      </c>
      <c r="C383" t="s">
        <v>33</v>
      </c>
      <c r="D383" t="s">
        <v>10</v>
      </c>
      <c r="E383" t="s">
        <v>23</v>
      </c>
      <c r="F383">
        <v>640</v>
      </c>
      <c r="G383">
        <v>81</v>
      </c>
      <c r="H383">
        <v>51.84</v>
      </c>
    </row>
    <row r="384" spans="1:8" x14ac:dyDescent="0.3">
      <c r="A384" s="9">
        <v>44983</v>
      </c>
      <c r="B384" t="s">
        <v>45</v>
      </c>
      <c r="C384" t="s">
        <v>20</v>
      </c>
      <c r="D384" t="s">
        <v>18</v>
      </c>
      <c r="E384" t="s">
        <v>19</v>
      </c>
      <c r="F384">
        <v>325</v>
      </c>
      <c r="G384">
        <v>12</v>
      </c>
      <c r="H384">
        <v>3.9</v>
      </c>
    </row>
    <row r="385" spans="1:8" x14ac:dyDescent="0.3">
      <c r="A385" s="9">
        <v>44983</v>
      </c>
      <c r="B385" t="s">
        <v>45</v>
      </c>
      <c r="C385" t="s">
        <v>20</v>
      </c>
      <c r="D385" t="s">
        <v>24</v>
      </c>
      <c r="E385" t="s">
        <v>42</v>
      </c>
      <c r="F385">
        <v>3205</v>
      </c>
      <c r="G385">
        <v>69</v>
      </c>
      <c r="H385">
        <v>221.14500000000001</v>
      </c>
    </row>
    <row r="386" spans="1:8" x14ac:dyDescent="0.3">
      <c r="A386" s="9">
        <v>45173</v>
      </c>
      <c r="B386" t="s">
        <v>45</v>
      </c>
      <c r="C386" t="s">
        <v>9</v>
      </c>
      <c r="D386" t="s">
        <v>18</v>
      </c>
      <c r="E386" t="s">
        <v>37</v>
      </c>
      <c r="F386">
        <v>890</v>
      </c>
      <c r="G386">
        <v>53</v>
      </c>
      <c r="H386">
        <v>47.17</v>
      </c>
    </row>
    <row r="387" spans="1:8" x14ac:dyDescent="0.3">
      <c r="A387" s="9">
        <v>45173</v>
      </c>
      <c r="B387" t="s">
        <v>45</v>
      </c>
      <c r="C387" t="s">
        <v>20</v>
      </c>
      <c r="D387" t="s">
        <v>24</v>
      </c>
      <c r="E387" t="s">
        <v>30</v>
      </c>
      <c r="F387">
        <v>2970</v>
      </c>
      <c r="G387">
        <v>46</v>
      </c>
      <c r="H387">
        <v>136.62</v>
      </c>
    </row>
    <row r="388" spans="1:8" x14ac:dyDescent="0.3">
      <c r="A388" s="9">
        <v>45172</v>
      </c>
      <c r="B388" t="s">
        <v>45</v>
      </c>
      <c r="C388" t="s">
        <v>15</v>
      </c>
      <c r="D388" t="s">
        <v>18</v>
      </c>
      <c r="E388" t="s">
        <v>27</v>
      </c>
      <c r="F388">
        <v>460</v>
      </c>
      <c r="G388">
        <v>39</v>
      </c>
      <c r="H388">
        <v>17.940000000000001</v>
      </c>
    </row>
    <row r="389" spans="1:8" x14ac:dyDescent="0.3">
      <c r="A389" s="9">
        <v>45171</v>
      </c>
      <c r="B389" t="s">
        <v>45</v>
      </c>
      <c r="C389" t="s">
        <v>9</v>
      </c>
      <c r="D389" t="s">
        <v>24</v>
      </c>
      <c r="E389" t="s">
        <v>32</v>
      </c>
      <c r="F389">
        <v>1505</v>
      </c>
      <c r="G389">
        <v>8</v>
      </c>
      <c r="H389">
        <v>12.04</v>
      </c>
    </row>
    <row r="390" spans="1:8" x14ac:dyDescent="0.3">
      <c r="A390" s="9">
        <v>45171</v>
      </c>
      <c r="B390" t="s">
        <v>45</v>
      </c>
      <c r="C390" t="s">
        <v>20</v>
      </c>
      <c r="D390" t="s">
        <v>10</v>
      </c>
      <c r="E390" t="s">
        <v>23</v>
      </c>
      <c r="F390">
        <v>640</v>
      </c>
      <c r="G390">
        <v>52</v>
      </c>
      <c r="H390">
        <v>33.28</v>
      </c>
    </row>
    <row r="391" spans="1:8" x14ac:dyDescent="0.3">
      <c r="A391" s="9">
        <v>45170</v>
      </c>
      <c r="B391" t="s">
        <v>45</v>
      </c>
      <c r="C391" t="s">
        <v>35</v>
      </c>
      <c r="D391" t="s">
        <v>10</v>
      </c>
      <c r="E391" t="s">
        <v>40</v>
      </c>
      <c r="F391">
        <v>540</v>
      </c>
      <c r="G391">
        <v>28</v>
      </c>
      <c r="H391">
        <v>15.12</v>
      </c>
    </row>
    <row r="392" spans="1:8" x14ac:dyDescent="0.3">
      <c r="A392" s="9">
        <v>45170</v>
      </c>
      <c r="B392" t="s">
        <v>45</v>
      </c>
      <c r="C392" t="s">
        <v>26</v>
      </c>
      <c r="D392" t="s">
        <v>10</v>
      </c>
      <c r="E392" t="s">
        <v>39</v>
      </c>
      <c r="F392">
        <v>650</v>
      </c>
      <c r="G392">
        <v>74</v>
      </c>
      <c r="H392">
        <v>48.1</v>
      </c>
    </row>
    <row r="393" spans="1:8" x14ac:dyDescent="0.3">
      <c r="A393" s="9">
        <v>44983</v>
      </c>
      <c r="B393" t="s">
        <v>45</v>
      </c>
      <c r="C393" t="s">
        <v>35</v>
      </c>
      <c r="D393" t="s">
        <v>10</v>
      </c>
      <c r="E393" t="s">
        <v>23</v>
      </c>
      <c r="F393">
        <v>640</v>
      </c>
      <c r="G393">
        <v>57</v>
      </c>
      <c r="H393">
        <v>36.479999999999997</v>
      </c>
    </row>
    <row r="394" spans="1:8" x14ac:dyDescent="0.3">
      <c r="A394" s="9">
        <v>45170</v>
      </c>
      <c r="B394" t="s">
        <v>45</v>
      </c>
      <c r="C394" t="s">
        <v>20</v>
      </c>
      <c r="D394" t="s">
        <v>10</v>
      </c>
      <c r="E394" t="s">
        <v>39</v>
      </c>
      <c r="F394">
        <v>650</v>
      </c>
      <c r="G394">
        <v>30</v>
      </c>
      <c r="H394">
        <v>19.5</v>
      </c>
    </row>
    <row r="395" spans="1:8" x14ac:dyDescent="0.3">
      <c r="A395" s="9">
        <v>45169</v>
      </c>
      <c r="B395" t="s">
        <v>45</v>
      </c>
      <c r="C395" t="s">
        <v>9</v>
      </c>
      <c r="D395" t="s">
        <v>24</v>
      </c>
      <c r="E395" t="s">
        <v>30</v>
      </c>
      <c r="F395">
        <v>2970</v>
      </c>
      <c r="G395">
        <v>74</v>
      </c>
      <c r="H395">
        <v>219.78</v>
      </c>
    </row>
    <row r="396" spans="1:8" x14ac:dyDescent="0.3">
      <c r="A396" s="9">
        <v>45169</v>
      </c>
      <c r="B396" t="s">
        <v>45</v>
      </c>
      <c r="C396" t="s">
        <v>20</v>
      </c>
      <c r="D396" t="s">
        <v>10</v>
      </c>
      <c r="E396" t="s">
        <v>40</v>
      </c>
      <c r="F396">
        <v>540</v>
      </c>
      <c r="G396">
        <v>69</v>
      </c>
      <c r="H396">
        <v>37.26</v>
      </c>
    </row>
    <row r="397" spans="1:8" x14ac:dyDescent="0.3">
      <c r="A397" s="9">
        <v>45168</v>
      </c>
      <c r="B397" t="s">
        <v>45</v>
      </c>
      <c r="C397" t="s">
        <v>35</v>
      </c>
      <c r="D397" t="s">
        <v>13</v>
      </c>
      <c r="E397" t="s">
        <v>14</v>
      </c>
      <c r="F397">
        <v>1320</v>
      </c>
      <c r="G397">
        <v>60</v>
      </c>
      <c r="H397">
        <v>79.2</v>
      </c>
    </row>
    <row r="398" spans="1:8" x14ac:dyDescent="0.3">
      <c r="A398" s="9">
        <v>44983</v>
      </c>
      <c r="B398" t="s">
        <v>45</v>
      </c>
      <c r="C398" t="s">
        <v>9</v>
      </c>
      <c r="D398" t="s">
        <v>18</v>
      </c>
      <c r="E398" t="s">
        <v>31</v>
      </c>
      <c r="F398">
        <v>715</v>
      </c>
      <c r="G398">
        <v>60</v>
      </c>
      <c r="H398">
        <v>42.9</v>
      </c>
    </row>
    <row r="399" spans="1:8" x14ac:dyDescent="0.3">
      <c r="A399" s="9">
        <v>45168</v>
      </c>
      <c r="B399" t="s">
        <v>45</v>
      </c>
      <c r="C399" t="s">
        <v>20</v>
      </c>
      <c r="D399" t="s">
        <v>24</v>
      </c>
      <c r="E399" t="s">
        <v>36</v>
      </c>
      <c r="F399">
        <v>2460</v>
      </c>
      <c r="G399">
        <v>78</v>
      </c>
      <c r="H399">
        <v>191.88</v>
      </c>
    </row>
    <row r="400" spans="1:8" x14ac:dyDescent="0.3">
      <c r="A400" s="9">
        <v>45167</v>
      </c>
      <c r="B400" t="s">
        <v>45</v>
      </c>
      <c r="C400" t="s">
        <v>35</v>
      </c>
      <c r="D400" t="s">
        <v>18</v>
      </c>
      <c r="E400" t="s">
        <v>19</v>
      </c>
      <c r="F400">
        <v>325</v>
      </c>
      <c r="G400">
        <v>24</v>
      </c>
      <c r="H400">
        <v>7.8</v>
      </c>
    </row>
    <row r="401" spans="1:8" x14ac:dyDescent="0.3">
      <c r="A401" s="9">
        <v>45167</v>
      </c>
      <c r="B401" t="s">
        <v>45</v>
      </c>
      <c r="C401" t="s">
        <v>26</v>
      </c>
      <c r="D401" t="s">
        <v>13</v>
      </c>
      <c r="E401" t="s">
        <v>38</v>
      </c>
      <c r="F401">
        <v>2400</v>
      </c>
      <c r="G401">
        <v>86</v>
      </c>
      <c r="H401">
        <v>206.4</v>
      </c>
    </row>
    <row r="402" spans="1:8" x14ac:dyDescent="0.3">
      <c r="A402" s="9">
        <v>45166</v>
      </c>
      <c r="B402" t="s">
        <v>45</v>
      </c>
      <c r="C402" t="s">
        <v>26</v>
      </c>
      <c r="D402" t="s">
        <v>10</v>
      </c>
      <c r="E402" t="s">
        <v>11</v>
      </c>
      <c r="F402">
        <v>705</v>
      </c>
      <c r="G402">
        <v>71</v>
      </c>
      <c r="H402">
        <v>50.055</v>
      </c>
    </row>
    <row r="403" spans="1:8" x14ac:dyDescent="0.3">
      <c r="A403" s="9">
        <v>45165</v>
      </c>
      <c r="B403" t="s">
        <v>45</v>
      </c>
      <c r="C403" t="s">
        <v>35</v>
      </c>
      <c r="D403" t="s">
        <v>24</v>
      </c>
      <c r="E403" t="s">
        <v>42</v>
      </c>
      <c r="F403">
        <v>3205</v>
      </c>
      <c r="G403">
        <v>84</v>
      </c>
      <c r="H403">
        <v>269.22000000000003</v>
      </c>
    </row>
    <row r="404" spans="1:8" x14ac:dyDescent="0.3">
      <c r="A404" s="9">
        <v>45165</v>
      </c>
      <c r="B404" t="s">
        <v>45</v>
      </c>
      <c r="C404" t="s">
        <v>15</v>
      </c>
      <c r="D404" t="s">
        <v>18</v>
      </c>
      <c r="E404" t="s">
        <v>28</v>
      </c>
      <c r="F404">
        <v>690</v>
      </c>
      <c r="G404">
        <v>7</v>
      </c>
      <c r="H404">
        <v>4.83</v>
      </c>
    </row>
    <row r="405" spans="1:8" x14ac:dyDescent="0.3">
      <c r="A405" s="9">
        <v>45165</v>
      </c>
      <c r="B405" t="s">
        <v>45</v>
      </c>
      <c r="C405" t="s">
        <v>20</v>
      </c>
      <c r="D405" t="s">
        <v>24</v>
      </c>
      <c r="E405" t="s">
        <v>32</v>
      </c>
      <c r="F405">
        <v>1505</v>
      </c>
      <c r="G405">
        <v>80</v>
      </c>
      <c r="H405">
        <v>120.4</v>
      </c>
    </row>
    <row r="406" spans="1:8" x14ac:dyDescent="0.3">
      <c r="A406" s="9">
        <v>45164</v>
      </c>
      <c r="B406" t="s">
        <v>45</v>
      </c>
      <c r="C406" t="s">
        <v>33</v>
      </c>
      <c r="D406" t="s">
        <v>24</v>
      </c>
      <c r="E406" t="s">
        <v>42</v>
      </c>
      <c r="F406">
        <v>3205</v>
      </c>
      <c r="G406">
        <v>87</v>
      </c>
      <c r="H406">
        <v>278.83499999999998</v>
      </c>
    </row>
    <row r="407" spans="1:8" x14ac:dyDescent="0.3">
      <c r="A407" s="9">
        <v>45164</v>
      </c>
      <c r="B407" t="s">
        <v>45</v>
      </c>
      <c r="C407" t="s">
        <v>15</v>
      </c>
      <c r="D407" t="s">
        <v>24</v>
      </c>
      <c r="E407" t="s">
        <v>36</v>
      </c>
      <c r="F407">
        <v>2460</v>
      </c>
      <c r="G407">
        <v>57</v>
      </c>
      <c r="H407">
        <v>140.22</v>
      </c>
    </row>
    <row r="408" spans="1:8" x14ac:dyDescent="0.3">
      <c r="A408" s="9">
        <v>45164</v>
      </c>
      <c r="B408" t="s">
        <v>45</v>
      </c>
      <c r="C408" t="s">
        <v>26</v>
      </c>
      <c r="D408" t="s">
        <v>13</v>
      </c>
      <c r="E408" t="s">
        <v>22</v>
      </c>
      <c r="F408">
        <v>930</v>
      </c>
      <c r="G408">
        <v>31</v>
      </c>
      <c r="H408">
        <v>28.83</v>
      </c>
    </row>
    <row r="409" spans="1:8" x14ac:dyDescent="0.3">
      <c r="A409" s="9">
        <v>45163</v>
      </c>
      <c r="B409" t="s">
        <v>45</v>
      </c>
      <c r="C409" t="s">
        <v>26</v>
      </c>
      <c r="D409" t="s">
        <v>24</v>
      </c>
      <c r="E409" t="s">
        <v>34</v>
      </c>
      <c r="F409">
        <v>1670</v>
      </c>
      <c r="G409">
        <v>76</v>
      </c>
      <c r="H409">
        <v>126.92</v>
      </c>
    </row>
    <row r="410" spans="1:8" x14ac:dyDescent="0.3">
      <c r="A410" s="9">
        <v>45163</v>
      </c>
      <c r="B410" t="s">
        <v>45</v>
      </c>
      <c r="C410" t="s">
        <v>26</v>
      </c>
      <c r="D410" t="s">
        <v>13</v>
      </c>
      <c r="E410" t="s">
        <v>29</v>
      </c>
      <c r="F410">
        <v>1230</v>
      </c>
      <c r="G410">
        <v>39</v>
      </c>
      <c r="H410">
        <v>47.97</v>
      </c>
    </row>
    <row r="411" spans="1:8" x14ac:dyDescent="0.3">
      <c r="A411" s="9">
        <v>45162</v>
      </c>
      <c r="B411" t="s">
        <v>45</v>
      </c>
      <c r="C411" t="s">
        <v>35</v>
      </c>
      <c r="D411" t="s">
        <v>13</v>
      </c>
      <c r="E411" t="s">
        <v>43</v>
      </c>
      <c r="F411">
        <v>1420</v>
      </c>
      <c r="G411">
        <v>41</v>
      </c>
      <c r="H411">
        <v>58.22</v>
      </c>
    </row>
    <row r="412" spans="1:8" x14ac:dyDescent="0.3">
      <c r="A412" s="9">
        <v>44984</v>
      </c>
      <c r="B412" t="s">
        <v>45</v>
      </c>
      <c r="C412" t="s">
        <v>33</v>
      </c>
      <c r="D412" t="s">
        <v>18</v>
      </c>
      <c r="E412" t="s">
        <v>21</v>
      </c>
      <c r="F412">
        <v>450</v>
      </c>
      <c r="G412">
        <v>69</v>
      </c>
      <c r="H412">
        <v>31.05</v>
      </c>
    </row>
    <row r="413" spans="1:8" x14ac:dyDescent="0.3">
      <c r="A413" s="9">
        <v>45162</v>
      </c>
      <c r="B413" t="s">
        <v>45</v>
      </c>
      <c r="C413" t="s">
        <v>9</v>
      </c>
      <c r="D413" t="s">
        <v>18</v>
      </c>
      <c r="E413" t="s">
        <v>37</v>
      </c>
      <c r="F413">
        <v>890</v>
      </c>
      <c r="G413">
        <v>19</v>
      </c>
      <c r="H413">
        <v>16.91</v>
      </c>
    </row>
    <row r="414" spans="1:8" x14ac:dyDescent="0.3">
      <c r="A414" s="9">
        <v>45162</v>
      </c>
      <c r="B414" t="s">
        <v>45</v>
      </c>
      <c r="C414" t="s">
        <v>20</v>
      </c>
      <c r="D414" t="s">
        <v>24</v>
      </c>
      <c r="E414" t="s">
        <v>36</v>
      </c>
      <c r="F414">
        <v>2460</v>
      </c>
      <c r="G414">
        <v>26</v>
      </c>
      <c r="H414">
        <v>63.96</v>
      </c>
    </row>
    <row r="415" spans="1:8" x14ac:dyDescent="0.3">
      <c r="A415" s="9">
        <v>45158</v>
      </c>
      <c r="B415" t="s">
        <v>45</v>
      </c>
      <c r="C415" t="s">
        <v>35</v>
      </c>
      <c r="D415" t="s">
        <v>13</v>
      </c>
      <c r="E415" t="s">
        <v>14</v>
      </c>
      <c r="F415">
        <v>1320</v>
      </c>
      <c r="G415">
        <v>12</v>
      </c>
      <c r="H415">
        <v>15.84</v>
      </c>
    </row>
    <row r="416" spans="1:8" x14ac:dyDescent="0.3">
      <c r="A416" s="9">
        <v>45158</v>
      </c>
      <c r="B416" t="s">
        <v>45</v>
      </c>
      <c r="C416" t="s">
        <v>26</v>
      </c>
      <c r="D416" t="s">
        <v>18</v>
      </c>
      <c r="E416" t="s">
        <v>31</v>
      </c>
      <c r="F416">
        <v>715</v>
      </c>
      <c r="G416">
        <v>59</v>
      </c>
      <c r="H416">
        <v>42.185000000000002</v>
      </c>
    </row>
    <row r="417" spans="1:8" x14ac:dyDescent="0.3">
      <c r="A417" s="9">
        <v>45158</v>
      </c>
      <c r="B417" t="s">
        <v>45</v>
      </c>
      <c r="C417" t="s">
        <v>9</v>
      </c>
      <c r="D417" t="s">
        <v>10</v>
      </c>
      <c r="E417" t="s">
        <v>23</v>
      </c>
      <c r="F417">
        <v>640</v>
      </c>
      <c r="G417">
        <v>65</v>
      </c>
      <c r="H417">
        <v>41.6</v>
      </c>
    </row>
    <row r="418" spans="1:8" x14ac:dyDescent="0.3">
      <c r="A418" s="9">
        <v>45157</v>
      </c>
      <c r="B418" t="s">
        <v>45</v>
      </c>
      <c r="C418" t="s">
        <v>15</v>
      </c>
      <c r="D418" t="s">
        <v>10</v>
      </c>
      <c r="E418" t="s">
        <v>41</v>
      </c>
      <c r="F418">
        <v>650</v>
      </c>
      <c r="G418">
        <v>34</v>
      </c>
      <c r="H418">
        <v>22.1</v>
      </c>
    </row>
    <row r="419" spans="1:8" x14ac:dyDescent="0.3">
      <c r="A419" s="9">
        <v>45157</v>
      </c>
      <c r="B419" t="s">
        <v>45</v>
      </c>
      <c r="C419" t="s">
        <v>9</v>
      </c>
      <c r="D419" t="s">
        <v>13</v>
      </c>
      <c r="E419" t="s">
        <v>29</v>
      </c>
      <c r="F419">
        <v>1230</v>
      </c>
      <c r="G419">
        <v>100</v>
      </c>
      <c r="H419">
        <v>123</v>
      </c>
    </row>
    <row r="420" spans="1:8" x14ac:dyDescent="0.3">
      <c r="A420" s="9">
        <v>45156</v>
      </c>
      <c r="B420" t="s">
        <v>45</v>
      </c>
      <c r="C420" t="s">
        <v>20</v>
      </c>
      <c r="D420" t="s">
        <v>24</v>
      </c>
      <c r="E420" t="s">
        <v>32</v>
      </c>
      <c r="F420">
        <v>1505</v>
      </c>
      <c r="G420">
        <v>92</v>
      </c>
      <c r="H420">
        <v>138.46</v>
      </c>
    </row>
    <row r="421" spans="1:8" x14ac:dyDescent="0.3">
      <c r="A421" s="9">
        <v>45155</v>
      </c>
      <c r="B421" t="s">
        <v>45</v>
      </c>
      <c r="C421" t="s">
        <v>20</v>
      </c>
      <c r="D421" t="s">
        <v>18</v>
      </c>
      <c r="E421" t="s">
        <v>21</v>
      </c>
      <c r="F421">
        <v>450</v>
      </c>
      <c r="G421">
        <v>91</v>
      </c>
      <c r="H421">
        <v>40.950000000000003</v>
      </c>
    </row>
    <row r="422" spans="1:8" x14ac:dyDescent="0.3">
      <c r="A422" s="9">
        <v>45155</v>
      </c>
      <c r="B422" t="s">
        <v>45</v>
      </c>
      <c r="C422" t="s">
        <v>20</v>
      </c>
      <c r="D422" t="s">
        <v>10</v>
      </c>
      <c r="E422" t="s">
        <v>11</v>
      </c>
      <c r="F422">
        <v>705</v>
      </c>
      <c r="G422">
        <v>40</v>
      </c>
      <c r="H422">
        <v>28.2</v>
      </c>
    </row>
    <row r="423" spans="1:8" x14ac:dyDescent="0.3">
      <c r="A423" s="9">
        <v>45154</v>
      </c>
      <c r="B423" t="s">
        <v>45</v>
      </c>
      <c r="C423" t="s">
        <v>35</v>
      </c>
      <c r="D423" t="s">
        <v>24</v>
      </c>
      <c r="E423" t="s">
        <v>32</v>
      </c>
      <c r="F423">
        <v>1505</v>
      </c>
      <c r="G423">
        <v>90</v>
      </c>
      <c r="H423">
        <v>135.44999999999999</v>
      </c>
    </row>
    <row r="424" spans="1:8" x14ac:dyDescent="0.3">
      <c r="A424" s="9">
        <v>45154</v>
      </c>
      <c r="B424" t="s">
        <v>45</v>
      </c>
      <c r="C424" t="s">
        <v>20</v>
      </c>
      <c r="D424" t="s">
        <v>13</v>
      </c>
      <c r="E424" t="s">
        <v>29</v>
      </c>
      <c r="F424">
        <v>1230</v>
      </c>
      <c r="G424">
        <v>11</v>
      </c>
      <c r="H424">
        <v>13.53</v>
      </c>
    </row>
    <row r="425" spans="1:8" x14ac:dyDescent="0.3">
      <c r="A425" s="9">
        <v>45154</v>
      </c>
      <c r="B425" t="s">
        <v>45</v>
      </c>
      <c r="C425" t="s">
        <v>20</v>
      </c>
      <c r="D425" t="s">
        <v>10</v>
      </c>
      <c r="E425" t="s">
        <v>23</v>
      </c>
      <c r="F425">
        <v>640</v>
      </c>
      <c r="G425">
        <v>36</v>
      </c>
      <c r="H425">
        <v>23.04</v>
      </c>
    </row>
    <row r="426" spans="1:8" x14ac:dyDescent="0.3">
      <c r="A426" s="9">
        <v>45153</v>
      </c>
      <c r="B426" t="s">
        <v>45</v>
      </c>
      <c r="C426" t="s">
        <v>33</v>
      </c>
      <c r="D426" t="s">
        <v>24</v>
      </c>
      <c r="E426" t="s">
        <v>25</v>
      </c>
      <c r="F426">
        <v>1760</v>
      </c>
      <c r="G426">
        <v>81</v>
      </c>
      <c r="H426">
        <v>142.56</v>
      </c>
    </row>
    <row r="427" spans="1:8" x14ac:dyDescent="0.3">
      <c r="A427" s="9">
        <v>44985</v>
      </c>
      <c r="B427" t="s">
        <v>45</v>
      </c>
      <c r="C427" t="s">
        <v>15</v>
      </c>
      <c r="D427" t="s">
        <v>18</v>
      </c>
      <c r="E427" t="s">
        <v>19</v>
      </c>
      <c r="F427">
        <v>325</v>
      </c>
      <c r="G427">
        <v>80</v>
      </c>
      <c r="H427">
        <v>26</v>
      </c>
    </row>
    <row r="428" spans="1:8" x14ac:dyDescent="0.3">
      <c r="A428" s="9">
        <v>45153</v>
      </c>
      <c r="B428" t="s">
        <v>45</v>
      </c>
      <c r="C428" t="s">
        <v>15</v>
      </c>
      <c r="D428" t="s">
        <v>24</v>
      </c>
      <c r="E428" t="s">
        <v>36</v>
      </c>
      <c r="F428">
        <v>2460</v>
      </c>
      <c r="G428">
        <v>64</v>
      </c>
      <c r="H428">
        <v>157.44</v>
      </c>
    </row>
    <row r="429" spans="1:8" x14ac:dyDescent="0.3">
      <c r="A429" s="9">
        <v>45153</v>
      </c>
      <c r="B429" t="s">
        <v>45</v>
      </c>
      <c r="C429" t="s">
        <v>20</v>
      </c>
      <c r="D429" t="s">
        <v>13</v>
      </c>
      <c r="E429" t="s">
        <v>29</v>
      </c>
      <c r="F429">
        <v>1230</v>
      </c>
      <c r="G429">
        <v>70</v>
      </c>
      <c r="H429">
        <v>86.1</v>
      </c>
    </row>
    <row r="430" spans="1:8" x14ac:dyDescent="0.3">
      <c r="A430" s="9">
        <v>45153</v>
      </c>
      <c r="B430" t="s">
        <v>45</v>
      </c>
      <c r="C430" t="s">
        <v>20</v>
      </c>
      <c r="D430" t="s">
        <v>18</v>
      </c>
      <c r="E430" t="s">
        <v>21</v>
      </c>
      <c r="F430">
        <v>450</v>
      </c>
      <c r="G430">
        <v>7</v>
      </c>
      <c r="H430">
        <v>3.15</v>
      </c>
    </row>
    <row r="431" spans="1:8" x14ac:dyDescent="0.3">
      <c r="A431" s="9">
        <v>44985</v>
      </c>
      <c r="B431" t="s">
        <v>45</v>
      </c>
      <c r="C431" t="s">
        <v>33</v>
      </c>
      <c r="D431" t="s">
        <v>24</v>
      </c>
      <c r="E431" t="s">
        <v>30</v>
      </c>
      <c r="F431">
        <v>2970</v>
      </c>
      <c r="G431">
        <v>9</v>
      </c>
      <c r="H431">
        <v>26.73</v>
      </c>
    </row>
    <row r="432" spans="1:8" x14ac:dyDescent="0.3">
      <c r="A432" s="9">
        <v>45152</v>
      </c>
      <c r="B432" t="s">
        <v>45</v>
      </c>
      <c r="C432" t="s">
        <v>33</v>
      </c>
      <c r="D432" t="s">
        <v>24</v>
      </c>
      <c r="E432" t="s">
        <v>32</v>
      </c>
      <c r="F432">
        <v>1505</v>
      </c>
      <c r="G432">
        <v>90</v>
      </c>
      <c r="H432">
        <v>135.44999999999999</v>
      </c>
    </row>
    <row r="433" spans="1:8" x14ac:dyDescent="0.3">
      <c r="A433" s="9">
        <v>45152</v>
      </c>
      <c r="B433" t="s">
        <v>45</v>
      </c>
      <c r="C433" t="s">
        <v>33</v>
      </c>
      <c r="D433" t="s">
        <v>24</v>
      </c>
      <c r="E433" t="s">
        <v>36</v>
      </c>
      <c r="F433">
        <v>2460</v>
      </c>
      <c r="G433">
        <v>75</v>
      </c>
      <c r="H433">
        <v>184.5</v>
      </c>
    </row>
    <row r="434" spans="1:8" x14ac:dyDescent="0.3">
      <c r="A434" s="9">
        <v>45152</v>
      </c>
      <c r="B434" t="s">
        <v>45</v>
      </c>
      <c r="C434" t="s">
        <v>15</v>
      </c>
      <c r="D434" t="s">
        <v>18</v>
      </c>
      <c r="E434" t="s">
        <v>28</v>
      </c>
      <c r="F434">
        <v>690</v>
      </c>
      <c r="G434">
        <v>25</v>
      </c>
      <c r="H434">
        <v>17.25</v>
      </c>
    </row>
    <row r="435" spans="1:8" x14ac:dyDescent="0.3">
      <c r="A435" s="9">
        <v>45152</v>
      </c>
      <c r="B435" t="s">
        <v>45</v>
      </c>
      <c r="C435" t="s">
        <v>15</v>
      </c>
      <c r="D435" t="s">
        <v>10</v>
      </c>
      <c r="E435" t="s">
        <v>40</v>
      </c>
      <c r="F435">
        <v>540</v>
      </c>
      <c r="G435">
        <v>49</v>
      </c>
      <c r="H435">
        <v>26.46</v>
      </c>
    </row>
    <row r="436" spans="1:8" x14ac:dyDescent="0.3">
      <c r="A436" s="9">
        <v>45152</v>
      </c>
      <c r="B436" t="s">
        <v>45</v>
      </c>
      <c r="C436" t="s">
        <v>26</v>
      </c>
      <c r="D436" t="s">
        <v>24</v>
      </c>
      <c r="E436" t="s">
        <v>30</v>
      </c>
      <c r="F436">
        <v>2970</v>
      </c>
      <c r="G436">
        <v>39</v>
      </c>
      <c r="H436">
        <v>115.83</v>
      </c>
    </row>
    <row r="437" spans="1:8" x14ac:dyDescent="0.3">
      <c r="A437" s="9">
        <v>45151</v>
      </c>
      <c r="B437" t="s">
        <v>45</v>
      </c>
      <c r="C437" t="s">
        <v>15</v>
      </c>
      <c r="D437" t="s">
        <v>24</v>
      </c>
      <c r="E437" t="s">
        <v>25</v>
      </c>
      <c r="F437">
        <v>1760</v>
      </c>
      <c r="G437">
        <v>92</v>
      </c>
      <c r="H437">
        <v>161.91999999999999</v>
      </c>
    </row>
    <row r="438" spans="1:8" x14ac:dyDescent="0.3">
      <c r="A438" s="9">
        <v>45151</v>
      </c>
      <c r="B438" t="s">
        <v>45</v>
      </c>
      <c r="C438" t="s">
        <v>15</v>
      </c>
      <c r="D438" t="s">
        <v>18</v>
      </c>
      <c r="E438" t="s">
        <v>31</v>
      </c>
      <c r="F438">
        <v>715</v>
      </c>
      <c r="G438">
        <v>25</v>
      </c>
      <c r="H438">
        <v>17.875</v>
      </c>
    </row>
    <row r="439" spans="1:8" x14ac:dyDescent="0.3">
      <c r="A439" s="9">
        <v>44985</v>
      </c>
      <c r="B439" t="s">
        <v>45</v>
      </c>
      <c r="C439" t="s">
        <v>35</v>
      </c>
      <c r="D439" t="s">
        <v>24</v>
      </c>
      <c r="E439" t="s">
        <v>25</v>
      </c>
      <c r="F439">
        <v>1760</v>
      </c>
      <c r="G439">
        <v>99</v>
      </c>
      <c r="H439">
        <v>174.24</v>
      </c>
    </row>
    <row r="440" spans="1:8" x14ac:dyDescent="0.3">
      <c r="A440" s="9">
        <v>44985</v>
      </c>
      <c r="B440" t="s">
        <v>45</v>
      </c>
      <c r="C440" t="s">
        <v>35</v>
      </c>
      <c r="D440" t="s">
        <v>24</v>
      </c>
      <c r="E440" t="s">
        <v>42</v>
      </c>
      <c r="F440">
        <v>3205</v>
      </c>
      <c r="G440">
        <v>53</v>
      </c>
      <c r="H440">
        <v>169.86500000000001</v>
      </c>
    </row>
    <row r="441" spans="1:8" x14ac:dyDescent="0.3">
      <c r="A441" s="9">
        <v>45151</v>
      </c>
      <c r="B441" t="s">
        <v>45</v>
      </c>
      <c r="C441" t="s">
        <v>20</v>
      </c>
      <c r="D441" t="s">
        <v>13</v>
      </c>
      <c r="E441" t="s">
        <v>43</v>
      </c>
      <c r="F441">
        <v>1420</v>
      </c>
      <c r="G441">
        <v>67</v>
      </c>
      <c r="H441">
        <v>95.14</v>
      </c>
    </row>
    <row r="442" spans="1:8" x14ac:dyDescent="0.3">
      <c r="A442" s="9">
        <v>45150</v>
      </c>
      <c r="B442" t="s">
        <v>45</v>
      </c>
      <c r="C442" t="s">
        <v>35</v>
      </c>
      <c r="D442" t="s">
        <v>18</v>
      </c>
      <c r="E442" t="s">
        <v>28</v>
      </c>
      <c r="F442">
        <v>690</v>
      </c>
      <c r="G442">
        <v>68</v>
      </c>
      <c r="H442">
        <v>46.92</v>
      </c>
    </row>
    <row r="443" spans="1:8" x14ac:dyDescent="0.3">
      <c r="A443" s="9">
        <v>45150</v>
      </c>
      <c r="B443" t="s">
        <v>45</v>
      </c>
      <c r="C443" t="s">
        <v>15</v>
      </c>
      <c r="D443" t="s">
        <v>18</v>
      </c>
      <c r="E443" t="s">
        <v>31</v>
      </c>
      <c r="F443">
        <v>715</v>
      </c>
      <c r="G443">
        <v>68</v>
      </c>
      <c r="H443">
        <v>48.62</v>
      </c>
    </row>
    <row r="444" spans="1:8" x14ac:dyDescent="0.3">
      <c r="A444" s="9">
        <v>44986</v>
      </c>
      <c r="B444" t="s">
        <v>45</v>
      </c>
      <c r="C444" t="s">
        <v>20</v>
      </c>
      <c r="D444" t="s">
        <v>10</v>
      </c>
      <c r="E444" t="s">
        <v>16</v>
      </c>
      <c r="F444">
        <v>1380</v>
      </c>
      <c r="G444">
        <v>61</v>
      </c>
      <c r="H444">
        <v>84.18</v>
      </c>
    </row>
    <row r="445" spans="1:8" x14ac:dyDescent="0.3">
      <c r="A445" s="9">
        <v>45150</v>
      </c>
      <c r="B445" t="s">
        <v>45</v>
      </c>
      <c r="C445" t="s">
        <v>26</v>
      </c>
      <c r="D445" t="s">
        <v>13</v>
      </c>
      <c r="E445" t="s">
        <v>14</v>
      </c>
      <c r="F445">
        <v>1320</v>
      </c>
      <c r="G445">
        <v>80</v>
      </c>
      <c r="H445">
        <v>105.6</v>
      </c>
    </row>
    <row r="446" spans="1:8" x14ac:dyDescent="0.3">
      <c r="A446" s="9">
        <v>45150</v>
      </c>
      <c r="B446" t="s">
        <v>45</v>
      </c>
      <c r="C446" t="s">
        <v>9</v>
      </c>
      <c r="D446" t="s">
        <v>13</v>
      </c>
      <c r="E446" t="s">
        <v>22</v>
      </c>
      <c r="F446">
        <v>930</v>
      </c>
      <c r="G446">
        <v>12</v>
      </c>
      <c r="H446">
        <v>11.16</v>
      </c>
    </row>
    <row r="447" spans="1:8" x14ac:dyDescent="0.3">
      <c r="A447" s="9">
        <v>44986</v>
      </c>
      <c r="B447" t="s">
        <v>45</v>
      </c>
      <c r="C447" t="s">
        <v>9</v>
      </c>
      <c r="D447" t="s">
        <v>18</v>
      </c>
      <c r="E447" t="s">
        <v>28</v>
      </c>
      <c r="F447">
        <v>690</v>
      </c>
      <c r="G447">
        <v>68</v>
      </c>
      <c r="H447">
        <v>46.92</v>
      </c>
    </row>
    <row r="448" spans="1:8" x14ac:dyDescent="0.3">
      <c r="A448" s="9">
        <v>44986</v>
      </c>
      <c r="B448" t="s">
        <v>45</v>
      </c>
      <c r="C448" t="s">
        <v>9</v>
      </c>
      <c r="D448" t="s">
        <v>18</v>
      </c>
      <c r="E448" t="s">
        <v>21</v>
      </c>
      <c r="F448">
        <v>450</v>
      </c>
      <c r="G448">
        <v>79</v>
      </c>
      <c r="H448">
        <v>35.549999999999997</v>
      </c>
    </row>
    <row r="449" spans="1:8" x14ac:dyDescent="0.3">
      <c r="A449" s="9">
        <v>44986</v>
      </c>
      <c r="B449" t="s">
        <v>45</v>
      </c>
      <c r="C449" t="s">
        <v>9</v>
      </c>
      <c r="D449" t="s">
        <v>24</v>
      </c>
      <c r="E449" t="s">
        <v>34</v>
      </c>
      <c r="F449">
        <v>1670</v>
      </c>
      <c r="G449">
        <v>96</v>
      </c>
      <c r="H449">
        <v>160.32</v>
      </c>
    </row>
    <row r="450" spans="1:8" x14ac:dyDescent="0.3">
      <c r="A450" s="9">
        <v>45149</v>
      </c>
      <c r="B450" t="s">
        <v>45</v>
      </c>
      <c r="C450" t="s">
        <v>33</v>
      </c>
      <c r="D450" t="s">
        <v>13</v>
      </c>
      <c r="E450" t="s">
        <v>22</v>
      </c>
      <c r="F450">
        <v>930</v>
      </c>
      <c r="G450">
        <v>32</v>
      </c>
      <c r="H450">
        <v>29.76</v>
      </c>
    </row>
    <row r="451" spans="1:8" x14ac:dyDescent="0.3">
      <c r="A451" s="9">
        <v>44986</v>
      </c>
      <c r="B451" t="s">
        <v>45</v>
      </c>
      <c r="C451" t="s">
        <v>26</v>
      </c>
      <c r="D451" t="s">
        <v>18</v>
      </c>
      <c r="E451" t="s">
        <v>31</v>
      </c>
      <c r="F451">
        <v>715</v>
      </c>
      <c r="G451">
        <v>51</v>
      </c>
      <c r="H451">
        <v>36.465000000000003</v>
      </c>
    </row>
    <row r="452" spans="1:8" x14ac:dyDescent="0.3">
      <c r="A452" s="9">
        <v>45149</v>
      </c>
      <c r="B452" t="s">
        <v>45</v>
      </c>
      <c r="C452" t="s">
        <v>15</v>
      </c>
      <c r="D452" t="s">
        <v>13</v>
      </c>
      <c r="E452" t="s">
        <v>38</v>
      </c>
      <c r="F452">
        <v>2400</v>
      </c>
      <c r="G452">
        <v>99</v>
      </c>
      <c r="H452">
        <v>237.6</v>
      </c>
    </row>
    <row r="453" spans="1:8" x14ac:dyDescent="0.3">
      <c r="A453" s="9">
        <v>45149</v>
      </c>
      <c r="B453" t="s">
        <v>45</v>
      </c>
      <c r="C453" t="s">
        <v>15</v>
      </c>
      <c r="D453" t="s">
        <v>13</v>
      </c>
      <c r="E453" t="s">
        <v>44</v>
      </c>
      <c r="F453">
        <v>2540</v>
      </c>
      <c r="G453">
        <v>29</v>
      </c>
      <c r="H453">
        <v>73.66</v>
      </c>
    </row>
    <row r="454" spans="1:8" x14ac:dyDescent="0.3">
      <c r="A454" s="9">
        <v>45149</v>
      </c>
      <c r="B454" t="s">
        <v>45</v>
      </c>
      <c r="C454" t="s">
        <v>26</v>
      </c>
      <c r="D454" t="s">
        <v>18</v>
      </c>
      <c r="E454" t="s">
        <v>28</v>
      </c>
      <c r="F454">
        <v>690</v>
      </c>
      <c r="G454">
        <v>93</v>
      </c>
      <c r="H454">
        <v>64.17</v>
      </c>
    </row>
    <row r="455" spans="1:8" x14ac:dyDescent="0.3">
      <c r="A455" s="9">
        <v>45148</v>
      </c>
      <c r="B455" t="s">
        <v>45</v>
      </c>
      <c r="C455" t="s">
        <v>35</v>
      </c>
      <c r="D455" t="s">
        <v>18</v>
      </c>
      <c r="E455" t="s">
        <v>31</v>
      </c>
      <c r="F455">
        <v>715</v>
      </c>
      <c r="G455">
        <v>42</v>
      </c>
      <c r="H455">
        <v>30.03</v>
      </c>
    </row>
    <row r="456" spans="1:8" x14ac:dyDescent="0.3">
      <c r="A456" s="9">
        <v>45148</v>
      </c>
      <c r="B456" t="s">
        <v>45</v>
      </c>
      <c r="C456" t="s">
        <v>15</v>
      </c>
      <c r="D456" t="s">
        <v>13</v>
      </c>
      <c r="E456" t="s">
        <v>38</v>
      </c>
      <c r="F456">
        <v>2400</v>
      </c>
      <c r="G456">
        <v>45</v>
      </c>
      <c r="H456">
        <v>108</v>
      </c>
    </row>
    <row r="457" spans="1:8" x14ac:dyDescent="0.3">
      <c r="A457" s="9">
        <v>45148</v>
      </c>
      <c r="B457" t="s">
        <v>45</v>
      </c>
      <c r="C457" t="s">
        <v>20</v>
      </c>
      <c r="D457" t="s">
        <v>13</v>
      </c>
      <c r="E457" t="s">
        <v>14</v>
      </c>
      <c r="F457">
        <v>1320</v>
      </c>
      <c r="G457">
        <v>46</v>
      </c>
      <c r="H457">
        <v>60.72</v>
      </c>
    </row>
    <row r="458" spans="1:8" x14ac:dyDescent="0.3">
      <c r="A458" s="9">
        <v>44986</v>
      </c>
      <c r="B458" t="s">
        <v>45</v>
      </c>
      <c r="C458" t="s">
        <v>15</v>
      </c>
      <c r="D458" t="s">
        <v>24</v>
      </c>
      <c r="E458" t="s">
        <v>32</v>
      </c>
      <c r="F458">
        <v>1505</v>
      </c>
      <c r="G458">
        <v>96</v>
      </c>
      <c r="H458">
        <v>144.47999999999999</v>
      </c>
    </row>
    <row r="459" spans="1:8" x14ac:dyDescent="0.3">
      <c r="A459" s="9">
        <v>45147</v>
      </c>
      <c r="B459" t="s">
        <v>45</v>
      </c>
      <c r="C459" t="s">
        <v>9</v>
      </c>
      <c r="D459" t="s">
        <v>10</v>
      </c>
      <c r="E459" t="s">
        <v>39</v>
      </c>
      <c r="F459">
        <v>650</v>
      </c>
      <c r="G459">
        <v>69</v>
      </c>
      <c r="H459">
        <v>44.85</v>
      </c>
    </row>
    <row r="460" spans="1:8" x14ac:dyDescent="0.3">
      <c r="A460" s="9">
        <v>45146</v>
      </c>
      <c r="B460" t="s">
        <v>45</v>
      </c>
      <c r="C460" t="s">
        <v>15</v>
      </c>
      <c r="D460" t="s">
        <v>24</v>
      </c>
      <c r="E460" t="s">
        <v>42</v>
      </c>
      <c r="F460">
        <v>3205</v>
      </c>
      <c r="G460">
        <v>38</v>
      </c>
      <c r="H460">
        <v>121.79</v>
      </c>
    </row>
    <row r="461" spans="1:8" x14ac:dyDescent="0.3">
      <c r="A461" s="9">
        <v>44986</v>
      </c>
      <c r="B461" t="s">
        <v>45</v>
      </c>
      <c r="C461" t="s">
        <v>33</v>
      </c>
      <c r="D461" t="s">
        <v>18</v>
      </c>
      <c r="E461" t="s">
        <v>27</v>
      </c>
      <c r="F461">
        <v>460</v>
      </c>
      <c r="G461">
        <v>89</v>
      </c>
      <c r="H461">
        <v>40.94</v>
      </c>
    </row>
    <row r="462" spans="1:8" x14ac:dyDescent="0.3">
      <c r="A462" s="9">
        <v>45146</v>
      </c>
      <c r="B462" t="s">
        <v>45</v>
      </c>
      <c r="C462" t="s">
        <v>15</v>
      </c>
      <c r="D462" t="s">
        <v>13</v>
      </c>
      <c r="E462" t="s">
        <v>29</v>
      </c>
      <c r="F462">
        <v>1230</v>
      </c>
      <c r="G462">
        <v>35</v>
      </c>
      <c r="H462">
        <v>43.05</v>
      </c>
    </row>
    <row r="463" spans="1:8" x14ac:dyDescent="0.3">
      <c r="A463" s="9">
        <v>45145</v>
      </c>
      <c r="B463" t="s">
        <v>45</v>
      </c>
      <c r="C463" t="s">
        <v>33</v>
      </c>
      <c r="D463" t="s">
        <v>24</v>
      </c>
      <c r="E463" t="s">
        <v>30</v>
      </c>
      <c r="F463">
        <v>2970</v>
      </c>
      <c r="G463">
        <v>95</v>
      </c>
      <c r="H463">
        <v>282.14999999999998</v>
      </c>
    </row>
    <row r="464" spans="1:8" x14ac:dyDescent="0.3">
      <c r="A464" s="9">
        <v>45145</v>
      </c>
      <c r="B464" t="s">
        <v>45</v>
      </c>
      <c r="C464" t="s">
        <v>15</v>
      </c>
      <c r="D464" t="s">
        <v>13</v>
      </c>
      <c r="E464" t="s">
        <v>38</v>
      </c>
      <c r="F464">
        <v>2400</v>
      </c>
      <c r="G464">
        <v>43</v>
      </c>
      <c r="H464">
        <v>103.2</v>
      </c>
    </row>
    <row r="465" spans="1:8" x14ac:dyDescent="0.3">
      <c r="A465" s="9">
        <v>45145</v>
      </c>
      <c r="B465" t="s">
        <v>45</v>
      </c>
      <c r="C465" t="s">
        <v>9</v>
      </c>
      <c r="D465" t="s">
        <v>18</v>
      </c>
      <c r="E465" t="s">
        <v>21</v>
      </c>
      <c r="F465">
        <v>450</v>
      </c>
      <c r="G465">
        <v>80</v>
      </c>
      <c r="H465">
        <v>36</v>
      </c>
    </row>
    <row r="466" spans="1:8" x14ac:dyDescent="0.3">
      <c r="A466" s="9">
        <v>45145</v>
      </c>
      <c r="B466" t="s">
        <v>45</v>
      </c>
      <c r="C466" t="s">
        <v>9</v>
      </c>
      <c r="D466" t="s">
        <v>10</v>
      </c>
      <c r="E466" t="s">
        <v>16</v>
      </c>
      <c r="F466">
        <v>1380</v>
      </c>
      <c r="G466">
        <v>57</v>
      </c>
      <c r="H466">
        <v>78.66</v>
      </c>
    </row>
    <row r="467" spans="1:8" x14ac:dyDescent="0.3">
      <c r="A467" s="9">
        <v>45145</v>
      </c>
      <c r="B467" t="s">
        <v>45</v>
      </c>
      <c r="C467" t="s">
        <v>20</v>
      </c>
      <c r="D467" t="s">
        <v>18</v>
      </c>
      <c r="E467" t="s">
        <v>28</v>
      </c>
      <c r="F467">
        <v>690</v>
      </c>
      <c r="G467">
        <v>30</v>
      </c>
      <c r="H467">
        <v>20.7</v>
      </c>
    </row>
    <row r="468" spans="1:8" x14ac:dyDescent="0.3">
      <c r="A468" s="9">
        <v>45144</v>
      </c>
      <c r="B468" t="s">
        <v>45</v>
      </c>
      <c r="C468" t="s">
        <v>26</v>
      </c>
      <c r="D468" t="s">
        <v>18</v>
      </c>
      <c r="E468" t="s">
        <v>37</v>
      </c>
      <c r="F468">
        <v>890</v>
      </c>
      <c r="G468">
        <v>68</v>
      </c>
      <c r="H468">
        <v>60.52</v>
      </c>
    </row>
    <row r="469" spans="1:8" x14ac:dyDescent="0.3">
      <c r="A469" s="9">
        <v>45144</v>
      </c>
      <c r="B469" t="s">
        <v>45</v>
      </c>
      <c r="C469" t="s">
        <v>9</v>
      </c>
      <c r="D469" t="s">
        <v>18</v>
      </c>
      <c r="E469" t="s">
        <v>19</v>
      </c>
      <c r="F469">
        <v>325</v>
      </c>
      <c r="G469">
        <v>46</v>
      </c>
      <c r="H469">
        <v>14.95</v>
      </c>
    </row>
    <row r="470" spans="1:8" x14ac:dyDescent="0.3">
      <c r="A470" s="9">
        <v>45144</v>
      </c>
      <c r="B470" t="s">
        <v>45</v>
      </c>
      <c r="C470" t="s">
        <v>9</v>
      </c>
      <c r="D470" t="s">
        <v>10</v>
      </c>
      <c r="E470" t="s">
        <v>11</v>
      </c>
      <c r="F470">
        <v>705</v>
      </c>
      <c r="G470">
        <v>65</v>
      </c>
      <c r="H470">
        <v>45.825000000000003</v>
      </c>
    </row>
    <row r="471" spans="1:8" x14ac:dyDescent="0.3">
      <c r="A471" s="9">
        <v>45143</v>
      </c>
      <c r="B471" t="s">
        <v>45</v>
      </c>
      <c r="C471" t="s">
        <v>15</v>
      </c>
      <c r="D471" t="s">
        <v>10</v>
      </c>
      <c r="E471" t="s">
        <v>23</v>
      </c>
      <c r="F471">
        <v>640</v>
      </c>
      <c r="G471">
        <v>34</v>
      </c>
      <c r="H471">
        <v>21.76</v>
      </c>
    </row>
    <row r="472" spans="1:8" x14ac:dyDescent="0.3">
      <c r="A472" s="9">
        <v>45142</v>
      </c>
      <c r="B472" t="s">
        <v>45</v>
      </c>
      <c r="C472" t="s">
        <v>15</v>
      </c>
      <c r="D472" t="s">
        <v>18</v>
      </c>
      <c r="E472" t="s">
        <v>31</v>
      </c>
      <c r="F472">
        <v>715</v>
      </c>
      <c r="G472">
        <v>47</v>
      </c>
      <c r="H472">
        <v>33.604999999999997</v>
      </c>
    </row>
    <row r="473" spans="1:8" x14ac:dyDescent="0.3">
      <c r="A473" s="9">
        <v>45142</v>
      </c>
      <c r="B473" t="s">
        <v>45</v>
      </c>
      <c r="C473" t="s">
        <v>9</v>
      </c>
      <c r="D473" t="s">
        <v>10</v>
      </c>
      <c r="E473" t="s">
        <v>11</v>
      </c>
      <c r="F473">
        <v>705</v>
      </c>
      <c r="G473">
        <v>97</v>
      </c>
      <c r="H473">
        <v>68.385000000000005</v>
      </c>
    </row>
    <row r="474" spans="1:8" x14ac:dyDescent="0.3">
      <c r="A474" s="9">
        <v>45141</v>
      </c>
      <c r="B474" t="s">
        <v>45</v>
      </c>
      <c r="C474" t="s">
        <v>35</v>
      </c>
      <c r="D474" t="s">
        <v>13</v>
      </c>
      <c r="E474" t="s">
        <v>29</v>
      </c>
      <c r="F474">
        <v>1230</v>
      </c>
      <c r="G474">
        <v>81</v>
      </c>
      <c r="H474">
        <v>99.63</v>
      </c>
    </row>
    <row r="475" spans="1:8" x14ac:dyDescent="0.3">
      <c r="A475" s="9">
        <v>45141</v>
      </c>
      <c r="B475" t="s">
        <v>45</v>
      </c>
      <c r="C475" t="s">
        <v>33</v>
      </c>
      <c r="D475" t="s">
        <v>18</v>
      </c>
      <c r="E475" t="s">
        <v>31</v>
      </c>
      <c r="F475">
        <v>715</v>
      </c>
      <c r="G475">
        <v>82</v>
      </c>
      <c r="H475">
        <v>58.63</v>
      </c>
    </row>
    <row r="476" spans="1:8" x14ac:dyDescent="0.3">
      <c r="A476" s="9">
        <v>45141</v>
      </c>
      <c r="B476" t="s">
        <v>45</v>
      </c>
      <c r="C476" t="s">
        <v>15</v>
      </c>
      <c r="D476" t="s">
        <v>18</v>
      </c>
      <c r="E476" t="s">
        <v>19</v>
      </c>
      <c r="F476">
        <v>325</v>
      </c>
      <c r="G476">
        <v>87</v>
      </c>
      <c r="H476">
        <v>28.274999999999999</v>
      </c>
    </row>
    <row r="477" spans="1:8" x14ac:dyDescent="0.3">
      <c r="A477" s="9">
        <v>45141</v>
      </c>
      <c r="B477" t="s">
        <v>45</v>
      </c>
      <c r="C477" t="s">
        <v>20</v>
      </c>
      <c r="D477" t="s">
        <v>13</v>
      </c>
      <c r="E477" t="s">
        <v>44</v>
      </c>
      <c r="F477">
        <v>2540</v>
      </c>
      <c r="G477">
        <v>56</v>
      </c>
      <c r="H477">
        <v>142.24</v>
      </c>
    </row>
    <row r="478" spans="1:8" x14ac:dyDescent="0.3">
      <c r="A478" s="9">
        <v>45140</v>
      </c>
      <c r="B478" t="s">
        <v>45</v>
      </c>
      <c r="C478" t="s">
        <v>9</v>
      </c>
      <c r="D478" t="s">
        <v>24</v>
      </c>
      <c r="E478" t="s">
        <v>30</v>
      </c>
      <c r="F478">
        <v>2970</v>
      </c>
      <c r="G478">
        <v>97</v>
      </c>
      <c r="H478">
        <v>288.08999999999997</v>
      </c>
    </row>
    <row r="479" spans="1:8" x14ac:dyDescent="0.3">
      <c r="A479" s="9">
        <v>44987</v>
      </c>
      <c r="B479" t="s">
        <v>45</v>
      </c>
      <c r="C479" t="s">
        <v>33</v>
      </c>
      <c r="D479" t="s">
        <v>18</v>
      </c>
      <c r="E479" t="s">
        <v>19</v>
      </c>
      <c r="F479">
        <v>325</v>
      </c>
      <c r="G479">
        <v>21</v>
      </c>
      <c r="H479">
        <v>6.8250000000000002</v>
      </c>
    </row>
    <row r="480" spans="1:8" x14ac:dyDescent="0.3">
      <c r="A480" s="9">
        <v>44987</v>
      </c>
      <c r="B480" t="s">
        <v>45</v>
      </c>
      <c r="C480" t="s">
        <v>33</v>
      </c>
      <c r="D480" t="s">
        <v>24</v>
      </c>
      <c r="E480" t="s">
        <v>34</v>
      </c>
      <c r="F480">
        <v>1670</v>
      </c>
      <c r="G480">
        <v>70</v>
      </c>
      <c r="H480">
        <v>116.9</v>
      </c>
    </row>
    <row r="481" spans="1:8" x14ac:dyDescent="0.3">
      <c r="A481" s="9">
        <v>45140</v>
      </c>
      <c r="B481" t="s">
        <v>45</v>
      </c>
      <c r="C481" t="s">
        <v>20</v>
      </c>
      <c r="D481" t="s">
        <v>24</v>
      </c>
      <c r="E481" t="s">
        <v>30</v>
      </c>
      <c r="F481">
        <v>2970</v>
      </c>
      <c r="G481">
        <v>16</v>
      </c>
      <c r="H481">
        <v>47.52</v>
      </c>
    </row>
    <row r="482" spans="1:8" x14ac:dyDescent="0.3">
      <c r="A482" s="9">
        <v>45138</v>
      </c>
      <c r="B482" t="s">
        <v>45</v>
      </c>
      <c r="C482" t="s">
        <v>20</v>
      </c>
      <c r="D482" t="s">
        <v>13</v>
      </c>
      <c r="E482" t="s">
        <v>43</v>
      </c>
      <c r="F482">
        <v>1420</v>
      </c>
      <c r="G482">
        <v>19</v>
      </c>
      <c r="H482">
        <v>26.98</v>
      </c>
    </row>
    <row r="483" spans="1:8" x14ac:dyDescent="0.3">
      <c r="A483" s="9">
        <v>45138</v>
      </c>
      <c r="B483" t="s">
        <v>45</v>
      </c>
      <c r="C483" t="s">
        <v>20</v>
      </c>
      <c r="D483" t="s">
        <v>18</v>
      </c>
      <c r="E483" t="s">
        <v>19</v>
      </c>
      <c r="F483">
        <v>325</v>
      </c>
      <c r="G483">
        <v>31</v>
      </c>
      <c r="H483">
        <v>10.074999999999999</v>
      </c>
    </row>
    <row r="484" spans="1:8" x14ac:dyDescent="0.3">
      <c r="A484" s="9">
        <v>45137</v>
      </c>
      <c r="B484" t="s">
        <v>45</v>
      </c>
      <c r="C484" t="s">
        <v>15</v>
      </c>
      <c r="D484" t="s">
        <v>18</v>
      </c>
      <c r="E484" t="s">
        <v>19</v>
      </c>
      <c r="F484">
        <v>325</v>
      </c>
      <c r="G484">
        <v>18</v>
      </c>
      <c r="H484">
        <v>5.85</v>
      </c>
    </row>
    <row r="485" spans="1:8" x14ac:dyDescent="0.3">
      <c r="A485" s="9">
        <v>45136</v>
      </c>
      <c r="B485" t="s">
        <v>45</v>
      </c>
      <c r="C485" t="s">
        <v>33</v>
      </c>
      <c r="D485" t="s">
        <v>18</v>
      </c>
      <c r="E485" t="s">
        <v>21</v>
      </c>
      <c r="F485">
        <v>450</v>
      </c>
      <c r="G485">
        <v>86</v>
      </c>
      <c r="H485">
        <v>38.700000000000003</v>
      </c>
    </row>
    <row r="486" spans="1:8" x14ac:dyDescent="0.3">
      <c r="A486" s="9">
        <v>45136</v>
      </c>
      <c r="B486" t="s">
        <v>45</v>
      </c>
      <c r="C486" t="s">
        <v>15</v>
      </c>
      <c r="D486" t="s">
        <v>24</v>
      </c>
      <c r="E486" t="s">
        <v>30</v>
      </c>
      <c r="F486">
        <v>2970</v>
      </c>
      <c r="G486">
        <v>8</v>
      </c>
      <c r="H486">
        <v>23.76</v>
      </c>
    </row>
    <row r="487" spans="1:8" x14ac:dyDescent="0.3">
      <c r="A487" s="9">
        <v>44988</v>
      </c>
      <c r="B487" t="s">
        <v>45</v>
      </c>
      <c r="C487" t="s">
        <v>20</v>
      </c>
      <c r="D487" t="s">
        <v>10</v>
      </c>
      <c r="E487" t="s">
        <v>39</v>
      </c>
      <c r="F487">
        <v>650</v>
      </c>
      <c r="G487">
        <v>34</v>
      </c>
      <c r="H487">
        <v>22.1</v>
      </c>
    </row>
    <row r="488" spans="1:8" x14ac:dyDescent="0.3">
      <c r="A488" s="9">
        <v>44988</v>
      </c>
      <c r="B488" t="s">
        <v>45</v>
      </c>
      <c r="C488" t="s">
        <v>20</v>
      </c>
      <c r="D488" t="s">
        <v>18</v>
      </c>
      <c r="E488" t="s">
        <v>21</v>
      </c>
      <c r="F488">
        <v>450</v>
      </c>
      <c r="G488">
        <v>15</v>
      </c>
      <c r="H488">
        <v>6.75</v>
      </c>
    </row>
    <row r="489" spans="1:8" x14ac:dyDescent="0.3">
      <c r="A489" s="9">
        <v>45136</v>
      </c>
      <c r="B489" t="s">
        <v>45</v>
      </c>
      <c r="C489" t="s">
        <v>26</v>
      </c>
      <c r="D489" t="s">
        <v>13</v>
      </c>
      <c r="E489" t="s">
        <v>38</v>
      </c>
      <c r="F489">
        <v>2400</v>
      </c>
      <c r="G489">
        <v>54</v>
      </c>
      <c r="H489">
        <v>129.6</v>
      </c>
    </row>
    <row r="490" spans="1:8" x14ac:dyDescent="0.3">
      <c r="A490" s="9">
        <v>45136</v>
      </c>
      <c r="B490" t="s">
        <v>45</v>
      </c>
      <c r="C490" t="s">
        <v>26</v>
      </c>
      <c r="D490" t="s">
        <v>10</v>
      </c>
      <c r="E490" t="s">
        <v>41</v>
      </c>
      <c r="F490">
        <v>650</v>
      </c>
      <c r="G490">
        <v>84</v>
      </c>
      <c r="H490">
        <v>54.6</v>
      </c>
    </row>
    <row r="491" spans="1:8" x14ac:dyDescent="0.3">
      <c r="A491" s="9">
        <v>45136</v>
      </c>
      <c r="B491" t="s">
        <v>45</v>
      </c>
      <c r="C491" t="s">
        <v>20</v>
      </c>
      <c r="D491" t="s">
        <v>18</v>
      </c>
      <c r="E491" t="s">
        <v>28</v>
      </c>
      <c r="F491">
        <v>690</v>
      </c>
      <c r="G491">
        <v>68</v>
      </c>
      <c r="H491">
        <v>46.92</v>
      </c>
    </row>
    <row r="492" spans="1:8" x14ac:dyDescent="0.3">
      <c r="A492" s="9">
        <v>45135</v>
      </c>
      <c r="B492" t="s">
        <v>45</v>
      </c>
      <c r="C492" t="s">
        <v>35</v>
      </c>
      <c r="D492" t="s">
        <v>18</v>
      </c>
      <c r="E492" t="s">
        <v>27</v>
      </c>
      <c r="F492">
        <v>460</v>
      </c>
      <c r="G492">
        <v>8</v>
      </c>
      <c r="H492">
        <v>3.68</v>
      </c>
    </row>
    <row r="493" spans="1:8" x14ac:dyDescent="0.3">
      <c r="A493" s="9">
        <v>45134</v>
      </c>
      <c r="B493" t="s">
        <v>45</v>
      </c>
      <c r="C493" t="s">
        <v>35</v>
      </c>
      <c r="D493" t="s">
        <v>24</v>
      </c>
      <c r="E493" t="s">
        <v>36</v>
      </c>
      <c r="F493">
        <v>2460</v>
      </c>
      <c r="G493">
        <v>84</v>
      </c>
      <c r="H493">
        <v>206.64</v>
      </c>
    </row>
    <row r="494" spans="1:8" x14ac:dyDescent="0.3">
      <c r="A494" s="9">
        <v>44988</v>
      </c>
      <c r="B494" t="s">
        <v>45</v>
      </c>
      <c r="C494" t="s">
        <v>9</v>
      </c>
      <c r="D494" t="s">
        <v>18</v>
      </c>
      <c r="E494" t="s">
        <v>19</v>
      </c>
      <c r="F494">
        <v>325</v>
      </c>
      <c r="G494">
        <v>21</v>
      </c>
      <c r="H494">
        <v>6.8250000000000002</v>
      </c>
    </row>
    <row r="495" spans="1:8" x14ac:dyDescent="0.3">
      <c r="A495" s="9">
        <v>45134</v>
      </c>
      <c r="B495" t="s">
        <v>45</v>
      </c>
      <c r="C495" t="s">
        <v>15</v>
      </c>
      <c r="D495" t="s">
        <v>13</v>
      </c>
      <c r="E495" t="s">
        <v>44</v>
      </c>
      <c r="F495">
        <v>2540</v>
      </c>
      <c r="G495">
        <v>97</v>
      </c>
      <c r="H495">
        <v>246.38</v>
      </c>
    </row>
    <row r="496" spans="1:8" x14ac:dyDescent="0.3">
      <c r="A496" s="9">
        <v>45134</v>
      </c>
      <c r="B496" t="s">
        <v>45</v>
      </c>
      <c r="C496" t="s">
        <v>9</v>
      </c>
      <c r="D496" t="s">
        <v>13</v>
      </c>
      <c r="E496" t="s">
        <v>29</v>
      </c>
      <c r="F496">
        <v>1230</v>
      </c>
      <c r="G496">
        <v>93</v>
      </c>
      <c r="H496">
        <v>114.39</v>
      </c>
    </row>
    <row r="497" spans="1:8" x14ac:dyDescent="0.3">
      <c r="A497" s="9">
        <v>45132</v>
      </c>
      <c r="B497" t="s">
        <v>45</v>
      </c>
      <c r="C497" t="s">
        <v>20</v>
      </c>
      <c r="D497" t="s">
        <v>18</v>
      </c>
      <c r="E497" t="s">
        <v>31</v>
      </c>
      <c r="F497">
        <v>715</v>
      </c>
      <c r="G497">
        <v>58</v>
      </c>
      <c r="H497">
        <v>41.47</v>
      </c>
    </row>
    <row r="498" spans="1:8" x14ac:dyDescent="0.3">
      <c r="A498" s="9">
        <v>45131</v>
      </c>
      <c r="B498" t="s">
        <v>45</v>
      </c>
      <c r="C498" t="s">
        <v>15</v>
      </c>
      <c r="D498" t="s">
        <v>10</v>
      </c>
      <c r="E498" t="s">
        <v>41</v>
      </c>
      <c r="F498">
        <v>650</v>
      </c>
      <c r="G498">
        <v>75</v>
      </c>
      <c r="H498">
        <v>48.75</v>
      </c>
    </row>
    <row r="499" spans="1:8" x14ac:dyDescent="0.3">
      <c r="A499" s="9">
        <v>45130</v>
      </c>
      <c r="B499" t="s">
        <v>45</v>
      </c>
      <c r="C499" t="s">
        <v>15</v>
      </c>
      <c r="D499" t="s">
        <v>10</v>
      </c>
      <c r="E499" t="s">
        <v>16</v>
      </c>
      <c r="F499">
        <v>1380</v>
      </c>
      <c r="G499">
        <v>66</v>
      </c>
      <c r="H499">
        <v>91.08</v>
      </c>
    </row>
    <row r="500" spans="1:8" x14ac:dyDescent="0.3">
      <c r="A500" s="9">
        <v>45130</v>
      </c>
      <c r="B500" t="s">
        <v>45</v>
      </c>
      <c r="C500" t="s">
        <v>15</v>
      </c>
      <c r="D500" t="s">
        <v>10</v>
      </c>
      <c r="E500" t="s">
        <v>16</v>
      </c>
      <c r="F500">
        <v>1380</v>
      </c>
      <c r="G500">
        <v>58</v>
      </c>
      <c r="H500">
        <v>80.040000000000006</v>
      </c>
    </row>
    <row r="501" spans="1:8" x14ac:dyDescent="0.3">
      <c r="A501" s="9">
        <v>44988</v>
      </c>
      <c r="B501" t="s">
        <v>45</v>
      </c>
      <c r="C501" t="s">
        <v>15</v>
      </c>
      <c r="D501" t="s">
        <v>10</v>
      </c>
      <c r="E501" t="s">
        <v>40</v>
      </c>
      <c r="F501">
        <v>540</v>
      </c>
      <c r="G501">
        <v>16</v>
      </c>
      <c r="H501">
        <v>8.64</v>
      </c>
    </row>
    <row r="502" spans="1:8" x14ac:dyDescent="0.3">
      <c r="A502" s="9">
        <v>45130</v>
      </c>
      <c r="B502" t="s">
        <v>45</v>
      </c>
      <c r="C502" t="s">
        <v>20</v>
      </c>
      <c r="D502" t="s">
        <v>24</v>
      </c>
      <c r="E502" t="s">
        <v>32</v>
      </c>
      <c r="F502">
        <v>1505</v>
      </c>
      <c r="G502">
        <v>33</v>
      </c>
      <c r="H502">
        <v>49.664999999999999</v>
      </c>
    </row>
    <row r="503" spans="1:8" x14ac:dyDescent="0.3">
      <c r="A503" s="9">
        <v>45129</v>
      </c>
      <c r="B503" t="s">
        <v>45</v>
      </c>
      <c r="C503" t="s">
        <v>33</v>
      </c>
      <c r="D503" t="s">
        <v>18</v>
      </c>
      <c r="E503" t="s">
        <v>27</v>
      </c>
      <c r="F503">
        <v>460</v>
      </c>
      <c r="G503">
        <v>21</v>
      </c>
      <c r="H503">
        <v>9.66</v>
      </c>
    </row>
    <row r="504" spans="1:8" x14ac:dyDescent="0.3">
      <c r="A504" s="9">
        <v>45129</v>
      </c>
      <c r="B504" t="s">
        <v>45</v>
      </c>
      <c r="C504" t="s">
        <v>9</v>
      </c>
      <c r="D504" t="s">
        <v>10</v>
      </c>
      <c r="E504" t="s">
        <v>23</v>
      </c>
      <c r="F504">
        <v>640</v>
      </c>
      <c r="G504">
        <v>56</v>
      </c>
      <c r="H504">
        <v>35.840000000000003</v>
      </c>
    </row>
    <row r="505" spans="1:8" x14ac:dyDescent="0.3">
      <c r="A505" s="9">
        <v>45128</v>
      </c>
      <c r="B505" t="s">
        <v>45</v>
      </c>
      <c r="C505" t="s">
        <v>33</v>
      </c>
      <c r="D505" t="s">
        <v>13</v>
      </c>
      <c r="E505" t="s">
        <v>14</v>
      </c>
      <c r="F505">
        <v>1320</v>
      </c>
      <c r="G505">
        <v>27</v>
      </c>
      <c r="H505">
        <v>35.64</v>
      </c>
    </row>
    <row r="506" spans="1:8" x14ac:dyDescent="0.3">
      <c r="A506" s="9">
        <v>44988</v>
      </c>
      <c r="B506" t="s">
        <v>45</v>
      </c>
      <c r="C506" t="s">
        <v>33</v>
      </c>
      <c r="D506" t="s">
        <v>13</v>
      </c>
      <c r="E506" t="s">
        <v>38</v>
      </c>
      <c r="F506">
        <v>2400</v>
      </c>
      <c r="G506">
        <v>90</v>
      </c>
      <c r="H506">
        <v>216</v>
      </c>
    </row>
    <row r="507" spans="1:8" x14ac:dyDescent="0.3">
      <c r="A507" s="9">
        <v>45128</v>
      </c>
      <c r="B507" t="s">
        <v>45</v>
      </c>
      <c r="C507" t="s">
        <v>33</v>
      </c>
      <c r="D507" t="s">
        <v>10</v>
      </c>
      <c r="E507" t="s">
        <v>40</v>
      </c>
      <c r="F507">
        <v>540</v>
      </c>
      <c r="G507">
        <v>23</v>
      </c>
      <c r="H507">
        <v>12.42</v>
      </c>
    </row>
    <row r="508" spans="1:8" x14ac:dyDescent="0.3">
      <c r="A508" s="9">
        <v>45128</v>
      </c>
      <c r="B508" t="s">
        <v>45</v>
      </c>
      <c r="C508" t="s">
        <v>15</v>
      </c>
      <c r="D508" t="s">
        <v>18</v>
      </c>
      <c r="E508" t="s">
        <v>28</v>
      </c>
      <c r="F508">
        <v>690</v>
      </c>
      <c r="G508">
        <v>66</v>
      </c>
      <c r="H508">
        <v>45.54</v>
      </c>
    </row>
    <row r="509" spans="1:8" x14ac:dyDescent="0.3">
      <c r="A509" s="9">
        <v>45128</v>
      </c>
      <c r="B509" t="s">
        <v>45</v>
      </c>
      <c r="C509" t="s">
        <v>9</v>
      </c>
      <c r="D509" t="s">
        <v>18</v>
      </c>
      <c r="E509" t="s">
        <v>19</v>
      </c>
      <c r="F509">
        <v>325</v>
      </c>
      <c r="G509">
        <v>71</v>
      </c>
      <c r="H509">
        <v>23.074999999999999</v>
      </c>
    </row>
    <row r="510" spans="1:8" x14ac:dyDescent="0.3">
      <c r="A510" s="9">
        <v>45128</v>
      </c>
      <c r="B510" t="s">
        <v>45</v>
      </c>
      <c r="C510" t="s">
        <v>20</v>
      </c>
      <c r="D510" t="s">
        <v>24</v>
      </c>
      <c r="E510" t="s">
        <v>32</v>
      </c>
      <c r="F510">
        <v>1505</v>
      </c>
      <c r="G510">
        <v>75</v>
      </c>
      <c r="H510">
        <v>112.875</v>
      </c>
    </row>
    <row r="511" spans="1:8" x14ac:dyDescent="0.3">
      <c r="A511" s="9">
        <v>44989</v>
      </c>
      <c r="B511" t="s">
        <v>45</v>
      </c>
      <c r="C511" t="s">
        <v>20</v>
      </c>
      <c r="D511" t="s">
        <v>10</v>
      </c>
      <c r="E511" t="s">
        <v>23</v>
      </c>
      <c r="F511">
        <v>640</v>
      </c>
      <c r="G511">
        <v>57</v>
      </c>
      <c r="H511">
        <v>36.479999999999997</v>
      </c>
    </row>
    <row r="512" spans="1:8" x14ac:dyDescent="0.3">
      <c r="A512" s="9">
        <v>44989</v>
      </c>
      <c r="B512" t="s">
        <v>45</v>
      </c>
      <c r="C512" t="s">
        <v>20</v>
      </c>
      <c r="D512" t="s">
        <v>10</v>
      </c>
      <c r="E512" t="s">
        <v>40</v>
      </c>
      <c r="F512">
        <v>540</v>
      </c>
      <c r="G512">
        <v>6</v>
      </c>
      <c r="H512">
        <v>3.24</v>
      </c>
    </row>
    <row r="513" spans="1:8" x14ac:dyDescent="0.3">
      <c r="A513" s="9">
        <v>45128</v>
      </c>
      <c r="B513" t="s">
        <v>45</v>
      </c>
      <c r="C513" t="s">
        <v>20</v>
      </c>
      <c r="D513" t="s">
        <v>18</v>
      </c>
      <c r="E513" t="s">
        <v>37</v>
      </c>
      <c r="F513">
        <v>890</v>
      </c>
      <c r="G513">
        <v>28</v>
      </c>
      <c r="H513">
        <v>24.92</v>
      </c>
    </row>
    <row r="514" spans="1:8" x14ac:dyDescent="0.3">
      <c r="A514" s="9">
        <v>45127</v>
      </c>
      <c r="B514" t="s">
        <v>45</v>
      </c>
      <c r="C514" t="s">
        <v>35</v>
      </c>
      <c r="D514" t="s">
        <v>10</v>
      </c>
      <c r="E514" t="s">
        <v>11</v>
      </c>
      <c r="F514">
        <v>705</v>
      </c>
      <c r="G514">
        <v>29</v>
      </c>
      <c r="H514">
        <v>20.445</v>
      </c>
    </row>
    <row r="515" spans="1:8" x14ac:dyDescent="0.3">
      <c r="A515" s="9">
        <v>45127</v>
      </c>
      <c r="B515" t="s">
        <v>45</v>
      </c>
      <c r="C515" t="s">
        <v>33</v>
      </c>
      <c r="D515" t="s">
        <v>18</v>
      </c>
      <c r="E515" t="s">
        <v>37</v>
      </c>
      <c r="F515">
        <v>890</v>
      </c>
      <c r="G515">
        <v>100</v>
      </c>
      <c r="H515">
        <v>89</v>
      </c>
    </row>
    <row r="516" spans="1:8" x14ac:dyDescent="0.3">
      <c r="A516" s="9">
        <v>45127</v>
      </c>
      <c r="B516" t="s">
        <v>45</v>
      </c>
      <c r="C516" t="s">
        <v>15</v>
      </c>
      <c r="D516" t="s">
        <v>13</v>
      </c>
      <c r="E516" t="s">
        <v>38</v>
      </c>
      <c r="F516">
        <v>2400</v>
      </c>
      <c r="G516">
        <v>94</v>
      </c>
      <c r="H516">
        <v>225.6</v>
      </c>
    </row>
    <row r="517" spans="1:8" x14ac:dyDescent="0.3">
      <c r="A517" s="9">
        <v>45126</v>
      </c>
      <c r="B517" t="s">
        <v>45</v>
      </c>
      <c r="C517" t="s">
        <v>35</v>
      </c>
      <c r="D517" t="s">
        <v>13</v>
      </c>
      <c r="E517" t="s">
        <v>38</v>
      </c>
      <c r="F517">
        <v>2400</v>
      </c>
      <c r="G517">
        <v>32</v>
      </c>
      <c r="H517">
        <v>76.8</v>
      </c>
    </row>
    <row r="518" spans="1:8" x14ac:dyDescent="0.3">
      <c r="A518" s="9">
        <v>45126</v>
      </c>
      <c r="B518" t="s">
        <v>45</v>
      </c>
      <c r="C518" t="s">
        <v>9</v>
      </c>
      <c r="D518" t="s">
        <v>13</v>
      </c>
      <c r="E518" t="s">
        <v>14</v>
      </c>
      <c r="F518">
        <v>1320</v>
      </c>
      <c r="G518">
        <v>70</v>
      </c>
      <c r="H518">
        <v>92.4</v>
      </c>
    </row>
    <row r="519" spans="1:8" x14ac:dyDescent="0.3">
      <c r="A519" s="9">
        <v>45126</v>
      </c>
      <c r="B519" t="s">
        <v>45</v>
      </c>
      <c r="C519" t="s">
        <v>20</v>
      </c>
      <c r="D519" t="s">
        <v>13</v>
      </c>
      <c r="E519" t="s">
        <v>22</v>
      </c>
      <c r="F519">
        <v>930</v>
      </c>
      <c r="G519">
        <v>80</v>
      </c>
      <c r="H519">
        <v>74.400000000000006</v>
      </c>
    </row>
    <row r="520" spans="1:8" x14ac:dyDescent="0.3">
      <c r="A520" s="9">
        <v>44989</v>
      </c>
      <c r="B520" t="s">
        <v>45</v>
      </c>
      <c r="C520" t="s">
        <v>26</v>
      </c>
      <c r="D520" t="s">
        <v>13</v>
      </c>
      <c r="E520" t="s">
        <v>43</v>
      </c>
      <c r="F520">
        <v>1420</v>
      </c>
      <c r="G520">
        <v>59</v>
      </c>
      <c r="H520">
        <v>83.78</v>
      </c>
    </row>
    <row r="521" spans="1:8" x14ac:dyDescent="0.3">
      <c r="A521" s="9">
        <v>45126</v>
      </c>
      <c r="B521" t="s">
        <v>45</v>
      </c>
      <c r="C521" t="s">
        <v>20</v>
      </c>
      <c r="D521" t="s">
        <v>18</v>
      </c>
      <c r="E521" t="s">
        <v>37</v>
      </c>
      <c r="F521">
        <v>890</v>
      </c>
      <c r="G521">
        <v>82</v>
      </c>
      <c r="H521">
        <v>72.98</v>
      </c>
    </row>
    <row r="522" spans="1:8" x14ac:dyDescent="0.3">
      <c r="A522" s="9">
        <v>45125</v>
      </c>
      <c r="B522" t="s">
        <v>45</v>
      </c>
      <c r="C522" t="s">
        <v>35</v>
      </c>
      <c r="D522" t="s">
        <v>24</v>
      </c>
      <c r="E522" t="s">
        <v>42</v>
      </c>
      <c r="F522">
        <v>3205</v>
      </c>
      <c r="G522">
        <v>76</v>
      </c>
      <c r="H522">
        <v>243.58</v>
      </c>
    </row>
    <row r="523" spans="1:8" x14ac:dyDescent="0.3">
      <c r="A523" s="9">
        <v>45125</v>
      </c>
      <c r="B523" t="s">
        <v>45</v>
      </c>
      <c r="C523" t="s">
        <v>26</v>
      </c>
      <c r="D523" t="s">
        <v>13</v>
      </c>
      <c r="E523" t="s">
        <v>14</v>
      </c>
      <c r="F523">
        <v>1320</v>
      </c>
      <c r="G523">
        <v>88</v>
      </c>
      <c r="H523">
        <v>116.16</v>
      </c>
    </row>
    <row r="524" spans="1:8" x14ac:dyDescent="0.3">
      <c r="A524" s="9">
        <v>45125</v>
      </c>
      <c r="B524" t="s">
        <v>45</v>
      </c>
      <c r="C524" t="s">
        <v>20</v>
      </c>
      <c r="D524" t="s">
        <v>13</v>
      </c>
      <c r="E524" t="s">
        <v>43</v>
      </c>
      <c r="F524">
        <v>1420</v>
      </c>
      <c r="G524">
        <v>44</v>
      </c>
      <c r="H524">
        <v>62.48</v>
      </c>
    </row>
    <row r="525" spans="1:8" x14ac:dyDescent="0.3">
      <c r="A525" s="9">
        <v>45124</v>
      </c>
      <c r="B525" t="s">
        <v>45</v>
      </c>
      <c r="C525" t="s">
        <v>15</v>
      </c>
      <c r="D525" t="s">
        <v>18</v>
      </c>
      <c r="E525" t="s">
        <v>31</v>
      </c>
      <c r="F525">
        <v>715</v>
      </c>
      <c r="G525">
        <v>97</v>
      </c>
      <c r="H525">
        <v>69.355000000000004</v>
      </c>
    </row>
    <row r="526" spans="1:8" x14ac:dyDescent="0.3">
      <c r="A526" s="9">
        <v>45124</v>
      </c>
      <c r="B526" t="s">
        <v>45</v>
      </c>
      <c r="C526" t="s">
        <v>26</v>
      </c>
      <c r="D526" t="s">
        <v>13</v>
      </c>
      <c r="E526" t="s">
        <v>22</v>
      </c>
      <c r="F526">
        <v>930</v>
      </c>
      <c r="G526">
        <v>87</v>
      </c>
      <c r="H526">
        <v>80.91</v>
      </c>
    </row>
    <row r="527" spans="1:8" x14ac:dyDescent="0.3">
      <c r="A527" s="9">
        <v>45124</v>
      </c>
      <c r="B527" t="s">
        <v>45</v>
      </c>
      <c r="C527" t="s">
        <v>26</v>
      </c>
      <c r="D527" t="s">
        <v>18</v>
      </c>
      <c r="E527" t="s">
        <v>27</v>
      </c>
      <c r="F527">
        <v>460</v>
      </c>
      <c r="G527">
        <v>78</v>
      </c>
      <c r="H527">
        <v>35.880000000000003</v>
      </c>
    </row>
    <row r="528" spans="1:8" x14ac:dyDescent="0.3">
      <c r="A528" s="9">
        <v>45124</v>
      </c>
      <c r="B528" t="s">
        <v>45</v>
      </c>
      <c r="C528" t="s">
        <v>26</v>
      </c>
      <c r="D528" t="s">
        <v>10</v>
      </c>
      <c r="E528" t="s">
        <v>16</v>
      </c>
      <c r="F528">
        <v>1380</v>
      </c>
      <c r="G528">
        <v>61</v>
      </c>
      <c r="H528">
        <v>84.18</v>
      </c>
    </row>
    <row r="529" spans="1:8" x14ac:dyDescent="0.3">
      <c r="A529" s="9">
        <v>45123</v>
      </c>
      <c r="B529" t="s">
        <v>45</v>
      </c>
      <c r="C529" t="s">
        <v>33</v>
      </c>
      <c r="D529" t="s">
        <v>18</v>
      </c>
      <c r="E529" t="s">
        <v>19</v>
      </c>
      <c r="F529">
        <v>325</v>
      </c>
      <c r="G529">
        <v>89</v>
      </c>
      <c r="H529">
        <v>28.925000000000001</v>
      </c>
    </row>
    <row r="530" spans="1:8" x14ac:dyDescent="0.3">
      <c r="A530" s="9">
        <v>45123</v>
      </c>
      <c r="B530" t="s">
        <v>45</v>
      </c>
      <c r="C530" t="s">
        <v>33</v>
      </c>
      <c r="D530" t="s">
        <v>10</v>
      </c>
      <c r="E530" t="s">
        <v>23</v>
      </c>
      <c r="F530">
        <v>640</v>
      </c>
      <c r="G530">
        <v>85</v>
      </c>
      <c r="H530">
        <v>54.4</v>
      </c>
    </row>
    <row r="531" spans="1:8" x14ac:dyDescent="0.3">
      <c r="A531" s="9">
        <v>45123</v>
      </c>
      <c r="B531" t="s">
        <v>45</v>
      </c>
      <c r="C531" t="s">
        <v>26</v>
      </c>
      <c r="D531" t="s">
        <v>18</v>
      </c>
      <c r="E531" t="s">
        <v>37</v>
      </c>
      <c r="F531">
        <v>890</v>
      </c>
      <c r="G531">
        <v>44</v>
      </c>
      <c r="H531">
        <v>39.159999999999997</v>
      </c>
    </row>
    <row r="532" spans="1:8" x14ac:dyDescent="0.3">
      <c r="A532" s="9">
        <v>44990</v>
      </c>
      <c r="B532" t="s">
        <v>45</v>
      </c>
      <c r="C532" t="s">
        <v>20</v>
      </c>
      <c r="D532" t="s">
        <v>13</v>
      </c>
      <c r="E532" t="s">
        <v>22</v>
      </c>
      <c r="F532">
        <v>930</v>
      </c>
      <c r="G532">
        <v>64</v>
      </c>
      <c r="H532">
        <v>59.52</v>
      </c>
    </row>
    <row r="533" spans="1:8" x14ac:dyDescent="0.3">
      <c r="A533" s="9">
        <v>44990</v>
      </c>
      <c r="B533" t="s">
        <v>45</v>
      </c>
      <c r="C533" t="s">
        <v>9</v>
      </c>
      <c r="D533" t="s">
        <v>18</v>
      </c>
      <c r="E533" t="s">
        <v>21</v>
      </c>
      <c r="F533">
        <v>450</v>
      </c>
      <c r="G533">
        <v>51</v>
      </c>
      <c r="H533">
        <v>22.95</v>
      </c>
    </row>
    <row r="534" spans="1:8" x14ac:dyDescent="0.3">
      <c r="A534" s="9">
        <v>45123</v>
      </c>
      <c r="B534" t="s">
        <v>45</v>
      </c>
      <c r="C534" t="s">
        <v>26</v>
      </c>
      <c r="D534" t="s">
        <v>10</v>
      </c>
      <c r="E534" t="s">
        <v>11</v>
      </c>
      <c r="F534">
        <v>705</v>
      </c>
      <c r="G534">
        <v>14</v>
      </c>
      <c r="H534">
        <v>9.8699999999999992</v>
      </c>
    </row>
    <row r="535" spans="1:8" x14ac:dyDescent="0.3">
      <c r="A535" s="9">
        <v>44990</v>
      </c>
      <c r="B535" t="s">
        <v>45</v>
      </c>
      <c r="C535" t="s">
        <v>26</v>
      </c>
      <c r="D535" t="s">
        <v>10</v>
      </c>
      <c r="E535" t="s">
        <v>23</v>
      </c>
      <c r="F535">
        <v>640</v>
      </c>
      <c r="G535">
        <v>17</v>
      </c>
      <c r="H535">
        <v>10.88</v>
      </c>
    </row>
    <row r="536" spans="1:8" x14ac:dyDescent="0.3">
      <c r="A536" s="9">
        <v>45123</v>
      </c>
      <c r="B536" t="s">
        <v>45</v>
      </c>
      <c r="C536" t="s">
        <v>20</v>
      </c>
      <c r="D536" t="s">
        <v>18</v>
      </c>
      <c r="E536" t="s">
        <v>37</v>
      </c>
      <c r="F536">
        <v>890</v>
      </c>
      <c r="G536">
        <v>19</v>
      </c>
      <c r="H536">
        <v>16.91</v>
      </c>
    </row>
    <row r="537" spans="1:8" x14ac:dyDescent="0.3">
      <c r="A537" s="9">
        <v>45122</v>
      </c>
      <c r="B537" t="s">
        <v>45</v>
      </c>
      <c r="C537" t="s">
        <v>35</v>
      </c>
      <c r="D537" t="s">
        <v>10</v>
      </c>
      <c r="E537" t="s">
        <v>11</v>
      </c>
      <c r="F537">
        <v>705</v>
      </c>
      <c r="G537">
        <v>38</v>
      </c>
      <c r="H537">
        <v>26.79</v>
      </c>
    </row>
    <row r="538" spans="1:8" x14ac:dyDescent="0.3">
      <c r="A538" s="9">
        <v>45122</v>
      </c>
      <c r="B538" t="s">
        <v>45</v>
      </c>
      <c r="C538" t="s">
        <v>15</v>
      </c>
      <c r="D538" t="s">
        <v>13</v>
      </c>
      <c r="E538" t="s">
        <v>29</v>
      </c>
      <c r="F538">
        <v>1230</v>
      </c>
      <c r="G538">
        <v>51</v>
      </c>
      <c r="H538">
        <v>62.73</v>
      </c>
    </row>
    <row r="539" spans="1:8" x14ac:dyDescent="0.3">
      <c r="A539" s="9">
        <v>45122</v>
      </c>
      <c r="B539" t="s">
        <v>45</v>
      </c>
      <c r="C539" t="s">
        <v>20</v>
      </c>
      <c r="D539" t="s">
        <v>24</v>
      </c>
      <c r="E539" t="s">
        <v>25</v>
      </c>
      <c r="F539">
        <v>1760</v>
      </c>
      <c r="G539">
        <v>33</v>
      </c>
      <c r="H539">
        <v>58.08</v>
      </c>
    </row>
    <row r="540" spans="1:8" x14ac:dyDescent="0.3">
      <c r="A540" s="9">
        <v>45121</v>
      </c>
      <c r="B540" t="s">
        <v>45</v>
      </c>
      <c r="C540" t="s">
        <v>15</v>
      </c>
      <c r="D540" t="s">
        <v>18</v>
      </c>
      <c r="E540" t="s">
        <v>37</v>
      </c>
      <c r="F540">
        <v>890</v>
      </c>
      <c r="G540">
        <v>64</v>
      </c>
      <c r="H540">
        <v>56.96</v>
      </c>
    </row>
    <row r="541" spans="1:8" x14ac:dyDescent="0.3">
      <c r="A541" s="9">
        <v>45121</v>
      </c>
      <c r="B541" t="s">
        <v>45</v>
      </c>
      <c r="C541" t="s">
        <v>26</v>
      </c>
      <c r="D541" t="s">
        <v>10</v>
      </c>
      <c r="E541" t="s">
        <v>11</v>
      </c>
      <c r="F541">
        <v>705</v>
      </c>
      <c r="G541">
        <v>83</v>
      </c>
      <c r="H541">
        <v>58.515000000000001</v>
      </c>
    </row>
    <row r="542" spans="1:8" x14ac:dyDescent="0.3">
      <c r="A542" s="9">
        <v>45121</v>
      </c>
      <c r="B542" t="s">
        <v>45</v>
      </c>
      <c r="C542" t="s">
        <v>20</v>
      </c>
      <c r="D542" t="s">
        <v>24</v>
      </c>
      <c r="E542" t="s">
        <v>36</v>
      </c>
      <c r="F542">
        <v>2460</v>
      </c>
      <c r="G542">
        <v>67</v>
      </c>
      <c r="H542">
        <v>164.82</v>
      </c>
    </row>
    <row r="543" spans="1:8" x14ac:dyDescent="0.3">
      <c r="A543" s="9">
        <v>45121</v>
      </c>
      <c r="B543" t="s">
        <v>45</v>
      </c>
      <c r="C543" t="s">
        <v>20</v>
      </c>
      <c r="D543" t="s">
        <v>18</v>
      </c>
      <c r="E543" t="s">
        <v>19</v>
      </c>
      <c r="F543">
        <v>325</v>
      </c>
      <c r="G543">
        <v>35</v>
      </c>
      <c r="H543">
        <v>11.375</v>
      </c>
    </row>
    <row r="544" spans="1:8" x14ac:dyDescent="0.3">
      <c r="A544" s="9">
        <v>45120</v>
      </c>
      <c r="B544" t="s">
        <v>45</v>
      </c>
      <c r="C544" t="s">
        <v>20</v>
      </c>
      <c r="D544" t="s">
        <v>18</v>
      </c>
      <c r="E544" t="s">
        <v>37</v>
      </c>
      <c r="F544">
        <v>890</v>
      </c>
      <c r="G544">
        <v>38</v>
      </c>
      <c r="H544">
        <v>33.82</v>
      </c>
    </row>
    <row r="545" spans="1:8" x14ac:dyDescent="0.3">
      <c r="A545" s="9">
        <v>45119</v>
      </c>
      <c r="B545" t="s">
        <v>45</v>
      </c>
      <c r="C545" t="s">
        <v>35</v>
      </c>
      <c r="D545" t="s">
        <v>24</v>
      </c>
      <c r="E545" t="s">
        <v>30</v>
      </c>
      <c r="F545">
        <v>2970</v>
      </c>
      <c r="G545">
        <v>83</v>
      </c>
      <c r="H545">
        <v>246.51</v>
      </c>
    </row>
    <row r="546" spans="1:8" x14ac:dyDescent="0.3">
      <c r="A546" s="9">
        <v>45119</v>
      </c>
      <c r="B546" t="s">
        <v>45</v>
      </c>
      <c r="C546" t="s">
        <v>15</v>
      </c>
      <c r="D546" t="s">
        <v>24</v>
      </c>
      <c r="E546" t="s">
        <v>34</v>
      </c>
      <c r="F546">
        <v>1670</v>
      </c>
      <c r="G546">
        <v>53</v>
      </c>
      <c r="H546">
        <v>88.51</v>
      </c>
    </row>
    <row r="547" spans="1:8" x14ac:dyDescent="0.3">
      <c r="A547" s="9">
        <v>45119</v>
      </c>
      <c r="B547" t="s">
        <v>45</v>
      </c>
      <c r="C547" t="s">
        <v>15</v>
      </c>
      <c r="D547" t="s">
        <v>13</v>
      </c>
      <c r="E547" t="s">
        <v>44</v>
      </c>
      <c r="F547">
        <v>2540</v>
      </c>
      <c r="G547">
        <v>15</v>
      </c>
      <c r="H547">
        <v>38.1</v>
      </c>
    </row>
    <row r="548" spans="1:8" x14ac:dyDescent="0.3">
      <c r="A548" s="9">
        <v>45118</v>
      </c>
      <c r="B548" t="s">
        <v>45</v>
      </c>
      <c r="C548" t="s">
        <v>33</v>
      </c>
      <c r="D548" t="s">
        <v>10</v>
      </c>
      <c r="E548" t="s">
        <v>41</v>
      </c>
      <c r="F548">
        <v>650</v>
      </c>
      <c r="G548">
        <v>42</v>
      </c>
      <c r="H548">
        <v>27.3</v>
      </c>
    </row>
    <row r="549" spans="1:8" x14ac:dyDescent="0.3">
      <c r="A549" s="9">
        <v>45118</v>
      </c>
      <c r="B549" t="s">
        <v>45</v>
      </c>
      <c r="C549" t="s">
        <v>15</v>
      </c>
      <c r="D549" t="s">
        <v>24</v>
      </c>
      <c r="E549" t="s">
        <v>25</v>
      </c>
      <c r="F549">
        <v>1760</v>
      </c>
      <c r="G549">
        <v>67</v>
      </c>
      <c r="H549">
        <v>117.92</v>
      </c>
    </row>
    <row r="550" spans="1:8" x14ac:dyDescent="0.3">
      <c r="A550" s="9">
        <v>45118</v>
      </c>
      <c r="B550" t="s">
        <v>45</v>
      </c>
      <c r="C550" t="s">
        <v>9</v>
      </c>
      <c r="D550" t="s">
        <v>10</v>
      </c>
      <c r="E550" t="s">
        <v>39</v>
      </c>
      <c r="F550">
        <v>650</v>
      </c>
      <c r="G550">
        <v>68</v>
      </c>
      <c r="H550">
        <v>44.2</v>
      </c>
    </row>
    <row r="551" spans="1:8" x14ac:dyDescent="0.3">
      <c r="A551" s="9">
        <v>45118</v>
      </c>
      <c r="B551" t="s">
        <v>45</v>
      </c>
      <c r="C551" t="s">
        <v>20</v>
      </c>
      <c r="D551" t="s">
        <v>24</v>
      </c>
      <c r="E551" t="s">
        <v>30</v>
      </c>
      <c r="F551">
        <v>2970</v>
      </c>
      <c r="G551">
        <v>27</v>
      </c>
      <c r="H551">
        <v>80.19</v>
      </c>
    </row>
    <row r="552" spans="1:8" x14ac:dyDescent="0.3">
      <c r="A552" s="9">
        <v>45117</v>
      </c>
      <c r="B552" t="s">
        <v>45</v>
      </c>
      <c r="C552" t="s">
        <v>35</v>
      </c>
      <c r="D552" t="s">
        <v>18</v>
      </c>
      <c r="E552" t="s">
        <v>19</v>
      </c>
      <c r="F552">
        <v>325</v>
      </c>
      <c r="G552">
        <v>38</v>
      </c>
      <c r="H552">
        <v>12.35</v>
      </c>
    </row>
    <row r="553" spans="1:8" x14ac:dyDescent="0.3">
      <c r="A553" s="9">
        <v>45117</v>
      </c>
      <c r="B553" t="s">
        <v>45</v>
      </c>
      <c r="C553" t="s">
        <v>35</v>
      </c>
      <c r="D553" t="s">
        <v>10</v>
      </c>
      <c r="E553" t="s">
        <v>11</v>
      </c>
      <c r="F553">
        <v>705</v>
      </c>
      <c r="G553">
        <v>46</v>
      </c>
      <c r="H553">
        <v>32.43</v>
      </c>
    </row>
    <row r="554" spans="1:8" x14ac:dyDescent="0.3">
      <c r="A554" s="9">
        <v>45117</v>
      </c>
      <c r="B554" t="s">
        <v>45</v>
      </c>
      <c r="C554" t="s">
        <v>33</v>
      </c>
      <c r="D554" t="s">
        <v>18</v>
      </c>
      <c r="E554" t="s">
        <v>28</v>
      </c>
      <c r="F554">
        <v>690</v>
      </c>
      <c r="G554">
        <v>23</v>
      </c>
      <c r="H554">
        <v>15.87</v>
      </c>
    </row>
    <row r="555" spans="1:8" x14ac:dyDescent="0.3">
      <c r="A555" s="9">
        <v>45117</v>
      </c>
      <c r="B555" t="s">
        <v>45</v>
      </c>
      <c r="C555" t="s">
        <v>20</v>
      </c>
      <c r="D555" t="s">
        <v>24</v>
      </c>
      <c r="E555" t="s">
        <v>42</v>
      </c>
      <c r="F555">
        <v>3205</v>
      </c>
      <c r="G555">
        <v>35</v>
      </c>
      <c r="H555">
        <v>112.175</v>
      </c>
    </row>
    <row r="556" spans="1:8" x14ac:dyDescent="0.3">
      <c r="A556" s="9">
        <v>44991</v>
      </c>
      <c r="B556" t="s">
        <v>45</v>
      </c>
      <c r="C556" t="s">
        <v>9</v>
      </c>
      <c r="D556" t="s">
        <v>13</v>
      </c>
      <c r="E556" t="s">
        <v>14</v>
      </c>
      <c r="F556">
        <v>1320</v>
      </c>
      <c r="G556">
        <v>62</v>
      </c>
      <c r="H556">
        <v>81.84</v>
      </c>
    </row>
    <row r="557" spans="1:8" x14ac:dyDescent="0.3">
      <c r="A557" s="9">
        <v>44991</v>
      </c>
      <c r="B557" t="s">
        <v>45</v>
      </c>
      <c r="C557" t="s">
        <v>9</v>
      </c>
      <c r="D557" t="s">
        <v>13</v>
      </c>
      <c r="E557" t="s">
        <v>22</v>
      </c>
      <c r="F557">
        <v>930</v>
      </c>
      <c r="G557">
        <v>97</v>
      </c>
      <c r="H557">
        <v>90.21</v>
      </c>
    </row>
    <row r="558" spans="1:8" x14ac:dyDescent="0.3">
      <c r="A558" s="9">
        <v>44991</v>
      </c>
      <c r="B558" t="s">
        <v>45</v>
      </c>
      <c r="C558" t="s">
        <v>9</v>
      </c>
      <c r="D558" t="s">
        <v>13</v>
      </c>
      <c r="E558" t="s">
        <v>43</v>
      </c>
      <c r="F558">
        <v>1420</v>
      </c>
      <c r="G558">
        <v>84</v>
      </c>
      <c r="H558">
        <v>119.28</v>
      </c>
    </row>
    <row r="559" spans="1:8" x14ac:dyDescent="0.3">
      <c r="A559" s="9">
        <v>45116</v>
      </c>
      <c r="B559" t="s">
        <v>45</v>
      </c>
      <c r="C559" t="s">
        <v>15</v>
      </c>
      <c r="D559" t="s">
        <v>13</v>
      </c>
      <c r="E559" t="s">
        <v>22</v>
      </c>
      <c r="F559">
        <v>930</v>
      </c>
      <c r="G559">
        <v>42</v>
      </c>
      <c r="H559">
        <v>39.06</v>
      </c>
    </row>
    <row r="560" spans="1:8" x14ac:dyDescent="0.3">
      <c r="A560" s="9">
        <v>45116</v>
      </c>
      <c r="B560" t="s">
        <v>45</v>
      </c>
      <c r="C560" t="s">
        <v>15</v>
      </c>
      <c r="D560" t="s">
        <v>13</v>
      </c>
      <c r="E560" t="s">
        <v>14</v>
      </c>
      <c r="F560">
        <v>1320</v>
      </c>
      <c r="G560">
        <v>58</v>
      </c>
      <c r="H560">
        <v>76.56</v>
      </c>
    </row>
    <row r="561" spans="1:8" x14ac:dyDescent="0.3">
      <c r="A561" s="9">
        <v>45115</v>
      </c>
      <c r="B561" t="s">
        <v>45</v>
      </c>
      <c r="C561" t="s">
        <v>35</v>
      </c>
      <c r="D561" t="s">
        <v>18</v>
      </c>
      <c r="E561" t="s">
        <v>27</v>
      </c>
      <c r="F561">
        <v>460</v>
      </c>
      <c r="G561">
        <v>82</v>
      </c>
      <c r="H561">
        <v>37.72</v>
      </c>
    </row>
    <row r="562" spans="1:8" x14ac:dyDescent="0.3">
      <c r="A562" s="9">
        <v>45115</v>
      </c>
      <c r="B562" t="s">
        <v>45</v>
      </c>
      <c r="C562" t="s">
        <v>33</v>
      </c>
      <c r="D562" t="s">
        <v>18</v>
      </c>
      <c r="E562" t="s">
        <v>28</v>
      </c>
      <c r="F562">
        <v>690</v>
      </c>
      <c r="G562">
        <v>12</v>
      </c>
      <c r="H562">
        <v>8.2799999999999994</v>
      </c>
    </row>
    <row r="563" spans="1:8" x14ac:dyDescent="0.3">
      <c r="A563" s="9">
        <v>44991</v>
      </c>
      <c r="B563" t="s">
        <v>45</v>
      </c>
      <c r="C563" t="s">
        <v>26</v>
      </c>
      <c r="D563" t="s">
        <v>13</v>
      </c>
      <c r="E563" t="s">
        <v>43</v>
      </c>
      <c r="F563">
        <v>1420</v>
      </c>
      <c r="G563">
        <v>28</v>
      </c>
      <c r="H563">
        <v>39.76</v>
      </c>
    </row>
    <row r="564" spans="1:8" x14ac:dyDescent="0.3">
      <c r="A564" s="9">
        <v>45114</v>
      </c>
      <c r="B564" t="s">
        <v>45</v>
      </c>
      <c r="C564" t="s">
        <v>33</v>
      </c>
      <c r="D564" t="s">
        <v>13</v>
      </c>
      <c r="E564" t="s">
        <v>22</v>
      </c>
      <c r="F564">
        <v>930</v>
      </c>
      <c r="G564">
        <v>18</v>
      </c>
      <c r="H564">
        <v>16.739999999999998</v>
      </c>
    </row>
    <row r="565" spans="1:8" x14ac:dyDescent="0.3">
      <c r="A565" s="9">
        <v>45114</v>
      </c>
      <c r="B565" t="s">
        <v>45</v>
      </c>
      <c r="C565" t="s">
        <v>33</v>
      </c>
      <c r="D565" t="s">
        <v>10</v>
      </c>
      <c r="E565" t="s">
        <v>16</v>
      </c>
      <c r="F565">
        <v>1380</v>
      </c>
      <c r="G565">
        <v>29</v>
      </c>
      <c r="H565">
        <v>40.020000000000003</v>
      </c>
    </row>
    <row r="566" spans="1:8" x14ac:dyDescent="0.3">
      <c r="A566" s="9">
        <v>45114</v>
      </c>
      <c r="B566" t="s">
        <v>45</v>
      </c>
      <c r="C566" t="s">
        <v>9</v>
      </c>
      <c r="D566" t="s">
        <v>10</v>
      </c>
      <c r="E566" t="s">
        <v>40</v>
      </c>
      <c r="F566">
        <v>540</v>
      </c>
      <c r="G566">
        <v>19</v>
      </c>
      <c r="H566">
        <v>10.26</v>
      </c>
    </row>
    <row r="567" spans="1:8" x14ac:dyDescent="0.3">
      <c r="A567" s="9">
        <v>44991</v>
      </c>
      <c r="B567" t="s">
        <v>45</v>
      </c>
      <c r="C567" t="s">
        <v>33</v>
      </c>
      <c r="D567" t="s">
        <v>18</v>
      </c>
      <c r="E567" t="s">
        <v>21</v>
      </c>
      <c r="F567">
        <v>450</v>
      </c>
      <c r="G567">
        <v>26</v>
      </c>
      <c r="H567">
        <v>11.7</v>
      </c>
    </row>
    <row r="568" spans="1:8" x14ac:dyDescent="0.3">
      <c r="A568" s="9">
        <v>45112</v>
      </c>
      <c r="B568" t="s">
        <v>45</v>
      </c>
      <c r="C568" t="s">
        <v>26</v>
      </c>
      <c r="D568" t="s">
        <v>18</v>
      </c>
      <c r="E568" t="s">
        <v>28</v>
      </c>
      <c r="F568">
        <v>690</v>
      </c>
      <c r="G568">
        <v>88</v>
      </c>
      <c r="H568">
        <v>60.72</v>
      </c>
    </row>
    <row r="569" spans="1:8" x14ac:dyDescent="0.3">
      <c r="A569" s="9">
        <v>44991</v>
      </c>
      <c r="B569" t="s">
        <v>45</v>
      </c>
      <c r="C569" t="s">
        <v>35</v>
      </c>
      <c r="D569" t="s">
        <v>10</v>
      </c>
      <c r="E569" t="s">
        <v>41</v>
      </c>
      <c r="F569">
        <v>650</v>
      </c>
      <c r="G569">
        <v>13</v>
      </c>
      <c r="H569">
        <v>8.4499999999999993</v>
      </c>
    </row>
    <row r="570" spans="1:8" x14ac:dyDescent="0.3">
      <c r="A570" s="9">
        <v>45112</v>
      </c>
      <c r="B570" t="s">
        <v>45</v>
      </c>
      <c r="C570" t="s">
        <v>20</v>
      </c>
      <c r="D570" t="s">
        <v>13</v>
      </c>
      <c r="E570" t="s">
        <v>22</v>
      </c>
      <c r="F570">
        <v>930</v>
      </c>
      <c r="G570">
        <v>43</v>
      </c>
      <c r="H570">
        <v>39.99</v>
      </c>
    </row>
    <row r="571" spans="1:8" x14ac:dyDescent="0.3">
      <c r="A571" s="9">
        <v>45111</v>
      </c>
      <c r="B571" t="s">
        <v>45</v>
      </c>
      <c r="C571" t="s">
        <v>35</v>
      </c>
      <c r="D571" t="s">
        <v>24</v>
      </c>
      <c r="E571" t="s">
        <v>36</v>
      </c>
      <c r="F571">
        <v>2460</v>
      </c>
      <c r="G571">
        <v>70</v>
      </c>
      <c r="H571">
        <v>172.2</v>
      </c>
    </row>
    <row r="572" spans="1:8" x14ac:dyDescent="0.3">
      <c r="A572" s="9">
        <v>45111</v>
      </c>
      <c r="B572" t="s">
        <v>45</v>
      </c>
      <c r="C572" t="s">
        <v>20</v>
      </c>
      <c r="D572" t="s">
        <v>18</v>
      </c>
      <c r="E572" t="s">
        <v>31</v>
      </c>
      <c r="F572">
        <v>715</v>
      </c>
      <c r="G572">
        <v>9</v>
      </c>
      <c r="H572">
        <v>6.4349999999999996</v>
      </c>
    </row>
    <row r="573" spans="1:8" x14ac:dyDescent="0.3">
      <c r="A573" s="9">
        <v>45110</v>
      </c>
      <c r="B573" t="s">
        <v>45</v>
      </c>
      <c r="C573" t="s">
        <v>15</v>
      </c>
      <c r="D573" t="s">
        <v>18</v>
      </c>
      <c r="E573" t="s">
        <v>21</v>
      </c>
      <c r="F573">
        <v>450</v>
      </c>
      <c r="G573">
        <v>87</v>
      </c>
      <c r="H573">
        <v>39.15</v>
      </c>
    </row>
    <row r="574" spans="1:8" x14ac:dyDescent="0.3">
      <c r="A574" s="9">
        <v>44991</v>
      </c>
      <c r="B574" t="s">
        <v>45</v>
      </c>
      <c r="C574" t="s">
        <v>35</v>
      </c>
      <c r="D574" t="s">
        <v>24</v>
      </c>
      <c r="E574" t="s">
        <v>36</v>
      </c>
      <c r="F574">
        <v>2460</v>
      </c>
      <c r="G574">
        <v>38</v>
      </c>
      <c r="H574">
        <v>93.48</v>
      </c>
    </row>
    <row r="575" spans="1:8" x14ac:dyDescent="0.3">
      <c r="A575" s="9">
        <v>45110</v>
      </c>
      <c r="B575" t="s">
        <v>45</v>
      </c>
      <c r="C575" t="s">
        <v>9</v>
      </c>
      <c r="D575" t="s">
        <v>10</v>
      </c>
      <c r="E575" t="s">
        <v>11</v>
      </c>
      <c r="F575">
        <v>705</v>
      </c>
      <c r="G575">
        <v>14</v>
      </c>
      <c r="H575">
        <v>9.8699999999999992</v>
      </c>
    </row>
    <row r="576" spans="1:8" x14ac:dyDescent="0.3">
      <c r="A576" s="9">
        <v>45110</v>
      </c>
      <c r="B576" t="s">
        <v>45</v>
      </c>
      <c r="C576" t="s">
        <v>20</v>
      </c>
      <c r="D576" t="s">
        <v>18</v>
      </c>
      <c r="E576" t="s">
        <v>31</v>
      </c>
      <c r="F576">
        <v>715</v>
      </c>
      <c r="G576">
        <v>34</v>
      </c>
      <c r="H576">
        <v>24.31</v>
      </c>
    </row>
    <row r="577" spans="1:8" x14ac:dyDescent="0.3">
      <c r="A577" s="9">
        <v>45109</v>
      </c>
      <c r="B577" t="s">
        <v>45</v>
      </c>
      <c r="C577" t="s">
        <v>35</v>
      </c>
      <c r="D577" t="s">
        <v>13</v>
      </c>
      <c r="E577" t="s">
        <v>38</v>
      </c>
      <c r="F577">
        <v>2400</v>
      </c>
      <c r="G577">
        <v>72</v>
      </c>
      <c r="H577">
        <v>172.8</v>
      </c>
    </row>
    <row r="578" spans="1:8" x14ac:dyDescent="0.3">
      <c r="A578" s="9">
        <v>44992</v>
      </c>
      <c r="B578" t="s">
        <v>45</v>
      </c>
      <c r="C578" t="s">
        <v>20</v>
      </c>
      <c r="D578" t="s">
        <v>24</v>
      </c>
      <c r="E578" t="s">
        <v>42</v>
      </c>
      <c r="F578">
        <v>3205</v>
      </c>
      <c r="G578">
        <v>76</v>
      </c>
      <c r="H578">
        <v>243.58</v>
      </c>
    </row>
    <row r="579" spans="1:8" x14ac:dyDescent="0.3">
      <c r="A579" s="9">
        <v>45109</v>
      </c>
      <c r="B579" t="s">
        <v>45</v>
      </c>
      <c r="C579" t="s">
        <v>15</v>
      </c>
      <c r="D579" t="s">
        <v>18</v>
      </c>
      <c r="E579" t="s">
        <v>31</v>
      </c>
      <c r="F579">
        <v>715</v>
      </c>
      <c r="G579">
        <v>27</v>
      </c>
      <c r="H579">
        <v>19.305</v>
      </c>
    </row>
    <row r="580" spans="1:8" x14ac:dyDescent="0.3">
      <c r="A580" s="9">
        <v>45109</v>
      </c>
      <c r="B580" t="s">
        <v>45</v>
      </c>
      <c r="C580" t="s">
        <v>15</v>
      </c>
      <c r="D580" t="s">
        <v>10</v>
      </c>
      <c r="E580" t="s">
        <v>16</v>
      </c>
      <c r="F580">
        <v>1380</v>
      </c>
      <c r="G580">
        <v>54</v>
      </c>
      <c r="H580">
        <v>74.52</v>
      </c>
    </row>
    <row r="581" spans="1:8" x14ac:dyDescent="0.3">
      <c r="A581" s="9">
        <v>45109</v>
      </c>
      <c r="B581" t="s">
        <v>45</v>
      </c>
      <c r="C581" t="s">
        <v>20</v>
      </c>
      <c r="D581" t="s">
        <v>13</v>
      </c>
      <c r="E581" t="s">
        <v>29</v>
      </c>
      <c r="F581">
        <v>1230</v>
      </c>
      <c r="G581">
        <v>76</v>
      </c>
      <c r="H581">
        <v>93.48</v>
      </c>
    </row>
    <row r="582" spans="1:8" x14ac:dyDescent="0.3">
      <c r="A582" s="9">
        <v>45109</v>
      </c>
      <c r="B582" t="s">
        <v>45</v>
      </c>
      <c r="C582" t="s">
        <v>20</v>
      </c>
      <c r="D582" t="s">
        <v>18</v>
      </c>
      <c r="E582" t="s">
        <v>27</v>
      </c>
      <c r="F582">
        <v>460</v>
      </c>
      <c r="G582">
        <v>72</v>
      </c>
      <c r="H582">
        <v>33.119999999999997</v>
      </c>
    </row>
    <row r="583" spans="1:8" x14ac:dyDescent="0.3">
      <c r="A583" s="9">
        <v>45108</v>
      </c>
      <c r="B583" t="s">
        <v>45</v>
      </c>
      <c r="C583" t="s">
        <v>33</v>
      </c>
      <c r="D583" t="s">
        <v>18</v>
      </c>
      <c r="E583" t="s">
        <v>19</v>
      </c>
      <c r="F583">
        <v>325</v>
      </c>
      <c r="G583">
        <v>86</v>
      </c>
      <c r="H583">
        <v>27.95</v>
      </c>
    </row>
    <row r="584" spans="1:8" x14ac:dyDescent="0.3">
      <c r="A584" s="9">
        <v>45108</v>
      </c>
      <c r="B584" t="s">
        <v>45</v>
      </c>
      <c r="C584" t="s">
        <v>9</v>
      </c>
      <c r="D584" t="s">
        <v>10</v>
      </c>
      <c r="E584" t="s">
        <v>16</v>
      </c>
      <c r="F584">
        <v>1380</v>
      </c>
      <c r="G584">
        <v>92</v>
      </c>
      <c r="H584">
        <v>126.96</v>
      </c>
    </row>
    <row r="585" spans="1:8" x14ac:dyDescent="0.3">
      <c r="A585" s="9">
        <v>45108</v>
      </c>
      <c r="B585" t="s">
        <v>45</v>
      </c>
      <c r="C585" t="s">
        <v>20</v>
      </c>
      <c r="D585" t="s">
        <v>10</v>
      </c>
      <c r="E585" t="s">
        <v>41</v>
      </c>
      <c r="F585">
        <v>650</v>
      </c>
      <c r="G585">
        <v>88</v>
      </c>
      <c r="H585">
        <v>57.2</v>
      </c>
    </row>
    <row r="586" spans="1:8" x14ac:dyDescent="0.3">
      <c r="A586" s="9">
        <v>45107</v>
      </c>
      <c r="B586" t="s">
        <v>45</v>
      </c>
      <c r="C586" t="s">
        <v>35</v>
      </c>
      <c r="D586" t="s">
        <v>13</v>
      </c>
      <c r="E586" t="s">
        <v>38</v>
      </c>
      <c r="F586">
        <v>2400</v>
      </c>
      <c r="G586">
        <v>17</v>
      </c>
      <c r="H586">
        <v>40.799999999999997</v>
      </c>
    </row>
    <row r="587" spans="1:8" x14ac:dyDescent="0.3">
      <c r="A587" s="9">
        <v>45107</v>
      </c>
      <c r="B587" t="s">
        <v>45</v>
      </c>
      <c r="C587" t="s">
        <v>20</v>
      </c>
      <c r="D587" t="s">
        <v>10</v>
      </c>
      <c r="E587" t="s">
        <v>39</v>
      </c>
      <c r="F587">
        <v>650</v>
      </c>
      <c r="G587">
        <v>84</v>
      </c>
      <c r="H587">
        <v>54.6</v>
      </c>
    </row>
    <row r="588" spans="1:8" x14ac:dyDescent="0.3">
      <c r="A588" s="9">
        <v>44992</v>
      </c>
      <c r="B588" t="s">
        <v>45</v>
      </c>
      <c r="C588" t="s">
        <v>15</v>
      </c>
      <c r="D588" t="s">
        <v>18</v>
      </c>
      <c r="E588" t="s">
        <v>31</v>
      </c>
      <c r="F588">
        <v>715</v>
      </c>
      <c r="G588">
        <v>48</v>
      </c>
      <c r="H588">
        <v>34.32</v>
      </c>
    </row>
    <row r="589" spans="1:8" x14ac:dyDescent="0.3">
      <c r="A589" s="9">
        <v>45106</v>
      </c>
      <c r="B589" t="s">
        <v>45</v>
      </c>
      <c r="C589" t="s">
        <v>35</v>
      </c>
      <c r="D589" t="s">
        <v>18</v>
      </c>
      <c r="E589" t="s">
        <v>28</v>
      </c>
      <c r="F589">
        <v>690</v>
      </c>
      <c r="G589">
        <v>90</v>
      </c>
      <c r="H589">
        <v>62.1</v>
      </c>
    </row>
    <row r="590" spans="1:8" x14ac:dyDescent="0.3">
      <c r="A590" s="9">
        <v>45105</v>
      </c>
      <c r="B590" t="s">
        <v>45</v>
      </c>
      <c r="C590" t="s">
        <v>15</v>
      </c>
      <c r="D590" t="s">
        <v>18</v>
      </c>
      <c r="E590" t="s">
        <v>21</v>
      </c>
      <c r="F590">
        <v>450</v>
      </c>
      <c r="G590">
        <v>71</v>
      </c>
      <c r="H590">
        <v>31.95</v>
      </c>
    </row>
    <row r="591" spans="1:8" x14ac:dyDescent="0.3">
      <c r="A591" s="9">
        <v>45105</v>
      </c>
      <c r="B591" t="s">
        <v>45</v>
      </c>
      <c r="C591" t="s">
        <v>15</v>
      </c>
      <c r="D591" t="s">
        <v>10</v>
      </c>
      <c r="E591" t="s">
        <v>39</v>
      </c>
      <c r="F591">
        <v>650</v>
      </c>
      <c r="G591">
        <v>58</v>
      </c>
      <c r="H591">
        <v>37.700000000000003</v>
      </c>
    </row>
    <row r="592" spans="1:8" x14ac:dyDescent="0.3">
      <c r="A592" s="9">
        <v>45105</v>
      </c>
      <c r="B592" t="s">
        <v>45</v>
      </c>
      <c r="C592" t="s">
        <v>20</v>
      </c>
      <c r="D592" t="s">
        <v>18</v>
      </c>
      <c r="E592" t="s">
        <v>27</v>
      </c>
      <c r="F592">
        <v>460</v>
      </c>
      <c r="G592">
        <v>40</v>
      </c>
      <c r="H592">
        <v>18.399999999999999</v>
      </c>
    </row>
    <row r="593" spans="1:8" x14ac:dyDescent="0.3">
      <c r="A593" s="9">
        <v>45104</v>
      </c>
      <c r="B593" t="s">
        <v>45</v>
      </c>
      <c r="C593" t="s">
        <v>33</v>
      </c>
      <c r="D593" t="s">
        <v>18</v>
      </c>
      <c r="E593" t="s">
        <v>27</v>
      </c>
      <c r="F593">
        <v>460</v>
      </c>
      <c r="G593">
        <v>69</v>
      </c>
      <c r="H593">
        <v>31.74</v>
      </c>
    </row>
    <row r="594" spans="1:8" x14ac:dyDescent="0.3">
      <c r="A594" s="9">
        <v>45103</v>
      </c>
      <c r="B594" t="s">
        <v>45</v>
      </c>
      <c r="C594" t="s">
        <v>20</v>
      </c>
      <c r="D594" t="s">
        <v>24</v>
      </c>
      <c r="E594" t="s">
        <v>25</v>
      </c>
      <c r="F594">
        <v>1760</v>
      </c>
      <c r="G594">
        <v>47</v>
      </c>
      <c r="H594">
        <v>82.72</v>
      </c>
    </row>
    <row r="595" spans="1:8" x14ac:dyDescent="0.3">
      <c r="A595" s="9">
        <v>45103</v>
      </c>
      <c r="B595" t="s">
        <v>45</v>
      </c>
      <c r="C595" t="s">
        <v>20</v>
      </c>
      <c r="D595" t="s">
        <v>13</v>
      </c>
      <c r="E595" t="s">
        <v>29</v>
      </c>
      <c r="F595">
        <v>1230</v>
      </c>
      <c r="G595">
        <v>36</v>
      </c>
      <c r="H595">
        <v>44.28</v>
      </c>
    </row>
    <row r="596" spans="1:8" x14ac:dyDescent="0.3">
      <c r="A596" s="9">
        <v>45103</v>
      </c>
      <c r="B596" t="s">
        <v>45</v>
      </c>
      <c r="C596" t="s">
        <v>20</v>
      </c>
      <c r="D596" t="s">
        <v>10</v>
      </c>
      <c r="E596" t="s">
        <v>11</v>
      </c>
      <c r="F596">
        <v>705</v>
      </c>
      <c r="G596">
        <v>43</v>
      </c>
      <c r="H596">
        <v>30.315000000000001</v>
      </c>
    </row>
    <row r="597" spans="1:8" x14ac:dyDescent="0.3">
      <c r="A597" s="9">
        <v>45102</v>
      </c>
      <c r="B597" t="s">
        <v>45</v>
      </c>
      <c r="C597" t="s">
        <v>15</v>
      </c>
      <c r="D597" t="s">
        <v>10</v>
      </c>
      <c r="E597" t="s">
        <v>16</v>
      </c>
      <c r="F597">
        <v>1380</v>
      </c>
      <c r="G597">
        <v>50</v>
      </c>
      <c r="H597">
        <v>69</v>
      </c>
    </row>
    <row r="598" spans="1:8" x14ac:dyDescent="0.3">
      <c r="A598" s="9">
        <v>44993</v>
      </c>
      <c r="B598" t="s">
        <v>45</v>
      </c>
      <c r="C598" t="s">
        <v>20</v>
      </c>
      <c r="D598" t="s">
        <v>10</v>
      </c>
      <c r="E598" t="s">
        <v>16</v>
      </c>
      <c r="F598">
        <v>1380</v>
      </c>
      <c r="G598">
        <v>84</v>
      </c>
      <c r="H598">
        <v>115.92</v>
      </c>
    </row>
    <row r="599" spans="1:8" x14ac:dyDescent="0.3">
      <c r="A599" s="9">
        <v>45102</v>
      </c>
      <c r="B599" t="s">
        <v>45</v>
      </c>
      <c r="C599" t="s">
        <v>20</v>
      </c>
      <c r="D599" t="s">
        <v>10</v>
      </c>
      <c r="E599" t="s">
        <v>16</v>
      </c>
      <c r="F599">
        <v>1380</v>
      </c>
      <c r="G599">
        <v>39</v>
      </c>
      <c r="H599">
        <v>53.82</v>
      </c>
    </row>
    <row r="600" spans="1:8" x14ac:dyDescent="0.3">
      <c r="A600" s="9">
        <v>45101</v>
      </c>
      <c r="B600" t="s">
        <v>45</v>
      </c>
      <c r="C600" t="s">
        <v>26</v>
      </c>
      <c r="D600" t="s">
        <v>13</v>
      </c>
      <c r="E600" t="s">
        <v>43</v>
      </c>
      <c r="F600">
        <v>1420</v>
      </c>
      <c r="G600">
        <v>46</v>
      </c>
      <c r="H600">
        <v>65.319999999999993</v>
      </c>
    </row>
    <row r="601" spans="1:8" x14ac:dyDescent="0.3">
      <c r="A601" s="9">
        <v>45100</v>
      </c>
      <c r="B601" t="s">
        <v>45</v>
      </c>
      <c r="C601" t="s">
        <v>35</v>
      </c>
      <c r="D601" t="s">
        <v>24</v>
      </c>
      <c r="E601" t="s">
        <v>36</v>
      </c>
      <c r="F601">
        <v>2460</v>
      </c>
      <c r="G601">
        <v>70</v>
      </c>
      <c r="H601">
        <v>172.2</v>
      </c>
    </row>
    <row r="602" spans="1:8" x14ac:dyDescent="0.3">
      <c r="A602" s="9">
        <v>45100</v>
      </c>
      <c r="B602" t="s">
        <v>45</v>
      </c>
      <c r="C602" t="s">
        <v>26</v>
      </c>
      <c r="D602" t="s">
        <v>24</v>
      </c>
      <c r="E602" t="s">
        <v>25</v>
      </c>
      <c r="F602">
        <v>1760</v>
      </c>
      <c r="G602">
        <v>31</v>
      </c>
      <c r="H602">
        <v>54.56</v>
      </c>
    </row>
    <row r="603" spans="1:8" x14ac:dyDescent="0.3">
      <c r="A603" s="9">
        <v>45099</v>
      </c>
      <c r="B603" t="s">
        <v>45</v>
      </c>
      <c r="C603" t="s">
        <v>33</v>
      </c>
      <c r="D603" t="s">
        <v>18</v>
      </c>
      <c r="E603" t="s">
        <v>21</v>
      </c>
      <c r="F603">
        <v>450</v>
      </c>
      <c r="G603">
        <v>28</v>
      </c>
      <c r="H603">
        <v>12.6</v>
      </c>
    </row>
    <row r="604" spans="1:8" x14ac:dyDescent="0.3">
      <c r="A604" s="9">
        <v>45099</v>
      </c>
      <c r="B604" t="s">
        <v>45</v>
      </c>
      <c r="C604" t="s">
        <v>15</v>
      </c>
      <c r="D604" t="s">
        <v>18</v>
      </c>
      <c r="E604" t="s">
        <v>19</v>
      </c>
      <c r="F604">
        <v>325</v>
      </c>
      <c r="G604">
        <v>39</v>
      </c>
      <c r="H604">
        <v>12.675000000000001</v>
      </c>
    </row>
    <row r="605" spans="1:8" x14ac:dyDescent="0.3">
      <c r="A605" s="9">
        <v>45099</v>
      </c>
      <c r="B605" t="s">
        <v>45</v>
      </c>
      <c r="C605" t="s">
        <v>26</v>
      </c>
      <c r="D605" t="s">
        <v>13</v>
      </c>
      <c r="E605" t="s">
        <v>44</v>
      </c>
      <c r="F605">
        <v>2540</v>
      </c>
      <c r="G605">
        <v>36</v>
      </c>
      <c r="H605">
        <v>91.44</v>
      </c>
    </row>
    <row r="606" spans="1:8" x14ac:dyDescent="0.3">
      <c r="A606" s="9">
        <v>45099</v>
      </c>
      <c r="B606" t="s">
        <v>45</v>
      </c>
      <c r="C606" t="s">
        <v>20</v>
      </c>
      <c r="D606" t="s">
        <v>24</v>
      </c>
      <c r="E606" t="s">
        <v>42</v>
      </c>
      <c r="F606">
        <v>3205</v>
      </c>
      <c r="G606">
        <v>82</v>
      </c>
      <c r="H606">
        <v>262.81</v>
      </c>
    </row>
    <row r="607" spans="1:8" x14ac:dyDescent="0.3">
      <c r="A607" s="9">
        <v>45099</v>
      </c>
      <c r="B607" t="s">
        <v>45</v>
      </c>
      <c r="C607" t="s">
        <v>20</v>
      </c>
      <c r="D607" t="s">
        <v>18</v>
      </c>
      <c r="E607" t="s">
        <v>37</v>
      </c>
      <c r="F607">
        <v>890</v>
      </c>
      <c r="G607">
        <v>21</v>
      </c>
      <c r="H607">
        <v>18.690000000000001</v>
      </c>
    </row>
    <row r="608" spans="1:8" x14ac:dyDescent="0.3">
      <c r="A608" s="9">
        <v>45097</v>
      </c>
      <c r="B608" t="s">
        <v>45</v>
      </c>
      <c r="C608" t="s">
        <v>15</v>
      </c>
      <c r="D608" t="s">
        <v>10</v>
      </c>
      <c r="E608" t="s">
        <v>23</v>
      </c>
      <c r="F608">
        <v>640</v>
      </c>
      <c r="G608">
        <v>69</v>
      </c>
      <c r="H608">
        <v>44.16</v>
      </c>
    </row>
    <row r="609" spans="1:8" x14ac:dyDescent="0.3">
      <c r="A609" s="9">
        <v>45097</v>
      </c>
      <c r="B609" t="s">
        <v>45</v>
      </c>
      <c r="C609" t="s">
        <v>15</v>
      </c>
      <c r="D609" t="s">
        <v>10</v>
      </c>
      <c r="E609" t="s">
        <v>23</v>
      </c>
      <c r="F609">
        <v>640</v>
      </c>
      <c r="G609">
        <v>91</v>
      </c>
      <c r="H609">
        <v>58.24</v>
      </c>
    </row>
    <row r="610" spans="1:8" x14ac:dyDescent="0.3">
      <c r="A610" s="9">
        <v>45096</v>
      </c>
      <c r="B610" t="s">
        <v>45</v>
      </c>
      <c r="C610" t="s">
        <v>35</v>
      </c>
      <c r="D610" t="s">
        <v>10</v>
      </c>
      <c r="E610" t="s">
        <v>40</v>
      </c>
      <c r="F610">
        <v>540</v>
      </c>
      <c r="G610">
        <v>71</v>
      </c>
      <c r="H610">
        <v>38.340000000000003</v>
      </c>
    </row>
    <row r="611" spans="1:8" x14ac:dyDescent="0.3">
      <c r="A611" s="9">
        <v>44994</v>
      </c>
      <c r="B611" t="s">
        <v>45</v>
      </c>
      <c r="C611" t="s">
        <v>20</v>
      </c>
      <c r="D611" t="s">
        <v>13</v>
      </c>
      <c r="E611" t="s">
        <v>22</v>
      </c>
      <c r="F611">
        <v>930</v>
      </c>
      <c r="G611">
        <v>23</v>
      </c>
      <c r="H611">
        <v>21.39</v>
      </c>
    </row>
    <row r="612" spans="1:8" x14ac:dyDescent="0.3">
      <c r="A612" s="9">
        <v>45096</v>
      </c>
      <c r="B612" t="s">
        <v>45</v>
      </c>
      <c r="C612" t="s">
        <v>15</v>
      </c>
      <c r="D612" t="s">
        <v>24</v>
      </c>
      <c r="E612" t="s">
        <v>25</v>
      </c>
      <c r="F612">
        <v>1760</v>
      </c>
      <c r="G612">
        <v>65</v>
      </c>
      <c r="H612">
        <v>114.4</v>
      </c>
    </row>
    <row r="613" spans="1:8" x14ac:dyDescent="0.3">
      <c r="A613" s="9">
        <v>45096</v>
      </c>
      <c r="B613" t="s">
        <v>45</v>
      </c>
      <c r="C613" t="s">
        <v>15</v>
      </c>
      <c r="D613" t="s">
        <v>13</v>
      </c>
      <c r="E613" t="s">
        <v>22</v>
      </c>
      <c r="F613">
        <v>930</v>
      </c>
      <c r="G613">
        <v>50</v>
      </c>
      <c r="H613">
        <v>46.5</v>
      </c>
    </row>
    <row r="614" spans="1:8" x14ac:dyDescent="0.3">
      <c r="A614" s="9">
        <v>45096</v>
      </c>
      <c r="B614" t="s">
        <v>45</v>
      </c>
      <c r="C614" t="s">
        <v>9</v>
      </c>
      <c r="D614" t="s">
        <v>13</v>
      </c>
      <c r="E614" t="s">
        <v>14</v>
      </c>
      <c r="F614">
        <v>1320</v>
      </c>
      <c r="G614">
        <v>9</v>
      </c>
      <c r="H614">
        <v>11.88</v>
      </c>
    </row>
    <row r="615" spans="1:8" x14ac:dyDescent="0.3">
      <c r="A615" s="9">
        <v>45096</v>
      </c>
      <c r="B615" t="s">
        <v>45</v>
      </c>
      <c r="C615" t="s">
        <v>20</v>
      </c>
      <c r="D615" t="s">
        <v>18</v>
      </c>
      <c r="E615" t="s">
        <v>28</v>
      </c>
      <c r="F615">
        <v>690</v>
      </c>
      <c r="G615">
        <v>67</v>
      </c>
      <c r="H615">
        <v>46.23</v>
      </c>
    </row>
    <row r="616" spans="1:8" x14ac:dyDescent="0.3">
      <c r="A616" s="9">
        <v>45095</v>
      </c>
      <c r="B616" t="s">
        <v>45</v>
      </c>
      <c r="C616" t="s">
        <v>35</v>
      </c>
      <c r="D616" t="s">
        <v>13</v>
      </c>
      <c r="E616" t="s">
        <v>44</v>
      </c>
      <c r="F616">
        <v>2540</v>
      </c>
      <c r="G616">
        <v>30</v>
      </c>
      <c r="H616">
        <v>76.2</v>
      </c>
    </row>
    <row r="617" spans="1:8" x14ac:dyDescent="0.3">
      <c r="A617" s="9">
        <v>44994</v>
      </c>
      <c r="B617" t="s">
        <v>45</v>
      </c>
      <c r="C617" t="s">
        <v>15</v>
      </c>
      <c r="D617" t="s">
        <v>10</v>
      </c>
      <c r="E617" t="s">
        <v>23</v>
      </c>
      <c r="F617">
        <v>640</v>
      </c>
      <c r="G617">
        <v>59</v>
      </c>
      <c r="H617">
        <v>37.76</v>
      </c>
    </row>
    <row r="618" spans="1:8" x14ac:dyDescent="0.3">
      <c r="A618" s="9">
        <v>45094</v>
      </c>
      <c r="B618" t="s">
        <v>45</v>
      </c>
      <c r="C618" t="s">
        <v>15</v>
      </c>
      <c r="D618" t="s">
        <v>10</v>
      </c>
      <c r="E618" t="s">
        <v>16</v>
      </c>
      <c r="F618">
        <v>1380</v>
      </c>
      <c r="G618">
        <v>39</v>
      </c>
      <c r="H618">
        <v>53.82</v>
      </c>
    </row>
    <row r="619" spans="1:8" x14ac:dyDescent="0.3">
      <c r="A619" s="9">
        <v>45094</v>
      </c>
      <c r="B619" t="s">
        <v>45</v>
      </c>
      <c r="C619" t="s">
        <v>26</v>
      </c>
      <c r="D619" t="s">
        <v>13</v>
      </c>
      <c r="E619" t="s">
        <v>29</v>
      </c>
      <c r="F619">
        <v>1230</v>
      </c>
      <c r="G619">
        <v>16</v>
      </c>
      <c r="H619">
        <v>19.68</v>
      </c>
    </row>
    <row r="620" spans="1:8" x14ac:dyDescent="0.3">
      <c r="A620" s="9">
        <v>45094</v>
      </c>
      <c r="B620" t="s">
        <v>45</v>
      </c>
      <c r="C620" t="s">
        <v>9</v>
      </c>
      <c r="D620" t="s">
        <v>10</v>
      </c>
      <c r="E620" t="s">
        <v>39</v>
      </c>
      <c r="F620">
        <v>650</v>
      </c>
      <c r="G620">
        <v>50</v>
      </c>
      <c r="H620">
        <v>32.5</v>
      </c>
    </row>
    <row r="621" spans="1:8" x14ac:dyDescent="0.3">
      <c r="A621" s="9">
        <v>45094</v>
      </c>
      <c r="B621" t="s">
        <v>45</v>
      </c>
      <c r="C621" t="s">
        <v>20</v>
      </c>
      <c r="D621" t="s">
        <v>24</v>
      </c>
      <c r="E621" t="s">
        <v>42</v>
      </c>
      <c r="F621">
        <v>3205</v>
      </c>
      <c r="G621">
        <v>13</v>
      </c>
      <c r="H621">
        <v>41.664999999999999</v>
      </c>
    </row>
    <row r="622" spans="1:8" x14ac:dyDescent="0.3">
      <c r="A622" s="9">
        <v>45093</v>
      </c>
      <c r="B622" t="s">
        <v>45</v>
      </c>
      <c r="C622" t="s">
        <v>9</v>
      </c>
      <c r="D622" t="s">
        <v>24</v>
      </c>
      <c r="E622" t="s">
        <v>30</v>
      </c>
      <c r="F622">
        <v>2970</v>
      </c>
      <c r="G622">
        <v>57</v>
      </c>
      <c r="H622">
        <v>169.29</v>
      </c>
    </row>
    <row r="623" spans="1:8" x14ac:dyDescent="0.3">
      <c r="A623" s="9">
        <v>45091</v>
      </c>
      <c r="B623" t="s">
        <v>45</v>
      </c>
      <c r="C623" t="s">
        <v>35</v>
      </c>
      <c r="D623" t="s">
        <v>24</v>
      </c>
      <c r="E623" t="s">
        <v>42</v>
      </c>
      <c r="F623">
        <v>3205</v>
      </c>
      <c r="G623">
        <v>22</v>
      </c>
      <c r="H623">
        <v>70.510000000000005</v>
      </c>
    </row>
    <row r="624" spans="1:8" x14ac:dyDescent="0.3">
      <c r="A624" s="9">
        <v>45091</v>
      </c>
      <c r="B624" t="s">
        <v>45</v>
      </c>
      <c r="C624" t="s">
        <v>35</v>
      </c>
      <c r="D624" t="s">
        <v>24</v>
      </c>
      <c r="E624" t="s">
        <v>30</v>
      </c>
      <c r="F624">
        <v>2970</v>
      </c>
      <c r="G624">
        <v>66</v>
      </c>
      <c r="H624">
        <v>196.02</v>
      </c>
    </row>
    <row r="625" spans="1:8" x14ac:dyDescent="0.3">
      <c r="A625" s="9">
        <v>45091</v>
      </c>
      <c r="B625" t="s">
        <v>45</v>
      </c>
      <c r="C625" t="s">
        <v>33</v>
      </c>
      <c r="D625" t="s">
        <v>24</v>
      </c>
      <c r="E625" t="s">
        <v>25</v>
      </c>
      <c r="F625">
        <v>1760</v>
      </c>
      <c r="G625">
        <v>62</v>
      </c>
      <c r="H625">
        <v>109.12</v>
      </c>
    </row>
    <row r="626" spans="1:8" x14ac:dyDescent="0.3">
      <c r="A626" s="9">
        <v>45091</v>
      </c>
      <c r="B626" t="s">
        <v>45</v>
      </c>
      <c r="C626" t="s">
        <v>33</v>
      </c>
      <c r="D626" t="s">
        <v>13</v>
      </c>
      <c r="E626" t="s">
        <v>22</v>
      </c>
      <c r="F626">
        <v>930</v>
      </c>
      <c r="G626">
        <v>67</v>
      </c>
      <c r="H626">
        <v>62.31</v>
      </c>
    </row>
    <row r="627" spans="1:8" x14ac:dyDescent="0.3">
      <c r="A627" s="9">
        <v>45091</v>
      </c>
      <c r="B627" t="s">
        <v>45</v>
      </c>
      <c r="C627" t="s">
        <v>26</v>
      </c>
      <c r="D627" t="s">
        <v>18</v>
      </c>
      <c r="E627" t="s">
        <v>37</v>
      </c>
      <c r="F627">
        <v>890</v>
      </c>
      <c r="G627">
        <v>67</v>
      </c>
      <c r="H627">
        <v>59.63</v>
      </c>
    </row>
    <row r="628" spans="1:8" x14ac:dyDescent="0.3">
      <c r="A628" s="9">
        <v>45091</v>
      </c>
      <c r="B628" t="s">
        <v>45</v>
      </c>
      <c r="C628" t="s">
        <v>9</v>
      </c>
      <c r="D628" t="s">
        <v>13</v>
      </c>
      <c r="E628" t="s">
        <v>43</v>
      </c>
      <c r="F628">
        <v>1420</v>
      </c>
      <c r="G628">
        <v>87</v>
      </c>
      <c r="H628">
        <v>123.54</v>
      </c>
    </row>
    <row r="629" spans="1:8" x14ac:dyDescent="0.3">
      <c r="A629" s="9">
        <v>45090</v>
      </c>
      <c r="B629" t="s">
        <v>45</v>
      </c>
      <c r="C629" t="s">
        <v>15</v>
      </c>
      <c r="D629" t="s">
        <v>13</v>
      </c>
      <c r="E629" t="s">
        <v>43</v>
      </c>
      <c r="F629">
        <v>1420</v>
      </c>
      <c r="G629">
        <v>66</v>
      </c>
      <c r="H629">
        <v>93.72</v>
      </c>
    </row>
    <row r="630" spans="1:8" x14ac:dyDescent="0.3">
      <c r="A630" s="9">
        <v>45090</v>
      </c>
      <c r="B630" t="s">
        <v>45</v>
      </c>
      <c r="C630" t="s">
        <v>15</v>
      </c>
      <c r="D630" t="s">
        <v>10</v>
      </c>
      <c r="E630" t="s">
        <v>11</v>
      </c>
      <c r="F630">
        <v>705</v>
      </c>
      <c r="G630">
        <v>6</v>
      </c>
      <c r="H630">
        <v>4.2300000000000004</v>
      </c>
    </row>
    <row r="631" spans="1:8" x14ac:dyDescent="0.3">
      <c r="A631" s="9">
        <v>45090</v>
      </c>
      <c r="B631" t="s">
        <v>45</v>
      </c>
      <c r="C631" t="s">
        <v>26</v>
      </c>
      <c r="D631" t="s">
        <v>13</v>
      </c>
      <c r="E631" t="s">
        <v>22</v>
      </c>
      <c r="F631">
        <v>930</v>
      </c>
      <c r="G631">
        <v>45</v>
      </c>
      <c r="H631">
        <v>41.85</v>
      </c>
    </row>
    <row r="632" spans="1:8" x14ac:dyDescent="0.3">
      <c r="A632" s="9">
        <v>45089</v>
      </c>
      <c r="B632" t="s">
        <v>45</v>
      </c>
      <c r="C632" t="s">
        <v>9</v>
      </c>
      <c r="D632" t="s">
        <v>18</v>
      </c>
      <c r="E632" t="s">
        <v>28</v>
      </c>
      <c r="F632">
        <v>690</v>
      </c>
      <c r="G632">
        <v>39</v>
      </c>
      <c r="H632">
        <v>26.91</v>
      </c>
    </row>
    <row r="633" spans="1:8" x14ac:dyDescent="0.3">
      <c r="A633" s="9">
        <v>45088</v>
      </c>
      <c r="B633" t="s">
        <v>45</v>
      </c>
      <c r="C633" t="s">
        <v>26</v>
      </c>
      <c r="D633" t="s">
        <v>18</v>
      </c>
      <c r="E633" t="s">
        <v>21</v>
      </c>
      <c r="F633">
        <v>450</v>
      </c>
      <c r="G633">
        <v>46</v>
      </c>
      <c r="H633">
        <v>20.7</v>
      </c>
    </row>
    <row r="634" spans="1:8" x14ac:dyDescent="0.3">
      <c r="A634" s="9">
        <v>45087</v>
      </c>
      <c r="B634" t="s">
        <v>45</v>
      </c>
      <c r="C634" t="s">
        <v>33</v>
      </c>
      <c r="D634" t="s">
        <v>24</v>
      </c>
      <c r="E634" t="s">
        <v>32</v>
      </c>
      <c r="F634">
        <v>1505</v>
      </c>
      <c r="G634">
        <v>44</v>
      </c>
      <c r="H634">
        <v>66.22</v>
      </c>
    </row>
    <row r="635" spans="1:8" x14ac:dyDescent="0.3">
      <c r="A635" s="9">
        <v>45087</v>
      </c>
      <c r="B635" t="s">
        <v>45</v>
      </c>
      <c r="C635" t="s">
        <v>9</v>
      </c>
      <c r="D635" t="s">
        <v>24</v>
      </c>
      <c r="E635" t="s">
        <v>32</v>
      </c>
      <c r="F635">
        <v>1505</v>
      </c>
      <c r="G635">
        <v>7</v>
      </c>
      <c r="H635">
        <v>10.535</v>
      </c>
    </row>
    <row r="636" spans="1:8" x14ac:dyDescent="0.3">
      <c r="A636" s="9">
        <v>45087</v>
      </c>
      <c r="B636" t="s">
        <v>45</v>
      </c>
      <c r="C636" t="s">
        <v>9</v>
      </c>
      <c r="D636" t="s">
        <v>18</v>
      </c>
      <c r="E636" t="s">
        <v>28</v>
      </c>
      <c r="F636">
        <v>690</v>
      </c>
      <c r="G636">
        <v>71</v>
      </c>
      <c r="H636">
        <v>48.99</v>
      </c>
    </row>
    <row r="637" spans="1:8" x14ac:dyDescent="0.3">
      <c r="A637" s="9">
        <v>45087</v>
      </c>
      <c r="B637" t="s">
        <v>45</v>
      </c>
      <c r="C637" t="s">
        <v>20</v>
      </c>
      <c r="D637" t="s">
        <v>18</v>
      </c>
      <c r="E637" t="s">
        <v>28</v>
      </c>
      <c r="F637">
        <v>690</v>
      </c>
      <c r="G637">
        <v>66</v>
      </c>
      <c r="H637">
        <v>45.54</v>
      </c>
    </row>
    <row r="638" spans="1:8" x14ac:dyDescent="0.3">
      <c r="A638" s="9">
        <v>45086</v>
      </c>
      <c r="B638" t="s">
        <v>45</v>
      </c>
      <c r="C638" t="s">
        <v>15</v>
      </c>
      <c r="D638" t="s">
        <v>10</v>
      </c>
      <c r="E638" t="s">
        <v>40</v>
      </c>
      <c r="F638">
        <v>540</v>
      </c>
      <c r="G638">
        <v>98</v>
      </c>
      <c r="H638">
        <v>52.92</v>
      </c>
    </row>
    <row r="639" spans="1:8" x14ac:dyDescent="0.3">
      <c r="A639" s="9">
        <v>44995</v>
      </c>
      <c r="B639" t="s">
        <v>45</v>
      </c>
      <c r="C639" t="s">
        <v>33</v>
      </c>
      <c r="D639" t="s">
        <v>13</v>
      </c>
      <c r="E639" t="s">
        <v>38</v>
      </c>
      <c r="F639">
        <v>2400</v>
      </c>
      <c r="G639">
        <v>67</v>
      </c>
      <c r="H639">
        <v>160.80000000000001</v>
      </c>
    </row>
    <row r="640" spans="1:8" x14ac:dyDescent="0.3">
      <c r="A640" s="9">
        <v>45086</v>
      </c>
      <c r="B640" t="s">
        <v>45</v>
      </c>
      <c r="C640" t="s">
        <v>26</v>
      </c>
      <c r="D640" t="s">
        <v>24</v>
      </c>
      <c r="E640" t="s">
        <v>42</v>
      </c>
      <c r="F640">
        <v>3205</v>
      </c>
      <c r="G640">
        <v>43</v>
      </c>
      <c r="H640">
        <v>137.815</v>
      </c>
    </row>
    <row r="641" spans="1:8" x14ac:dyDescent="0.3">
      <c r="A641" s="9">
        <v>45086</v>
      </c>
      <c r="B641" t="s">
        <v>45</v>
      </c>
      <c r="C641" t="s">
        <v>20</v>
      </c>
      <c r="D641" t="s">
        <v>24</v>
      </c>
      <c r="E641" t="s">
        <v>30</v>
      </c>
      <c r="F641">
        <v>2970</v>
      </c>
      <c r="G641">
        <v>72</v>
      </c>
      <c r="H641">
        <v>213.84</v>
      </c>
    </row>
    <row r="642" spans="1:8" x14ac:dyDescent="0.3">
      <c r="A642" s="9">
        <v>45086</v>
      </c>
      <c r="B642" t="s">
        <v>45</v>
      </c>
      <c r="C642" t="s">
        <v>20</v>
      </c>
      <c r="D642" t="s">
        <v>13</v>
      </c>
      <c r="E642" t="s">
        <v>38</v>
      </c>
      <c r="F642">
        <v>2400</v>
      </c>
      <c r="G642">
        <v>75</v>
      </c>
      <c r="H642">
        <v>180</v>
      </c>
    </row>
    <row r="643" spans="1:8" x14ac:dyDescent="0.3">
      <c r="A643" s="9">
        <v>45085</v>
      </c>
      <c r="B643" t="s">
        <v>45</v>
      </c>
      <c r="C643" t="s">
        <v>33</v>
      </c>
      <c r="D643" t="s">
        <v>18</v>
      </c>
      <c r="E643" t="s">
        <v>19</v>
      </c>
      <c r="F643">
        <v>325</v>
      </c>
      <c r="G643">
        <v>35</v>
      </c>
      <c r="H643">
        <v>11.375</v>
      </c>
    </row>
    <row r="644" spans="1:8" x14ac:dyDescent="0.3">
      <c r="A644" s="9">
        <v>45085</v>
      </c>
      <c r="B644" t="s">
        <v>45</v>
      </c>
      <c r="C644" t="s">
        <v>26</v>
      </c>
      <c r="D644" t="s">
        <v>24</v>
      </c>
      <c r="E644" t="s">
        <v>42</v>
      </c>
      <c r="F644">
        <v>3205</v>
      </c>
      <c r="G644">
        <v>18</v>
      </c>
      <c r="H644">
        <v>57.69</v>
      </c>
    </row>
    <row r="645" spans="1:8" x14ac:dyDescent="0.3">
      <c r="A645" s="9">
        <v>45085</v>
      </c>
      <c r="B645" t="s">
        <v>45</v>
      </c>
      <c r="C645" t="s">
        <v>26</v>
      </c>
      <c r="D645" t="s">
        <v>13</v>
      </c>
      <c r="E645" t="s">
        <v>29</v>
      </c>
      <c r="F645">
        <v>1230</v>
      </c>
      <c r="G645">
        <v>23</v>
      </c>
      <c r="H645">
        <v>28.29</v>
      </c>
    </row>
    <row r="646" spans="1:8" x14ac:dyDescent="0.3">
      <c r="A646" s="9">
        <v>45085</v>
      </c>
      <c r="B646" t="s">
        <v>45</v>
      </c>
      <c r="C646" t="s">
        <v>20</v>
      </c>
      <c r="D646" t="s">
        <v>24</v>
      </c>
      <c r="E646" t="s">
        <v>32</v>
      </c>
      <c r="F646">
        <v>1505</v>
      </c>
      <c r="G646">
        <v>41</v>
      </c>
      <c r="H646">
        <v>61.704999999999998</v>
      </c>
    </row>
    <row r="647" spans="1:8" x14ac:dyDescent="0.3">
      <c r="A647" s="9">
        <v>44996</v>
      </c>
      <c r="B647" t="s">
        <v>45</v>
      </c>
      <c r="C647" t="s">
        <v>20</v>
      </c>
      <c r="D647" t="s">
        <v>13</v>
      </c>
      <c r="E647" t="s">
        <v>38</v>
      </c>
      <c r="F647">
        <v>2400</v>
      </c>
      <c r="G647">
        <v>35</v>
      </c>
      <c r="H647">
        <v>84</v>
      </c>
    </row>
    <row r="648" spans="1:8" x14ac:dyDescent="0.3">
      <c r="A648" s="9">
        <v>44996</v>
      </c>
      <c r="B648" t="s">
        <v>45</v>
      </c>
      <c r="C648" t="s">
        <v>20</v>
      </c>
      <c r="D648" t="s">
        <v>13</v>
      </c>
      <c r="E648" t="s">
        <v>22</v>
      </c>
      <c r="F648">
        <v>930</v>
      </c>
      <c r="G648">
        <v>14</v>
      </c>
      <c r="H648">
        <v>13.02</v>
      </c>
    </row>
    <row r="649" spans="1:8" x14ac:dyDescent="0.3">
      <c r="A649" s="9">
        <v>45085</v>
      </c>
      <c r="B649" t="s">
        <v>45</v>
      </c>
      <c r="C649" t="s">
        <v>20</v>
      </c>
      <c r="D649" t="s">
        <v>18</v>
      </c>
      <c r="E649" t="s">
        <v>19</v>
      </c>
      <c r="F649">
        <v>325</v>
      </c>
      <c r="G649">
        <v>61</v>
      </c>
      <c r="H649">
        <v>19.824999999999999</v>
      </c>
    </row>
    <row r="650" spans="1:8" x14ac:dyDescent="0.3">
      <c r="A650" s="9">
        <v>44996</v>
      </c>
      <c r="B650" t="s">
        <v>45</v>
      </c>
      <c r="C650" t="s">
        <v>20</v>
      </c>
      <c r="D650" t="s">
        <v>24</v>
      </c>
      <c r="E650" t="s">
        <v>34</v>
      </c>
      <c r="F650">
        <v>1670</v>
      </c>
      <c r="G650">
        <v>34</v>
      </c>
      <c r="H650">
        <v>56.78</v>
      </c>
    </row>
    <row r="651" spans="1:8" x14ac:dyDescent="0.3">
      <c r="A651" s="9">
        <v>45084</v>
      </c>
      <c r="B651" t="s">
        <v>45</v>
      </c>
      <c r="C651" t="s">
        <v>33</v>
      </c>
      <c r="D651" t="s">
        <v>13</v>
      </c>
      <c r="E651" t="s">
        <v>38</v>
      </c>
      <c r="F651">
        <v>2400</v>
      </c>
      <c r="G651">
        <v>90</v>
      </c>
      <c r="H651">
        <v>216</v>
      </c>
    </row>
    <row r="652" spans="1:8" x14ac:dyDescent="0.3">
      <c r="A652" s="9">
        <v>45084</v>
      </c>
      <c r="B652" t="s">
        <v>45</v>
      </c>
      <c r="C652" t="s">
        <v>15</v>
      </c>
      <c r="D652" t="s">
        <v>13</v>
      </c>
      <c r="E652" t="s">
        <v>38</v>
      </c>
      <c r="F652">
        <v>2400</v>
      </c>
      <c r="G652">
        <v>44</v>
      </c>
      <c r="H652">
        <v>105.6</v>
      </c>
    </row>
    <row r="653" spans="1:8" x14ac:dyDescent="0.3">
      <c r="A653" s="9">
        <v>45084</v>
      </c>
      <c r="B653" t="s">
        <v>45</v>
      </c>
      <c r="C653" t="s">
        <v>15</v>
      </c>
      <c r="D653" t="s">
        <v>10</v>
      </c>
      <c r="E653" t="s">
        <v>11</v>
      </c>
      <c r="F653">
        <v>705</v>
      </c>
      <c r="G653">
        <v>27</v>
      </c>
      <c r="H653">
        <v>19.035</v>
      </c>
    </row>
    <row r="654" spans="1:8" x14ac:dyDescent="0.3">
      <c r="A654" s="9">
        <v>44996</v>
      </c>
      <c r="B654" t="s">
        <v>45</v>
      </c>
      <c r="C654" t="s">
        <v>26</v>
      </c>
      <c r="D654" t="s">
        <v>10</v>
      </c>
      <c r="E654" t="s">
        <v>11</v>
      </c>
      <c r="F654">
        <v>705</v>
      </c>
      <c r="G654">
        <v>88</v>
      </c>
      <c r="H654">
        <v>62.04</v>
      </c>
    </row>
    <row r="655" spans="1:8" x14ac:dyDescent="0.3">
      <c r="A655" s="9">
        <v>45084</v>
      </c>
      <c r="B655" t="s">
        <v>45</v>
      </c>
      <c r="C655" t="s">
        <v>9</v>
      </c>
      <c r="D655" t="s">
        <v>24</v>
      </c>
      <c r="E655" t="s">
        <v>32</v>
      </c>
      <c r="F655">
        <v>1505</v>
      </c>
      <c r="G655">
        <v>77</v>
      </c>
      <c r="H655">
        <v>115.88500000000001</v>
      </c>
    </row>
    <row r="656" spans="1:8" x14ac:dyDescent="0.3">
      <c r="A656" s="9">
        <v>45083</v>
      </c>
      <c r="B656" t="s">
        <v>45</v>
      </c>
      <c r="C656" t="s">
        <v>9</v>
      </c>
      <c r="D656" t="s">
        <v>13</v>
      </c>
      <c r="E656" t="s">
        <v>29</v>
      </c>
      <c r="F656">
        <v>1230</v>
      </c>
      <c r="G656">
        <v>14</v>
      </c>
      <c r="H656">
        <v>17.22</v>
      </c>
    </row>
    <row r="657" spans="1:8" x14ac:dyDescent="0.3">
      <c r="A657" s="9">
        <v>45082</v>
      </c>
      <c r="B657" t="s">
        <v>45</v>
      </c>
      <c r="C657" t="s">
        <v>35</v>
      </c>
      <c r="D657" t="s">
        <v>10</v>
      </c>
      <c r="E657" t="s">
        <v>41</v>
      </c>
      <c r="F657">
        <v>650</v>
      </c>
      <c r="G657">
        <v>86</v>
      </c>
      <c r="H657">
        <v>55.9</v>
      </c>
    </row>
    <row r="658" spans="1:8" x14ac:dyDescent="0.3">
      <c r="A658" s="9">
        <v>44996</v>
      </c>
      <c r="B658" t="s">
        <v>45</v>
      </c>
      <c r="C658" t="s">
        <v>15</v>
      </c>
      <c r="D658" t="s">
        <v>24</v>
      </c>
      <c r="E658" t="s">
        <v>34</v>
      </c>
      <c r="F658">
        <v>1670</v>
      </c>
      <c r="G658">
        <v>45</v>
      </c>
      <c r="H658">
        <v>75.150000000000006</v>
      </c>
    </row>
    <row r="659" spans="1:8" x14ac:dyDescent="0.3">
      <c r="A659" s="9">
        <v>44996</v>
      </c>
      <c r="B659" t="s">
        <v>45</v>
      </c>
      <c r="C659" t="s">
        <v>15</v>
      </c>
      <c r="D659" t="s">
        <v>24</v>
      </c>
      <c r="E659" t="s">
        <v>42</v>
      </c>
      <c r="F659">
        <v>3205</v>
      </c>
      <c r="G659">
        <v>80</v>
      </c>
      <c r="H659">
        <v>256.39999999999998</v>
      </c>
    </row>
    <row r="660" spans="1:8" x14ac:dyDescent="0.3">
      <c r="A660" s="9">
        <v>44996</v>
      </c>
      <c r="B660" t="s">
        <v>45</v>
      </c>
      <c r="C660" t="s">
        <v>33</v>
      </c>
      <c r="D660" t="s">
        <v>18</v>
      </c>
      <c r="E660" t="s">
        <v>37</v>
      </c>
      <c r="F660">
        <v>890</v>
      </c>
      <c r="G660">
        <v>28</v>
      </c>
      <c r="H660">
        <v>24.92</v>
      </c>
    </row>
    <row r="661" spans="1:8" x14ac:dyDescent="0.3">
      <c r="A661" s="9">
        <v>45082</v>
      </c>
      <c r="B661" t="s">
        <v>45</v>
      </c>
      <c r="C661" t="s">
        <v>9</v>
      </c>
      <c r="D661" t="s">
        <v>18</v>
      </c>
      <c r="E661" t="s">
        <v>31</v>
      </c>
      <c r="F661">
        <v>715</v>
      </c>
      <c r="G661">
        <v>13</v>
      </c>
      <c r="H661">
        <v>9.2949999999999999</v>
      </c>
    </row>
    <row r="662" spans="1:8" x14ac:dyDescent="0.3">
      <c r="A662" s="9">
        <v>45081</v>
      </c>
      <c r="B662" t="s">
        <v>45</v>
      </c>
      <c r="C662" t="s">
        <v>9</v>
      </c>
      <c r="D662" t="s">
        <v>10</v>
      </c>
      <c r="E662" t="s">
        <v>23</v>
      </c>
      <c r="F662">
        <v>640</v>
      </c>
      <c r="G662">
        <v>6</v>
      </c>
      <c r="H662">
        <v>3.84</v>
      </c>
    </row>
    <row r="663" spans="1:8" x14ac:dyDescent="0.3">
      <c r="A663" s="9">
        <v>44996</v>
      </c>
      <c r="B663" t="s">
        <v>45</v>
      </c>
      <c r="C663" t="s">
        <v>35</v>
      </c>
      <c r="D663" t="s">
        <v>18</v>
      </c>
      <c r="E663" t="s">
        <v>31</v>
      </c>
      <c r="F663">
        <v>715</v>
      </c>
      <c r="G663">
        <v>33</v>
      </c>
      <c r="H663">
        <v>23.594999999999999</v>
      </c>
    </row>
    <row r="664" spans="1:8" x14ac:dyDescent="0.3">
      <c r="A664" s="9">
        <v>45079</v>
      </c>
      <c r="B664" t="s">
        <v>45</v>
      </c>
      <c r="C664" t="s">
        <v>33</v>
      </c>
      <c r="D664" t="s">
        <v>24</v>
      </c>
      <c r="E664" t="s">
        <v>30</v>
      </c>
      <c r="F664">
        <v>2970</v>
      </c>
      <c r="G664">
        <v>61</v>
      </c>
      <c r="H664">
        <v>181.17</v>
      </c>
    </row>
    <row r="665" spans="1:8" x14ac:dyDescent="0.3">
      <c r="A665" s="9">
        <v>45078</v>
      </c>
      <c r="B665" t="s">
        <v>45</v>
      </c>
      <c r="C665" t="s">
        <v>15</v>
      </c>
      <c r="D665" t="s">
        <v>10</v>
      </c>
      <c r="E665" t="s">
        <v>39</v>
      </c>
      <c r="F665">
        <v>650</v>
      </c>
      <c r="G665">
        <v>28</v>
      </c>
      <c r="H665">
        <v>18.2</v>
      </c>
    </row>
    <row r="666" spans="1:8" x14ac:dyDescent="0.3">
      <c r="A666" s="9">
        <v>44996</v>
      </c>
      <c r="B666" t="s">
        <v>45</v>
      </c>
      <c r="C666" t="s">
        <v>35</v>
      </c>
      <c r="D666" t="s">
        <v>13</v>
      </c>
      <c r="E666" t="s">
        <v>29</v>
      </c>
      <c r="F666">
        <v>1230</v>
      </c>
      <c r="G666">
        <v>12</v>
      </c>
      <c r="H666">
        <v>14.76</v>
      </c>
    </row>
    <row r="667" spans="1:8" x14ac:dyDescent="0.3">
      <c r="A667" s="9">
        <v>45078</v>
      </c>
      <c r="B667" t="s">
        <v>45</v>
      </c>
      <c r="C667" t="s">
        <v>20</v>
      </c>
      <c r="D667" t="s">
        <v>24</v>
      </c>
      <c r="E667" t="s">
        <v>36</v>
      </c>
      <c r="F667">
        <v>2460</v>
      </c>
      <c r="G667">
        <v>73</v>
      </c>
      <c r="H667">
        <v>179.58</v>
      </c>
    </row>
    <row r="668" spans="1:8" x14ac:dyDescent="0.3">
      <c r="A668" s="9">
        <v>44996</v>
      </c>
      <c r="B668" t="s">
        <v>45</v>
      </c>
      <c r="C668" t="s">
        <v>35</v>
      </c>
      <c r="D668" t="s">
        <v>13</v>
      </c>
      <c r="E668" t="s">
        <v>29</v>
      </c>
      <c r="F668">
        <v>1230</v>
      </c>
      <c r="G668">
        <v>88</v>
      </c>
      <c r="H668">
        <v>108.24</v>
      </c>
    </row>
    <row r="669" spans="1:8" x14ac:dyDescent="0.3">
      <c r="A669" s="9">
        <v>45077</v>
      </c>
      <c r="B669" t="s">
        <v>45</v>
      </c>
      <c r="C669" t="s">
        <v>35</v>
      </c>
      <c r="D669" t="s">
        <v>18</v>
      </c>
      <c r="E669" t="s">
        <v>27</v>
      </c>
      <c r="F669">
        <v>460</v>
      </c>
      <c r="G669">
        <v>63</v>
      </c>
      <c r="H669">
        <v>28.98</v>
      </c>
    </row>
    <row r="670" spans="1:8" x14ac:dyDescent="0.3">
      <c r="A670" s="9">
        <v>45077</v>
      </c>
      <c r="B670" t="s">
        <v>45</v>
      </c>
      <c r="C670" t="s">
        <v>26</v>
      </c>
      <c r="D670" t="s">
        <v>18</v>
      </c>
      <c r="E670" t="s">
        <v>21</v>
      </c>
      <c r="F670">
        <v>450</v>
      </c>
      <c r="G670">
        <v>62</v>
      </c>
      <c r="H670">
        <v>27.9</v>
      </c>
    </row>
    <row r="671" spans="1:8" x14ac:dyDescent="0.3">
      <c r="A671" s="9">
        <v>45077</v>
      </c>
      <c r="B671" t="s">
        <v>45</v>
      </c>
      <c r="C671" t="s">
        <v>20</v>
      </c>
      <c r="D671" t="s">
        <v>13</v>
      </c>
      <c r="E671" t="s">
        <v>29</v>
      </c>
      <c r="F671">
        <v>1230</v>
      </c>
      <c r="G671">
        <v>36</v>
      </c>
      <c r="H671">
        <v>44.28</v>
      </c>
    </row>
    <row r="672" spans="1:8" x14ac:dyDescent="0.3">
      <c r="A672" s="9">
        <v>45076</v>
      </c>
      <c r="B672" t="s">
        <v>45</v>
      </c>
      <c r="C672" t="s">
        <v>15</v>
      </c>
      <c r="D672" t="s">
        <v>18</v>
      </c>
      <c r="E672" t="s">
        <v>31</v>
      </c>
      <c r="F672">
        <v>715</v>
      </c>
      <c r="G672">
        <v>8</v>
      </c>
      <c r="H672">
        <v>5.72</v>
      </c>
    </row>
    <row r="673" spans="1:8" x14ac:dyDescent="0.3">
      <c r="A673" s="9">
        <v>45075</v>
      </c>
      <c r="B673" t="s">
        <v>45</v>
      </c>
      <c r="C673" t="s">
        <v>33</v>
      </c>
      <c r="D673" t="s">
        <v>13</v>
      </c>
      <c r="E673" t="s">
        <v>29</v>
      </c>
      <c r="F673">
        <v>1230</v>
      </c>
      <c r="G673">
        <v>32</v>
      </c>
      <c r="H673">
        <v>39.36</v>
      </c>
    </row>
    <row r="674" spans="1:8" x14ac:dyDescent="0.3">
      <c r="A674" s="9">
        <v>44997</v>
      </c>
      <c r="B674" t="s">
        <v>45</v>
      </c>
      <c r="C674" t="s">
        <v>20</v>
      </c>
      <c r="D674" t="s">
        <v>13</v>
      </c>
      <c r="E674" t="s">
        <v>29</v>
      </c>
      <c r="F674">
        <v>1230</v>
      </c>
      <c r="G674">
        <v>28</v>
      </c>
      <c r="H674">
        <v>34.44</v>
      </c>
    </row>
    <row r="675" spans="1:8" x14ac:dyDescent="0.3">
      <c r="A675" s="9">
        <v>44997</v>
      </c>
      <c r="B675" t="s">
        <v>45</v>
      </c>
      <c r="C675" t="s">
        <v>20</v>
      </c>
      <c r="D675" t="s">
        <v>24</v>
      </c>
      <c r="E675" t="s">
        <v>36</v>
      </c>
      <c r="F675">
        <v>2460</v>
      </c>
      <c r="G675">
        <v>23</v>
      </c>
      <c r="H675">
        <v>56.58</v>
      </c>
    </row>
    <row r="676" spans="1:8" x14ac:dyDescent="0.3">
      <c r="A676" s="9">
        <v>44997</v>
      </c>
      <c r="B676" t="s">
        <v>45</v>
      </c>
      <c r="C676" t="s">
        <v>20</v>
      </c>
      <c r="D676" t="s">
        <v>24</v>
      </c>
      <c r="E676" t="s">
        <v>42</v>
      </c>
      <c r="F676">
        <v>3205</v>
      </c>
      <c r="G676">
        <v>74</v>
      </c>
      <c r="H676">
        <v>237.17</v>
      </c>
    </row>
    <row r="677" spans="1:8" x14ac:dyDescent="0.3">
      <c r="A677" s="9">
        <v>45075</v>
      </c>
      <c r="B677" t="s">
        <v>45</v>
      </c>
      <c r="C677" t="s">
        <v>15</v>
      </c>
      <c r="D677" t="s">
        <v>18</v>
      </c>
      <c r="E677" t="s">
        <v>37</v>
      </c>
      <c r="F677">
        <v>890</v>
      </c>
      <c r="G677">
        <v>95</v>
      </c>
      <c r="H677">
        <v>84.55</v>
      </c>
    </row>
    <row r="678" spans="1:8" x14ac:dyDescent="0.3">
      <c r="A678" s="9">
        <v>45075</v>
      </c>
      <c r="B678" t="s">
        <v>45</v>
      </c>
      <c r="C678" t="s">
        <v>9</v>
      </c>
      <c r="D678" t="s">
        <v>10</v>
      </c>
      <c r="E678" t="s">
        <v>23</v>
      </c>
      <c r="F678">
        <v>640</v>
      </c>
      <c r="G678">
        <v>52</v>
      </c>
      <c r="H678">
        <v>33.28</v>
      </c>
    </row>
    <row r="679" spans="1:8" x14ac:dyDescent="0.3">
      <c r="A679" s="9">
        <v>45074</v>
      </c>
      <c r="B679" t="s">
        <v>45</v>
      </c>
      <c r="C679" t="s">
        <v>26</v>
      </c>
      <c r="D679" t="s">
        <v>24</v>
      </c>
      <c r="E679" t="s">
        <v>34</v>
      </c>
      <c r="F679">
        <v>1670</v>
      </c>
      <c r="G679">
        <v>37</v>
      </c>
      <c r="H679">
        <v>61.79</v>
      </c>
    </row>
    <row r="680" spans="1:8" x14ac:dyDescent="0.3">
      <c r="A680" s="9">
        <v>45074</v>
      </c>
      <c r="B680" t="s">
        <v>45</v>
      </c>
      <c r="C680" t="s">
        <v>9</v>
      </c>
      <c r="D680" t="s">
        <v>18</v>
      </c>
      <c r="E680" t="s">
        <v>31</v>
      </c>
      <c r="F680">
        <v>715</v>
      </c>
      <c r="G680">
        <v>75</v>
      </c>
      <c r="H680">
        <v>53.625</v>
      </c>
    </row>
    <row r="681" spans="1:8" x14ac:dyDescent="0.3">
      <c r="A681" s="9">
        <v>45073</v>
      </c>
      <c r="B681" t="s">
        <v>45</v>
      </c>
      <c r="C681" t="s">
        <v>33</v>
      </c>
      <c r="D681" t="s">
        <v>24</v>
      </c>
      <c r="E681" t="s">
        <v>25</v>
      </c>
      <c r="F681">
        <v>1760</v>
      </c>
      <c r="G681">
        <v>45</v>
      </c>
      <c r="H681">
        <v>79.2</v>
      </c>
    </row>
    <row r="682" spans="1:8" x14ac:dyDescent="0.3">
      <c r="A682" s="9">
        <v>44997</v>
      </c>
      <c r="B682" t="s">
        <v>45</v>
      </c>
      <c r="C682" t="s">
        <v>15</v>
      </c>
      <c r="D682" t="s">
        <v>18</v>
      </c>
      <c r="E682" t="s">
        <v>19</v>
      </c>
      <c r="F682">
        <v>325</v>
      </c>
      <c r="G682">
        <v>62</v>
      </c>
      <c r="H682">
        <v>20.149999999999999</v>
      </c>
    </row>
    <row r="683" spans="1:8" x14ac:dyDescent="0.3">
      <c r="A683" s="9">
        <v>45072</v>
      </c>
      <c r="B683" t="s">
        <v>45</v>
      </c>
      <c r="C683" t="s">
        <v>26</v>
      </c>
      <c r="D683" t="s">
        <v>24</v>
      </c>
      <c r="E683" t="s">
        <v>34</v>
      </c>
      <c r="F683">
        <v>1670</v>
      </c>
      <c r="G683">
        <v>14</v>
      </c>
      <c r="H683">
        <v>23.38</v>
      </c>
    </row>
    <row r="684" spans="1:8" x14ac:dyDescent="0.3">
      <c r="A684" s="9">
        <v>45072</v>
      </c>
      <c r="B684" t="s">
        <v>45</v>
      </c>
      <c r="C684" t="s">
        <v>20</v>
      </c>
      <c r="D684" t="s">
        <v>13</v>
      </c>
      <c r="E684" t="s">
        <v>14</v>
      </c>
      <c r="F684">
        <v>1320</v>
      </c>
      <c r="G684">
        <v>22</v>
      </c>
      <c r="H684">
        <v>29.04</v>
      </c>
    </row>
    <row r="685" spans="1:8" x14ac:dyDescent="0.3">
      <c r="A685" s="9">
        <v>45072</v>
      </c>
      <c r="B685" t="s">
        <v>45</v>
      </c>
      <c r="C685" t="s">
        <v>20</v>
      </c>
      <c r="D685" t="s">
        <v>18</v>
      </c>
      <c r="E685" t="s">
        <v>37</v>
      </c>
      <c r="F685">
        <v>890</v>
      </c>
      <c r="G685">
        <v>9</v>
      </c>
      <c r="H685">
        <v>8.01</v>
      </c>
    </row>
    <row r="686" spans="1:8" x14ac:dyDescent="0.3">
      <c r="A686" s="9">
        <v>44997</v>
      </c>
      <c r="B686" t="s">
        <v>45</v>
      </c>
      <c r="C686" t="s">
        <v>33</v>
      </c>
      <c r="D686" t="s">
        <v>18</v>
      </c>
      <c r="E686" t="s">
        <v>28</v>
      </c>
      <c r="F686">
        <v>690</v>
      </c>
      <c r="G686">
        <v>20</v>
      </c>
      <c r="H686">
        <v>13.8</v>
      </c>
    </row>
    <row r="687" spans="1:8" x14ac:dyDescent="0.3">
      <c r="A687" s="9">
        <v>44997</v>
      </c>
      <c r="B687" t="s">
        <v>45</v>
      </c>
      <c r="C687" t="s">
        <v>33</v>
      </c>
      <c r="D687" t="s">
        <v>13</v>
      </c>
      <c r="E687" t="s">
        <v>38</v>
      </c>
      <c r="F687">
        <v>2400</v>
      </c>
      <c r="G687">
        <v>86</v>
      </c>
      <c r="H687">
        <v>206.4</v>
      </c>
    </row>
    <row r="688" spans="1:8" x14ac:dyDescent="0.3">
      <c r="A688" s="9">
        <v>44997</v>
      </c>
      <c r="B688" t="s">
        <v>45</v>
      </c>
      <c r="C688" t="s">
        <v>33</v>
      </c>
      <c r="D688" t="s">
        <v>13</v>
      </c>
      <c r="E688" t="s">
        <v>38</v>
      </c>
      <c r="F688">
        <v>2400</v>
      </c>
      <c r="G688">
        <v>25</v>
      </c>
      <c r="H688">
        <v>60</v>
      </c>
    </row>
    <row r="689" spans="1:8" x14ac:dyDescent="0.3">
      <c r="A689" s="9">
        <v>45072</v>
      </c>
      <c r="B689" t="s">
        <v>45</v>
      </c>
      <c r="C689" t="s">
        <v>20</v>
      </c>
      <c r="D689" t="s">
        <v>18</v>
      </c>
      <c r="E689" t="s">
        <v>21</v>
      </c>
      <c r="F689">
        <v>450</v>
      </c>
      <c r="G689">
        <v>89</v>
      </c>
      <c r="H689">
        <v>40.049999999999997</v>
      </c>
    </row>
    <row r="690" spans="1:8" x14ac:dyDescent="0.3">
      <c r="A690" s="9">
        <v>45071</v>
      </c>
      <c r="B690" t="s">
        <v>45</v>
      </c>
      <c r="C690" t="s">
        <v>26</v>
      </c>
      <c r="D690" t="s">
        <v>10</v>
      </c>
      <c r="E690" t="s">
        <v>40</v>
      </c>
      <c r="F690">
        <v>540</v>
      </c>
      <c r="G690">
        <v>91</v>
      </c>
      <c r="H690">
        <v>49.14</v>
      </c>
    </row>
    <row r="691" spans="1:8" x14ac:dyDescent="0.3">
      <c r="A691" s="9">
        <v>45071</v>
      </c>
      <c r="B691" t="s">
        <v>45</v>
      </c>
      <c r="C691" t="s">
        <v>9</v>
      </c>
      <c r="D691" t="s">
        <v>24</v>
      </c>
      <c r="E691" t="s">
        <v>34</v>
      </c>
      <c r="F691">
        <v>1670</v>
      </c>
      <c r="G691">
        <v>44</v>
      </c>
      <c r="H691">
        <v>73.48</v>
      </c>
    </row>
    <row r="692" spans="1:8" x14ac:dyDescent="0.3">
      <c r="A692" s="9">
        <v>44997</v>
      </c>
      <c r="B692" t="s">
        <v>45</v>
      </c>
      <c r="C692" t="s">
        <v>35</v>
      </c>
      <c r="D692" t="s">
        <v>18</v>
      </c>
      <c r="E692" t="s">
        <v>31</v>
      </c>
      <c r="F692">
        <v>715</v>
      </c>
      <c r="G692">
        <v>94</v>
      </c>
      <c r="H692">
        <v>67.209999999999994</v>
      </c>
    </row>
    <row r="693" spans="1:8" x14ac:dyDescent="0.3">
      <c r="A693" s="9">
        <v>45071</v>
      </c>
      <c r="B693" t="s">
        <v>45</v>
      </c>
      <c r="C693" t="s">
        <v>9</v>
      </c>
      <c r="D693" t="s">
        <v>18</v>
      </c>
      <c r="E693" t="s">
        <v>37</v>
      </c>
      <c r="F693">
        <v>890</v>
      </c>
      <c r="G693">
        <v>69</v>
      </c>
      <c r="H693">
        <v>61.41</v>
      </c>
    </row>
    <row r="694" spans="1:8" x14ac:dyDescent="0.3">
      <c r="A694" s="9">
        <v>45070</v>
      </c>
      <c r="B694" t="s">
        <v>45</v>
      </c>
      <c r="C694" t="s">
        <v>33</v>
      </c>
      <c r="D694" t="s">
        <v>24</v>
      </c>
      <c r="E694" t="s">
        <v>25</v>
      </c>
      <c r="F694">
        <v>1760</v>
      </c>
      <c r="G694">
        <v>48</v>
      </c>
      <c r="H694">
        <v>84.48</v>
      </c>
    </row>
    <row r="695" spans="1:8" x14ac:dyDescent="0.3">
      <c r="A695" s="9">
        <v>45070</v>
      </c>
      <c r="B695" t="s">
        <v>45</v>
      </c>
      <c r="C695" t="s">
        <v>15</v>
      </c>
      <c r="D695" t="s">
        <v>13</v>
      </c>
      <c r="E695" t="s">
        <v>38</v>
      </c>
      <c r="F695">
        <v>2400</v>
      </c>
      <c r="G695">
        <v>36</v>
      </c>
      <c r="H695">
        <v>86.4</v>
      </c>
    </row>
    <row r="696" spans="1:8" x14ac:dyDescent="0.3">
      <c r="A696" s="9">
        <v>45069</v>
      </c>
      <c r="B696" t="s">
        <v>45</v>
      </c>
      <c r="C696" t="s">
        <v>33</v>
      </c>
      <c r="D696" t="s">
        <v>13</v>
      </c>
      <c r="E696" t="s">
        <v>14</v>
      </c>
      <c r="F696">
        <v>1320</v>
      </c>
      <c r="G696">
        <v>82</v>
      </c>
      <c r="H696">
        <v>108.24</v>
      </c>
    </row>
    <row r="697" spans="1:8" x14ac:dyDescent="0.3">
      <c r="A697" s="9">
        <v>44998</v>
      </c>
      <c r="B697" t="s">
        <v>45</v>
      </c>
      <c r="C697" t="s">
        <v>20</v>
      </c>
      <c r="D697" t="s">
        <v>13</v>
      </c>
      <c r="E697" t="s">
        <v>43</v>
      </c>
      <c r="F697">
        <v>1420</v>
      </c>
      <c r="G697">
        <v>51</v>
      </c>
      <c r="H697">
        <v>72.42</v>
      </c>
    </row>
    <row r="698" spans="1:8" x14ac:dyDescent="0.3">
      <c r="A698" s="9">
        <v>45069</v>
      </c>
      <c r="B698" t="s">
        <v>45</v>
      </c>
      <c r="C698" t="s">
        <v>15</v>
      </c>
      <c r="D698" t="s">
        <v>18</v>
      </c>
      <c r="E698" t="s">
        <v>21</v>
      </c>
      <c r="F698">
        <v>450</v>
      </c>
      <c r="G698">
        <v>86</v>
      </c>
      <c r="H698">
        <v>38.700000000000003</v>
      </c>
    </row>
    <row r="699" spans="1:8" x14ac:dyDescent="0.3">
      <c r="A699" s="9">
        <v>45069</v>
      </c>
      <c r="B699" t="s">
        <v>45</v>
      </c>
      <c r="C699" t="s">
        <v>26</v>
      </c>
      <c r="D699" t="s">
        <v>10</v>
      </c>
      <c r="E699" t="s">
        <v>41</v>
      </c>
      <c r="F699">
        <v>650</v>
      </c>
      <c r="G699">
        <v>55</v>
      </c>
      <c r="H699">
        <v>35.75</v>
      </c>
    </row>
    <row r="700" spans="1:8" x14ac:dyDescent="0.3">
      <c r="A700" s="9">
        <v>45067</v>
      </c>
      <c r="B700" t="s">
        <v>45</v>
      </c>
      <c r="C700" t="s">
        <v>35</v>
      </c>
      <c r="D700" t="s">
        <v>24</v>
      </c>
      <c r="E700" t="s">
        <v>36</v>
      </c>
      <c r="F700">
        <v>2460</v>
      </c>
      <c r="G700">
        <v>31</v>
      </c>
      <c r="H700">
        <v>76.260000000000005</v>
      </c>
    </row>
    <row r="701" spans="1:8" x14ac:dyDescent="0.3">
      <c r="A701" s="9">
        <v>45067</v>
      </c>
      <c r="B701" t="s">
        <v>45</v>
      </c>
      <c r="C701" t="s">
        <v>35</v>
      </c>
      <c r="D701" t="s">
        <v>10</v>
      </c>
      <c r="E701" t="s">
        <v>39</v>
      </c>
      <c r="F701">
        <v>650</v>
      </c>
      <c r="G701">
        <v>62</v>
      </c>
      <c r="H701">
        <v>40.299999999999997</v>
      </c>
    </row>
    <row r="702" spans="1:8" x14ac:dyDescent="0.3">
      <c r="A702" s="9">
        <v>45067</v>
      </c>
      <c r="B702" t="s">
        <v>45</v>
      </c>
      <c r="C702" t="s">
        <v>15</v>
      </c>
      <c r="D702" t="s">
        <v>10</v>
      </c>
      <c r="E702" t="s">
        <v>39</v>
      </c>
      <c r="F702">
        <v>650</v>
      </c>
      <c r="G702">
        <v>27</v>
      </c>
      <c r="H702">
        <v>17.55</v>
      </c>
    </row>
    <row r="703" spans="1:8" x14ac:dyDescent="0.3">
      <c r="A703" s="9">
        <v>45067</v>
      </c>
      <c r="B703" t="s">
        <v>45</v>
      </c>
      <c r="C703" t="s">
        <v>26</v>
      </c>
      <c r="D703" t="s">
        <v>18</v>
      </c>
      <c r="E703" t="s">
        <v>31</v>
      </c>
      <c r="F703">
        <v>715</v>
      </c>
      <c r="G703">
        <v>20</v>
      </c>
      <c r="H703">
        <v>14.3</v>
      </c>
    </row>
    <row r="704" spans="1:8" x14ac:dyDescent="0.3">
      <c r="A704" s="9">
        <v>45067</v>
      </c>
      <c r="B704" t="s">
        <v>45</v>
      </c>
      <c r="C704" t="s">
        <v>9</v>
      </c>
      <c r="D704" t="s">
        <v>18</v>
      </c>
      <c r="E704" t="s">
        <v>31</v>
      </c>
      <c r="F704">
        <v>715</v>
      </c>
      <c r="G704">
        <v>17</v>
      </c>
      <c r="H704">
        <v>12.154999999999999</v>
      </c>
    </row>
    <row r="705" spans="1:8" x14ac:dyDescent="0.3">
      <c r="A705" s="9">
        <v>45067</v>
      </c>
      <c r="B705" t="s">
        <v>45</v>
      </c>
      <c r="C705" t="s">
        <v>20</v>
      </c>
      <c r="D705" t="s">
        <v>13</v>
      </c>
      <c r="E705" t="s">
        <v>44</v>
      </c>
      <c r="F705">
        <v>2540</v>
      </c>
      <c r="G705">
        <v>61</v>
      </c>
      <c r="H705">
        <v>154.94</v>
      </c>
    </row>
    <row r="706" spans="1:8" x14ac:dyDescent="0.3">
      <c r="A706" s="9">
        <v>44998</v>
      </c>
      <c r="B706" t="s">
        <v>45</v>
      </c>
      <c r="C706" t="s">
        <v>26</v>
      </c>
      <c r="D706" t="s">
        <v>18</v>
      </c>
      <c r="E706" t="s">
        <v>37</v>
      </c>
      <c r="F706">
        <v>890</v>
      </c>
      <c r="G706">
        <v>70</v>
      </c>
      <c r="H706">
        <v>62.3</v>
      </c>
    </row>
    <row r="707" spans="1:8" x14ac:dyDescent="0.3">
      <c r="A707" s="9">
        <v>45066</v>
      </c>
      <c r="B707" t="s">
        <v>45</v>
      </c>
      <c r="C707" t="s">
        <v>33</v>
      </c>
      <c r="D707" t="s">
        <v>13</v>
      </c>
      <c r="E707" t="s">
        <v>22</v>
      </c>
      <c r="F707">
        <v>930</v>
      </c>
      <c r="G707">
        <v>18</v>
      </c>
      <c r="H707">
        <v>16.739999999999998</v>
      </c>
    </row>
    <row r="708" spans="1:8" x14ac:dyDescent="0.3">
      <c r="A708" s="9">
        <v>45065</v>
      </c>
      <c r="B708" t="s">
        <v>45</v>
      </c>
      <c r="C708" t="s">
        <v>9</v>
      </c>
      <c r="D708" t="s">
        <v>18</v>
      </c>
      <c r="E708" t="s">
        <v>19</v>
      </c>
      <c r="F708">
        <v>325</v>
      </c>
      <c r="G708">
        <v>48</v>
      </c>
      <c r="H708">
        <v>15.6</v>
      </c>
    </row>
    <row r="709" spans="1:8" x14ac:dyDescent="0.3">
      <c r="A709" s="9">
        <v>44998</v>
      </c>
      <c r="B709" t="s">
        <v>45</v>
      </c>
      <c r="C709" t="s">
        <v>15</v>
      </c>
      <c r="D709" t="s">
        <v>13</v>
      </c>
      <c r="E709" t="s">
        <v>29</v>
      </c>
      <c r="F709">
        <v>1230</v>
      </c>
      <c r="G709">
        <v>32</v>
      </c>
      <c r="H709">
        <v>39.36</v>
      </c>
    </row>
    <row r="710" spans="1:8" x14ac:dyDescent="0.3">
      <c r="A710" s="9">
        <v>44998</v>
      </c>
      <c r="B710" t="s">
        <v>45</v>
      </c>
      <c r="C710" t="s">
        <v>33</v>
      </c>
      <c r="D710" t="s">
        <v>10</v>
      </c>
      <c r="E710" t="s">
        <v>23</v>
      </c>
      <c r="F710">
        <v>640</v>
      </c>
      <c r="G710">
        <v>46</v>
      </c>
      <c r="H710">
        <v>29.44</v>
      </c>
    </row>
    <row r="711" spans="1:8" x14ac:dyDescent="0.3">
      <c r="A711" s="9">
        <v>45065</v>
      </c>
      <c r="B711" t="s">
        <v>45</v>
      </c>
      <c r="C711" t="s">
        <v>20</v>
      </c>
      <c r="D711" t="s">
        <v>18</v>
      </c>
      <c r="E711" t="s">
        <v>21</v>
      </c>
      <c r="F711">
        <v>450</v>
      </c>
      <c r="G711">
        <v>86</v>
      </c>
      <c r="H711">
        <v>38.700000000000003</v>
      </c>
    </row>
    <row r="712" spans="1:8" x14ac:dyDescent="0.3">
      <c r="A712" s="9">
        <v>45064</v>
      </c>
      <c r="B712" t="s">
        <v>45</v>
      </c>
      <c r="C712" t="s">
        <v>15</v>
      </c>
      <c r="D712" t="s">
        <v>24</v>
      </c>
      <c r="E712" t="s">
        <v>30</v>
      </c>
      <c r="F712">
        <v>2970</v>
      </c>
      <c r="G712">
        <v>59</v>
      </c>
      <c r="H712">
        <v>175.23</v>
      </c>
    </row>
    <row r="713" spans="1:8" x14ac:dyDescent="0.3">
      <c r="A713" s="9">
        <v>45064</v>
      </c>
      <c r="B713" t="s">
        <v>45</v>
      </c>
      <c r="C713" t="s">
        <v>15</v>
      </c>
      <c r="D713" t="s">
        <v>10</v>
      </c>
      <c r="E713" t="s">
        <v>23</v>
      </c>
      <c r="F713">
        <v>640</v>
      </c>
      <c r="G713">
        <v>40</v>
      </c>
      <c r="H713">
        <v>25.6</v>
      </c>
    </row>
    <row r="714" spans="1:8" x14ac:dyDescent="0.3">
      <c r="A714" s="9">
        <v>45064</v>
      </c>
      <c r="B714" t="s">
        <v>45</v>
      </c>
      <c r="C714" t="s">
        <v>20</v>
      </c>
      <c r="D714" t="s">
        <v>18</v>
      </c>
      <c r="E714" t="s">
        <v>37</v>
      </c>
      <c r="F714">
        <v>890</v>
      </c>
      <c r="G714">
        <v>21</v>
      </c>
      <c r="H714">
        <v>18.690000000000001</v>
      </c>
    </row>
    <row r="715" spans="1:8" x14ac:dyDescent="0.3">
      <c r="A715" s="9">
        <v>45063</v>
      </c>
      <c r="B715" t="s">
        <v>45</v>
      </c>
      <c r="C715" t="s">
        <v>26</v>
      </c>
      <c r="D715" t="s">
        <v>24</v>
      </c>
      <c r="E715" t="s">
        <v>30</v>
      </c>
      <c r="F715">
        <v>2970</v>
      </c>
      <c r="G715">
        <v>27</v>
      </c>
      <c r="H715">
        <v>80.19</v>
      </c>
    </row>
    <row r="716" spans="1:8" x14ac:dyDescent="0.3">
      <c r="A716" s="9">
        <v>45063</v>
      </c>
      <c r="B716" t="s">
        <v>45</v>
      </c>
      <c r="C716" t="s">
        <v>20</v>
      </c>
      <c r="D716" t="s">
        <v>10</v>
      </c>
      <c r="E716" t="s">
        <v>39</v>
      </c>
      <c r="F716">
        <v>650</v>
      </c>
      <c r="G716">
        <v>27</v>
      </c>
      <c r="H716">
        <v>17.55</v>
      </c>
    </row>
    <row r="717" spans="1:8" x14ac:dyDescent="0.3">
      <c r="A717" s="9">
        <v>45062</v>
      </c>
      <c r="B717" t="s">
        <v>45</v>
      </c>
      <c r="C717" t="s">
        <v>35</v>
      </c>
      <c r="D717" t="s">
        <v>10</v>
      </c>
      <c r="E717" t="s">
        <v>39</v>
      </c>
      <c r="F717">
        <v>650</v>
      </c>
      <c r="G717">
        <v>34</v>
      </c>
      <c r="H717">
        <v>22.1</v>
      </c>
    </row>
    <row r="718" spans="1:8" x14ac:dyDescent="0.3">
      <c r="A718" s="9">
        <v>45062</v>
      </c>
      <c r="B718" t="s">
        <v>45</v>
      </c>
      <c r="C718" t="s">
        <v>33</v>
      </c>
      <c r="D718" t="s">
        <v>18</v>
      </c>
      <c r="E718" t="s">
        <v>28</v>
      </c>
      <c r="F718">
        <v>690</v>
      </c>
      <c r="G718">
        <v>19</v>
      </c>
      <c r="H718">
        <v>13.11</v>
      </c>
    </row>
    <row r="719" spans="1:8" x14ac:dyDescent="0.3">
      <c r="A719" s="9">
        <v>45062</v>
      </c>
      <c r="B719" t="s">
        <v>45</v>
      </c>
      <c r="C719" t="s">
        <v>9</v>
      </c>
      <c r="D719" t="s">
        <v>10</v>
      </c>
      <c r="E719" t="s">
        <v>11</v>
      </c>
      <c r="F719">
        <v>705</v>
      </c>
      <c r="G719">
        <v>74</v>
      </c>
      <c r="H719">
        <v>52.17</v>
      </c>
    </row>
    <row r="720" spans="1:8" x14ac:dyDescent="0.3">
      <c r="A720" s="9">
        <v>45062</v>
      </c>
      <c r="B720" t="s">
        <v>45</v>
      </c>
      <c r="C720" t="s">
        <v>20</v>
      </c>
      <c r="D720" t="s">
        <v>10</v>
      </c>
      <c r="E720" t="s">
        <v>16</v>
      </c>
      <c r="F720">
        <v>1380</v>
      </c>
      <c r="G720">
        <v>43</v>
      </c>
      <c r="H720">
        <v>59.34</v>
      </c>
    </row>
    <row r="721" spans="1:8" x14ac:dyDescent="0.3">
      <c r="A721" s="9">
        <v>45061</v>
      </c>
      <c r="B721" t="s">
        <v>45</v>
      </c>
      <c r="C721" t="s">
        <v>33</v>
      </c>
      <c r="D721" t="s">
        <v>24</v>
      </c>
      <c r="E721" t="s">
        <v>34</v>
      </c>
      <c r="F721">
        <v>1670</v>
      </c>
      <c r="G721">
        <v>18</v>
      </c>
      <c r="H721">
        <v>30.06</v>
      </c>
    </row>
    <row r="722" spans="1:8" x14ac:dyDescent="0.3">
      <c r="A722" s="9">
        <v>45061</v>
      </c>
      <c r="B722" t="s">
        <v>45</v>
      </c>
      <c r="C722" t="s">
        <v>15</v>
      </c>
      <c r="D722" t="s">
        <v>18</v>
      </c>
      <c r="E722" t="s">
        <v>37</v>
      </c>
      <c r="F722">
        <v>890</v>
      </c>
      <c r="G722">
        <v>46</v>
      </c>
      <c r="H722">
        <v>40.94</v>
      </c>
    </row>
    <row r="723" spans="1:8" x14ac:dyDescent="0.3">
      <c r="A723" s="9">
        <v>44999</v>
      </c>
      <c r="B723" t="s">
        <v>45</v>
      </c>
      <c r="C723" t="s">
        <v>33</v>
      </c>
      <c r="D723" t="s">
        <v>24</v>
      </c>
      <c r="E723" t="s">
        <v>32</v>
      </c>
      <c r="F723">
        <v>1505</v>
      </c>
      <c r="G723">
        <v>70</v>
      </c>
      <c r="H723">
        <v>105.35</v>
      </c>
    </row>
    <row r="724" spans="1:8" x14ac:dyDescent="0.3">
      <c r="A724" s="9">
        <v>44999</v>
      </c>
      <c r="B724" t="s">
        <v>45</v>
      </c>
      <c r="C724" t="s">
        <v>35</v>
      </c>
      <c r="D724" t="s">
        <v>24</v>
      </c>
      <c r="E724" t="s">
        <v>32</v>
      </c>
      <c r="F724">
        <v>1505</v>
      </c>
      <c r="G724">
        <v>75</v>
      </c>
      <c r="H724">
        <v>112.875</v>
      </c>
    </row>
    <row r="725" spans="1:8" x14ac:dyDescent="0.3">
      <c r="A725" s="9">
        <v>45061</v>
      </c>
      <c r="B725" t="s">
        <v>45</v>
      </c>
      <c r="C725" t="s">
        <v>9</v>
      </c>
      <c r="D725" t="s">
        <v>13</v>
      </c>
      <c r="E725" t="s">
        <v>29</v>
      </c>
      <c r="F725">
        <v>1230</v>
      </c>
      <c r="G725">
        <v>20</v>
      </c>
      <c r="H725">
        <v>24.6</v>
      </c>
    </row>
    <row r="726" spans="1:8" x14ac:dyDescent="0.3">
      <c r="A726" s="9">
        <v>45060</v>
      </c>
      <c r="B726" t="s">
        <v>45</v>
      </c>
      <c r="C726" t="s">
        <v>15</v>
      </c>
      <c r="D726" t="s">
        <v>10</v>
      </c>
      <c r="E726" t="s">
        <v>40</v>
      </c>
      <c r="F726">
        <v>540</v>
      </c>
      <c r="G726">
        <v>73</v>
      </c>
      <c r="H726">
        <v>39.42</v>
      </c>
    </row>
    <row r="727" spans="1:8" x14ac:dyDescent="0.3">
      <c r="A727" s="9">
        <v>45000</v>
      </c>
      <c r="B727" t="s">
        <v>45</v>
      </c>
      <c r="C727" t="s">
        <v>20</v>
      </c>
      <c r="D727" t="s">
        <v>18</v>
      </c>
      <c r="E727" t="s">
        <v>37</v>
      </c>
      <c r="F727">
        <v>890</v>
      </c>
      <c r="G727">
        <v>92</v>
      </c>
      <c r="H727">
        <v>81.88</v>
      </c>
    </row>
    <row r="728" spans="1:8" x14ac:dyDescent="0.3">
      <c r="A728" s="9">
        <v>45060</v>
      </c>
      <c r="B728" t="s">
        <v>45</v>
      </c>
      <c r="C728" t="s">
        <v>20</v>
      </c>
      <c r="D728" t="s">
        <v>10</v>
      </c>
      <c r="E728" t="s">
        <v>41</v>
      </c>
      <c r="F728">
        <v>650</v>
      </c>
      <c r="G728">
        <v>96</v>
      </c>
      <c r="H728">
        <v>62.4</v>
      </c>
    </row>
    <row r="729" spans="1:8" x14ac:dyDescent="0.3">
      <c r="A729" s="9">
        <v>45059</v>
      </c>
      <c r="B729" t="s">
        <v>45</v>
      </c>
      <c r="C729" t="s">
        <v>33</v>
      </c>
      <c r="D729" t="s">
        <v>13</v>
      </c>
      <c r="E729" t="s">
        <v>43</v>
      </c>
      <c r="F729">
        <v>1420</v>
      </c>
      <c r="G729">
        <v>40</v>
      </c>
      <c r="H729">
        <v>56.8</v>
      </c>
    </row>
    <row r="730" spans="1:8" x14ac:dyDescent="0.3">
      <c r="A730" s="9">
        <v>45059</v>
      </c>
      <c r="B730" t="s">
        <v>45</v>
      </c>
      <c r="C730" t="s">
        <v>15</v>
      </c>
      <c r="D730" t="s">
        <v>24</v>
      </c>
      <c r="E730" t="s">
        <v>32</v>
      </c>
      <c r="F730">
        <v>1505</v>
      </c>
      <c r="G730">
        <v>46</v>
      </c>
      <c r="H730">
        <v>69.23</v>
      </c>
    </row>
    <row r="731" spans="1:8" x14ac:dyDescent="0.3">
      <c r="A731" s="9">
        <v>45000</v>
      </c>
      <c r="B731" t="s">
        <v>45</v>
      </c>
      <c r="C731" t="s">
        <v>26</v>
      </c>
      <c r="D731" t="s">
        <v>18</v>
      </c>
      <c r="E731" t="s">
        <v>37</v>
      </c>
      <c r="F731">
        <v>890</v>
      </c>
      <c r="G731">
        <v>73</v>
      </c>
      <c r="H731">
        <v>64.97</v>
      </c>
    </row>
    <row r="732" spans="1:8" x14ac:dyDescent="0.3">
      <c r="A732" s="9">
        <v>45059</v>
      </c>
      <c r="B732" t="s">
        <v>45</v>
      </c>
      <c r="C732" t="s">
        <v>9</v>
      </c>
      <c r="D732" t="s">
        <v>18</v>
      </c>
      <c r="E732" t="s">
        <v>37</v>
      </c>
      <c r="F732">
        <v>890</v>
      </c>
      <c r="G732">
        <v>51</v>
      </c>
      <c r="H732">
        <v>45.39</v>
      </c>
    </row>
    <row r="733" spans="1:8" x14ac:dyDescent="0.3">
      <c r="A733" s="9">
        <v>45059</v>
      </c>
      <c r="B733" t="s">
        <v>45</v>
      </c>
      <c r="C733" t="s">
        <v>20</v>
      </c>
      <c r="D733" t="s">
        <v>13</v>
      </c>
      <c r="E733" t="s">
        <v>38</v>
      </c>
      <c r="F733">
        <v>2400</v>
      </c>
      <c r="G733">
        <v>90</v>
      </c>
      <c r="H733">
        <v>216</v>
      </c>
    </row>
    <row r="734" spans="1:8" x14ac:dyDescent="0.3">
      <c r="A734" s="9">
        <v>45058</v>
      </c>
      <c r="B734" t="s">
        <v>45</v>
      </c>
      <c r="C734" t="s">
        <v>35</v>
      </c>
      <c r="D734" t="s">
        <v>24</v>
      </c>
      <c r="E734" t="s">
        <v>25</v>
      </c>
      <c r="F734">
        <v>1760</v>
      </c>
      <c r="G734">
        <v>52</v>
      </c>
      <c r="H734">
        <v>91.52</v>
      </c>
    </row>
    <row r="735" spans="1:8" x14ac:dyDescent="0.3">
      <c r="A735" s="9">
        <v>45058</v>
      </c>
      <c r="B735" t="s">
        <v>45</v>
      </c>
      <c r="C735" t="s">
        <v>9</v>
      </c>
      <c r="D735" t="s">
        <v>10</v>
      </c>
      <c r="E735" t="s">
        <v>40</v>
      </c>
      <c r="F735">
        <v>540</v>
      </c>
      <c r="G735">
        <v>93</v>
      </c>
      <c r="H735">
        <v>50.22</v>
      </c>
    </row>
    <row r="736" spans="1:8" x14ac:dyDescent="0.3">
      <c r="A736" s="9">
        <v>45001</v>
      </c>
      <c r="B736" t="s">
        <v>45</v>
      </c>
      <c r="C736" t="s">
        <v>20</v>
      </c>
      <c r="D736" t="s">
        <v>24</v>
      </c>
      <c r="E736" t="s">
        <v>30</v>
      </c>
      <c r="F736">
        <v>2970</v>
      </c>
      <c r="G736">
        <v>13</v>
      </c>
      <c r="H736">
        <v>38.61</v>
      </c>
    </row>
    <row r="737" spans="1:8" x14ac:dyDescent="0.3">
      <c r="A737" s="9">
        <v>45001</v>
      </c>
      <c r="B737" t="s">
        <v>45</v>
      </c>
      <c r="C737" t="s">
        <v>9</v>
      </c>
      <c r="D737" t="s">
        <v>18</v>
      </c>
      <c r="E737" t="s">
        <v>37</v>
      </c>
      <c r="F737">
        <v>890</v>
      </c>
      <c r="G737">
        <v>100</v>
      </c>
      <c r="H737">
        <v>89</v>
      </c>
    </row>
    <row r="738" spans="1:8" x14ac:dyDescent="0.3">
      <c r="A738" s="9">
        <v>45057</v>
      </c>
      <c r="B738" t="s">
        <v>45</v>
      </c>
      <c r="C738" t="s">
        <v>35</v>
      </c>
      <c r="D738" t="s">
        <v>13</v>
      </c>
      <c r="E738" t="s">
        <v>38</v>
      </c>
      <c r="F738">
        <v>2400</v>
      </c>
      <c r="G738">
        <v>95</v>
      </c>
      <c r="H738">
        <v>228</v>
      </c>
    </row>
    <row r="739" spans="1:8" x14ac:dyDescent="0.3">
      <c r="A739" s="9">
        <v>45056</v>
      </c>
      <c r="B739" t="s">
        <v>45</v>
      </c>
      <c r="C739" t="s">
        <v>20</v>
      </c>
      <c r="D739" t="s">
        <v>24</v>
      </c>
      <c r="E739" t="s">
        <v>42</v>
      </c>
      <c r="F739">
        <v>3205</v>
      </c>
      <c r="G739">
        <v>43</v>
      </c>
      <c r="H739">
        <v>137.815</v>
      </c>
    </row>
    <row r="740" spans="1:8" x14ac:dyDescent="0.3">
      <c r="A740" s="9">
        <v>45055</v>
      </c>
      <c r="B740" t="s">
        <v>45</v>
      </c>
      <c r="C740" t="s">
        <v>35</v>
      </c>
      <c r="D740" t="s">
        <v>10</v>
      </c>
      <c r="E740" t="s">
        <v>23</v>
      </c>
      <c r="F740">
        <v>640</v>
      </c>
      <c r="G740">
        <v>85</v>
      </c>
      <c r="H740">
        <v>54.4</v>
      </c>
    </row>
    <row r="741" spans="1:8" x14ac:dyDescent="0.3">
      <c r="A741" s="9">
        <v>45001</v>
      </c>
      <c r="B741" t="s">
        <v>45</v>
      </c>
      <c r="C741" t="s">
        <v>15</v>
      </c>
      <c r="D741" t="s">
        <v>24</v>
      </c>
      <c r="E741" t="s">
        <v>30</v>
      </c>
      <c r="F741">
        <v>2970</v>
      </c>
      <c r="G741">
        <v>89</v>
      </c>
      <c r="H741">
        <v>264.33</v>
      </c>
    </row>
    <row r="742" spans="1:8" x14ac:dyDescent="0.3">
      <c r="A742" s="9">
        <v>45001</v>
      </c>
      <c r="B742" t="s">
        <v>45</v>
      </c>
      <c r="C742" t="s">
        <v>33</v>
      </c>
      <c r="D742" t="s">
        <v>10</v>
      </c>
      <c r="E742" t="s">
        <v>40</v>
      </c>
      <c r="F742">
        <v>540</v>
      </c>
      <c r="G742">
        <v>89</v>
      </c>
      <c r="H742">
        <v>48.06</v>
      </c>
    </row>
    <row r="743" spans="1:8" x14ac:dyDescent="0.3">
      <c r="A743" s="9">
        <v>45055</v>
      </c>
      <c r="B743" t="s">
        <v>45</v>
      </c>
      <c r="C743" t="s">
        <v>9</v>
      </c>
      <c r="D743" t="s">
        <v>13</v>
      </c>
      <c r="E743" t="s">
        <v>44</v>
      </c>
      <c r="F743">
        <v>2540</v>
      </c>
      <c r="G743">
        <v>78</v>
      </c>
      <c r="H743">
        <v>198.12</v>
      </c>
    </row>
    <row r="744" spans="1:8" x14ac:dyDescent="0.3">
      <c r="A744" s="9">
        <v>45001</v>
      </c>
      <c r="B744" t="s">
        <v>45</v>
      </c>
      <c r="C744" t="s">
        <v>35</v>
      </c>
      <c r="D744" t="s">
        <v>24</v>
      </c>
      <c r="E744" t="s">
        <v>42</v>
      </c>
      <c r="F744">
        <v>3205</v>
      </c>
      <c r="G744">
        <v>17</v>
      </c>
      <c r="H744">
        <v>54.484999999999999</v>
      </c>
    </row>
    <row r="745" spans="1:8" x14ac:dyDescent="0.3">
      <c r="A745" s="9">
        <v>45054</v>
      </c>
      <c r="B745" t="s">
        <v>45</v>
      </c>
      <c r="C745" t="s">
        <v>33</v>
      </c>
      <c r="D745" t="s">
        <v>13</v>
      </c>
      <c r="E745" t="s">
        <v>22</v>
      </c>
      <c r="F745">
        <v>930</v>
      </c>
      <c r="G745">
        <v>49</v>
      </c>
      <c r="H745">
        <v>45.57</v>
      </c>
    </row>
    <row r="746" spans="1:8" x14ac:dyDescent="0.3">
      <c r="A746" s="9">
        <v>45054</v>
      </c>
      <c r="B746" t="s">
        <v>45</v>
      </c>
      <c r="C746" t="s">
        <v>20</v>
      </c>
      <c r="D746" t="s">
        <v>10</v>
      </c>
      <c r="E746" t="s">
        <v>11</v>
      </c>
      <c r="F746">
        <v>705</v>
      </c>
      <c r="G746">
        <v>43</v>
      </c>
      <c r="H746">
        <v>30.315000000000001</v>
      </c>
    </row>
    <row r="747" spans="1:8" x14ac:dyDescent="0.3">
      <c r="A747" s="9">
        <v>45053</v>
      </c>
      <c r="B747" t="s">
        <v>45</v>
      </c>
      <c r="C747" t="s">
        <v>33</v>
      </c>
      <c r="D747" t="s">
        <v>24</v>
      </c>
      <c r="E747" t="s">
        <v>25</v>
      </c>
      <c r="F747">
        <v>1760</v>
      </c>
      <c r="G747">
        <v>69</v>
      </c>
      <c r="H747">
        <v>121.44</v>
      </c>
    </row>
    <row r="748" spans="1:8" x14ac:dyDescent="0.3">
      <c r="A748" s="9">
        <v>45053</v>
      </c>
      <c r="B748" t="s">
        <v>45</v>
      </c>
      <c r="C748" t="s">
        <v>9</v>
      </c>
      <c r="D748" t="s">
        <v>24</v>
      </c>
      <c r="E748" t="s">
        <v>36</v>
      </c>
      <c r="F748">
        <v>2460</v>
      </c>
      <c r="G748">
        <v>50</v>
      </c>
      <c r="H748">
        <v>123</v>
      </c>
    </row>
    <row r="749" spans="1:8" x14ac:dyDescent="0.3">
      <c r="A749" s="9">
        <v>45052</v>
      </c>
      <c r="B749" t="s">
        <v>45</v>
      </c>
      <c r="C749" t="s">
        <v>33</v>
      </c>
      <c r="D749" t="s">
        <v>24</v>
      </c>
      <c r="E749" t="s">
        <v>34</v>
      </c>
      <c r="F749">
        <v>1670</v>
      </c>
      <c r="G749">
        <v>76</v>
      </c>
      <c r="H749">
        <v>126.92</v>
      </c>
    </row>
    <row r="750" spans="1:8" x14ac:dyDescent="0.3">
      <c r="A750" s="9">
        <v>45052</v>
      </c>
      <c r="B750" t="s">
        <v>45</v>
      </c>
      <c r="C750" t="s">
        <v>33</v>
      </c>
      <c r="D750" t="s">
        <v>18</v>
      </c>
      <c r="E750" t="s">
        <v>27</v>
      </c>
      <c r="F750">
        <v>460</v>
      </c>
      <c r="G750">
        <v>51</v>
      </c>
      <c r="H750">
        <v>23.46</v>
      </c>
    </row>
    <row r="751" spans="1:8" x14ac:dyDescent="0.3">
      <c r="A751" s="9">
        <v>45052</v>
      </c>
      <c r="B751" t="s">
        <v>45</v>
      </c>
      <c r="C751" t="s">
        <v>33</v>
      </c>
      <c r="D751" t="s">
        <v>10</v>
      </c>
      <c r="E751" t="s">
        <v>16</v>
      </c>
      <c r="F751">
        <v>1380</v>
      </c>
      <c r="G751">
        <v>86</v>
      </c>
      <c r="H751">
        <v>118.68</v>
      </c>
    </row>
    <row r="752" spans="1:8" x14ac:dyDescent="0.3">
      <c r="A752" s="9">
        <v>45052</v>
      </c>
      <c r="B752" t="s">
        <v>45</v>
      </c>
      <c r="C752" t="s">
        <v>26</v>
      </c>
      <c r="D752" t="s">
        <v>24</v>
      </c>
      <c r="E752" t="s">
        <v>34</v>
      </c>
      <c r="F752">
        <v>1670</v>
      </c>
      <c r="G752">
        <v>64</v>
      </c>
      <c r="H752">
        <v>106.88</v>
      </c>
    </row>
    <row r="753" spans="1:8" x14ac:dyDescent="0.3">
      <c r="A753" s="9">
        <v>45052</v>
      </c>
      <c r="B753" t="s">
        <v>45</v>
      </c>
      <c r="C753" t="s">
        <v>9</v>
      </c>
      <c r="D753" t="s">
        <v>18</v>
      </c>
      <c r="E753" t="s">
        <v>21</v>
      </c>
      <c r="F753">
        <v>450</v>
      </c>
      <c r="G753">
        <v>98</v>
      </c>
      <c r="H753">
        <v>44.1</v>
      </c>
    </row>
    <row r="754" spans="1:8" x14ac:dyDescent="0.3">
      <c r="A754" s="9">
        <v>45002</v>
      </c>
      <c r="B754" t="s">
        <v>45</v>
      </c>
      <c r="C754" t="s">
        <v>15</v>
      </c>
      <c r="D754" t="s">
        <v>10</v>
      </c>
      <c r="E754" t="s">
        <v>39</v>
      </c>
      <c r="F754">
        <v>650</v>
      </c>
      <c r="G754">
        <v>13</v>
      </c>
      <c r="H754">
        <v>8.4499999999999993</v>
      </c>
    </row>
    <row r="755" spans="1:8" x14ac:dyDescent="0.3">
      <c r="A755" s="9">
        <v>45002</v>
      </c>
      <c r="B755" t="s">
        <v>45</v>
      </c>
      <c r="C755" t="s">
        <v>35</v>
      </c>
      <c r="D755" t="s">
        <v>10</v>
      </c>
      <c r="E755" t="s">
        <v>16</v>
      </c>
      <c r="F755">
        <v>1380</v>
      </c>
      <c r="G755">
        <v>31</v>
      </c>
      <c r="H755">
        <v>42.78</v>
      </c>
    </row>
    <row r="756" spans="1:8" x14ac:dyDescent="0.3">
      <c r="A756" s="9">
        <v>45050</v>
      </c>
      <c r="B756" t="s">
        <v>45</v>
      </c>
      <c r="C756" t="s">
        <v>33</v>
      </c>
      <c r="D756" t="s">
        <v>24</v>
      </c>
      <c r="E756" t="s">
        <v>32</v>
      </c>
      <c r="F756">
        <v>1505</v>
      </c>
      <c r="G756">
        <v>100</v>
      </c>
      <c r="H756">
        <v>150.5</v>
      </c>
    </row>
    <row r="757" spans="1:8" x14ac:dyDescent="0.3">
      <c r="A757" s="9">
        <v>45050</v>
      </c>
      <c r="B757" t="s">
        <v>45</v>
      </c>
      <c r="C757" t="s">
        <v>33</v>
      </c>
      <c r="D757" t="s">
        <v>13</v>
      </c>
      <c r="E757" t="s">
        <v>14</v>
      </c>
      <c r="F757">
        <v>1320</v>
      </c>
      <c r="G757">
        <v>70</v>
      </c>
      <c r="H757">
        <v>92.4</v>
      </c>
    </row>
    <row r="758" spans="1:8" x14ac:dyDescent="0.3">
      <c r="A758" s="9">
        <v>45050</v>
      </c>
      <c r="B758" t="s">
        <v>45</v>
      </c>
      <c r="C758" t="s">
        <v>33</v>
      </c>
      <c r="D758" t="s">
        <v>18</v>
      </c>
      <c r="E758" t="s">
        <v>37</v>
      </c>
      <c r="F758">
        <v>890</v>
      </c>
      <c r="G758">
        <v>50</v>
      </c>
      <c r="H758">
        <v>44.5</v>
      </c>
    </row>
    <row r="759" spans="1:8" x14ac:dyDescent="0.3">
      <c r="A759" s="9">
        <v>45050</v>
      </c>
      <c r="B759" t="s">
        <v>45</v>
      </c>
      <c r="C759" t="s">
        <v>26</v>
      </c>
      <c r="D759" t="s">
        <v>10</v>
      </c>
      <c r="E759" t="s">
        <v>40</v>
      </c>
      <c r="F759">
        <v>540</v>
      </c>
      <c r="G759">
        <v>81</v>
      </c>
      <c r="H759">
        <v>43.74</v>
      </c>
    </row>
    <row r="760" spans="1:8" x14ac:dyDescent="0.3">
      <c r="A760" s="9">
        <v>45049</v>
      </c>
      <c r="B760" t="s">
        <v>45</v>
      </c>
      <c r="C760" t="s">
        <v>20</v>
      </c>
      <c r="D760" t="s">
        <v>13</v>
      </c>
      <c r="E760" t="s">
        <v>29</v>
      </c>
      <c r="F760">
        <v>1230</v>
      </c>
      <c r="G760">
        <v>96</v>
      </c>
      <c r="H760">
        <v>118.08</v>
      </c>
    </row>
    <row r="761" spans="1:8" x14ac:dyDescent="0.3">
      <c r="A761" s="9">
        <v>45049</v>
      </c>
      <c r="B761" t="s">
        <v>45</v>
      </c>
      <c r="C761" t="s">
        <v>20</v>
      </c>
      <c r="D761" t="s">
        <v>13</v>
      </c>
      <c r="E761" t="s">
        <v>22</v>
      </c>
      <c r="F761">
        <v>930</v>
      </c>
      <c r="G761">
        <v>84</v>
      </c>
      <c r="H761">
        <v>78.12</v>
      </c>
    </row>
    <row r="762" spans="1:8" x14ac:dyDescent="0.3">
      <c r="A762" s="9">
        <v>45048</v>
      </c>
      <c r="B762" t="s">
        <v>45</v>
      </c>
      <c r="C762" t="s">
        <v>33</v>
      </c>
      <c r="D762" t="s">
        <v>24</v>
      </c>
      <c r="E762" t="s">
        <v>30</v>
      </c>
      <c r="F762">
        <v>2970</v>
      </c>
      <c r="G762">
        <v>56</v>
      </c>
      <c r="H762">
        <v>166.32</v>
      </c>
    </row>
    <row r="763" spans="1:8" x14ac:dyDescent="0.3">
      <c r="A763" s="9">
        <v>45003</v>
      </c>
      <c r="B763" t="s">
        <v>45</v>
      </c>
      <c r="C763" t="s">
        <v>15</v>
      </c>
      <c r="D763" t="s">
        <v>13</v>
      </c>
      <c r="E763" t="s">
        <v>22</v>
      </c>
      <c r="F763">
        <v>930</v>
      </c>
      <c r="G763">
        <v>6</v>
      </c>
      <c r="H763">
        <v>5.58</v>
      </c>
    </row>
    <row r="764" spans="1:8" x14ac:dyDescent="0.3">
      <c r="A764" s="9">
        <v>45048</v>
      </c>
      <c r="B764" t="s">
        <v>45</v>
      </c>
      <c r="C764" t="s">
        <v>26</v>
      </c>
      <c r="D764" t="s">
        <v>24</v>
      </c>
      <c r="E764" t="s">
        <v>25</v>
      </c>
      <c r="F764">
        <v>1760</v>
      </c>
      <c r="G764">
        <v>8</v>
      </c>
      <c r="H764">
        <v>14.08</v>
      </c>
    </row>
    <row r="765" spans="1:8" x14ac:dyDescent="0.3">
      <c r="A765" s="9">
        <v>45003</v>
      </c>
      <c r="B765" t="s">
        <v>45</v>
      </c>
      <c r="C765" t="s">
        <v>15</v>
      </c>
      <c r="D765" t="s">
        <v>13</v>
      </c>
      <c r="E765" t="s">
        <v>14</v>
      </c>
      <c r="F765">
        <v>1320</v>
      </c>
      <c r="G765">
        <v>39</v>
      </c>
      <c r="H765">
        <v>51.48</v>
      </c>
    </row>
    <row r="766" spans="1:8" x14ac:dyDescent="0.3">
      <c r="A766" s="9">
        <v>45048</v>
      </c>
      <c r="B766" t="s">
        <v>45</v>
      </c>
      <c r="C766" t="s">
        <v>26</v>
      </c>
      <c r="D766" t="s">
        <v>18</v>
      </c>
      <c r="E766" t="s">
        <v>21</v>
      </c>
      <c r="F766">
        <v>450</v>
      </c>
      <c r="G766">
        <v>87</v>
      </c>
      <c r="H766">
        <v>39.15</v>
      </c>
    </row>
    <row r="767" spans="1:8" x14ac:dyDescent="0.3">
      <c r="A767" s="9">
        <v>45003</v>
      </c>
      <c r="B767" t="s">
        <v>45</v>
      </c>
      <c r="C767" t="s">
        <v>35</v>
      </c>
      <c r="D767" t="s">
        <v>10</v>
      </c>
      <c r="E767" t="s">
        <v>41</v>
      </c>
      <c r="F767">
        <v>650</v>
      </c>
      <c r="G767">
        <v>12</v>
      </c>
      <c r="H767">
        <v>7.8</v>
      </c>
    </row>
    <row r="768" spans="1:8" x14ac:dyDescent="0.3">
      <c r="A768" s="9">
        <v>45047</v>
      </c>
      <c r="B768" t="s">
        <v>45</v>
      </c>
      <c r="C768" t="s">
        <v>35</v>
      </c>
      <c r="D768" t="s">
        <v>13</v>
      </c>
      <c r="E768" t="s">
        <v>22</v>
      </c>
      <c r="F768">
        <v>930</v>
      </c>
      <c r="G768">
        <v>49</v>
      </c>
      <c r="H768">
        <v>45.57</v>
      </c>
    </row>
    <row r="769" spans="1:8" x14ac:dyDescent="0.3">
      <c r="A769" s="9">
        <v>45047</v>
      </c>
      <c r="B769" t="s">
        <v>45</v>
      </c>
      <c r="C769" t="s">
        <v>15</v>
      </c>
      <c r="D769" t="s">
        <v>10</v>
      </c>
      <c r="E769" t="s">
        <v>23</v>
      </c>
      <c r="F769">
        <v>640</v>
      </c>
      <c r="G769">
        <v>25</v>
      </c>
      <c r="H769">
        <v>16</v>
      </c>
    </row>
    <row r="770" spans="1:8" x14ac:dyDescent="0.3">
      <c r="A770" s="9">
        <v>45047</v>
      </c>
      <c r="B770" t="s">
        <v>45</v>
      </c>
      <c r="C770" t="s">
        <v>26</v>
      </c>
      <c r="D770" t="s">
        <v>24</v>
      </c>
      <c r="E770" t="s">
        <v>36</v>
      </c>
      <c r="F770">
        <v>2460</v>
      </c>
      <c r="G770">
        <v>73</v>
      </c>
      <c r="H770">
        <v>179.58</v>
      </c>
    </row>
    <row r="771" spans="1:8" x14ac:dyDescent="0.3">
      <c r="A771" s="9">
        <v>45046</v>
      </c>
      <c r="B771" t="s">
        <v>45</v>
      </c>
      <c r="C771" t="s">
        <v>15</v>
      </c>
      <c r="D771" t="s">
        <v>10</v>
      </c>
      <c r="E771" t="s">
        <v>16</v>
      </c>
      <c r="F771">
        <v>1380</v>
      </c>
      <c r="G771">
        <v>16</v>
      </c>
      <c r="H771">
        <v>22.08</v>
      </c>
    </row>
    <row r="772" spans="1:8" x14ac:dyDescent="0.3">
      <c r="A772" s="9">
        <v>45046</v>
      </c>
      <c r="B772" t="s">
        <v>45</v>
      </c>
      <c r="C772" t="s">
        <v>26</v>
      </c>
      <c r="D772" t="s">
        <v>10</v>
      </c>
      <c r="E772" t="s">
        <v>16</v>
      </c>
      <c r="F772">
        <v>1380</v>
      </c>
      <c r="G772">
        <v>69</v>
      </c>
      <c r="H772">
        <v>95.22</v>
      </c>
    </row>
    <row r="773" spans="1:8" x14ac:dyDescent="0.3">
      <c r="A773" s="9">
        <v>45004</v>
      </c>
      <c r="B773" t="s">
        <v>45</v>
      </c>
      <c r="C773" t="s">
        <v>9</v>
      </c>
      <c r="D773" t="s">
        <v>18</v>
      </c>
      <c r="E773" t="s">
        <v>27</v>
      </c>
      <c r="F773">
        <v>460</v>
      </c>
      <c r="G773">
        <v>33</v>
      </c>
      <c r="H773">
        <v>15.18</v>
      </c>
    </row>
    <row r="774" spans="1:8" x14ac:dyDescent="0.3">
      <c r="A774" s="9">
        <v>45046</v>
      </c>
      <c r="B774" t="s">
        <v>45</v>
      </c>
      <c r="C774" t="s">
        <v>9</v>
      </c>
      <c r="D774" t="s">
        <v>10</v>
      </c>
      <c r="E774" t="s">
        <v>16</v>
      </c>
      <c r="F774">
        <v>1380</v>
      </c>
      <c r="G774">
        <v>57</v>
      </c>
      <c r="H774">
        <v>78.66</v>
      </c>
    </row>
    <row r="775" spans="1:8" x14ac:dyDescent="0.3">
      <c r="A775" s="9">
        <v>45046</v>
      </c>
      <c r="B775" t="s">
        <v>45</v>
      </c>
      <c r="C775" t="s">
        <v>20</v>
      </c>
      <c r="D775" t="s">
        <v>24</v>
      </c>
      <c r="E775" t="s">
        <v>25</v>
      </c>
      <c r="F775">
        <v>1760</v>
      </c>
      <c r="G775">
        <v>61</v>
      </c>
      <c r="H775">
        <v>107.36</v>
      </c>
    </row>
    <row r="776" spans="1:8" x14ac:dyDescent="0.3">
      <c r="A776" s="9">
        <v>45004</v>
      </c>
      <c r="B776" t="s">
        <v>45</v>
      </c>
      <c r="C776" t="s">
        <v>26</v>
      </c>
      <c r="D776" t="s">
        <v>13</v>
      </c>
      <c r="E776" t="s">
        <v>38</v>
      </c>
      <c r="F776">
        <v>2400</v>
      </c>
      <c r="G776">
        <v>9</v>
      </c>
      <c r="H776">
        <v>21.6</v>
      </c>
    </row>
    <row r="777" spans="1:8" x14ac:dyDescent="0.3">
      <c r="A777" s="9">
        <v>45045</v>
      </c>
      <c r="B777" t="s">
        <v>45</v>
      </c>
      <c r="C777" t="s">
        <v>35</v>
      </c>
      <c r="D777" t="s">
        <v>24</v>
      </c>
      <c r="E777" t="s">
        <v>32</v>
      </c>
      <c r="F777">
        <v>1505</v>
      </c>
      <c r="G777">
        <v>49</v>
      </c>
      <c r="H777">
        <v>73.745000000000005</v>
      </c>
    </row>
    <row r="778" spans="1:8" x14ac:dyDescent="0.3">
      <c r="A778" s="9">
        <v>45045</v>
      </c>
      <c r="B778" t="s">
        <v>45</v>
      </c>
      <c r="C778" t="s">
        <v>9</v>
      </c>
      <c r="D778" t="s">
        <v>10</v>
      </c>
      <c r="E778" t="s">
        <v>23</v>
      </c>
      <c r="F778">
        <v>640</v>
      </c>
      <c r="G778">
        <v>89</v>
      </c>
      <c r="H778">
        <v>56.96</v>
      </c>
    </row>
    <row r="779" spans="1:8" x14ac:dyDescent="0.3">
      <c r="A779" s="9">
        <v>45043</v>
      </c>
      <c r="B779" t="s">
        <v>45</v>
      </c>
      <c r="C779" t="s">
        <v>35</v>
      </c>
      <c r="D779" t="s">
        <v>24</v>
      </c>
      <c r="E779" t="s">
        <v>30</v>
      </c>
      <c r="F779">
        <v>2970</v>
      </c>
      <c r="G779">
        <v>38</v>
      </c>
      <c r="H779">
        <v>112.86</v>
      </c>
    </row>
    <row r="780" spans="1:8" x14ac:dyDescent="0.3">
      <c r="A780" s="9">
        <v>45043</v>
      </c>
      <c r="B780" t="s">
        <v>45</v>
      </c>
      <c r="C780" t="s">
        <v>35</v>
      </c>
      <c r="D780" t="s">
        <v>13</v>
      </c>
      <c r="E780" t="s">
        <v>22</v>
      </c>
      <c r="F780">
        <v>930</v>
      </c>
      <c r="G780">
        <v>65</v>
      </c>
      <c r="H780">
        <v>60.45</v>
      </c>
    </row>
    <row r="781" spans="1:8" x14ac:dyDescent="0.3">
      <c r="A781" s="9">
        <v>45043</v>
      </c>
      <c r="B781" t="s">
        <v>45</v>
      </c>
      <c r="C781" t="s">
        <v>35</v>
      </c>
      <c r="D781" t="s">
        <v>10</v>
      </c>
      <c r="E781" t="s">
        <v>16</v>
      </c>
      <c r="F781">
        <v>1380</v>
      </c>
      <c r="G781">
        <v>92</v>
      </c>
      <c r="H781">
        <v>126.96</v>
      </c>
    </row>
    <row r="782" spans="1:8" x14ac:dyDescent="0.3">
      <c r="A782" s="9">
        <v>45043</v>
      </c>
      <c r="B782" t="s">
        <v>45</v>
      </c>
      <c r="C782" t="s">
        <v>26</v>
      </c>
      <c r="D782" t="s">
        <v>24</v>
      </c>
      <c r="E782" t="s">
        <v>34</v>
      </c>
      <c r="F782">
        <v>1670</v>
      </c>
      <c r="G782">
        <v>8</v>
      </c>
      <c r="H782">
        <v>13.36</v>
      </c>
    </row>
    <row r="783" spans="1:8" x14ac:dyDescent="0.3">
      <c r="A783" s="9">
        <v>45004</v>
      </c>
      <c r="B783" t="s">
        <v>45</v>
      </c>
      <c r="C783" t="s">
        <v>33</v>
      </c>
      <c r="D783" t="s">
        <v>13</v>
      </c>
      <c r="E783" t="s">
        <v>14</v>
      </c>
      <c r="F783">
        <v>1320</v>
      </c>
      <c r="G783">
        <v>27</v>
      </c>
      <c r="H783">
        <v>35.64</v>
      </c>
    </row>
    <row r="784" spans="1:8" x14ac:dyDescent="0.3">
      <c r="A784" s="9">
        <v>45041</v>
      </c>
      <c r="B784" t="s">
        <v>45</v>
      </c>
      <c r="C784" t="s">
        <v>35</v>
      </c>
      <c r="D784" t="s">
        <v>24</v>
      </c>
      <c r="E784" t="s">
        <v>36</v>
      </c>
      <c r="F784">
        <v>2460</v>
      </c>
      <c r="G784">
        <v>14</v>
      </c>
      <c r="H784">
        <v>34.44</v>
      </c>
    </row>
    <row r="785" spans="1:8" x14ac:dyDescent="0.3">
      <c r="A785" s="9">
        <v>45041</v>
      </c>
      <c r="B785" t="s">
        <v>45</v>
      </c>
      <c r="C785" t="s">
        <v>33</v>
      </c>
      <c r="D785" t="s">
        <v>24</v>
      </c>
      <c r="E785" t="s">
        <v>36</v>
      </c>
      <c r="F785">
        <v>2460</v>
      </c>
      <c r="G785">
        <v>92</v>
      </c>
      <c r="H785">
        <v>226.32</v>
      </c>
    </row>
    <row r="786" spans="1:8" x14ac:dyDescent="0.3">
      <c r="A786" s="9">
        <v>45041</v>
      </c>
      <c r="B786" t="s">
        <v>45</v>
      </c>
      <c r="C786" t="s">
        <v>33</v>
      </c>
      <c r="D786" t="s">
        <v>18</v>
      </c>
      <c r="E786" t="s">
        <v>27</v>
      </c>
      <c r="F786">
        <v>460</v>
      </c>
      <c r="G786">
        <v>73</v>
      </c>
      <c r="H786">
        <v>33.58</v>
      </c>
    </row>
    <row r="787" spans="1:8" x14ac:dyDescent="0.3">
      <c r="A787" s="9">
        <v>45041</v>
      </c>
      <c r="B787" t="s">
        <v>45</v>
      </c>
      <c r="C787" t="s">
        <v>15</v>
      </c>
      <c r="D787" t="s">
        <v>24</v>
      </c>
      <c r="E787" t="s">
        <v>42</v>
      </c>
      <c r="F787">
        <v>3205</v>
      </c>
      <c r="G787">
        <v>24</v>
      </c>
      <c r="H787">
        <v>76.92</v>
      </c>
    </row>
    <row r="788" spans="1:8" x14ac:dyDescent="0.3">
      <c r="A788" s="9">
        <v>45041</v>
      </c>
      <c r="B788" t="s">
        <v>45</v>
      </c>
      <c r="C788" t="s">
        <v>9</v>
      </c>
      <c r="D788" t="s">
        <v>24</v>
      </c>
      <c r="E788" t="s">
        <v>25</v>
      </c>
      <c r="F788">
        <v>1760</v>
      </c>
      <c r="G788">
        <v>53</v>
      </c>
      <c r="H788">
        <v>93.28</v>
      </c>
    </row>
    <row r="789" spans="1:8" x14ac:dyDescent="0.3">
      <c r="A789" s="9">
        <v>45041</v>
      </c>
      <c r="B789" t="s">
        <v>45</v>
      </c>
      <c r="C789" t="s">
        <v>9</v>
      </c>
      <c r="D789" t="s">
        <v>13</v>
      </c>
      <c r="E789" t="s">
        <v>29</v>
      </c>
      <c r="F789">
        <v>1230</v>
      </c>
      <c r="G789">
        <v>20</v>
      </c>
      <c r="H789">
        <v>24.6</v>
      </c>
    </row>
    <row r="790" spans="1:8" x14ac:dyDescent="0.3">
      <c r="A790" s="9">
        <v>45040</v>
      </c>
      <c r="B790" t="s">
        <v>45</v>
      </c>
      <c r="C790" t="s">
        <v>20</v>
      </c>
      <c r="D790" t="s">
        <v>18</v>
      </c>
      <c r="E790" t="s">
        <v>37</v>
      </c>
      <c r="F790">
        <v>890</v>
      </c>
      <c r="G790">
        <v>100</v>
      </c>
      <c r="H790">
        <v>89</v>
      </c>
    </row>
    <row r="791" spans="1:8" x14ac:dyDescent="0.3">
      <c r="A791" s="9">
        <v>45005</v>
      </c>
      <c r="B791" t="s">
        <v>45</v>
      </c>
      <c r="C791" t="s">
        <v>33</v>
      </c>
      <c r="D791" t="s">
        <v>18</v>
      </c>
      <c r="E791" t="s">
        <v>27</v>
      </c>
      <c r="F791">
        <v>460</v>
      </c>
      <c r="G791">
        <v>48</v>
      </c>
      <c r="H791">
        <v>22.08</v>
      </c>
    </row>
    <row r="792" spans="1:8" x14ac:dyDescent="0.3">
      <c r="A792" s="9">
        <v>45040</v>
      </c>
      <c r="B792" t="s">
        <v>45</v>
      </c>
      <c r="C792" t="s">
        <v>20</v>
      </c>
      <c r="D792" t="s">
        <v>10</v>
      </c>
      <c r="E792" t="s">
        <v>23</v>
      </c>
      <c r="F792">
        <v>640</v>
      </c>
      <c r="G792">
        <v>79</v>
      </c>
      <c r="H792">
        <v>50.56</v>
      </c>
    </row>
    <row r="793" spans="1:8" x14ac:dyDescent="0.3">
      <c r="A793" s="9">
        <v>45039</v>
      </c>
      <c r="B793" t="s">
        <v>45</v>
      </c>
      <c r="C793" t="s">
        <v>33</v>
      </c>
      <c r="D793" t="s">
        <v>18</v>
      </c>
      <c r="E793" t="s">
        <v>19</v>
      </c>
      <c r="F793">
        <v>325</v>
      </c>
      <c r="G793">
        <v>30</v>
      </c>
      <c r="H793">
        <v>9.75</v>
      </c>
    </row>
    <row r="794" spans="1:8" x14ac:dyDescent="0.3">
      <c r="A794" s="9">
        <v>45039</v>
      </c>
      <c r="B794" t="s">
        <v>45</v>
      </c>
      <c r="C794" t="s">
        <v>26</v>
      </c>
      <c r="D794" t="s">
        <v>10</v>
      </c>
      <c r="E794" t="s">
        <v>41</v>
      </c>
      <c r="F794">
        <v>650</v>
      </c>
      <c r="G794">
        <v>44</v>
      </c>
      <c r="H794">
        <v>28.6</v>
      </c>
    </row>
    <row r="795" spans="1:8" x14ac:dyDescent="0.3">
      <c r="A795" s="9">
        <v>45038</v>
      </c>
      <c r="B795" t="s">
        <v>45</v>
      </c>
      <c r="C795" t="s">
        <v>15</v>
      </c>
      <c r="D795" t="s">
        <v>18</v>
      </c>
      <c r="E795" t="s">
        <v>21</v>
      </c>
      <c r="F795">
        <v>450</v>
      </c>
      <c r="G795">
        <v>9</v>
      </c>
      <c r="H795">
        <v>4.05</v>
      </c>
    </row>
    <row r="796" spans="1:8" x14ac:dyDescent="0.3">
      <c r="A796" s="9">
        <v>45037</v>
      </c>
      <c r="B796" t="s">
        <v>45</v>
      </c>
      <c r="C796" t="s">
        <v>33</v>
      </c>
      <c r="D796" t="s">
        <v>18</v>
      </c>
      <c r="E796" t="s">
        <v>31</v>
      </c>
      <c r="F796">
        <v>715</v>
      </c>
      <c r="G796">
        <v>7</v>
      </c>
      <c r="H796">
        <v>5.0049999999999999</v>
      </c>
    </row>
    <row r="797" spans="1:8" x14ac:dyDescent="0.3">
      <c r="A797" s="9">
        <v>45037</v>
      </c>
      <c r="B797" t="s">
        <v>45</v>
      </c>
      <c r="C797" t="s">
        <v>26</v>
      </c>
      <c r="D797" t="s">
        <v>10</v>
      </c>
      <c r="E797" t="s">
        <v>23</v>
      </c>
      <c r="F797">
        <v>640</v>
      </c>
      <c r="G797">
        <v>28</v>
      </c>
      <c r="H797">
        <v>17.920000000000002</v>
      </c>
    </row>
    <row r="798" spans="1:8" x14ac:dyDescent="0.3">
      <c r="A798" s="9">
        <v>45037</v>
      </c>
      <c r="B798" t="s">
        <v>45</v>
      </c>
      <c r="C798" t="s">
        <v>20</v>
      </c>
      <c r="D798" t="s">
        <v>13</v>
      </c>
      <c r="E798" t="s">
        <v>14</v>
      </c>
      <c r="F798">
        <v>1320</v>
      </c>
      <c r="G798">
        <v>17</v>
      </c>
      <c r="H798">
        <v>22.44</v>
      </c>
    </row>
    <row r="799" spans="1:8" x14ac:dyDescent="0.3">
      <c r="A799" s="9">
        <v>45036</v>
      </c>
      <c r="B799" t="s">
        <v>45</v>
      </c>
      <c r="C799" t="s">
        <v>33</v>
      </c>
      <c r="D799" t="s">
        <v>18</v>
      </c>
      <c r="E799" t="s">
        <v>28</v>
      </c>
      <c r="F799">
        <v>690</v>
      </c>
      <c r="G799">
        <v>68</v>
      </c>
      <c r="H799">
        <v>46.92</v>
      </c>
    </row>
    <row r="800" spans="1:8" x14ac:dyDescent="0.3">
      <c r="A800" s="9">
        <v>45036</v>
      </c>
      <c r="B800" t="s">
        <v>45</v>
      </c>
      <c r="C800" t="s">
        <v>33</v>
      </c>
      <c r="D800" t="s">
        <v>18</v>
      </c>
      <c r="E800" t="s">
        <v>28</v>
      </c>
      <c r="F800">
        <v>690</v>
      </c>
      <c r="G800">
        <v>99</v>
      </c>
      <c r="H800">
        <v>68.31</v>
      </c>
    </row>
    <row r="801" spans="1:8" x14ac:dyDescent="0.3">
      <c r="A801" s="9">
        <v>45036</v>
      </c>
      <c r="B801" t="s">
        <v>45</v>
      </c>
      <c r="C801" t="s">
        <v>9</v>
      </c>
      <c r="D801" t="s">
        <v>10</v>
      </c>
      <c r="E801" t="s">
        <v>16</v>
      </c>
      <c r="F801">
        <v>1380</v>
      </c>
      <c r="G801">
        <v>5</v>
      </c>
      <c r="H801">
        <v>6.9</v>
      </c>
    </row>
    <row r="802" spans="1:8" x14ac:dyDescent="0.3">
      <c r="A802" s="9">
        <v>45036</v>
      </c>
      <c r="B802" t="s">
        <v>45</v>
      </c>
      <c r="C802" t="s">
        <v>20</v>
      </c>
      <c r="D802" t="s">
        <v>24</v>
      </c>
      <c r="E802" t="s">
        <v>30</v>
      </c>
      <c r="F802">
        <v>2970</v>
      </c>
      <c r="G802">
        <v>37</v>
      </c>
      <c r="H802">
        <v>109.89</v>
      </c>
    </row>
    <row r="803" spans="1:8" x14ac:dyDescent="0.3">
      <c r="A803" s="9">
        <v>45036</v>
      </c>
      <c r="B803" t="s">
        <v>45</v>
      </c>
      <c r="C803" t="s">
        <v>20</v>
      </c>
      <c r="D803" t="s">
        <v>13</v>
      </c>
      <c r="E803" t="s">
        <v>44</v>
      </c>
      <c r="F803">
        <v>2540</v>
      </c>
      <c r="G803">
        <v>24</v>
      </c>
      <c r="H803">
        <v>60.96</v>
      </c>
    </row>
    <row r="804" spans="1:8" x14ac:dyDescent="0.3">
      <c r="A804" s="9">
        <v>45035</v>
      </c>
      <c r="B804" t="s">
        <v>45</v>
      </c>
      <c r="C804" t="s">
        <v>26</v>
      </c>
      <c r="D804" t="s">
        <v>24</v>
      </c>
      <c r="E804" t="s">
        <v>36</v>
      </c>
      <c r="F804">
        <v>2460</v>
      </c>
      <c r="G804">
        <v>36</v>
      </c>
      <c r="H804">
        <v>88.56</v>
      </c>
    </row>
    <row r="805" spans="1:8" x14ac:dyDescent="0.3">
      <c r="A805" s="9">
        <v>45035</v>
      </c>
      <c r="B805" t="s">
        <v>45</v>
      </c>
      <c r="C805" t="s">
        <v>26</v>
      </c>
      <c r="D805" t="s">
        <v>18</v>
      </c>
      <c r="E805" t="s">
        <v>31</v>
      </c>
      <c r="F805">
        <v>715</v>
      </c>
      <c r="G805">
        <v>92</v>
      </c>
      <c r="H805">
        <v>65.78</v>
      </c>
    </row>
    <row r="806" spans="1:8" x14ac:dyDescent="0.3">
      <c r="A806" s="9">
        <v>45034</v>
      </c>
      <c r="B806" t="s">
        <v>45</v>
      </c>
      <c r="C806" t="s">
        <v>20</v>
      </c>
      <c r="D806" t="s">
        <v>24</v>
      </c>
      <c r="E806" t="s">
        <v>34</v>
      </c>
      <c r="F806">
        <v>1670</v>
      </c>
      <c r="G806">
        <v>98</v>
      </c>
      <c r="H806">
        <v>163.66</v>
      </c>
    </row>
    <row r="807" spans="1:8" x14ac:dyDescent="0.3">
      <c r="A807" s="9">
        <v>45032</v>
      </c>
      <c r="B807" t="s">
        <v>45</v>
      </c>
      <c r="C807" t="s">
        <v>9</v>
      </c>
      <c r="D807" t="s">
        <v>24</v>
      </c>
      <c r="E807" t="s">
        <v>25</v>
      </c>
      <c r="F807">
        <v>1760</v>
      </c>
      <c r="G807">
        <v>57</v>
      </c>
      <c r="H807">
        <v>100.32</v>
      </c>
    </row>
    <row r="808" spans="1:8" x14ac:dyDescent="0.3">
      <c r="A808" s="9">
        <v>45006</v>
      </c>
      <c r="B808" t="s">
        <v>45</v>
      </c>
      <c r="C808" t="s">
        <v>15</v>
      </c>
      <c r="D808" t="s">
        <v>10</v>
      </c>
      <c r="E808" t="s">
        <v>41</v>
      </c>
      <c r="F808">
        <v>650</v>
      </c>
      <c r="G808">
        <v>41</v>
      </c>
      <c r="H808">
        <v>26.65</v>
      </c>
    </row>
    <row r="809" spans="1:8" x14ac:dyDescent="0.3">
      <c r="A809" s="9">
        <v>45032</v>
      </c>
      <c r="B809" t="s">
        <v>45</v>
      </c>
      <c r="C809" t="s">
        <v>20</v>
      </c>
      <c r="D809" t="s">
        <v>10</v>
      </c>
      <c r="E809" t="s">
        <v>40</v>
      </c>
      <c r="F809">
        <v>540</v>
      </c>
      <c r="G809">
        <v>99</v>
      </c>
      <c r="H809">
        <v>53.46</v>
      </c>
    </row>
    <row r="810" spans="1:8" x14ac:dyDescent="0.3">
      <c r="A810" s="9">
        <v>45006</v>
      </c>
      <c r="B810" t="s">
        <v>45</v>
      </c>
      <c r="C810" t="s">
        <v>15</v>
      </c>
      <c r="D810" t="s">
        <v>24</v>
      </c>
      <c r="E810" t="s">
        <v>30</v>
      </c>
      <c r="F810">
        <v>2970</v>
      </c>
      <c r="G810">
        <v>85</v>
      </c>
      <c r="H810">
        <v>252.45</v>
      </c>
    </row>
    <row r="811" spans="1:8" x14ac:dyDescent="0.3">
      <c r="A811" s="9">
        <v>45031</v>
      </c>
      <c r="B811" t="s">
        <v>45</v>
      </c>
      <c r="C811" t="s">
        <v>35</v>
      </c>
      <c r="D811" t="s">
        <v>10</v>
      </c>
      <c r="E811" t="s">
        <v>11</v>
      </c>
      <c r="F811">
        <v>705</v>
      </c>
      <c r="G811">
        <v>100</v>
      </c>
      <c r="H811">
        <v>70.5</v>
      </c>
    </row>
    <row r="812" spans="1:8" x14ac:dyDescent="0.3">
      <c r="A812" s="9">
        <v>45031</v>
      </c>
      <c r="B812" t="s">
        <v>45</v>
      </c>
      <c r="C812" t="s">
        <v>33</v>
      </c>
      <c r="D812" t="s">
        <v>24</v>
      </c>
      <c r="E812" t="s">
        <v>36</v>
      </c>
      <c r="F812">
        <v>2460</v>
      </c>
      <c r="G812">
        <v>8</v>
      </c>
      <c r="H812">
        <v>19.68</v>
      </c>
    </row>
    <row r="813" spans="1:8" x14ac:dyDescent="0.3">
      <c r="A813" s="9">
        <v>45031</v>
      </c>
      <c r="B813" t="s">
        <v>45</v>
      </c>
      <c r="C813" t="s">
        <v>9</v>
      </c>
      <c r="D813" t="s">
        <v>10</v>
      </c>
      <c r="E813" t="s">
        <v>23</v>
      </c>
      <c r="F813">
        <v>640</v>
      </c>
      <c r="G813">
        <v>34</v>
      </c>
      <c r="H813">
        <v>21.76</v>
      </c>
    </row>
    <row r="814" spans="1:8" x14ac:dyDescent="0.3">
      <c r="A814" s="9">
        <v>45031</v>
      </c>
      <c r="B814" t="s">
        <v>45</v>
      </c>
      <c r="C814" t="s">
        <v>20</v>
      </c>
      <c r="D814" t="s">
        <v>10</v>
      </c>
      <c r="E814" t="s">
        <v>11</v>
      </c>
      <c r="F814">
        <v>705</v>
      </c>
      <c r="G814">
        <v>29</v>
      </c>
      <c r="H814">
        <v>20.445</v>
      </c>
    </row>
    <row r="815" spans="1:8" x14ac:dyDescent="0.3">
      <c r="A815" s="9">
        <v>45030</v>
      </c>
      <c r="B815" t="s">
        <v>45</v>
      </c>
      <c r="C815" t="s">
        <v>15</v>
      </c>
      <c r="D815" t="s">
        <v>13</v>
      </c>
      <c r="E815" t="s">
        <v>22</v>
      </c>
      <c r="F815">
        <v>930</v>
      </c>
      <c r="G815">
        <v>41</v>
      </c>
      <c r="H815">
        <v>38.130000000000003</v>
      </c>
    </row>
    <row r="816" spans="1:8" x14ac:dyDescent="0.3">
      <c r="A816" s="9">
        <v>45030</v>
      </c>
      <c r="B816" t="s">
        <v>45</v>
      </c>
      <c r="C816" t="s">
        <v>20</v>
      </c>
      <c r="D816" t="s">
        <v>13</v>
      </c>
      <c r="E816" t="s">
        <v>38</v>
      </c>
      <c r="F816">
        <v>2400</v>
      </c>
      <c r="G816">
        <v>72</v>
      </c>
      <c r="H816">
        <v>172.8</v>
      </c>
    </row>
    <row r="817" spans="1:8" x14ac:dyDescent="0.3">
      <c r="A817" s="9">
        <v>45007</v>
      </c>
      <c r="B817" t="s">
        <v>45</v>
      </c>
      <c r="C817" t="s">
        <v>26</v>
      </c>
      <c r="D817" t="s">
        <v>10</v>
      </c>
      <c r="E817" t="s">
        <v>23</v>
      </c>
      <c r="F817">
        <v>640</v>
      </c>
      <c r="G817">
        <v>78</v>
      </c>
      <c r="H817">
        <v>49.92</v>
      </c>
    </row>
    <row r="818" spans="1:8" x14ac:dyDescent="0.3">
      <c r="A818" s="9">
        <v>45007</v>
      </c>
      <c r="B818" t="s">
        <v>45</v>
      </c>
      <c r="C818" t="s">
        <v>26</v>
      </c>
      <c r="D818" t="s">
        <v>13</v>
      </c>
      <c r="E818" t="s">
        <v>22</v>
      </c>
      <c r="F818">
        <v>930</v>
      </c>
      <c r="G818">
        <v>34</v>
      </c>
      <c r="H818">
        <v>31.62</v>
      </c>
    </row>
    <row r="819" spans="1:8" x14ac:dyDescent="0.3">
      <c r="A819" s="9">
        <v>45007</v>
      </c>
      <c r="B819" t="s">
        <v>45</v>
      </c>
      <c r="C819" t="s">
        <v>15</v>
      </c>
      <c r="D819" t="s">
        <v>13</v>
      </c>
      <c r="E819" t="s">
        <v>44</v>
      </c>
      <c r="F819">
        <v>2540</v>
      </c>
      <c r="G819">
        <v>91</v>
      </c>
      <c r="H819">
        <v>231.14</v>
      </c>
    </row>
    <row r="820" spans="1:8" x14ac:dyDescent="0.3">
      <c r="A820" s="9">
        <v>45007</v>
      </c>
      <c r="B820" t="s">
        <v>45</v>
      </c>
      <c r="C820" t="s">
        <v>15</v>
      </c>
      <c r="D820" t="s">
        <v>13</v>
      </c>
      <c r="E820" t="s">
        <v>29</v>
      </c>
      <c r="F820">
        <v>1230</v>
      </c>
      <c r="G820">
        <v>40</v>
      </c>
      <c r="H820">
        <v>49.2</v>
      </c>
    </row>
    <row r="821" spans="1:8" x14ac:dyDescent="0.3">
      <c r="A821" s="9">
        <v>45029</v>
      </c>
      <c r="B821" t="s">
        <v>45</v>
      </c>
      <c r="C821" t="s">
        <v>33</v>
      </c>
      <c r="D821" t="s">
        <v>18</v>
      </c>
      <c r="E821" t="s">
        <v>28</v>
      </c>
      <c r="F821">
        <v>690</v>
      </c>
      <c r="G821">
        <v>32</v>
      </c>
      <c r="H821">
        <v>22.08</v>
      </c>
    </row>
    <row r="822" spans="1:8" x14ac:dyDescent="0.3">
      <c r="A822" s="9">
        <v>45028</v>
      </c>
      <c r="B822" t="s">
        <v>45</v>
      </c>
      <c r="C822" t="s">
        <v>35</v>
      </c>
      <c r="D822" t="s">
        <v>24</v>
      </c>
      <c r="E822" t="s">
        <v>34</v>
      </c>
      <c r="F822">
        <v>1670</v>
      </c>
      <c r="G822">
        <v>20</v>
      </c>
      <c r="H822">
        <v>33.4</v>
      </c>
    </row>
    <row r="823" spans="1:8" x14ac:dyDescent="0.3">
      <c r="A823" s="9">
        <v>45028</v>
      </c>
      <c r="B823" t="s">
        <v>45</v>
      </c>
      <c r="C823" t="s">
        <v>33</v>
      </c>
      <c r="D823" t="s">
        <v>24</v>
      </c>
      <c r="E823" t="s">
        <v>34</v>
      </c>
      <c r="F823">
        <v>1670</v>
      </c>
      <c r="G823">
        <v>47</v>
      </c>
      <c r="H823">
        <v>78.489999999999995</v>
      </c>
    </row>
    <row r="824" spans="1:8" x14ac:dyDescent="0.3">
      <c r="A824" s="9">
        <v>45028</v>
      </c>
      <c r="B824" t="s">
        <v>45</v>
      </c>
      <c r="C824" t="s">
        <v>9</v>
      </c>
      <c r="D824" t="s">
        <v>10</v>
      </c>
      <c r="E824" t="s">
        <v>39</v>
      </c>
      <c r="F824">
        <v>650</v>
      </c>
      <c r="G824">
        <v>53</v>
      </c>
      <c r="H824">
        <v>34.450000000000003</v>
      </c>
    </row>
    <row r="825" spans="1:8" x14ac:dyDescent="0.3">
      <c r="A825" s="9">
        <v>45028</v>
      </c>
      <c r="B825" t="s">
        <v>45</v>
      </c>
      <c r="C825" t="s">
        <v>20</v>
      </c>
      <c r="D825" t="s">
        <v>24</v>
      </c>
      <c r="E825" t="s">
        <v>30</v>
      </c>
      <c r="F825">
        <v>2970</v>
      </c>
      <c r="G825">
        <v>66</v>
      </c>
      <c r="H825">
        <v>196.02</v>
      </c>
    </row>
    <row r="826" spans="1:8" x14ac:dyDescent="0.3">
      <c r="A826" s="9">
        <v>45026</v>
      </c>
      <c r="B826" t="s">
        <v>45</v>
      </c>
      <c r="C826" t="s">
        <v>35</v>
      </c>
      <c r="D826" t="s">
        <v>13</v>
      </c>
      <c r="E826" t="s">
        <v>14</v>
      </c>
      <c r="F826">
        <v>1320</v>
      </c>
      <c r="G826">
        <v>55</v>
      </c>
      <c r="H826">
        <v>72.599999999999994</v>
      </c>
    </row>
    <row r="827" spans="1:8" x14ac:dyDescent="0.3">
      <c r="A827" s="9">
        <v>45026</v>
      </c>
      <c r="B827" t="s">
        <v>45</v>
      </c>
      <c r="C827" t="s">
        <v>33</v>
      </c>
      <c r="D827" t="s">
        <v>13</v>
      </c>
      <c r="E827" t="s">
        <v>29</v>
      </c>
      <c r="F827">
        <v>1230</v>
      </c>
      <c r="G827">
        <v>15</v>
      </c>
      <c r="H827">
        <v>18.45</v>
      </c>
    </row>
    <row r="828" spans="1:8" x14ac:dyDescent="0.3">
      <c r="A828" s="9">
        <v>45008</v>
      </c>
      <c r="B828" t="s">
        <v>45</v>
      </c>
      <c r="C828" t="s">
        <v>26</v>
      </c>
      <c r="D828" t="s">
        <v>18</v>
      </c>
      <c r="E828" t="s">
        <v>27</v>
      </c>
      <c r="F828">
        <v>460</v>
      </c>
      <c r="G828">
        <v>83</v>
      </c>
      <c r="H828">
        <v>38.18</v>
      </c>
    </row>
    <row r="829" spans="1:8" x14ac:dyDescent="0.3">
      <c r="A829" s="9">
        <v>45026</v>
      </c>
      <c r="B829" t="s">
        <v>45</v>
      </c>
      <c r="C829" t="s">
        <v>33</v>
      </c>
      <c r="D829" t="s">
        <v>18</v>
      </c>
      <c r="E829" t="s">
        <v>37</v>
      </c>
      <c r="F829">
        <v>890</v>
      </c>
      <c r="G829">
        <v>86</v>
      </c>
      <c r="H829">
        <v>76.540000000000006</v>
      </c>
    </row>
    <row r="830" spans="1:8" x14ac:dyDescent="0.3">
      <c r="A830" s="9">
        <v>45026</v>
      </c>
      <c r="B830" t="s">
        <v>45</v>
      </c>
      <c r="C830" t="s">
        <v>15</v>
      </c>
      <c r="D830" t="s">
        <v>13</v>
      </c>
      <c r="E830" t="s">
        <v>38</v>
      </c>
      <c r="F830">
        <v>2400</v>
      </c>
      <c r="G830">
        <v>15</v>
      </c>
      <c r="H830">
        <v>36</v>
      </c>
    </row>
    <row r="831" spans="1:8" x14ac:dyDescent="0.3">
      <c r="A831" s="9">
        <v>45026</v>
      </c>
      <c r="B831" t="s">
        <v>45</v>
      </c>
      <c r="C831" t="s">
        <v>15</v>
      </c>
      <c r="D831" t="s">
        <v>13</v>
      </c>
      <c r="E831" t="s">
        <v>14</v>
      </c>
      <c r="F831">
        <v>1320</v>
      </c>
      <c r="G831">
        <v>80</v>
      </c>
      <c r="H831">
        <v>105.6</v>
      </c>
    </row>
    <row r="832" spans="1:8" x14ac:dyDescent="0.3">
      <c r="A832" s="9">
        <v>45026</v>
      </c>
      <c r="B832" t="s">
        <v>45</v>
      </c>
      <c r="C832" t="s">
        <v>9</v>
      </c>
      <c r="D832" t="s">
        <v>13</v>
      </c>
      <c r="E832" t="s">
        <v>43</v>
      </c>
      <c r="F832">
        <v>1420</v>
      </c>
      <c r="G832">
        <v>33</v>
      </c>
      <c r="H832">
        <v>46.86</v>
      </c>
    </row>
    <row r="833" spans="1:8" x14ac:dyDescent="0.3">
      <c r="A833" s="9">
        <v>45026</v>
      </c>
      <c r="B833" t="s">
        <v>45</v>
      </c>
      <c r="C833" t="s">
        <v>9</v>
      </c>
      <c r="D833" t="s">
        <v>18</v>
      </c>
      <c r="E833" t="s">
        <v>28</v>
      </c>
      <c r="F833">
        <v>690</v>
      </c>
      <c r="G833">
        <v>16</v>
      </c>
      <c r="H833">
        <v>11.04</v>
      </c>
    </row>
    <row r="834" spans="1:8" x14ac:dyDescent="0.3">
      <c r="A834" s="9">
        <v>45025</v>
      </c>
      <c r="B834" t="s">
        <v>45</v>
      </c>
      <c r="C834" t="s">
        <v>33</v>
      </c>
      <c r="D834" t="s">
        <v>24</v>
      </c>
      <c r="E834" t="s">
        <v>34</v>
      </c>
      <c r="F834">
        <v>1670</v>
      </c>
      <c r="G834">
        <v>79</v>
      </c>
      <c r="H834">
        <v>131.93</v>
      </c>
    </row>
    <row r="835" spans="1:8" x14ac:dyDescent="0.3">
      <c r="A835" s="9">
        <v>45024</v>
      </c>
      <c r="B835" t="s">
        <v>45</v>
      </c>
      <c r="C835" t="s">
        <v>33</v>
      </c>
      <c r="D835" t="s">
        <v>18</v>
      </c>
      <c r="E835" t="s">
        <v>31</v>
      </c>
      <c r="F835">
        <v>715</v>
      </c>
      <c r="G835">
        <v>25</v>
      </c>
      <c r="H835">
        <v>17.875</v>
      </c>
    </row>
    <row r="836" spans="1:8" x14ac:dyDescent="0.3">
      <c r="A836" s="9">
        <v>45024</v>
      </c>
      <c r="B836" t="s">
        <v>45</v>
      </c>
      <c r="C836" t="s">
        <v>26</v>
      </c>
      <c r="D836" t="s">
        <v>13</v>
      </c>
      <c r="E836" t="s">
        <v>44</v>
      </c>
      <c r="F836">
        <v>2540</v>
      </c>
      <c r="G836">
        <v>91</v>
      </c>
      <c r="H836">
        <v>231.14</v>
      </c>
    </row>
    <row r="837" spans="1:8" x14ac:dyDescent="0.3">
      <c r="A837" s="9">
        <v>45024</v>
      </c>
      <c r="B837" t="s">
        <v>45</v>
      </c>
      <c r="C837" t="s">
        <v>20</v>
      </c>
      <c r="D837" t="s">
        <v>24</v>
      </c>
      <c r="E837" t="s">
        <v>25</v>
      </c>
      <c r="F837">
        <v>1760</v>
      </c>
      <c r="G837">
        <v>57</v>
      </c>
      <c r="H837">
        <v>100.32</v>
      </c>
    </row>
    <row r="838" spans="1:8" x14ac:dyDescent="0.3">
      <c r="A838" s="9">
        <v>45023</v>
      </c>
      <c r="B838" t="s">
        <v>45</v>
      </c>
      <c r="C838" t="s">
        <v>35</v>
      </c>
      <c r="D838" t="s">
        <v>18</v>
      </c>
      <c r="E838" t="s">
        <v>27</v>
      </c>
      <c r="F838">
        <v>460</v>
      </c>
      <c r="G838">
        <v>93</v>
      </c>
      <c r="H838">
        <v>42.78</v>
      </c>
    </row>
    <row r="839" spans="1:8" x14ac:dyDescent="0.3">
      <c r="A839" s="9">
        <v>45023</v>
      </c>
      <c r="B839" t="s">
        <v>45</v>
      </c>
      <c r="C839" t="s">
        <v>9</v>
      </c>
      <c r="D839" t="s">
        <v>24</v>
      </c>
      <c r="E839" t="s">
        <v>30</v>
      </c>
      <c r="F839">
        <v>2970</v>
      </c>
      <c r="G839">
        <v>85</v>
      </c>
      <c r="H839">
        <v>252.45</v>
      </c>
    </row>
    <row r="840" spans="1:8" x14ac:dyDescent="0.3">
      <c r="A840" s="9">
        <v>45010</v>
      </c>
      <c r="B840" t="s">
        <v>45</v>
      </c>
      <c r="C840" t="s">
        <v>9</v>
      </c>
      <c r="D840" t="s">
        <v>18</v>
      </c>
      <c r="E840" t="s">
        <v>28</v>
      </c>
      <c r="F840">
        <v>690</v>
      </c>
      <c r="G840">
        <v>32</v>
      </c>
      <c r="H840">
        <v>22.08</v>
      </c>
    </row>
    <row r="841" spans="1:8" x14ac:dyDescent="0.3">
      <c r="A841" s="9">
        <v>45022</v>
      </c>
      <c r="B841" t="s">
        <v>45</v>
      </c>
      <c r="C841" t="s">
        <v>26</v>
      </c>
      <c r="D841" t="s">
        <v>13</v>
      </c>
      <c r="E841" t="s">
        <v>29</v>
      </c>
      <c r="F841">
        <v>1230</v>
      </c>
      <c r="G841">
        <v>28</v>
      </c>
      <c r="H841">
        <v>34.44</v>
      </c>
    </row>
    <row r="842" spans="1:8" x14ac:dyDescent="0.3">
      <c r="A842" s="9">
        <v>45022</v>
      </c>
      <c r="B842" t="s">
        <v>45</v>
      </c>
      <c r="C842" t="s">
        <v>20</v>
      </c>
      <c r="D842" t="s">
        <v>18</v>
      </c>
      <c r="E842" t="s">
        <v>19</v>
      </c>
      <c r="F842">
        <v>325</v>
      </c>
      <c r="G842">
        <v>64</v>
      </c>
      <c r="H842">
        <v>20.8</v>
      </c>
    </row>
    <row r="843" spans="1:8" x14ac:dyDescent="0.3">
      <c r="A843" s="9">
        <v>45010</v>
      </c>
      <c r="B843" t="s">
        <v>45</v>
      </c>
      <c r="C843" t="s">
        <v>33</v>
      </c>
      <c r="D843" t="s">
        <v>13</v>
      </c>
      <c r="E843" t="s">
        <v>22</v>
      </c>
      <c r="F843">
        <v>930</v>
      </c>
      <c r="G843">
        <v>67</v>
      </c>
      <c r="H843">
        <v>62.31</v>
      </c>
    </row>
    <row r="844" spans="1:8" x14ac:dyDescent="0.3">
      <c r="A844" s="9">
        <v>45020</v>
      </c>
      <c r="B844" t="s">
        <v>45</v>
      </c>
      <c r="C844" t="s">
        <v>35</v>
      </c>
      <c r="D844" t="s">
        <v>18</v>
      </c>
      <c r="E844" t="s">
        <v>27</v>
      </c>
      <c r="F844">
        <v>460</v>
      </c>
      <c r="G844">
        <v>28</v>
      </c>
      <c r="H844">
        <v>12.88</v>
      </c>
    </row>
    <row r="845" spans="1:8" x14ac:dyDescent="0.3">
      <c r="A845" s="9">
        <v>45020</v>
      </c>
      <c r="B845" t="s">
        <v>45</v>
      </c>
      <c r="C845" t="s">
        <v>35</v>
      </c>
      <c r="D845" t="s">
        <v>10</v>
      </c>
      <c r="E845" t="s">
        <v>16</v>
      </c>
      <c r="F845">
        <v>1380</v>
      </c>
      <c r="G845">
        <v>53</v>
      </c>
      <c r="H845">
        <v>73.14</v>
      </c>
    </row>
    <row r="846" spans="1:8" x14ac:dyDescent="0.3">
      <c r="A846" s="9">
        <v>45020</v>
      </c>
      <c r="B846" t="s">
        <v>45</v>
      </c>
      <c r="C846" t="s">
        <v>33</v>
      </c>
      <c r="D846" t="s">
        <v>24</v>
      </c>
      <c r="E846" t="s">
        <v>34</v>
      </c>
      <c r="F846">
        <v>1670</v>
      </c>
      <c r="G846">
        <v>51</v>
      </c>
      <c r="H846">
        <v>85.17</v>
      </c>
    </row>
    <row r="847" spans="1:8" x14ac:dyDescent="0.3">
      <c r="A847" s="9">
        <v>45020</v>
      </c>
      <c r="B847" t="s">
        <v>45</v>
      </c>
      <c r="C847" t="s">
        <v>26</v>
      </c>
      <c r="D847" t="s">
        <v>13</v>
      </c>
      <c r="E847" t="s">
        <v>22</v>
      </c>
      <c r="F847">
        <v>930</v>
      </c>
      <c r="G847">
        <v>22</v>
      </c>
      <c r="H847">
        <v>20.46</v>
      </c>
    </row>
    <row r="848" spans="1:8" x14ac:dyDescent="0.3">
      <c r="A848" s="9">
        <v>45011</v>
      </c>
      <c r="B848" t="s">
        <v>45</v>
      </c>
      <c r="C848" t="s">
        <v>9</v>
      </c>
      <c r="D848" t="s">
        <v>18</v>
      </c>
      <c r="E848" t="s">
        <v>28</v>
      </c>
      <c r="F848">
        <v>690</v>
      </c>
      <c r="G848">
        <v>97</v>
      </c>
      <c r="H848">
        <v>66.930000000000007</v>
      </c>
    </row>
    <row r="849" spans="1:8" x14ac:dyDescent="0.3">
      <c r="A849" s="9">
        <v>45020</v>
      </c>
      <c r="B849" t="s">
        <v>45</v>
      </c>
      <c r="C849" t="s">
        <v>20</v>
      </c>
      <c r="D849" t="s">
        <v>24</v>
      </c>
      <c r="E849" t="s">
        <v>32</v>
      </c>
      <c r="F849">
        <v>1505</v>
      </c>
      <c r="G849">
        <v>74</v>
      </c>
      <c r="H849">
        <v>111.37</v>
      </c>
    </row>
    <row r="850" spans="1:8" x14ac:dyDescent="0.3">
      <c r="A850" s="9">
        <v>45011</v>
      </c>
      <c r="B850" t="s">
        <v>45</v>
      </c>
      <c r="C850" t="s">
        <v>9</v>
      </c>
      <c r="D850" t="s">
        <v>24</v>
      </c>
      <c r="E850" t="s">
        <v>32</v>
      </c>
      <c r="F850">
        <v>1505</v>
      </c>
      <c r="G850">
        <v>34</v>
      </c>
      <c r="H850">
        <v>51.17</v>
      </c>
    </row>
    <row r="851" spans="1:8" x14ac:dyDescent="0.3">
      <c r="A851" s="9">
        <v>45019</v>
      </c>
      <c r="B851" t="s">
        <v>45</v>
      </c>
      <c r="C851" t="s">
        <v>15</v>
      </c>
      <c r="D851" t="s">
        <v>18</v>
      </c>
      <c r="E851" t="s">
        <v>19</v>
      </c>
      <c r="F851">
        <v>325</v>
      </c>
      <c r="G851">
        <v>81</v>
      </c>
      <c r="H851">
        <v>26.324999999999999</v>
      </c>
    </row>
    <row r="852" spans="1:8" x14ac:dyDescent="0.3">
      <c r="A852" s="9">
        <v>45018</v>
      </c>
      <c r="B852" t="s">
        <v>45</v>
      </c>
      <c r="C852" t="s">
        <v>15</v>
      </c>
      <c r="D852" t="s">
        <v>24</v>
      </c>
      <c r="E852" t="s">
        <v>25</v>
      </c>
      <c r="F852">
        <v>1760</v>
      </c>
      <c r="G852">
        <v>92</v>
      </c>
      <c r="H852">
        <v>161.91999999999999</v>
      </c>
    </row>
    <row r="853" spans="1:8" x14ac:dyDescent="0.3">
      <c r="A853" s="9">
        <v>45017</v>
      </c>
      <c r="B853" t="s">
        <v>45</v>
      </c>
      <c r="C853" t="s">
        <v>15</v>
      </c>
      <c r="D853" t="s">
        <v>18</v>
      </c>
      <c r="E853" t="s">
        <v>19</v>
      </c>
      <c r="F853">
        <v>325</v>
      </c>
      <c r="G853">
        <v>23</v>
      </c>
      <c r="H853">
        <v>7.4749999999999996</v>
      </c>
    </row>
    <row r="854" spans="1:8" x14ac:dyDescent="0.3">
      <c r="A854" s="9">
        <v>45017</v>
      </c>
      <c r="B854" t="s">
        <v>45</v>
      </c>
      <c r="C854" t="s">
        <v>26</v>
      </c>
      <c r="D854" t="s">
        <v>18</v>
      </c>
      <c r="E854" t="s">
        <v>21</v>
      </c>
      <c r="F854">
        <v>450</v>
      </c>
      <c r="G854">
        <v>56</v>
      </c>
      <c r="H854">
        <v>25.2</v>
      </c>
    </row>
    <row r="855" spans="1:8" x14ac:dyDescent="0.3">
      <c r="A855" s="9">
        <v>45016</v>
      </c>
      <c r="B855" t="s">
        <v>45</v>
      </c>
      <c r="C855" t="s">
        <v>35</v>
      </c>
      <c r="D855" t="s">
        <v>10</v>
      </c>
      <c r="E855" t="s">
        <v>16</v>
      </c>
      <c r="F855">
        <v>1380</v>
      </c>
      <c r="G855">
        <v>74</v>
      </c>
      <c r="H855">
        <v>102.12</v>
      </c>
    </row>
    <row r="856" spans="1:8" x14ac:dyDescent="0.3">
      <c r="A856" s="9">
        <v>45016</v>
      </c>
      <c r="B856" t="s">
        <v>45</v>
      </c>
      <c r="C856" t="s">
        <v>33</v>
      </c>
      <c r="D856" t="s">
        <v>10</v>
      </c>
      <c r="E856" t="s">
        <v>16</v>
      </c>
      <c r="F856">
        <v>1380</v>
      </c>
      <c r="G856">
        <v>43</v>
      </c>
      <c r="H856">
        <v>59.34</v>
      </c>
    </row>
    <row r="857" spans="1:8" x14ac:dyDescent="0.3">
      <c r="A857" s="9">
        <v>45016</v>
      </c>
      <c r="B857" t="s">
        <v>45</v>
      </c>
      <c r="C857" t="s">
        <v>15</v>
      </c>
      <c r="D857" t="s">
        <v>13</v>
      </c>
      <c r="E857" t="s">
        <v>43</v>
      </c>
      <c r="F857">
        <v>1420</v>
      </c>
      <c r="G857">
        <v>98</v>
      </c>
      <c r="H857">
        <v>139.16</v>
      </c>
    </row>
    <row r="858" spans="1:8" x14ac:dyDescent="0.3">
      <c r="A858" s="9">
        <v>45016</v>
      </c>
      <c r="B858" t="s">
        <v>45</v>
      </c>
      <c r="C858" t="s">
        <v>15</v>
      </c>
      <c r="D858" t="s">
        <v>10</v>
      </c>
      <c r="E858" t="s">
        <v>39</v>
      </c>
      <c r="F858">
        <v>650</v>
      </c>
      <c r="G858">
        <v>90</v>
      </c>
      <c r="H858">
        <v>58.5</v>
      </c>
    </row>
    <row r="859" spans="1:8" x14ac:dyDescent="0.3">
      <c r="A859" s="9">
        <v>45016</v>
      </c>
      <c r="B859" t="s">
        <v>45</v>
      </c>
      <c r="C859" t="s">
        <v>9</v>
      </c>
      <c r="D859" t="s">
        <v>24</v>
      </c>
      <c r="E859" t="s">
        <v>32</v>
      </c>
      <c r="F859">
        <v>1505</v>
      </c>
      <c r="G859">
        <v>46</v>
      </c>
      <c r="H859">
        <v>69.23</v>
      </c>
    </row>
    <row r="860" spans="1:8" x14ac:dyDescent="0.3">
      <c r="A860" s="9">
        <v>45015</v>
      </c>
      <c r="B860" t="s">
        <v>45</v>
      </c>
      <c r="C860" t="s">
        <v>26</v>
      </c>
      <c r="D860" t="s">
        <v>24</v>
      </c>
      <c r="E860" t="s">
        <v>32</v>
      </c>
      <c r="F860">
        <v>1505</v>
      </c>
      <c r="G860">
        <v>78</v>
      </c>
      <c r="H860">
        <v>117.39</v>
      </c>
    </row>
    <row r="861" spans="1:8" x14ac:dyDescent="0.3">
      <c r="A861" s="9">
        <v>45015</v>
      </c>
      <c r="B861" t="s">
        <v>45</v>
      </c>
      <c r="C861" t="s">
        <v>9</v>
      </c>
      <c r="D861" t="s">
        <v>18</v>
      </c>
      <c r="E861" t="s">
        <v>28</v>
      </c>
      <c r="F861">
        <v>690</v>
      </c>
      <c r="G861">
        <v>82</v>
      </c>
      <c r="H861">
        <v>56.58</v>
      </c>
    </row>
    <row r="862" spans="1:8" x14ac:dyDescent="0.3">
      <c r="A862" s="9">
        <v>45012</v>
      </c>
      <c r="B862" t="s">
        <v>45</v>
      </c>
      <c r="C862" t="s">
        <v>26</v>
      </c>
      <c r="D862" t="s">
        <v>24</v>
      </c>
      <c r="E862" t="s">
        <v>42</v>
      </c>
      <c r="F862">
        <v>3205</v>
      </c>
      <c r="G862">
        <v>90</v>
      </c>
      <c r="H862">
        <v>288.45</v>
      </c>
    </row>
    <row r="863" spans="1:8" x14ac:dyDescent="0.3">
      <c r="A863" s="9">
        <v>45015</v>
      </c>
      <c r="B863" t="s">
        <v>45</v>
      </c>
      <c r="C863" t="s">
        <v>20</v>
      </c>
      <c r="D863" t="s">
        <v>13</v>
      </c>
      <c r="E863" t="s">
        <v>43</v>
      </c>
      <c r="F863">
        <v>1420</v>
      </c>
      <c r="G863">
        <v>83</v>
      </c>
      <c r="H863">
        <v>117.86</v>
      </c>
    </row>
    <row r="864" spans="1:8" x14ac:dyDescent="0.3">
      <c r="A864" s="9">
        <v>45014</v>
      </c>
      <c r="B864" t="s">
        <v>45</v>
      </c>
      <c r="C864" t="s">
        <v>33</v>
      </c>
      <c r="D864" t="s">
        <v>10</v>
      </c>
      <c r="E864" t="s">
        <v>39</v>
      </c>
      <c r="F864">
        <v>650</v>
      </c>
      <c r="G864">
        <v>58</v>
      </c>
      <c r="H864">
        <v>37.700000000000003</v>
      </c>
    </row>
    <row r="865" spans="1:8" x14ac:dyDescent="0.3">
      <c r="A865" s="9">
        <v>45014</v>
      </c>
      <c r="B865" t="s">
        <v>45</v>
      </c>
      <c r="C865" t="s">
        <v>26</v>
      </c>
      <c r="D865" t="s">
        <v>24</v>
      </c>
      <c r="E865" t="s">
        <v>34</v>
      </c>
      <c r="F865">
        <v>1670</v>
      </c>
      <c r="G865">
        <v>11</v>
      </c>
      <c r="H865">
        <v>18.37</v>
      </c>
    </row>
    <row r="866" spans="1:8" x14ac:dyDescent="0.3">
      <c r="A866" s="9">
        <v>45013</v>
      </c>
      <c r="B866" t="s">
        <v>45</v>
      </c>
      <c r="C866" t="s">
        <v>15</v>
      </c>
      <c r="D866" t="s">
        <v>10</v>
      </c>
      <c r="E866" t="s">
        <v>41</v>
      </c>
      <c r="F866">
        <v>650</v>
      </c>
      <c r="G866">
        <v>27</v>
      </c>
      <c r="H866">
        <v>17.55</v>
      </c>
    </row>
    <row r="867" spans="1:8" x14ac:dyDescent="0.3">
      <c r="A867" s="9">
        <v>45013</v>
      </c>
      <c r="B867" t="s">
        <v>45</v>
      </c>
      <c r="C867" t="s">
        <v>9</v>
      </c>
      <c r="D867" t="s">
        <v>24</v>
      </c>
      <c r="E867" t="s">
        <v>42</v>
      </c>
      <c r="F867">
        <v>3205</v>
      </c>
      <c r="G867">
        <v>74</v>
      </c>
      <c r="H867">
        <v>237.17</v>
      </c>
    </row>
    <row r="868" spans="1:8" x14ac:dyDescent="0.3">
      <c r="A868" s="9">
        <v>45013</v>
      </c>
      <c r="B868" t="s">
        <v>45</v>
      </c>
      <c r="C868" t="s">
        <v>20</v>
      </c>
      <c r="D868" t="s">
        <v>13</v>
      </c>
      <c r="E868" t="s">
        <v>22</v>
      </c>
      <c r="F868">
        <v>930</v>
      </c>
      <c r="G868">
        <v>90</v>
      </c>
      <c r="H868">
        <v>83.7</v>
      </c>
    </row>
    <row r="869" spans="1:8" x14ac:dyDescent="0.3">
      <c r="A869" s="9">
        <v>45012</v>
      </c>
      <c r="B869" t="s">
        <v>45</v>
      </c>
      <c r="C869" t="s">
        <v>33</v>
      </c>
      <c r="D869" t="s">
        <v>13</v>
      </c>
      <c r="E869" t="s">
        <v>29</v>
      </c>
      <c r="F869">
        <v>1230</v>
      </c>
      <c r="G869">
        <v>58</v>
      </c>
      <c r="H869">
        <v>71.34</v>
      </c>
    </row>
    <row r="870" spans="1:8" x14ac:dyDescent="0.3">
      <c r="A870" s="9">
        <v>45012</v>
      </c>
      <c r="B870" t="s">
        <v>45</v>
      </c>
      <c r="C870" t="s">
        <v>35</v>
      </c>
      <c r="D870" t="s">
        <v>24</v>
      </c>
      <c r="E870" t="s">
        <v>30</v>
      </c>
      <c r="F870">
        <v>2970</v>
      </c>
      <c r="G870">
        <v>49</v>
      </c>
      <c r="H870">
        <v>145.53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3777"/>
  <sheetViews>
    <sheetView workbookViewId="0">
      <selection activeCell="P18" sqref="P18"/>
    </sheetView>
  </sheetViews>
  <sheetFormatPr defaultRowHeight="14.4" outlineLevelRow="2" x14ac:dyDescent="0.3"/>
  <cols>
    <col min="3" max="3" width="17.44140625" style="9" customWidth="1"/>
    <col min="10" max="10" width="17.44140625" customWidth="1"/>
  </cols>
  <sheetData>
    <row r="1" spans="3:11" x14ac:dyDescent="0.3"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</v>
      </c>
      <c r="K1" s="31" t="s">
        <v>386</v>
      </c>
    </row>
    <row r="2" spans="3:11" outlineLevel="2" x14ac:dyDescent="0.3">
      <c r="C2" s="4">
        <v>44927</v>
      </c>
      <c r="D2" s="5" t="s">
        <v>12</v>
      </c>
      <c r="E2" s="5" t="s">
        <v>9</v>
      </c>
      <c r="F2" s="5" t="s">
        <v>13</v>
      </c>
      <c r="G2" s="5" t="s">
        <v>14</v>
      </c>
      <c r="H2" s="5">
        <v>1320</v>
      </c>
      <c r="I2" s="5">
        <v>189</v>
      </c>
      <c r="J2" s="6">
        <f>H2*I2/1000</f>
        <v>249.48</v>
      </c>
      <c r="K2" t="s">
        <v>387</v>
      </c>
    </row>
    <row r="3" spans="3:11" outlineLevel="2" x14ac:dyDescent="0.3">
      <c r="C3" s="4">
        <v>44927</v>
      </c>
      <c r="D3" s="5" t="s">
        <v>45</v>
      </c>
      <c r="E3" s="5" t="s">
        <v>15</v>
      </c>
      <c r="F3" s="5" t="s">
        <v>10</v>
      </c>
      <c r="G3" s="5" t="s">
        <v>16</v>
      </c>
      <c r="H3" s="5">
        <v>1380</v>
      </c>
      <c r="I3" s="5">
        <v>27</v>
      </c>
      <c r="J3" s="6">
        <f>H3*I3/1000</f>
        <v>37.26</v>
      </c>
      <c r="K3" t="s">
        <v>387</v>
      </c>
    </row>
    <row r="4" spans="3:11" outlineLevel="2" x14ac:dyDescent="0.3">
      <c r="C4" s="4">
        <v>44927</v>
      </c>
      <c r="D4" s="5" t="s">
        <v>17</v>
      </c>
      <c r="E4" s="5" t="s">
        <v>15</v>
      </c>
      <c r="F4" s="5" t="s">
        <v>18</v>
      </c>
      <c r="G4" s="5" t="s">
        <v>19</v>
      </c>
      <c r="H4" s="5">
        <v>3250</v>
      </c>
      <c r="I4" s="5">
        <v>20</v>
      </c>
      <c r="J4" s="6">
        <f>H4*I4/1000</f>
        <v>65</v>
      </c>
      <c r="K4" t="s">
        <v>387</v>
      </c>
    </row>
    <row r="5" spans="3:11" outlineLevel="1" x14ac:dyDescent="0.3">
      <c r="C5" s="12" t="s">
        <v>382</v>
      </c>
      <c r="D5" s="5"/>
      <c r="E5" s="5"/>
      <c r="F5" s="5"/>
      <c r="G5" s="5"/>
      <c r="H5" s="5"/>
      <c r="I5" s="5"/>
      <c r="J5" s="6">
        <f>SUBTOTAL(9,J2:J4)</f>
        <v>351.74</v>
      </c>
    </row>
    <row r="6" spans="3:11" outlineLevel="2" x14ac:dyDescent="0.3">
      <c r="C6" s="7">
        <v>44958</v>
      </c>
      <c r="D6" s="8" t="s">
        <v>12</v>
      </c>
      <c r="E6" s="8" t="s">
        <v>20</v>
      </c>
      <c r="F6" s="8" t="s">
        <v>18</v>
      </c>
      <c r="G6" s="8" t="s">
        <v>21</v>
      </c>
      <c r="H6" s="8">
        <v>450</v>
      </c>
      <c r="I6" s="8">
        <v>44</v>
      </c>
      <c r="J6" s="6">
        <f t="shared" ref="J6:J20" si="0">H6*I6/1000</f>
        <v>19.8</v>
      </c>
      <c r="K6" t="s">
        <v>388</v>
      </c>
    </row>
    <row r="7" spans="3:11" outlineLevel="2" x14ac:dyDescent="0.3">
      <c r="C7" s="4">
        <v>44958</v>
      </c>
      <c r="D7" s="5" t="s">
        <v>8</v>
      </c>
      <c r="E7" s="5" t="s">
        <v>20</v>
      </c>
      <c r="F7" s="5" t="s">
        <v>13</v>
      </c>
      <c r="G7" s="5" t="s">
        <v>22</v>
      </c>
      <c r="H7" s="5">
        <v>930</v>
      </c>
      <c r="I7" s="5">
        <v>86</v>
      </c>
      <c r="J7" s="6">
        <f t="shared" si="0"/>
        <v>79.98</v>
      </c>
      <c r="K7" t="s">
        <v>388</v>
      </c>
    </row>
    <row r="8" spans="3:11" outlineLevel="2" x14ac:dyDescent="0.3">
      <c r="C8" s="4">
        <v>44958</v>
      </c>
      <c r="D8" s="5" t="s">
        <v>8</v>
      </c>
      <c r="E8" s="5" t="s">
        <v>9</v>
      </c>
      <c r="F8" s="5" t="s">
        <v>10</v>
      </c>
      <c r="G8" s="5" t="s">
        <v>23</v>
      </c>
      <c r="H8" s="5">
        <v>640</v>
      </c>
      <c r="I8" s="5">
        <v>72</v>
      </c>
      <c r="J8" s="6">
        <f t="shared" si="0"/>
        <v>46.08</v>
      </c>
      <c r="K8" t="s">
        <v>388</v>
      </c>
    </row>
    <row r="9" spans="3:11" outlineLevel="2" x14ac:dyDescent="0.3">
      <c r="C9" s="4">
        <v>44958</v>
      </c>
      <c r="D9" s="5" t="s">
        <v>45</v>
      </c>
      <c r="E9" s="5" t="s">
        <v>9</v>
      </c>
      <c r="F9" s="5" t="s">
        <v>24</v>
      </c>
      <c r="G9" s="5" t="s">
        <v>25</v>
      </c>
      <c r="H9" s="5">
        <v>1760</v>
      </c>
      <c r="I9" s="5">
        <v>84</v>
      </c>
      <c r="J9" s="6">
        <f t="shared" si="0"/>
        <v>147.84</v>
      </c>
      <c r="K9" t="s">
        <v>388</v>
      </c>
    </row>
    <row r="10" spans="3:11" outlineLevel="2" x14ac:dyDescent="0.3">
      <c r="C10" s="4">
        <v>44958</v>
      </c>
      <c r="D10" s="5" t="s">
        <v>8</v>
      </c>
      <c r="E10" s="5" t="s">
        <v>26</v>
      </c>
      <c r="F10" s="5" t="s">
        <v>18</v>
      </c>
      <c r="G10" s="5" t="s">
        <v>27</v>
      </c>
      <c r="H10" s="5">
        <v>460</v>
      </c>
      <c r="I10" s="5">
        <v>83</v>
      </c>
      <c r="J10" s="6">
        <f t="shared" si="0"/>
        <v>38.18</v>
      </c>
      <c r="K10" t="s">
        <v>388</v>
      </c>
    </row>
    <row r="11" spans="3:11" outlineLevel="2" x14ac:dyDescent="0.3">
      <c r="C11" s="4">
        <v>44958</v>
      </c>
      <c r="D11" s="5" t="s">
        <v>8</v>
      </c>
      <c r="E11" s="5" t="s">
        <v>26</v>
      </c>
      <c r="F11" s="5" t="s">
        <v>18</v>
      </c>
      <c r="G11" s="5" t="s">
        <v>28</v>
      </c>
      <c r="H11" s="5">
        <v>690</v>
      </c>
      <c r="I11" s="5">
        <v>15</v>
      </c>
      <c r="J11" s="6">
        <f t="shared" si="0"/>
        <v>10.35</v>
      </c>
      <c r="K11" t="s">
        <v>388</v>
      </c>
    </row>
    <row r="12" spans="3:11" outlineLevel="2" x14ac:dyDescent="0.3">
      <c r="C12" s="4">
        <v>44958</v>
      </c>
      <c r="D12" s="5" t="s">
        <v>8</v>
      </c>
      <c r="E12" s="5" t="s">
        <v>26</v>
      </c>
      <c r="F12" s="5" t="s">
        <v>13</v>
      </c>
      <c r="G12" s="5" t="s">
        <v>29</v>
      </c>
      <c r="H12" s="5">
        <v>1230</v>
      </c>
      <c r="I12" s="5">
        <v>39</v>
      </c>
      <c r="J12" s="6">
        <f t="shared" si="0"/>
        <v>47.97</v>
      </c>
      <c r="K12" t="s">
        <v>388</v>
      </c>
    </row>
    <row r="13" spans="3:11" outlineLevel="2" x14ac:dyDescent="0.3">
      <c r="C13" s="4">
        <v>44958</v>
      </c>
      <c r="D13" s="5" t="s">
        <v>8</v>
      </c>
      <c r="E13" s="5" t="s">
        <v>26</v>
      </c>
      <c r="F13" s="5" t="s">
        <v>13</v>
      </c>
      <c r="G13" s="5" t="s">
        <v>14</v>
      </c>
      <c r="H13" s="5">
        <v>1320</v>
      </c>
      <c r="I13" s="5">
        <v>32</v>
      </c>
      <c r="J13" s="6">
        <f t="shared" si="0"/>
        <v>42.24</v>
      </c>
      <c r="K13" t="s">
        <v>388</v>
      </c>
    </row>
    <row r="14" spans="3:11" outlineLevel="2" x14ac:dyDescent="0.3">
      <c r="C14" s="4">
        <v>44958</v>
      </c>
      <c r="D14" s="5" t="s">
        <v>17</v>
      </c>
      <c r="E14" s="5" t="s">
        <v>26</v>
      </c>
      <c r="F14" s="5" t="s">
        <v>24</v>
      </c>
      <c r="G14" s="5" t="s">
        <v>30</v>
      </c>
      <c r="H14" s="5">
        <v>2970</v>
      </c>
      <c r="I14" s="5">
        <v>20</v>
      </c>
      <c r="J14" s="6">
        <f t="shared" si="0"/>
        <v>59.4</v>
      </c>
      <c r="K14" t="s">
        <v>388</v>
      </c>
    </row>
    <row r="15" spans="3:11" outlineLevel="2" x14ac:dyDescent="0.3">
      <c r="C15" s="4">
        <v>44958</v>
      </c>
      <c r="D15" s="5" t="s">
        <v>17</v>
      </c>
      <c r="E15" s="5" t="s">
        <v>15</v>
      </c>
      <c r="F15" s="5" t="s">
        <v>18</v>
      </c>
      <c r="G15" s="5" t="s">
        <v>31</v>
      </c>
      <c r="H15" s="5">
        <v>715</v>
      </c>
      <c r="I15" s="5">
        <v>14</v>
      </c>
      <c r="J15" s="6">
        <f t="shared" si="0"/>
        <v>10.01</v>
      </c>
      <c r="K15" t="s">
        <v>388</v>
      </c>
    </row>
    <row r="16" spans="3:11" outlineLevel="2" x14ac:dyDescent="0.3">
      <c r="C16" s="4">
        <v>44958</v>
      </c>
      <c r="D16" s="5" t="s">
        <v>12</v>
      </c>
      <c r="E16" s="5" t="s">
        <v>15</v>
      </c>
      <c r="F16" s="5" t="s">
        <v>24</v>
      </c>
      <c r="G16" s="5" t="s">
        <v>32</v>
      </c>
      <c r="H16" s="5">
        <v>1505</v>
      </c>
      <c r="I16" s="5">
        <v>6</v>
      </c>
      <c r="J16" s="6">
        <f t="shared" si="0"/>
        <v>9.0299999999999994</v>
      </c>
      <c r="K16" t="s">
        <v>388</v>
      </c>
    </row>
    <row r="17" spans="3:11" outlineLevel="2" x14ac:dyDescent="0.3">
      <c r="C17" s="4">
        <v>44958</v>
      </c>
      <c r="D17" s="5" t="s">
        <v>12</v>
      </c>
      <c r="E17" s="5" t="s">
        <v>33</v>
      </c>
      <c r="F17" s="5" t="s">
        <v>10</v>
      </c>
      <c r="G17" s="5" t="s">
        <v>23</v>
      </c>
      <c r="H17" s="5">
        <v>640</v>
      </c>
      <c r="I17" s="5">
        <v>65</v>
      </c>
      <c r="J17" s="6">
        <f t="shared" si="0"/>
        <v>41.6</v>
      </c>
      <c r="K17" t="s">
        <v>388</v>
      </c>
    </row>
    <row r="18" spans="3:11" outlineLevel="2" x14ac:dyDescent="0.3">
      <c r="C18" s="4">
        <v>44958</v>
      </c>
      <c r="D18" s="5" t="s">
        <v>45</v>
      </c>
      <c r="E18" s="5" t="s">
        <v>33</v>
      </c>
      <c r="F18" s="5" t="s">
        <v>24</v>
      </c>
      <c r="G18" s="5" t="s">
        <v>34</v>
      </c>
      <c r="H18" s="5">
        <v>1670</v>
      </c>
      <c r="I18" s="5">
        <v>49</v>
      </c>
      <c r="J18" s="6">
        <f t="shared" si="0"/>
        <v>81.83</v>
      </c>
      <c r="K18" t="s">
        <v>388</v>
      </c>
    </row>
    <row r="19" spans="3:11" outlineLevel="2" x14ac:dyDescent="0.3">
      <c r="C19" s="4">
        <v>44958</v>
      </c>
      <c r="D19" s="5" t="s">
        <v>45</v>
      </c>
      <c r="E19" s="5" t="s">
        <v>35</v>
      </c>
      <c r="F19" s="5" t="s">
        <v>18</v>
      </c>
      <c r="G19" s="5" t="s">
        <v>28</v>
      </c>
      <c r="H19" s="5">
        <v>690</v>
      </c>
      <c r="I19" s="5">
        <v>45</v>
      </c>
      <c r="J19" s="6">
        <f t="shared" si="0"/>
        <v>31.05</v>
      </c>
      <c r="K19" t="s">
        <v>388</v>
      </c>
    </row>
    <row r="20" spans="3:11" outlineLevel="2" x14ac:dyDescent="0.3">
      <c r="C20" s="4">
        <v>44958</v>
      </c>
      <c r="D20" s="5" t="s">
        <v>17</v>
      </c>
      <c r="E20" s="5" t="s">
        <v>35</v>
      </c>
      <c r="F20" s="5" t="s">
        <v>24</v>
      </c>
      <c r="G20" s="5" t="s">
        <v>36</v>
      </c>
      <c r="H20" s="5">
        <v>2460</v>
      </c>
      <c r="I20" s="5">
        <v>58</v>
      </c>
      <c r="J20" s="6">
        <f t="shared" si="0"/>
        <v>142.68</v>
      </c>
      <c r="K20" t="s">
        <v>388</v>
      </c>
    </row>
    <row r="21" spans="3:11" outlineLevel="1" x14ac:dyDescent="0.3">
      <c r="C21" s="12" t="s">
        <v>383</v>
      </c>
      <c r="D21" s="5"/>
      <c r="E21" s="5"/>
      <c r="F21" s="5"/>
      <c r="G21" s="5"/>
      <c r="H21" s="5"/>
      <c r="I21" s="5"/>
      <c r="J21" s="6">
        <f>SUBTOTAL(9,J6:J20)</f>
        <v>808.04</v>
      </c>
      <c r="K21" t="s">
        <v>388</v>
      </c>
    </row>
    <row r="22" spans="3:11" outlineLevel="2" x14ac:dyDescent="0.3">
      <c r="C22" s="7">
        <v>44959</v>
      </c>
      <c r="D22" s="8" t="s">
        <v>8</v>
      </c>
      <c r="E22" s="8" t="s">
        <v>20</v>
      </c>
      <c r="F22" s="8" t="s">
        <v>18</v>
      </c>
      <c r="G22" s="8" t="s">
        <v>21</v>
      </c>
      <c r="H22" s="8">
        <v>450</v>
      </c>
      <c r="I22" s="8">
        <v>96</v>
      </c>
      <c r="J22" s="6">
        <f t="shared" ref="J22:J32" si="1">H22*I22/1000</f>
        <v>43.2</v>
      </c>
      <c r="K22" t="s">
        <v>388</v>
      </c>
    </row>
    <row r="23" spans="3:11" outlineLevel="2" x14ac:dyDescent="0.3">
      <c r="C23" s="4">
        <v>44959</v>
      </c>
      <c r="D23" s="5" t="s">
        <v>12</v>
      </c>
      <c r="E23" s="5" t="s">
        <v>20</v>
      </c>
      <c r="F23" s="5" t="s">
        <v>18</v>
      </c>
      <c r="G23" s="5" t="s">
        <v>31</v>
      </c>
      <c r="H23" s="5">
        <v>715</v>
      </c>
      <c r="I23" s="5">
        <v>94</v>
      </c>
      <c r="J23" s="6">
        <f t="shared" si="1"/>
        <v>67.209999999999994</v>
      </c>
      <c r="K23" t="s">
        <v>388</v>
      </c>
    </row>
    <row r="24" spans="3:11" outlineLevel="2" x14ac:dyDescent="0.3">
      <c r="C24" s="7">
        <v>44959</v>
      </c>
      <c r="D24" s="8" t="s">
        <v>17</v>
      </c>
      <c r="E24" s="8" t="s">
        <v>20</v>
      </c>
      <c r="F24" s="8" t="s">
        <v>18</v>
      </c>
      <c r="G24" s="8" t="s">
        <v>28</v>
      </c>
      <c r="H24" s="8">
        <v>690</v>
      </c>
      <c r="I24" s="8">
        <v>35</v>
      </c>
      <c r="J24" s="6">
        <f t="shared" si="1"/>
        <v>24.15</v>
      </c>
      <c r="K24" t="s">
        <v>388</v>
      </c>
    </row>
    <row r="25" spans="3:11" outlineLevel="2" x14ac:dyDescent="0.3">
      <c r="C25" s="4">
        <v>44959</v>
      </c>
      <c r="D25" s="5" t="s">
        <v>8</v>
      </c>
      <c r="E25" s="5" t="s">
        <v>20</v>
      </c>
      <c r="F25" s="5" t="s">
        <v>18</v>
      </c>
      <c r="G25" s="5" t="s">
        <v>31</v>
      </c>
      <c r="H25" s="5">
        <v>715</v>
      </c>
      <c r="I25" s="5">
        <v>67</v>
      </c>
      <c r="J25" s="6">
        <f t="shared" si="1"/>
        <v>47.905000000000001</v>
      </c>
      <c r="K25" t="s">
        <v>388</v>
      </c>
    </row>
    <row r="26" spans="3:11" outlineLevel="2" x14ac:dyDescent="0.3">
      <c r="C26" s="4">
        <v>44959</v>
      </c>
      <c r="D26" s="5" t="s">
        <v>45</v>
      </c>
      <c r="E26" s="5" t="s">
        <v>9</v>
      </c>
      <c r="F26" s="5" t="s">
        <v>18</v>
      </c>
      <c r="G26" s="5" t="s">
        <v>28</v>
      </c>
      <c r="H26" s="5">
        <v>690</v>
      </c>
      <c r="I26" s="5">
        <v>9</v>
      </c>
      <c r="J26" s="6">
        <f t="shared" si="1"/>
        <v>6.21</v>
      </c>
      <c r="K26" t="s">
        <v>388</v>
      </c>
    </row>
    <row r="27" spans="3:11" outlineLevel="2" x14ac:dyDescent="0.3">
      <c r="C27" s="4">
        <v>44959</v>
      </c>
      <c r="D27" s="5" t="s">
        <v>17</v>
      </c>
      <c r="E27" s="5" t="s">
        <v>26</v>
      </c>
      <c r="F27" s="5" t="s">
        <v>18</v>
      </c>
      <c r="G27" s="5" t="s">
        <v>19</v>
      </c>
      <c r="H27" s="5">
        <v>325</v>
      </c>
      <c r="I27" s="5">
        <v>21</v>
      </c>
      <c r="J27" s="6">
        <f t="shared" si="1"/>
        <v>6.8250000000000002</v>
      </c>
      <c r="K27" t="s">
        <v>388</v>
      </c>
    </row>
    <row r="28" spans="3:11" outlineLevel="2" x14ac:dyDescent="0.3">
      <c r="C28" s="4">
        <v>44959</v>
      </c>
      <c r="D28" s="5" t="s">
        <v>45</v>
      </c>
      <c r="E28" s="5" t="s">
        <v>26</v>
      </c>
      <c r="F28" s="5" t="s">
        <v>13</v>
      </c>
      <c r="G28" s="5" t="s">
        <v>14</v>
      </c>
      <c r="H28" s="5">
        <v>1320</v>
      </c>
      <c r="I28" s="5">
        <v>54</v>
      </c>
      <c r="J28" s="6">
        <f t="shared" si="1"/>
        <v>71.28</v>
      </c>
      <c r="K28" t="s">
        <v>388</v>
      </c>
    </row>
    <row r="29" spans="3:11" outlineLevel="2" x14ac:dyDescent="0.3">
      <c r="C29" s="4">
        <v>44959</v>
      </c>
      <c r="D29" s="5" t="s">
        <v>8</v>
      </c>
      <c r="E29" s="5" t="s">
        <v>26</v>
      </c>
      <c r="F29" s="5" t="s">
        <v>24</v>
      </c>
      <c r="G29" s="5" t="s">
        <v>32</v>
      </c>
      <c r="H29" s="5">
        <v>1505</v>
      </c>
      <c r="I29" s="5">
        <v>21</v>
      </c>
      <c r="J29" s="6">
        <f t="shared" si="1"/>
        <v>31.605</v>
      </c>
      <c r="K29" t="s">
        <v>388</v>
      </c>
    </row>
    <row r="30" spans="3:11" outlineLevel="2" x14ac:dyDescent="0.3">
      <c r="C30" s="4">
        <v>44959</v>
      </c>
      <c r="D30" s="5" t="s">
        <v>45</v>
      </c>
      <c r="E30" s="5" t="s">
        <v>33</v>
      </c>
      <c r="F30" s="5" t="s">
        <v>18</v>
      </c>
      <c r="G30" s="5" t="s">
        <v>31</v>
      </c>
      <c r="H30" s="5">
        <v>715</v>
      </c>
      <c r="I30" s="5">
        <v>15</v>
      </c>
      <c r="J30" s="6">
        <f t="shared" si="1"/>
        <v>10.725</v>
      </c>
      <c r="K30" t="s">
        <v>388</v>
      </c>
    </row>
    <row r="31" spans="3:11" outlineLevel="2" x14ac:dyDescent="0.3">
      <c r="C31" s="4">
        <v>44959</v>
      </c>
      <c r="D31" s="5" t="s">
        <v>17</v>
      </c>
      <c r="E31" s="5" t="s">
        <v>35</v>
      </c>
      <c r="F31" s="5" t="s">
        <v>18</v>
      </c>
      <c r="G31" s="5" t="s">
        <v>37</v>
      </c>
      <c r="H31" s="5">
        <v>890</v>
      </c>
      <c r="I31" s="5">
        <v>26</v>
      </c>
      <c r="J31" s="6">
        <f t="shared" si="1"/>
        <v>23.14</v>
      </c>
      <c r="K31" t="s">
        <v>388</v>
      </c>
    </row>
    <row r="32" spans="3:11" outlineLevel="2" x14ac:dyDescent="0.3">
      <c r="C32" s="4">
        <v>44959</v>
      </c>
      <c r="D32" s="5" t="s">
        <v>12</v>
      </c>
      <c r="E32" s="5" t="s">
        <v>35</v>
      </c>
      <c r="F32" s="5" t="s">
        <v>13</v>
      </c>
      <c r="G32" s="5" t="s">
        <v>38</v>
      </c>
      <c r="H32" s="5">
        <v>2400</v>
      </c>
      <c r="I32" s="5">
        <v>33</v>
      </c>
      <c r="J32" s="6">
        <f t="shared" si="1"/>
        <v>79.2</v>
      </c>
      <c r="K32" t="s">
        <v>388</v>
      </c>
    </row>
    <row r="33" spans="3:11" outlineLevel="1" x14ac:dyDescent="0.3">
      <c r="C33" s="12" t="s">
        <v>47</v>
      </c>
      <c r="D33" s="5"/>
      <c r="E33" s="5"/>
      <c r="F33" s="5"/>
      <c r="G33" s="5"/>
      <c r="H33" s="5"/>
      <c r="I33" s="5"/>
      <c r="J33" s="6">
        <f>SUBTOTAL(9,J22:J32)</f>
        <v>411.45</v>
      </c>
      <c r="K33" t="s">
        <v>388</v>
      </c>
    </row>
    <row r="34" spans="3:11" outlineLevel="2" x14ac:dyDescent="0.3">
      <c r="C34" s="7">
        <v>44960</v>
      </c>
      <c r="D34" s="8" t="s">
        <v>8</v>
      </c>
      <c r="E34" s="8" t="s">
        <v>20</v>
      </c>
      <c r="F34" s="8" t="s">
        <v>24</v>
      </c>
      <c r="G34" s="8" t="s">
        <v>25</v>
      </c>
      <c r="H34" s="8">
        <v>1760</v>
      </c>
      <c r="I34" s="8">
        <v>59</v>
      </c>
      <c r="J34" s="6">
        <f t="shared" ref="J34:J44" si="2">H34*I34/1000</f>
        <v>103.84</v>
      </c>
      <c r="K34" t="s">
        <v>388</v>
      </c>
    </row>
    <row r="35" spans="3:11" outlineLevel="2" x14ac:dyDescent="0.3">
      <c r="C35" s="4">
        <v>44960</v>
      </c>
      <c r="D35" s="5" t="s">
        <v>45</v>
      </c>
      <c r="E35" s="5" t="s">
        <v>9</v>
      </c>
      <c r="F35" s="5" t="s">
        <v>18</v>
      </c>
      <c r="G35" s="5" t="s">
        <v>31</v>
      </c>
      <c r="H35" s="5">
        <v>715</v>
      </c>
      <c r="I35" s="5">
        <v>39</v>
      </c>
      <c r="J35" s="6">
        <f t="shared" si="2"/>
        <v>27.885000000000002</v>
      </c>
      <c r="K35" t="s">
        <v>388</v>
      </c>
    </row>
    <row r="36" spans="3:11" outlineLevel="2" x14ac:dyDescent="0.3">
      <c r="C36" s="4">
        <v>44960</v>
      </c>
      <c r="D36" s="5" t="s">
        <v>17</v>
      </c>
      <c r="E36" s="5" t="s">
        <v>9</v>
      </c>
      <c r="F36" s="5" t="s">
        <v>24</v>
      </c>
      <c r="G36" s="5" t="s">
        <v>36</v>
      </c>
      <c r="H36" s="5">
        <v>2460</v>
      </c>
      <c r="I36" s="5">
        <v>67</v>
      </c>
      <c r="J36" s="6">
        <f t="shared" si="2"/>
        <v>164.82</v>
      </c>
      <c r="K36" t="s">
        <v>388</v>
      </c>
    </row>
    <row r="37" spans="3:11" outlineLevel="2" x14ac:dyDescent="0.3">
      <c r="C37" s="4">
        <v>44960</v>
      </c>
      <c r="D37" s="5" t="s">
        <v>17</v>
      </c>
      <c r="E37" s="5" t="s">
        <v>26</v>
      </c>
      <c r="F37" s="5" t="s">
        <v>18</v>
      </c>
      <c r="G37" s="5" t="s">
        <v>28</v>
      </c>
      <c r="H37" s="5">
        <v>690</v>
      </c>
      <c r="I37" s="5">
        <v>79</v>
      </c>
      <c r="J37" s="6">
        <f t="shared" si="2"/>
        <v>54.51</v>
      </c>
      <c r="K37" t="s">
        <v>388</v>
      </c>
    </row>
    <row r="38" spans="3:11" outlineLevel="2" x14ac:dyDescent="0.3">
      <c r="C38" s="4">
        <v>44960</v>
      </c>
      <c r="D38" s="5" t="s">
        <v>8</v>
      </c>
      <c r="E38" s="5" t="s">
        <v>26</v>
      </c>
      <c r="F38" s="5" t="s">
        <v>13</v>
      </c>
      <c r="G38" s="5" t="s">
        <v>22</v>
      </c>
      <c r="H38" s="5">
        <v>930</v>
      </c>
      <c r="I38" s="5">
        <v>44</v>
      </c>
      <c r="J38" s="6">
        <f t="shared" si="2"/>
        <v>40.92</v>
      </c>
      <c r="K38" t="s">
        <v>388</v>
      </c>
    </row>
    <row r="39" spans="3:11" outlineLevel="2" x14ac:dyDescent="0.3">
      <c r="C39" s="4">
        <v>44960</v>
      </c>
      <c r="D39" s="5" t="s">
        <v>12</v>
      </c>
      <c r="E39" s="5" t="s">
        <v>15</v>
      </c>
      <c r="F39" s="5" t="s">
        <v>18</v>
      </c>
      <c r="G39" s="5" t="s">
        <v>31</v>
      </c>
      <c r="H39" s="5">
        <v>715</v>
      </c>
      <c r="I39" s="5">
        <v>75</v>
      </c>
      <c r="J39" s="6">
        <f t="shared" si="2"/>
        <v>53.625</v>
      </c>
      <c r="K39" t="s">
        <v>388</v>
      </c>
    </row>
    <row r="40" spans="3:11" outlineLevel="2" x14ac:dyDescent="0.3">
      <c r="C40" s="4">
        <v>44960</v>
      </c>
      <c r="D40" s="5" t="s">
        <v>17</v>
      </c>
      <c r="E40" s="5" t="s">
        <v>15</v>
      </c>
      <c r="F40" s="5" t="s">
        <v>18</v>
      </c>
      <c r="G40" s="5" t="s">
        <v>19</v>
      </c>
      <c r="H40" s="5">
        <v>325</v>
      </c>
      <c r="I40" s="5">
        <v>17</v>
      </c>
      <c r="J40" s="6">
        <f t="shared" si="2"/>
        <v>5.5250000000000004</v>
      </c>
      <c r="K40" t="s">
        <v>388</v>
      </c>
    </row>
    <row r="41" spans="3:11" outlineLevel="2" x14ac:dyDescent="0.3">
      <c r="C41" s="4">
        <v>44960</v>
      </c>
      <c r="D41" s="5" t="s">
        <v>17</v>
      </c>
      <c r="E41" s="5" t="s">
        <v>33</v>
      </c>
      <c r="F41" s="5" t="s">
        <v>10</v>
      </c>
      <c r="G41" s="5" t="s">
        <v>39</v>
      </c>
      <c r="H41" s="5">
        <v>650</v>
      </c>
      <c r="I41" s="5">
        <v>85</v>
      </c>
      <c r="J41" s="6">
        <f t="shared" si="2"/>
        <v>55.25</v>
      </c>
      <c r="K41" t="s">
        <v>388</v>
      </c>
    </row>
    <row r="42" spans="3:11" outlineLevel="2" x14ac:dyDescent="0.3">
      <c r="C42" s="4">
        <v>44960</v>
      </c>
      <c r="D42" s="5" t="s">
        <v>17</v>
      </c>
      <c r="E42" s="5" t="s">
        <v>33</v>
      </c>
      <c r="F42" s="5" t="s">
        <v>13</v>
      </c>
      <c r="G42" s="5" t="s">
        <v>22</v>
      </c>
      <c r="H42" s="5">
        <v>930</v>
      </c>
      <c r="I42" s="5">
        <v>97</v>
      </c>
      <c r="J42" s="6">
        <f t="shared" si="2"/>
        <v>90.21</v>
      </c>
      <c r="K42" t="s">
        <v>388</v>
      </c>
    </row>
    <row r="43" spans="3:11" outlineLevel="2" x14ac:dyDescent="0.3">
      <c r="C43" s="4">
        <v>44960</v>
      </c>
      <c r="D43" s="5" t="s">
        <v>45</v>
      </c>
      <c r="E43" s="5" t="s">
        <v>33</v>
      </c>
      <c r="F43" s="5" t="s">
        <v>24</v>
      </c>
      <c r="G43" s="5" t="s">
        <v>30</v>
      </c>
      <c r="H43" s="5">
        <v>2970</v>
      </c>
      <c r="I43" s="5">
        <v>80</v>
      </c>
      <c r="J43" s="6">
        <f t="shared" si="2"/>
        <v>237.6</v>
      </c>
      <c r="K43" t="s">
        <v>388</v>
      </c>
    </row>
    <row r="44" spans="3:11" outlineLevel="2" x14ac:dyDescent="0.3">
      <c r="C44" s="4">
        <v>44960</v>
      </c>
      <c r="D44" s="5" t="s">
        <v>8</v>
      </c>
      <c r="E44" s="5" t="s">
        <v>35</v>
      </c>
      <c r="F44" s="5" t="s">
        <v>18</v>
      </c>
      <c r="G44" s="5" t="s">
        <v>31</v>
      </c>
      <c r="H44" s="5">
        <v>715</v>
      </c>
      <c r="I44" s="5">
        <v>62</v>
      </c>
      <c r="J44" s="6">
        <f t="shared" si="2"/>
        <v>44.33</v>
      </c>
      <c r="K44" t="s">
        <v>388</v>
      </c>
    </row>
    <row r="45" spans="3:11" outlineLevel="1" x14ac:dyDescent="0.3">
      <c r="C45" s="12" t="s">
        <v>48</v>
      </c>
      <c r="D45" s="5"/>
      <c r="E45" s="5"/>
      <c r="F45" s="5"/>
      <c r="G45" s="5"/>
      <c r="H45" s="5"/>
      <c r="I45" s="5"/>
      <c r="J45" s="6">
        <f>SUBTOTAL(9,J34:J44)</f>
        <v>878.51499999999999</v>
      </c>
      <c r="K45" t="s">
        <v>388</v>
      </c>
    </row>
    <row r="46" spans="3:11" outlineLevel="2" x14ac:dyDescent="0.3">
      <c r="C46" s="4">
        <v>44961</v>
      </c>
      <c r="D46" s="5" t="s">
        <v>17</v>
      </c>
      <c r="E46" s="5" t="s">
        <v>20</v>
      </c>
      <c r="F46" s="5" t="s">
        <v>10</v>
      </c>
      <c r="G46" s="5" t="s">
        <v>40</v>
      </c>
      <c r="H46" s="5">
        <v>540</v>
      </c>
      <c r="I46" s="5">
        <v>73</v>
      </c>
      <c r="J46" s="6">
        <f>H46*I46/1000</f>
        <v>39.42</v>
      </c>
      <c r="K46" t="s">
        <v>388</v>
      </c>
    </row>
    <row r="47" spans="3:11" outlineLevel="2" x14ac:dyDescent="0.3">
      <c r="C47" s="7">
        <v>44961</v>
      </c>
      <c r="D47" s="8" t="s">
        <v>17</v>
      </c>
      <c r="E47" s="8" t="s">
        <v>20</v>
      </c>
      <c r="F47" s="8" t="s">
        <v>18</v>
      </c>
      <c r="G47" s="8" t="s">
        <v>19</v>
      </c>
      <c r="H47" s="8">
        <v>325</v>
      </c>
      <c r="I47" s="8">
        <v>50</v>
      </c>
      <c r="J47" s="6">
        <f>H47*I47/1000</f>
        <v>16.25</v>
      </c>
      <c r="K47" t="s">
        <v>388</v>
      </c>
    </row>
    <row r="48" spans="3:11" outlineLevel="2" x14ac:dyDescent="0.3">
      <c r="C48" s="4">
        <v>44961</v>
      </c>
      <c r="D48" s="5" t="s">
        <v>45</v>
      </c>
      <c r="E48" s="5" t="s">
        <v>26</v>
      </c>
      <c r="F48" s="5" t="s">
        <v>10</v>
      </c>
      <c r="G48" s="5" t="s">
        <v>41</v>
      </c>
      <c r="H48" s="5">
        <v>650</v>
      </c>
      <c r="I48" s="5">
        <v>29</v>
      </c>
      <c r="J48" s="6">
        <f>H48*I48/1000</f>
        <v>18.850000000000001</v>
      </c>
      <c r="K48" t="s">
        <v>388</v>
      </c>
    </row>
    <row r="49" spans="3:11" outlineLevel="2" x14ac:dyDescent="0.3">
      <c r="C49" s="4">
        <v>44961</v>
      </c>
      <c r="D49" s="5" t="s">
        <v>17</v>
      </c>
      <c r="E49" s="5" t="s">
        <v>26</v>
      </c>
      <c r="F49" s="5" t="s">
        <v>18</v>
      </c>
      <c r="G49" s="5" t="s">
        <v>31</v>
      </c>
      <c r="H49" s="5">
        <v>715</v>
      </c>
      <c r="I49" s="5">
        <v>39</v>
      </c>
      <c r="J49" s="6">
        <f>H49*I49/1000</f>
        <v>27.885000000000002</v>
      </c>
      <c r="K49" t="s">
        <v>388</v>
      </c>
    </row>
    <row r="50" spans="3:11" outlineLevel="1" x14ac:dyDescent="0.3">
      <c r="C50" s="12" t="s">
        <v>49</v>
      </c>
      <c r="D50" s="5"/>
      <c r="E50" s="5"/>
      <c r="F50" s="5"/>
      <c r="G50" s="5"/>
      <c r="H50" s="5"/>
      <c r="I50" s="5"/>
      <c r="J50" s="6">
        <f>SUBTOTAL(9,J46:J49)</f>
        <v>102.40500000000002</v>
      </c>
      <c r="K50" t="s">
        <v>388</v>
      </c>
    </row>
    <row r="51" spans="3:11" outlineLevel="2" x14ac:dyDescent="0.3">
      <c r="C51" s="4">
        <v>44962</v>
      </c>
      <c r="D51" s="5" t="s">
        <v>17</v>
      </c>
      <c r="E51" s="5" t="s">
        <v>9</v>
      </c>
      <c r="F51" s="5" t="s">
        <v>18</v>
      </c>
      <c r="G51" s="5" t="s">
        <v>37</v>
      </c>
      <c r="H51" s="5">
        <v>890</v>
      </c>
      <c r="I51" s="5">
        <v>25</v>
      </c>
      <c r="J51" s="6">
        <f t="shared" ref="J51:J59" si="3">H51*I51/1000</f>
        <v>22.25</v>
      </c>
      <c r="K51" t="s">
        <v>388</v>
      </c>
    </row>
    <row r="52" spans="3:11" outlineLevel="2" x14ac:dyDescent="0.3">
      <c r="C52" s="4">
        <v>44962</v>
      </c>
      <c r="D52" s="5" t="s">
        <v>12</v>
      </c>
      <c r="E52" s="5" t="s">
        <v>9</v>
      </c>
      <c r="F52" s="5" t="s">
        <v>13</v>
      </c>
      <c r="G52" s="5" t="s">
        <v>38</v>
      </c>
      <c r="H52" s="5">
        <v>2400</v>
      </c>
      <c r="I52" s="5">
        <v>35</v>
      </c>
      <c r="J52" s="6">
        <f t="shared" si="3"/>
        <v>84</v>
      </c>
      <c r="K52" t="s">
        <v>388</v>
      </c>
    </row>
    <row r="53" spans="3:11" outlineLevel="2" x14ac:dyDescent="0.3">
      <c r="C53" s="4">
        <v>44962</v>
      </c>
      <c r="D53" s="5" t="s">
        <v>45</v>
      </c>
      <c r="E53" s="5" t="s">
        <v>9</v>
      </c>
      <c r="F53" s="5" t="s">
        <v>24</v>
      </c>
      <c r="G53" s="5" t="s">
        <v>42</v>
      </c>
      <c r="H53" s="5">
        <v>3205</v>
      </c>
      <c r="I53" s="5">
        <v>96</v>
      </c>
      <c r="J53" s="6">
        <f t="shared" si="3"/>
        <v>307.68</v>
      </c>
      <c r="K53" t="s">
        <v>388</v>
      </c>
    </row>
    <row r="54" spans="3:11" outlineLevel="2" x14ac:dyDescent="0.3">
      <c r="C54" s="4">
        <v>44962</v>
      </c>
      <c r="D54" s="5" t="s">
        <v>17</v>
      </c>
      <c r="E54" s="5" t="s">
        <v>26</v>
      </c>
      <c r="F54" s="5" t="s">
        <v>18</v>
      </c>
      <c r="G54" s="5" t="s">
        <v>27</v>
      </c>
      <c r="H54" s="5">
        <v>460</v>
      </c>
      <c r="I54" s="5">
        <v>24</v>
      </c>
      <c r="J54" s="6">
        <f t="shared" si="3"/>
        <v>11.04</v>
      </c>
      <c r="K54" t="s">
        <v>388</v>
      </c>
    </row>
    <row r="55" spans="3:11" outlineLevel="2" x14ac:dyDescent="0.3">
      <c r="C55" s="4">
        <v>44962</v>
      </c>
      <c r="D55" s="5" t="s">
        <v>17</v>
      </c>
      <c r="E55" s="5" t="s">
        <v>15</v>
      </c>
      <c r="F55" s="5" t="s">
        <v>10</v>
      </c>
      <c r="G55" s="5" t="s">
        <v>40</v>
      </c>
      <c r="H55" s="5">
        <v>540</v>
      </c>
      <c r="I55" s="5">
        <v>77</v>
      </c>
      <c r="J55" s="6">
        <f t="shared" si="3"/>
        <v>41.58</v>
      </c>
      <c r="K55" t="s">
        <v>388</v>
      </c>
    </row>
    <row r="56" spans="3:11" outlineLevel="2" x14ac:dyDescent="0.3">
      <c r="C56" s="4">
        <v>44962</v>
      </c>
      <c r="D56" s="5" t="s">
        <v>17</v>
      </c>
      <c r="E56" s="5" t="s">
        <v>15</v>
      </c>
      <c r="F56" s="5" t="s">
        <v>10</v>
      </c>
      <c r="G56" s="5" t="s">
        <v>40</v>
      </c>
      <c r="H56" s="5">
        <v>540</v>
      </c>
      <c r="I56" s="5">
        <v>11</v>
      </c>
      <c r="J56" s="6">
        <f t="shared" si="3"/>
        <v>5.94</v>
      </c>
      <c r="K56" t="s">
        <v>388</v>
      </c>
    </row>
    <row r="57" spans="3:11" outlineLevel="2" x14ac:dyDescent="0.3">
      <c r="C57" s="4">
        <v>44962</v>
      </c>
      <c r="D57" s="5" t="s">
        <v>8</v>
      </c>
      <c r="E57" s="5" t="s">
        <v>15</v>
      </c>
      <c r="F57" s="5" t="s">
        <v>18</v>
      </c>
      <c r="G57" s="5" t="s">
        <v>37</v>
      </c>
      <c r="H57" s="5">
        <v>890</v>
      </c>
      <c r="I57" s="5">
        <v>75</v>
      </c>
      <c r="J57" s="6">
        <f t="shared" si="3"/>
        <v>66.75</v>
      </c>
      <c r="K57" t="s">
        <v>388</v>
      </c>
    </row>
    <row r="58" spans="3:11" outlineLevel="2" x14ac:dyDescent="0.3">
      <c r="C58" s="4">
        <v>44962</v>
      </c>
      <c r="D58" s="5" t="s">
        <v>8</v>
      </c>
      <c r="E58" s="5" t="s">
        <v>15</v>
      </c>
      <c r="F58" s="5" t="s">
        <v>24</v>
      </c>
      <c r="G58" s="5" t="s">
        <v>36</v>
      </c>
      <c r="H58" s="5">
        <v>2460</v>
      </c>
      <c r="I58" s="5">
        <v>100</v>
      </c>
      <c r="J58" s="6">
        <f t="shared" si="3"/>
        <v>246</v>
      </c>
      <c r="K58" t="s">
        <v>388</v>
      </c>
    </row>
    <row r="59" spans="3:11" outlineLevel="2" x14ac:dyDescent="0.3">
      <c r="C59" s="4">
        <v>44962</v>
      </c>
      <c r="D59" s="5" t="s">
        <v>45</v>
      </c>
      <c r="E59" s="5" t="s">
        <v>33</v>
      </c>
      <c r="F59" s="5" t="s">
        <v>13</v>
      </c>
      <c r="G59" s="5" t="s">
        <v>43</v>
      </c>
      <c r="H59" s="5">
        <v>1420</v>
      </c>
      <c r="I59" s="5">
        <v>76</v>
      </c>
      <c r="J59" s="6">
        <f t="shared" si="3"/>
        <v>107.92</v>
      </c>
      <c r="K59" t="s">
        <v>388</v>
      </c>
    </row>
    <row r="60" spans="3:11" outlineLevel="1" x14ac:dyDescent="0.3">
      <c r="C60" s="12" t="s">
        <v>50</v>
      </c>
      <c r="D60" s="5"/>
      <c r="E60" s="5"/>
      <c r="F60" s="5"/>
      <c r="G60" s="5"/>
      <c r="H60" s="5"/>
      <c r="I60" s="5"/>
      <c r="J60" s="6">
        <f>SUBTOTAL(9,J51:J59)</f>
        <v>893.16</v>
      </c>
      <c r="K60" t="s">
        <v>388</v>
      </c>
    </row>
    <row r="61" spans="3:11" outlineLevel="2" x14ac:dyDescent="0.3">
      <c r="C61" s="4">
        <v>44963</v>
      </c>
      <c r="D61" s="5" t="s">
        <v>8</v>
      </c>
      <c r="E61" s="5" t="s">
        <v>20</v>
      </c>
      <c r="F61" s="5" t="s">
        <v>10</v>
      </c>
      <c r="G61" s="5" t="s">
        <v>11</v>
      </c>
      <c r="H61" s="5">
        <v>705</v>
      </c>
      <c r="I61" s="5">
        <v>33</v>
      </c>
      <c r="J61" s="6">
        <f t="shared" ref="J61:J68" si="4">H61*I61/1000</f>
        <v>23.265000000000001</v>
      </c>
      <c r="K61" t="s">
        <v>388</v>
      </c>
    </row>
    <row r="62" spans="3:11" outlineLevel="2" x14ac:dyDescent="0.3">
      <c r="C62" s="7">
        <v>44963</v>
      </c>
      <c r="D62" s="8" t="s">
        <v>8</v>
      </c>
      <c r="E62" s="8" t="s">
        <v>20</v>
      </c>
      <c r="F62" s="8" t="s">
        <v>13</v>
      </c>
      <c r="G62" s="8" t="s">
        <v>38</v>
      </c>
      <c r="H62" s="8">
        <v>2400</v>
      </c>
      <c r="I62" s="8">
        <v>67</v>
      </c>
      <c r="J62" s="6">
        <f t="shared" si="4"/>
        <v>160.80000000000001</v>
      </c>
      <c r="K62" t="s">
        <v>388</v>
      </c>
    </row>
    <row r="63" spans="3:11" outlineLevel="2" x14ac:dyDescent="0.3">
      <c r="C63" s="4">
        <v>44963</v>
      </c>
      <c r="D63" s="5" t="s">
        <v>8</v>
      </c>
      <c r="E63" s="5" t="s">
        <v>9</v>
      </c>
      <c r="F63" s="5" t="s">
        <v>10</v>
      </c>
      <c r="G63" s="5" t="s">
        <v>40</v>
      </c>
      <c r="H63" s="5">
        <v>540</v>
      </c>
      <c r="I63" s="5">
        <v>68</v>
      </c>
      <c r="J63" s="6">
        <f t="shared" si="4"/>
        <v>36.72</v>
      </c>
      <c r="K63" t="s">
        <v>388</v>
      </c>
    </row>
    <row r="64" spans="3:11" outlineLevel="2" x14ac:dyDescent="0.3">
      <c r="C64" s="4">
        <v>44963</v>
      </c>
      <c r="D64" s="5" t="s">
        <v>12</v>
      </c>
      <c r="E64" s="5" t="s">
        <v>26</v>
      </c>
      <c r="F64" s="5" t="s">
        <v>18</v>
      </c>
      <c r="G64" s="5" t="s">
        <v>21</v>
      </c>
      <c r="H64" s="5">
        <v>450</v>
      </c>
      <c r="I64" s="5">
        <v>20</v>
      </c>
      <c r="J64" s="6">
        <f t="shared" si="4"/>
        <v>9</v>
      </c>
      <c r="K64" t="s">
        <v>388</v>
      </c>
    </row>
    <row r="65" spans="3:11" outlineLevel="2" x14ac:dyDescent="0.3">
      <c r="C65" s="4">
        <v>44963</v>
      </c>
      <c r="D65" s="5" t="s">
        <v>17</v>
      </c>
      <c r="E65" s="5" t="s">
        <v>33</v>
      </c>
      <c r="F65" s="5" t="s">
        <v>10</v>
      </c>
      <c r="G65" s="5" t="s">
        <v>40</v>
      </c>
      <c r="H65" s="5">
        <v>540</v>
      </c>
      <c r="I65" s="5">
        <v>79</v>
      </c>
      <c r="J65" s="6">
        <f t="shared" si="4"/>
        <v>42.66</v>
      </c>
      <c r="K65" t="s">
        <v>388</v>
      </c>
    </row>
    <row r="66" spans="3:11" outlineLevel="2" x14ac:dyDescent="0.3">
      <c r="C66" s="4">
        <v>44963</v>
      </c>
      <c r="D66" s="5" t="s">
        <v>8</v>
      </c>
      <c r="E66" s="5" t="s">
        <v>33</v>
      </c>
      <c r="F66" s="5" t="s">
        <v>24</v>
      </c>
      <c r="G66" s="5" t="s">
        <v>25</v>
      </c>
      <c r="H66" s="5">
        <v>1760</v>
      </c>
      <c r="I66" s="5">
        <v>5</v>
      </c>
      <c r="J66" s="6">
        <f t="shared" si="4"/>
        <v>8.8000000000000007</v>
      </c>
      <c r="K66" t="s">
        <v>388</v>
      </c>
    </row>
    <row r="67" spans="3:11" outlineLevel="2" x14ac:dyDescent="0.3">
      <c r="C67" s="4">
        <v>44963</v>
      </c>
      <c r="D67" s="5" t="s">
        <v>8</v>
      </c>
      <c r="E67" s="5" t="s">
        <v>35</v>
      </c>
      <c r="F67" s="5" t="s">
        <v>18</v>
      </c>
      <c r="G67" s="5" t="s">
        <v>19</v>
      </c>
      <c r="H67" s="5">
        <v>325</v>
      </c>
      <c r="I67" s="5">
        <v>67</v>
      </c>
      <c r="J67" s="6">
        <f t="shared" si="4"/>
        <v>21.774999999999999</v>
      </c>
      <c r="K67" t="s">
        <v>388</v>
      </c>
    </row>
    <row r="68" spans="3:11" outlineLevel="2" x14ac:dyDescent="0.3">
      <c r="C68" s="4">
        <v>44963</v>
      </c>
      <c r="D68" s="5" t="s">
        <v>17</v>
      </c>
      <c r="E68" s="5" t="s">
        <v>35</v>
      </c>
      <c r="F68" s="5" t="s">
        <v>13</v>
      </c>
      <c r="G68" s="5" t="s">
        <v>22</v>
      </c>
      <c r="H68" s="5">
        <v>930</v>
      </c>
      <c r="I68" s="5">
        <v>26</v>
      </c>
      <c r="J68" s="6">
        <f t="shared" si="4"/>
        <v>24.18</v>
      </c>
      <c r="K68" t="s">
        <v>388</v>
      </c>
    </row>
    <row r="69" spans="3:11" outlineLevel="1" x14ac:dyDescent="0.3">
      <c r="C69" s="12" t="s">
        <v>51</v>
      </c>
      <c r="D69" s="5"/>
      <c r="E69" s="5"/>
      <c r="F69" s="5"/>
      <c r="G69" s="5"/>
      <c r="H69" s="5"/>
      <c r="I69" s="5"/>
      <c r="J69" s="6">
        <f>SUBTOTAL(9,J61:J68)</f>
        <v>327.2</v>
      </c>
      <c r="K69" t="s">
        <v>388</v>
      </c>
    </row>
    <row r="70" spans="3:11" outlineLevel="2" x14ac:dyDescent="0.3">
      <c r="C70" s="4">
        <v>44964</v>
      </c>
      <c r="D70" s="5" t="s">
        <v>45</v>
      </c>
      <c r="E70" s="5" t="s">
        <v>20</v>
      </c>
      <c r="F70" s="5" t="s">
        <v>10</v>
      </c>
      <c r="G70" s="5" t="s">
        <v>23</v>
      </c>
      <c r="H70" s="5">
        <v>640</v>
      </c>
      <c r="I70" s="5">
        <v>52</v>
      </c>
      <c r="J70" s="6">
        <f t="shared" ref="J70:J82" si="5">H70*I70/1000</f>
        <v>33.28</v>
      </c>
      <c r="K70" t="s">
        <v>388</v>
      </c>
    </row>
    <row r="71" spans="3:11" outlineLevel="2" x14ac:dyDescent="0.3">
      <c r="C71" s="4">
        <v>44964</v>
      </c>
      <c r="D71" s="5" t="s">
        <v>17</v>
      </c>
      <c r="E71" s="5" t="s">
        <v>9</v>
      </c>
      <c r="F71" s="5" t="s">
        <v>24</v>
      </c>
      <c r="G71" s="5" t="s">
        <v>25</v>
      </c>
      <c r="H71" s="5">
        <v>1760</v>
      </c>
      <c r="I71" s="5">
        <v>40</v>
      </c>
      <c r="J71" s="6">
        <f t="shared" si="5"/>
        <v>70.400000000000006</v>
      </c>
      <c r="K71" t="s">
        <v>388</v>
      </c>
    </row>
    <row r="72" spans="3:11" outlineLevel="2" x14ac:dyDescent="0.3">
      <c r="C72" s="4">
        <v>44964</v>
      </c>
      <c r="D72" s="5" t="s">
        <v>17</v>
      </c>
      <c r="E72" s="5" t="s">
        <v>26</v>
      </c>
      <c r="F72" s="5" t="s">
        <v>18</v>
      </c>
      <c r="G72" s="5" t="s">
        <v>28</v>
      </c>
      <c r="H72" s="5">
        <v>690</v>
      </c>
      <c r="I72" s="5">
        <v>84</v>
      </c>
      <c r="J72" s="6">
        <f t="shared" si="5"/>
        <v>57.96</v>
      </c>
      <c r="K72" t="s">
        <v>388</v>
      </c>
    </row>
    <row r="73" spans="3:11" outlineLevel="2" x14ac:dyDescent="0.3">
      <c r="C73" s="4">
        <v>44964</v>
      </c>
      <c r="D73" s="5" t="s">
        <v>8</v>
      </c>
      <c r="E73" s="5" t="s">
        <v>26</v>
      </c>
      <c r="F73" s="5" t="s">
        <v>13</v>
      </c>
      <c r="G73" s="5" t="s">
        <v>43</v>
      </c>
      <c r="H73" s="5">
        <v>1420</v>
      </c>
      <c r="I73" s="5">
        <v>97</v>
      </c>
      <c r="J73" s="6">
        <f t="shared" si="5"/>
        <v>137.74</v>
      </c>
      <c r="K73" t="s">
        <v>388</v>
      </c>
    </row>
    <row r="74" spans="3:11" outlineLevel="2" x14ac:dyDescent="0.3">
      <c r="C74" s="4">
        <v>44964</v>
      </c>
      <c r="D74" s="5" t="s">
        <v>17</v>
      </c>
      <c r="E74" s="5" t="s">
        <v>26</v>
      </c>
      <c r="F74" s="5" t="s">
        <v>24</v>
      </c>
      <c r="G74" s="5" t="s">
        <v>34</v>
      </c>
      <c r="H74" s="5">
        <v>1670</v>
      </c>
      <c r="I74" s="5">
        <v>84</v>
      </c>
      <c r="J74" s="6">
        <f t="shared" si="5"/>
        <v>140.28</v>
      </c>
      <c r="K74" t="s">
        <v>388</v>
      </c>
    </row>
    <row r="75" spans="3:11" outlineLevel="2" x14ac:dyDescent="0.3">
      <c r="C75" s="4">
        <v>44964</v>
      </c>
      <c r="D75" s="5" t="s">
        <v>12</v>
      </c>
      <c r="E75" s="5" t="s">
        <v>26</v>
      </c>
      <c r="F75" s="5" t="s">
        <v>24</v>
      </c>
      <c r="G75" s="5" t="s">
        <v>32</v>
      </c>
      <c r="H75" s="5">
        <v>1505</v>
      </c>
      <c r="I75" s="5">
        <v>20</v>
      </c>
      <c r="J75" s="6">
        <f t="shared" si="5"/>
        <v>30.1</v>
      </c>
      <c r="K75" t="s">
        <v>388</v>
      </c>
    </row>
    <row r="76" spans="3:11" outlineLevel="2" x14ac:dyDescent="0.3">
      <c r="C76" s="4">
        <v>44964</v>
      </c>
      <c r="D76" s="5" t="s">
        <v>45</v>
      </c>
      <c r="E76" s="5" t="s">
        <v>15</v>
      </c>
      <c r="F76" s="5" t="s">
        <v>10</v>
      </c>
      <c r="G76" s="5" t="s">
        <v>41</v>
      </c>
      <c r="H76" s="5">
        <v>650</v>
      </c>
      <c r="I76" s="5">
        <v>11</v>
      </c>
      <c r="J76" s="6">
        <f t="shared" si="5"/>
        <v>7.15</v>
      </c>
      <c r="K76" t="s">
        <v>388</v>
      </c>
    </row>
    <row r="77" spans="3:11" outlineLevel="2" x14ac:dyDescent="0.3">
      <c r="C77" s="4">
        <v>44964</v>
      </c>
      <c r="D77" s="5" t="s">
        <v>8</v>
      </c>
      <c r="E77" s="5" t="s">
        <v>15</v>
      </c>
      <c r="F77" s="5" t="s">
        <v>24</v>
      </c>
      <c r="G77" s="5" t="s">
        <v>36</v>
      </c>
      <c r="H77" s="5">
        <v>2460</v>
      </c>
      <c r="I77" s="5">
        <v>70</v>
      </c>
      <c r="J77" s="6">
        <f t="shared" si="5"/>
        <v>172.2</v>
      </c>
      <c r="K77" t="s">
        <v>388</v>
      </c>
    </row>
    <row r="78" spans="3:11" outlineLevel="2" x14ac:dyDescent="0.3">
      <c r="C78" s="4">
        <v>44964</v>
      </c>
      <c r="D78" s="5" t="s">
        <v>17</v>
      </c>
      <c r="E78" s="5" t="s">
        <v>33</v>
      </c>
      <c r="F78" s="5" t="s">
        <v>18</v>
      </c>
      <c r="G78" s="5" t="s">
        <v>28</v>
      </c>
      <c r="H78" s="5">
        <v>690</v>
      </c>
      <c r="I78" s="5">
        <v>14</v>
      </c>
      <c r="J78" s="6">
        <f t="shared" si="5"/>
        <v>9.66</v>
      </c>
      <c r="K78" t="s">
        <v>388</v>
      </c>
    </row>
    <row r="79" spans="3:11" outlineLevel="2" x14ac:dyDescent="0.3">
      <c r="C79" s="4">
        <v>44964</v>
      </c>
      <c r="D79" s="5" t="s">
        <v>12</v>
      </c>
      <c r="E79" s="5" t="s">
        <v>33</v>
      </c>
      <c r="F79" s="5" t="s">
        <v>13</v>
      </c>
      <c r="G79" s="5" t="s">
        <v>14</v>
      </c>
      <c r="H79" s="5">
        <v>1320</v>
      </c>
      <c r="I79" s="5">
        <v>90</v>
      </c>
      <c r="J79" s="6">
        <f t="shared" si="5"/>
        <v>118.8</v>
      </c>
      <c r="K79" t="s">
        <v>388</v>
      </c>
    </row>
    <row r="80" spans="3:11" outlineLevel="2" x14ac:dyDescent="0.3">
      <c r="C80" s="4">
        <v>44964</v>
      </c>
      <c r="D80" s="5" t="s">
        <v>8</v>
      </c>
      <c r="E80" s="5" t="s">
        <v>33</v>
      </c>
      <c r="F80" s="5" t="s">
        <v>13</v>
      </c>
      <c r="G80" s="5" t="s">
        <v>38</v>
      </c>
      <c r="H80" s="5">
        <v>2400</v>
      </c>
      <c r="I80" s="5">
        <v>20</v>
      </c>
      <c r="J80" s="6">
        <f t="shared" si="5"/>
        <v>48</v>
      </c>
      <c r="K80" t="s">
        <v>388</v>
      </c>
    </row>
    <row r="81" spans="3:11" outlineLevel="2" x14ac:dyDescent="0.3">
      <c r="C81" s="4">
        <v>44964</v>
      </c>
      <c r="D81" s="5" t="s">
        <v>12</v>
      </c>
      <c r="E81" s="5" t="s">
        <v>33</v>
      </c>
      <c r="F81" s="5" t="s">
        <v>24</v>
      </c>
      <c r="G81" s="5" t="s">
        <v>30</v>
      </c>
      <c r="H81" s="5">
        <v>2970</v>
      </c>
      <c r="I81" s="5">
        <v>7</v>
      </c>
      <c r="J81" s="6">
        <f t="shared" si="5"/>
        <v>20.79</v>
      </c>
      <c r="K81" t="s">
        <v>388</v>
      </c>
    </row>
    <row r="82" spans="3:11" outlineLevel="2" x14ac:dyDescent="0.3">
      <c r="C82" s="4">
        <v>44964</v>
      </c>
      <c r="D82" s="5" t="s">
        <v>17</v>
      </c>
      <c r="E82" s="5" t="s">
        <v>35</v>
      </c>
      <c r="F82" s="5" t="s">
        <v>18</v>
      </c>
      <c r="G82" s="5" t="s">
        <v>31</v>
      </c>
      <c r="H82" s="5">
        <v>715</v>
      </c>
      <c r="I82" s="5">
        <v>87</v>
      </c>
      <c r="J82" s="6">
        <f t="shared" si="5"/>
        <v>62.204999999999998</v>
      </c>
      <c r="K82" t="s">
        <v>388</v>
      </c>
    </row>
    <row r="83" spans="3:11" outlineLevel="1" x14ac:dyDescent="0.3">
      <c r="C83" s="12" t="s">
        <v>52</v>
      </c>
      <c r="D83" s="5"/>
      <c r="E83" s="5"/>
      <c r="F83" s="5"/>
      <c r="G83" s="5"/>
      <c r="H83" s="5"/>
      <c r="I83" s="5"/>
      <c r="J83" s="6">
        <f>SUBTOTAL(9,J70:J82)</f>
        <v>908.56499999999983</v>
      </c>
      <c r="K83" t="s">
        <v>388</v>
      </c>
    </row>
    <row r="84" spans="3:11" outlineLevel="2" x14ac:dyDescent="0.3">
      <c r="C84" s="7">
        <v>44965</v>
      </c>
      <c r="D84" s="8" t="s">
        <v>17</v>
      </c>
      <c r="E84" s="8" t="s">
        <v>20</v>
      </c>
      <c r="F84" s="8" t="s">
        <v>13</v>
      </c>
      <c r="G84" s="8" t="s">
        <v>14</v>
      </c>
      <c r="H84" s="8">
        <v>1320</v>
      </c>
      <c r="I84" s="8">
        <v>25</v>
      </c>
      <c r="J84" s="6">
        <f t="shared" ref="J84:J91" si="6">H84*I84/1000</f>
        <v>33</v>
      </c>
      <c r="K84" t="s">
        <v>388</v>
      </c>
    </row>
    <row r="85" spans="3:11" outlineLevel="2" x14ac:dyDescent="0.3">
      <c r="C85" s="4">
        <v>44965</v>
      </c>
      <c r="D85" s="5" t="s">
        <v>45</v>
      </c>
      <c r="E85" s="5" t="s">
        <v>20</v>
      </c>
      <c r="F85" s="5" t="s">
        <v>24</v>
      </c>
      <c r="G85" s="5" t="s">
        <v>32</v>
      </c>
      <c r="H85" s="5">
        <v>1505</v>
      </c>
      <c r="I85" s="5">
        <v>89</v>
      </c>
      <c r="J85" s="6">
        <f t="shared" si="6"/>
        <v>133.94499999999999</v>
      </c>
      <c r="K85" t="s">
        <v>388</v>
      </c>
    </row>
    <row r="86" spans="3:11" outlineLevel="2" x14ac:dyDescent="0.3">
      <c r="C86" s="4">
        <v>44965</v>
      </c>
      <c r="D86" s="5" t="s">
        <v>17</v>
      </c>
      <c r="E86" s="5" t="s">
        <v>9</v>
      </c>
      <c r="F86" s="5" t="s">
        <v>10</v>
      </c>
      <c r="G86" s="5" t="s">
        <v>41</v>
      </c>
      <c r="H86" s="5">
        <v>650</v>
      </c>
      <c r="I86" s="5">
        <v>88</v>
      </c>
      <c r="J86" s="6">
        <f t="shared" si="6"/>
        <v>57.2</v>
      </c>
      <c r="K86" t="s">
        <v>388</v>
      </c>
    </row>
    <row r="87" spans="3:11" outlineLevel="2" x14ac:dyDescent="0.3">
      <c r="C87" s="4">
        <v>44965</v>
      </c>
      <c r="D87" s="5" t="s">
        <v>8</v>
      </c>
      <c r="E87" s="5" t="s">
        <v>15</v>
      </c>
      <c r="F87" s="5" t="s">
        <v>13</v>
      </c>
      <c r="G87" s="5" t="s">
        <v>14</v>
      </c>
      <c r="H87" s="5">
        <v>1320</v>
      </c>
      <c r="I87" s="5">
        <v>11</v>
      </c>
      <c r="J87" s="6">
        <f t="shared" si="6"/>
        <v>14.52</v>
      </c>
      <c r="K87" t="s">
        <v>388</v>
      </c>
    </row>
    <row r="88" spans="3:11" outlineLevel="2" x14ac:dyDescent="0.3">
      <c r="C88" s="4">
        <v>44965</v>
      </c>
      <c r="D88" s="5" t="s">
        <v>17</v>
      </c>
      <c r="E88" s="5" t="s">
        <v>33</v>
      </c>
      <c r="F88" s="5" t="s">
        <v>10</v>
      </c>
      <c r="G88" s="5" t="s">
        <v>11</v>
      </c>
      <c r="H88" s="5">
        <v>705</v>
      </c>
      <c r="I88" s="5">
        <v>90</v>
      </c>
      <c r="J88" s="6">
        <f t="shared" si="6"/>
        <v>63.45</v>
      </c>
      <c r="K88" t="s">
        <v>388</v>
      </c>
    </row>
    <row r="89" spans="3:11" outlineLevel="2" x14ac:dyDescent="0.3">
      <c r="C89" s="4">
        <v>44965</v>
      </c>
      <c r="D89" s="5" t="s">
        <v>45</v>
      </c>
      <c r="E89" s="5" t="s">
        <v>33</v>
      </c>
      <c r="F89" s="5" t="s">
        <v>18</v>
      </c>
      <c r="G89" s="5" t="s">
        <v>27</v>
      </c>
      <c r="H89" s="5">
        <v>460</v>
      </c>
      <c r="I89" s="5">
        <v>43</v>
      </c>
      <c r="J89" s="6">
        <f t="shared" si="6"/>
        <v>19.78</v>
      </c>
      <c r="K89" t="s">
        <v>388</v>
      </c>
    </row>
    <row r="90" spans="3:11" outlineLevel="2" x14ac:dyDescent="0.3">
      <c r="C90" s="4">
        <v>44965</v>
      </c>
      <c r="D90" s="5" t="s">
        <v>45</v>
      </c>
      <c r="E90" s="5" t="s">
        <v>33</v>
      </c>
      <c r="F90" s="5" t="s">
        <v>13</v>
      </c>
      <c r="G90" s="5" t="s">
        <v>44</v>
      </c>
      <c r="H90" s="5">
        <v>2540</v>
      </c>
      <c r="I90" s="5">
        <v>70</v>
      </c>
      <c r="J90" s="6">
        <f t="shared" si="6"/>
        <v>177.8</v>
      </c>
      <c r="K90" t="s">
        <v>388</v>
      </c>
    </row>
    <row r="91" spans="3:11" outlineLevel="2" x14ac:dyDescent="0.3">
      <c r="C91" s="4">
        <v>44965</v>
      </c>
      <c r="D91" s="5" t="s">
        <v>17</v>
      </c>
      <c r="E91" s="5" t="s">
        <v>35</v>
      </c>
      <c r="F91" s="5" t="s">
        <v>13</v>
      </c>
      <c r="G91" s="5" t="s">
        <v>43</v>
      </c>
      <c r="H91" s="5">
        <v>1420</v>
      </c>
      <c r="I91" s="5">
        <v>54</v>
      </c>
      <c r="J91" s="6">
        <f t="shared" si="6"/>
        <v>76.680000000000007</v>
      </c>
      <c r="K91" t="s">
        <v>388</v>
      </c>
    </row>
    <row r="92" spans="3:11" outlineLevel="1" x14ac:dyDescent="0.3">
      <c r="C92" s="12" t="s">
        <v>53</v>
      </c>
      <c r="D92" s="5"/>
      <c r="E92" s="5"/>
      <c r="F92" s="5"/>
      <c r="G92" s="5"/>
      <c r="H92" s="5"/>
      <c r="I92" s="5"/>
      <c r="J92" s="6">
        <f>SUBTOTAL(9,J84:J91)</f>
        <v>576.375</v>
      </c>
      <c r="K92" t="s">
        <v>388</v>
      </c>
    </row>
    <row r="93" spans="3:11" outlineLevel="2" x14ac:dyDescent="0.3">
      <c r="C93" s="7">
        <v>44966</v>
      </c>
      <c r="D93" s="8" t="s">
        <v>8</v>
      </c>
      <c r="E93" s="8" t="s">
        <v>20</v>
      </c>
      <c r="F93" s="8" t="s">
        <v>10</v>
      </c>
      <c r="G93" s="8" t="s">
        <v>11</v>
      </c>
      <c r="H93" s="8">
        <v>705</v>
      </c>
      <c r="I93" s="8">
        <v>95</v>
      </c>
      <c r="J93" s="6">
        <f t="shared" ref="J93:J102" si="7">H93*I93/1000</f>
        <v>66.974999999999994</v>
      </c>
      <c r="K93" t="s">
        <v>388</v>
      </c>
    </row>
    <row r="94" spans="3:11" outlineLevel="2" x14ac:dyDescent="0.3">
      <c r="C94" s="4">
        <v>44966</v>
      </c>
      <c r="D94" s="5" t="s">
        <v>12</v>
      </c>
      <c r="E94" s="5" t="s">
        <v>20</v>
      </c>
      <c r="F94" s="5" t="s">
        <v>24</v>
      </c>
      <c r="G94" s="5" t="s">
        <v>32</v>
      </c>
      <c r="H94" s="5">
        <v>1505</v>
      </c>
      <c r="I94" s="5">
        <v>58</v>
      </c>
      <c r="J94" s="6">
        <f t="shared" si="7"/>
        <v>87.29</v>
      </c>
      <c r="K94" t="s">
        <v>388</v>
      </c>
    </row>
    <row r="95" spans="3:11" outlineLevel="2" x14ac:dyDescent="0.3">
      <c r="C95" s="4">
        <v>44966</v>
      </c>
      <c r="D95" s="5" t="s">
        <v>17</v>
      </c>
      <c r="E95" s="5" t="s">
        <v>9</v>
      </c>
      <c r="F95" s="5" t="s">
        <v>10</v>
      </c>
      <c r="G95" s="5" t="s">
        <v>16</v>
      </c>
      <c r="H95" s="5">
        <v>1380</v>
      </c>
      <c r="I95" s="5">
        <v>71</v>
      </c>
      <c r="J95" s="6">
        <f t="shared" si="7"/>
        <v>97.98</v>
      </c>
      <c r="K95" t="s">
        <v>388</v>
      </c>
    </row>
    <row r="96" spans="3:11" outlineLevel="2" x14ac:dyDescent="0.3">
      <c r="C96" s="4">
        <v>44966</v>
      </c>
      <c r="D96" s="5" t="s">
        <v>45</v>
      </c>
      <c r="E96" s="5" t="s">
        <v>26</v>
      </c>
      <c r="F96" s="5" t="s">
        <v>10</v>
      </c>
      <c r="G96" s="5" t="s">
        <v>40</v>
      </c>
      <c r="H96" s="5">
        <v>540</v>
      </c>
      <c r="I96" s="5">
        <v>15</v>
      </c>
      <c r="J96" s="6">
        <f t="shared" si="7"/>
        <v>8.1</v>
      </c>
      <c r="K96" t="s">
        <v>388</v>
      </c>
    </row>
    <row r="97" spans="3:11" outlineLevel="2" x14ac:dyDescent="0.3">
      <c r="C97" s="4">
        <v>44966</v>
      </c>
      <c r="D97" s="5" t="s">
        <v>12</v>
      </c>
      <c r="E97" s="5" t="s">
        <v>33</v>
      </c>
      <c r="F97" s="5" t="s">
        <v>13</v>
      </c>
      <c r="G97" s="5" t="s">
        <v>14</v>
      </c>
      <c r="H97" s="5">
        <v>1320</v>
      </c>
      <c r="I97" s="5">
        <v>40</v>
      </c>
      <c r="J97" s="6">
        <f t="shared" si="7"/>
        <v>52.8</v>
      </c>
      <c r="K97" t="s">
        <v>388</v>
      </c>
    </row>
    <row r="98" spans="3:11" outlineLevel="2" x14ac:dyDescent="0.3">
      <c r="C98" s="4">
        <v>44966</v>
      </c>
      <c r="D98" s="5" t="s">
        <v>45</v>
      </c>
      <c r="E98" s="5" t="s">
        <v>33</v>
      </c>
      <c r="F98" s="5" t="s">
        <v>24</v>
      </c>
      <c r="G98" s="5" t="s">
        <v>25</v>
      </c>
      <c r="H98" s="5">
        <v>1760</v>
      </c>
      <c r="I98" s="5">
        <v>63</v>
      </c>
      <c r="J98" s="6">
        <f t="shared" si="7"/>
        <v>110.88</v>
      </c>
      <c r="K98" t="s">
        <v>388</v>
      </c>
    </row>
    <row r="99" spans="3:11" outlineLevel="2" x14ac:dyDescent="0.3">
      <c r="C99" s="4">
        <v>44966</v>
      </c>
      <c r="D99" s="5" t="s">
        <v>12</v>
      </c>
      <c r="E99" s="5" t="s">
        <v>33</v>
      </c>
      <c r="F99" s="5" t="s">
        <v>24</v>
      </c>
      <c r="G99" s="5" t="s">
        <v>25</v>
      </c>
      <c r="H99" s="5">
        <v>1760</v>
      </c>
      <c r="I99" s="5">
        <v>97</v>
      </c>
      <c r="J99" s="6">
        <f t="shared" si="7"/>
        <v>170.72</v>
      </c>
      <c r="K99" t="s">
        <v>388</v>
      </c>
    </row>
    <row r="100" spans="3:11" outlineLevel="2" x14ac:dyDescent="0.3">
      <c r="C100" s="4">
        <v>44966</v>
      </c>
      <c r="D100" s="5" t="s">
        <v>17</v>
      </c>
      <c r="E100" s="5" t="s">
        <v>33</v>
      </c>
      <c r="F100" s="5" t="s">
        <v>24</v>
      </c>
      <c r="G100" s="5" t="s">
        <v>34</v>
      </c>
      <c r="H100" s="5">
        <v>1670</v>
      </c>
      <c r="I100" s="5">
        <v>27</v>
      </c>
      <c r="J100" s="6">
        <f t="shared" si="7"/>
        <v>45.09</v>
      </c>
      <c r="K100" t="s">
        <v>388</v>
      </c>
    </row>
    <row r="101" spans="3:11" outlineLevel="2" x14ac:dyDescent="0.3">
      <c r="C101" s="4">
        <v>44966</v>
      </c>
      <c r="D101" s="5" t="s">
        <v>17</v>
      </c>
      <c r="E101" s="5" t="s">
        <v>35</v>
      </c>
      <c r="F101" s="5" t="s">
        <v>13</v>
      </c>
      <c r="G101" s="5" t="s">
        <v>44</v>
      </c>
      <c r="H101" s="5">
        <v>2540</v>
      </c>
      <c r="I101" s="5">
        <v>75</v>
      </c>
      <c r="J101" s="6">
        <f t="shared" si="7"/>
        <v>190.5</v>
      </c>
      <c r="K101" t="s">
        <v>388</v>
      </c>
    </row>
    <row r="102" spans="3:11" outlineLevel="2" x14ac:dyDescent="0.3">
      <c r="C102" s="4">
        <v>44966</v>
      </c>
      <c r="D102" s="5" t="s">
        <v>45</v>
      </c>
      <c r="E102" s="5" t="s">
        <v>35</v>
      </c>
      <c r="F102" s="5" t="s">
        <v>13</v>
      </c>
      <c r="G102" s="5" t="s">
        <v>22</v>
      </c>
      <c r="H102" s="5">
        <v>930</v>
      </c>
      <c r="I102" s="5">
        <v>60</v>
      </c>
      <c r="J102" s="6">
        <f t="shared" si="7"/>
        <v>55.8</v>
      </c>
      <c r="K102" t="s">
        <v>388</v>
      </c>
    </row>
    <row r="103" spans="3:11" outlineLevel="1" x14ac:dyDescent="0.3">
      <c r="C103" s="12" t="s">
        <v>54</v>
      </c>
      <c r="D103" s="5"/>
      <c r="E103" s="5"/>
      <c r="F103" s="5"/>
      <c r="G103" s="5"/>
      <c r="H103" s="5"/>
      <c r="I103" s="5"/>
      <c r="J103" s="6">
        <f>SUBTOTAL(9,J93:J102)</f>
        <v>886.13499999999999</v>
      </c>
      <c r="K103" t="s">
        <v>388</v>
      </c>
    </row>
    <row r="104" spans="3:11" outlineLevel="2" x14ac:dyDescent="0.3">
      <c r="C104" s="7">
        <v>44967</v>
      </c>
      <c r="D104" s="8" t="s">
        <v>17</v>
      </c>
      <c r="E104" s="8" t="s">
        <v>20</v>
      </c>
      <c r="F104" s="8" t="s">
        <v>10</v>
      </c>
      <c r="G104" s="8" t="s">
        <v>11</v>
      </c>
      <c r="H104" s="8">
        <v>705</v>
      </c>
      <c r="I104" s="8">
        <v>71</v>
      </c>
      <c r="J104" s="6">
        <f t="shared" ref="J104:J112" si="8">H104*I104/1000</f>
        <v>50.055</v>
      </c>
      <c r="K104" t="s">
        <v>388</v>
      </c>
    </row>
    <row r="105" spans="3:11" outlineLevel="2" x14ac:dyDescent="0.3">
      <c r="C105" s="4">
        <v>44967</v>
      </c>
      <c r="D105" s="5" t="s">
        <v>45</v>
      </c>
      <c r="E105" s="5" t="s">
        <v>20</v>
      </c>
      <c r="F105" s="5" t="s">
        <v>24</v>
      </c>
      <c r="G105" s="5" t="s">
        <v>34</v>
      </c>
      <c r="H105" s="5">
        <v>1670</v>
      </c>
      <c r="I105" s="5">
        <v>70</v>
      </c>
      <c r="J105" s="6">
        <f t="shared" si="8"/>
        <v>116.9</v>
      </c>
      <c r="K105" t="s">
        <v>388</v>
      </c>
    </row>
    <row r="106" spans="3:11" outlineLevel="2" x14ac:dyDescent="0.3">
      <c r="C106" s="4">
        <v>44967</v>
      </c>
      <c r="D106" s="5" t="s">
        <v>8</v>
      </c>
      <c r="E106" s="5" t="s">
        <v>9</v>
      </c>
      <c r="F106" s="5" t="s">
        <v>10</v>
      </c>
      <c r="G106" s="5" t="s">
        <v>23</v>
      </c>
      <c r="H106" s="5">
        <v>640</v>
      </c>
      <c r="I106" s="5">
        <v>70</v>
      </c>
      <c r="J106" s="6">
        <f t="shared" si="8"/>
        <v>44.8</v>
      </c>
      <c r="K106" t="s">
        <v>388</v>
      </c>
    </row>
    <row r="107" spans="3:11" outlineLevel="2" x14ac:dyDescent="0.3">
      <c r="C107" s="4">
        <v>44967</v>
      </c>
      <c r="D107" s="5" t="s">
        <v>45</v>
      </c>
      <c r="E107" s="5" t="s">
        <v>9</v>
      </c>
      <c r="F107" s="5" t="s">
        <v>18</v>
      </c>
      <c r="G107" s="5" t="s">
        <v>31</v>
      </c>
      <c r="H107" s="5">
        <v>715</v>
      </c>
      <c r="I107" s="5">
        <v>34</v>
      </c>
      <c r="J107" s="6">
        <f t="shared" si="8"/>
        <v>24.31</v>
      </c>
      <c r="K107" t="s">
        <v>388</v>
      </c>
    </row>
    <row r="108" spans="3:11" outlineLevel="2" x14ac:dyDescent="0.3">
      <c r="C108" s="4">
        <v>44967</v>
      </c>
      <c r="D108" s="5" t="s">
        <v>45</v>
      </c>
      <c r="E108" s="5" t="s">
        <v>26</v>
      </c>
      <c r="F108" s="5" t="s">
        <v>24</v>
      </c>
      <c r="G108" s="5" t="s">
        <v>32</v>
      </c>
      <c r="H108" s="5">
        <v>1505</v>
      </c>
      <c r="I108" s="5">
        <v>60</v>
      </c>
      <c r="J108" s="6">
        <f t="shared" si="8"/>
        <v>90.3</v>
      </c>
      <c r="K108" t="s">
        <v>388</v>
      </c>
    </row>
    <row r="109" spans="3:11" outlineLevel="2" x14ac:dyDescent="0.3">
      <c r="C109" s="4">
        <v>44967</v>
      </c>
      <c r="D109" s="5" t="s">
        <v>45</v>
      </c>
      <c r="E109" s="5" t="s">
        <v>15</v>
      </c>
      <c r="F109" s="5" t="s">
        <v>18</v>
      </c>
      <c r="G109" s="5" t="s">
        <v>21</v>
      </c>
      <c r="H109" s="5">
        <v>450</v>
      </c>
      <c r="I109" s="5">
        <v>50</v>
      </c>
      <c r="J109" s="6">
        <f t="shared" si="8"/>
        <v>22.5</v>
      </c>
      <c r="K109" t="s">
        <v>388</v>
      </c>
    </row>
    <row r="110" spans="3:11" outlineLevel="2" x14ac:dyDescent="0.3">
      <c r="C110" s="4">
        <v>44967</v>
      </c>
      <c r="D110" s="5" t="s">
        <v>12</v>
      </c>
      <c r="E110" s="5" t="s">
        <v>33</v>
      </c>
      <c r="F110" s="5" t="s">
        <v>13</v>
      </c>
      <c r="G110" s="5" t="s">
        <v>14</v>
      </c>
      <c r="H110" s="5">
        <v>1320</v>
      </c>
      <c r="I110" s="5">
        <v>96</v>
      </c>
      <c r="J110" s="6">
        <f t="shared" si="8"/>
        <v>126.72</v>
      </c>
      <c r="K110" t="s">
        <v>388</v>
      </c>
    </row>
    <row r="111" spans="3:11" outlineLevel="2" x14ac:dyDescent="0.3">
      <c r="C111" s="4">
        <v>44967</v>
      </c>
      <c r="D111" s="5" t="s">
        <v>45</v>
      </c>
      <c r="E111" s="5" t="s">
        <v>35</v>
      </c>
      <c r="F111" s="5" t="s">
        <v>24</v>
      </c>
      <c r="G111" s="5" t="s">
        <v>36</v>
      </c>
      <c r="H111" s="5">
        <v>2460</v>
      </c>
      <c r="I111" s="5">
        <v>13</v>
      </c>
      <c r="J111" s="6">
        <f t="shared" si="8"/>
        <v>31.98</v>
      </c>
      <c r="K111" t="s">
        <v>388</v>
      </c>
    </row>
    <row r="112" spans="3:11" outlineLevel="2" x14ac:dyDescent="0.3">
      <c r="C112" s="4">
        <v>44967</v>
      </c>
      <c r="D112" s="5" t="s">
        <v>12</v>
      </c>
      <c r="E112" s="5" t="s">
        <v>35</v>
      </c>
      <c r="F112" s="5" t="s">
        <v>24</v>
      </c>
      <c r="G112" s="5" t="s">
        <v>42</v>
      </c>
      <c r="H112" s="5">
        <v>3205</v>
      </c>
      <c r="I112" s="5">
        <v>59</v>
      </c>
      <c r="J112" s="6">
        <f t="shared" si="8"/>
        <v>189.095</v>
      </c>
      <c r="K112" t="s">
        <v>388</v>
      </c>
    </row>
    <row r="113" spans="3:11" outlineLevel="1" x14ac:dyDescent="0.3">
      <c r="C113" s="12" t="s">
        <v>55</v>
      </c>
      <c r="D113" s="5"/>
      <c r="E113" s="5"/>
      <c r="F113" s="5"/>
      <c r="G113" s="5"/>
      <c r="H113" s="5"/>
      <c r="I113" s="5"/>
      <c r="J113" s="6">
        <f>SUBTOTAL(9,J104:J112)</f>
        <v>696.66000000000008</v>
      </c>
      <c r="K113" t="s">
        <v>388</v>
      </c>
    </row>
    <row r="114" spans="3:11" outlineLevel="2" x14ac:dyDescent="0.3">
      <c r="C114" s="7">
        <v>44968</v>
      </c>
      <c r="D114" s="8" t="s">
        <v>12</v>
      </c>
      <c r="E114" s="8" t="s">
        <v>20</v>
      </c>
      <c r="F114" s="8" t="s">
        <v>13</v>
      </c>
      <c r="G114" s="8" t="s">
        <v>22</v>
      </c>
      <c r="H114" s="8">
        <v>930</v>
      </c>
      <c r="I114" s="8">
        <v>26</v>
      </c>
      <c r="J114" s="6">
        <f t="shared" ref="J114:J123" si="9">H114*I114/1000</f>
        <v>24.18</v>
      </c>
      <c r="K114" t="s">
        <v>388</v>
      </c>
    </row>
    <row r="115" spans="3:11" outlineLevel="2" x14ac:dyDescent="0.3">
      <c r="C115" s="4">
        <v>44968</v>
      </c>
      <c r="D115" s="5" t="s">
        <v>12</v>
      </c>
      <c r="E115" s="5" t="s">
        <v>9</v>
      </c>
      <c r="F115" s="5" t="s">
        <v>13</v>
      </c>
      <c r="G115" s="5" t="s">
        <v>38</v>
      </c>
      <c r="H115" s="5">
        <v>2400</v>
      </c>
      <c r="I115" s="5">
        <v>34</v>
      </c>
      <c r="J115" s="6">
        <f t="shared" si="9"/>
        <v>81.599999999999994</v>
      </c>
      <c r="K115" t="s">
        <v>388</v>
      </c>
    </row>
    <row r="116" spans="3:11" outlineLevel="2" x14ac:dyDescent="0.3">
      <c r="C116" s="4">
        <v>44968</v>
      </c>
      <c r="D116" s="5" t="s">
        <v>45</v>
      </c>
      <c r="E116" s="5" t="s">
        <v>9</v>
      </c>
      <c r="F116" s="5" t="s">
        <v>24</v>
      </c>
      <c r="G116" s="5" t="s">
        <v>25</v>
      </c>
      <c r="H116" s="5">
        <v>1760</v>
      </c>
      <c r="I116" s="5">
        <v>38</v>
      </c>
      <c r="J116" s="6">
        <f t="shared" si="9"/>
        <v>66.88</v>
      </c>
      <c r="K116" t="s">
        <v>388</v>
      </c>
    </row>
    <row r="117" spans="3:11" outlineLevel="2" x14ac:dyDescent="0.3">
      <c r="C117" s="4">
        <v>44968</v>
      </c>
      <c r="D117" s="5" t="s">
        <v>12</v>
      </c>
      <c r="E117" s="5" t="s">
        <v>26</v>
      </c>
      <c r="F117" s="5" t="s">
        <v>13</v>
      </c>
      <c r="G117" s="5" t="s">
        <v>38</v>
      </c>
      <c r="H117" s="5">
        <v>2400</v>
      </c>
      <c r="I117" s="5">
        <v>91</v>
      </c>
      <c r="J117" s="6">
        <f t="shared" si="9"/>
        <v>218.4</v>
      </c>
      <c r="K117" t="s">
        <v>388</v>
      </c>
    </row>
    <row r="118" spans="3:11" outlineLevel="2" x14ac:dyDescent="0.3">
      <c r="C118" s="4">
        <v>44968</v>
      </c>
      <c r="D118" s="5" t="s">
        <v>8</v>
      </c>
      <c r="E118" s="5" t="s">
        <v>15</v>
      </c>
      <c r="F118" s="5" t="s">
        <v>18</v>
      </c>
      <c r="G118" s="5" t="s">
        <v>27</v>
      </c>
      <c r="H118" s="5">
        <v>460</v>
      </c>
      <c r="I118" s="5">
        <v>26</v>
      </c>
      <c r="J118" s="6">
        <f t="shared" si="9"/>
        <v>11.96</v>
      </c>
      <c r="K118" t="s">
        <v>388</v>
      </c>
    </row>
    <row r="119" spans="3:11" outlineLevel="2" x14ac:dyDescent="0.3">
      <c r="C119" s="4">
        <v>44968</v>
      </c>
      <c r="D119" s="5" t="s">
        <v>8</v>
      </c>
      <c r="E119" s="5" t="s">
        <v>15</v>
      </c>
      <c r="F119" s="5" t="s">
        <v>13</v>
      </c>
      <c r="G119" s="5" t="s">
        <v>14</v>
      </c>
      <c r="H119" s="5">
        <v>1320</v>
      </c>
      <c r="I119" s="5">
        <v>71</v>
      </c>
      <c r="J119" s="6">
        <f t="shared" si="9"/>
        <v>93.72</v>
      </c>
      <c r="K119" t="s">
        <v>388</v>
      </c>
    </row>
    <row r="120" spans="3:11" outlineLevel="2" x14ac:dyDescent="0.3">
      <c r="C120" s="4">
        <v>44968</v>
      </c>
      <c r="D120" s="5" t="s">
        <v>45</v>
      </c>
      <c r="E120" s="5" t="s">
        <v>15</v>
      </c>
      <c r="F120" s="5" t="s">
        <v>24</v>
      </c>
      <c r="G120" s="5" t="s">
        <v>34</v>
      </c>
      <c r="H120" s="5">
        <v>1670</v>
      </c>
      <c r="I120" s="5">
        <v>70</v>
      </c>
      <c r="J120" s="6">
        <f t="shared" si="9"/>
        <v>116.9</v>
      </c>
      <c r="K120" t="s">
        <v>388</v>
      </c>
    </row>
    <row r="121" spans="3:11" outlineLevel="2" x14ac:dyDescent="0.3">
      <c r="C121" s="4">
        <v>44968</v>
      </c>
      <c r="D121" s="5" t="s">
        <v>12</v>
      </c>
      <c r="E121" s="5" t="s">
        <v>33</v>
      </c>
      <c r="F121" s="5" t="s">
        <v>18</v>
      </c>
      <c r="G121" s="5" t="s">
        <v>19</v>
      </c>
      <c r="H121" s="5">
        <v>325</v>
      </c>
      <c r="I121" s="5">
        <v>25</v>
      </c>
      <c r="J121" s="6">
        <f t="shared" si="9"/>
        <v>8.125</v>
      </c>
      <c r="K121" t="s">
        <v>388</v>
      </c>
    </row>
    <row r="122" spans="3:11" outlineLevel="2" x14ac:dyDescent="0.3">
      <c r="C122" s="4">
        <v>44968</v>
      </c>
      <c r="D122" s="5" t="s">
        <v>45</v>
      </c>
      <c r="E122" s="5" t="s">
        <v>33</v>
      </c>
      <c r="F122" s="5" t="s">
        <v>18</v>
      </c>
      <c r="G122" s="5" t="s">
        <v>37</v>
      </c>
      <c r="H122" s="5">
        <v>890</v>
      </c>
      <c r="I122" s="5">
        <v>31</v>
      </c>
      <c r="J122" s="6">
        <f t="shared" si="9"/>
        <v>27.59</v>
      </c>
      <c r="K122" t="s">
        <v>388</v>
      </c>
    </row>
    <row r="123" spans="3:11" outlineLevel="2" x14ac:dyDescent="0.3">
      <c r="C123" s="4">
        <v>44968</v>
      </c>
      <c r="D123" s="5" t="s">
        <v>8</v>
      </c>
      <c r="E123" s="5" t="s">
        <v>33</v>
      </c>
      <c r="F123" s="5" t="s">
        <v>18</v>
      </c>
      <c r="G123" s="5" t="s">
        <v>37</v>
      </c>
      <c r="H123" s="5">
        <v>890</v>
      </c>
      <c r="I123" s="5">
        <v>7</v>
      </c>
      <c r="J123" s="6">
        <f t="shared" si="9"/>
        <v>6.23</v>
      </c>
      <c r="K123" t="s">
        <v>388</v>
      </c>
    </row>
    <row r="124" spans="3:11" outlineLevel="1" x14ac:dyDescent="0.3">
      <c r="C124" s="12" t="s">
        <v>56</v>
      </c>
      <c r="D124" s="5"/>
      <c r="E124" s="5"/>
      <c r="F124" s="5"/>
      <c r="G124" s="5"/>
      <c r="H124" s="5"/>
      <c r="I124" s="5"/>
      <c r="J124" s="6">
        <f>SUBTOTAL(9,J114:J123)</f>
        <v>655.58500000000004</v>
      </c>
      <c r="K124" t="s">
        <v>388</v>
      </c>
    </row>
    <row r="125" spans="3:11" outlineLevel="2" x14ac:dyDescent="0.3">
      <c r="C125" s="4">
        <v>44969</v>
      </c>
      <c r="D125" s="5" t="s">
        <v>12</v>
      </c>
      <c r="E125" s="5" t="s">
        <v>20</v>
      </c>
      <c r="F125" s="5" t="s">
        <v>13</v>
      </c>
      <c r="G125" s="5" t="s">
        <v>22</v>
      </c>
      <c r="H125" s="5">
        <v>930</v>
      </c>
      <c r="I125" s="5">
        <v>22</v>
      </c>
      <c r="J125" s="6">
        <f t="shared" ref="J125:J134" si="10">H125*I125/1000</f>
        <v>20.46</v>
      </c>
      <c r="K125" t="s">
        <v>388</v>
      </c>
    </row>
    <row r="126" spans="3:11" outlineLevel="2" x14ac:dyDescent="0.3">
      <c r="C126" s="7">
        <v>44969</v>
      </c>
      <c r="D126" s="8" t="s">
        <v>12</v>
      </c>
      <c r="E126" s="8" t="s">
        <v>20</v>
      </c>
      <c r="F126" s="8" t="s">
        <v>13</v>
      </c>
      <c r="G126" s="8" t="s">
        <v>14</v>
      </c>
      <c r="H126" s="8">
        <v>1320</v>
      </c>
      <c r="I126" s="8">
        <v>93</v>
      </c>
      <c r="J126" s="6">
        <f t="shared" si="10"/>
        <v>122.76</v>
      </c>
      <c r="K126" t="s">
        <v>388</v>
      </c>
    </row>
    <row r="127" spans="3:11" outlineLevel="2" x14ac:dyDescent="0.3">
      <c r="C127" s="4">
        <v>44969</v>
      </c>
      <c r="D127" s="5" t="s">
        <v>8</v>
      </c>
      <c r="E127" s="5" t="s">
        <v>20</v>
      </c>
      <c r="F127" s="5" t="s">
        <v>24</v>
      </c>
      <c r="G127" s="5" t="s">
        <v>34</v>
      </c>
      <c r="H127" s="5">
        <v>1670</v>
      </c>
      <c r="I127" s="5">
        <v>97</v>
      </c>
      <c r="J127" s="6">
        <f t="shared" si="10"/>
        <v>161.99</v>
      </c>
      <c r="K127" t="s">
        <v>388</v>
      </c>
    </row>
    <row r="128" spans="3:11" outlineLevel="2" x14ac:dyDescent="0.3">
      <c r="C128" s="7">
        <v>44969</v>
      </c>
      <c r="D128" s="8" t="s">
        <v>12</v>
      </c>
      <c r="E128" s="8" t="s">
        <v>20</v>
      </c>
      <c r="F128" s="8" t="s">
        <v>24</v>
      </c>
      <c r="G128" s="8" t="s">
        <v>34</v>
      </c>
      <c r="H128" s="8">
        <v>1670</v>
      </c>
      <c r="I128" s="8">
        <v>27</v>
      </c>
      <c r="J128" s="6">
        <f t="shared" si="10"/>
        <v>45.09</v>
      </c>
      <c r="K128" t="s">
        <v>388</v>
      </c>
    </row>
    <row r="129" spans="3:11" outlineLevel="2" x14ac:dyDescent="0.3">
      <c r="C129" s="4">
        <v>44969</v>
      </c>
      <c r="D129" s="5" t="s">
        <v>45</v>
      </c>
      <c r="E129" s="5" t="s">
        <v>9</v>
      </c>
      <c r="F129" s="5" t="s">
        <v>24</v>
      </c>
      <c r="G129" s="5" t="s">
        <v>30</v>
      </c>
      <c r="H129" s="5">
        <v>2970</v>
      </c>
      <c r="I129" s="5">
        <v>55</v>
      </c>
      <c r="J129" s="6">
        <f t="shared" si="10"/>
        <v>163.35</v>
      </c>
      <c r="K129" t="s">
        <v>388</v>
      </c>
    </row>
    <row r="130" spans="3:11" outlineLevel="2" x14ac:dyDescent="0.3">
      <c r="C130" s="4">
        <v>44969</v>
      </c>
      <c r="D130" s="5" t="s">
        <v>45</v>
      </c>
      <c r="E130" s="5" t="s">
        <v>33</v>
      </c>
      <c r="F130" s="5" t="s">
        <v>18</v>
      </c>
      <c r="G130" s="5" t="s">
        <v>21</v>
      </c>
      <c r="H130" s="5">
        <v>450</v>
      </c>
      <c r="I130" s="5">
        <v>74</v>
      </c>
      <c r="J130" s="6">
        <f t="shared" si="10"/>
        <v>33.299999999999997</v>
      </c>
      <c r="K130" t="s">
        <v>388</v>
      </c>
    </row>
    <row r="131" spans="3:11" outlineLevel="2" x14ac:dyDescent="0.3">
      <c r="C131" s="4">
        <v>44969</v>
      </c>
      <c r="D131" s="5" t="s">
        <v>12</v>
      </c>
      <c r="E131" s="5" t="s">
        <v>33</v>
      </c>
      <c r="F131" s="5" t="s">
        <v>13</v>
      </c>
      <c r="G131" s="5" t="s">
        <v>14</v>
      </c>
      <c r="H131" s="5">
        <v>1320</v>
      </c>
      <c r="I131" s="5">
        <v>7</v>
      </c>
      <c r="J131" s="6">
        <f t="shared" si="10"/>
        <v>9.24</v>
      </c>
      <c r="K131" t="s">
        <v>388</v>
      </c>
    </row>
    <row r="132" spans="3:11" outlineLevel="2" x14ac:dyDescent="0.3">
      <c r="C132" s="4">
        <v>44969</v>
      </c>
      <c r="D132" s="5" t="s">
        <v>8</v>
      </c>
      <c r="E132" s="5" t="s">
        <v>33</v>
      </c>
      <c r="F132" s="5" t="s">
        <v>24</v>
      </c>
      <c r="G132" s="5" t="s">
        <v>42</v>
      </c>
      <c r="H132" s="5">
        <v>3205</v>
      </c>
      <c r="I132" s="5">
        <v>56</v>
      </c>
      <c r="J132" s="6">
        <f t="shared" si="10"/>
        <v>179.48</v>
      </c>
      <c r="K132" t="s">
        <v>388</v>
      </c>
    </row>
    <row r="133" spans="3:11" outlineLevel="2" x14ac:dyDescent="0.3">
      <c r="C133" s="4">
        <v>44969</v>
      </c>
      <c r="D133" s="5" t="s">
        <v>8</v>
      </c>
      <c r="E133" s="5" t="s">
        <v>35</v>
      </c>
      <c r="F133" s="5" t="s">
        <v>13</v>
      </c>
      <c r="G133" s="5" t="s">
        <v>44</v>
      </c>
      <c r="H133" s="5">
        <v>2540</v>
      </c>
      <c r="I133" s="5">
        <v>56</v>
      </c>
      <c r="J133" s="6">
        <f t="shared" si="10"/>
        <v>142.24</v>
      </c>
      <c r="K133" t="s">
        <v>388</v>
      </c>
    </row>
    <row r="134" spans="3:11" outlineLevel="2" x14ac:dyDescent="0.3">
      <c r="C134" s="4">
        <v>44969</v>
      </c>
      <c r="D134" s="5" t="s">
        <v>45</v>
      </c>
      <c r="E134" s="5" t="s">
        <v>9</v>
      </c>
      <c r="F134" s="5" t="s">
        <v>18</v>
      </c>
      <c r="G134" s="5" t="s">
        <v>28</v>
      </c>
      <c r="H134" s="5">
        <v>690</v>
      </c>
      <c r="I134" s="5">
        <v>29</v>
      </c>
      <c r="J134" s="6">
        <f t="shared" si="10"/>
        <v>20.010000000000002</v>
      </c>
      <c r="K134" t="s">
        <v>388</v>
      </c>
    </row>
    <row r="135" spans="3:11" outlineLevel="1" x14ac:dyDescent="0.3">
      <c r="C135" s="12" t="s">
        <v>57</v>
      </c>
      <c r="D135" s="5"/>
      <c r="E135" s="5"/>
      <c r="F135" s="5"/>
      <c r="G135" s="5"/>
      <c r="H135" s="5"/>
      <c r="I135" s="5"/>
      <c r="J135" s="6">
        <f>SUBTOTAL(9,J125:J134)</f>
        <v>897.92000000000007</v>
      </c>
      <c r="K135" t="s">
        <v>388</v>
      </c>
    </row>
    <row r="136" spans="3:11" outlineLevel="2" x14ac:dyDescent="0.3">
      <c r="C136" s="4">
        <v>44970</v>
      </c>
      <c r="D136" s="5" t="s">
        <v>17</v>
      </c>
      <c r="E136" s="5" t="s">
        <v>15</v>
      </c>
      <c r="F136" s="5" t="s">
        <v>10</v>
      </c>
      <c r="G136" s="5" t="s">
        <v>11</v>
      </c>
      <c r="H136" s="5">
        <v>705</v>
      </c>
      <c r="I136" s="5">
        <v>21</v>
      </c>
      <c r="J136" s="6">
        <f>H136*I136/1000</f>
        <v>14.805</v>
      </c>
      <c r="K136" t="s">
        <v>388</v>
      </c>
    </row>
    <row r="137" spans="3:11" outlineLevel="2" x14ac:dyDescent="0.3">
      <c r="C137" s="4">
        <v>44970</v>
      </c>
      <c r="D137" s="5" t="s">
        <v>17</v>
      </c>
      <c r="E137" s="5" t="s">
        <v>15</v>
      </c>
      <c r="F137" s="5" t="s">
        <v>13</v>
      </c>
      <c r="G137" s="5" t="s">
        <v>29</v>
      </c>
      <c r="H137" s="5">
        <v>1230</v>
      </c>
      <c r="I137" s="5">
        <v>22</v>
      </c>
      <c r="J137" s="6">
        <f>H137*I137/1000</f>
        <v>27.06</v>
      </c>
      <c r="K137" t="s">
        <v>388</v>
      </c>
    </row>
    <row r="138" spans="3:11" outlineLevel="2" x14ac:dyDescent="0.3">
      <c r="C138" s="4">
        <v>44970</v>
      </c>
      <c r="D138" s="5" t="s">
        <v>17</v>
      </c>
      <c r="E138" s="5" t="s">
        <v>15</v>
      </c>
      <c r="F138" s="5" t="s">
        <v>13</v>
      </c>
      <c r="G138" s="5" t="s">
        <v>44</v>
      </c>
      <c r="H138" s="5">
        <v>2540</v>
      </c>
      <c r="I138" s="5">
        <v>60</v>
      </c>
      <c r="J138" s="6">
        <f>H138*I138/1000</f>
        <v>152.4</v>
      </c>
      <c r="K138" t="s">
        <v>388</v>
      </c>
    </row>
    <row r="139" spans="3:11" outlineLevel="2" x14ac:dyDescent="0.3">
      <c r="C139" s="4">
        <v>44970</v>
      </c>
      <c r="D139" s="5" t="s">
        <v>12</v>
      </c>
      <c r="E139" s="5" t="s">
        <v>33</v>
      </c>
      <c r="F139" s="5" t="s">
        <v>24</v>
      </c>
      <c r="G139" s="5" t="s">
        <v>42</v>
      </c>
      <c r="H139" s="5">
        <v>3205</v>
      </c>
      <c r="I139" s="5">
        <v>54</v>
      </c>
      <c r="J139" s="6">
        <f>H139*I139/1000</f>
        <v>173.07</v>
      </c>
      <c r="K139" t="s">
        <v>388</v>
      </c>
    </row>
    <row r="140" spans="3:11" outlineLevel="2" x14ac:dyDescent="0.3">
      <c r="C140" s="4">
        <v>44970</v>
      </c>
      <c r="D140" s="5" t="s">
        <v>12</v>
      </c>
      <c r="E140" s="5" t="s">
        <v>9</v>
      </c>
      <c r="F140" s="5" t="s">
        <v>13</v>
      </c>
      <c r="G140" s="5" t="s">
        <v>43</v>
      </c>
      <c r="H140" s="5">
        <v>1420</v>
      </c>
      <c r="I140" s="5">
        <v>12</v>
      </c>
      <c r="J140" s="6">
        <f>H140*I140/1000</f>
        <v>17.04</v>
      </c>
      <c r="K140" t="s">
        <v>388</v>
      </c>
    </row>
    <row r="141" spans="3:11" outlineLevel="1" x14ac:dyDescent="0.3">
      <c r="C141" s="12" t="s">
        <v>58</v>
      </c>
      <c r="D141" s="5"/>
      <c r="E141" s="5"/>
      <c r="F141" s="5"/>
      <c r="G141" s="5"/>
      <c r="H141" s="5"/>
      <c r="I141" s="5"/>
      <c r="J141" s="6">
        <f>SUBTOTAL(9,J136:J140)</f>
        <v>384.375</v>
      </c>
      <c r="K141" t="s">
        <v>388</v>
      </c>
    </row>
    <row r="142" spans="3:11" outlineLevel="2" x14ac:dyDescent="0.3">
      <c r="C142" s="4">
        <v>44971</v>
      </c>
      <c r="D142" s="5" t="s">
        <v>12</v>
      </c>
      <c r="E142" s="5" t="s">
        <v>20</v>
      </c>
      <c r="F142" s="5" t="s">
        <v>10</v>
      </c>
      <c r="G142" s="5" t="s">
        <v>40</v>
      </c>
      <c r="H142" s="5">
        <v>540</v>
      </c>
      <c r="I142" s="5">
        <v>98</v>
      </c>
      <c r="J142" s="6">
        <f t="shared" ref="J142:J160" si="11">H142*I142/1000</f>
        <v>52.92</v>
      </c>
      <c r="K142" t="s">
        <v>388</v>
      </c>
    </row>
    <row r="143" spans="3:11" outlineLevel="2" x14ac:dyDescent="0.3">
      <c r="C143" s="4">
        <v>44971</v>
      </c>
      <c r="D143" s="5" t="s">
        <v>8</v>
      </c>
      <c r="E143" s="5" t="s">
        <v>9</v>
      </c>
      <c r="F143" s="5" t="s">
        <v>18</v>
      </c>
      <c r="G143" s="5" t="s">
        <v>37</v>
      </c>
      <c r="H143" s="5">
        <v>890</v>
      </c>
      <c r="I143" s="5">
        <v>74</v>
      </c>
      <c r="J143" s="6">
        <f t="shared" si="11"/>
        <v>65.86</v>
      </c>
      <c r="K143" t="s">
        <v>388</v>
      </c>
    </row>
    <row r="144" spans="3:11" outlineLevel="2" x14ac:dyDescent="0.3">
      <c r="C144" s="4">
        <v>44971</v>
      </c>
      <c r="D144" s="5" t="s">
        <v>17</v>
      </c>
      <c r="E144" s="5" t="s">
        <v>9</v>
      </c>
      <c r="F144" s="5" t="s">
        <v>18</v>
      </c>
      <c r="G144" s="5" t="s">
        <v>37</v>
      </c>
      <c r="H144" s="5">
        <v>890</v>
      </c>
      <c r="I144" s="5">
        <v>88</v>
      </c>
      <c r="J144" s="6">
        <f t="shared" si="11"/>
        <v>78.319999999999993</v>
      </c>
      <c r="K144" t="s">
        <v>388</v>
      </c>
    </row>
    <row r="145" spans="3:11" outlineLevel="2" x14ac:dyDescent="0.3">
      <c r="C145" s="4">
        <v>44971</v>
      </c>
      <c r="D145" s="5" t="s">
        <v>45</v>
      </c>
      <c r="E145" s="5" t="s">
        <v>9</v>
      </c>
      <c r="F145" s="5" t="s">
        <v>24</v>
      </c>
      <c r="G145" s="5" t="s">
        <v>42</v>
      </c>
      <c r="H145" s="5">
        <v>3205</v>
      </c>
      <c r="I145" s="5">
        <v>94</v>
      </c>
      <c r="J145" s="6">
        <f t="shared" si="11"/>
        <v>301.27</v>
      </c>
      <c r="K145" t="s">
        <v>388</v>
      </c>
    </row>
    <row r="146" spans="3:11" outlineLevel="2" x14ac:dyDescent="0.3">
      <c r="C146" s="4">
        <v>44971</v>
      </c>
      <c r="D146" s="5" t="s">
        <v>8</v>
      </c>
      <c r="E146" s="5" t="s">
        <v>9</v>
      </c>
      <c r="F146" s="5" t="s">
        <v>24</v>
      </c>
      <c r="G146" s="5" t="s">
        <v>34</v>
      </c>
      <c r="H146" s="5">
        <v>1670</v>
      </c>
      <c r="I146" s="5">
        <v>26</v>
      </c>
      <c r="J146" s="6">
        <f t="shared" si="11"/>
        <v>43.42</v>
      </c>
      <c r="K146" t="s">
        <v>388</v>
      </c>
    </row>
    <row r="147" spans="3:11" outlineLevel="2" x14ac:dyDescent="0.3">
      <c r="C147" s="4">
        <v>44971</v>
      </c>
      <c r="D147" s="5" t="s">
        <v>12</v>
      </c>
      <c r="E147" s="5" t="s">
        <v>26</v>
      </c>
      <c r="F147" s="5" t="s">
        <v>18</v>
      </c>
      <c r="G147" s="5" t="s">
        <v>31</v>
      </c>
      <c r="H147" s="5">
        <v>715</v>
      </c>
      <c r="I147" s="5">
        <v>22</v>
      </c>
      <c r="J147" s="6">
        <f t="shared" si="11"/>
        <v>15.73</v>
      </c>
      <c r="K147" t="s">
        <v>388</v>
      </c>
    </row>
    <row r="148" spans="3:11" outlineLevel="2" x14ac:dyDescent="0.3">
      <c r="C148" s="4">
        <v>44971</v>
      </c>
      <c r="D148" s="5" t="s">
        <v>8</v>
      </c>
      <c r="E148" s="5" t="s">
        <v>26</v>
      </c>
      <c r="F148" s="5" t="s">
        <v>13</v>
      </c>
      <c r="G148" s="5" t="s">
        <v>14</v>
      </c>
      <c r="H148" s="5">
        <v>1320</v>
      </c>
      <c r="I148" s="5">
        <v>41</v>
      </c>
      <c r="J148" s="6">
        <f t="shared" si="11"/>
        <v>54.12</v>
      </c>
      <c r="K148" t="s">
        <v>388</v>
      </c>
    </row>
    <row r="149" spans="3:11" outlineLevel="2" x14ac:dyDescent="0.3">
      <c r="C149" s="4">
        <v>44971</v>
      </c>
      <c r="D149" s="5" t="s">
        <v>8</v>
      </c>
      <c r="E149" s="5" t="s">
        <v>26</v>
      </c>
      <c r="F149" s="5" t="s">
        <v>13</v>
      </c>
      <c r="G149" s="5" t="s">
        <v>22</v>
      </c>
      <c r="H149" s="5">
        <v>930</v>
      </c>
      <c r="I149" s="5">
        <v>50</v>
      </c>
      <c r="J149" s="6">
        <f t="shared" si="11"/>
        <v>46.5</v>
      </c>
      <c r="K149" t="s">
        <v>388</v>
      </c>
    </row>
    <row r="150" spans="3:11" outlineLevel="2" x14ac:dyDescent="0.3">
      <c r="C150" s="4">
        <v>44971</v>
      </c>
      <c r="D150" s="5" t="s">
        <v>45</v>
      </c>
      <c r="E150" s="5" t="s">
        <v>26</v>
      </c>
      <c r="F150" s="5" t="s">
        <v>24</v>
      </c>
      <c r="G150" s="5" t="s">
        <v>32</v>
      </c>
      <c r="H150" s="5">
        <v>1505</v>
      </c>
      <c r="I150" s="5">
        <v>85</v>
      </c>
      <c r="J150" s="6">
        <f t="shared" si="11"/>
        <v>127.925</v>
      </c>
      <c r="K150" t="s">
        <v>388</v>
      </c>
    </row>
    <row r="151" spans="3:11" outlineLevel="2" x14ac:dyDescent="0.3">
      <c r="C151" s="4">
        <v>44971</v>
      </c>
      <c r="D151" s="5" t="s">
        <v>45</v>
      </c>
      <c r="E151" s="5" t="s">
        <v>15</v>
      </c>
      <c r="F151" s="5" t="s">
        <v>18</v>
      </c>
      <c r="G151" s="5" t="s">
        <v>31</v>
      </c>
      <c r="H151" s="5">
        <v>715</v>
      </c>
      <c r="I151" s="5">
        <v>14</v>
      </c>
      <c r="J151" s="6">
        <f t="shared" si="11"/>
        <v>10.01</v>
      </c>
      <c r="K151" t="s">
        <v>388</v>
      </c>
    </row>
    <row r="152" spans="3:11" outlineLevel="2" x14ac:dyDescent="0.3">
      <c r="C152" s="4">
        <v>44971</v>
      </c>
      <c r="D152" s="5" t="s">
        <v>17</v>
      </c>
      <c r="E152" s="5" t="s">
        <v>15</v>
      </c>
      <c r="F152" s="5" t="s">
        <v>13</v>
      </c>
      <c r="G152" s="5" t="s">
        <v>38</v>
      </c>
      <c r="H152" s="5">
        <v>2400</v>
      </c>
      <c r="I152" s="5">
        <v>33</v>
      </c>
      <c r="J152" s="6">
        <f t="shared" si="11"/>
        <v>79.2</v>
      </c>
      <c r="K152" t="s">
        <v>388</v>
      </c>
    </row>
    <row r="153" spans="3:11" outlineLevel="2" x14ac:dyDescent="0.3">
      <c r="C153" s="4">
        <v>44971</v>
      </c>
      <c r="D153" s="5" t="s">
        <v>45</v>
      </c>
      <c r="E153" s="5" t="s">
        <v>15</v>
      </c>
      <c r="F153" s="5" t="s">
        <v>13</v>
      </c>
      <c r="G153" s="5" t="s">
        <v>44</v>
      </c>
      <c r="H153" s="5">
        <v>2540</v>
      </c>
      <c r="I153" s="5">
        <v>12</v>
      </c>
      <c r="J153" s="6">
        <f t="shared" si="11"/>
        <v>30.48</v>
      </c>
      <c r="K153" t="s">
        <v>388</v>
      </c>
    </row>
    <row r="154" spans="3:11" outlineLevel="2" x14ac:dyDescent="0.3">
      <c r="C154" s="4">
        <v>44971</v>
      </c>
      <c r="D154" s="5" t="s">
        <v>12</v>
      </c>
      <c r="E154" s="5" t="s">
        <v>15</v>
      </c>
      <c r="F154" s="5" t="s">
        <v>13</v>
      </c>
      <c r="G154" s="5" t="s">
        <v>22</v>
      </c>
      <c r="H154" s="5">
        <v>930</v>
      </c>
      <c r="I154" s="5">
        <v>88</v>
      </c>
      <c r="J154" s="6">
        <f t="shared" si="11"/>
        <v>81.84</v>
      </c>
      <c r="K154" t="s">
        <v>388</v>
      </c>
    </row>
    <row r="155" spans="3:11" outlineLevel="2" x14ac:dyDescent="0.3">
      <c r="C155" s="4">
        <v>44971</v>
      </c>
      <c r="D155" s="5" t="s">
        <v>17</v>
      </c>
      <c r="E155" s="5" t="s">
        <v>33</v>
      </c>
      <c r="F155" s="5" t="s">
        <v>10</v>
      </c>
      <c r="G155" s="5" t="s">
        <v>16</v>
      </c>
      <c r="H155" s="5">
        <v>1380</v>
      </c>
      <c r="I155" s="5">
        <v>43</v>
      </c>
      <c r="J155" s="6">
        <f t="shared" si="11"/>
        <v>59.34</v>
      </c>
      <c r="K155" t="s">
        <v>388</v>
      </c>
    </row>
    <row r="156" spans="3:11" outlineLevel="2" x14ac:dyDescent="0.3">
      <c r="C156" s="4">
        <v>44971</v>
      </c>
      <c r="D156" s="5" t="s">
        <v>45</v>
      </c>
      <c r="E156" s="5" t="s">
        <v>33</v>
      </c>
      <c r="F156" s="5" t="s">
        <v>24</v>
      </c>
      <c r="G156" s="5" t="s">
        <v>42</v>
      </c>
      <c r="H156" s="5">
        <v>3205</v>
      </c>
      <c r="I156" s="5">
        <v>54</v>
      </c>
      <c r="J156" s="6">
        <f t="shared" si="11"/>
        <v>173.07</v>
      </c>
      <c r="K156" t="s">
        <v>388</v>
      </c>
    </row>
    <row r="157" spans="3:11" outlineLevel="2" x14ac:dyDescent="0.3">
      <c r="C157" s="4">
        <v>44971</v>
      </c>
      <c r="D157" s="5" t="s">
        <v>12</v>
      </c>
      <c r="E157" s="5" t="s">
        <v>35</v>
      </c>
      <c r="F157" s="5" t="s">
        <v>10</v>
      </c>
      <c r="G157" s="5" t="s">
        <v>40</v>
      </c>
      <c r="H157" s="5">
        <v>540</v>
      </c>
      <c r="I157" s="5">
        <v>10</v>
      </c>
      <c r="J157" s="6">
        <f t="shared" si="11"/>
        <v>5.4</v>
      </c>
      <c r="K157" t="s">
        <v>388</v>
      </c>
    </row>
    <row r="158" spans="3:11" outlineLevel="2" x14ac:dyDescent="0.3">
      <c r="C158" s="4">
        <v>44971</v>
      </c>
      <c r="D158" s="5" t="s">
        <v>8</v>
      </c>
      <c r="E158" s="5" t="s">
        <v>35</v>
      </c>
      <c r="F158" s="5" t="s">
        <v>18</v>
      </c>
      <c r="G158" s="5" t="s">
        <v>19</v>
      </c>
      <c r="H158" s="5">
        <v>325</v>
      </c>
      <c r="I158" s="5">
        <v>55</v>
      </c>
      <c r="J158" s="6">
        <f t="shared" si="11"/>
        <v>17.875</v>
      </c>
      <c r="K158" t="s">
        <v>388</v>
      </c>
    </row>
    <row r="159" spans="3:11" outlineLevel="2" x14ac:dyDescent="0.3">
      <c r="C159" s="4">
        <v>44971</v>
      </c>
      <c r="D159" s="5" t="s">
        <v>8</v>
      </c>
      <c r="E159" s="5" t="s">
        <v>35</v>
      </c>
      <c r="F159" s="5" t="s">
        <v>13</v>
      </c>
      <c r="G159" s="5" t="s">
        <v>44</v>
      </c>
      <c r="H159" s="5">
        <v>2540</v>
      </c>
      <c r="I159" s="5">
        <v>41</v>
      </c>
      <c r="J159" s="6">
        <f t="shared" si="11"/>
        <v>104.14</v>
      </c>
      <c r="K159" t="s">
        <v>388</v>
      </c>
    </row>
    <row r="160" spans="3:11" outlineLevel="2" x14ac:dyDescent="0.3">
      <c r="C160" s="4">
        <v>44971</v>
      </c>
      <c r="D160" s="5" t="s">
        <v>45</v>
      </c>
      <c r="E160" s="5" t="s">
        <v>9</v>
      </c>
      <c r="F160" s="5" t="s">
        <v>13</v>
      </c>
      <c r="G160" s="5" t="s">
        <v>14</v>
      </c>
      <c r="H160" s="5">
        <v>1320</v>
      </c>
      <c r="I160" s="5">
        <v>31</v>
      </c>
      <c r="J160" s="6">
        <f t="shared" si="11"/>
        <v>40.92</v>
      </c>
      <c r="K160" t="s">
        <v>388</v>
      </c>
    </row>
    <row r="161" spans="3:11" outlineLevel="1" x14ac:dyDescent="0.3">
      <c r="C161" s="12" t="s">
        <v>59</v>
      </c>
      <c r="D161" s="5"/>
      <c r="E161" s="5"/>
      <c r="F161" s="5"/>
      <c r="G161" s="5"/>
      <c r="H161" s="5"/>
      <c r="I161" s="5"/>
      <c r="J161" s="6">
        <f>SUBTOTAL(9,J142:J160)</f>
        <v>1388.3400000000001</v>
      </c>
      <c r="K161" t="s">
        <v>388</v>
      </c>
    </row>
    <row r="162" spans="3:11" outlineLevel="2" x14ac:dyDescent="0.3">
      <c r="C162" s="7">
        <v>44972</v>
      </c>
      <c r="D162" s="8" t="s">
        <v>45</v>
      </c>
      <c r="E162" s="8" t="s">
        <v>20</v>
      </c>
      <c r="F162" s="8" t="s">
        <v>10</v>
      </c>
      <c r="G162" s="8" t="s">
        <v>39</v>
      </c>
      <c r="H162" s="8">
        <v>650</v>
      </c>
      <c r="I162" s="8">
        <v>88</v>
      </c>
      <c r="J162" s="6">
        <f t="shared" ref="J162:J181" si="12">H162*I162/1000</f>
        <v>57.2</v>
      </c>
      <c r="K162" t="s">
        <v>388</v>
      </c>
    </row>
    <row r="163" spans="3:11" outlineLevel="2" x14ac:dyDescent="0.3">
      <c r="C163" s="4">
        <v>44972</v>
      </c>
      <c r="D163" s="5" t="s">
        <v>12</v>
      </c>
      <c r="E163" s="5" t="s">
        <v>20</v>
      </c>
      <c r="F163" s="5" t="s">
        <v>13</v>
      </c>
      <c r="G163" s="5" t="s">
        <v>38</v>
      </c>
      <c r="H163" s="5">
        <v>2400</v>
      </c>
      <c r="I163" s="5">
        <v>51</v>
      </c>
      <c r="J163" s="6">
        <f t="shared" si="12"/>
        <v>122.4</v>
      </c>
      <c r="K163" t="s">
        <v>388</v>
      </c>
    </row>
    <row r="164" spans="3:11" outlineLevel="2" x14ac:dyDescent="0.3">
      <c r="C164" s="7">
        <v>44972</v>
      </c>
      <c r="D164" s="8" t="s">
        <v>17</v>
      </c>
      <c r="E164" s="8" t="s">
        <v>20</v>
      </c>
      <c r="F164" s="8" t="s">
        <v>24</v>
      </c>
      <c r="G164" s="8" t="s">
        <v>36</v>
      </c>
      <c r="H164" s="8">
        <v>2460</v>
      </c>
      <c r="I164" s="8">
        <v>90</v>
      </c>
      <c r="J164" s="6">
        <f t="shared" si="12"/>
        <v>221.4</v>
      </c>
      <c r="K164" t="s">
        <v>388</v>
      </c>
    </row>
    <row r="165" spans="3:11" outlineLevel="2" x14ac:dyDescent="0.3">
      <c r="C165" s="4">
        <v>44972</v>
      </c>
      <c r="D165" s="5" t="s">
        <v>8</v>
      </c>
      <c r="E165" s="5" t="s">
        <v>20</v>
      </c>
      <c r="F165" s="5" t="s">
        <v>24</v>
      </c>
      <c r="G165" s="5" t="s">
        <v>36</v>
      </c>
      <c r="H165" s="5">
        <v>2460</v>
      </c>
      <c r="I165" s="5">
        <v>6</v>
      </c>
      <c r="J165" s="6">
        <f t="shared" si="12"/>
        <v>14.76</v>
      </c>
      <c r="K165" t="s">
        <v>388</v>
      </c>
    </row>
    <row r="166" spans="3:11" outlineLevel="2" x14ac:dyDescent="0.3">
      <c r="C166" s="4">
        <v>44972</v>
      </c>
      <c r="D166" s="5" t="s">
        <v>17</v>
      </c>
      <c r="E166" s="5" t="s">
        <v>9</v>
      </c>
      <c r="F166" s="5" t="s">
        <v>10</v>
      </c>
      <c r="G166" s="5" t="s">
        <v>40</v>
      </c>
      <c r="H166" s="5">
        <v>540</v>
      </c>
      <c r="I166" s="5">
        <v>26</v>
      </c>
      <c r="J166" s="6">
        <f t="shared" si="12"/>
        <v>14.04</v>
      </c>
      <c r="K166" t="s">
        <v>388</v>
      </c>
    </row>
    <row r="167" spans="3:11" outlineLevel="2" x14ac:dyDescent="0.3">
      <c r="C167" s="4">
        <v>44972</v>
      </c>
      <c r="D167" s="5" t="s">
        <v>17</v>
      </c>
      <c r="E167" s="5" t="s">
        <v>9</v>
      </c>
      <c r="F167" s="5" t="s">
        <v>18</v>
      </c>
      <c r="G167" s="5" t="s">
        <v>28</v>
      </c>
      <c r="H167" s="5">
        <v>690</v>
      </c>
      <c r="I167" s="5">
        <v>87</v>
      </c>
      <c r="J167" s="6">
        <f t="shared" si="12"/>
        <v>60.03</v>
      </c>
      <c r="K167" t="s">
        <v>388</v>
      </c>
    </row>
    <row r="168" spans="3:11" outlineLevel="2" x14ac:dyDescent="0.3">
      <c r="C168" s="4">
        <v>44972</v>
      </c>
      <c r="D168" s="5" t="s">
        <v>12</v>
      </c>
      <c r="E168" s="5" t="s">
        <v>26</v>
      </c>
      <c r="F168" s="5" t="s">
        <v>10</v>
      </c>
      <c r="G168" s="5" t="s">
        <v>23</v>
      </c>
      <c r="H168" s="5">
        <v>640</v>
      </c>
      <c r="I168" s="5">
        <v>26</v>
      </c>
      <c r="J168" s="6">
        <f t="shared" si="12"/>
        <v>16.64</v>
      </c>
      <c r="K168" t="s">
        <v>388</v>
      </c>
    </row>
    <row r="169" spans="3:11" outlineLevel="2" x14ac:dyDescent="0.3">
      <c r="C169" s="4">
        <v>44972</v>
      </c>
      <c r="D169" s="5" t="s">
        <v>17</v>
      </c>
      <c r="E169" s="5" t="s">
        <v>26</v>
      </c>
      <c r="F169" s="5" t="s">
        <v>10</v>
      </c>
      <c r="G169" s="5" t="s">
        <v>39</v>
      </c>
      <c r="H169" s="5">
        <v>650</v>
      </c>
      <c r="I169" s="5">
        <v>54</v>
      </c>
      <c r="J169" s="6">
        <f t="shared" si="12"/>
        <v>35.1</v>
      </c>
      <c r="K169" t="s">
        <v>388</v>
      </c>
    </row>
    <row r="170" spans="3:11" outlineLevel="2" x14ac:dyDescent="0.3">
      <c r="C170" s="4">
        <v>44972</v>
      </c>
      <c r="D170" s="5" t="s">
        <v>8</v>
      </c>
      <c r="E170" s="5" t="s">
        <v>26</v>
      </c>
      <c r="F170" s="5" t="s">
        <v>24</v>
      </c>
      <c r="G170" s="5" t="s">
        <v>36</v>
      </c>
      <c r="H170" s="5">
        <v>2460</v>
      </c>
      <c r="I170" s="5">
        <v>56</v>
      </c>
      <c r="J170" s="6">
        <f t="shared" si="12"/>
        <v>137.76</v>
      </c>
      <c r="K170" t="s">
        <v>388</v>
      </c>
    </row>
    <row r="171" spans="3:11" outlineLevel="2" x14ac:dyDescent="0.3">
      <c r="C171" s="4">
        <v>44972</v>
      </c>
      <c r="D171" s="5" t="s">
        <v>8</v>
      </c>
      <c r="E171" s="5" t="s">
        <v>15</v>
      </c>
      <c r="F171" s="5" t="s">
        <v>18</v>
      </c>
      <c r="G171" s="5" t="s">
        <v>28</v>
      </c>
      <c r="H171" s="5">
        <v>690</v>
      </c>
      <c r="I171" s="5">
        <v>24</v>
      </c>
      <c r="J171" s="6">
        <f t="shared" si="12"/>
        <v>16.559999999999999</v>
      </c>
      <c r="K171" t="s">
        <v>388</v>
      </c>
    </row>
    <row r="172" spans="3:11" outlineLevel="2" x14ac:dyDescent="0.3">
      <c r="C172" s="4">
        <v>44972</v>
      </c>
      <c r="D172" s="5" t="s">
        <v>8</v>
      </c>
      <c r="E172" s="5" t="s">
        <v>33</v>
      </c>
      <c r="F172" s="5" t="s">
        <v>10</v>
      </c>
      <c r="G172" s="5" t="s">
        <v>39</v>
      </c>
      <c r="H172" s="5">
        <v>650</v>
      </c>
      <c r="I172" s="5">
        <v>71</v>
      </c>
      <c r="J172" s="6">
        <f t="shared" si="12"/>
        <v>46.15</v>
      </c>
      <c r="K172" t="s">
        <v>388</v>
      </c>
    </row>
    <row r="173" spans="3:11" outlineLevel="2" x14ac:dyDescent="0.3">
      <c r="C173" s="4">
        <v>44972</v>
      </c>
      <c r="D173" s="5" t="s">
        <v>45</v>
      </c>
      <c r="E173" s="5" t="s">
        <v>33</v>
      </c>
      <c r="F173" s="5" t="s">
        <v>18</v>
      </c>
      <c r="G173" s="5" t="s">
        <v>21</v>
      </c>
      <c r="H173" s="5">
        <v>450</v>
      </c>
      <c r="I173" s="5">
        <v>22</v>
      </c>
      <c r="J173" s="6">
        <f t="shared" si="12"/>
        <v>9.9</v>
      </c>
      <c r="K173" t="s">
        <v>388</v>
      </c>
    </row>
    <row r="174" spans="3:11" outlineLevel="2" x14ac:dyDescent="0.3">
      <c r="C174" s="4">
        <v>44972</v>
      </c>
      <c r="D174" s="5" t="s">
        <v>17</v>
      </c>
      <c r="E174" s="5" t="s">
        <v>33</v>
      </c>
      <c r="F174" s="5" t="s">
        <v>18</v>
      </c>
      <c r="G174" s="5" t="s">
        <v>19</v>
      </c>
      <c r="H174" s="5">
        <v>325</v>
      </c>
      <c r="I174" s="5">
        <v>98</v>
      </c>
      <c r="J174" s="6">
        <f t="shared" si="12"/>
        <v>31.85</v>
      </c>
      <c r="K174" t="s">
        <v>388</v>
      </c>
    </row>
    <row r="175" spans="3:11" outlineLevel="2" x14ac:dyDescent="0.3">
      <c r="C175" s="4">
        <v>44972</v>
      </c>
      <c r="D175" s="5" t="s">
        <v>17</v>
      </c>
      <c r="E175" s="5" t="s">
        <v>33</v>
      </c>
      <c r="F175" s="5" t="s">
        <v>24</v>
      </c>
      <c r="G175" s="5" t="s">
        <v>42</v>
      </c>
      <c r="H175" s="5">
        <v>3205</v>
      </c>
      <c r="I175" s="5">
        <v>86</v>
      </c>
      <c r="J175" s="6">
        <f t="shared" si="12"/>
        <v>275.63</v>
      </c>
      <c r="K175" t="s">
        <v>388</v>
      </c>
    </row>
    <row r="176" spans="3:11" outlineLevel="2" x14ac:dyDescent="0.3">
      <c r="C176" s="4">
        <v>44972</v>
      </c>
      <c r="D176" s="5" t="s">
        <v>17</v>
      </c>
      <c r="E176" s="5" t="s">
        <v>33</v>
      </c>
      <c r="F176" s="5" t="s">
        <v>24</v>
      </c>
      <c r="G176" s="5" t="s">
        <v>42</v>
      </c>
      <c r="H176" s="5">
        <v>3205</v>
      </c>
      <c r="I176" s="5">
        <v>47</v>
      </c>
      <c r="J176" s="6">
        <f t="shared" si="12"/>
        <v>150.63499999999999</v>
      </c>
      <c r="K176" t="s">
        <v>388</v>
      </c>
    </row>
    <row r="177" spans="3:11" outlineLevel="2" x14ac:dyDescent="0.3">
      <c r="C177" s="4">
        <v>44972</v>
      </c>
      <c r="D177" s="5" t="s">
        <v>8</v>
      </c>
      <c r="E177" s="5" t="s">
        <v>33</v>
      </c>
      <c r="F177" s="5" t="s">
        <v>24</v>
      </c>
      <c r="G177" s="5" t="s">
        <v>30</v>
      </c>
      <c r="H177" s="5">
        <v>2970</v>
      </c>
      <c r="I177" s="5">
        <v>28</v>
      </c>
      <c r="J177" s="6">
        <f t="shared" si="12"/>
        <v>83.16</v>
      </c>
      <c r="K177" t="s">
        <v>388</v>
      </c>
    </row>
    <row r="178" spans="3:11" outlineLevel="2" x14ac:dyDescent="0.3">
      <c r="C178" s="4">
        <v>44972</v>
      </c>
      <c r="D178" s="5" t="s">
        <v>8</v>
      </c>
      <c r="E178" s="5" t="s">
        <v>35</v>
      </c>
      <c r="F178" s="5" t="s">
        <v>10</v>
      </c>
      <c r="G178" s="5" t="s">
        <v>40</v>
      </c>
      <c r="H178" s="5">
        <v>540</v>
      </c>
      <c r="I178" s="5">
        <v>34</v>
      </c>
      <c r="J178" s="6">
        <f t="shared" si="12"/>
        <v>18.36</v>
      </c>
      <c r="K178" t="s">
        <v>388</v>
      </c>
    </row>
    <row r="179" spans="3:11" outlineLevel="2" x14ac:dyDescent="0.3">
      <c r="C179" s="4">
        <v>44972</v>
      </c>
      <c r="D179" s="5" t="s">
        <v>17</v>
      </c>
      <c r="E179" s="5" t="s">
        <v>35</v>
      </c>
      <c r="F179" s="5" t="s">
        <v>24</v>
      </c>
      <c r="G179" s="5" t="s">
        <v>36</v>
      </c>
      <c r="H179" s="5">
        <v>2460</v>
      </c>
      <c r="I179" s="5">
        <v>28</v>
      </c>
      <c r="J179" s="6">
        <f t="shared" si="12"/>
        <v>68.88</v>
      </c>
      <c r="K179" t="s">
        <v>388</v>
      </c>
    </row>
    <row r="180" spans="3:11" outlineLevel="2" x14ac:dyDescent="0.3">
      <c r="C180" s="4">
        <v>44972</v>
      </c>
      <c r="D180" s="5" t="s">
        <v>17</v>
      </c>
      <c r="E180" s="5" t="s">
        <v>35</v>
      </c>
      <c r="F180" s="5" t="s">
        <v>24</v>
      </c>
      <c r="G180" s="5" t="s">
        <v>42</v>
      </c>
      <c r="H180" s="5">
        <v>3205</v>
      </c>
      <c r="I180" s="5">
        <v>90</v>
      </c>
      <c r="J180" s="6">
        <f t="shared" si="12"/>
        <v>288.45</v>
      </c>
      <c r="K180" t="s">
        <v>388</v>
      </c>
    </row>
    <row r="181" spans="3:11" outlineLevel="2" x14ac:dyDescent="0.3">
      <c r="C181" s="4">
        <v>44972</v>
      </c>
      <c r="D181" s="5" t="s">
        <v>17</v>
      </c>
      <c r="E181" s="5" t="s">
        <v>26</v>
      </c>
      <c r="F181" s="5" t="s">
        <v>10</v>
      </c>
      <c r="G181" s="5" t="s">
        <v>11</v>
      </c>
      <c r="H181" s="5">
        <v>705</v>
      </c>
      <c r="I181" s="5">
        <v>12</v>
      </c>
      <c r="J181" s="6">
        <f t="shared" si="12"/>
        <v>8.4600000000000009</v>
      </c>
      <c r="K181" t="s">
        <v>388</v>
      </c>
    </row>
    <row r="182" spans="3:11" outlineLevel="1" x14ac:dyDescent="0.3">
      <c r="C182" s="12" t="s">
        <v>60</v>
      </c>
      <c r="D182" s="5"/>
      <c r="E182" s="5"/>
      <c r="F182" s="5"/>
      <c r="G182" s="5"/>
      <c r="H182" s="5"/>
      <c r="I182" s="5"/>
      <c r="J182" s="6">
        <f>SUBTOTAL(9,J162:J181)</f>
        <v>1677.365</v>
      </c>
      <c r="K182" t="s">
        <v>388</v>
      </c>
    </row>
    <row r="183" spans="3:11" outlineLevel="2" x14ac:dyDescent="0.3">
      <c r="C183" s="7">
        <v>44973</v>
      </c>
      <c r="D183" s="8" t="s">
        <v>45</v>
      </c>
      <c r="E183" s="8" t="s">
        <v>20</v>
      </c>
      <c r="F183" s="8" t="s">
        <v>10</v>
      </c>
      <c r="G183" s="8" t="s">
        <v>23</v>
      </c>
      <c r="H183" s="8">
        <v>640</v>
      </c>
      <c r="I183" s="8">
        <v>23</v>
      </c>
      <c r="J183" s="6">
        <f t="shared" ref="J183:J210" si="13">H183*I183/1000</f>
        <v>14.72</v>
      </c>
      <c r="K183" t="s">
        <v>388</v>
      </c>
    </row>
    <row r="184" spans="3:11" outlineLevel="2" x14ac:dyDescent="0.3">
      <c r="C184" s="4">
        <v>44973</v>
      </c>
      <c r="D184" s="5" t="s">
        <v>17</v>
      </c>
      <c r="E184" s="5" t="s">
        <v>20</v>
      </c>
      <c r="F184" s="5" t="s">
        <v>18</v>
      </c>
      <c r="G184" s="5" t="s">
        <v>21</v>
      </c>
      <c r="H184" s="5">
        <v>450</v>
      </c>
      <c r="I184" s="5">
        <v>78</v>
      </c>
      <c r="J184" s="6">
        <f t="shared" si="13"/>
        <v>35.1</v>
      </c>
      <c r="K184" t="s">
        <v>388</v>
      </c>
    </row>
    <row r="185" spans="3:11" outlineLevel="2" x14ac:dyDescent="0.3">
      <c r="C185" s="4">
        <v>44973</v>
      </c>
      <c r="D185" s="5" t="s">
        <v>17</v>
      </c>
      <c r="E185" s="5" t="s">
        <v>9</v>
      </c>
      <c r="F185" s="5" t="s">
        <v>10</v>
      </c>
      <c r="G185" s="5" t="s">
        <v>39</v>
      </c>
      <c r="H185" s="5">
        <v>650</v>
      </c>
      <c r="I185" s="5">
        <v>58</v>
      </c>
      <c r="J185" s="6">
        <f t="shared" si="13"/>
        <v>37.700000000000003</v>
      </c>
      <c r="K185" t="s">
        <v>388</v>
      </c>
    </row>
    <row r="186" spans="3:11" outlineLevel="2" x14ac:dyDescent="0.3">
      <c r="C186" s="4">
        <v>44973</v>
      </c>
      <c r="D186" s="5" t="s">
        <v>8</v>
      </c>
      <c r="E186" s="5" t="s">
        <v>9</v>
      </c>
      <c r="F186" s="5" t="s">
        <v>10</v>
      </c>
      <c r="G186" s="5" t="s">
        <v>39</v>
      </c>
      <c r="H186" s="5">
        <v>650</v>
      </c>
      <c r="I186" s="5">
        <v>92</v>
      </c>
      <c r="J186" s="6">
        <f t="shared" si="13"/>
        <v>59.8</v>
      </c>
      <c r="K186" t="s">
        <v>388</v>
      </c>
    </row>
    <row r="187" spans="3:11" outlineLevel="2" x14ac:dyDescent="0.3">
      <c r="C187" s="4">
        <v>44973</v>
      </c>
      <c r="D187" s="5" t="s">
        <v>45</v>
      </c>
      <c r="E187" s="5" t="s">
        <v>9</v>
      </c>
      <c r="F187" s="5" t="s">
        <v>18</v>
      </c>
      <c r="G187" s="5" t="s">
        <v>21</v>
      </c>
      <c r="H187" s="5">
        <v>450</v>
      </c>
      <c r="I187" s="5">
        <v>91</v>
      </c>
      <c r="J187" s="6">
        <f t="shared" si="13"/>
        <v>40.950000000000003</v>
      </c>
      <c r="K187" t="s">
        <v>388</v>
      </c>
    </row>
    <row r="188" spans="3:11" outlineLevel="2" x14ac:dyDescent="0.3">
      <c r="C188" s="4">
        <v>44973</v>
      </c>
      <c r="D188" s="5" t="s">
        <v>8</v>
      </c>
      <c r="E188" s="5" t="s">
        <v>9</v>
      </c>
      <c r="F188" s="5" t="s">
        <v>24</v>
      </c>
      <c r="G188" s="5" t="s">
        <v>25</v>
      </c>
      <c r="H188" s="5">
        <v>1760</v>
      </c>
      <c r="I188" s="5">
        <v>92</v>
      </c>
      <c r="J188" s="6">
        <f t="shared" si="13"/>
        <v>161.91999999999999</v>
      </c>
      <c r="K188" t="s">
        <v>388</v>
      </c>
    </row>
    <row r="189" spans="3:11" outlineLevel="2" x14ac:dyDescent="0.3">
      <c r="C189" s="4">
        <v>44973</v>
      </c>
      <c r="D189" s="5" t="s">
        <v>17</v>
      </c>
      <c r="E189" s="5" t="s">
        <v>9</v>
      </c>
      <c r="F189" s="5" t="s">
        <v>24</v>
      </c>
      <c r="G189" s="5" t="s">
        <v>32</v>
      </c>
      <c r="H189" s="5">
        <v>1505</v>
      </c>
      <c r="I189" s="5">
        <v>14</v>
      </c>
      <c r="J189" s="6">
        <f t="shared" si="13"/>
        <v>21.07</v>
      </c>
      <c r="K189" t="s">
        <v>388</v>
      </c>
    </row>
    <row r="190" spans="3:11" outlineLevel="2" x14ac:dyDescent="0.3">
      <c r="C190" s="4">
        <v>44973</v>
      </c>
      <c r="D190" s="5" t="s">
        <v>17</v>
      </c>
      <c r="E190" s="5" t="s">
        <v>9</v>
      </c>
      <c r="F190" s="5" t="s">
        <v>24</v>
      </c>
      <c r="G190" s="5" t="s">
        <v>34</v>
      </c>
      <c r="H190" s="5">
        <v>1670</v>
      </c>
      <c r="I190" s="5">
        <v>5</v>
      </c>
      <c r="J190" s="6">
        <f t="shared" si="13"/>
        <v>8.35</v>
      </c>
      <c r="K190" t="s">
        <v>388</v>
      </c>
    </row>
    <row r="191" spans="3:11" outlineLevel="2" x14ac:dyDescent="0.3">
      <c r="C191" s="4">
        <v>44973</v>
      </c>
      <c r="D191" s="5" t="s">
        <v>17</v>
      </c>
      <c r="E191" s="5" t="s">
        <v>26</v>
      </c>
      <c r="F191" s="5" t="s">
        <v>10</v>
      </c>
      <c r="G191" s="5" t="s">
        <v>11</v>
      </c>
      <c r="H191" s="5">
        <v>705</v>
      </c>
      <c r="I191" s="5">
        <v>81</v>
      </c>
      <c r="J191" s="6">
        <f t="shared" si="13"/>
        <v>57.104999999999997</v>
      </c>
      <c r="K191" t="s">
        <v>388</v>
      </c>
    </row>
    <row r="192" spans="3:11" outlineLevel="2" x14ac:dyDescent="0.3">
      <c r="C192" s="4">
        <v>44973</v>
      </c>
      <c r="D192" s="5" t="s">
        <v>12</v>
      </c>
      <c r="E192" s="5" t="s">
        <v>26</v>
      </c>
      <c r="F192" s="5" t="s">
        <v>10</v>
      </c>
      <c r="G192" s="5" t="s">
        <v>16</v>
      </c>
      <c r="H192" s="5">
        <v>1380</v>
      </c>
      <c r="I192" s="5">
        <v>34</v>
      </c>
      <c r="J192" s="6">
        <f t="shared" si="13"/>
        <v>46.92</v>
      </c>
      <c r="K192" t="s">
        <v>388</v>
      </c>
    </row>
    <row r="193" spans="3:11" outlineLevel="2" x14ac:dyDescent="0.3">
      <c r="C193" s="4">
        <v>44973</v>
      </c>
      <c r="D193" s="5" t="s">
        <v>17</v>
      </c>
      <c r="E193" s="5" t="s">
        <v>26</v>
      </c>
      <c r="F193" s="5" t="s">
        <v>18</v>
      </c>
      <c r="G193" s="5" t="s">
        <v>21</v>
      </c>
      <c r="H193" s="5">
        <v>450</v>
      </c>
      <c r="I193" s="5">
        <v>9</v>
      </c>
      <c r="J193" s="6">
        <f t="shared" si="13"/>
        <v>4.05</v>
      </c>
      <c r="K193" t="s">
        <v>388</v>
      </c>
    </row>
    <row r="194" spans="3:11" outlineLevel="2" x14ac:dyDescent="0.3">
      <c r="C194" s="4">
        <v>44973</v>
      </c>
      <c r="D194" s="5" t="s">
        <v>45</v>
      </c>
      <c r="E194" s="5" t="s">
        <v>26</v>
      </c>
      <c r="F194" s="5" t="s">
        <v>13</v>
      </c>
      <c r="G194" s="5" t="s">
        <v>14</v>
      </c>
      <c r="H194" s="5">
        <v>1320</v>
      </c>
      <c r="I194" s="5">
        <v>5</v>
      </c>
      <c r="J194" s="6">
        <f t="shared" si="13"/>
        <v>6.6</v>
      </c>
      <c r="K194" t="s">
        <v>388</v>
      </c>
    </row>
    <row r="195" spans="3:11" outlineLevel="2" x14ac:dyDescent="0.3">
      <c r="C195" s="4">
        <v>44973</v>
      </c>
      <c r="D195" s="5" t="s">
        <v>45</v>
      </c>
      <c r="E195" s="5" t="s">
        <v>26</v>
      </c>
      <c r="F195" s="5" t="s">
        <v>24</v>
      </c>
      <c r="G195" s="5" t="s">
        <v>34</v>
      </c>
      <c r="H195" s="5">
        <v>1670</v>
      </c>
      <c r="I195" s="5">
        <v>63</v>
      </c>
      <c r="J195" s="6">
        <f t="shared" si="13"/>
        <v>105.21</v>
      </c>
      <c r="K195" t="s">
        <v>388</v>
      </c>
    </row>
    <row r="196" spans="3:11" outlineLevel="2" x14ac:dyDescent="0.3">
      <c r="C196" s="4">
        <v>44973</v>
      </c>
      <c r="D196" s="5" t="s">
        <v>45</v>
      </c>
      <c r="E196" s="5" t="s">
        <v>26</v>
      </c>
      <c r="F196" s="5" t="s">
        <v>24</v>
      </c>
      <c r="G196" s="5" t="s">
        <v>25</v>
      </c>
      <c r="H196" s="5">
        <v>1760</v>
      </c>
      <c r="I196" s="5">
        <v>12</v>
      </c>
      <c r="J196" s="6">
        <f t="shared" si="13"/>
        <v>21.12</v>
      </c>
      <c r="K196" t="s">
        <v>388</v>
      </c>
    </row>
    <row r="197" spans="3:11" outlineLevel="2" x14ac:dyDescent="0.3">
      <c r="C197" s="4">
        <v>44973</v>
      </c>
      <c r="D197" s="5" t="s">
        <v>12</v>
      </c>
      <c r="E197" s="5" t="s">
        <v>15</v>
      </c>
      <c r="F197" s="5" t="s">
        <v>18</v>
      </c>
      <c r="G197" s="5" t="s">
        <v>31</v>
      </c>
      <c r="H197" s="5">
        <v>715</v>
      </c>
      <c r="I197" s="5">
        <v>64</v>
      </c>
      <c r="J197" s="6">
        <f t="shared" si="13"/>
        <v>45.76</v>
      </c>
      <c r="K197" t="s">
        <v>388</v>
      </c>
    </row>
    <row r="198" spans="3:11" outlineLevel="2" x14ac:dyDescent="0.3">
      <c r="C198" s="4">
        <v>44973</v>
      </c>
      <c r="D198" s="5" t="s">
        <v>8</v>
      </c>
      <c r="E198" s="5" t="s">
        <v>15</v>
      </c>
      <c r="F198" s="5" t="s">
        <v>18</v>
      </c>
      <c r="G198" s="5" t="s">
        <v>37</v>
      </c>
      <c r="H198" s="5">
        <v>890</v>
      </c>
      <c r="I198" s="5">
        <v>84</v>
      </c>
      <c r="J198" s="6">
        <f t="shared" si="13"/>
        <v>74.760000000000005</v>
      </c>
      <c r="K198" t="s">
        <v>388</v>
      </c>
    </row>
    <row r="199" spans="3:11" outlineLevel="2" x14ac:dyDescent="0.3">
      <c r="C199" s="4">
        <v>44973</v>
      </c>
      <c r="D199" s="5" t="s">
        <v>45</v>
      </c>
      <c r="E199" s="5" t="s">
        <v>15</v>
      </c>
      <c r="F199" s="5" t="s">
        <v>13</v>
      </c>
      <c r="G199" s="5" t="s">
        <v>29</v>
      </c>
      <c r="H199" s="5">
        <v>1230</v>
      </c>
      <c r="I199" s="5">
        <v>34</v>
      </c>
      <c r="J199" s="6">
        <f t="shared" si="13"/>
        <v>41.82</v>
      </c>
      <c r="K199" t="s">
        <v>388</v>
      </c>
    </row>
    <row r="200" spans="3:11" outlineLevel="2" x14ac:dyDescent="0.3">
      <c r="C200" s="4">
        <v>44973</v>
      </c>
      <c r="D200" s="5" t="s">
        <v>8</v>
      </c>
      <c r="E200" s="5" t="s">
        <v>15</v>
      </c>
      <c r="F200" s="5" t="s">
        <v>24</v>
      </c>
      <c r="G200" s="5" t="s">
        <v>30</v>
      </c>
      <c r="H200" s="5">
        <v>2970</v>
      </c>
      <c r="I200" s="5">
        <v>74</v>
      </c>
      <c r="J200" s="6">
        <f t="shared" si="13"/>
        <v>219.78</v>
      </c>
      <c r="K200" t="s">
        <v>388</v>
      </c>
    </row>
    <row r="201" spans="3:11" outlineLevel="2" x14ac:dyDescent="0.3">
      <c r="C201" s="4">
        <v>44973</v>
      </c>
      <c r="D201" s="5" t="s">
        <v>17</v>
      </c>
      <c r="E201" s="5" t="s">
        <v>33</v>
      </c>
      <c r="F201" s="5" t="s">
        <v>10</v>
      </c>
      <c r="G201" s="5" t="s">
        <v>39</v>
      </c>
      <c r="H201" s="5">
        <v>650</v>
      </c>
      <c r="I201" s="5">
        <v>42</v>
      </c>
      <c r="J201" s="6">
        <f t="shared" si="13"/>
        <v>27.3</v>
      </c>
      <c r="K201" t="s">
        <v>388</v>
      </c>
    </row>
    <row r="202" spans="3:11" outlineLevel="2" x14ac:dyDescent="0.3">
      <c r="C202" s="4">
        <v>44973</v>
      </c>
      <c r="D202" s="5" t="s">
        <v>17</v>
      </c>
      <c r="E202" s="5" t="s">
        <v>33</v>
      </c>
      <c r="F202" s="5" t="s">
        <v>18</v>
      </c>
      <c r="G202" s="5" t="s">
        <v>19</v>
      </c>
      <c r="H202" s="5">
        <v>325</v>
      </c>
      <c r="I202" s="5">
        <v>81</v>
      </c>
      <c r="J202" s="6">
        <f t="shared" si="13"/>
        <v>26.324999999999999</v>
      </c>
      <c r="K202" t="s">
        <v>388</v>
      </c>
    </row>
    <row r="203" spans="3:11" outlineLevel="2" x14ac:dyDescent="0.3">
      <c r="C203" s="4">
        <v>44973</v>
      </c>
      <c r="D203" s="5" t="s">
        <v>17</v>
      </c>
      <c r="E203" s="5" t="s">
        <v>33</v>
      </c>
      <c r="F203" s="5" t="s">
        <v>13</v>
      </c>
      <c r="G203" s="5" t="s">
        <v>38</v>
      </c>
      <c r="H203" s="5">
        <v>2400</v>
      </c>
      <c r="I203" s="5">
        <v>8</v>
      </c>
      <c r="J203" s="6">
        <f t="shared" si="13"/>
        <v>19.2</v>
      </c>
      <c r="K203" t="s">
        <v>388</v>
      </c>
    </row>
    <row r="204" spans="3:11" outlineLevel="2" x14ac:dyDescent="0.3">
      <c r="C204" s="4">
        <v>44973</v>
      </c>
      <c r="D204" s="5" t="s">
        <v>8</v>
      </c>
      <c r="E204" s="5" t="s">
        <v>33</v>
      </c>
      <c r="F204" s="5" t="s">
        <v>24</v>
      </c>
      <c r="G204" s="5" t="s">
        <v>30</v>
      </c>
      <c r="H204" s="5">
        <v>2970</v>
      </c>
      <c r="I204" s="5">
        <v>28</v>
      </c>
      <c r="J204" s="6">
        <f t="shared" si="13"/>
        <v>83.16</v>
      </c>
      <c r="K204" t="s">
        <v>388</v>
      </c>
    </row>
    <row r="205" spans="3:11" outlineLevel="2" x14ac:dyDescent="0.3">
      <c r="C205" s="4">
        <v>44973</v>
      </c>
      <c r="D205" s="5" t="s">
        <v>12</v>
      </c>
      <c r="E205" s="5" t="s">
        <v>33</v>
      </c>
      <c r="F205" s="5" t="s">
        <v>24</v>
      </c>
      <c r="G205" s="5" t="s">
        <v>42</v>
      </c>
      <c r="H205" s="5">
        <v>3205</v>
      </c>
      <c r="I205" s="5">
        <v>53</v>
      </c>
      <c r="J205" s="6">
        <f t="shared" si="13"/>
        <v>169.86500000000001</v>
      </c>
      <c r="K205" t="s">
        <v>388</v>
      </c>
    </row>
    <row r="206" spans="3:11" outlineLevel="2" x14ac:dyDescent="0.3">
      <c r="C206" s="4">
        <v>44973</v>
      </c>
      <c r="D206" s="5" t="s">
        <v>45</v>
      </c>
      <c r="E206" s="5" t="s">
        <v>35</v>
      </c>
      <c r="F206" s="5" t="s">
        <v>13</v>
      </c>
      <c r="G206" s="5" t="s">
        <v>38</v>
      </c>
      <c r="H206" s="5">
        <v>2400</v>
      </c>
      <c r="I206" s="5">
        <v>16</v>
      </c>
      <c r="J206" s="6">
        <f t="shared" si="13"/>
        <v>38.4</v>
      </c>
      <c r="K206" t="s">
        <v>388</v>
      </c>
    </row>
    <row r="207" spans="3:11" outlineLevel="2" x14ac:dyDescent="0.3">
      <c r="C207" s="4">
        <v>44973</v>
      </c>
      <c r="D207" s="5" t="s">
        <v>8</v>
      </c>
      <c r="E207" s="5" t="s">
        <v>35</v>
      </c>
      <c r="F207" s="5" t="s">
        <v>13</v>
      </c>
      <c r="G207" s="5" t="s">
        <v>29</v>
      </c>
      <c r="H207" s="5">
        <v>1230</v>
      </c>
      <c r="I207" s="5">
        <v>66</v>
      </c>
      <c r="J207" s="6">
        <f t="shared" si="13"/>
        <v>81.180000000000007</v>
      </c>
      <c r="K207" t="s">
        <v>388</v>
      </c>
    </row>
    <row r="208" spans="3:11" outlineLevel="2" x14ac:dyDescent="0.3">
      <c r="C208" s="4">
        <v>44973</v>
      </c>
      <c r="D208" s="5" t="s">
        <v>12</v>
      </c>
      <c r="E208" s="5" t="s">
        <v>35</v>
      </c>
      <c r="F208" s="5" t="s">
        <v>24</v>
      </c>
      <c r="G208" s="5" t="s">
        <v>34</v>
      </c>
      <c r="H208" s="5">
        <v>1670</v>
      </c>
      <c r="I208" s="5">
        <v>72</v>
      </c>
      <c r="J208" s="6">
        <f t="shared" si="13"/>
        <v>120.24</v>
      </c>
      <c r="K208" t="s">
        <v>388</v>
      </c>
    </row>
    <row r="209" spans="3:11" outlineLevel="2" x14ac:dyDescent="0.3">
      <c r="C209" s="4">
        <v>44973</v>
      </c>
      <c r="D209" s="5" t="s">
        <v>45</v>
      </c>
      <c r="E209" s="5" t="s">
        <v>35</v>
      </c>
      <c r="F209" s="5" t="s">
        <v>24</v>
      </c>
      <c r="G209" s="5" t="s">
        <v>30</v>
      </c>
      <c r="H209" s="5">
        <v>2970</v>
      </c>
      <c r="I209" s="5">
        <v>81</v>
      </c>
      <c r="J209" s="6">
        <f t="shared" si="13"/>
        <v>240.57</v>
      </c>
      <c r="K209" t="s">
        <v>388</v>
      </c>
    </row>
    <row r="210" spans="3:11" outlineLevel="2" x14ac:dyDescent="0.3">
      <c r="C210" s="4">
        <v>44973</v>
      </c>
      <c r="D210" s="5" t="s">
        <v>45</v>
      </c>
      <c r="E210" s="5" t="s">
        <v>26</v>
      </c>
      <c r="F210" s="5" t="s">
        <v>18</v>
      </c>
      <c r="G210" s="5" t="s">
        <v>28</v>
      </c>
      <c r="H210" s="5">
        <v>690</v>
      </c>
      <c r="I210" s="5">
        <v>78</v>
      </c>
      <c r="J210" s="6">
        <f t="shared" si="13"/>
        <v>53.82</v>
      </c>
      <c r="K210" t="s">
        <v>388</v>
      </c>
    </row>
    <row r="211" spans="3:11" outlineLevel="1" x14ac:dyDescent="0.3">
      <c r="C211" s="12" t="s">
        <v>61</v>
      </c>
      <c r="D211" s="5"/>
      <c r="E211" s="5"/>
      <c r="F211" s="5"/>
      <c r="G211" s="5"/>
      <c r="H211" s="5"/>
      <c r="I211" s="5"/>
      <c r="J211" s="6">
        <f>SUBTOTAL(9,J183:J210)</f>
        <v>1862.7950000000003</v>
      </c>
      <c r="K211" t="s">
        <v>388</v>
      </c>
    </row>
    <row r="212" spans="3:11" outlineLevel="2" x14ac:dyDescent="0.3">
      <c r="C212" s="4">
        <v>44974</v>
      </c>
      <c r="D212" s="5" t="s">
        <v>17</v>
      </c>
      <c r="E212" s="5" t="s">
        <v>9</v>
      </c>
      <c r="F212" s="5" t="s">
        <v>10</v>
      </c>
      <c r="G212" s="5" t="s">
        <v>41</v>
      </c>
      <c r="H212" s="5">
        <v>650</v>
      </c>
      <c r="I212" s="5">
        <v>34</v>
      </c>
      <c r="J212" s="6">
        <f t="shared" ref="J212:J226" si="14">H212*I212/1000</f>
        <v>22.1</v>
      </c>
      <c r="K212" t="s">
        <v>388</v>
      </c>
    </row>
    <row r="213" spans="3:11" outlineLevel="2" x14ac:dyDescent="0.3">
      <c r="C213" s="4">
        <v>44974</v>
      </c>
      <c r="D213" s="5" t="s">
        <v>17</v>
      </c>
      <c r="E213" s="5" t="s">
        <v>9</v>
      </c>
      <c r="F213" s="5" t="s">
        <v>10</v>
      </c>
      <c r="G213" s="5" t="s">
        <v>40</v>
      </c>
      <c r="H213" s="5">
        <v>540</v>
      </c>
      <c r="I213" s="5">
        <v>46</v>
      </c>
      <c r="J213" s="6">
        <f t="shared" si="14"/>
        <v>24.84</v>
      </c>
      <c r="K213" t="s">
        <v>388</v>
      </c>
    </row>
    <row r="214" spans="3:11" outlineLevel="2" x14ac:dyDescent="0.3">
      <c r="C214" s="4">
        <v>44974</v>
      </c>
      <c r="D214" s="5" t="s">
        <v>12</v>
      </c>
      <c r="E214" s="5" t="s">
        <v>9</v>
      </c>
      <c r="F214" s="5" t="s">
        <v>24</v>
      </c>
      <c r="G214" s="5" t="s">
        <v>42</v>
      </c>
      <c r="H214" s="5">
        <v>3205</v>
      </c>
      <c r="I214" s="5">
        <v>38</v>
      </c>
      <c r="J214" s="6">
        <f t="shared" si="14"/>
        <v>121.79</v>
      </c>
      <c r="K214" t="s">
        <v>388</v>
      </c>
    </row>
    <row r="215" spans="3:11" outlineLevel="2" x14ac:dyDescent="0.3">
      <c r="C215" s="4">
        <v>44974</v>
      </c>
      <c r="D215" s="5" t="s">
        <v>45</v>
      </c>
      <c r="E215" s="5" t="s">
        <v>26</v>
      </c>
      <c r="F215" s="5" t="s">
        <v>10</v>
      </c>
      <c r="G215" s="5" t="s">
        <v>40</v>
      </c>
      <c r="H215" s="5">
        <v>540</v>
      </c>
      <c r="I215" s="5">
        <v>32</v>
      </c>
      <c r="J215" s="6">
        <f t="shared" si="14"/>
        <v>17.28</v>
      </c>
      <c r="K215" t="s">
        <v>388</v>
      </c>
    </row>
    <row r="216" spans="3:11" outlineLevel="2" x14ac:dyDescent="0.3">
      <c r="C216" s="4">
        <v>44974</v>
      </c>
      <c r="D216" s="5" t="s">
        <v>12</v>
      </c>
      <c r="E216" s="5" t="s">
        <v>26</v>
      </c>
      <c r="F216" s="5" t="s">
        <v>24</v>
      </c>
      <c r="G216" s="5" t="s">
        <v>25</v>
      </c>
      <c r="H216" s="5">
        <v>1760</v>
      </c>
      <c r="I216" s="5">
        <v>36</v>
      </c>
      <c r="J216" s="6">
        <f t="shared" si="14"/>
        <v>63.36</v>
      </c>
      <c r="K216" t="s">
        <v>388</v>
      </c>
    </row>
    <row r="217" spans="3:11" outlineLevel="2" x14ac:dyDescent="0.3">
      <c r="C217" s="4">
        <v>44974</v>
      </c>
      <c r="D217" s="5" t="s">
        <v>8</v>
      </c>
      <c r="E217" s="5" t="s">
        <v>26</v>
      </c>
      <c r="F217" s="5" t="s">
        <v>24</v>
      </c>
      <c r="G217" s="5" t="s">
        <v>36</v>
      </c>
      <c r="H217" s="5">
        <v>2460</v>
      </c>
      <c r="I217" s="5">
        <v>95</v>
      </c>
      <c r="J217" s="6">
        <f t="shared" si="14"/>
        <v>233.7</v>
      </c>
      <c r="K217" t="s">
        <v>388</v>
      </c>
    </row>
    <row r="218" spans="3:11" outlineLevel="2" x14ac:dyDescent="0.3">
      <c r="C218" s="4">
        <v>44974</v>
      </c>
      <c r="D218" s="5" t="s">
        <v>8</v>
      </c>
      <c r="E218" s="5" t="s">
        <v>15</v>
      </c>
      <c r="F218" s="5" t="s">
        <v>10</v>
      </c>
      <c r="G218" s="5" t="s">
        <v>11</v>
      </c>
      <c r="H218" s="5">
        <v>705</v>
      </c>
      <c r="I218" s="5">
        <v>57</v>
      </c>
      <c r="J218" s="6">
        <f t="shared" si="14"/>
        <v>40.185000000000002</v>
      </c>
      <c r="K218" t="s">
        <v>388</v>
      </c>
    </row>
    <row r="219" spans="3:11" outlineLevel="2" x14ac:dyDescent="0.3">
      <c r="C219" s="4">
        <v>44974</v>
      </c>
      <c r="D219" s="5" t="s">
        <v>45</v>
      </c>
      <c r="E219" s="5" t="s">
        <v>15</v>
      </c>
      <c r="F219" s="5" t="s">
        <v>13</v>
      </c>
      <c r="G219" s="5" t="s">
        <v>22</v>
      </c>
      <c r="H219" s="5">
        <v>930</v>
      </c>
      <c r="I219" s="5">
        <v>36</v>
      </c>
      <c r="J219" s="6">
        <f t="shared" si="14"/>
        <v>33.479999999999997</v>
      </c>
      <c r="K219" t="s">
        <v>388</v>
      </c>
    </row>
    <row r="220" spans="3:11" outlineLevel="2" x14ac:dyDescent="0.3">
      <c r="C220" s="4">
        <v>44974</v>
      </c>
      <c r="D220" s="5" t="s">
        <v>8</v>
      </c>
      <c r="E220" s="5" t="s">
        <v>33</v>
      </c>
      <c r="F220" s="5" t="s">
        <v>13</v>
      </c>
      <c r="G220" s="5" t="s">
        <v>44</v>
      </c>
      <c r="H220" s="5">
        <v>2540</v>
      </c>
      <c r="I220" s="5">
        <v>55</v>
      </c>
      <c r="J220" s="6">
        <f t="shared" si="14"/>
        <v>139.69999999999999</v>
      </c>
      <c r="K220" t="s">
        <v>388</v>
      </c>
    </row>
    <row r="221" spans="3:11" outlineLevel="2" x14ac:dyDescent="0.3">
      <c r="C221" s="4">
        <v>44974</v>
      </c>
      <c r="D221" s="5" t="s">
        <v>17</v>
      </c>
      <c r="E221" s="5" t="s">
        <v>33</v>
      </c>
      <c r="F221" s="5" t="s">
        <v>13</v>
      </c>
      <c r="G221" s="5" t="s">
        <v>44</v>
      </c>
      <c r="H221" s="5">
        <v>2540</v>
      </c>
      <c r="I221" s="5">
        <v>7</v>
      </c>
      <c r="J221" s="6">
        <f t="shared" si="14"/>
        <v>17.78</v>
      </c>
      <c r="K221" t="s">
        <v>388</v>
      </c>
    </row>
    <row r="222" spans="3:11" outlineLevel="2" x14ac:dyDescent="0.3">
      <c r="C222" s="4">
        <v>44974</v>
      </c>
      <c r="D222" s="5" t="s">
        <v>8</v>
      </c>
      <c r="E222" s="5" t="s">
        <v>33</v>
      </c>
      <c r="F222" s="5" t="s">
        <v>24</v>
      </c>
      <c r="G222" s="5" t="s">
        <v>32</v>
      </c>
      <c r="H222" s="5">
        <v>1505</v>
      </c>
      <c r="I222" s="5">
        <v>90</v>
      </c>
      <c r="J222" s="6">
        <f t="shared" si="14"/>
        <v>135.44999999999999</v>
      </c>
      <c r="K222" t="s">
        <v>388</v>
      </c>
    </row>
    <row r="223" spans="3:11" outlineLevel="2" x14ac:dyDescent="0.3">
      <c r="C223" s="4">
        <v>44974</v>
      </c>
      <c r="D223" s="5" t="s">
        <v>8</v>
      </c>
      <c r="E223" s="5" t="s">
        <v>35</v>
      </c>
      <c r="F223" s="5" t="s">
        <v>18</v>
      </c>
      <c r="G223" s="5" t="s">
        <v>28</v>
      </c>
      <c r="H223" s="5">
        <v>690</v>
      </c>
      <c r="I223" s="5">
        <v>96</v>
      </c>
      <c r="J223" s="6">
        <f t="shared" si="14"/>
        <v>66.239999999999995</v>
      </c>
      <c r="K223" t="s">
        <v>388</v>
      </c>
    </row>
    <row r="224" spans="3:11" outlineLevel="2" x14ac:dyDescent="0.3">
      <c r="C224" s="4">
        <v>44974</v>
      </c>
      <c r="D224" s="5" t="s">
        <v>17</v>
      </c>
      <c r="E224" s="5" t="s">
        <v>35</v>
      </c>
      <c r="F224" s="5" t="s">
        <v>18</v>
      </c>
      <c r="G224" s="5" t="s">
        <v>31</v>
      </c>
      <c r="H224" s="5">
        <v>715</v>
      </c>
      <c r="I224" s="5">
        <v>73</v>
      </c>
      <c r="J224" s="6">
        <f t="shared" si="14"/>
        <v>52.195</v>
      </c>
      <c r="K224" t="s">
        <v>388</v>
      </c>
    </row>
    <row r="225" spans="3:11" outlineLevel="2" x14ac:dyDescent="0.3">
      <c r="C225" s="4">
        <v>44974</v>
      </c>
      <c r="D225" s="5" t="s">
        <v>12</v>
      </c>
      <c r="E225" s="5" t="s">
        <v>35</v>
      </c>
      <c r="F225" s="5" t="s">
        <v>13</v>
      </c>
      <c r="G225" s="5" t="s">
        <v>22</v>
      </c>
      <c r="H225" s="5">
        <v>930</v>
      </c>
      <c r="I225" s="5">
        <v>25</v>
      </c>
      <c r="J225" s="6">
        <f t="shared" si="14"/>
        <v>23.25</v>
      </c>
      <c r="K225" t="s">
        <v>388</v>
      </c>
    </row>
    <row r="226" spans="3:11" outlineLevel="2" x14ac:dyDescent="0.3">
      <c r="C226" s="4">
        <v>44974</v>
      </c>
      <c r="D226" s="5" t="s">
        <v>17</v>
      </c>
      <c r="E226" s="5" t="s">
        <v>26</v>
      </c>
      <c r="F226" s="5" t="s">
        <v>24</v>
      </c>
      <c r="G226" s="5" t="s">
        <v>32</v>
      </c>
      <c r="H226" s="5">
        <v>1505</v>
      </c>
      <c r="I226" s="5">
        <v>25</v>
      </c>
      <c r="J226" s="6">
        <f t="shared" si="14"/>
        <v>37.625</v>
      </c>
      <c r="K226" t="s">
        <v>388</v>
      </c>
    </row>
    <row r="227" spans="3:11" outlineLevel="1" x14ac:dyDescent="0.3">
      <c r="C227" s="12" t="s">
        <v>62</v>
      </c>
      <c r="D227" s="5"/>
      <c r="E227" s="5"/>
      <c r="F227" s="5"/>
      <c r="G227" s="5"/>
      <c r="H227" s="5"/>
      <c r="I227" s="5"/>
      <c r="J227" s="6">
        <f>SUBTOTAL(9,J212:J226)</f>
        <v>1028.9749999999999</v>
      </c>
      <c r="K227" t="s">
        <v>388</v>
      </c>
    </row>
    <row r="228" spans="3:11" outlineLevel="2" x14ac:dyDescent="0.3">
      <c r="C228" s="7">
        <v>44975</v>
      </c>
      <c r="D228" s="8" t="s">
        <v>45</v>
      </c>
      <c r="E228" s="8" t="s">
        <v>20</v>
      </c>
      <c r="F228" s="8" t="s">
        <v>10</v>
      </c>
      <c r="G228" s="8" t="s">
        <v>16</v>
      </c>
      <c r="H228" s="8">
        <v>1380</v>
      </c>
      <c r="I228" s="8">
        <v>29</v>
      </c>
      <c r="J228" s="6">
        <f t="shared" ref="J228:J254" si="15">H228*I228/1000</f>
        <v>40.020000000000003</v>
      </c>
      <c r="K228" t="s">
        <v>388</v>
      </c>
    </row>
    <row r="229" spans="3:11" outlineLevel="2" x14ac:dyDescent="0.3">
      <c r="C229" s="4">
        <v>44975</v>
      </c>
      <c r="D229" s="5" t="s">
        <v>8</v>
      </c>
      <c r="E229" s="5" t="s">
        <v>20</v>
      </c>
      <c r="F229" s="5" t="s">
        <v>13</v>
      </c>
      <c r="G229" s="5" t="s">
        <v>43</v>
      </c>
      <c r="H229" s="5">
        <v>1420</v>
      </c>
      <c r="I229" s="5">
        <v>84</v>
      </c>
      <c r="J229" s="6">
        <f t="shared" si="15"/>
        <v>119.28</v>
      </c>
      <c r="K229" t="s">
        <v>388</v>
      </c>
    </row>
    <row r="230" spans="3:11" outlineLevel="2" x14ac:dyDescent="0.3">
      <c r="C230" s="4">
        <v>44975</v>
      </c>
      <c r="D230" s="5" t="s">
        <v>12</v>
      </c>
      <c r="E230" s="5" t="s">
        <v>9</v>
      </c>
      <c r="F230" s="5" t="s">
        <v>10</v>
      </c>
      <c r="G230" s="5" t="s">
        <v>16</v>
      </c>
      <c r="H230" s="5">
        <v>1380</v>
      </c>
      <c r="I230" s="5">
        <v>19</v>
      </c>
      <c r="J230" s="6">
        <f t="shared" si="15"/>
        <v>26.22</v>
      </c>
      <c r="K230" t="s">
        <v>388</v>
      </c>
    </row>
    <row r="231" spans="3:11" outlineLevel="2" x14ac:dyDescent="0.3">
      <c r="C231" s="4">
        <v>44975</v>
      </c>
      <c r="D231" s="5" t="s">
        <v>8</v>
      </c>
      <c r="E231" s="5" t="s">
        <v>9</v>
      </c>
      <c r="F231" s="5" t="s">
        <v>18</v>
      </c>
      <c r="G231" s="5" t="s">
        <v>37</v>
      </c>
      <c r="H231" s="5">
        <v>890</v>
      </c>
      <c r="I231" s="5">
        <v>65</v>
      </c>
      <c r="J231" s="6">
        <f t="shared" si="15"/>
        <v>57.85</v>
      </c>
      <c r="K231" t="s">
        <v>388</v>
      </c>
    </row>
    <row r="232" spans="3:11" outlineLevel="2" x14ac:dyDescent="0.3">
      <c r="C232" s="4">
        <v>44975</v>
      </c>
      <c r="D232" s="5" t="s">
        <v>17</v>
      </c>
      <c r="E232" s="5" t="s">
        <v>9</v>
      </c>
      <c r="F232" s="5" t="s">
        <v>13</v>
      </c>
      <c r="G232" s="5" t="s">
        <v>43</v>
      </c>
      <c r="H232" s="5">
        <v>1420</v>
      </c>
      <c r="I232" s="5">
        <v>55</v>
      </c>
      <c r="J232" s="6">
        <f t="shared" si="15"/>
        <v>78.099999999999994</v>
      </c>
      <c r="K232" t="s">
        <v>388</v>
      </c>
    </row>
    <row r="233" spans="3:11" outlineLevel="2" x14ac:dyDescent="0.3">
      <c r="C233" s="4">
        <v>44975</v>
      </c>
      <c r="D233" s="5" t="s">
        <v>17</v>
      </c>
      <c r="E233" s="5" t="s">
        <v>9</v>
      </c>
      <c r="F233" s="5" t="s">
        <v>24</v>
      </c>
      <c r="G233" s="5" t="s">
        <v>42</v>
      </c>
      <c r="H233" s="5">
        <v>3205</v>
      </c>
      <c r="I233" s="5">
        <v>5</v>
      </c>
      <c r="J233" s="6">
        <f t="shared" si="15"/>
        <v>16.024999999999999</v>
      </c>
      <c r="K233" t="s">
        <v>388</v>
      </c>
    </row>
    <row r="234" spans="3:11" outlineLevel="2" x14ac:dyDescent="0.3">
      <c r="C234" s="4">
        <v>44975</v>
      </c>
      <c r="D234" s="5" t="s">
        <v>45</v>
      </c>
      <c r="E234" s="5" t="s">
        <v>26</v>
      </c>
      <c r="F234" s="5" t="s">
        <v>10</v>
      </c>
      <c r="G234" s="5" t="s">
        <v>39</v>
      </c>
      <c r="H234" s="5">
        <v>650</v>
      </c>
      <c r="I234" s="5">
        <v>29</v>
      </c>
      <c r="J234" s="6">
        <f t="shared" si="15"/>
        <v>18.850000000000001</v>
      </c>
      <c r="K234" t="s">
        <v>388</v>
      </c>
    </row>
    <row r="235" spans="3:11" outlineLevel="2" x14ac:dyDescent="0.3">
      <c r="C235" s="4">
        <v>44975</v>
      </c>
      <c r="D235" s="5" t="s">
        <v>17</v>
      </c>
      <c r="E235" s="5" t="s">
        <v>26</v>
      </c>
      <c r="F235" s="5" t="s">
        <v>10</v>
      </c>
      <c r="G235" s="5" t="s">
        <v>40</v>
      </c>
      <c r="H235" s="5">
        <v>540</v>
      </c>
      <c r="I235" s="5">
        <v>79</v>
      </c>
      <c r="J235" s="6">
        <f t="shared" si="15"/>
        <v>42.66</v>
      </c>
      <c r="K235" t="s">
        <v>388</v>
      </c>
    </row>
    <row r="236" spans="3:11" outlineLevel="2" x14ac:dyDescent="0.3">
      <c r="C236" s="4">
        <v>44975</v>
      </c>
      <c r="D236" s="5" t="s">
        <v>45</v>
      </c>
      <c r="E236" s="5" t="s">
        <v>26</v>
      </c>
      <c r="F236" s="5" t="s">
        <v>10</v>
      </c>
      <c r="G236" s="5" t="s">
        <v>39</v>
      </c>
      <c r="H236" s="5">
        <v>650</v>
      </c>
      <c r="I236" s="5">
        <v>99</v>
      </c>
      <c r="J236" s="6">
        <f t="shared" si="15"/>
        <v>64.349999999999994</v>
      </c>
      <c r="K236" t="s">
        <v>388</v>
      </c>
    </row>
    <row r="237" spans="3:11" outlineLevel="2" x14ac:dyDescent="0.3">
      <c r="C237" s="4">
        <v>44975</v>
      </c>
      <c r="D237" s="5" t="s">
        <v>45</v>
      </c>
      <c r="E237" s="5" t="s">
        <v>26</v>
      </c>
      <c r="F237" s="5" t="s">
        <v>10</v>
      </c>
      <c r="G237" s="5" t="s">
        <v>23</v>
      </c>
      <c r="H237" s="5">
        <v>640</v>
      </c>
      <c r="I237" s="5">
        <v>79</v>
      </c>
      <c r="J237" s="6">
        <f t="shared" si="15"/>
        <v>50.56</v>
      </c>
      <c r="K237" t="s">
        <v>388</v>
      </c>
    </row>
    <row r="238" spans="3:11" outlineLevel="2" x14ac:dyDescent="0.3">
      <c r="C238" s="4">
        <v>44975</v>
      </c>
      <c r="D238" s="5" t="s">
        <v>17</v>
      </c>
      <c r="E238" s="5" t="s">
        <v>26</v>
      </c>
      <c r="F238" s="5" t="s">
        <v>18</v>
      </c>
      <c r="G238" s="5" t="s">
        <v>31</v>
      </c>
      <c r="H238" s="5">
        <v>715</v>
      </c>
      <c r="I238" s="5">
        <v>16</v>
      </c>
      <c r="J238" s="6">
        <f t="shared" si="15"/>
        <v>11.44</v>
      </c>
      <c r="K238" t="s">
        <v>388</v>
      </c>
    </row>
    <row r="239" spans="3:11" outlineLevel="2" x14ac:dyDescent="0.3">
      <c r="C239" s="4">
        <v>44975</v>
      </c>
      <c r="D239" s="5" t="s">
        <v>17</v>
      </c>
      <c r="E239" s="5" t="s">
        <v>26</v>
      </c>
      <c r="F239" s="5" t="s">
        <v>13</v>
      </c>
      <c r="G239" s="5" t="s">
        <v>22</v>
      </c>
      <c r="H239" s="5">
        <v>930</v>
      </c>
      <c r="I239" s="5">
        <v>46</v>
      </c>
      <c r="J239" s="6">
        <f t="shared" si="15"/>
        <v>42.78</v>
      </c>
      <c r="K239" t="s">
        <v>388</v>
      </c>
    </row>
    <row r="240" spans="3:11" outlineLevel="2" x14ac:dyDescent="0.3">
      <c r="C240" s="4">
        <v>44975</v>
      </c>
      <c r="D240" s="5" t="s">
        <v>12</v>
      </c>
      <c r="E240" s="5" t="s">
        <v>26</v>
      </c>
      <c r="F240" s="5" t="s">
        <v>24</v>
      </c>
      <c r="G240" s="5" t="s">
        <v>34</v>
      </c>
      <c r="H240" s="5">
        <v>1670</v>
      </c>
      <c r="I240" s="5">
        <v>13</v>
      </c>
      <c r="J240" s="6">
        <f t="shared" si="15"/>
        <v>21.71</v>
      </c>
      <c r="K240" t="s">
        <v>388</v>
      </c>
    </row>
    <row r="241" spans="3:11" outlineLevel="2" x14ac:dyDescent="0.3">
      <c r="C241" s="4">
        <v>44975</v>
      </c>
      <c r="D241" s="5" t="s">
        <v>45</v>
      </c>
      <c r="E241" s="5" t="s">
        <v>15</v>
      </c>
      <c r="F241" s="5" t="s">
        <v>10</v>
      </c>
      <c r="G241" s="5" t="s">
        <v>39</v>
      </c>
      <c r="H241" s="5">
        <v>650</v>
      </c>
      <c r="I241" s="5">
        <v>90</v>
      </c>
      <c r="J241" s="6">
        <f t="shared" si="15"/>
        <v>58.5</v>
      </c>
      <c r="K241" t="s">
        <v>388</v>
      </c>
    </row>
    <row r="242" spans="3:11" outlineLevel="2" x14ac:dyDescent="0.3">
      <c r="C242" s="4">
        <v>44975</v>
      </c>
      <c r="D242" s="5" t="s">
        <v>12</v>
      </c>
      <c r="E242" s="5" t="s">
        <v>15</v>
      </c>
      <c r="F242" s="5" t="s">
        <v>10</v>
      </c>
      <c r="G242" s="5" t="s">
        <v>40</v>
      </c>
      <c r="H242" s="5">
        <v>540</v>
      </c>
      <c r="I242" s="5">
        <v>55</v>
      </c>
      <c r="J242" s="6">
        <f t="shared" si="15"/>
        <v>29.7</v>
      </c>
      <c r="K242" t="s">
        <v>388</v>
      </c>
    </row>
    <row r="243" spans="3:11" outlineLevel="2" x14ac:dyDescent="0.3">
      <c r="C243" s="4">
        <v>44975</v>
      </c>
      <c r="D243" s="5" t="s">
        <v>45</v>
      </c>
      <c r="E243" s="5" t="s">
        <v>15</v>
      </c>
      <c r="F243" s="5" t="s">
        <v>18</v>
      </c>
      <c r="G243" s="5" t="s">
        <v>28</v>
      </c>
      <c r="H243" s="5">
        <v>690</v>
      </c>
      <c r="I243" s="5">
        <v>51</v>
      </c>
      <c r="J243" s="6">
        <f t="shared" si="15"/>
        <v>35.19</v>
      </c>
      <c r="K243" t="s">
        <v>388</v>
      </c>
    </row>
    <row r="244" spans="3:11" outlineLevel="2" x14ac:dyDescent="0.3">
      <c r="C244" s="4">
        <v>44975</v>
      </c>
      <c r="D244" s="5" t="s">
        <v>17</v>
      </c>
      <c r="E244" s="5" t="s">
        <v>15</v>
      </c>
      <c r="F244" s="5" t="s">
        <v>18</v>
      </c>
      <c r="G244" s="5" t="s">
        <v>19</v>
      </c>
      <c r="H244" s="5">
        <v>325</v>
      </c>
      <c r="I244" s="5">
        <v>59</v>
      </c>
      <c r="J244" s="6">
        <f t="shared" si="15"/>
        <v>19.175000000000001</v>
      </c>
      <c r="K244" t="s">
        <v>388</v>
      </c>
    </row>
    <row r="245" spans="3:11" outlineLevel="2" x14ac:dyDescent="0.3">
      <c r="C245" s="4">
        <v>44975</v>
      </c>
      <c r="D245" s="5" t="s">
        <v>17</v>
      </c>
      <c r="E245" s="5" t="s">
        <v>33</v>
      </c>
      <c r="F245" s="5" t="s">
        <v>18</v>
      </c>
      <c r="G245" s="5" t="s">
        <v>21</v>
      </c>
      <c r="H245" s="5">
        <v>450</v>
      </c>
      <c r="I245" s="5">
        <v>47</v>
      </c>
      <c r="J245" s="6">
        <f t="shared" si="15"/>
        <v>21.15</v>
      </c>
      <c r="K245" t="s">
        <v>388</v>
      </c>
    </row>
    <row r="246" spans="3:11" outlineLevel="2" x14ac:dyDescent="0.3">
      <c r="C246" s="4">
        <v>44975</v>
      </c>
      <c r="D246" s="5" t="s">
        <v>17</v>
      </c>
      <c r="E246" s="5" t="s">
        <v>33</v>
      </c>
      <c r="F246" s="5" t="s">
        <v>24</v>
      </c>
      <c r="G246" s="5" t="s">
        <v>42</v>
      </c>
      <c r="H246" s="5">
        <v>3205</v>
      </c>
      <c r="I246" s="5">
        <v>82</v>
      </c>
      <c r="J246" s="6">
        <f t="shared" si="15"/>
        <v>262.81</v>
      </c>
      <c r="K246" t="s">
        <v>388</v>
      </c>
    </row>
    <row r="247" spans="3:11" outlineLevel="2" x14ac:dyDescent="0.3">
      <c r="C247" s="4">
        <v>44975</v>
      </c>
      <c r="D247" s="5" t="s">
        <v>12</v>
      </c>
      <c r="E247" s="5" t="s">
        <v>35</v>
      </c>
      <c r="F247" s="5" t="s">
        <v>10</v>
      </c>
      <c r="G247" s="5" t="s">
        <v>23</v>
      </c>
      <c r="H247" s="5">
        <v>640</v>
      </c>
      <c r="I247" s="5">
        <v>33</v>
      </c>
      <c r="J247" s="6">
        <f t="shared" si="15"/>
        <v>21.12</v>
      </c>
      <c r="K247" t="s">
        <v>388</v>
      </c>
    </row>
    <row r="248" spans="3:11" outlineLevel="2" x14ac:dyDescent="0.3">
      <c r="C248" s="4">
        <v>44975</v>
      </c>
      <c r="D248" s="5" t="s">
        <v>45</v>
      </c>
      <c r="E248" s="5" t="s">
        <v>35</v>
      </c>
      <c r="F248" s="5" t="s">
        <v>10</v>
      </c>
      <c r="G248" s="5" t="s">
        <v>16</v>
      </c>
      <c r="H248" s="5">
        <v>1380</v>
      </c>
      <c r="I248" s="5">
        <v>34</v>
      </c>
      <c r="J248" s="6">
        <f t="shared" si="15"/>
        <v>46.92</v>
      </c>
      <c r="K248" t="s">
        <v>388</v>
      </c>
    </row>
    <row r="249" spans="3:11" outlineLevel="2" x14ac:dyDescent="0.3">
      <c r="C249" s="4">
        <v>44975</v>
      </c>
      <c r="D249" s="5" t="s">
        <v>8</v>
      </c>
      <c r="E249" s="5" t="s">
        <v>35</v>
      </c>
      <c r="F249" s="5" t="s">
        <v>13</v>
      </c>
      <c r="G249" s="5" t="s">
        <v>22</v>
      </c>
      <c r="H249" s="5">
        <v>930</v>
      </c>
      <c r="I249" s="5">
        <v>46</v>
      </c>
      <c r="J249" s="6">
        <f t="shared" si="15"/>
        <v>42.78</v>
      </c>
      <c r="K249" t="s">
        <v>388</v>
      </c>
    </row>
    <row r="250" spans="3:11" outlineLevel="2" x14ac:dyDescent="0.3">
      <c r="C250" s="4">
        <v>44975</v>
      </c>
      <c r="D250" s="5" t="s">
        <v>17</v>
      </c>
      <c r="E250" s="5" t="s">
        <v>35</v>
      </c>
      <c r="F250" s="5" t="s">
        <v>13</v>
      </c>
      <c r="G250" s="5" t="s">
        <v>43</v>
      </c>
      <c r="H250" s="5">
        <v>1420</v>
      </c>
      <c r="I250" s="5">
        <v>75</v>
      </c>
      <c r="J250" s="6">
        <f t="shared" si="15"/>
        <v>106.5</v>
      </c>
      <c r="K250" t="s">
        <v>388</v>
      </c>
    </row>
    <row r="251" spans="3:11" outlineLevel="2" x14ac:dyDescent="0.3">
      <c r="C251" s="4">
        <v>44975</v>
      </c>
      <c r="D251" s="5" t="s">
        <v>17</v>
      </c>
      <c r="E251" s="5" t="s">
        <v>35</v>
      </c>
      <c r="F251" s="5" t="s">
        <v>13</v>
      </c>
      <c r="G251" s="5" t="s">
        <v>14</v>
      </c>
      <c r="H251" s="5">
        <v>1320</v>
      </c>
      <c r="I251" s="5">
        <v>90</v>
      </c>
      <c r="J251" s="6">
        <f t="shared" si="15"/>
        <v>118.8</v>
      </c>
      <c r="K251" t="s">
        <v>388</v>
      </c>
    </row>
    <row r="252" spans="3:11" outlineLevel="2" x14ac:dyDescent="0.3">
      <c r="C252" s="4">
        <v>44975</v>
      </c>
      <c r="D252" s="5" t="s">
        <v>45</v>
      </c>
      <c r="E252" s="5" t="s">
        <v>35</v>
      </c>
      <c r="F252" s="5" t="s">
        <v>13</v>
      </c>
      <c r="G252" s="5" t="s">
        <v>29</v>
      </c>
      <c r="H252" s="5">
        <v>1230</v>
      </c>
      <c r="I252" s="5">
        <v>33</v>
      </c>
      <c r="J252" s="6">
        <f t="shared" si="15"/>
        <v>40.590000000000003</v>
      </c>
      <c r="K252" t="s">
        <v>388</v>
      </c>
    </row>
    <row r="253" spans="3:11" outlineLevel="2" x14ac:dyDescent="0.3">
      <c r="C253" s="4">
        <v>44975</v>
      </c>
      <c r="D253" s="5" t="s">
        <v>12</v>
      </c>
      <c r="E253" s="5" t="s">
        <v>35</v>
      </c>
      <c r="F253" s="5" t="s">
        <v>24</v>
      </c>
      <c r="G253" s="5" t="s">
        <v>25</v>
      </c>
      <c r="H253" s="5">
        <v>1760</v>
      </c>
      <c r="I253" s="5">
        <v>80</v>
      </c>
      <c r="J253" s="6">
        <f t="shared" si="15"/>
        <v>140.80000000000001</v>
      </c>
      <c r="K253" t="s">
        <v>388</v>
      </c>
    </row>
    <row r="254" spans="3:11" outlineLevel="2" x14ac:dyDescent="0.3">
      <c r="C254" s="4">
        <v>44975</v>
      </c>
      <c r="D254" s="5" t="s">
        <v>12</v>
      </c>
      <c r="E254" s="5" t="s">
        <v>26</v>
      </c>
      <c r="F254" s="5" t="s">
        <v>24</v>
      </c>
      <c r="G254" s="5" t="s">
        <v>32</v>
      </c>
      <c r="H254" s="5">
        <v>1505</v>
      </c>
      <c r="I254" s="5">
        <v>53</v>
      </c>
      <c r="J254" s="6">
        <f t="shared" si="15"/>
        <v>79.765000000000001</v>
      </c>
      <c r="K254" t="s">
        <v>388</v>
      </c>
    </row>
    <row r="255" spans="3:11" outlineLevel="1" x14ac:dyDescent="0.3">
      <c r="C255" s="12" t="s">
        <v>63</v>
      </c>
      <c r="D255" s="5"/>
      <c r="E255" s="5"/>
      <c r="F255" s="5"/>
      <c r="G255" s="5"/>
      <c r="H255" s="5"/>
      <c r="I255" s="5"/>
      <c r="J255" s="6">
        <f>SUBTOTAL(9,J228:J254)</f>
        <v>1613.645</v>
      </c>
      <c r="K255" t="s">
        <v>388</v>
      </c>
    </row>
    <row r="256" spans="3:11" outlineLevel="2" x14ac:dyDescent="0.3">
      <c r="C256" s="7">
        <v>44976</v>
      </c>
      <c r="D256" s="8" t="s">
        <v>17</v>
      </c>
      <c r="E256" s="8" t="s">
        <v>20</v>
      </c>
      <c r="F256" s="8" t="s">
        <v>10</v>
      </c>
      <c r="G256" s="8" t="s">
        <v>41</v>
      </c>
      <c r="H256" s="8">
        <v>650</v>
      </c>
      <c r="I256" s="8">
        <v>32</v>
      </c>
      <c r="J256" s="6">
        <f t="shared" ref="J256:J269" si="16">H256*I256/1000</f>
        <v>20.8</v>
      </c>
      <c r="K256" t="s">
        <v>388</v>
      </c>
    </row>
    <row r="257" spans="3:11" outlineLevel="2" x14ac:dyDescent="0.3">
      <c r="C257" s="4">
        <v>44976</v>
      </c>
      <c r="D257" s="5" t="s">
        <v>8</v>
      </c>
      <c r="E257" s="5" t="s">
        <v>9</v>
      </c>
      <c r="F257" s="5" t="s">
        <v>24</v>
      </c>
      <c r="G257" s="5" t="s">
        <v>32</v>
      </c>
      <c r="H257" s="5">
        <v>1505</v>
      </c>
      <c r="I257" s="5">
        <v>55</v>
      </c>
      <c r="J257" s="6">
        <f t="shared" si="16"/>
        <v>82.775000000000006</v>
      </c>
      <c r="K257" t="s">
        <v>388</v>
      </c>
    </row>
    <row r="258" spans="3:11" outlineLevel="2" x14ac:dyDescent="0.3">
      <c r="C258" s="9">
        <v>44976</v>
      </c>
      <c r="D258" t="s">
        <v>12</v>
      </c>
      <c r="E258" t="s">
        <v>26</v>
      </c>
      <c r="F258" t="s">
        <v>18</v>
      </c>
      <c r="G258" t="s">
        <v>27</v>
      </c>
      <c r="H258">
        <v>460</v>
      </c>
      <c r="I258">
        <v>58</v>
      </c>
      <c r="J258" s="6">
        <f t="shared" si="16"/>
        <v>26.68</v>
      </c>
      <c r="K258" t="s">
        <v>388</v>
      </c>
    </row>
    <row r="259" spans="3:11" outlineLevel="2" x14ac:dyDescent="0.3">
      <c r="C259" s="9">
        <v>44976</v>
      </c>
      <c r="D259" t="s">
        <v>12</v>
      </c>
      <c r="E259" t="s">
        <v>15</v>
      </c>
      <c r="F259" t="s">
        <v>18</v>
      </c>
      <c r="G259" t="s">
        <v>31</v>
      </c>
      <c r="H259">
        <v>715</v>
      </c>
      <c r="I259">
        <v>79</v>
      </c>
      <c r="J259" s="6">
        <f t="shared" si="16"/>
        <v>56.484999999999999</v>
      </c>
      <c r="K259" t="s">
        <v>388</v>
      </c>
    </row>
    <row r="260" spans="3:11" outlineLevel="2" x14ac:dyDescent="0.3">
      <c r="C260" s="9">
        <v>44976</v>
      </c>
      <c r="D260" t="s">
        <v>8</v>
      </c>
      <c r="E260" t="s">
        <v>15</v>
      </c>
      <c r="F260" t="s">
        <v>18</v>
      </c>
      <c r="G260" t="s">
        <v>27</v>
      </c>
      <c r="H260">
        <v>460</v>
      </c>
      <c r="I260">
        <v>12</v>
      </c>
      <c r="J260" s="6">
        <f t="shared" si="16"/>
        <v>5.52</v>
      </c>
      <c r="K260" t="s">
        <v>388</v>
      </c>
    </row>
    <row r="261" spans="3:11" outlineLevel="2" x14ac:dyDescent="0.3">
      <c r="C261" s="9">
        <v>44976</v>
      </c>
      <c r="D261" t="s">
        <v>45</v>
      </c>
      <c r="E261" t="s">
        <v>15</v>
      </c>
      <c r="F261" t="s">
        <v>13</v>
      </c>
      <c r="G261" t="s">
        <v>38</v>
      </c>
      <c r="H261">
        <v>2400</v>
      </c>
      <c r="I261">
        <v>12</v>
      </c>
      <c r="J261" s="6">
        <f t="shared" si="16"/>
        <v>28.8</v>
      </c>
      <c r="K261" t="s">
        <v>388</v>
      </c>
    </row>
    <row r="262" spans="3:11" outlineLevel="2" x14ac:dyDescent="0.3">
      <c r="C262" s="9">
        <v>44976</v>
      </c>
      <c r="D262" t="s">
        <v>45</v>
      </c>
      <c r="E262" t="s">
        <v>15</v>
      </c>
      <c r="F262" t="s">
        <v>24</v>
      </c>
      <c r="G262" t="s">
        <v>30</v>
      </c>
      <c r="H262">
        <v>2970</v>
      </c>
      <c r="I262">
        <v>56</v>
      </c>
      <c r="J262" s="6">
        <f t="shared" si="16"/>
        <v>166.32</v>
      </c>
      <c r="K262" t="s">
        <v>388</v>
      </c>
    </row>
    <row r="263" spans="3:11" outlineLevel="2" x14ac:dyDescent="0.3">
      <c r="C263" s="9">
        <v>44976</v>
      </c>
      <c r="D263" t="s">
        <v>17</v>
      </c>
      <c r="E263" t="s">
        <v>33</v>
      </c>
      <c r="F263" t="s">
        <v>18</v>
      </c>
      <c r="G263" t="s">
        <v>28</v>
      </c>
      <c r="H263">
        <v>690</v>
      </c>
      <c r="I263">
        <v>12</v>
      </c>
      <c r="J263" s="6">
        <f t="shared" si="16"/>
        <v>8.2799999999999994</v>
      </c>
      <c r="K263" t="s">
        <v>388</v>
      </c>
    </row>
    <row r="264" spans="3:11" outlineLevel="2" x14ac:dyDescent="0.3">
      <c r="C264" s="9">
        <v>44976</v>
      </c>
      <c r="D264" t="s">
        <v>8</v>
      </c>
      <c r="E264" t="s">
        <v>33</v>
      </c>
      <c r="F264" t="s">
        <v>18</v>
      </c>
      <c r="G264" t="s">
        <v>21</v>
      </c>
      <c r="H264">
        <v>450</v>
      </c>
      <c r="I264">
        <v>36</v>
      </c>
      <c r="J264" s="6">
        <f t="shared" si="16"/>
        <v>16.2</v>
      </c>
      <c r="K264" t="s">
        <v>388</v>
      </c>
    </row>
    <row r="265" spans="3:11" outlineLevel="2" x14ac:dyDescent="0.3">
      <c r="C265" s="9">
        <v>44976</v>
      </c>
      <c r="D265" t="s">
        <v>45</v>
      </c>
      <c r="E265" t="s">
        <v>33</v>
      </c>
      <c r="F265" t="s">
        <v>24</v>
      </c>
      <c r="G265" t="s">
        <v>30</v>
      </c>
      <c r="H265">
        <v>2970</v>
      </c>
      <c r="I265">
        <v>53</v>
      </c>
      <c r="J265" s="6">
        <f t="shared" si="16"/>
        <v>157.41</v>
      </c>
      <c r="K265" t="s">
        <v>388</v>
      </c>
    </row>
    <row r="266" spans="3:11" outlineLevel="2" x14ac:dyDescent="0.3">
      <c r="C266" s="9">
        <v>44976</v>
      </c>
      <c r="D266" t="s">
        <v>45</v>
      </c>
      <c r="E266" t="s">
        <v>35</v>
      </c>
      <c r="F266" t="s">
        <v>10</v>
      </c>
      <c r="G266" t="s">
        <v>39</v>
      </c>
      <c r="H266">
        <v>650</v>
      </c>
      <c r="I266">
        <v>90</v>
      </c>
      <c r="J266" s="6">
        <f t="shared" si="16"/>
        <v>58.5</v>
      </c>
      <c r="K266" t="s">
        <v>388</v>
      </c>
    </row>
    <row r="267" spans="3:11" outlineLevel="2" x14ac:dyDescent="0.3">
      <c r="C267" s="9">
        <v>44976</v>
      </c>
      <c r="D267" t="s">
        <v>8</v>
      </c>
      <c r="E267" t="s">
        <v>35</v>
      </c>
      <c r="F267" t="s">
        <v>13</v>
      </c>
      <c r="G267" t="s">
        <v>29</v>
      </c>
      <c r="H267">
        <v>1230</v>
      </c>
      <c r="I267">
        <v>54</v>
      </c>
      <c r="J267" s="6">
        <f t="shared" si="16"/>
        <v>66.42</v>
      </c>
      <c r="K267" t="s">
        <v>388</v>
      </c>
    </row>
    <row r="268" spans="3:11" outlineLevel="2" x14ac:dyDescent="0.3">
      <c r="C268" s="9">
        <v>44976</v>
      </c>
      <c r="D268" t="s">
        <v>8</v>
      </c>
      <c r="E268" t="s">
        <v>9</v>
      </c>
      <c r="F268" t="s">
        <v>10</v>
      </c>
      <c r="G268" t="s">
        <v>11</v>
      </c>
      <c r="H268">
        <v>705</v>
      </c>
      <c r="I268">
        <v>54</v>
      </c>
      <c r="J268" s="6">
        <f t="shared" si="16"/>
        <v>38.07</v>
      </c>
      <c r="K268" t="s">
        <v>388</v>
      </c>
    </row>
    <row r="269" spans="3:11" outlineLevel="2" x14ac:dyDescent="0.3">
      <c r="C269" s="9">
        <v>44976</v>
      </c>
      <c r="D269" t="s">
        <v>12</v>
      </c>
      <c r="E269" t="s">
        <v>26</v>
      </c>
      <c r="F269" t="s">
        <v>24</v>
      </c>
      <c r="G269" t="s">
        <v>30</v>
      </c>
      <c r="H269">
        <v>2970</v>
      </c>
      <c r="I269">
        <v>17</v>
      </c>
      <c r="J269" s="6">
        <f t="shared" si="16"/>
        <v>50.49</v>
      </c>
      <c r="K269" t="s">
        <v>388</v>
      </c>
    </row>
    <row r="270" spans="3:11" outlineLevel="1" x14ac:dyDescent="0.3">
      <c r="C270" s="13" t="s">
        <v>64</v>
      </c>
      <c r="J270" s="6">
        <f>SUBTOTAL(9,J256:J269)</f>
        <v>782.75</v>
      </c>
      <c r="K270" t="s">
        <v>388</v>
      </c>
    </row>
    <row r="271" spans="3:11" outlineLevel="2" x14ac:dyDescent="0.3">
      <c r="C271" s="9">
        <v>44977</v>
      </c>
      <c r="D271" t="s">
        <v>12</v>
      </c>
      <c r="E271" t="s">
        <v>20</v>
      </c>
      <c r="F271" t="s">
        <v>10</v>
      </c>
      <c r="G271" t="s">
        <v>11</v>
      </c>
      <c r="H271">
        <v>705</v>
      </c>
      <c r="I271">
        <v>89</v>
      </c>
      <c r="J271" s="6">
        <f t="shared" ref="J271:J290" si="17">H271*I271/1000</f>
        <v>62.744999999999997</v>
      </c>
      <c r="K271" t="s">
        <v>388</v>
      </c>
    </row>
    <row r="272" spans="3:11" outlineLevel="2" x14ac:dyDescent="0.3">
      <c r="C272" s="10">
        <v>44977</v>
      </c>
      <c r="D272" s="11" t="s">
        <v>17</v>
      </c>
      <c r="E272" s="11" t="s">
        <v>20</v>
      </c>
      <c r="F272" s="11" t="s">
        <v>13</v>
      </c>
      <c r="G272" s="11" t="s">
        <v>43</v>
      </c>
      <c r="H272" s="11">
        <v>1420</v>
      </c>
      <c r="I272" s="11">
        <v>81</v>
      </c>
      <c r="J272" s="6">
        <f t="shared" si="17"/>
        <v>115.02</v>
      </c>
      <c r="K272" t="s">
        <v>388</v>
      </c>
    </row>
    <row r="273" spans="3:11" outlineLevel="2" x14ac:dyDescent="0.3">
      <c r="C273" s="9">
        <v>44977</v>
      </c>
      <c r="D273" t="s">
        <v>8</v>
      </c>
      <c r="E273" t="s">
        <v>20</v>
      </c>
      <c r="F273" t="s">
        <v>13</v>
      </c>
      <c r="G273" t="s">
        <v>14</v>
      </c>
      <c r="H273">
        <v>1320</v>
      </c>
      <c r="I273">
        <v>5</v>
      </c>
      <c r="J273" s="6">
        <f t="shared" si="17"/>
        <v>6.6</v>
      </c>
      <c r="K273" t="s">
        <v>388</v>
      </c>
    </row>
    <row r="274" spans="3:11" outlineLevel="2" x14ac:dyDescent="0.3">
      <c r="C274" s="9">
        <v>44977</v>
      </c>
      <c r="D274" t="s">
        <v>12</v>
      </c>
      <c r="E274" t="s">
        <v>9</v>
      </c>
      <c r="F274" t="s">
        <v>10</v>
      </c>
      <c r="G274" t="s">
        <v>40</v>
      </c>
      <c r="H274">
        <v>540</v>
      </c>
      <c r="I274">
        <v>46</v>
      </c>
      <c r="J274" s="6">
        <f t="shared" si="17"/>
        <v>24.84</v>
      </c>
      <c r="K274" t="s">
        <v>388</v>
      </c>
    </row>
    <row r="275" spans="3:11" outlineLevel="2" x14ac:dyDescent="0.3">
      <c r="C275" s="9">
        <v>44977</v>
      </c>
      <c r="D275" t="s">
        <v>8</v>
      </c>
      <c r="E275" t="s">
        <v>9</v>
      </c>
      <c r="F275" t="s">
        <v>18</v>
      </c>
      <c r="G275" t="s">
        <v>27</v>
      </c>
      <c r="H275">
        <v>460</v>
      </c>
      <c r="I275">
        <v>48</v>
      </c>
      <c r="J275" s="6">
        <f t="shared" si="17"/>
        <v>22.08</v>
      </c>
      <c r="K275" t="s">
        <v>388</v>
      </c>
    </row>
    <row r="276" spans="3:11" outlineLevel="2" x14ac:dyDescent="0.3">
      <c r="C276" s="9">
        <v>44977</v>
      </c>
      <c r="D276" t="s">
        <v>12</v>
      </c>
      <c r="E276" t="s">
        <v>9</v>
      </c>
      <c r="F276" t="s">
        <v>13</v>
      </c>
      <c r="G276" t="s">
        <v>29</v>
      </c>
      <c r="H276">
        <v>1230</v>
      </c>
      <c r="I276">
        <v>16</v>
      </c>
      <c r="J276" s="6">
        <f t="shared" si="17"/>
        <v>19.68</v>
      </c>
      <c r="K276" t="s">
        <v>388</v>
      </c>
    </row>
    <row r="277" spans="3:11" outlineLevel="2" x14ac:dyDescent="0.3">
      <c r="C277" s="9">
        <v>44977</v>
      </c>
      <c r="D277" t="s">
        <v>8</v>
      </c>
      <c r="E277" t="s">
        <v>9</v>
      </c>
      <c r="F277" t="s">
        <v>24</v>
      </c>
      <c r="G277" t="s">
        <v>42</v>
      </c>
      <c r="H277">
        <v>3205</v>
      </c>
      <c r="I277">
        <v>30</v>
      </c>
      <c r="J277" s="6">
        <f t="shared" si="17"/>
        <v>96.15</v>
      </c>
      <c r="K277" t="s">
        <v>388</v>
      </c>
    </row>
    <row r="278" spans="3:11" outlineLevel="2" x14ac:dyDescent="0.3">
      <c r="C278" s="9">
        <v>44977</v>
      </c>
      <c r="D278" t="s">
        <v>12</v>
      </c>
      <c r="E278" t="s">
        <v>26</v>
      </c>
      <c r="F278" t="s">
        <v>18</v>
      </c>
      <c r="G278" t="s">
        <v>28</v>
      </c>
      <c r="H278">
        <v>690</v>
      </c>
      <c r="I278">
        <v>49</v>
      </c>
      <c r="J278" s="6">
        <f t="shared" si="17"/>
        <v>33.81</v>
      </c>
      <c r="K278" t="s">
        <v>388</v>
      </c>
    </row>
    <row r="279" spans="3:11" outlineLevel="2" x14ac:dyDescent="0.3">
      <c r="C279" s="9">
        <v>44977</v>
      </c>
      <c r="D279" t="s">
        <v>17</v>
      </c>
      <c r="E279" t="s">
        <v>26</v>
      </c>
      <c r="F279" t="s">
        <v>13</v>
      </c>
      <c r="G279" t="s">
        <v>38</v>
      </c>
      <c r="H279">
        <v>2400</v>
      </c>
      <c r="I279">
        <v>11</v>
      </c>
      <c r="J279" s="6">
        <f t="shared" si="17"/>
        <v>26.4</v>
      </c>
      <c r="K279" t="s">
        <v>388</v>
      </c>
    </row>
    <row r="280" spans="3:11" outlineLevel="2" x14ac:dyDescent="0.3">
      <c r="C280" s="9">
        <v>44977</v>
      </c>
      <c r="D280" t="s">
        <v>45</v>
      </c>
      <c r="E280" t="s">
        <v>26</v>
      </c>
      <c r="F280" t="s">
        <v>24</v>
      </c>
      <c r="G280" t="s">
        <v>30</v>
      </c>
      <c r="H280">
        <v>2970</v>
      </c>
      <c r="I280">
        <v>70</v>
      </c>
      <c r="J280" s="6">
        <f t="shared" si="17"/>
        <v>207.9</v>
      </c>
      <c r="K280" t="s">
        <v>388</v>
      </c>
    </row>
    <row r="281" spans="3:11" outlineLevel="2" x14ac:dyDescent="0.3">
      <c r="C281" s="9">
        <v>44977</v>
      </c>
      <c r="D281" t="s">
        <v>17</v>
      </c>
      <c r="E281" t="s">
        <v>15</v>
      </c>
      <c r="F281" t="s">
        <v>24</v>
      </c>
      <c r="G281" t="s">
        <v>42</v>
      </c>
      <c r="H281">
        <v>3205</v>
      </c>
      <c r="I281">
        <v>97</v>
      </c>
      <c r="J281" s="6">
        <f t="shared" si="17"/>
        <v>310.88499999999999</v>
      </c>
      <c r="K281" t="s">
        <v>388</v>
      </c>
    </row>
    <row r="282" spans="3:11" outlineLevel="2" x14ac:dyDescent="0.3">
      <c r="C282" s="9">
        <v>44977</v>
      </c>
      <c r="D282" t="s">
        <v>8</v>
      </c>
      <c r="E282" t="s">
        <v>33</v>
      </c>
      <c r="F282" t="s">
        <v>10</v>
      </c>
      <c r="G282" t="s">
        <v>11</v>
      </c>
      <c r="H282">
        <v>705</v>
      </c>
      <c r="I282">
        <v>90</v>
      </c>
      <c r="J282" s="6">
        <f t="shared" si="17"/>
        <v>63.45</v>
      </c>
      <c r="K282" t="s">
        <v>388</v>
      </c>
    </row>
    <row r="283" spans="3:11" outlineLevel="2" x14ac:dyDescent="0.3">
      <c r="C283" s="9">
        <v>44977</v>
      </c>
      <c r="D283" t="s">
        <v>45</v>
      </c>
      <c r="E283" t="s">
        <v>33</v>
      </c>
      <c r="F283" t="s">
        <v>18</v>
      </c>
      <c r="G283" t="s">
        <v>19</v>
      </c>
      <c r="H283">
        <v>325</v>
      </c>
      <c r="I283">
        <v>37</v>
      </c>
      <c r="J283" s="6">
        <f t="shared" si="17"/>
        <v>12.025</v>
      </c>
      <c r="K283" t="s">
        <v>388</v>
      </c>
    </row>
    <row r="284" spans="3:11" outlineLevel="2" x14ac:dyDescent="0.3">
      <c r="C284" s="9">
        <v>44977</v>
      </c>
      <c r="D284" t="s">
        <v>17</v>
      </c>
      <c r="E284" t="s">
        <v>33</v>
      </c>
      <c r="F284" t="s">
        <v>24</v>
      </c>
      <c r="G284" t="s">
        <v>32</v>
      </c>
      <c r="H284">
        <v>1505</v>
      </c>
      <c r="I284">
        <v>43</v>
      </c>
      <c r="J284" s="6">
        <f t="shared" si="17"/>
        <v>64.715000000000003</v>
      </c>
      <c r="K284" t="s">
        <v>388</v>
      </c>
    </row>
    <row r="285" spans="3:11" outlineLevel="2" x14ac:dyDescent="0.3">
      <c r="C285" s="9">
        <v>44977</v>
      </c>
      <c r="D285" t="s">
        <v>17</v>
      </c>
      <c r="E285" t="s">
        <v>35</v>
      </c>
      <c r="F285" t="s">
        <v>13</v>
      </c>
      <c r="G285" t="s">
        <v>22</v>
      </c>
      <c r="H285">
        <v>930</v>
      </c>
      <c r="I285">
        <v>55</v>
      </c>
      <c r="J285" s="6">
        <f t="shared" si="17"/>
        <v>51.15</v>
      </c>
      <c r="K285" t="s">
        <v>388</v>
      </c>
    </row>
    <row r="286" spans="3:11" outlineLevel="2" x14ac:dyDescent="0.3">
      <c r="C286" s="9">
        <v>44977</v>
      </c>
      <c r="D286" t="s">
        <v>45</v>
      </c>
      <c r="E286" t="s">
        <v>35</v>
      </c>
      <c r="F286" t="s">
        <v>13</v>
      </c>
      <c r="G286" t="s">
        <v>44</v>
      </c>
      <c r="H286">
        <v>2540</v>
      </c>
      <c r="I286">
        <v>82</v>
      </c>
      <c r="J286" s="6">
        <f t="shared" si="17"/>
        <v>208.28</v>
      </c>
      <c r="K286" t="s">
        <v>388</v>
      </c>
    </row>
    <row r="287" spans="3:11" outlineLevel="2" x14ac:dyDescent="0.3">
      <c r="C287" s="9">
        <v>44977</v>
      </c>
      <c r="D287" t="s">
        <v>17</v>
      </c>
      <c r="E287" t="s">
        <v>35</v>
      </c>
      <c r="F287" t="s">
        <v>24</v>
      </c>
      <c r="G287" t="s">
        <v>34</v>
      </c>
      <c r="H287">
        <v>1670</v>
      </c>
      <c r="I287">
        <v>8</v>
      </c>
      <c r="J287" s="6">
        <f t="shared" si="17"/>
        <v>13.36</v>
      </c>
      <c r="K287" t="s">
        <v>388</v>
      </c>
    </row>
    <row r="288" spans="3:11" outlineLevel="2" x14ac:dyDescent="0.3">
      <c r="C288" s="9">
        <v>44977</v>
      </c>
      <c r="D288" t="s">
        <v>8</v>
      </c>
      <c r="E288" t="s">
        <v>20</v>
      </c>
      <c r="F288" t="s">
        <v>24</v>
      </c>
      <c r="G288" t="s">
        <v>34</v>
      </c>
      <c r="H288">
        <v>1670</v>
      </c>
      <c r="I288">
        <v>37</v>
      </c>
      <c r="J288" s="6">
        <f t="shared" si="17"/>
        <v>61.79</v>
      </c>
      <c r="K288" t="s">
        <v>388</v>
      </c>
    </row>
    <row r="289" spans="3:11" outlineLevel="2" x14ac:dyDescent="0.3">
      <c r="C289" s="9">
        <v>44977</v>
      </c>
      <c r="D289" t="s">
        <v>45</v>
      </c>
      <c r="E289" t="s">
        <v>9</v>
      </c>
      <c r="F289" t="s">
        <v>18</v>
      </c>
      <c r="G289" t="s">
        <v>19</v>
      </c>
      <c r="H289">
        <v>325</v>
      </c>
      <c r="I289">
        <v>89</v>
      </c>
      <c r="J289" s="6">
        <f t="shared" si="17"/>
        <v>28.925000000000001</v>
      </c>
      <c r="K289" t="s">
        <v>388</v>
      </c>
    </row>
    <row r="290" spans="3:11" outlineLevel="2" x14ac:dyDescent="0.3">
      <c r="C290" s="9">
        <v>44977</v>
      </c>
      <c r="D290" t="s">
        <v>17</v>
      </c>
      <c r="E290" t="s">
        <v>15</v>
      </c>
      <c r="F290" t="s">
        <v>10</v>
      </c>
      <c r="G290" t="s">
        <v>39</v>
      </c>
      <c r="H290">
        <v>650</v>
      </c>
      <c r="I290">
        <v>68</v>
      </c>
      <c r="J290" s="6">
        <f t="shared" si="17"/>
        <v>44.2</v>
      </c>
      <c r="K290" t="s">
        <v>388</v>
      </c>
    </row>
    <row r="291" spans="3:11" outlineLevel="1" x14ac:dyDescent="0.3">
      <c r="C291" s="13" t="s">
        <v>65</v>
      </c>
      <c r="J291" s="6">
        <f>SUBTOTAL(9,J271:J290)</f>
        <v>1474.0049999999999</v>
      </c>
      <c r="K291" t="s">
        <v>388</v>
      </c>
    </row>
    <row r="292" spans="3:11" outlineLevel="2" x14ac:dyDescent="0.3">
      <c r="C292" s="10">
        <v>44978</v>
      </c>
      <c r="D292" s="11" t="s">
        <v>8</v>
      </c>
      <c r="E292" s="11" t="s">
        <v>20</v>
      </c>
      <c r="F292" s="11" t="s">
        <v>10</v>
      </c>
      <c r="G292" s="11" t="s">
        <v>40</v>
      </c>
      <c r="H292" s="11">
        <v>540</v>
      </c>
      <c r="I292" s="11">
        <v>80</v>
      </c>
      <c r="J292" s="6">
        <f t="shared" ref="J292:J309" si="18">H292*I292/1000</f>
        <v>43.2</v>
      </c>
      <c r="K292" t="s">
        <v>388</v>
      </c>
    </row>
    <row r="293" spans="3:11" outlineLevel="2" x14ac:dyDescent="0.3">
      <c r="C293" s="9">
        <v>44978</v>
      </c>
      <c r="D293" t="s">
        <v>17</v>
      </c>
      <c r="E293" t="s">
        <v>20</v>
      </c>
      <c r="F293" t="s">
        <v>18</v>
      </c>
      <c r="G293" t="s">
        <v>21</v>
      </c>
      <c r="H293">
        <v>450</v>
      </c>
      <c r="I293">
        <v>54</v>
      </c>
      <c r="J293" s="6">
        <f t="shared" si="18"/>
        <v>24.3</v>
      </c>
      <c r="K293" t="s">
        <v>388</v>
      </c>
    </row>
    <row r="294" spans="3:11" outlineLevel="2" x14ac:dyDescent="0.3">
      <c r="C294" s="9">
        <v>44978</v>
      </c>
      <c r="D294" t="s">
        <v>17</v>
      </c>
      <c r="E294" t="s">
        <v>9</v>
      </c>
      <c r="F294" t="s">
        <v>10</v>
      </c>
      <c r="G294" t="s">
        <v>16</v>
      </c>
      <c r="H294">
        <v>1380</v>
      </c>
      <c r="I294">
        <v>37</v>
      </c>
      <c r="J294" s="6">
        <f t="shared" si="18"/>
        <v>51.06</v>
      </c>
      <c r="K294" t="s">
        <v>388</v>
      </c>
    </row>
    <row r="295" spans="3:11" outlineLevel="2" x14ac:dyDescent="0.3">
      <c r="C295" s="9">
        <v>44978</v>
      </c>
      <c r="D295" t="s">
        <v>17</v>
      </c>
      <c r="E295" t="s">
        <v>9</v>
      </c>
      <c r="F295" t="s">
        <v>18</v>
      </c>
      <c r="G295" t="s">
        <v>31</v>
      </c>
      <c r="H295">
        <v>715</v>
      </c>
      <c r="I295">
        <v>5</v>
      </c>
      <c r="J295" s="6">
        <f t="shared" si="18"/>
        <v>3.5750000000000002</v>
      </c>
      <c r="K295" t="s">
        <v>388</v>
      </c>
    </row>
    <row r="296" spans="3:11" outlineLevel="2" x14ac:dyDescent="0.3">
      <c r="C296" s="9">
        <v>44978</v>
      </c>
      <c r="D296" t="s">
        <v>45</v>
      </c>
      <c r="E296" t="s">
        <v>9</v>
      </c>
      <c r="F296" t="s">
        <v>24</v>
      </c>
      <c r="G296" t="s">
        <v>36</v>
      </c>
      <c r="H296">
        <v>2460</v>
      </c>
      <c r="I296">
        <v>36</v>
      </c>
      <c r="J296" s="6">
        <f t="shared" si="18"/>
        <v>88.56</v>
      </c>
      <c r="K296" t="s">
        <v>388</v>
      </c>
    </row>
    <row r="297" spans="3:11" outlineLevel="2" x14ac:dyDescent="0.3">
      <c r="C297" s="9">
        <v>44978</v>
      </c>
      <c r="D297" t="s">
        <v>12</v>
      </c>
      <c r="E297" t="s">
        <v>9</v>
      </c>
      <c r="F297" t="s">
        <v>24</v>
      </c>
      <c r="G297" t="s">
        <v>42</v>
      </c>
      <c r="H297">
        <v>3205</v>
      </c>
      <c r="I297">
        <v>15</v>
      </c>
      <c r="J297" s="6">
        <f t="shared" si="18"/>
        <v>48.075000000000003</v>
      </c>
      <c r="K297" t="s">
        <v>388</v>
      </c>
    </row>
    <row r="298" spans="3:11" outlineLevel="2" x14ac:dyDescent="0.3">
      <c r="C298" s="9">
        <v>44978</v>
      </c>
      <c r="D298" t="s">
        <v>12</v>
      </c>
      <c r="E298" t="s">
        <v>26</v>
      </c>
      <c r="F298" t="s">
        <v>18</v>
      </c>
      <c r="G298" t="s">
        <v>37</v>
      </c>
      <c r="H298">
        <v>890</v>
      </c>
      <c r="I298">
        <v>16</v>
      </c>
      <c r="J298" s="6">
        <f t="shared" si="18"/>
        <v>14.24</v>
      </c>
      <c r="K298" t="s">
        <v>388</v>
      </c>
    </row>
    <row r="299" spans="3:11" outlineLevel="2" x14ac:dyDescent="0.3">
      <c r="C299" s="9">
        <v>44978</v>
      </c>
      <c r="D299" t="s">
        <v>8</v>
      </c>
      <c r="E299" t="s">
        <v>26</v>
      </c>
      <c r="F299" t="s">
        <v>18</v>
      </c>
      <c r="G299" t="s">
        <v>27</v>
      </c>
      <c r="H299">
        <v>460</v>
      </c>
      <c r="I299">
        <v>39</v>
      </c>
      <c r="J299" s="6">
        <f t="shared" si="18"/>
        <v>17.940000000000001</v>
      </c>
      <c r="K299" t="s">
        <v>388</v>
      </c>
    </row>
    <row r="300" spans="3:11" outlineLevel="2" x14ac:dyDescent="0.3">
      <c r="C300" s="9">
        <v>44978</v>
      </c>
      <c r="D300" t="s">
        <v>12</v>
      </c>
      <c r="E300" t="s">
        <v>33</v>
      </c>
      <c r="F300" t="s">
        <v>18</v>
      </c>
      <c r="G300" t="s">
        <v>37</v>
      </c>
      <c r="H300">
        <v>890</v>
      </c>
      <c r="I300">
        <v>84</v>
      </c>
      <c r="J300" s="6">
        <f t="shared" si="18"/>
        <v>74.760000000000005</v>
      </c>
      <c r="K300" t="s">
        <v>388</v>
      </c>
    </row>
    <row r="301" spans="3:11" outlineLevel="2" x14ac:dyDescent="0.3">
      <c r="C301" s="9">
        <v>44978</v>
      </c>
      <c r="D301" t="s">
        <v>45</v>
      </c>
      <c r="E301" t="s">
        <v>33</v>
      </c>
      <c r="F301" t="s">
        <v>13</v>
      </c>
      <c r="G301" t="s">
        <v>43</v>
      </c>
      <c r="H301">
        <v>1420</v>
      </c>
      <c r="I301">
        <v>37</v>
      </c>
      <c r="J301" s="6">
        <f t="shared" si="18"/>
        <v>52.54</v>
      </c>
      <c r="K301" t="s">
        <v>388</v>
      </c>
    </row>
    <row r="302" spans="3:11" outlineLevel="2" x14ac:dyDescent="0.3">
      <c r="C302" s="9">
        <v>44978</v>
      </c>
      <c r="D302" t="s">
        <v>12</v>
      </c>
      <c r="E302" t="s">
        <v>35</v>
      </c>
      <c r="F302" t="s">
        <v>10</v>
      </c>
      <c r="G302" t="s">
        <v>23</v>
      </c>
      <c r="H302">
        <v>640</v>
      </c>
      <c r="I302">
        <v>19</v>
      </c>
      <c r="J302" s="6">
        <f t="shared" si="18"/>
        <v>12.16</v>
      </c>
      <c r="K302" t="s">
        <v>388</v>
      </c>
    </row>
    <row r="303" spans="3:11" outlineLevel="2" x14ac:dyDescent="0.3">
      <c r="C303" s="9">
        <v>44978</v>
      </c>
      <c r="D303" t="s">
        <v>17</v>
      </c>
      <c r="E303" t="s">
        <v>35</v>
      </c>
      <c r="F303" t="s">
        <v>18</v>
      </c>
      <c r="G303" t="s">
        <v>27</v>
      </c>
      <c r="H303">
        <v>460</v>
      </c>
      <c r="I303">
        <v>7</v>
      </c>
      <c r="J303" s="6">
        <f t="shared" si="18"/>
        <v>3.22</v>
      </c>
      <c r="K303" t="s">
        <v>388</v>
      </c>
    </row>
    <row r="304" spans="3:11" outlineLevel="2" x14ac:dyDescent="0.3">
      <c r="C304" s="9">
        <v>44978</v>
      </c>
      <c r="D304" t="s">
        <v>45</v>
      </c>
      <c r="E304" t="s">
        <v>35</v>
      </c>
      <c r="F304" t="s">
        <v>13</v>
      </c>
      <c r="G304" t="s">
        <v>22</v>
      </c>
      <c r="H304">
        <v>930</v>
      </c>
      <c r="I304">
        <v>6</v>
      </c>
      <c r="J304" s="6">
        <f t="shared" si="18"/>
        <v>5.58</v>
      </c>
      <c r="K304" t="s">
        <v>388</v>
      </c>
    </row>
    <row r="305" spans="3:11" outlineLevel="2" x14ac:dyDescent="0.3">
      <c r="C305" s="9">
        <v>44978</v>
      </c>
      <c r="D305" t="s">
        <v>8</v>
      </c>
      <c r="E305" t="s">
        <v>35</v>
      </c>
      <c r="F305" t="s">
        <v>13</v>
      </c>
      <c r="G305" t="s">
        <v>14</v>
      </c>
      <c r="H305">
        <v>1320</v>
      </c>
      <c r="I305">
        <v>48</v>
      </c>
      <c r="J305" s="6">
        <f t="shared" si="18"/>
        <v>63.36</v>
      </c>
      <c r="K305" t="s">
        <v>388</v>
      </c>
    </row>
    <row r="306" spans="3:11" outlineLevel="2" x14ac:dyDescent="0.3">
      <c r="C306" s="9">
        <v>44978</v>
      </c>
      <c r="D306" t="s">
        <v>8</v>
      </c>
      <c r="E306" t="s">
        <v>35</v>
      </c>
      <c r="F306" t="s">
        <v>13</v>
      </c>
      <c r="G306" t="s">
        <v>22</v>
      </c>
      <c r="H306">
        <v>930</v>
      </c>
      <c r="I306">
        <v>38</v>
      </c>
      <c r="J306" s="6">
        <f t="shared" si="18"/>
        <v>35.340000000000003</v>
      </c>
      <c r="K306" t="s">
        <v>388</v>
      </c>
    </row>
    <row r="307" spans="3:11" outlineLevel="2" x14ac:dyDescent="0.3">
      <c r="C307" s="9">
        <v>44978</v>
      </c>
      <c r="D307" t="s">
        <v>8</v>
      </c>
      <c r="E307" t="s">
        <v>35</v>
      </c>
      <c r="F307" t="s">
        <v>24</v>
      </c>
      <c r="G307" t="s">
        <v>36</v>
      </c>
      <c r="H307">
        <v>2460</v>
      </c>
      <c r="I307">
        <v>34</v>
      </c>
      <c r="J307" s="6">
        <f t="shared" si="18"/>
        <v>83.64</v>
      </c>
      <c r="K307" t="s">
        <v>388</v>
      </c>
    </row>
    <row r="308" spans="3:11" outlineLevel="2" x14ac:dyDescent="0.3">
      <c r="C308" s="9">
        <v>44978</v>
      </c>
      <c r="D308" t="s">
        <v>45</v>
      </c>
      <c r="E308" t="s">
        <v>20</v>
      </c>
      <c r="F308" t="s">
        <v>24</v>
      </c>
      <c r="G308" t="s">
        <v>36</v>
      </c>
      <c r="H308">
        <v>2460</v>
      </c>
      <c r="I308">
        <v>11</v>
      </c>
      <c r="J308" s="6">
        <f t="shared" si="18"/>
        <v>27.06</v>
      </c>
      <c r="K308" t="s">
        <v>388</v>
      </c>
    </row>
    <row r="309" spans="3:11" outlineLevel="2" x14ac:dyDescent="0.3">
      <c r="C309" s="9">
        <v>44978</v>
      </c>
      <c r="D309" t="s">
        <v>12</v>
      </c>
      <c r="E309" t="s">
        <v>15</v>
      </c>
      <c r="F309" t="s">
        <v>10</v>
      </c>
      <c r="G309" t="s">
        <v>40</v>
      </c>
      <c r="H309">
        <v>540</v>
      </c>
      <c r="I309">
        <v>97</v>
      </c>
      <c r="J309" s="6">
        <f t="shared" si="18"/>
        <v>52.38</v>
      </c>
      <c r="K309" t="s">
        <v>388</v>
      </c>
    </row>
    <row r="310" spans="3:11" outlineLevel="1" x14ac:dyDescent="0.3">
      <c r="C310" s="13" t="s">
        <v>66</v>
      </c>
      <c r="J310" s="6">
        <f>SUBTOTAL(9,J292:J309)</f>
        <v>700.99</v>
      </c>
      <c r="K310" t="s">
        <v>388</v>
      </c>
    </row>
    <row r="311" spans="3:11" outlineLevel="2" x14ac:dyDescent="0.3">
      <c r="C311" s="10">
        <v>44979</v>
      </c>
      <c r="D311" s="11" t="s">
        <v>17</v>
      </c>
      <c r="E311" s="11" t="s">
        <v>20</v>
      </c>
      <c r="F311" s="11" t="s">
        <v>10</v>
      </c>
      <c r="G311" s="11" t="s">
        <v>16</v>
      </c>
      <c r="H311" s="11">
        <v>1380</v>
      </c>
      <c r="I311" s="11">
        <v>12</v>
      </c>
      <c r="J311" s="6">
        <f t="shared" ref="J311:J330" si="19">H311*I311/1000</f>
        <v>16.559999999999999</v>
      </c>
      <c r="K311" t="s">
        <v>388</v>
      </c>
    </row>
    <row r="312" spans="3:11" outlineLevel="2" x14ac:dyDescent="0.3">
      <c r="C312" s="9">
        <v>44979</v>
      </c>
      <c r="D312" t="s">
        <v>8</v>
      </c>
      <c r="E312" t="s">
        <v>20</v>
      </c>
      <c r="F312" t="s">
        <v>10</v>
      </c>
      <c r="G312" t="s">
        <v>16</v>
      </c>
      <c r="H312">
        <v>1380</v>
      </c>
      <c r="I312">
        <v>39</v>
      </c>
      <c r="J312" s="6">
        <f t="shared" si="19"/>
        <v>53.82</v>
      </c>
      <c r="K312" t="s">
        <v>388</v>
      </c>
    </row>
    <row r="313" spans="3:11" outlineLevel="2" x14ac:dyDescent="0.3">
      <c r="C313" s="9">
        <v>44979</v>
      </c>
      <c r="D313" t="s">
        <v>45</v>
      </c>
      <c r="E313" t="s">
        <v>9</v>
      </c>
      <c r="F313" t="s">
        <v>18</v>
      </c>
      <c r="G313" t="s">
        <v>28</v>
      </c>
      <c r="H313">
        <v>690</v>
      </c>
      <c r="I313">
        <v>26</v>
      </c>
      <c r="J313" s="6">
        <f t="shared" si="19"/>
        <v>17.940000000000001</v>
      </c>
      <c r="K313" t="s">
        <v>388</v>
      </c>
    </row>
    <row r="314" spans="3:11" outlineLevel="2" x14ac:dyDescent="0.3">
      <c r="C314" s="9">
        <v>44979</v>
      </c>
      <c r="D314" t="s">
        <v>8</v>
      </c>
      <c r="E314" t="s">
        <v>9</v>
      </c>
      <c r="F314" t="s">
        <v>24</v>
      </c>
      <c r="G314" t="s">
        <v>36</v>
      </c>
      <c r="H314">
        <v>2460</v>
      </c>
      <c r="I314">
        <v>50</v>
      </c>
      <c r="J314" s="6">
        <f t="shared" si="19"/>
        <v>123</v>
      </c>
      <c r="K314" t="s">
        <v>388</v>
      </c>
    </row>
    <row r="315" spans="3:11" outlineLevel="2" x14ac:dyDescent="0.3">
      <c r="C315" s="9">
        <v>44979</v>
      </c>
      <c r="D315" t="s">
        <v>8</v>
      </c>
      <c r="E315" t="s">
        <v>26</v>
      </c>
      <c r="F315" t="s">
        <v>10</v>
      </c>
      <c r="G315" t="s">
        <v>11</v>
      </c>
      <c r="H315">
        <v>705</v>
      </c>
      <c r="I315">
        <v>79</v>
      </c>
      <c r="J315" s="6">
        <f t="shared" si="19"/>
        <v>55.695</v>
      </c>
      <c r="K315" t="s">
        <v>388</v>
      </c>
    </row>
    <row r="316" spans="3:11" outlineLevel="2" x14ac:dyDescent="0.3">
      <c r="C316" s="9">
        <v>44979</v>
      </c>
      <c r="D316" t="s">
        <v>45</v>
      </c>
      <c r="E316" t="s">
        <v>26</v>
      </c>
      <c r="F316" t="s">
        <v>10</v>
      </c>
      <c r="G316" t="s">
        <v>40</v>
      </c>
      <c r="H316">
        <v>540</v>
      </c>
      <c r="I316">
        <v>21</v>
      </c>
      <c r="J316" s="6">
        <f t="shared" si="19"/>
        <v>11.34</v>
      </c>
      <c r="K316" t="s">
        <v>388</v>
      </c>
    </row>
    <row r="317" spans="3:11" outlineLevel="2" x14ac:dyDescent="0.3">
      <c r="C317" s="9">
        <v>44979</v>
      </c>
      <c r="D317" t="s">
        <v>45</v>
      </c>
      <c r="E317" t="s">
        <v>26</v>
      </c>
      <c r="F317" t="s">
        <v>18</v>
      </c>
      <c r="G317" t="s">
        <v>37</v>
      </c>
      <c r="H317">
        <v>890</v>
      </c>
      <c r="I317">
        <v>27</v>
      </c>
      <c r="J317" s="6">
        <f t="shared" si="19"/>
        <v>24.03</v>
      </c>
      <c r="K317" t="s">
        <v>388</v>
      </c>
    </row>
    <row r="318" spans="3:11" outlineLevel="2" x14ac:dyDescent="0.3">
      <c r="C318" s="9">
        <v>44979</v>
      </c>
      <c r="D318" t="s">
        <v>12</v>
      </c>
      <c r="E318" t="s">
        <v>26</v>
      </c>
      <c r="F318" t="s">
        <v>13</v>
      </c>
      <c r="G318" t="s">
        <v>22</v>
      </c>
      <c r="H318">
        <v>930</v>
      </c>
      <c r="I318">
        <v>79</v>
      </c>
      <c r="J318" s="6">
        <f t="shared" si="19"/>
        <v>73.47</v>
      </c>
      <c r="K318" t="s">
        <v>388</v>
      </c>
    </row>
    <row r="319" spans="3:11" outlineLevel="2" x14ac:dyDescent="0.3">
      <c r="C319" s="9">
        <v>44979</v>
      </c>
      <c r="D319" t="s">
        <v>12</v>
      </c>
      <c r="E319" t="s">
        <v>26</v>
      </c>
      <c r="F319" t="s">
        <v>13</v>
      </c>
      <c r="G319" t="s">
        <v>14</v>
      </c>
      <c r="H319">
        <v>1320</v>
      </c>
      <c r="I319">
        <v>97</v>
      </c>
      <c r="J319" s="6">
        <f t="shared" si="19"/>
        <v>128.04</v>
      </c>
      <c r="K319" t="s">
        <v>388</v>
      </c>
    </row>
    <row r="320" spans="3:11" outlineLevel="2" x14ac:dyDescent="0.3">
      <c r="C320" s="9">
        <v>44979</v>
      </c>
      <c r="D320" t="s">
        <v>12</v>
      </c>
      <c r="E320" t="s">
        <v>26</v>
      </c>
      <c r="F320" t="s">
        <v>24</v>
      </c>
      <c r="G320" t="s">
        <v>34</v>
      </c>
      <c r="H320">
        <v>1670</v>
      </c>
      <c r="I320">
        <v>93</v>
      </c>
      <c r="J320" s="6">
        <f t="shared" si="19"/>
        <v>155.31</v>
      </c>
      <c r="K320" t="s">
        <v>388</v>
      </c>
    </row>
    <row r="321" spans="3:11" outlineLevel="2" x14ac:dyDescent="0.3">
      <c r="C321" s="9">
        <v>44979</v>
      </c>
      <c r="D321" t="s">
        <v>8</v>
      </c>
      <c r="E321" t="s">
        <v>15</v>
      </c>
      <c r="F321" t="s">
        <v>18</v>
      </c>
      <c r="G321" t="s">
        <v>19</v>
      </c>
      <c r="H321">
        <v>325</v>
      </c>
      <c r="I321">
        <v>43</v>
      </c>
      <c r="J321" s="6">
        <f t="shared" si="19"/>
        <v>13.975</v>
      </c>
      <c r="K321" t="s">
        <v>388</v>
      </c>
    </row>
    <row r="322" spans="3:11" outlineLevel="2" x14ac:dyDescent="0.3">
      <c r="C322" s="9">
        <v>44979</v>
      </c>
      <c r="D322" t="s">
        <v>8</v>
      </c>
      <c r="E322" t="s">
        <v>15</v>
      </c>
      <c r="F322" t="s">
        <v>13</v>
      </c>
      <c r="G322" t="s">
        <v>44</v>
      </c>
      <c r="H322">
        <v>2540</v>
      </c>
      <c r="I322">
        <v>65</v>
      </c>
      <c r="J322" s="6">
        <f t="shared" si="19"/>
        <v>165.1</v>
      </c>
      <c r="K322" t="s">
        <v>388</v>
      </c>
    </row>
    <row r="323" spans="3:11" outlineLevel="2" x14ac:dyDescent="0.3">
      <c r="C323" s="9">
        <v>44979</v>
      </c>
      <c r="D323" t="s">
        <v>17</v>
      </c>
      <c r="E323" t="s">
        <v>15</v>
      </c>
      <c r="F323" t="s">
        <v>24</v>
      </c>
      <c r="G323" t="s">
        <v>34</v>
      </c>
      <c r="H323">
        <v>1670</v>
      </c>
      <c r="I323">
        <v>99</v>
      </c>
      <c r="J323" s="6">
        <f t="shared" si="19"/>
        <v>165.33</v>
      </c>
      <c r="K323" t="s">
        <v>388</v>
      </c>
    </row>
    <row r="324" spans="3:11" outlineLevel="2" x14ac:dyDescent="0.3">
      <c r="C324" s="9">
        <v>44979</v>
      </c>
      <c r="D324" t="s">
        <v>17</v>
      </c>
      <c r="E324" t="s">
        <v>33</v>
      </c>
      <c r="F324" t="s">
        <v>10</v>
      </c>
      <c r="G324" t="s">
        <v>23</v>
      </c>
      <c r="H324">
        <v>640</v>
      </c>
      <c r="I324">
        <v>20</v>
      </c>
      <c r="J324" s="6">
        <f t="shared" si="19"/>
        <v>12.8</v>
      </c>
      <c r="K324" t="s">
        <v>388</v>
      </c>
    </row>
    <row r="325" spans="3:11" outlineLevel="2" x14ac:dyDescent="0.3">
      <c r="C325" s="9">
        <v>44979</v>
      </c>
      <c r="D325" t="s">
        <v>45</v>
      </c>
      <c r="E325" t="s">
        <v>33</v>
      </c>
      <c r="F325" t="s">
        <v>24</v>
      </c>
      <c r="G325" t="s">
        <v>36</v>
      </c>
      <c r="H325">
        <v>2460</v>
      </c>
      <c r="I325">
        <v>51</v>
      </c>
      <c r="J325" s="6">
        <f t="shared" si="19"/>
        <v>125.46</v>
      </c>
      <c r="K325" t="s">
        <v>388</v>
      </c>
    </row>
    <row r="326" spans="3:11" outlineLevel="2" x14ac:dyDescent="0.3">
      <c r="C326" s="9">
        <v>44979</v>
      </c>
      <c r="D326" t="s">
        <v>8</v>
      </c>
      <c r="E326" t="s">
        <v>33</v>
      </c>
      <c r="F326" t="s">
        <v>24</v>
      </c>
      <c r="G326" t="s">
        <v>30</v>
      </c>
      <c r="H326">
        <v>2970</v>
      </c>
      <c r="I326">
        <v>48</v>
      </c>
      <c r="J326" s="6">
        <f t="shared" si="19"/>
        <v>142.56</v>
      </c>
      <c r="K326" t="s">
        <v>388</v>
      </c>
    </row>
    <row r="327" spans="3:11" outlineLevel="2" x14ac:dyDescent="0.3">
      <c r="C327" s="9">
        <v>44979</v>
      </c>
      <c r="D327" t="s">
        <v>12</v>
      </c>
      <c r="E327" t="s">
        <v>35</v>
      </c>
      <c r="F327" t="s">
        <v>10</v>
      </c>
      <c r="G327" t="s">
        <v>23</v>
      </c>
      <c r="H327">
        <v>640</v>
      </c>
      <c r="I327">
        <v>77</v>
      </c>
      <c r="J327" s="6">
        <f t="shared" si="19"/>
        <v>49.28</v>
      </c>
      <c r="K327" t="s">
        <v>388</v>
      </c>
    </row>
    <row r="328" spans="3:11" outlineLevel="2" x14ac:dyDescent="0.3">
      <c r="C328" s="9">
        <v>44979</v>
      </c>
      <c r="D328" t="s">
        <v>8</v>
      </c>
      <c r="E328" t="s">
        <v>35</v>
      </c>
      <c r="F328" t="s">
        <v>18</v>
      </c>
      <c r="G328" t="s">
        <v>31</v>
      </c>
      <c r="H328">
        <v>715</v>
      </c>
      <c r="I328">
        <v>91</v>
      </c>
      <c r="J328" s="6">
        <f t="shared" si="19"/>
        <v>65.064999999999998</v>
      </c>
      <c r="K328" t="s">
        <v>388</v>
      </c>
    </row>
    <row r="329" spans="3:11" outlineLevel="2" x14ac:dyDescent="0.3">
      <c r="C329" s="9">
        <v>44979</v>
      </c>
      <c r="D329" t="s">
        <v>8</v>
      </c>
      <c r="E329" t="s">
        <v>35</v>
      </c>
      <c r="F329" t="s">
        <v>24</v>
      </c>
      <c r="G329" t="s">
        <v>42</v>
      </c>
      <c r="H329">
        <v>3205</v>
      </c>
      <c r="I329">
        <v>85</v>
      </c>
      <c r="J329" s="6">
        <f t="shared" si="19"/>
        <v>272.42500000000001</v>
      </c>
      <c r="K329" t="s">
        <v>388</v>
      </c>
    </row>
    <row r="330" spans="3:11" outlineLevel="2" x14ac:dyDescent="0.3">
      <c r="C330" s="9">
        <v>44979</v>
      </c>
      <c r="D330" t="s">
        <v>45</v>
      </c>
      <c r="E330" t="s">
        <v>15</v>
      </c>
      <c r="F330" t="s">
        <v>13</v>
      </c>
      <c r="G330" t="s">
        <v>44</v>
      </c>
      <c r="H330">
        <v>2540</v>
      </c>
      <c r="I330">
        <v>37</v>
      </c>
      <c r="J330" s="6">
        <f t="shared" si="19"/>
        <v>93.98</v>
      </c>
      <c r="K330" t="s">
        <v>388</v>
      </c>
    </row>
    <row r="331" spans="3:11" outlineLevel="1" x14ac:dyDescent="0.3">
      <c r="C331" s="13" t="s">
        <v>67</v>
      </c>
      <c r="J331" s="6">
        <f>SUBTOTAL(9,J311:J330)</f>
        <v>1765.1799999999998</v>
      </c>
      <c r="K331" t="s">
        <v>388</v>
      </c>
    </row>
    <row r="332" spans="3:11" outlineLevel="2" x14ac:dyDescent="0.3">
      <c r="C332" s="10">
        <v>44980</v>
      </c>
      <c r="D332" s="11" t="s">
        <v>8</v>
      </c>
      <c r="E332" s="11" t="s">
        <v>20</v>
      </c>
      <c r="F332" s="11" t="s">
        <v>10</v>
      </c>
      <c r="G332" s="11" t="s">
        <v>39</v>
      </c>
      <c r="H332" s="11">
        <v>650</v>
      </c>
      <c r="I332" s="11">
        <v>25</v>
      </c>
      <c r="J332" s="6">
        <f t="shared" ref="J332:J350" si="20">H332*I332/1000</f>
        <v>16.25</v>
      </c>
      <c r="K332" t="s">
        <v>388</v>
      </c>
    </row>
    <row r="333" spans="3:11" outlineLevel="2" x14ac:dyDescent="0.3">
      <c r="C333" s="9">
        <v>44980</v>
      </c>
      <c r="D333" t="s">
        <v>45</v>
      </c>
      <c r="E333" t="s">
        <v>20</v>
      </c>
      <c r="F333" t="s">
        <v>13</v>
      </c>
      <c r="G333" t="s">
        <v>22</v>
      </c>
      <c r="H333">
        <v>930</v>
      </c>
      <c r="I333">
        <v>39</v>
      </c>
      <c r="J333" s="6">
        <f t="shared" si="20"/>
        <v>36.270000000000003</v>
      </c>
      <c r="K333" t="s">
        <v>388</v>
      </c>
    </row>
    <row r="334" spans="3:11" outlineLevel="2" x14ac:dyDescent="0.3">
      <c r="C334" s="9">
        <v>44980</v>
      </c>
      <c r="D334" t="s">
        <v>12</v>
      </c>
      <c r="E334" t="s">
        <v>9</v>
      </c>
      <c r="F334" t="s">
        <v>10</v>
      </c>
      <c r="G334" t="s">
        <v>23</v>
      </c>
      <c r="H334">
        <v>640</v>
      </c>
      <c r="I334">
        <v>11</v>
      </c>
      <c r="J334" s="6">
        <f t="shared" si="20"/>
        <v>7.04</v>
      </c>
      <c r="K334" t="s">
        <v>388</v>
      </c>
    </row>
    <row r="335" spans="3:11" outlineLevel="2" x14ac:dyDescent="0.3">
      <c r="C335" s="9">
        <v>44980</v>
      </c>
      <c r="D335" t="s">
        <v>8</v>
      </c>
      <c r="E335" t="s">
        <v>9</v>
      </c>
      <c r="F335" t="s">
        <v>13</v>
      </c>
      <c r="G335" t="s">
        <v>44</v>
      </c>
      <c r="H335">
        <v>2540</v>
      </c>
      <c r="I335">
        <v>99</v>
      </c>
      <c r="J335" s="6">
        <f t="shared" si="20"/>
        <v>251.46</v>
      </c>
      <c r="K335" t="s">
        <v>388</v>
      </c>
    </row>
    <row r="336" spans="3:11" outlineLevel="2" x14ac:dyDescent="0.3">
      <c r="C336" s="9">
        <v>44980</v>
      </c>
      <c r="D336" t="s">
        <v>45</v>
      </c>
      <c r="E336" t="s">
        <v>9</v>
      </c>
      <c r="F336" t="s">
        <v>13</v>
      </c>
      <c r="G336" t="s">
        <v>43</v>
      </c>
      <c r="H336">
        <v>1420</v>
      </c>
      <c r="I336">
        <v>79</v>
      </c>
      <c r="J336" s="6">
        <f t="shared" si="20"/>
        <v>112.18</v>
      </c>
      <c r="K336" t="s">
        <v>388</v>
      </c>
    </row>
    <row r="337" spans="3:11" outlineLevel="2" x14ac:dyDescent="0.3">
      <c r="C337" s="9">
        <v>44980</v>
      </c>
      <c r="D337" t="s">
        <v>8</v>
      </c>
      <c r="E337" t="s">
        <v>26</v>
      </c>
      <c r="F337" t="s">
        <v>18</v>
      </c>
      <c r="G337" t="s">
        <v>19</v>
      </c>
      <c r="H337">
        <v>325</v>
      </c>
      <c r="I337">
        <v>62</v>
      </c>
      <c r="J337" s="6">
        <f t="shared" si="20"/>
        <v>20.149999999999999</v>
      </c>
      <c r="K337" t="s">
        <v>388</v>
      </c>
    </row>
    <row r="338" spans="3:11" outlineLevel="2" x14ac:dyDescent="0.3">
      <c r="C338" s="9">
        <v>44980</v>
      </c>
      <c r="D338" t="s">
        <v>17</v>
      </c>
      <c r="E338" t="s">
        <v>26</v>
      </c>
      <c r="F338" t="s">
        <v>13</v>
      </c>
      <c r="G338" t="s">
        <v>14</v>
      </c>
      <c r="H338">
        <v>1320</v>
      </c>
      <c r="I338">
        <v>96</v>
      </c>
      <c r="J338" s="6">
        <f t="shared" si="20"/>
        <v>126.72</v>
      </c>
      <c r="K338" t="s">
        <v>388</v>
      </c>
    </row>
    <row r="339" spans="3:11" outlineLevel="2" x14ac:dyDescent="0.3">
      <c r="C339" s="9">
        <v>44980</v>
      </c>
      <c r="D339" t="s">
        <v>8</v>
      </c>
      <c r="E339" t="s">
        <v>15</v>
      </c>
      <c r="F339" t="s">
        <v>10</v>
      </c>
      <c r="G339" t="s">
        <v>16</v>
      </c>
      <c r="H339">
        <v>1380</v>
      </c>
      <c r="I339">
        <v>76</v>
      </c>
      <c r="J339" s="6">
        <f t="shared" si="20"/>
        <v>104.88</v>
      </c>
      <c r="K339" t="s">
        <v>388</v>
      </c>
    </row>
    <row r="340" spans="3:11" outlineLevel="2" x14ac:dyDescent="0.3">
      <c r="C340" s="9">
        <v>44980</v>
      </c>
      <c r="D340" t="s">
        <v>8</v>
      </c>
      <c r="E340" t="s">
        <v>15</v>
      </c>
      <c r="F340" t="s">
        <v>18</v>
      </c>
      <c r="G340" t="s">
        <v>27</v>
      </c>
      <c r="H340">
        <v>460</v>
      </c>
      <c r="I340">
        <v>22</v>
      </c>
      <c r="J340" s="6">
        <f t="shared" si="20"/>
        <v>10.119999999999999</v>
      </c>
      <c r="K340" t="s">
        <v>388</v>
      </c>
    </row>
    <row r="341" spans="3:11" outlineLevel="2" x14ac:dyDescent="0.3">
      <c r="C341" s="9">
        <v>44980</v>
      </c>
      <c r="D341" t="s">
        <v>45</v>
      </c>
      <c r="E341" t="s">
        <v>15</v>
      </c>
      <c r="F341" t="s">
        <v>13</v>
      </c>
      <c r="G341" t="s">
        <v>43</v>
      </c>
      <c r="H341">
        <v>1420</v>
      </c>
      <c r="I341">
        <v>11</v>
      </c>
      <c r="J341" s="6">
        <f t="shared" si="20"/>
        <v>15.62</v>
      </c>
      <c r="K341" t="s">
        <v>388</v>
      </c>
    </row>
    <row r="342" spans="3:11" outlineLevel="2" x14ac:dyDescent="0.3">
      <c r="C342" s="9">
        <v>44980</v>
      </c>
      <c r="D342" t="s">
        <v>45</v>
      </c>
      <c r="E342" t="s">
        <v>15</v>
      </c>
      <c r="F342" t="s">
        <v>13</v>
      </c>
      <c r="G342" t="s">
        <v>43</v>
      </c>
      <c r="H342">
        <v>1420</v>
      </c>
      <c r="I342">
        <v>10</v>
      </c>
      <c r="J342" s="6">
        <f t="shared" si="20"/>
        <v>14.2</v>
      </c>
      <c r="K342" t="s">
        <v>388</v>
      </c>
    </row>
    <row r="343" spans="3:11" outlineLevel="2" x14ac:dyDescent="0.3">
      <c r="C343" s="9">
        <v>44980</v>
      </c>
      <c r="D343" t="s">
        <v>45</v>
      </c>
      <c r="E343" t="s">
        <v>15</v>
      </c>
      <c r="F343" t="s">
        <v>24</v>
      </c>
      <c r="G343" t="s">
        <v>42</v>
      </c>
      <c r="H343">
        <v>3205</v>
      </c>
      <c r="I343">
        <v>22</v>
      </c>
      <c r="J343" s="6">
        <f t="shared" si="20"/>
        <v>70.510000000000005</v>
      </c>
      <c r="K343" t="s">
        <v>388</v>
      </c>
    </row>
    <row r="344" spans="3:11" outlineLevel="2" x14ac:dyDescent="0.3">
      <c r="C344" s="9">
        <v>44980</v>
      </c>
      <c r="D344" t="s">
        <v>17</v>
      </c>
      <c r="E344" t="s">
        <v>33</v>
      </c>
      <c r="F344" t="s">
        <v>10</v>
      </c>
      <c r="G344" t="s">
        <v>41</v>
      </c>
      <c r="H344">
        <v>650</v>
      </c>
      <c r="I344">
        <v>100</v>
      </c>
      <c r="J344" s="6">
        <f t="shared" si="20"/>
        <v>65</v>
      </c>
      <c r="K344" t="s">
        <v>388</v>
      </c>
    </row>
    <row r="345" spans="3:11" outlineLevel="2" x14ac:dyDescent="0.3">
      <c r="C345" s="9">
        <v>44980</v>
      </c>
      <c r="D345" t="s">
        <v>17</v>
      </c>
      <c r="E345" t="s">
        <v>33</v>
      </c>
      <c r="F345" t="s">
        <v>13</v>
      </c>
      <c r="G345" t="s">
        <v>14</v>
      </c>
      <c r="H345">
        <v>1320</v>
      </c>
      <c r="I345">
        <v>97</v>
      </c>
      <c r="J345" s="6">
        <f t="shared" si="20"/>
        <v>128.04</v>
      </c>
      <c r="K345" t="s">
        <v>388</v>
      </c>
    </row>
    <row r="346" spans="3:11" outlineLevel="2" x14ac:dyDescent="0.3">
      <c r="C346" s="9">
        <v>44980</v>
      </c>
      <c r="D346" t="s">
        <v>12</v>
      </c>
      <c r="E346" t="s">
        <v>33</v>
      </c>
      <c r="F346" t="s">
        <v>13</v>
      </c>
      <c r="G346" t="s">
        <v>38</v>
      </c>
      <c r="H346">
        <v>2400</v>
      </c>
      <c r="I346">
        <v>67</v>
      </c>
      <c r="J346" s="6">
        <f t="shared" si="20"/>
        <v>160.80000000000001</v>
      </c>
      <c r="K346" t="s">
        <v>388</v>
      </c>
    </row>
    <row r="347" spans="3:11" outlineLevel="2" x14ac:dyDescent="0.3">
      <c r="C347" s="9">
        <v>44980</v>
      </c>
      <c r="D347" t="s">
        <v>8</v>
      </c>
      <c r="E347" t="s">
        <v>33</v>
      </c>
      <c r="F347" t="s">
        <v>24</v>
      </c>
      <c r="G347" t="s">
        <v>30</v>
      </c>
      <c r="H347">
        <v>2970</v>
      </c>
      <c r="I347">
        <v>60</v>
      </c>
      <c r="J347" s="6">
        <f t="shared" si="20"/>
        <v>178.2</v>
      </c>
      <c r="K347" t="s">
        <v>388</v>
      </c>
    </row>
    <row r="348" spans="3:11" outlineLevel="2" x14ac:dyDescent="0.3">
      <c r="C348" s="9">
        <v>44980</v>
      </c>
      <c r="D348" t="s">
        <v>17</v>
      </c>
      <c r="E348" t="s">
        <v>35</v>
      </c>
      <c r="F348" t="s">
        <v>10</v>
      </c>
      <c r="G348" t="s">
        <v>23</v>
      </c>
      <c r="H348">
        <v>640</v>
      </c>
      <c r="I348">
        <v>31</v>
      </c>
      <c r="J348" s="6">
        <f t="shared" si="20"/>
        <v>19.84</v>
      </c>
      <c r="K348" t="s">
        <v>388</v>
      </c>
    </row>
    <row r="349" spans="3:11" outlineLevel="2" x14ac:dyDescent="0.3">
      <c r="C349" s="9">
        <v>44980</v>
      </c>
      <c r="D349" t="s">
        <v>12</v>
      </c>
      <c r="E349" t="s">
        <v>20</v>
      </c>
      <c r="F349" t="s">
        <v>13</v>
      </c>
      <c r="G349" t="s">
        <v>44</v>
      </c>
      <c r="H349">
        <v>2540</v>
      </c>
      <c r="I349">
        <v>88</v>
      </c>
      <c r="J349" s="6">
        <f t="shared" si="20"/>
        <v>223.52</v>
      </c>
      <c r="K349" t="s">
        <v>388</v>
      </c>
    </row>
    <row r="350" spans="3:11" outlineLevel="2" x14ac:dyDescent="0.3">
      <c r="C350" s="9">
        <v>44980</v>
      </c>
      <c r="D350" t="s">
        <v>8</v>
      </c>
      <c r="E350" t="s">
        <v>15</v>
      </c>
      <c r="F350" t="s">
        <v>24</v>
      </c>
      <c r="G350" t="s">
        <v>30</v>
      </c>
      <c r="H350">
        <v>2970</v>
      </c>
      <c r="I350">
        <v>29</v>
      </c>
      <c r="J350" s="6">
        <f t="shared" si="20"/>
        <v>86.13</v>
      </c>
      <c r="K350" t="s">
        <v>388</v>
      </c>
    </row>
    <row r="351" spans="3:11" outlineLevel="1" x14ac:dyDescent="0.3">
      <c r="C351" s="13" t="s">
        <v>68</v>
      </c>
      <c r="J351" s="6">
        <f>SUBTOTAL(9,J332:J350)</f>
        <v>1646.9299999999998</v>
      </c>
      <c r="K351" t="s">
        <v>388</v>
      </c>
    </row>
    <row r="352" spans="3:11" outlineLevel="2" x14ac:dyDescent="0.3">
      <c r="C352" s="10">
        <v>44981</v>
      </c>
      <c r="D352" s="11" t="s">
        <v>45</v>
      </c>
      <c r="E352" s="11" t="s">
        <v>20</v>
      </c>
      <c r="F352" s="11" t="s">
        <v>10</v>
      </c>
      <c r="G352" s="11" t="s">
        <v>39</v>
      </c>
      <c r="H352" s="11">
        <v>650</v>
      </c>
      <c r="I352" s="11">
        <v>69</v>
      </c>
      <c r="J352" s="6">
        <f t="shared" ref="J352:J364" si="21">H352*I352/1000</f>
        <v>44.85</v>
      </c>
      <c r="K352" t="s">
        <v>388</v>
      </c>
    </row>
    <row r="353" spans="3:11" outlineLevel="2" x14ac:dyDescent="0.3">
      <c r="C353" s="9">
        <v>44981</v>
      </c>
      <c r="D353" t="s">
        <v>12</v>
      </c>
      <c r="E353" t="s">
        <v>20</v>
      </c>
      <c r="F353" t="s">
        <v>10</v>
      </c>
      <c r="G353" t="s">
        <v>11</v>
      </c>
      <c r="H353">
        <v>705</v>
      </c>
      <c r="I353">
        <v>67</v>
      </c>
      <c r="J353" s="6">
        <f t="shared" si="21"/>
        <v>47.234999999999999</v>
      </c>
      <c r="K353" t="s">
        <v>388</v>
      </c>
    </row>
    <row r="354" spans="3:11" outlineLevel="2" x14ac:dyDescent="0.3">
      <c r="C354" s="10">
        <v>44981</v>
      </c>
      <c r="D354" s="11" t="s">
        <v>17</v>
      </c>
      <c r="E354" s="11" t="s">
        <v>20</v>
      </c>
      <c r="F354" s="11" t="s">
        <v>18</v>
      </c>
      <c r="G354" s="11" t="s">
        <v>31</v>
      </c>
      <c r="H354" s="11">
        <v>715</v>
      </c>
      <c r="I354" s="11">
        <v>56</v>
      </c>
      <c r="J354" s="6">
        <f t="shared" si="21"/>
        <v>40.04</v>
      </c>
      <c r="K354" t="s">
        <v>388</v>
      </c>
    </row>
    <row r="355" spans="3:11" outlineLevel="2" x14ac:dyDescent="0.3">
      <c r="C355" s="9">
        <v>44981</v>
      </c>
      <c r="D355" t="s">
        <v>45</v>
      </c>
      <c r="E355" t="s">
        <v>20</v>
      </c>
      <c r="F355" t="s">
        <v>24</v>
      </c>
      <c r="G355" t="s">
        <v>42</v>
      </c>
      <c r="H355">
        <v>3205</v>
      </c>
      <c r="I355">
        <v>21</v>
      </c>
      <c r="J355" s="6">
        <f t="shared" si="21"/>
        <v>67.305000000000007</v>
      </c>
      <c r="K355" t="s">
        <v>388</v>
      </c>
    </row>
    <row r="356" spans="3:11" outlineLevel="2" x14ac:dyDescent="0.3">
      <c r="C356" s="9">
        <v>44981</v>
      </c>
      <c r="D356" t="s">
        <v>12</v>
      </c>
      <c r="E356" t="s">
        <v>9</v>
      </c>
      <c r="F356" t="s">
        <v>10</v>
      </c>
      <c r="G356" t="s">
        <v>16</v>
      </c>
      <c r="H356">
        <v>1380</v>
      </c>
      <c r="I356">
        <v>42</v>
      </c>
      <c r="J356" s="6">
        <f t="shared" si="21"/>
        <v>57.96</v>
      </c>
      <c r="K356" t="s">
        <v>388</v>
      </c>
    </row>
    <row r="357" spans="3:11" outlineLevel="2" x14ac:dyDescent="0.3">
      <c r="C357" s="9">
        <v>44981</v>
      </c>
      <c r="D357" t="s">
        <v>17</v>
      </c>
      <c r="E357" t="s">
        <v>9</v>
      </c>
      <c r="F357" t="s">
        <v>18</v>
      </c>
      <c r="G357" t="s">
        <v>21</v>
      </c>
      <c r="H357">
        <v>450</v>
      </c>
      <c r="I357">
        <v>97</v>
      </c>
      <c r="J357" s="6">
        <f t="shared" si="21"/>
        <v>43.65</v>
      </c>
      <c r="K357" t="s">
        <v>388</v>
      </c>
    </row>
    <row r="358" spans="3:11" outlineLevel="2" x14ac:dyDescent="0.3">
      <c r="C358" s="9">
        <v>44981</v>
      </c>
      <c r="D358" t="s">
        <v>8</v>
      </c>
      <c r="E358" t="s">
        <v>9</v>
      </c>
      <c r="F358" t="s">
        <v>13</v>
      </c>
      <c r="G358" t="s">
        <v>44</v>
      </c>
      <c r="H358">
        <v>2540</v>
      </c>
      <c r="I358">
        <v>91</v>
      </c>
      <c r="J358" s="6">
        <f t="shared" si="21"/>
        <v>231.14</v>
      </c>
      <c r="K358" t="s">
        <v>388</v>
      </c>
    </row>
    <row r="359" spans="3:11" outlineLevel="2" x14ac:dyDescent="0.3">
      <c r="C359" s="9">
        <v>44981</v>
      </c>
      <c r="D359" t="s">
        <v>12</v>
      </c>
      <c r="E359" t="s">
        <v>26</v>
      </c>
      <c r="F359" t="s">
        <v>18</v>
      </c>
      <c r="G359" t="s">
        <v>28</v>
      </c>
      <c r="H359">
        <v>690</v>
      </c>
      <c r="I359">
        <v>9</v>
      </c>
      <c r="J359" s="6">
        <f t="shared" si="21"/>
        <v>6.21</v>
      </c>
      <c r="K359" t="s">
        <v>388</v>
      </c>
    </row>
    <row r="360" spans="3:11" outlineLevel="2" x14ac:dyDescent="0.3">
      <c r="C360" s="9">
        <v>44981</v>
      </c>
      <c r="D360" t="s">
        <v>12</v>
      </c>
      <c r="E360" t="s">
        <v>26</v>
      </c>
      <c r="F360" t="s">
        <v>24</v>
      </c>
      <c r="G360" t="s">
        <v>36</v>
      </c>
      <c r="H360">
        <v>2460</v>
      </c>
      <c r="I360">
        <v>75</v>
      </c>
      <c r="J360" s="6">
        <f t="shared" si="21"/>
        <v>184.5</v>
      </c>
      <c r="K360" t="s">
        <v>388</v>
      </c>
    </row>
    <row r="361" spans="3:11" outlineLevel="2" x14ac:dyDescent="0.3">
      <c r="C361" s="9">
        <v>44981</v>
      </c>
      <c r="D361" t="s">
        <v>8</v>
      </c>
      <c r="E361" t="s">
        <v>15</v>
      </c>
      <c r="F361" t="s">
        <v>18</v>
      </c>
      <c r="G361" t="s">
        <v>37</v>
      </c>
      <c r="H361">
        <v>890</v>
      </c>
      <c r="I361">
        <v>18</v>
      </c>
      <c r="J361" s="6">
        <f t="shared" si="21"/>
        <v>16.02</v>
      </c>
      <c r="K361" t="s">
        <v>388</v>
      </c>
    </row>
    <row r="362" spans="3:11" outlineLevel="2" x14ac:dyDescent="0.3">
      <c r="C362" s="9">
        <v>44981</v>
      </c>
      <c r="D362" t="s">
        <v>17</v>
      </c>
      <c r="E362" t="s">
        <v>35</v>
      </c>
      <c r="F362" t="s">
        <v>18</v>
      </c>
      <c r="G362" t="s">
        <v>21</v>
      </c>
      <c r="H362">
        <v>450</v>
      </c>
      <c r="I362">
        <v>37</v>
      </c>
      <c r="J362" s="6">
        <f t="shared" si="21"/>
        <v>16.649999999999999</v>
      </c>
      <c r="K362" t="s">
        <v>388</v>
      </c>
    </row>
    <row r="363" spans="3:11" outlineLevel="2" x14ac:dyDescent="0.3">
      <c r="C363" s="9">
        <v>44981</v>
      </c>
      <c r="D363" t="s">
        <v>8</v>
      </c>
      <c r="E363" t="s">
        <v>35</v>
      </c>
      <c r="F363" t="s">
        <v>13</v>
      </c>
      <c r="G363" t="s">
        <v>29</v>
      </c>
      <c r="H363">
        <v>1230</v>
      </c>
      <c r="I363">
        <v>99</v>
      </c>
      <c r="J363" s="6">
        <f t="shared" si="21"/>
        <v>121.77</v>
      </c>
      <c r="K363" t="s">
        <v>388</v>
      </c>
    </row>
    <row r="364" spans="3:11" outlineLevel="2" x14ac:dyDescent="0.3">
      <c r="C364" s="9">
        <v>44981</v>
      </c>
      <c r="D364" t="s">
        <v>8</v>
      </c>
      <c r="E364" t="s">
        <v>33</v>
      </c>
      <c r="F364" t="s">
        <v>10</v>
      </c>
      <c r="G364" t="s">
        <v>39</v>
      </c>
      <c r="H364">
        <v>650</v>
      </c>
      <c r="I364">
        <v>21</v>
      </c>
      <c r="J364" s="6">
        <f t="shared" si="21"/>
        <v>13.65</v>
      </c>
      <c r="K364" t="s">
        <v>388</v>
      </c>
    </row>
    <row r="365" spans="3:11" outlineLevel="1" x14ac:dyDescent="0.3">
      <c r="C365" s="13" t="s">
        <v>69</v>
      </c>
      <c r="J365" s="6">
        <f>SUBTOTAL(9,J352:J364)</f>
        <v>890.9799999999999</v>
      </c>
      <c r="K365" t="s">
        <v>388</v>
      </c>
    </row>
    <row r="366" spans="3:11" outlineLevel="2" x14ac:dyDescent="0.3">
      <c r="C366" s="10">
        <v>44982</v>
      </c>
      <c r="D366" s="11" t="s">
        <v>45</v>
      </c>
      <c r="E366" s="11" t="s">
        <v>20</v>
      </c>
      <c r="F366" s="11" t="s">
        <v>10</v>
      </c>
      <c r="G366" s="11" t="s">
        <v>16</v>
      </c>
      <c r="H366" s="11">
        <v>1380</v>
      </c>
      <c r="I366" s="11">
        <v>63</v>
      </c>
      <c r="J366" s="6">
        <f t="shared" ref="J366:J382" si="22">H366*I366/1000</f>
        <v>86.94</v>
      </c>
      <c r="K366" t="s">
        <v>388</v>
      </c>
    </row>
    <row r="367" spans="3:11" outlineLevel="2" x14ac:dyDescent="0.3">
      <c r="C367" s="9">
        <v>44982</v>
      </c>
      <c r="D367" t="s">
        <v>45</v>
      </c>
      <c r="E367" t="s">
        <v>20</v>
      </c>
      <c r="F367" t="s">
        <v>10</v>
      </c>
      <c r="G367" t="s">
        <v>39</v>
      </c>
      <c r="H367">
        <v>650</v>
      </c>
      <c r="I367">
        <v>21</v>
      </c>
      <c r="J367" s="6">
        <f t="shared" si="22"/>
        <v>13.65</v>
      </c>
      <c r="K367" t="s">
        <v>388</v>
      </c>
    </row>
    <row r="368" spans="3:11" outlineLevel="2" x14ac:dyDescent="0.3">
      <c r="C368" s="10">
        <v>44982</v>
      </c>
      <c r="D368" s="11" t="s">
        <v>12</v>
      </c>
      <c r="E368" s="11" t="s">
        <v>20</v>
      </c>
      <c r="F368" s="11" t="s">
        <v>13</v>
      </c>
      <c r="G368" s="11" t="s">
        <v>38</v>
      </c>
      <c r="H368" s="11">
        <v>2400</v>
      </c>
      <c r="I368" s="11">
        <v>70</v>
      </c>
      <c r="J368" s="6">
        <f t="shared" si="22"/>
        <v>168</v>
      </c>
      <c r="K368" t="s">
        <v>388</v>
      </c>
    </row>
    <row r="369" spans="3:11" outlineLevel="2" x14ac:dyDescent="0.3">
      <c r="C369" s="9">
        <v>44982</v>
      </c>
      <c r="D369" t="s">
        <v>12</v>
      </c>
      <c r="E369" t="s">
        <v>20</v>
      </c>
      <c r="F369" t="s">
        <v>13</v>
      </c>
      <c r="G369" t="s">
        <v>44</v>
      </c>
      <c r="H369">
        <v>2540</v>
      </c>
      <c r="I369">
        <v>89</v>
      </c>
      <c r="J369" s="6">
        <f t="shared" si="22"/>
        <v>226.06</v>
      </c>
      <c r="K369" t="s">
        <v>388</v>
      </c>
    </row>
    <row r="370" spans="3:11" outlineLevel="2" x14ac:dyDescent="0.3">
      <c r="C370" s="10">
        <v>44982</v>
      </c>
      <c r="D370" s="11" t="s">
        <v>45</v>
      </c>
      <c r="E370" s="11" t="s">
        <v>20</v>
      </c>
      <c r="F370" s="11" t="s">
        <v>24</v>
      </c>
      <c r="G370" s="11" t="s">
        <v>32</v>
      </c>
      <c r="H370" s="11">
        <v>1505</v>
      </c>
      <c r="I370" s="11">
        <v>53</v>
      </c>
      <c r="J370" s="6">
        <f t="shared" si="22"/>
        <v>79.765000000000001</v>
      </c>
      <c r="K370" t="s">
        <v>388</v>
      </c>
    </row>
    <row r="371" spans="3:11" outlineLevel="2" x14ac:dyDescent="0.3">
      <c r="C371" s="9">
        <v>44982</v>
      </c>
      <c r="D371" t="s">
        <v>12</v>
      </c>
      <c r="E371" t="s">
        <v>9</v>
      </c>
      <c r="F371" t="s">
        <v>10</v>
      </c>
      <c r="G371" t="s">
        <v>11</v>
      </c>
      <c r="H371">
        <v>705</v>
      </c>
      <c r="I371">
        <v>49</v>
      </c>
      <c r="J371" s="6">
        <f t="shared" si="22"/>
        <v>34.545000000000002</v>
      </c>
      <c r="K371" t="s">
        <v>388</v>
      </c>
    </row>
    <row r="372" spans="3:11" outlineLevel="2" x14ac:dyDescent="0.3">
      <c r="C372" s="9">
        <v>44982</v>
      </c>
      <c r="D372" t="s">
        <v>45</v>
      </c>
      <c r="E372" t="s">
        <v>26</v>
      </c>
      <c r="F372" t="s">
        <v>10</v>
      </c>
      <c r="G372" t="s">
        <v>40</v>
      </c>
      <c r="H372">
        <v>540</v>
      </c>
      <c r="I372">
        <v>27</v>
      </c>
      <c r="J372" s="6">
        <f t="shared" si="22"/>
        <v>14.58</v>
      </c>
      <c r="K372" t="s">
        <v>388</v>
      </c>
    </row>
    <row r="373" spans="3:11" outlineLevel="2" x14ac:dyDescent="0.3">
      <c r="C373" s="9">
        <v>44982</v>
      </c>
      <c r="D373" t="s">
        <v>8</v>
      </c>
      <c r="E373" t="s">
        <v>26</v>
      </c>
      <c r="F373" t="s">
        <v>13</v>
      </c>
      <c r="G373" t="s">
        <v>22</v>
      </c>
      <c r="H373">
        <v>930</v>
      </c>
      <c r="I373">
        <v>46</v>
      </c>
      <c r="J373" s="6">
        <f t="shared" si="22"/>
        <v>42.78</v>
      </c>
      <c r="K373" t="s">
        <v>388</v>
      </c>
    </row>
    <row r="374" spans="3:11" outlineLevel="2" x14ac:dyDescent="0.3">
      <c r="C374" s="9">
        <v>44982</v>
      </c>
      <c r="D374" t="s">
        <v>45</v>
      </c>
      <c r="E374" t="s">
        <v>26</v>
      </c>
      <c r="F374" t="s">
        <v>24</v>
      </c>
      <c r="G374" t="s">
        <v>32</v>
      </c>
      <c r="H374">
        <v>1505</v>
      </c>
      <c r="I374">
        <v>39</v>
      </c>
      <c r="J374" s="6">
        <f t="shared" si="22"/>
        <v>58.695</v>
      </c>
      <c r="K374" t="s">
        <v>388</v>
      </c>
    </row>
    <row r="375" spans="3:11" outlineLevel="2" x14ac:dyDescent="0.3">
      <c r="C375" s="9">
        <v>44982</v>
      </c>
      <c r="D375" t="s">
        <v>45</v>
      </c>
      <c r="E375" t="s">
        <v>15</v>
      </c>
      <c r="F375" t="s">
        <v>18</v>
      </c>
      <c r="G375" t="s">
        <v>19</v>
      </c>
      <c r="H375">
        <v>325</v>
      </c>
      <c r="I375">
        <v>98</v>
      </c>
      <c r="J375" s="6">
        <f t="shared" si="22"/>
        <v>31.85</v>
      </c>
      <c r="K375" t="s">
        <v>388</v>
      </c>
    </row>
    <row r="376" spans="3:11" outlineLevel="2" x14ac:dyDescent="0.3">
      <c r="C376" s="9">
        <v>44982</v>
      </c>
      <c r="D376" t="s">
        <v>12</v>
      </c>
      <c r="E376" t="s">
        <v>15</v>
      </c>
      <c r="F376" t="s">
        <v>24</v>
      </c>
      <c r="G376" t="s">
        <v>30</v>
      </c>
      <c r="H376">
        <v>2970</v>
      </c>
      <c r="I376">
        <v>82</v>
      </c>
      <c r="J376" s="6">
        <f t="shared" si="22"/>
        <v>243.54</v>
      </c>
      <c r="K376" t="s">
        <v>388</v>
      </c>
    </row>
    <row r="377" spans="3:11" outlineLevel="2" x14ac:dyDescent="0.3">
      <c r="C377" s="9">
        <v>44982</v>
      </c>
      <c r="D377" t="s">
        <v>12</v>
      </c>
      <c r="E377" t="s">
        <v>15</v>
      </c>
      <c r="F377" t="s">
        <v>24</v>
      </c>
      <c r="G377" t="s">
        <v>25</v>
      </c>
      <c r="H377">
        <v>1760</v>
      </c>
      <c r="I377">
        <v>51</v>
      </c>
      <c r="J377" s="6">
        <f t="shared" si="22"/>
        <v>89.76</v>
      </c>
      <c r="K377" t="s">
        <v>388</v>
      </c>
    </row>
    <row r="378" spans="3:11" outlineLevel="2" x14ac:dyDescent="0.3">
      <c r="C378" s="9">
        <v>44982</v>
      </c>
      <c r="D378" t="s">
        <v>8</v>
      </c>
      <c r="E378" t="s">
        <v>33</v>
      </c>
      <c r="F378" t="s">
        <v>18</v>
      </c>
      <c r="G378" t="s">
        <v>19</v>
      </c>
      <c r="H378">
        <v>325</v>
      </c>
      <c r="I378">
        <v>48</v>
      </c>
      <c r="J378" s="6">
        <f t="shared" si="22"/>
        <v>15.6</v>
      </c>
      <c r="K378" t="s">
        <v>388</v>
      </c>
    </row>
    <row r="379" spans="3:11" outlineLevel="2" x14ac:dyDescent="0.3">
      <c r="C379" s="9">
        <v>44982</v>
      </c>
      <c r="D379" t="s">
        <v>17</v>
      </c>
      <c r="E379" t="s">
        <v>35</v>
      </c>
      <c r="F379" t="s">
        <v>10</v>
      </c>
      <c r="G379" t="s">
        <v>16</v>
      </c>
      <c r="H379">
        <v>1380</v>
      </c>
      <c r="I379">
        <v>84</v>
      </c>
      <c r="J379" s="6">
        <f t="shared" si="22"/>
        <v>115.92</v>
      </c>
      <c r="K379" t="s">
        <v>388</v>
      </c>
    </row>
    <row r="380" spans="3:11" outlineLevel="2" x14ac:dyDescent="0.3">
      <c r="C380" s="9">
        <v>44982</v>
      </c>
      <c r="D380" t="s">
        <v>45</v>
      </c>
      <c r="E380" t="s">
        <v>35</v>
      </c>
      <c r="F380" t="s">
        <v>24</v>
      </c>
      <c r="G380" t="s">
        <v>34</v>
      </c>
      <c r="H380">
        <v>1670</v>
      </c>
      <c r="I380">
        <v>67</v>
      </c>
      <c r="J380" s="6">
        <f t="shared" si="22"/>
        <v>111.89</v>
      </c>
      <c r="K380" t="s">
        <v>388</v>
      </c>
    </row>
    <row r="381" spans="3:11" outlineLevel="2" x14ac:dyDescent="0.3">
      <c r="C381" s="9">
        <v>44982</v>
      </c>
      <c r="D381" t="s">
        <v>45</v>
      </c>
      <c r="E381" t="s">
        <v>35</v>
      </c>
      <c r="F381" t="s">
        <v>24</v>
      </c>
      <c r="G381" t="s">
        <v>42</v>
      </c>
      <c r="H381">
        <v>3205</v>
      </c>
      <c r="I381">
        <v>38</v>
      </c>
      <c r="J381" s="6">
        <f t="shared" si="22"/>
        <v>121.79</v>
      </c>
      <c r="K381" t="s">
        <v>388</v>
      </c>
    </row>
    <row r="382" spans="3:11" outlineLevel="2" x14ac:dyDescent="0.3">
      <c r="C382" s="9">
        <v>44982</v>
      </c>
      <c r="D382" t="s">
        <v>45</v>
      </c>
      <c r="E382" t="s">
        <v>33</v>
      </c>
      <c r="F382" t="s">
        <v>24</v>
      </c>
      <c r="G382" t="s">
        <v>42</v>
      </c>
      <c r="H382">
        <v>3205</v>
      </c>
      <c r="I382">
        <v>27</v>
      </c>
      <c r="J382" s="6">
        <f t="shared" si="22"/>
        <v>86.534999999999997</v>
      </c>
      <c r="K382" t="s">
        <v>388</v>
      </c>
    </row>
    <row r="383" spans="3:11" outlineLevel="1" x14ac:dyDescent="0.3">
      <c r="C383" s="13" t="s">
        <v>70</v>
      </c>
      <c r="J383" s="6">
        <f>SUBTOTAL(9,J366:J382)</f>
        <v>1541.9000000000003</v>
      </c>
      <c r="K383" t="s">
        <v>388</v>
      </c>
    </row>
    <row r="384" spans="3:11" outlineLevel="2" x14ac:dyDescent="0.3">
      <c r="C384" s="9">
        <v>44983</v>
      </c>
      <c r="D384" t="s">
        <v>45</v>
      </c>
      <c r="E384" t="s">
        <v>20</v>
      </c>
      <c r="F384" t="s">
        <v>18</v>
      </c>
      <c r="G384" t="s">
        <v>19</v>
      </c>
      <c r="H384">
        <v>325</v>
      </c>
      <c r="I384">
        <v>12</v>
      </c>
      <c r="J384" s="6">
        <f t="shared" ref="J384:J399" si="23">H384*I384/1000</f>
        <v>3.9</v>
      </c>
      <c r="K384" t="s">
        <v>388</v>
      </c>
    </row>
    <row r="385" spans="3:11" outlineLevel="2" x14ac:dyDescent="0.3">
      <c r="C385" s="10">
        <v>44983</v>
      </c>
      <c r="D385" s="11" t="s">
        <v>45</v>
      </c>
      <c r="E385" s="11" t="s">
        <v>20</v>
      </c>
      <c r="F385" s="11" t="s">
        <v>24</v>
      </c>
      <c r="G385" s="11" t="s">
        <v>42</v>
      </c>
      <c r="H385" s="11">
        <v>3205</v>
      </c>
      <c r="I385" s="11">
        <v>69</v>
      </c>
      <c r="J385" s="6">
        <f t="shared" si="23"/>
        <v>221.14500000000001</v>
      </c>
      <c r="K385" t="s">
        <v>388</v>
      </c>
    </row>
    <row r="386" spans="3:11" outlineLevel="2" x14ac:dyDescent="0.3">
      <c r="C386" s="9">
        <v>44983</v>
      </c>
      <c r="D386" t="s">
        <v>12</v>
      </c>
      <c r="E386" t="s">
        <v>26</v>
      </c>
      <c r="F386" t="s">
        <v>13</v>
      </c>
      <c r="G386" t="s">
        <v>14</v>
      </c>
      <c r="H386">
        <v>1320</v>
      </c>
      <c r="I386">
        <v>60</v>
      </c>
      <c r="J386" s="6">
        <f t="shared" si="23"/>
        <v>79.2</v>
      </c>
      <c r="K386" t="s">
        <v>388</v>
      </c>
    </row>
    <row r="387" spans="3:11" outlineLevel="2" x14ac:dyDescent="0.3">
      <c r="C387" s="9">
        <v>44983</v>
      </c>
      <c r="D387" t="s">
        <v>8</v>
      </c>
      <c r="E387" t="s">
        <v>26</v>
      </c>
      <c r="F387" t="s">
        <v>24</v>
      </c>
      <c r="G387" t="s">
        <v>30</v>
      </c>
      <c r="H387">
        <v>2970</v>
      </c>
      <c r="I387">
        <v>76</v>
      </c>
      <c r="J387" s="6">
        <f t="shared" si="23"/>
        <v>225.72</v>
      </c>
      <c r="K387" t="s">
        <v>388</v>
      </c>
    </row>
    <row r="388" spans="3:11" outlineLevel="2" x14ac:dyDescent="0.3">
      <c r="C388" s="9">
        <v>44983</v>
      </c>
      <c r="D388" t="s">
        <v>12</v>
      </c>
      <c r="E388" t="s">
        <v>15</v>
      </c>
      <c r="F388" t="s">
        <v>18</v>
      </c>
      <c r="G388" t="s">
        <v>27</v>
      </c>
      <c r="H388">
        <v>460</v>
      </c>
      <c r="I388">
        <v>24</v>
      </c>
      <c r="J388" s="6">
        <f t="shared" si="23"/>
        <v>11.04</v>
      </c>
      <c r="K388" t="s">
        <v>388</v>
      </c>
    </row>
    <row r="389" spans="3:11" outlineLevel="2" x14ac:dyDescent="0.3">
      <c r="C389" s="9">
        <v>44983</v>
      </c>
      <c r="D389" t="s">
        <v>12</v>
      </c>
      <c r="E389" t="s">
        <v>15</v>
      </c>
      <c r="F389" t="s">
        <v>13</v>
      </c>
      <c r="G389" t="s">
        <v>22</v>
      </c>
      <c r="H389">
        <v>930</v>
      </c>
      <c r="I389">
        <v>92</v>
      </c>
      <c r="J389" s="6">
        <f t="shared" si="23"/>
        <v>85.56</v>
      </c>
      <c r="K389" t="s">
        <v>388</v>
      </c>
    </row>
    <row r="390" spans="3:11" outlineLevel="2" x14ac:dyDescent="0.3">
      <c r="C390" s="9">
        <v>44983</v>
      </c>
      <c r="D390" t="s">
        <v>17</v>
      </c>
      <c r="E390" t="s">
        <v>15</v>
      </c>
      <c r="F390" t="s">
        <v>24</v>
      </c>
      <c r="G390" t="s">
        <v>25</v>
      </c>
      <c r="H390">
        <v>1760</v>
      </c>
      <c r="I390">
        <v>88</v>
      </c>
      <c r="J390" s="6">
        <f t="shared" si="23"/>
        <v>154.88</v>
      </c>
      <c r="K390" t="s">
        <v>388</v>
      </c>
    </row>
    <row r="391" spans="3:11" outlineLevel="2" x14ac:dyDescent="0.3">
      <c r="C391" s="9">
        <v>44983</v>
      </c>
      <c r="D391" t="s">
        <v>8</v>
      </c>
      <c r="E391" t="s">
        <v>33</v>
      </c>
      <c r="F391" t="s">
        <v>13</v>
      </c>
      <c r="G391" t="s">
        <v>43</v>
      </c>
      <c r="H391">
        <v>1420</v>
      </c>
      <c r="I391">
        <v>63</v>
      </c>
      <c r="J391" s="6">
        <f t="shared" si="23"/>
        <v>89.46</v>
      </c>
      <c r="K391" t="s">
        <v>388</v>
      </c>
    </row>
    <row r="392" spans="3:11" outlineLevel="2" x14ac:dyDescent="0.3">
      <c r="C392" s="9">
        <v>44983</v>
      </c>
      <c r="D392" t="s">
        <v>17</v>
      </c>
      <c r="E392" t="s">
        <v>33</v>
      </c>
      <c r="F392" t="s">
        <v>24</v>
      </c>
      <c r="G392" t="s">
        <v>30</v>
      </c>
      <c r="H392">
        <v>2970</v>
      </c>
      <c r="I392">
        <v>79</v>
      </c>
      <c r="J392" s="6">
        <f t="shared" si="23"/>
        <v>234.63</v>
      </c>
      <c r="K392" t="s">
        <v>388</v>
      </c>
    </row>
    <row r="393" spans="3:11" outlineLevel="2" x14ac:dyDescent="0.3">
      <c r="C393" s="9">
        <v>44983</v>
      </c>
      <c r="D393" t="s">
        <v>45</v>
      </c>
      <c r="E393" t="s">
        <v>35</v>
      </c>
      <c r="F393" t="s">
        <v>10</v>
      </c>
      <c r="G393" t="s">
        <v>23</v>
      </c>
      <c r="H393">
        <v>640</v>
      </c>
      <c r="I393">
        <v>57</v>
      </c>
      <c r="J393" s="6">
        <f t="shared" si="23"/>
        <v>36.479999999999997</v>
      </c>
      <c r="K393" t="s">
        <v>388</v>
      </c>
    </row>
    <row r="394" spans="3:11" outlineLevel="2" x14ac:dyDescent="0.3">
      <c r="C394" s="9">
        <v>44983</v>
      </c>
      <c r="D394" t="s">
        <v>12</v>
      </c>
      <c r="E394" t="s">
        <v>35</v>
      </c>
      <c r="F394" t="s">
        <v>18</v>
      </c>
      <c r="G394" t="s">
        <v>31</v>
      </c>
      <c r="H394">
        <v>715</v>
      </c>
      <c r="I394">
        <v>32</v>
      </c>
      <c r="J394" s="6">
        <f t="shared" si="23"/>
        <v>22.88</v>
      </c>
      <c r="K394" t="s">
        <v>388</v>
      </c>
    </row>
    <row r="395" spans="3:11" outlineLevel="2" x14ac:dyDescent="0.3">
      <c r="C395" s="9">
        <v>44983</v>
      </c>
      <c r="D395" t="s">
        <v>12</v>
      </c>
      <c r="E395" t="s">
        <v>35</v>
      </c>
      <c r="F395" t="s">
        <v>13</v>
      </c>
      <c r="G395" t="s">
        <v>14</v>
      </c>
      <c r="H395">
        <v>1320</v>
      </c>
      <c r="I395">
        <v>43</v>
      </c>
      <c r="J395" s="6">
        <f t="shared" si="23"/>
        <v>56.76</v>
      </c>
      <c r="K395" t="s">
        <v>388</v>
      </c>
    </row>
    <row r="396" spans="3:11" outlineLevel="2" x14ac:dyDescent="0.3">
      <c r="C396" s="9">
        <v>44983</v>
      </c>
      <c r="D396" t="s">
        <v>17</v>
      </c>
      <c r="E396" t="s">
        <v>35</v>
      </c>
      <c r="F396" t="s">
        <v>13</v>
      </c>
      <c r="G396" t="s">
        <v>43</v>
      </c>
      <c r="H396">
        <v>1420</v>
      </c>
      <c r="I396">
        <v>54</v>
      </c>
      <c r="J396" s="6">
        <f t="shared" si="23"/>
        <v>76.680000000000007</v>
      </c>
      <c r="K396" t="s">
        <v>388</v>
      </c>
    </row>
    <row r="397" spans="3:11" outlineLevel="2" x14ac:dyDescent="0.3">
      <c r="C397" s="9">
        <v>44983</v>
      </c>
      <c r="D397" t="s">
        <v>17</v>
      </c>
      <c r="E397" t="s">
        <v>20</v>
      </c>
      <c r="F397" t="s">
        <v>13</v>
      </c>
      <c r="G397" t="s">
        <v>43</v>
      </c>
      <c r="H397">
        <v>1420</v>
      </c>
      <c r="I397">
        <v>31</v>
      </c>
      <c r="J397" s="6">
        <f t="shared" si="23"/>
        <v>44.02</v>
      </c>
      <c r="K397" t="s">
        <v>388</v>
      </c>
    </row>
    <row r="398" spans="3:11" outlineLevel="2" x14ac:dyDescent="0.3">
      <c r="C398" s="9">
        <v>44983</v>
      </c>
      <c r="D398" t="s">
        <v>45</v>
      </c>
      <c r="E398" t="s">
        <v>9</v>
      </c>
      <c r="F398" t="s">
        <v>18</v>
      </c>
      <c r="G398" t="s">
        <v>31</v>
      </c>
      <c r="H398">
        <v>715</v>
      </c>
      <c r="I398">
        <v>60</v>
      </c>
      <c r="J398" s="6">
        <f t="shared" si="23"/>
        <v>42.9</v>
      </c>
      <c r="K398" t="s">
        <v>388</v>
      </c>
    </row>
    <row r="399" spans="3:11" outlineLevel="2" x14ac:dyDescent="0.3">
      <c r="C399" s="9">
        <v>44983</v>
      </c>
      <c r="D399" t="s">
        <v>12</v>
      </c>
      <c r="E399" t="s">
        <v>33</v>
      </c>
      <c r="F399" t="s">
        <v>24</v>
      </c>
      <c r="G399" t="s">
        <v>30</v>
      </c>
      <c r="H399">
        <v>2970</v>
      </c>
      <c r="I399">
        <v>37</v>
      </c>
      <c r="J399" s="6">
        <f t="shared" si="23"/>
        <v>109.89</v>
      </c>
      <c r="K399" t="s">
        <v>388</v>
      </c>
    </row>
    <row r="400" spans="3:11" outlineLevel="1" x14ac:dyDescent="0.3">
      <c r="C400" s="13" t="s">
        <v>71</v>
      </c>
      <c r="J400" s="6">
        <f>SUBTOTAL(9,J384:J399)</f>
        <v>1495.1450000000004</v>
      </c>
      <c r="K400" t="s">
        <v>388</v>
      </c>
    </row>
    <row r="401" spans="3:11" outlineLevel="2" x14ac:dyDescent="0.3">
      <c r="C401" s="9">
        <v>44984</v>
      </c>
      <c r="D401" t="s">
        <v>8</v>
      </c>
      <c r="E401" t="s">
        <v>20</v>
      </c>
      <c r="F401" t="s">
        <v>18</v>
      </c>
      <c r="G401" t="s">
        <v>27</v>
      </c>
      <c r="H401">
        <v>460</v>
      </c>
      <c r="I401">
        <v>90</v>
      </c>
      <c r="J401" s="6">
        <f t="shared" ref="J401:J415" si="24">H401*I401/1000</f>
        <v>41.4</v>
      </c>
      <c r="K401" t="s">
        <v>388</v>
      </c>
    </row>
    <row r="402" spans="3:11" outlineLevel="2" x14ac:dyDescent="0.3">
      <c r="C402" s="9">
        <v>44984</v>
      </c>
      <c r="D402" t="s">
        <v>12</v>
      </c>
      <c r="E402" t="s">
        <v>9</v>
      </c>
      <c r="F402" t="s">
        <v>18</v>
      </c>
      <c r="G402" t="s">
        <v>19</v>
      </c>
      <c r="H402">
        <v>325</v>
      </c>
      <c r="I402">
        <v>49</v>
      </c>
      <c r="J402" s="6">
        <f t="shared" si="24"/>
        <v>15.925000000000001</v>
      </c>
      <c r="K402" t="s">
        <v>388</v>
      </c>
    </row>
    <row r="403" spans="3:11" outlineLevel="2" x14ac:dyDescent="0.3">
      <c r="C403" s="9">
        <v>44984</v>
      </c>
      <c r="D403" t="s">
        <v>12</v>
      </c>
      <c r="E403" t="s">
        <v>9</v>
      </c>
      <c r="F403" t="s">
        <v>13</v>
      </c>
      <c r="G403" t="s">
        <v>44</v>
      </c>
      <c r="H403">
        <v>2540</v>
      </c>
      <c r="I403">
        <v>29</v>
      </c>
      <c r="J403" s="6">
        <f t="shared" si="24"/>
        <v>73.66</v>
      </c>
      <c r="K403" t="s">
        <v>388</v>
      </c>
    </row>
    <row r="404" spans="3:11" outlineLevel="2" x14ac:dyDescent="0.3">
      <c r="C404" s="9">
        <v>44984</v>
      </c>
      <c r="D404" t="s">
        <v>8</v>
      </c>
      <c r="E404" t="s">
        <v>26</v>
      </c>
      <c r="F404" t="s">
        <v>10</v>
      </c>
      <c r="G404" t="s">
        <v>41</v>
      </c>
      <c r="H404">
        <v>650</v>
      </c>
      <c r="I404">
        <v>75</v>
      </c>
      <c r="J404" s="6">
        <f t="shared" si="24"/>
        <v>48.75</v>
      </c>
      <c r="K404" t="s">
        <v>388</v>
      </c>
    </row>
    <row r="405" spans="3:11" outlineLevel="2" x14ac:dyDescent="0.3">
      <c r="C405" s="9">
        <v>44984</v>
      </c>
      <c r="D405" t="s">
        <v>8</v>
      </c>
      <c r="E405" t="s">
        <v>26</v>
      </c>
      <c r="F405" t="s">
        <v>10</v>
      </c>
      <c r="G405" t="s">
        <v>41</v>
      </c>
      <c r="H405">
        <v>650</v>
      </c>
      <c r="I405">
        <v>33</v>
      </c>
      <c r="J405" s="6">
        <f t="shared" si="24"/>
        <v>21.45</v>
      </c>
      <c r="K405" t="s">
        <v>388</v>
      </c>
    </row>
    <row r="406" spans="3:11" outlineLevel="2" x14ac:dyDescent="0.3">
      <c r="C406" s="9">
        <v>44984</v>
      </c>
      <c r="D406" t="s">
        <v>12</v>
      </c>
      <c r="E406" t="s">
        <v>26</v>
      </c>
      <c r="F406" t="s">
        <v>10</v>
      </c>
      <c r="G406" t="s">
        <v>16</v>
      </c>
      <c r="H406">
        <v>1380</v>
      </c>
      <c r="I406">
        <v>6</v>
      </c>
      <c r="J406" s="6">
        <f t="shared" si="24"/>
        <v>8.2799999999999994</v>
      </c>
      <c r="K406" t="s">
        <v>388</v>
      </c>
    </row>
    <row r="407" spans="3:11" outlineLevel="2" x14ac:dyDescent="0.3">
      <c r="C407" s="9">
        <v>44984</v>
      </c>
      <c r="D407" t="s">
        <v>8</v>
      </c>
      <c r="E407" t="s">
        <v>26</v>
      </c>
      <c r="F407" t="s">
        <v>18</v>
      </c>
      <c r="G407" t="s">
        <v>27</v>
      </c>
      <c r="H407">
        <v>460</v>
      </c>
      <c r="I407">
        <v>41</v>
      </c>
      <c r="J407" s="6">
        <f t="shared" si="24"/>
        <v>18.86</v>
      </c>
      <c r="K407" t="s">
        <v>388</v>
      </c>
    </row>
    <row r="408" spans="3:11" outlineLevel="2" x14ac:dyDescent="0.3">
      <c r="C408" s="9">
        <v>44984</v>
      </c>
      <c r="D408" t="s">
        <v>8</v>
      </c>
      <c r="E408" t="s">
        <v>26</v>
      </c>
      <c r="F408" t="s">
        <v>24</v>
      </c>
      <c r="G408" t="s">
        <v>25</v>
      </c>
      <c r="H408">
        <v>1760</v>
      </c>
      <c r="I408">
        <v>50</v>
      </c>
      <c r="J408" s="6">
        <f t="shared" si="24"/>
        <v>88</v>
      </c>
      <c r="K408" t="s">
        <v>388</v>
      </c>
    </row>
    <row r="409" spans="3:11" outlineLevel="2" x14ac:dyDescent="0.3">
      <c r="C409" s="9">
        <v>44984</v>
      </c>
      <c r="D409" t="s">
        <v>8</v>
      </c>
      <c r="E409" t="s">
        <v>26</v>
      </c>
      <c r="F409" t="s">
        <v>24</v>
      </c>
      <c r="G409" t="s">
        <v>25</v>
      </c>
      <c r="H409">
        <v>1760</v>
      </c>
      <c r="I409">
        <v>41</v>
      </c>
      <c r="J409" s="6">
        <f t="shared" si="24"/>
        <v>72.16</v>
      </c>
      <c r="K409" t="s">
        <v>388</v>
      </c>
    </row>
    <row r="410" spans="3:11" outlineLevel="2" x14ac:dyDescent="0.3">
      <c r="C410" s="9">
        <v>44984</v>
      </c>
      <c r="D410" t="s">
        <v>8</v>
      </c>
      <c r="E410" t="s">
        <v>15</v>
      </c>
      <c r="F410" t="s">
        <v>10</v>
      </c>
      <c r="G410" t="s">
        <v>40</v>
      </c>
      <c r="H410">
        <v>540</v>
      </c>
      <c r="I410">
        <v>48</v>
      </c>
      <c r="J410" s="6">
        <f t="shared" si="24"/>
        <v>25.92</v>
      </c>
      <c r="K410" t="s">
        <v>388</v>
      </c>
    </row>
    <row r="411" spans="3:11" outlineLevel="2" x14ac:dyDescent="0.3">
      <c r="C411" s="9">
        <v>44984</v>
      </c>
      <c r="D411" t="s">
        <v>12</v>
      </c>
      <c r="E411" t="s">
        <v>15</v>
      </c>
      <c r="F411" t="s">
        <v>18</v>
      </c>
      <c r="G411" t="s">
        <v>19</v>
      </c>
      <c r="H411">
        <v>325</v>
      </c>
      <c r="I411">
        <v>12</v>
      </c>
      <c r="J411" s="6">
        <f t="shared" si="24"/>
        <v>3.9</v>
      </c>
      <c r="K411" t="s">
        <v>388</v>
      </c>
    </row>
    <row r="412" spans="3:11" outlineLevel="2" x14ac:dyDescent="0.3">
      <c r="C412" s="9">
        <v>44984</v>
      </c>
      <c r="D412" t="s">
        <v>45</v>
      </c>
      <c r="E412" t="s">
        <v>33</v>
      </c>
      <c r="F412" t="s">
        <v>18</v>
      </c>
      <c r="G412" t="s">
        <v>21</v>
      </c>
      <c r="H412">
        <v>450</v>
      </c>
      <c r="I412">
        <v>69</v>
      </c>
      <c r="J412" s="6">
        <f t="shared" si="24"/>
        <v>31.05</v>
      </c>
      <c r="K412" t="s">
        <v>388</v>
      </c>
    </row>
    <row r="413" spans="3:11" outlineLevel="2" x14ac:dyDescent="0.3">
      <c r="C413" s="9">
        <v>44984</v>
      </c>
      <c r="D413" t="s">
        <v>12</v>
      </c>
      <c r="E413" t="s">
        <v>33</v>
      </c>
      <c r="F413" t="s">
        <v>18</v>
      </c>
      <c r="G413" t="s">
        <v>37</v>
      </c>
      <c r="H413">
        <v>890</v>
      </c>
      <c r="I413">
        <v>36</v>
      </c>
      <c r="J413" s="6">
        <f t="shared" si="24"/>
        <v>32.04</v>
      </c>
      <c r="K413" t="s">
        <v>388</v>
      </c>
    </row>
    <row r="414" spans="3:11" outlineLevel="2" x14ac:dyDescent="0.3">
      <c r="C414" s="9">
        <v>44984</v>
      </c>
      <c r="D414" t="s">
        <v>12</v>
      </c>
      <c r="E414" t="s">
        <v>35</v>
      </c>
      <c r="F414" t="s">
        <v>13</v>
      </c>
      <c r="G414" t="s">
        <v>43</v>
      </c>
      <c r="H414">
        <v>1420</v>
      </c>
      <c r="I414">
        <v>95</v>
      </c>
      <c r="J414" s="6">
        <f t="shared" si="24"/>
        <v>134.9</v>
      </c>
      <c r="K414" t="s">
        <v>388</v>
      </c>
    </row>
    <row r="415" spans="3:11" outlineLevel="2" x14ac:dyDescent="0.3">
      <c r="C415" s="9">
        <v>44984</v>
      </c>
      <c r="D415" t="s">
        <v>12</v>
      </c>
      <c r="E415" t="s">
        <v>33</v>
      </c>
      <c r="F415" t="s">
        <v>24</v>
      </c>
      <c r="G415" t="s">
        <v>30</v>
      </c>
      <c r="H415">
        <v>2970</v>
      </c>
      <c r="I415">
        <v>55</v>
      </c>
      <c r="J415" s="6">
        <f t="shared" si="24"/>
        <v>163.35</v>
      </c>
      <c r="K415" t="s">
        <v>388</v>
      </c>
    </row>
    <row r="416" spans="3:11" outlineLevel="1" x14ac:dyDescent="0.3">
      <c r="C416" s="13" t="s">
        <v>72</v>
      </c>
      <c r="J416" s="6">
        <f>SUBTOTAL(9,J401:J415)</f>
        <v>779.6450000000001</v>
      </c>
      <c r="K416" t="s">
        <v>388</v>
      </c>
    </row>
    <row r="417" spans="3:11" outlineLevel="2" x14ac:dyDescent="0.3">
      <c r="C417" s="10">
        <v>44985</v>
      </c>
      <c r="D417" s="11" t="s">
        <v>12</v>
      </c>
      <c r="E417" s="11" t="s">
        <v>20</v>
      </c>
      <c r="F417" s="11" t="s">
        <v>18</v>
      </c>
      <c r="G417" s="11" t="s">
        <v>19</v>
      </c>
      <c r="H417" s="11">
        <v>325</v>
      </c>
      <c r="I417" s="11">
        <v>41</v>
      </c>
      <c r="J417" s="6">
        <f t="shared" ref="J417:J442" si="25">H417*I417/1000</f>
        <v>13.324999999999999</v>
      </c>
      <c r="K417" t="s">
        <v>388</v>
      </c>
    </row>
    <row r="418" spans="3:11" outlineLevel="2" x14ac:dyDescent="0.3">
      <c r="C418" s="9">
        <v>44985</v>
      </c>
      <c r="D418" t="s">
        <v>12</v>
      </c>
      <c r="E418" t="s">
        <v>20</v>
      </c>
      <c r="F418" t="s">
        <v>13</v>
      </c>
      <c r="G418" t="s">
        <v>29</v>
      </c>
      <c r="H418">
        <v>1230</v>
      </c>
      <c r="I418">
        <v>40</v>
      </c>
      <c r="J418" s="6">
        <f t="shared" si="25"/>
        <v>49.2</v>
      </c>
      <c r="K418" t="s">
        <v>388</v>
      </c>
    </row>
    <row r="419" spans="3:11" outlineLevel="2" x14ac:dyDescent="0.3">
      <c r="C419" s="9">
        <v>44985</v>
      </c>
      <c r="D419" t="s">
        <v>17</v>
      </c>
      <c r="E419" t="s">
        <v>9</v>
      </c>
      <c r="F419" t="s">
        <v>10</v>
      </c>
      <c r="G419" t="s">
        <v>11</v>
      </c>
      <c r="H419">
        <v>705</v>
      </c>
      <c r="I419">
        <v>23</v>
      </c>
      <c r="J419" s="6">
        <f t="shared" si="25"/>
        <v>16.215</v>
      </c>
      <c r="K419" t="s">
        <v>388</v>
      </c>
    </row>
    <row r="420" spans="3:11" outlineLevel="2" x14ac:dyDescent="0.3">
      <c r="C420" s="9">
        <v>44985</v>
      </c>
      <c r="D420" t="s">
        <v>8</v>
      </c>
      <c r="E420" t="s">
        <v>9</v>
      </c>
      <c r="F420" t="s">
        <v>10</v>
      </c>
      <c r="G420" t="s">
        <v>40</v>
      </c>
      <c r="H420">
        <v>540</v>
      </c>
      <c r="I420">
        <v>46</v>
      </c>
      <c r="J420" s="6">
        <f t="shared" si="25"/>
        <v>24.84</v>
      </c>
      <c r="K420" t="s">
        <v>388</v>
      </c>
    </row>
    <row r="421" spans="3:11" outlineLevel="2" x14ac:dyDescent="0.3">
      <c r="C421" s="9">
        <v>44985</v>
      </c>
      <c r="D421" t="s">
        <v>8</v>
      </c>
      <c r="E421" t="s">
        <v>9</v>
      </c>
      <c r="F421" t="s">
        <v>18</v>
      </c>
      <c r="G421" t="s">
        <v>27</v>
      </c>
      <c r="H421">
        <v>460</v>
      </c>
      <c r="I421">
        <v>21</v>
      </c>
      <c r="J421" s="6">
        <f t="shared" si="25"/>
        <v>9.66</v>
      </c>
      <c r="K421" t="s">
        <v>388</v>
      </c>
    </row>
    <row r="422" spans="3:11" outlineLevel="2" x14ac:dyDescent="0.3">
      <c r="C422" s="9">
        <v>44985</v>
      </c>
      <c r="D422" t="s">
        <v>17</v>
      </c>
      <c r="E422" t="s">
        <v>9</v>
      </c>
      <c r="F422" t="s">
        <v>24</v>
      </c>
      <c r="G422" t="s">
        <v>42</v>
      </c>
      <c r="H422">
        <v>3205</v>
      </c>
      <c r="I422">
        <v>46</v>
      </c>
      <c r="J422" s="6">
        <f t="shared" si="25"/>
        <v>147.43</v>
      </c>
      <c r="K422" t="s">
        <v>388</v>
      </c>
    </row>
    <row r="423" spans="3:11" outlineLevel="2" x14ac:dyDescent="0.3">
      <c r="C423" s="9">
        <v>44985</v>
      </c>
      <c r="D423" t="s">
        <v>17</v>
      </c>
      <c r="E423" t="s">
        <v>26</v>
      </c>
      <c r="F423" t="s">
        <v>13</v>
      </c>
      <c r="G423" t="s">
        <v>22</v>
      </c>
      <c r="H423">
        <v>930</v>
      </c>
      <c r="I423">
        <v>40</v>
      </c>
      <c r="J423" s="6">
        <f t="shared" si="25"/>
        <v>37.200000000000003</v>
      </c>
      <c r="K423" t="s">
        <v>388</v>
      </c>
    </row>
    <row r="424" spans="3:11" outlineLevel="2" x14ac:dyDescent="0.3">
      <c r="C424" s="9">
        <v>44985</v>
      </c>
      <c r="D424" t="s">
        <v>17</v>
      </c>
      <c r="E424" t="s">
        <v>26</v>
      </c>
      <c r="F424" t="s">
        <v>13</v>
      </c>
      <c r="G424" t="s">
        <v>29</v>
      </c>
      <c r="H424">
        <v>1230</v>
      </c>
      <c r="I424">
        <v>81</v>
      </c>
      <c r="J424" s="6">
        <f t="shared" si="25"/>
        <v>99.63</v>
      </c>
      <c r="K424" t="s">
        <v>388</v>
      </c>
    </row>
    <row r="425" spans="3:11" outlineLevel="2" x14ac:dyDescent="0.3">
      <c r="C425" s="9">
        <v>44985</v>
      </c>
      <c r="D425" t="s">
        <v>8</v>
      </c>
      <c r="E425" t="s">
        <v>26</v>
      </c>
      <c r="F425" t="s">
        <v>24</v>
      </c>
      <c r="G425" t="s">
        <v>32</v>
      </c>
      <c r="H425">
        <v>1505</v>
      </c>
      <c r="I425">
        <v>31</v>
      </c>
      <c r="J425" s="6">
        <f t="shared" si="25"/>
        <v>46.655000000000001</v>
      </c>
      <c r="K425" t="s">
        <v>388</v>
      </c>
    </row>
    <row r="426" spans="3:11" outlineLevel="2" x14ac:dyDescent="0.3">
      <c r="C426" s="9">
        <v>44985</v>
      </c>
      <c r="D426" t="s">
        <v>8</v>
      </c>
      <c r="E426" t="s">
        <v>15</v>
      </c>
      <c r="F426" t="s">
        <v>10</v>
      </c>
      <c r="G426" t="s">
        <v>41</v>
      </c>
      <c r="H426">
        <v>650</v>
      </c>
      <c r="I426">
        <v>13</v>
      </c>
      <c r="J426" s="6">
        <f t="shared" si="25"/>
        <v>8.4499999999999993</v>
      </c>
      <c r="K426" t="s">
        <v>388</v>
      </c>
    </row>
    <row r="427" spans="3:11" outlineLevel="2" x14ac:dyDescent="0.3">
      <c r="C427" s="9">
        <v>44985</v>
      </c>
      <c r="D427" t="s">
        <v>45</v>
      </c>
      <c r="E427" t="s">
        <v>15</v>
      </c>
      <c r="F427" t="s">
        <v>18</v>
      </c>
      <c r="G427" t="s">
        <v>19</v>
      </c>
      <c r="H427">
        <v>325</v>
      </c>
      <c r="I427">
        <v>80</v>
      </c>
      <c r="J427" s="6">
        <f t="shared" si="25"/>
        <v>26</v>
      </c>
      <c r="K427" t="s">
        <v>388</v>
      </c>
    </row>
    <row r="428" spans="3:11" outlineLevel="2" x14ac:dyDescent="0.3">
      <c r="C428" s="9">
        <v>44985</v>
      </c>
      <c r="D428" t="s">
        <v>8</v>
      </c>
      <c r="E428" t="s">
        <v>15</v>
      </c>
      <c r="F428" t="s">
        <v>24</v>
      </c>
      <c r="G428" t="s">
        <v>25</v>
      </c>
      <c r="H428">
        <v>1760</v>
      </c>
      <c r="I428">
        <v>46</v>
      </c>
      <c r="J428" s="6">
        <f t="shared" si="25"/>
        <v>80.959999999999994</v>
      </c>
      <c r="K428" t="s">
        <v>388</v>
      </c>
    </row>
    <row r="429" spans="3:11" outlineLevel="2" x14ac:dyDescent="0.3">
      <c r="C429" s="9">
        <v>44985</v>
      </c>
      <c r="D429" t="s">
        <v>12</v>
      </c>
      <c r="E429" t="s">
        <v>33</v>
      </c>
      <c r="F429" t="s">
        <v>13</v>
      </c>
      <c r="G429" t="s">
        <v>22</v>
      </c>
      <c r="H429">
        <v>930</v>
      </c>
      <c r="I429">
        <v>18</v>
      </c>
      <c r="J429" s="6">
        <f t="shared" si="25"/>
        <v>16.739999999999998</v>
      </c>
      <c r="K429" t="s">
        <v>388</v>
      </c>
    </row>
    <row r="430" spans="3:11" outlineLevel="2" x14ac:dyDescent="0.3">
      <c r="C430" s="9">
        <v>44985</v>
      </c>
      <c r="D430" t="s">
        <v>12</v>
      </c>
      <c r="E430" t="s">
        <v>33</v>
      </c>
      <c r="F430" t="s">
        <v>24</v>
      </c>
      <c r="G430" t="s">
        <v>34</v>
      </c>
      <c r="H430">
        <v>1670</v>
      </c>
      <c r="I430">
        <v>97</v>
      </c>
      <c r="J430" s="6">
        <f t="shared" si="25"/>
        <v>161.99</v>
      </c>
      <c r="K430" t="s">
        <v>388</v>
      </c>
    </row>
    <row r="431" spans="3:11" outlineLevel="2" x14ac:dyDescent="0.3">
      <c r="C431" s="9">
        <v>44985</v>
      </c>
      <c r="D431" t="s">
        <v>45</v>
      </c>
      <c r="E431" t="s">
        <v>33</v>
      </c>
      <c r="F431" t="s">
        <v>24</v>
      </c>
      <c r="G431" t="s">
        <v>30</v>
      </c>
      <c r="H431">
        <v>2970</v>
      </c>
      <c r="I431">
        <v>9</v>
      </c>
      <c r="J431" s="6">
        <f t="shared" si="25"/>
        <v>26.73</v>
      </c>
      <c r="K431" t="s">
        <v>388</v>
      </c>
    </row>
    <row r="432" spans="3:11" outlineLevel="2" x14ac:dyDescent="0.3">
      <c r="C432" s="9">
        <v>44985</v>
      </c>
      <c r="D432" t="s">
        <v>8</v>
      </c>
      <c r="E432" t="s">
        <v>33</v>
      </c>
      <c r="F432" t="s">
        <v>24</v>
      </c>
      <c r="G432" t="s">
        <v>36</v>
      </c>
      <c r="H432">
        <v>2460</v>
      </c>
      <c r="I432">
        <v>78</v>
      </c>
      <c r="J432" s="6">
        <f t="shared" si="25"/>
        <v>191.88</v>
      </c>
      <c r="K432" t="s">
        <v>388</v>
      </c>
    </row>
    <row r="433" spans="3:11" outlineLevel="2" x14ac:dyDescent="0.3">
      <c r="C433" s="9">
        <v>44985</v>
      </c>
      <c r="D433" t="s">
        <v>17</v>
      </c>
      <c r="E433" t="s">
        <v>35</v>
      </c>
      <c r="F433" t="s">
        <v>13</v>
      </c>
      <c r="G433" t="s">
        <v>22</v>
      </c>
      <c r="H433">
        <v>930</v>
      </c>
      <c r="I433">
        <v>100</v>
      </c>
      <c r="J433" s="6">
        <f t="shared" si="25"/>
        <v>93</v>
      </c>
      <c r="K433" t="s">
        <v>388</v>
      </c>
    </row>
    <row r="434" spans="3:11" outlineLevel="2" x14ac:dyDescent="0.3">
      <c r="C434" s="9">
        <v>44985</v>
      </c>
      <c r="D434" t="s">
        <v>12</v>
      </c>
      <c r="E434" t="s">
        <v>35</v>
      </c>
      <c r="F434" t="s">
        <v>10</v>
      </c>
      <c r="G434" t="s">
        <v>40</v>
      </c>
      <c r="H434">
        <v>540</v>
      </c>
      <c r="I434">
        <v>98</v>
      </c>
      <c r="J434" s="6">
        <f t="shared" si="25"/>
        <v>52.92</v>
      </c>
      <c r="K434" t="s">
        <v>388</v>
      </c>
    </row>
    <row r="435" spans="3:11" outlineLevel="2" x14ac:dyDescent="0.3">
      <c r="C435" s="9">
        <v>44985</v>
      </c>
      <c r="D435" t="s">
        <v>12</v>
      </c>
      <c r="E435" t="s">
        <v>35</v>
      </c>
      <c r="F435" t="s">
        <v>10</v>
      </c>
      <c r="G435" t="s">
        <v>11</v>
      </c>
      <c r="H435">
        <v>705</v>
      </c>
      <c r="I435">
        <v>19</v>
      </c>
      <c r="J435" s="6">
        <f t="shared" si="25"/>
        <v>13.395</v>
      </c>
      <c r="K435" t="s">
        <v>388</v>
      </c>
    </row>
    <row r="436" spans="3:11" outlineLevel="2" x14ac:dyDescent="0.3">
      <c r="C436" s="9">
        <v>44985</v>
      </c>
      <c r="D436" t="s">
        <v>12</v>
      </c>
      <c r="E436" t="s">
        <v>35</v>
      </c>
      <c r="F436" t="s">
        <v>18</v>
      </c>
      <c r="G436" t="s">
        <v>28</v>
      </c>
      <c r="H436">
        <v>690</v>
      </c>
      <c r="I436">
        <v>27</v>
      </c>
      <c r="J436" s="6">
        <f t="shared" si="25"/>
        <v>18.63</v>
      </c>
      <c r="K436" t="s">
        <v>388</v>
      </c>
    </row>
    <row r="437" spans="3:11" outlineLevel="2" x14ac:dyDescent="0.3">
      <c r="C437" s="9">
        <v>44985</v>
      </c>
      <c r="D437" t="s">
        <v>17</v>
      </c>
      <c r="E437" t="s">
        <v>35</v>
      </c>
      <c r="F437" t="s">
        <v>13</v>
      </c>
      <c r="G437" t="s">
        <v>43</v>
      </c>
      <c r="H437">
        <v>1420</v>
      </c>
      <c r="I437">
        <v>74</v>
      </c>
      <c r="J437" s="6">
        <f t="shared" si="25"/>
        <v>105.08</v>
      </c>
      <c r="K437" t="s">
        <v>388</v>
      </c>
    </row>
    <row r="438" spans="3:11" outlineLevel="2" x14ac:dyDescent="0.3">
      <c r="C438" s="9">
        <v>44985</v>
      </c>
      <c r="D438" t="s">
        <v>17</v>
      </c>
      <c r="E438" t="s">
        <v>35</v>
      </c>
      <c r="F438" t="s">
        <v>13</v>
      </c>
      <c r="G438" t="s">
        <v>29</v>
      </c>
      <c r="H438">
        <v>1230</v>
      </c>
      <c r="I438">
        <v>25</v>
      </c>
      <c r="J438" s="6">
        <f t="shared" si="25"/>
        <v>30.75</v>
      </c>
      <c r="K438" t="s">
        <v>388</v>
      </c>
    </row>
    <row r="439" spans="3:11" outlineLevel="2" x14ac:dyDescent="0.3">
      <c r="C439" s="9">
        <v>44985</v>
      </c>
      <c r="D439" t="s">
        <v>45</v>
      </c>
      <c r="E439" t="s">
        <v>35</v>
      </c>
      <c r="F439" t="s">
        <v>24</v>
      </c>
      <c r="G439" t="s">
        <v>25</v>
      </c>
      <c r="H439">
        <v>1760</v>
      </c>
      <c r="I439">
        <v>99</v>
      </c>
      <c r="J439" s="6">
        <f t="shared" si="25"/>
        <v>174.24</v>
      </c>
      <c r="K439" t="s">
        <v>388</v>
      </c>
    </row>
    <row r="440" spans="3:11" outlineLevel="2" x14ac:dyDescent="0.3">
      <c r="C440" s="9">
        <v>44985</v>
      </c>
      <c r="D440" t="s">
        <v>45</v>
      </c>
      <c r="E440" t="s">
        <v>35</v>
      </c>
      <c r="F440" t="s">
        <v>24</v>
      </c>
      <c r="G440" t="s">
        <v>42</v>
      </c>
      <c r="H440">
        <v>3205</v>
      </c>
      <c r="I440">
        <v>53</v>
      </c>
      <c r="J440" s="6">
        <f t="shared" si="25"/>
        <v>169.86500000000001</v>
      </c>
      <c r="K440" t="s">
        <v>388</v>
      </c>
    </row>
    <row r="441" spans="3:11" outlineLevel="2" x14ac:dyDescent="0.3">
      <c r="C441" s="9">
        <v>44985</v>
      </c>
      <c r="D441" t="s">
        <v>17</v>
      </c>
      <c r="E441" t="s">
        <v>20</v>
      </c>
      <c r="F441" t="s">
        <v>18</v>
      </c>
      <c r="G441" t="s">
        <v>21</v>
      </c>
      <c r="H441">
        <v>450</v>
      </c>
      <c r="I441">
        <v>48</v>
      </c>
      <c r="J441" s="6">
        <f t="shared" si="25"/>
        <v>21.6</v>
      </c>
      <c r="K441" t="s">
        <v>388</v>
      </c>
    </row>
    <row r="442" spans="3:11" outlineLevel="2" x14ac:dyDescent="0.3">
      <c r="C442" s="9">
        <v>44985</v>
      </c>
      <c r="D442" t="s">
        <v>8</v>
      </c>
      <c r="E442" t="s">
        <v>20</v>
      </c>
      <c r="F442" t="s">
        <v>13</v>
      </c>
      <c r="G442" t="s">
        <v>44</v>
      </c>
      <c r="H442">
        <v>2540</v>
      </c>
      <c r="I442">
        <v>96</v>
      </c>
      <c r="J442" s="6">
        <f t="shared" si="25"/>
        <v>243.84</v>
      </c>
      <c r="K442" t="s">
        <v>388</v>
      </c>
    </row>
    <row r="443" spans="3:11" outlineLevel="1" x14ac:dyDescent="0.3">
      <c r="C443" s="13" t="s">
        <v>73</v>
      </c>
      <c r="J443" s="6">
        <f>SUBTOTAL(9,J417:J442)</f>
        <v>1880.2249999999999</v>
      </c>
    </row>
    <row r="444" spans="3:11" outlineLevel="2" x14ac:dyDescent="0.3">
      <c r="C444" s="10">
        <v>44986</v>
      </c>
      <c r="D444" s="11" t="s">
        <v>45</v>
      </c>
      <c r="E444" s="11" t="s">
        <v>20</v>
      </c>
      <c r="F444" s="11" t="s">
        <v>10</v>
      </c>
      <c r="G444" s="11" t="s">
        <v>16</v>
      </c>
      <c r="H444" s="11">
        <v>1380</v>
      </c>
      <c r="I444" s="11">
        <v>61</v>
      </c>
      <c r="J444" s="6">
        <f t="shared" ref="J444:J464" si="26">H444*I444/1000</f>
        <v>84.18</v>
      </c>
      <c r="K444" t="s">
        <v>389</v>
      </c>
    </row>
    <row r="445" spans="3:11" outlineLevel="2" x14ac:dyDescent="0.3">
      <c r="C445" s="9">
        <v>44986</v>
      </c>
      <c r="D445" t="s">
        <v>12</v>
      </c>
      <c r="E445" t="s">
        <v>9</v>
      </c>
      <c r="F445" t="s">
        <v>10</v>
      </c>
      <c r="G445" t="s">
        <v>41</v>
      </c>
      <c r="H445">
        <v>650</v>
      </c>
      <c r="I445">
        <v>97</v>
      </c>
      <c r="J445" s="6">
        <f t="shared" si="26"/>
        <v>63.05</v>
      </c>
      <c r="K445" t="s">
        <v>389</v>
      </c>
    </row>
    <row r="446" spans="3:11" outlineLevel="2" x14ac:dyDescent="0.3">
      <c r="C446" s="9">
        <v>44986</v>
      </c>
      <c r="D446" t="s">
        <v>12</v>
      </c>
      <c r="E446" t="s">
        <v>9</v>
      </c>
      <c r="F446" t="s">
        <v>18</v>
      </c>
      <c r="G446" t="s">
        <v>19</v>
      </c>
      <c r="H446">
        <v>325</v>
      </c>
      <c r="I446">
        <v>100</v>
      </c>
      <c r="J446" s="6">
        <f t="shared" si="26"/>
        <v>32.5</v>
      </c>
      <c r="K446" t="s">
        <v>389</v>
      </c>
    </row>
    <row r="447" spans="3:11" outlineLevel="2" x14ac:dyDescent="0.3">
      <c r="C447" s="9">
        <v>44986</v>
      </c>
      <c r="D447" t="s">
        <v>45</v>
      </c>
      <c r="E447" t="s">
        <v>9</v>
      </c>
      <c r="F447" t="s">
        <v>18</v>
      </c>
      <c r="G447" t="s">
        <v>28</v>
      </c>
      <c r="H447">
        <v>690</v>
      </c>
      <c r="I447">
        <v>68</v>
      </c>
      <c r="J447" s="6">
        <f t="shared" si="26"/>
        <v>46.92</v>
      </c>
      <c r="K447" t="s">
        <v>389</v>
      </c>
    </row>
    <row r="448" spans="3:11" outlineLevel="2" x14ac:dyDescent="0.3">
      <c r="C448" s="9">
        <v>44986</v>
      </c>
      <c r="D448" t="s">
        <v>45</v>
      </c>
      <c r="E448" t="s">
        <v>9</v>
      </c>
      <c r="F448" t="s">
        <v>18</v>
      </c>
      <c r="G448" t="s">
        <v>21</v>
      </c>
      <c r="H448">
        <v>450</v>
      </c>
      <c r="I448">
        <v>79</v>
      </c>
      <c r="J448" s="6">
        <f t="shared" si="26"/>
        <v>35.549999999999997</v>
      </c>
      <c r="K448" t="s">
        <v>389</v>
      </c>
    </row>
    <row r="449" spans="3:11" outlineLevel="2" x14ac:dyDescent="0.3">
      <c r="C449" s="9">
        <v>44986</v>
      </c>
      <c r="D449" t="s">
        <v>45</v>
      </c>
      <c r="E449" t="s">
        <v>9</v>
      </c>
      <c r="F449" t="s">
        <v>24</v>
      </c>
      <c r="G449" t="s">
        <v>34</v>
      </c>
      <c r="H449">
        <v>1670</v>
      </c>
      <c r="I449">
        <v>96</v>
      </c>
      <c r="J449" s="6">
        <f t="shared" si="26"/>
        <v>160.32</v>
      </c>
      <c r="K449" t="s">
        <v>389</v>
      </c>
    </row>
    <row r="450" spans="3:11" outlineLevel="2" x14ac:dyDescent="0.3">
      <c r="C450" s="9">
        <v>44986</v>
      </c>
      <c r="D450" t="s">
        <v>12</v>
      </c>
      <c r="E450" t="s">
        <v>26</v>
      </c>
      <c r="F450" t="s">
        <v>10</v>
      </c>
      <c r="G450" t="s">
        <v>39</v>
      </c>
      <c r="H450">
        <v>650</v>
      </c>
      <c r="I450">
        <v>64</v>
      </c>
      <c r="J450" s="6">
        <f t="shared" si="26"/>
        <v>41.6</v>
      </c>
      <c r="K450" t="s">
        <v>389</v>
      </c>
    </row>
    <row r="451" spans="3:11" outlineLevel="2" x14ac:dyDescent="0.3">
      <c r="C451" s="9">
        <v>44986</v>
      </c>
      <c r="D451" t="s">
        <v>45</v>
      </c>
      <c r="E451" t="s">
        <v>26</v>
      </c>
      <c r="F451" t="s">
        <v>18</v>
      </c>
      <c r="G451" t="s">
        <v>31</v>
      </c>
      <c r="H451">
        <v>715</v>
      </c>
      <c r="I451">
        <v>51</v>
      </c>
      <c r="J451" s="6">
        <f t="shared" si="26"/>
        <v>36.465000000000003</v>
      </c>
      <c r="K451" t="s">
        <v>389</v>
      </c>
    </row>
    <row r="452" spans="3:11" outlineLevel="2" x14ac:dyDescent="0.3">
      <c r="C452" s="9">
        <v>44986</v>
      </c>
      <c r="D452" t="s">
        <v>17</v>
      </c>
      <c r="E452" t="s">
        <v>26</v>
      </c>
      <c r="F452" t="s">
        <v>24</v>
      </c>
      <c r="G452" t="s">
        <v>34</v>
      </c>
      <c r="H452">
        <v>1670</v>
      </c>
      <c r="I452">
        <v>77</v>
      </c>
      <c r="J452" s="6">
        <f t="shared" si="26"/>
        <v>128.59</v>
      </c>
      <c r="K452" t="s">
        <v>389</v>
      </c>
    </row>
    <row r="453" spans="3:11" outlineLevel="2" x14ac:dyDescent="0.3">
      <c r="C453" s="9">
        <v>44986</v>
      </c>
      <c r="D453" t="s">
        <v>17</v>
      </c>
      <c r="E453" t="s">
        <v>15</v>
      </c>
      <c r="F453" t="s">
        <v>18</v>
      </c>
      <c r="G453" t="s">
        <v>37</v>
      </c>
      <c r="H453">
        <v>890</v>
      </c>
      <c r="I453">
        <v>22</v>
      </c>
      <c r="J453" s="6">
        <f t="shared" si="26"/>
        <v>19.579999999999998</v>
      </c>
      <c r="K453" t="s">
        <v>389</v>
      </c>
    </row>
    <row r="454" spans="3:11" outlineLevel="2" x14ac:dyDescent="0.3">
      <c r="C454" s="9">
        <v>44986</v>
      </c>
      <c r="D454" t="s">
        <v>12</v>
      </c>
      <c r="E454" t="s">
        <v>15</v>
      </c>
      <c r="F454" t="s">
        <v>18</v>
      </c>
      <c r="G454" t="s">
        <v>31</v>
      </c>
      <c r="H454">
        <v>715</v>
      </c>
      <c r="I454">
        <v>8</v>
      </c>
      <c r="J454" s="6">
        <f t="shared" si="26"/>
        <v>5.72</v>
      </c>
      <c r="K454" t="s">
        <v>389</v>
      </c>
    </row>
    <row r="455" spans="3:11" outlineLevel="2" x14ac:dyDescent="0.3">
      <c r="C455" s="9">
        <v>44986</v>
      </c>
      <c r="D455" t="s">
        <v>17</v>
      </c>
      <c r="E455" t="s">
        <v>15</v>
      </c>
      <c r="F455" t="s">
        <v>18</v>
      </c>
      <c r="G455" t="s">
        <v>21</v>
      </c>
      <c r="H455">
        <v>450</v>
      </c>
      <c r="I455">
        <v>12</v>
      </c>
      <c r="J455" s="6">
        <f t="shared" si="26"/>
        <v>5.4</v>
      </c>
      <c r="K455" t="s">
        <v>389</v>
      </c>
    </row>
    <row r="456" spans="3:11" outlineLevel="2" x14ac:dyDescent="0.3">
      <c r="C456" s="9">
        <v>44986</v>
      </c>
      <c r="D456" t="s">
        <v>8</v>
      </c>
      <c r="E456" t="s">
        <v>15</v>
      </c>
      <c r="F456" t="s">
        <v>24</v>
      </c>
      <c r="G456" t="s">
        <v>25</v>
      </c>
      <c r="H456">
        <v>1760</v>
      </c>
      <c r="I456">
        <v>49</v>
      </c>
      <c r="J456" s="6">
        <f t="shared" si="26"/>
        <v>86.24</v>
      </c>
      <c r="K456" t="s">
        <v>389</v>
      </c>
    </row>
    <row r="457" spans="3:11" outlineLevel="2" x14ac:dyDescent="0.3">
      <c r="C457" s="9">
        <v>44986</v>
      </c>
      <c r="D457" t="s">
        <v>8</v>
      </c>
      <c r="E457" t="s">
        <v>15</v>
      </c>
      <c r="F457" t="s">
        <v>24</v>
      </c>
      <c r="G457" t="s">
        <v>25</v>
      </c>
      <c r="H457">
        <v>1760</v>
      </c>
      <c r="I457">
        <v>99</v>
      </c>
      <c r="J457" s="6">
        <f t="shared" si="26"/>
        <v>174.24</v>
      </c>
      <c r="K457" t="s">
        <v>389</v>
      </c>
    </row>
    <row r="458" spans="3:11" outlineLevel="2" x14ac:dyDescent="0.3">
      <c r="C458" s="9">
        <v>44986</v>
      </c>
      <c r="D458" t="s">
        <v>45</v>
      </c>
      <c r="E458" t="s">
        <v>15</v>
      </c>
      <c r="F458" t="s">
        <v>24</v>
      </c>
      <c r="G458" t="s">
        <v>32</v>
      </c>
      <c r="H458">
        <v>1505</v>
      </c>
      <c r="I458">
        <v>96</v>
      </c>
      <c r="J458" s="6">
        <f t="shared" si="26"/>
        <v>144.47999999999999</v>
      </c>
      <c r="K458" t="s">
        <v>389</v>
      </c>
    </row>
    <row r="459" spans="3:11" outlineLevel="2" x14ac:dyDescent="0.3">
      <c r="C459" s="9">
        <v>44986</v>
      </c>
      <c r="D459" t="s">
        <v>8</v>
      </c>
      <c r="E459" t="s">
        <v>33</v>
      </c>
      <c r="F459" t="s">
        <v>10</v>
      </c>
      <c r="G459" t="s">
        <v>23</v>
      </c>
      <c r="H459">
        <v>640</v>
      </c>
      <c r="I459">
        <v>25</v>
      </c>
      <c r="J459" s="6">
        <f t="shared" si="26"/>
        <v>16</v>
      </c>
      <c r="K459" t="s">
        <v>389</v>
      </c>
    </row>
    <row r="460" spans="3:11" outlineLevel="2" x14ac:dyDescent="0.3">
      <c r="C460" s="9">
        <v>44986</v>
      </c>
      <c r="D460" t="s">
        <v>12</v>
      </c>
      <c r="E460" t="s">
        <v>33</v>
      </c>
      <c r="F460" t="s">
        <v>18</v>
      </c>
      <c r="G460" t="s">
        <v>21</v>
      </c>
      <c r="H460">
        <v>450</v>
      </c>
      <c r="I460">
        <v>12</v>
      </c>
      <c r="J460" s="6">
        <f t="shared" si="26"/>
        <v>5.4</v>
      </c>
      <c r="K460" t="s">
        <v>389</v>
      </c>
    </row>
    <row r="461" spans="3:11" outlineLevel="2" x14ac:dyDescent="0.3">
      <c r="C461" s="9">
        <v>44986</v>
      </c>
      <c r="D461" t="s">
        <v>45</v>
      </c>
      <c r="E461" t="s">
        <v>33</v>
      </c>
      <c r="F461" t="s">
        <v>18</v>
      </c>
      <c r="G461" t="s">
        <v>27</v>
      </c>
      <c r="H461">
        <v>460</v>
      </c>
      <c r="I461">
        <v>89</v>
      </c>
      <c r="J461" s="6">
        <f t="shared" si="26"/>
        <v>40.94</v>
      </c>
      <c r="K461" t="s">
        <v>389</v>
      </c>
    </row>
    <row r="462" spans="3:11" outlineLevel="2" x14ac:dyDescent="0.3">
      <c r="C462" s="9">
        <v>44986</v>
      </c>
      <c r="D462" t="s">
        <v>17</v>
      </c>
      <c r="E462" t="s">
        <v>33</v>
      </c>
      <c r="F462" t="s">
        <v>13</v>
      </c>
      <c r="G462" t="s">
        <v>14</v>
      </c>
      <c r="H462">
        <v>1320</v>
      </c>
      <c r="I462">
        <v>11</v>
      </c>
      <c r="J462" s="6">
        <f t="shared" si="26"/>
        <v>14.52</v>
      </c>
      <c r="K462" t="s">
        <v>389</v>
      </c>
    </row>
    <row r="463" spans="3:11" outlineLevel="2" x14ac:dyDescent="0.3">
      <c r="C463" s="9">
        <v>44986</v>
      </c>
      <c r="D463" t="s">
        <v>8</v>
      </c>
      <c r="E463" t="s">
        <v>35</v>
      </c>
      <c r="F463" t="s">
        <v>10</v>
      </c>
      <c r="G463" t="s">
        <v>16</v>
      </c>
      <c r="H463">
        <v>1380</v>
      </c>
      <c r="I463">
        <v>31</v>
      </c>
      <c r="J463" s="6">
        <f t="shared" si="26"/>
        <v>42.78</v>
      </c>
      <c r="K463" t="s">
        <v>389</v>
      </c>
    </row>
    <row r="464" spans="3:11" outlineLevel="2" x14ac:dyDescent="0.3">
      <c r="C464" s="9">
        <v>44986</v>
      </c>
      <c r="D464" t="s">
        <v>17</v>
      </c>
      <c r="E464" t="s">
        <v>35</v>
      </c>
      <c r="F464" t="s">
        <v>10</v>
      </c>
      <c r="G464" t="s">
        <v>16</v>
      </c>
      <c r="H464">
        <v>1380</v>
      </c>
      <c r="I464">
        <v>92</v>
      </c>
      <c r="J464" s="6">
        <f t="shared" si="26"/>
        <v>126.96</v>
      </c>
      <c r="K464" t="s">
        <v>389</v>
      </c>
    </row>
    <row r="465" spans="3:11" outlineLevel="1" x14ac:dyDescent="0.3">
      <c r="C465" s="13" t="s">
        <v>74</v>
      </c>
      <c r="J465" s="6">
        <f>SUBTOTAL(9,J444:J464)</f>
        <v>1311.4350000000002</v>
      </c>
      <c r="K465" t="s">
        <v>389</v>
      </c>
    </row>
    <row r="466" spans="3:11" outlineLevel="2" x14ac:dyDescent="0.3">
      <c r="C466" s="9">
        <v>44987</v>
      </c>
      <c r="D466" t="s">
        <v>12</v>
      </c>
      <c r="E466" t="s">
        <v>20</v>
      </c>
      <c r="F466" t="s">
        <v>10</v>
      </c>
      <c r="G466" t="s">
        <v>40</v>
      </c>
      <c r="H466">
        <v>540</v>
      </c>
      <c r="I466">
        <v>21</v>
      </c>
      <c r="J466" s="6">
        <f t="shared" ref="J466:J485" si="27">H466*I466/1000</f>
        <v>11.34</v>
      </c>
      <c r="K466" t="s">
        <v>389</v>
      </c>
    </row>
    <row r="467" spans="3:11" outlineLevel="2" x14ac:dyDescent="0.3">
      <c r="C467" s="10">
        <v>44987</v>
      </c>
      <c r="D467" s="11" t="s">
        <v>12</v>
      </c>
      <c r="E467" s="11" t="s">
        <v>20</v>
      </c>
      <c r="F467" s="11" t="s">
        <v>10</v>
      </c>
      <c r="G467" s="11" t="s">
        <v>16</v>
      </c>
      <c r="H467" s="11">
        <v>1380</v>
      </c>
      <c r="I467" s="11">
        <v>70</v>
      </c>
      <c r="J467" s="6">
        <f t="shared" si="27"/>
        <v>96.6</v>
      </c>
      <c r="K467" t="s">
        <v>389</v>
      </c>
    </row>
    <row r="468" spans="3:11" outlineLevel="2" x14ac:dyDescent="0.3">
      <c r="C468" s="9">
        <v>44987</v>
      </c>
      <c r="D468" t="s">
        <v>8</v>
      </c>
      <c r="E468" t="s">
        <v>20</v>
      </c>
      <c r="F468" t="s">
        <v>18</v>
      </c>
      <c r="G468" t="s">
        <v>31</v>
      </c>
      <c r="H468">
        <v>715</v>
      </c>
      <c r="I468">
        <v>48</v>
      </c>
      <c r="J468" s="6">
        <f t="shared" si="27"/>
        <v>34.32</v>
      </c>
      <c r="K468" t="s">
        <v>389</v>
      </c>
    </row>
    <row r="469" spans="3:11" outlineLevel="2" x14ac:dyDescent="0.3">
      <c r="C469" s="9">
        <v>44987</v>
      </c>
      <c r="D469" t="s">
        <v>12</v>
      </c>
      <c r="E469" t="s">
        <v>9</v>
      </c>
      <c r="F469" t="s">
        <v>10</v>
      </c>
      <c r="G469" t="s">
        <v>39</v>
      </c>
      <c r="H469">
        <v>650</v>
      </c>
      <c r="I469">
        <v>49</v>
      </c>
      <c r="J469" s="6">
        <f t="shared" si="27"/>
        <v>31.85</v>
      </c>
      <c r="K469" t="s">
        <v>389</v>
      </c>
    </row>
    <row r="470" spans="3:11" outlineLevel="2" x14ac:dyDescent="0.3">
      <c r="C470" s="9">
        <v>44987</v>
      </c>
      <c r="D470" t="s">
        <v>17</v>
      </c>
      <c r="E470" t="s">
        <v>9</v>
      </c>
      <c r="F470" t="s">
        <v>18</v>
      </c>
      <c r="G470" t="s">
        <v>37</v>
      </c>
      <c r="H470">
        <v>890</v>
      </c>
      <c r="I470">
        <v>5</v>
      </c>
      <c r="J470" s="6">
        <f t="shared" si="27"/>
        <v>4.45</v>
      </c>
      <c r="K470" t="s">
        <v>389</v>
      </c>
    </row>
    <row r="471" spans="3:11" outlineLevel="2" x14ac:dyDescent="0.3">
      <c r="C471" s="9">
        <v>44987</v>
      </c>
      <c r="D471" t="s">
        <v>17</v>
      </c>
      <c r="E471" t="s">
        <v>9</v>
      </c>
      <c r="F471" t="s">
        <v>18</v>
      </c>
      <c r="G471" t="s">
        <v>27</v>
      </c>
      <c r="H471">
        <v>460</v>
      </c>
      <c r="I471">
        <v>71</v>
      </c>
      <c r="J471" s="6">
        <f t="shared" si="27"/>
        <v>32.659999999999997</v>
      </c>
      <c r="K471" t="s">
        <v>389</v>
      </c>
    </row>
    <row r="472" spans="3:11" outlineLevel="2" x14ac:dyDescent="0.3">
      <c r="C472" s="9">
        <v>44987</v>
      </c>
      <c r="D472" t="s">
        <v>17</v>
      </c>
      <c r="E472" t="s">
        <v>9</v>
      </c>
      <c r="F472" t="s">
        <v>18</v>
      </c>
      <c r="G472" t="s">
        <v>31</v>
      </c>
      <c r="H472">
        <v>715</v>
      </c>
      <c r="I472">
        <v>59</v>
      </c>
      <c r="J472" s="6">
        <f t="shared" si="27"/>
        <v>42.185000000000002</v>
      </c>
      <c r="K472" t="s">
        <v>389</v>
      </c>
    </row>
    <row r="473" spans="3:11" outlineLevel="2" x14ac:dyDescent="0.3">
      <c r="C473" s="9">
        <v>44987</v>
      </c>
      <c r="D473" t="s">
        <v>17</v>
      </c>
      <c r="E473" t="s">
        <v>9</v>
      </c>
      <c r="F473" t="s">
        <v>13</v>
      </c>
      <c r="G473" t="s">
        <v>38</v>
      </c>
      <c r="H473">
        <v>2400</v>
      </c>
      <c r="I473">
        <v>57</v>
      </c>
      <c r="J473" s="6">
        <f t="shared" si="27"/>
        <v>136.80000000000001</v>
      </c>
      <c r="K473" t="s">
        <v>389</v>
      </c>
    </row>
    <row r="474" spans="3:11" outlineLevel="2" x14ac:dyDescent="0.3">
      <c r="C474" s="9">
        <v>44987</v>
      </c>
      <c r="D474" t="s">
        <v>17</v>
      </c>
      <c r="E474" t="s">
        <v>9</v>
      </c>
      <c r="F474" t="s">
        <v>13</v>
      </c>
      <c r="G474" t="s">
        <v>43</v>
      </c>
      <c r="H474">
        <v>1420</v>
      </c>
      <c r="I474">
        <v>53</v>
      </c>
      <c r="J474" s="6">
        <f t="shared" si="27"/>
        <v>75.260000000000005</v>
      </c>
      <c r="K474" t="s">
        <v>389</v>
      </c>
    </row>
    <row r="475" spans="3:11" outlineLevel="2" x14ac:dyDescent="0.3">
      <c r="C475" s="9">
        <v>44987</v>
      </c>
      <c r="D475" t="s">
        <v>17</v>
      </c>
      <c r="E475" t="s">
        <v>15</v>
      </c>
      <c r="F475" t="s">
        <v>10</v>
      </c>
      <c r="G475" t="s">
        <v>40</v>
      </c>
      <c r="H475">
        <v>540</v>
      </c>
      <c r="I475">
        <v>5</v>
      </c>
      <c r="J475" s="6">
        <f t="shared" si="27"/>
        <v>2.7</v>
      </c>
      <c r="K475" t="s">
        <v>389</v>
      </c>
    </row>
    <row r="476" spans="3:11" outlineLevel="2" x14ac:dyDescent="0.3">
      <c r="C476" s="9">
        <v>44987</v>
      </c>
      <c r="D476" t="s">
        <v>17</v>
      </c>
      <c r="E476" t="s">
        <v>15</v>
      </c>
      <c r="F476" t="s">
        <v>13</v>
      </c>
      <c r="G476" t="s">
        <v>14</v>
      </c>
      <c r="H476">
        <v>1320</v>
      </c>
      <c r="I476">
        <v>36</v>
      </c>
      <c r="J476" s="6">
        <f t="shared" si="27"/>
        <v>47.52</v>
      </c>
      <c r="K476" t="s">
        <v>389</v>
      </c>
    </row>
    <row r="477" spans="3:11" outlineLevel="2" x14ac:dyDescent="0.3">
      <c r="C477" s="9">
        <v>44987</v>
      </c>
      <c r="D477" t="s">
        <v>8</v>
      </c>
      <c r="E477" t="s">
        <v>15</v>
      </c>
      <c r="F477" t="s">
        <v>24</v>
      </c>
      <c r="G477" t="s">
        <v>30</v>
      </c>
      <c r="H477">
        <v>2970</v>
      </c>
      <c r="I477">
        <v>15</v>
      </c>
      <c r="J477" s="6">
        <f t="shared" si="27"/>
        <v>44.55</v>
      </c>
      <c r="K477" t="s">
        <v>389</v>
      </c>
    </row>
    <row r="478" spans="3:11" outlineLevel="2" x14ac:dyDescent="0.3">
      <c r="C478" s="9">
        <v>44987</v>
      </c>
      <c r="D478" t="s">
        <v>12</v>
      </c>
      <c r="E478" t="s">
        <v>33</v>
      </c>
      <c r="F478" t="s">
        <v>10</v>
      </c>
      <c r="G478" t="s">
        <v>23</v>
      </c>
      <c r="H478">
        <v>640</v>
      </c>
      <c r="I478">
        <v>57</v>
      </c>
      <c r="J478" s="6">
        <f t="shared" si="27"/>
        <v>36.479999999999997</v>
      </c>
      <c r="K478" t="s">
        <v>389</v>
      </c>
    </row>
    <row r="479" spans="3:11" outlineLevel="2" x14ac:dyDescent="0.3">
      <c r="C479" s="9">
        <v>44987</v>
      </c>
      <c r="D479" t="s">
        <v>45</v>
      </c>
      <c r="E479" t="s">
        <v>33</v>
      </c>
      <c r="F479" t="s">
        <v>18</v>
      </c>
      <c r="G479" t="s">
        <v>19</v>
      </c>
      <c r="H479">
        <v>325</v>
      </c>
      <c r="I479">
        <v>21</v>
      </c>
      <c r="J479" s="6">
        <f t="shared" si="27"/>
        <v>6.8250000000000002</v>
      </c>
      <c r="K479" t="s">
        <v>389</v>
      </c>
    </row>
    <row r="480" spans="3:11" outlineLevel="2" x14ac:dyDescent="0.3">
      <c r="C480" s="9">
        <v>44987</v>
      </c>
      <c r="D480" t="s">
        <v>45</v>
      </c>
      <c r="E480" t="s">
        <v>33</v>
      </c>
      <c r="F480" t="s">
        <v>24</v>
      </c>
      <c r="G480" t="s">
        <v>34</v>
      </c>
      <c r="H480">
        <v>1670</v>
      </c>
      <c r="I480">
        <v>70</v>
      </c>
      <c r="J480" s="6">
        <f t="shared" si="27"/>
        <v>116.9</v>
      </c>
      <c r="K480" t="s">
        <v>389</v>
      </c>
    </row>
    <row r="481" spans="3:11" outlineLevel="2" x14ac:dyDescent="0.3">
      <c r="C481" s="9">
        <v>44987</v>
      </c>
      <c r="D481" t="s">
        <v>17</v>
      </c>
      <c r="E481" t="s">
        <v>33</v>
      </c>
      <c r="F481" t="s">
        <v>24</v>
      </c>
      <c r="G481" t="s">
        <v>36</v>
      </c>
      <c r="H481">
        <v>2460</v>
      </c>
      <c r="I481">
        <v>45</v>
      </c>
      <c r="J481" s="6">
        <f t="shared" si="27"/>
        <v>110.7</v>
      </c>
      <c r="K481" t="s">
        <v>389</v>
      </c>
    </row>
    <row r="482" spans="3:11" outlineLevel="2" x14ac:dyDescent="0.3">
      <c r="C482" s="9">
        <v>44987</v>
      </c>
      <c r="D482" t="s">
        <v>8</v>
      </c>
      <c r="E482" t="s">
        <v>35</v>
      </c>
      <c r="F482" t="s">
        <v>10</v>
      </c>
      <c r="G482" t="s">
        <v>11</v>
      </c>
      <c r="H482">
        <v>705</v>
      </c>
      <c r="I482">
        <v>51</v>
      </c>
      <c r="J482" s="6">
        <f t="shared" si="27"/>
        <v>35.954999999999998</v>
      </c>
      <c r="K482" t="s">
        <v>389</v>
      </c>
    </row>
    <row r="483" spans="3:11" outlineLevel="2" x14ac:dyDescent="0.3">
      <c r="C483" s="9">
        <v>44987</v>
      </c>
      <c r="D483" t="s">
        <v>17</v>
      </c>
      <c r="E483" t="s">
        <v>35</v>
      </c>
      <c r="F483" t="s">
        <v>10</v>
      </c>
      <c r="G483" t="s">
        <v>11</v>
      </c>
      <c r="H483">
        <v>705</v>
      </c>
      <c r="I483">
        <v>59</v>
      </c>
      <c r="J483" s="6">
        <f t="shared" si="27"/>
        <v>41.594999999999999</v>
      </c>
      <c r="K483" t="s">
        <v>389</v>
      </c>
    </row>
    <row r="484" spans="3:11" outlineLevel="2" x14ac:dyDescent="0.3">
      <c r="C484" s="9">
        <v>44987</v>
      </c>
      <c r="D484" t="s">
        <v>8</v>
      </c>
      <c r="E484" t="s">
        <v>35</v>
      </c>
      <c r="F484" t="s">
        <v>18</v>
      </c>
      <c r="G484" t="s">
        <v>21</v>
      </c>
      <c r="H484">
        <v>450</v>
      </c>
      <c r="I484">
        <v>55</v>
      </c>
      <c r="J484" s="6">
        <f t="shared" si="27"/>
        <v>24.75</v>
      </c>
      <c r="K484" t="s">
        <v>389</v>
      </c>
    </row>
    <row r="485" spans="3:11" outlineLevel="2" x14ac:dyDescent="0.3">
      <c r="C485" s="9">
        <v>44987</v>
      </c>
      <c r="D485" t="s">
        <v>12</v>
      </c>
      <c r="E485" t="s">
        <v>35</v>
      </c>
      <c r="F485" t="s">
        <v>13</v>
      </c>
      <c r="G485" t="s">
        <v>44</v>
      </c>
      <c r="H485">
        <v>2540</v>
      </c>
      <c r="I485">
        <v>93</v>
      </c>
      <c r="J485" s="6">
        <f t="shared" si="27"/>
        <v>236.22</v>
      </c>
      <c r="K485" t="s">
        <v>389</v>
      </c>
    </row>
    <row r="486" spans="3:11" outlineLevel="1" x14ac:dyDescent="0.3">
      <c r="C486" s="13" t="s">
        <v>75</v>
      </c>
      <c r="J486" s="6">
        <f>SUBTOTAL(9,J466:J485)</f>
        <v>1169.6600000000001</v>
      </c>
      <c r="K486" t="s">
        <v>389</v>
      </c>
    </row>
    <row r="487" spans="3:11" outlineLevel="2" x14ac:dyDescent="0.3">
      <c r="C487" s="10">
        <v>44988</v>
      </c>
      <c r="D487" s="11" t="s">
        <v>45</v>
      </c>
      <c r="E487" s="11" t="s">
        <v>20</v>
      </c>
      <c r="F487" s="11" t="s">
        <v>10</v>
      </c>
      <c r="G487" s="11" t="s">
        <v>39</v>
      </c>
      <c r="H487" s="11">
        <v>650</v>
      </c>
      <c r="I487" s="11">
        <v>34</v>
      </c>
      <c r="J487" s="6">
        <f t="shared" ref="J487:J509" si="28">H487*I487/1000</f>
        <v>22.1</v>
      </c>
      <c r="K487" t="s">
        <v>389</v>
      </c>
    </row>
    <row r="488" spans="3:11" outlineLevel="2" x14ac:dyDescent="0.3">
      <c r="C488" s="9">
        <v>44988</v>
      </c>
      <c r="D488" t="s">
        <v>45</v>
      </c>
      <c r="E488" t="s">
        <v>20</v>
      </c>
      <c r="F488" t="s">
        <v>18</v>
      </c>
      <c r="G488" t="s">
        <v>21</v>
      </c>
      <c r="H488">
        <v>450</v>
      </c>
      <c r="I488">
        <v>15</v>
      </c>
      <c r="J488" s="6">
        <f t="shared" si="28"/>
        <v>6.75</v>
      </c>
      <c r="K488" t="s">
        <v>389</v>
      </c>
    </row>
    <row r="489" spans="3:11" outlineLevel="2" x14ac:dyDescent="0.3">
      <c r="C489" s="10">
        <v>44988</v>
      </c>
      <c r="D489" s="11" t="s">
        <v>12</v>
      </c>
      <c r="E489" s="11" t="s">
        <v>20</v>
      </c>
      <c r="F489" s="11" t="s">
        <v>18</v>
      </c>
      <c r="G489" s="11" t="s">
        <v>28</v>
      </c>
      <c r="H489" s="11">
        <v>690</v>
      </c>
      <c r="I489" s="11">
        <v>69</v>
      </c>
      <c r="J489" s="6">
        <f t="shared" si="28"/>
        <v>47.61</v>
      </c>
      <c r="K489" t="s">
        <v>389</v>
      </c>
    </row>
    <row r="490" spans="3:11" outlineLevel="2" x14ac:dyDescent="0.3">
      <c r="C490" s="9">
        <v>44988</v>
      </c>
      <c r="D490" t="s">
        <v>17</v>
      </c>
      <c r="E490" t="s">
        <v>20</v>
      </c>
      <c r="F490" t="s">
        <v>18</v>
      </c>
      <c r="G490" t="s">
        <v>21</v>
      </c>
      <c r="H490">
        <v>450</v>
      </c>
      <c r="I490">
        <v>44</v>
      </c>
      <c r="J490" s="6">
        <f t="shared" si="28"/>
        <v>19.8</v>
      </c>
      <c r="K490" t="s">
        <v>389</v>
      </c>
    </row>
    <row r="491" spans="3:11" outlineLevel="2" x14ac:dyDescent="0.3">
      <c r="C491" s="10">
        <v>44988</v>
      </c>
      <c r="D491" s="11" t="s">
        <v>8</v>
      </c>
      <c r="E491" s="11" t="s">
        <v>20</v>
      </c>
      <c r="F491" s="11" t="s">
        <v>13</v>
      </c>
      <c r="G491" s="11" t="s">
        <v>38</v>
      </c>
      <c r="H491" s="11">
        <v>2400</v>
      </c>
      <c r="I491" s="11">
        <v>26</v>
      </c>
      <c r="J491" s="6">
        <f t="shared" si="28"/>
        <v>62.4</v>
      </c>
      <c r="K491" t="s">
        <v>389</v>
      </c>
    </row>
    <row r="492" spans="3:11" outlineLevel="2" x14ac:dyDescent="0.3">
      <c r="C492" s="9">
        <v>44988</v>
      </c>
      <c r="D492" t="s">
        <v>8</v>
      </c>
      <c r="E492" t="s">
        <v>20</v>
      </c>
      <c r="F492" t="s">
        <v>24</v>
      </c>
      <c r="G492" t="s">
        <v>36</v>
      </c>
      <c r="H492">
        <v>2460</v>
      </c>
      <c r="I492">
        <v>32</v>
      </c>
      <c r="J492" s="6">
        <f t="shared" si="28"/>
        <v>78.72</v>
      </c>
      <c r="K492" t="s">
        <v>389</v>
      </c>
    </row>
    <row r="493" spans="3:11" outlineLevel="2" x14ac:dyDescent="0.3">
      <c r="C493" s="9">
        <v>44988</v>
      </c>
      <c r="D493" t="s">
        <v>12</v>
      </c>
      <c r="E493" t="s">
        <v>9</v>
      </c>
      <c r="F493" t="s">
        <v>18</v>
      </c>
      <c r="G493" t="s">
        <v>21</v>
      </c>
      <c r="H493">
        <v>450</v>
      </c>
      <c r="I493">
        <v>88</v>
      </c>
      <c r="J493" s="6">
        <f t="shared" si="28"/>
        <v>39.6</v>
      </c>
      <c r="K493" t="s">
        <v>389</v>
      </c>
    </row>
    <row r="494" spans="3:11" outlineLevel="2" x14ac:dyDescent="0.3">
      <c r="C494" s="9">
        <v>44988</v>
      </c>
      <c r="D494" t="s">
        <v>45</v>
      </c>
      <c r="E494" t="s">
        <v>9</v>
      </c>
      <c r="F494" t="s">
        <v>18</v>
      </c>
      <c r="G494" t="s">
        <v>19</v>
      </c>
      <c r="H494">
        <v>325</v>
      </c>
      <c r="I494">
        <v>21</v>
      </c>
      <c r="J494" s="6">
        <f t="shared" si="28"/>
        <v>6.8250000000000002</v>
      </c>
      <c r="K494" t="s">
        <v>389</v>
      </c>
    </row>
    <row r="495" spans="3:11" outlineLevel="2" x14ac:dyDescent="0.3">
      <c r="C495" s="9">
        <v>44988</v>
      </c>
      <c r="D495" t="s">
        <v>8</v>
      </c>
      <c r="E495" t="s">
        <v>9</v>
      </c>
      <c r="F495" t="s">
        <v>18</v>
      </c>
      <c r="G495" t="s">
        <v>37</v>
      </c>
      <c r="H495">
        <v>890</v>
      </c>
      <c r="I495">
        <v>32</v>
      </c>
      <c r="J495" s="6">
        <f t="shared" si="28"/>
        <v>28.48</v>
      </c>
      <c r="K495" t="s">
        <v>389</v>
      </c>
    </row>
    <row r="496" spans="3:11" outlineLevel="2" x14ac:dyDescent="0.3">
      <c r="C496" s="9">
        <v>44988</v>
      </c>
      <c r="D496" t="s">
        <v>12</v>
      </c>
      <c r="E496" t="s">
        <v>9</v>
      </c>
      <c r="F496" t="s">
        <v>24</v>
      </c>
      <c r="G496" t="s">
        <v>42</v>
      </c>
      <c r="H496">
        <v>3205</v>
      </c>
      <c r="I496">
        <v>8</v>
      </c>
      <c r="J496" s="6">
        <f t="shared" si="28"/>
        <v>25.64</v>
      </c>
      <c r="K496" t="s">
        <v>389</v>
      </c>
    </row>
    <row r="497" spans="3:11" outlineLevel="2" x14ac:dyDescent="0.3">
      <c r="C497" s="9">
        <v>44988</v>
      </c>
      <c r="D497" t="s">
        <v>12</v>
      </c>
      <c r="E497" t="s">
        <v>9</v>
      </c>
      <c r="F497" t="s">
        <v>24</v>
      </c>
      <c r="G497" t="s">
        <v>36</v>
      </c>
      <c r="H497">
        <v>2460</v>
      </c>
      <c r="I497">
        <v>77</v>
      </c>
      <c r="J497" s="6">
        <f t="shared" si="28"/>
        <v>189.42</v>
      </c>
      <c r="K497" t="s">
        <v>389</v>
      </c>
    </row>
    <row r="498" spans="3:11" outlineLevel="2" x14ac:dyDescent="0.3">
      <c r="C498" s="9">
        <v>44988</v>
      </c>
      <c r="D498" t="s">
        <v>8</v>
      </c>
      <c r="E498" t="s">
        <v>9</v>
      </c>
      <c r="F498" t="s">
        <v>24</v>
      </c>
      <c r="G498" t="s">
        <v>25</v>
      </c>
      <c r="H498">
        <v>1760</v>
      </c>
      <c r="I498">
        <v>32</v>
      </c>
      <c r="J498" s="6">
        <f t="shared" si="28"/>
        <v>56.32</v>
      </c>
      <c r="K498" t="s">
        <v>389</v>
      </c>
    </row>
    <row r="499" spans="3:11" outlineLevel="2" x14ac:dyDescent="0.3">
      <c r="C499" s="9">
        <v>44988</v>
      </c>
      <c r="D499" t="s">
        <v>8</v>
      </c>
      <c r="E499" t="s">
        <v>26</v>
      </c>
      <c r="F499" t="s">
        <v>10</v>
      </c>
      <c r="G499" t="s">
        <v>16</v>
      </c>
      <c r="H499">
        <v>1380</v>
      </c>
      <c r="I499">
        <v>70</v>
      </c>
      <c r="J499" s="6">
        <f t="shared" si="28"/>
        <v>96.6</v>
      </c>
      <c r="K499" t="s">
        <v>389</v>
      </c>
    </row>
    <row r="500" spans="3:11" outlineLevel="2" x14ac:dyDescent="0.3">
      <c r="C500" s="9">
        <v>44988</v>
      </c>
      <c r="D500" t="s">
        <v>12</v>
      </c>
      <c r="E500" t="s">
        <v>26</v>
      </c>
      <c r="F500" t="s">
        <v>10</v>
      </c>
      <c r="G500" t="s">
        <v>23</v>
      </c>
      <c r="H500">
        <v>640</v>
      </c>
      <c r="I500">
        <v>74</v>
      </c>
      <c r="J500" s="6">
        <f t="shared" si="28"/>
        <v>47.36</v>
      </c>
      <c r="K500" t="s">
        <v>389</v>
      </c>
    </row>
    <row r="501" spans="3:11" outlineLevel="2" x14ac:dyDescent="0.3">
      <c r="C501" s="9">
        <v>44988</v>
      </c>
      <c r="D501" t="s">
        <v>45</v>
      </c>
      <c r="E501" t="s">
        <v>15</v>
      </c>
      <c r="F501" t="s">
        <v>10</v>
      </c>
      <c r="G501" t="s">
        <v>40</v>
      </c>
      <c r="H501">
        <v>540</v>
      </c>
      <c r="I501">
        <v>16</v>
      </c>
      <c r="J501" s="6">
        <f t="shared" si="28"/>
        <v>8.64</v>
      </c>
      <c r="K501" t="s">
        <v>389</v>
      </c>
    </row>
    <row r="502" spans="3:11" outlineLevel="2" x14ac:dyDescent="0.3">
      <c r="C502" s="9">
        <v>44988</v>
      </c>
      <c r="D502" t="s">
        <v>17</v>
      </c>
      <c r="E502" t="s">
        <v>15</v>
      </c>
      <c r="F502" t="s">
        <v>24</v>
      </c>
      <c r="G502" t="s">
        <v>25</v>
      </c>
      <c r="H502">
        <v>1760</v>
      </c>
      <c r="I502">
        <v>48</v>
      </c>
      <c r="J502" s="6">
        <f t="shared" si="28"/>
        <v>84.48</v>
      </c>
      <c r="K502" t="s">
        <v>389</v>
      </c>
    </row>
    <row r="503" spans="3:11" outlineLevel="2" x14ac:dyDescent="0.3">
      <c r="C503" s="9">
        <v>44988</v>
      </c>
      <c r="D503" t="s">
        <v>8</v>
      </c>
      <c r="E503" t="s">
        <v>33</v>
      </c>
      <c r="F503" t="s">
        <v>10</v>
      </c>
      <c r="G503" t="s">
        <v>40</v>
      </c>
      <c r="H503">
        <v>540</v>
      </c>
      <c r="I503">
        <v>86</v>
      </c>
      <c r="J503" s="6">
        <f t="shared" si="28"/>
        <v>46.44</v>
      </c>
      <c r="K503" t="s">
        <v>389</v>
      </c>
    </row>
    <row r="504" spans="3:11" outlineLevel="2" x14ac:dyDescent="0.3">
      <c r="C504" s="9">
        <v>44988</v>
      </c>
      <c r="D504" t="s">
        <v>8</v>
      </c>
      <c r="E504" t="s">
        <v>33</v>
      </c>
      <c r="F504" t="s">
        <v>13</v>
      </c>
      <c r="G504" t="s">
        <v>43</v>
      </c>
      <c r="H504">
        <v>1420</v>
      </c>
      <c r="I504">
        <v>27</v>
      </c>
      <c r="J504" s="6">
        <f t="shared" si="28"/>
        <v>38.340000000000003</v>
      </c>
      <c r="K504" t="s">
        <v>389</v>
      </c>
    </row>
    <row r="505" spans="3:11" outlineLevel="2" x14ac:dyDescent="0.3">
      <c r="C505" s="9">
        <v>44988</v>
      </c>
      <c r="D505" t="s">
        <v>12</v>
      </c>
      <c r="E505" t="s">
        <v>33</v>
      </c>
      <c r="F505" t="s">
        <v>13</v>
      </c>
      <c r="G505" t="s">
        <v>29</v>
      </c>
      <c r="H505">
        <v>1230</v>
      </c>
      <c r="I505">
        <v>64</v>
      </c>
      <c r="J505" s="6">
        <f t="shared" si="28"/>
        <v>78.72</v>
      </c>
      <c r="K505" t="s">
        <v>389</v>
      </c>
    </row>
    <row r="506" spans="3:11" outlineLevel="2" x14ac:dyDescent="0.3">
      <c r="C506" s="9">
        <v>44988</v>
      </c>
      <c r="D506" t="s">
        <v>45</v>
      </c>
      <c r="E506" t="s">
        <v>33</v>
      </c>
      <c r="F506" t="s">
        <v>13</v>
      </c>
      <c r="G506" t="s">
        <v>38</v>
      </c>
      <c r="H506">
        <v>2400</v>
      </c>
      <c r="I506">
        <v>90</v>
      </c>
      <c r="J506" s="6">
        <f t="shared" si="28"/>
        <v>216</v>
      </c>
      <c r="K506" t="s">
        <v>389</v>
      </c>
    </row>
    <row r="507" spans="3:11" outlineLevel="2" x14ac:dyDescent="0.3">
      <c r="C507" s="9">
        <v>44988</v>
      </c>
      <c r="D507" t="s">
        <v>17</v>
      </c>
      <c r="E507" t="s">
        <v>35</v>
      </c>
      <c r="F507" t="s">
        <v>18</v>
      </c>
      <c r="G507" t="s">
        <v>21</v>
      </c>
      <c r="H507">
        <v>450</v>
      </c>
      <c r="I507">
        <v>12</v>
      </c>
      <c r="J507" s="6">
        <f t="shared" si="28"/>
        <v>5.4</v>
      </c>
      <c r="K507" t="s">
        <v>389</v>
      </c>
    </row>
    <row r="508" spans="3:11" outlineLevel="2" x14ac:dyDescent="0.3">
      <c r="C508" s="9">
        <v>44988</v>
      </c>
      <c r="D508" t="s">
        <v>8</v>
      </c>
      <c r="E508" t="s">
        <v>35</v>
      </c>
      <c r="F508" t="s">
        <v>24</v>
      </c>
      <c r="G508" t="s">
        <v>32</v>
      </c>
      <c r="H508">
        <v>1505</v>
      </c>
      <c r="I508">
        <v>25</v>
      </c>
      <c r="J508" s="6">
        <f t="shared" si="28"/>
        <v>37.625</v>
      </c>
      <c r="K508" t="s">
        <v>389</v>
      </c>
    </row>
    <row r="509" spans="3:11" outlineLevel="2" x14ac:dyDescent="0.3">
      <c r="C509" s="9">
        <v>44988</v>
      </c>
      <c r="D509" t="s">
        <v>17</v>
      </c>
      <c r="E509" t="s">
        <v>35</v>
      </c>
      <c r="F509" t="s">
        <v>24</v>
      </c>
      <c r="G509" t="s">
        <v>30</v>
      </c>
      <c r="H509">
        <v>2970</v>
      </c>
      <c r="I509">
        <v>62</v>
      </c>
      <c r="J509" s="6">
        <f t="shared" si="28"/>
        <v>184.14</v>
      </c>
      <c r="K509" t="s">
        <v>389</v>
      </c>
    </row>
    <row r="510" spans="3:11" outlineLevel="1" x14ac:dyDescent="0.3">
      <c r="C510" s="13" t="s">
        <v>76</v>
      </c>
      <c r="J510" s="6">
        <f>SUBTOTAL(9,J487:J509)</f>
        <v>1427.4100000000003</v>
      </c>
      <c r="K510" t="s">
        <v>389</v>
      </c>
    </row>
    <row r="511" spans="3:11" outlineLevel="2" x14ac:dyDescent="0.3">
      <c r="C511" s="10">
        <v>44989</v>
      </c>
      <c r="D511" s="11" t="s">
        <v>45</v>
      </c>
      <c r="E511" s="11" t="s">
        <v>20</v>
      </c>
      <c r="F511" s="11" t="s">
        <v>10</v>
      </c>
      <c r="G511" s="11" t="s">
        <v>23</v>
      </c>
      <c r="H511" s="11">
        <v>640</v>
      </c>
      <c r="I511" s="11">
        <v>57</v>
      </c>
      <c r="J511" s="6">
        <f t="shared" ref="J511:J528" si="29">H511*I511/1000</f>
        <v>36.479999999999997</v>
      </c>
      <c r="K511" t="s">
        <v>389</v>
      </c>
    </row>
    <row r="512" spans="3:11" outlineLevel="2" x14ac:dyDescent="0.3">
      <c r="C512" s="9">
        <v>44989</v>
      </c>
      <c r="D512" t="s">
        <v>45</v>
      </c>
      <c r="E512" t="s">
        <v>20</v>
      </c>
      <c r="F512" t="s">
        <v>10</v>
      </c>
      <c r="G512" t="s">
        <v>40</v>
      </c>
      <c r="H512">
        <v>540</v>
      </c>
      <c r="I512">
        <v>6</v>
      </c>
      <c r="J512" s="6">
        <f t="shared" si="29"/>
        <v>3.24</v>
      </c>
      <c r="K512" t="s">
        <v>389</v>
      </c>
    </row>
    <row r="513" spans="3:11" outlineLevel="2" x14ac:dyDescent="0.3">
      <c r="C513" s="10">
        <v>44989</v>
      </c>
      <c r="D513" s="11" t="s">
        <v>8</v>
      </c>
      <c r="E513" s="11" t="s">
        <v>20</v>
      </c>
      <c r="F513" s="11" t="s">
        <v>24</v>
      </c>
      <c r="G513" s="11" t="s">
        <v>34</v>
      </c>
      <c r="H513" s="11">
        <v>1670</v>
      </c>
      <c r="I513" s="11">
        <v>65</v>
      </c>
      <c r="J513" s="6">
        <f t="shared" si="29"/>
        <v>108.55</v>
      </c>
      <c r="K513" t="s">
        <v>389</v>
      </c>
    </row>
    <row r="514" spans="3:11" outlineLevel="2" x14ac:dyDescent="0.3">
      <c r="C514" s="9">
        <v>44989</v>
      </c>
      <c r="D514" t="s">
        <v>17</v>
      </c>
      <c r="E514" t="s">
        <v>20</v>
      </c>
      <c r="F514" t="s">
        <v>24</v>
      </c>
      <c r="G514" t="s">
        <v>30</v>
      </c>
      <c r="H514">
        <v>2970</v>
      </c>
      <c r="I514">
        <v>38</v>
      </c>
      <c r="J514" s="6">
        <f t="shared" si="29"/>
        <v>112.86</v>
      </c>
      <c r="K514" t="s">
        <v>389</v>
      </c>
    </row>
    <row r="515" spans="3:11" outlineLevel="2" x14ac:dyDescent="0.3">
      <c r="C515" s="9">
        <v>44989</v>
      </c>
      <c r="D515" t="s">
        <v>17</v>
      </c>
      <c r="E515" t="s">
        <v>9</v>
      </c>
      <c r="F515" t="s">
        <v>10</v>
      </c>
      <c r="G515" t="s">
        <v>16</v>
      </c>
      <c r="H515">
        <v>1380</v>
      </c>
      <c r="I515">
        <v>24</v>
      </c>
      <c r="J515" s="6">
        <f t="shared" si="29"/>
        <v>33.119999999999997</v>
      </c>
      <c r="K515" t="s">
        <v>389</v>
      </c>
    </row>
    <row r="516" spans="3:11" outlineLevel="2" x14ac:dyDescent="0.3">
      <c r="C516" s="9">
        <v>44989</v>
      </c>
      <c r="D516" t="s">
        <v>17</v>
      </c>
      <c r="E516" t="s">
        <v>9</v>
      </c>
      <c r="F516" t="s">
        <v>10</v>
      </c>
      <c r="G516" t="s">
        <v>41</v>
      </c>
      <c r="H516">
        <v>650</v>
      </c>
      <c r="I516">
        <v>83</v>
      </c>
      <c r="J516" s="6">
        <f t="shared" si="29"/>
        <v>53.95</v>
      </c>
      <c r="K516" t="s">
        <v>389</v>
      </c>
    </row>
    <row r="517" spans="3:11" outlineLevel="2" x14ac:dyDescent="0.3">
      <c r="C517" s="9">
        <v>44989</v>
      </c>
      <c r="D517" t="s">
        <v>17</v>
      </c>
      <c r="E517" t="s">
        <v>9</v>
      </c>
      <c r="F517" t="s">
        <v>13</v>
      </c>
      <c r="G517" t="s">
        <v>43</v>
      </c>
      <c r="H517">
        <v>1420</v>
      </c>
      <c r="I517">
        <v>68</v>
      </c>
      <c r="J517" s="6">
        <f t="shared" si="29"/>
        <v>96.56</v>
      </c>
      <c r="K517" t="s">
        <v>389</v>
      </c>
    </row>
    <row r="518" spans="3:11" outlineLevel="2" x14ac:dyDescent="0.3">
      <c r="C518" s="9">
        <v>44989</v>
      </c>
      <c r="D518" t="s">
        <v>8</v>
      </c>
      <c r="E518" t="s">
        <v>9</v>
      </c>
      <c r="F518" t="s">
        <v>13</v>
      </c>
      <c r="G518" t="s">
        <v>43</v>
      </c>
      <c r="H518">
        <v>1420</v>
      </c>
      <c r="I518">
        <v>88</v>
      </c>
      <c r="J518" s="6">
        <f t="shared" si="29"/>
        <v>124.96</v>
      </c>
      <c r="K518" t="s">
        <v>389</v>
      </c>
    </row>
    <row r="519" spans="3:11" outlineLevel="2" x14ac:dyDescent="0.3">
      <c r="C519" s="9">
        <v>44989</v>
      </c>
      <c r="D519" t="s">
        <v>8</v>
      </c>
      <c r="E519" t="s">
        <v>26</v>
      </c>
      <c r="F519" t="s">
        <v>18</v>
      </c>
      <c r="G519" t="s">
        <v>37</v>
      </c>
      <c r="H519">
        <v>890</v>
      </c>
      <c r="I519">
        <v>10</v>
      </c>
      <c r="J519" s="6">
        <f t="shared" si="29"/>
        <v>8.9</v>
      </c>
      <c r="K519" t="s">
        <v>389</v>
      </c>
    </row>
    <row r="520" spans="3:11" outlineLevel="2" x14ac:dyDescent="0.3">
      <c r="C520" s="9">
        <v>44989</v>
      </c>
      <c r="D520" t="s">
        <v>45</v>
      </c>
      <c r="E520" t="s">
        <v>26</v>
      </c>
      <c r="F520" t="s">
        <v>13</v>
      </c>
      <c r="G520" t="s">
        <v>43</v>
      </c>
      <c r="H520">
        <v>1420</v>
      </c>
      <c r="I520">
        <v>59</v>
      </c>
      <c r="J520" s="6">
        <f t="shared" si="29"/>
        <v>83.78</v>
      </c>
      <c r="K520" t="s">
        <v>389</v>
      </c>
    </row>
    <row r="521" spans="3:11" outlineLevel="2" x14ac:dyDescent="0.3">
      <c r="C521" s="9">
        <v>44989</v>
      </c>
      <c r="D521" t="s">
        <v>8</v>
      </c>
      <c r="E521" t="s">
        <v>33</v>
      </c>
      <c r="F521" t="s">
        <v>10</v>
      </c>
      <c r="G521" t="s">
        <v>41</v>
      </c>
      <c r="H521">
        <v>650</v>
      </c>
      <c r="I521">
        <v>48</v>
      </c>
      <c r="J521" s="6">
        <f t="shared" si="29"/>
        <v>31.2</v>
      </c>
      <c r="K521" t="s">
        <v>389</v>
      </c>
    </row>
    <row r="522" spans="3:11" outlineLevel="2" x14ac:dyDescent="0.3">
      <c r="C522" s="9">
        <v>44989</v>
      </c>
      <c r="D522" t="s">
        <v>8</v>
      </c>
      <c r="E522" t="s">
        <v>33</v>
      </c>
      <c r="F522" t="s">
        <v>13</v>
      </c>
      <c r="G522" t="s">
        <v>43</v>
      </c>
      <c r="H522">
        <v>1420</v>
      </c>
      <c r="I522">
        <v>73</v>
      </c>
      <c r="J522" s="6">
        <f t="shared" si="29"/>
        <v>103.66</v>
      </c>
      <c r="K522" t="s">
        <v>389</v>
      </c>
    </row>
    <row r="523" spans="3:11" outlineLevel="2" x14ac:dyDescent="0.3">
      <c r="C523" s="9">
        <v>44989</v>
      </c>
      <c r="D523" t="s">
        <v>12</v>
      </c>
      <c r="E523" t="s">
        <v>33</v>
      </c>
      <c r="F523" t="s">
        <v>13</v>
      </c>
      <c r="G523" t="s">
        <v>43</v>
      </c>
      <c r="H523">
        <v>1420</v>
      </c>
      <c r="I523">
        <v>75</v>
      </c>
      <c r="J523" s="6">
        <f t="shared" si="29"/>
        <v>106.5</v>
      </c>
      <c r="K523" t="s">
        <v>389</v>
      </c>
    </row>
    <row r="524" spans="3:11" outlineLevel="2" x14ac:dyDescent="0.3">
      <c r="C524" s="9">
        <v>44989</v>
      </c>
      <c r="D524" t="s">
        <v>17</v>
      </c>
      <c r="E524" t="s">
        <v>35</v>
      </c>
      <c r="F524" t="s">
        <v>10</v>
      </c>
      <c r="G524" t="s">
        <v>40</v>
      </c>
      <c r="H524">
        <v>540</v>
      </c>
      <c r="I524">
        <v>59</v>
      </c>
      <c r="J524" s="6">
        <f t="shared" si="29"/>
        <v>31.86</v>
      </c>
      <c r="K524" t="s">
        <v>389</v>
      </c>
    </row>
    <row r="525" spans="3:11" outlineLevel="2" x14ac:dyDescent="0.3">
      <c r="C525" s="9">
        <v>44989</v>
      </c>
      <c r="D525" t="s">
        <v>17</v>
      </c>
      <c r="E525" t="s">
        <v>35</v>
      </c>
      <c r="F525" t="s">
        <v>18</v>
      </c>
      <c r="G525" t="s">
        <v>27</v>
      </c>
      <c r="H525">
        <v>460</v>
      </c>
      <c r="I525">
        <v>51</v>
      </c>
      <c r="J525" s="6">
        <f t="shared" si="29"/>
        <v>23.46</v>
      </c>
      <c r="K525" t="s">
        <v>389</v>
      </c>
    </row>
    <row r="526" spans="3:11" outlineLevel="2" x14ac:dyDescent="0.3">
      <c r="C526" s="9">
        <v>44989</v>
      </c>
      <c r="D526" t="s">
        <v>17</v>
      </c>
      <c r="E526" t="s">
        <v>35</v>
      </c>
      <c r="F526" t="s">
        <v>13</v>
      </c>
      <c r="G526" t="s">
        <v>14</v>
      </c>
      <c r="H526">
        <v>1320</v>
      </c>
      <c r="I526">
        <v>33</v>
      </c>
      <c r="J526" s="6">
        <f t="shared" si="29"/>
        <v>43.56</v>
      </c>
      <c r="K526" t="s">
        <v>389</v>
      </c>
    </row>
    <row r="527" spans="3:11" outlineLevel="2" x14ac:dyDescent="0.3">
      <c r="C527" s="9">
        <v>44989</v>
      </c>
      <c r="D527" t="s">
        <v>12</v>
      </c>
      <c r="E527" t="s">
        <v>35</v>
      </c>
      <c r="F527" t="s">
        <v>24</v>
      </c>
      <c r="G527" t="s">
        <v>30</v>
      </c>
      <c r="H527">
        <v>2970</v>
      </c>
      <c r="I527">
        <v>50</v>
      </c>
      <c r="J527" s="6">
        <f t="shared" si="29"/>
        <v>148.5</v>
      </c>
      <c r="K527" t="s">
        <v>389</v>
      </c>
    </row>
    <row r="528" spans="3:11" outlineLevel="2" x14ac:dyDescent="0.3">
      <c r="C528" s="9">
        <v>44989</v>
      </c>
      <c r="D528" t="s">
        <v>17</v>
      </c>
      <c r="E528" t="s">
        <v>35</v>
      </c>
      <c r="F528" t="s">
        <v>24</v>
      </c>
      <c r="G528" t="s">
        <v>36</v>
      </c>
      <c r="H528">
        <v>2460</v>
      </c>
      <c r="I528">
        <v>63</v>
      </c>
      <c r="J528" s="6">
        <f t="shared" si="29"/>
        <v>154.97999999999999</v>
      </c>
      <c r="K528" t="s">
        <v>389</v>
      </c>
    </row>
    <row r="529" spans="3:11" outlineLevel="1" x14ac:dyDescent="0.3">
      <c r="C529" s="13" t="s">
        <v>77</v>
      </c>
      <c r="J529" s="6">
        <f>SUBTOTAL(9,J511:J528)</f>
        <v>1306.1200000000001</v>
      </c>
      <c r="K529" t="s">
        <v>389</v>
      </c>
    </row>
    <row r="530" spans="3:11" outlineLevel="2" x14ac:dyDescent="0.3">
      <c r="C530" s="10">
        <v>44990</v>
      </c>
      <c r="D530" s="11" t="s">
        <v>17</v>
      </c>
      <c r="E530" s="11" t="s">
        <v>20</v>
      </c>
      <c r="F530" s="11" t="s">
        <v>10</v>
      </c>
      <c r="G530" s="11" t="s">
        <v>16</v>
      </c>
      <c r="H530" s="11">
        <v>1380</v>
      </c>
      <c r="I530" s="11">
        <v>35</v>
      </c>
      <c r="J530" s="6">
        <f t="shared" ref="J530:J548" si="30">H530*I530/1000</f>
        <v>48.3</v>
      </c>
      <c r="K530" t="s">
        <v>389</v>
      </c>
    </row>
    <row r="531" spans="3:11" outlineLevel="2" x14ac:dyDescent="0.3">
      <c r="C531" s="9">
        <v>44990</v>
      </c>
      <c r="D531" t="s">
        <v>8</v>
      </c>
      <c r="E531" t="s">
        <v>20</v>
      </c>
      <c r="F531" t="s">
        <v>13</v>
      </c>
      <c r="G531" t="s">
        <v>29</v>
      </c>
      <c r="H531">
        <v>1230</v>
      </c>
      <c r="I531">
        <v>88</v>
      </c>
      <c r="J531" s="6">
        <f t="shared" si="30"/>
        <v>108.24</v>
      </c>
      <c r="K531" t="s">
        <v>389</v>
      </c>
    </row>
    <row r="532" spans="3:11" outlineLevel="2" x14ac:dyDescent="0.3">
      <c r="C532" s="10">
        <v>44990</v>
      </c>
      <c r="D532" s="11" t="s">
        <v>45</v>
      </c>
      <c r="E532" s="11" t="s">
        <v>20</v>
      </c>
      <c r="F532" s="11" t="s">
        <v>13</v>
      </c>
      <c r="G532" s="11" t="s">
        <v>22</v>
      </c>
      <c r="H532" s="11">
        <v>930</v>
      </c>
      <c r="I532" s="11">
        <v>64</v>
      </c>
      <c r="J532" s="6">
        <f t="shared" si="30"/>
        <v>59.52</v>
      </c>
      <c r="K532" t="s">
        <v>389</v>
      </c>
    </row>
    <row r="533" spans="3:11" outlineLevel="2" x14ac:dyDescent="0.3">
      <c r="C533" s="9">
        <v>44990</v>
      </c>
      <c r="D533" t="s">
        <v>45</v>
      </c>
      <c r="E533" t="s">
        <v>9</v>
      </c>
      <c r="F533" t="s">
        <v>18</v>
      </c>
      <c r="G533" t="s">
        <v>21</v>
      </c>
      <c r="H533">
        <v>450</v>
      </c>
      <c r="I533">
        <v>51</v>
      </c>
      <c r="J533" s="6">
        <f t="shared" si="30"/>
        <v>22.95</v>
      </c>
      <c r="K533" t="s">
        <v>389</v>
      </c>
    </row>
    <row r="534" spans="3:11" outlineLevel="2" x14ac:dyDescent="0.3">
      <c r="C534" s="9">
        <v>44990</v>
      </c>
      <c r="D534" t="s">
        <v>12</v>
      </c>
      <c r="E534" t="s">
        <v>9</v>
      </c>
      <c r="F534" t="s">
        <v>18</v>
      </c>
      <c r="G534" t="s">
        <v>37</v>
      </c>
      <c r="H534">
        <v>890</v>
      </c>
      <c r="I534">
        <v>8</v>
      </c>
      <c r="J534" s="6">
        <f t="shared" si="30"/>
        <v>7.12</v>
      </c>
      <c r="K534" t="s">
        <v>389</v>
      </c>
    </row>
    <row r="535" spans="3:11" outlineLevel="2" x14ac:dyDescent="0.3">
      <c r="C535" s="9">
        <v>44990</v>
      </c>
      <c r="D535" t="s">
        <v>45</v>
      </c>
      <c r="E535" t="s">
        <v>26</v>
      </c>
      <c r="F535" t="s">
        <v>10</v>
      </c>
      <c r="G535" t="s">
        <v>23</v>
      </c>
      <c r="H535">
        <v>640</v>
      </c>
      <c r="I535">
        <v>17</v>
      </c>
      <c r="J535" s="6">
        <f t="shared" si="30"/>
        <v>10.88</v>
      </c>
      <c r="K535" t="s">
        <v>389</v>
      </c>
    </row>
    <row r="536" spans="3:11" outlineLevel="2" x14ac:dyDescent="0.3">
      <c r="C536" s="9">
        <v>44990</v>
      </c>
      <c r="D536" t="s">
        <v>12</v>
      </c>
      <c r="E536" t="s">
        <v>26</v>
      </c>
      <c r="F536" t="s">
        <v>18</v>
      </c>
      <c r="G536" t="s">
        <v>37</v>
      </c>
      <c r="H536">
        <v>890</v>
      </c>
      <c r="I536">
        <v>16</v>
      </c>
      <c r="J536" s="6">
        <f t="shared" si="30"/>
        <v>14.24</v>
      </c>
      <c r="K536" t="s">
        <v>389</v>
      </c>
    </row>
    <row r="537" spans="3:11" outlineLevel="2" x14ac:dyDescent="0.3">
      <c r="C537" s="9">
        <v>44990</v>
      </c>
      <c r="D537" t="s">
        <v>17</v>
      </c>
      <c r="E537" t="s">
        <v>15</v>
      </c>
      <c r="F537" t="s">
        <v>10</v>
      </c>
      <c r="G537" t="s">
        <v>40</v>
      </c>
      <c r="H537">
        <v>540</v>
      </c>
      <c r="I537">
        <v>98</v>
      </c>
      <c r="J537" s="6">
        <f t="shared" si="30"/>
        <v>52.92</v>
      </c>
      <c r="K537" t="s">
        <v>389</v>
      </c>
    </row>
    <row r="538" spans="3:11" outlineLevel="2" x14ac:dyDescent="0.3">
      <c r="C538" s="9">
        <v>44990</v>
      </c>
      <c r="D538" t="s">
        <v>17</v>
      </c>
      <c r="E538" t="s">
        <v>15</v>
      </c>
      <c r="F538" t="s">
        <v>10</v>
      </c>
      <c r="G538" t="s">
        <v>16</v>
      </c>
      <c r="H538">
        <v>1380</v>
      </c>
      <c r="I538">
        <v>35</v>
      </c>
      <c r="J538" s="6">
        <f t="shared" si="30"/>
        <v>48.3</v>
      </c>
      <c r="K538" t="s">
        <v>389</v>
      </c>
    </row>
    <row r="539" spans="3:11" outlineLevel="2" x14ac:dyDescent="0.3">
      <c r="C539" s="9">
        <v>44990</v>
      </c>
      <c r="D539" t="s">
        <v>17</v>
      </c>
      <c r="E539" t="s">
        <v>33</v>
      </c>
      <c r="F539" t="s">
        <v>10</v>
      </c>
      <c r="G539" t="s">
        <v>39</v>
      </c>
      <c r="H539">
        <v>650</v>
      </c>
      <c r="I539">
        <v>99</v>
      </c>
      <c r="J539" s="6">
        <f t="shared" si="30"/>
        <v>64.349999999999994</v>
      </c>
      <c r="K539" t="s">
        <v>389</v>
      </c>
    </row>
    <row r="540" spans="3:11" outlineLevel="2" x14ac:dyDescent="0.3">
      <c r="C540" s="9">
        <v>44990</v>
      </c>
      <c r="D540" t="s">
        <v>12</v>
      </c>
      <c r="E540" t="s">
        <v>33</v>
      </c>
      <c r="F540" t="s">
        <v>13</v>
      </c>
      <c r="G540" t="s">
        <v>44</v>
      </c>
      <c r="H540">
        <v>2540</v>
      </c>
      <c r="I540">
        <v>46</v>
      </c>
      <c r="J540" s="6">
        <f t="shared" si="30"/>
        <v>116.84</v>
      </c>
      <c r="K540" t="s">
        <v>389</v>
      </c>
    </row>
    <row r="541" spans="3:11" outlineLevel="2" x14ac:dyDescent="0.3">
      <c r="C541" s="9">
        <v>44990</v>
      </c>
      <c r="D541" t="s">
        <v>12</v>
      </c>
      <c r="E541" t="s">
        <v>33</v>
      </c>
      <c r="F541" t="s">
        <v>13</v>
      </c>
      <c r="G541" t="s">
        <v>38</v>
      </c>
      <c r="H541">
        <v>2400</v>
      </c>
      <c r="I541">
        <v>58</v>
      </c>
      <c r="J541" s="6">
        <f t="shared" si="30"/>
        <v>139.19999999999999</v>
      </c>
      <c r="K541" t="s">
        <v>389</v>
      </c>
    </row>
    <row r="542" spans="3:11" outlineLevel="2" x14ac:dyDescent="0.3">
      <c r="C542" s="9">
        <v>44990</v>
      </c>
      <c r="D542" t="s">
        <v>8</v>
      </c>
      <c r="E542" t="s">
        <v>33</v>
      </c>
      <c r="F542" t="s">
        <v>13</v>
      </c>
      <c r="G542" t="s">
        <v>14</v>
      </c>
      <c r="H542">
        <v>1320</v>
      </c>
      <c r="I542">
        <v>83</v>
      </c>
      <c r="J542" s="6">
        <f t="shared" si="30"/>
        <v>109.56</v>
      </c>
      <c r="K542" t="s">
        <v>389</v>
      </c>
    </row>
    <row r="543" spans="3:11" outlineLevel="2" x14ac:dyDescent="0.3">
      <c r="C543" s="9">
        <v>44990</v>
      </c>
      <c r="D543" t="s">
        <v>8</v>
      </c>
      <c r="E543" t="s">
        <v>33</v>
      </c>
      <c r="F543" t="s">
        <v>13</v>
      </c>
      <c r="G543" t="s">
        <v>14</v>
      </c>
      <c r="H543">
        <v>1320</v>
      </c>
      <c r="I543">
        <v>57</v>
      </c>
      <c r="J543" s="6">
        <f t="shared" si="30"/>
        <v>75.239999999999995</v>
      </c>
      <c r="K543" t="s">
        <v>389</v>
      </c>
    </row>
    <row r="544" spans="3:11" outlineLevel="2" x14ac:dyDescent="0.3">
      <c r="C544" s="9">
        <v>44990</v>
      </c>
      <c r="D544" t="s">
        <v>12</v>
      </c>
      <c r="E544" t="s">
        <v>33</v>
      </c>
      <c r="F544" t="s">
        <v>24</v>
      </c>
      <c r="G544" t="s">
        <v>36</v>
      </c>
      <c r="H544">
        <v>2460</v>
      </c>
      <c r="I544">
        <v>43</v>
      </c>
      <c r="J544" s="6">
        <f t="shared" si="30"/>
        <v>105.78</v>
      </c>
      <c r="K544" t="s">
        <v>389</v>
      </c>
    </row>
    <row r="545" spans="3:11" outlineLevel="2" x14ac:dyDescent="0.3">
      <c r="C545" s="9">
        <v>44990</v>
      </c>
      <c r="D545" t="s">
        <v>17</v>
      </c>
      <c r="E545" t="s">
        <v>35</v>
      </c>
      <c r="F545" t="s">
        <v>10</v>
      </c>
      <c r="G545" t="s">
        <v>39</v>
      </c>
      <c r="H545">
        <v>650</v>
      </c>
      <c r="I545">
        <v>71</v>
      </c>
      <c r="J545" s="6">
        <f t="shared" si="30"/>
        <v>46.15</v>
      </c>
      <c r="K545" t="s">
        <v>389</v>
      </c>
    </row>
    <row r="546" spans="3:11" outlineLevel="2" x14ac:dyDescent="0.3">
      <c r="C546" s="9">
        <v>44990</v>
      </c>
      <c r="D546" t="s">
        <v>8</v>
      </c>
      <c r="E546" t="s">
        <v>35</v>
      </c>
      <c r="F546" t="s">
        <v>18</v>
      </c>
      <c r="G546" t="s">
        <v>37</v>
      </c>
      <c r="H546">
        <v>890</v>
      </c>
      <c r="I546">
        <v>39</v>
      </c>
      <c r="J546" s="6">
        <f t="shared" si="30"/>
        <v>34.71</v>
      </c>
      <c r="K546" t="s">
        <v>389</v>
      </c>
    </row>
    <row r="547" spans="3:11" outlineLevel="2" x14ac:dyDescent="0.3">
      <c r="C547" s="9">
        <v>44990</v>
      </c>
      <c r="D547" t="s">
        <v>17</v>
      </c>
      <c r="E547" t="s">
        <v>35</v>
      </c>
      <c r="F547" t="s">
        <v>18</v>
      </c>
      <c r="G547" t="s">
        <v>27</v>
      </c>
      <c r="H547">
        <v>460</v>
      </c>
      <c r="I547">
        <v>80</v>
      </c>
      <c r="J547" s="6">
        <f t="shared" si="30"/>
        <v>36.799999999999997</v>
      </c>
      <c r="K547" t="s">
        <v>389</v>
      </c>
    </row>
    <row r="548" spans="3:11" outlineLevel="2" x14ac:dyDescent="0.3">
      <c r="C548" s="9">
        <v>44990</v>
      </c>
      <c r="D548" t="s">
        <v>17</v>
      </c>
      <c r="E548" t="s">
        <v>35</v>
      </c>
      <c r="F548" t="s">
        <v>24</v>
      </c>
      <c r="G548" t="s">
        <v>42</v>
      </c>
      <c r="H548">
        <v>3205</v>
      </c>
      <c r="I548">
        <v>46</v>
      </c>
      <c r="J548" s="6">
        <f t="shared" si="30"/>
        <v>147.43</v>
      </c>
      <c r="K548" t="s">
        <v>389</v>
      </c>
    </row>
    <row r="549" spans="3:11" outlineLevel="1" x14ac:dyDescent="0.3">
      <c r="C549" s="13" t="s">
        <v>78</v>
      </c>
      <c r="J549" s="6">
        <f>SUBTOTAL(9,J530:J548)</f>
        <v>1248.5300000000002</v>
      </c>
      <c r="K549" t="s">
        <v>389</v>
      </c>
    </row>
    <row r="550" spans="3:11" outlineLevel="2" x14ac:dyDescent="0.3">
      <c r="C550" s="9">
        <v>44991</v>
      </c>
      <c r="D550" t="s">
        <v>17</v>
      </c>
      <c r="E550" t="s">
        <v>20</v>
      </c>
      <c r="F550" t="s">
        <v>10</v>
      </c>
      <c r="G550" t="s">
        <v>41</v>
      </c>
      <c r="H550">
        <v>650</v>
      </c>
      <c r="I550">
        <v>30</v>
      </c>
      <c r="J550" s="6">
        <f t="shared" ref="J550:J574" si="31">H550*I550/1000</f>
        <v>19.5</v>
      </c>
      <c r="K550" t="s">
        <v>389</v>
      </c>
    </row>
    <row r="551" spans="3:11" outlineLevel="2" x14ac:dyDescent="0.3">
      <c r="C551" s="10">
        <v>44991</v>
      </c>
      <c r="D551" s="11" t="s">
        <v>17</v>
      </c>
      <c r="E551" s="11" t="s">
        <v>20</v>
      </c>
      <c r="F551" s="11" t="s">
        <v>18</v>
      </c>
      <c r="G551" s="11" t="s">
        <v>21</v>
      </c>
      <c r="H551" s="11">
        <v>450</v>
      </c>
      <c r="I551" s="11">
        <v>21</v>
      </c>
      <c r="J551" s="6">
        <f t="shared" si="31"/>
        <v>9.4499999999999993</v>
      </c>
      <c r="K551" t="s">
        <v>389</v>
      </c>
    </row>
    <row r="552" spans="3:11" outlineLevel="2" x14ac:dyDescent="0.3">
      <c r="C552" s="9">
        <v>44991</v>
      </c>
      <c r="D552" t="s">
        <v>17</v>
      </c>
      <c r="E552" t="s">
        <v>9</v>
      </c>
      <c r="F552" t="s">
        <v>10</v>
      </c>
      <c r="G552" t="s">
        <v>39</v>
      </c>
      <c r="H552">
        <v>650</v>
      </c>
      <c r="I552">
        <v>48</v>
      </c>
      <c r="J552" s="6">
        <f t="shared" si="31"/>
        <v>31.2</v>
      </c>
      <c r="K552" t="s">
        <v>389</v>
      </c>
    </row>
    <row r="553" spans="3:11" outlineLevel="2" x14ac:dyDescent="0.3">
      <c r="C553" s="9">
        <v>44991</v>
      </c>
      <c r="D553" t="s">
        <v>8</v>
      </c>
      <c r="E553" t="s">
        <v>9</v>
      </c>
      <c r="F553" t="s">
        <v>10</v>
      </c>
      <c r="G553" t="s">
        <v>16</v>
      </c>
      <c r="H553">
        <v>1380</v>
      </c>
      <c r="I553">
        <v>28</v>
      </c>
      <c r="J553" s="6">
        <f t="shared" si="31"/>
        <v>38.64</v>
      </c>
      <c r="K553" t="s">
        <v>389</v>
      </c>
    </row>
    <row r="554" spans="3:11" outlineLevel="2" x14ac:dyDescent="0.3">
      <c r="C554" s="9">
        <v>44991</v>
      </c>
      <c r="D554" t="s">
        <v>12</v>
      </c>
      <c r="E554" t="s">
        <v>9</v>
      </c>
      <c r="F554" t="s">
        <v>18</v>
      </c>
      <c r="G554" t="s">
        <v>21</v>
      </c>
      <c r="H554">
        <v>450</v>
      </c>
      <c r="I554">
        <v>55</v>
      </c>
      <c r="J554" s="6">
        <f t="shared" si="31"/>
        <v>24.75</v>
      </c>
      <c r="K554" t="s">
        <v>389</v>
      </c>
    </row>
    <row r="555" spans="3:11" outlineLevel="2" x14ac:dyDescent="0.3">
      <c r="C555" s="9">
        <v>44991</v>
      </c>
      <c r="D555" t="s">
        <v>17</v>
      </c>
      <c r="E555" t="s">
        <v>9</v>
      </c>
      <c r="F555" t="s">
        <v>18</v>
      </c>
      <c r="G555" t="s">
        <v>37</v>
      </c>
      <c r="H555">
        <v>890</v>
      </c>
      <c r="I555">
        <v>34</v>
      </c>
      <c r="J555" s="6">
        <f t="shared" si="31"/>
        <v>30.26</v>
      </c>
      <c r="K555" t="s">
        <v>389</v>
      </c>
    </row>
    <row r="556" spans="3:11" outlineLevel="2" x14ac:dyDescent="0.3">
      <c r="C556" s="9">
        <v>44991</v>
      </c>
      <c r="D556" t="s">
        <v>45</v>
      </c>
      <c r="E556" t="s">
        <v>9</v>
      </c>
      <c r="F556" t="s">
        <v>13</v>
      </c>
      <c r="G556" t="s">
        <v>14</v>
      </c>
      <c r="H556">
        <v>1320</v>
      </c>
      <c r="I556">
        <v>62</v>
      </c>
      <c r="J556" s="6">
        <f t="shared" si="31"/>
        <v>81.84</v>
      </c>
      <c r="K556" t="s">
        <v>389</v>
      </c>
    </row>
    <row r="557" spans="3:11" outlineLevel="2" x14ac:dyDescent="0.3">
      <c r="C557" s="9">
        <v>44991</v>
      </c>
      <c r="D557" t="s">
        <v>45</v>
      </c>
      <c r="E557" t="s">
        <v>9</v>
      </c>
      <c r="F557" t="s">
        <v>13</v>
      </c>
      <c r="G557" t="s">
        <v>22</v>
      </c>
      <c r="H557">
        <v>930</v>
      </c>
      <c r="I557">
        <v>97</v>
      </c>
      <c r="J557" s="6">
        <f t="shared" si="31"/>
        <v>90.21</v>
      </c>
      <c r="K557" t="s">
        <v>389</v>
      </c>
    </row>
    <row r="558" spans="3:11" outlineLevel="2" x14ac:dyDescent="0.3">
      <c r="C558" s="9">
        <v>44991</v>
      </c>
      <c r="D558" t="s">
        <v>45</v>
      </c>
      <c r="E558" t="s">
        <v>9</v>
      </c>
      <c r="F558" t="s">
        <v>13</v>
      </c>
      <c r="G558" t="s">
        <v>43</v>
      </c>
      <c r="H558">
        <v>1420</v>
      </c>
      <c r="I558">
        <v>84</v>
      </c>
      <c r="J558" s="6">
        <f t="shared" si="31"/>
        <v>119.28</v>
      </c>
      <c r="K558" t="s">
        <v>389</v>
      </c>
    </row>
    <row r="559" spans="3:11" outlineLevel="2" x14ac:dyDescent="0.3">
      <c r="C559" s="9">
        <v>44991</v>
      </c>
      <c r="D559" t="s">
        <v>12</v>
      </c>
      <c r="E559" t="s">
        <v>9</v>
      </c>
      <c r="F559" t="s">
        <v>13</v>
      </c>
      <c r="G559" t="s">
        <v>14</v>
      </c>
      <c r="H559">
        <v>1320</v>
      </c>
      <c r="I559">
        <v>77</v>
      </c>
      <c r="J559" s="6">
        <f t="shared" si="31"/>
        <v>101.64</v>
      </c>
      <c r="K559" t="s">
        <v>389</v>
      </c>
    </row>
    <row r="560" spans="3:11" outlineLevel="2" x14ac:dyDescent="0.3">
      <c r="C560" s="9">
        <v>44991</v>
      </c>
      <c r="D560" t="s">
        <v>8</v>
      </c>
      <c r="E560" t="s">
        <v>9</v>
      </c>
      <c r="F560" t="s">
        <v>13</v>
      </c>
      <c r="G560" t="s">
        <v>38</v>
      </c>
      <c r="H560">
        <v>2400</v>
      </c>
      <c r="I560">
        <v>30</v>
      </c>
      <c r="J560" s="6">
        <f t="shared" si="31"/>
        <v>72</v>
      </c>
      <c r="K560" t="s">
        <v>389</v>
      </c>
    </row>
    <row r="561" spans="3:11" outlineLevel="2" x14ac:dyDescent="0.3">
      <c r="C561" s="9">
        <v>44991</v>
      </c>
      <c r="D561" t="s">
        <v>17</v>
      </c>
      <c r="E561" t="s">
        <v>9</v>
      </c>
      <c r="F561" t="s">
        <v>24</v>
      </c>
      <c r="G561" t="s">
        <v>34</v>
      </c>
      <c r="H561">
        <v>1670</v>
      </c>
      <c r="I561">
        <v>80</v>
      </c>
      <c r="J561" s="6">
        <f t="shared" si="31"/>
        <v>133.6</v>
      </c>
      <c r="K561" t="s">
        <v>389</v>
      </c>
    </row>
    <row r="562" spans="3:11" outlineLevel="2" x14ac:dyDescent="0.3">
      <c r="C562" s="9">
        <v>44991</v>
      </c>
      <c r="D562" t="s">
        <v>17</v>
      </c>
      <c r="E562" t="s">
        <v>9</v>
      </c>
      <c r="F562" t="s">
        <v>24</v>
      </c>
      <c r="G562" t="s">
        <v>34</v>
      </c>
      <c r="H562">
        <v>1670</v>
      </c>
      <c r="I562">
        <v>57</v>
      </c>
      <c r="J562" s="6">
        <f t="shared" si="31"/>
        <v>95.19</v>
      </c>
      <c r="K562" t="s">
        <v>389</v>
      </c>
    </row>
    <row r="563" spans="3:11" outlineLevel="2" x14ac:dyDescent="0.3">
      <c r="C563" s="9">
        <v>44991</v>
      </c>
      <c r="D563" t="s">
        <v>45</v>
      </c>
      <c r="E563" t="s">
        <v>26</v>
      </c>
      <c r="F563" t="s">
        <v>13</v>
      </c>
      <c r="G563" t="s">
        <v>43</v>
      </c>
      <c r="H563">
        <v>1420</v>
      </c>
      <c r="I563">
        <v>28</v>
      </c>
      <c r="J563" s="6">
        <f t="shared" si="31"/>
        <v>39.76</v>
      </c>
      <c r="K563" t="s">
        <v>389</v>
      </c>
    </row>
    <row r="564" spans="3:11" outlineLevel="2" x14ac:dyDescent="0.3">
      <c r="C564" s="9">
        <v>44991</v>
      </c>
      <c r="D564" t="s">
        <v>8</v>
      </c>
      <c r="E564" t="s">
        <v>26</v>
      </c>
      <c r="F564" t="s">
        <v>24</v>
      </c>
      <c r="G564" t="s">
        <v>34</v>
      </c>
      <c r="H564">
        <v>1670</v>
      </c>
      <c r="I564">
        <v>46</v>
      </c>
      <c r="J564" s="6">
        <f t="shared" si="31"/>
        <v>76.819999999999993</v>
      </c>
      <c r="K564" t="s">
        <v>389</v>
      </c>
    </row>
    <row r="565" spans="3:11" outlineLevel="2" x14ac:dyDescent="0.3">
      <c r="C565" s="9">
        <v>44991</v>
      </c>
      <c r="D565" t="s">
        <v>17</v>
      </c>
      <c r="E565" t="s">
        <v>26</v>
      </c>
      <c r="F565" t="s">
        <v>24</v>
      </c>
      <c r="G565" t="s">
        <v>36</v>
      </c>
      <c r="H565">
        <v>2460</v>
      </c>
      <c r="I565">
        <v>64</v>
      </c>
      <c r="J565" s="6">
        <f t="shared" si="31"/>
        <v>157.44</v>
      </c>
      <c r="K565" t="s">
        <v>389</v>
      </c>
    </row>
    <row r="566" spans="3:11" outlineLevel="2" x14ac:dyDescent="0.3">
      <c r="C566" s="9">
        <v>44991</v>
      </c>
      <c r="D566" t="s">
        <v>12</v>
      </c>
      <c r="E566" t="s">
        <v>33</v>
      </c>
      <c r="F566" t="s">
        <v>10</v>
      </c>
      <c r="G566" t="s">
        <v>16</v>
      </c>
      <c r="H566">
        <v>1380</v>
      </c>
      <c r="I566">
        <v>7</v>
      </c>
      <c r="J566" s="6">
        <f t="shared" si="31"/>
        <v>9.66</v>
      </c>
      <c r="K566" t="s">
        <v>389</v>
      </c>
    </row>
    <row r="567" spans="3:11" outlineLevel="2" x14ac:dyDescent="0.3">
      <c r="C567" s="9">
        <v>44991</v>
      </c>
      <c r="D567" t="s">
        <v>45</v>
      </c>
      <c r="E567" t="s">
        <v>33</v>
      </c>
      <c r="F567" t="s">
        <v>18</v>
      </c>
      <c r="G567" t="s">
        <v>21</v>
      </c>
      <c r="H567">
        <v>450</v>
      </c>
      <c r="I567">
        <v>26</v>
      </c>
      <c r="J567" s="6">
        <f t="shared" si="31"/>
        <v>11.7</v>
      </c>
      <c r="K567" t="s">
        <v>389</v>
      </c>
    </row>
    <row r="568" spans="3:11" outlineLevel="2" x14ac:dyDescent="0.3">
      <c r="C568" s="9">
        <v>44991</v>
      </c>
      <c r="D568" t="s">
        <v>8</v>
      </c>
      <c r="E568" t="s">
        <v>33</v>
      </c>
      <c r="F568" t="s">
        <v>24</v>
      </c>
      <c r="G568" t="s">
        <v>36</v>
      </c>
      <c r="H568">
        <v>2460</v>
      </c>
      <c r="I568">
        <v>5</v>
      </c>
      <c r="J568" s="6">
        <f t="shared" si="31"/>
        <v>12.3</v>
      </c>
      <c r="K568" t="s">
        <v>389</v>
      </c>
    </row>
    <row r="569" spans="3:11" outlineLevel="2" x14ac:dyDescent="0.3">
      <c r="C569" s="9">
        <v>44991</v>
      </c>
      <c r="D569" t="s">
        <v>45</v>
      </c>
      <c r="E569" t="s">
        <v>35</v>
      </c>
      <c r="F569" t="s">
        <v>10</v>
      </c>
      <c r="G569" t="s">
        <v>41</v>
      </c>
      <c r="H569">
        <v>650</v>
      </c>
      <c r="I569">
        <v>13</v>
      </c>
      <c r="J569" s="6">
        <f t="shared" si="31"/>
        <v>8.4499999999999993</v>
      </c>
      <c r="K569" t="s">
        <v>389</v>
      </c>
    </row>
    <row r="570" spans="3:11" outlineLevel="2" x14ac:dyDescent="0.3">
      <c r="C570" s="9">
        <v>44991</v>
      </c>
      <c r="D570" t="s">
        <v>12</v>
      </c>
      <c r="E570" t="s">
        <v>35</v>
      </c>
      <c r="F570" t="s">
        <v>18</v>
      </c>
      <c r="G570" t="s">
        <v>21</v>
      </c>
      <c r="H570">
        <v>450</v>
      </c>
      <c r="I570">
        <v>35</v>
      </c>
      <c r="J570" s="6">
        <f t="shared" si="31"/>
        <v>15.75</v>
      </c>
      <c r="K570" t="s">
        <v>389</v>
      </c>
    </row>
    <row r="571" spans="3:11" outlineLevel="2" x14ac:dyDescent="0.3">
      <c r="C571" s="9">
        <v>44991</v>
      </c>
      <c r="D571" t="s">
        <v>12</v>
      </c>
      <c r="E571" t="s">
        <v>35</v>
      </c>
      <c r="F571" t="s">
        <v>13</v>
      </c>
      <c r="G571" t="s">
        <v>38</v>
      </c>
      <c r="H571">
        <v>2400</v>
      </c>
      <c r="I571">
        <v>13</v>
      </c>
      <c r="J571" s="6">
        <f t="shared" si="31"/>
        <v>31.2</v>
      </c>
      <c r="K571" t="s">
        <v>389</v>
      </c>
    </row>
    <row r="572" spans="3:11" outlineLevel="2" x14ac:dyDescent="0.3">
      <c r="C572" s="9">
        <v>44991</v>
      </c>
      <c r="D572" t="s">
        <v>8</v>
      </c>
      <c r="E572" t="s">
        <v>35</v>
      </c>
      <c r="F572" t="s">
        <v>24</v>
      </c>
      <c r="G572" t="s">
        <v>32</v>
      </c>
      <c r="H572">
        <v>1505</v>
      </c>
      <c r="I572">
        <v>36</v>
      </c>
      <c r="J572" s="6">
        <f t="shared" si="31"/>
        <v>54.18</v>
      </c>
      <c r="K572" t="s">
        <v>389</v>
      </c>
    </row>
    <row r="573" spans="3:11" outlineLevel="2" x14ac:dyDescent="0.3">
      <c r="C573" s="9">
        <v>44991</v>
      </c>
      <c r="D573" t="s">
        <v>8</v>
      </c>
      <c r="E573" t="s">
        <v>35</v>
      </c>
      <c r="F573" t="s">
        <v>24</v>
      </c>
      <c r="G573" t="s">
        <v>32</v>
      </c>
      <c r="H573">
        <v>1505</v>
      </c>
      <c r="I573">
        <v>87</v>
      </c>
      <c r="J573" s="6">
        <f t="shared" si="31"/>
        <v>130.935</v>
      </c>
      <c r="K573" t="s">
        <v>389</v>
      </c>
    </row>
    <row r="574" spans="3:11" outlineLevel="2" x14ac:dyDescent="0.3">
      <c r="C574" s="9">
        <v>44991</v>
      </c>
      <c r="D574" t="s">
        <v>45</v>
      </c>
      <c r="E574" t="s">
        <v>35</v>
      </c>
      <c r="F574" t="s">
        <v>24</v>
      </c>
      <c r="G574" t="s">
        <v>36</v>
      </c>
      <c r="H574">
        <v>2460</v>
      </c>
      <c r="I574">
        <v>38</v>
      </c>
      <c r="J574" s="6">
        <f t="shared" si="31"/>
        <v>93.48</v>
      </c>
      <c r="K574" t="s">
        <v>389</v>
      </c>
    </row>
    <row r="575" spans="3:11" outlineLevel="1" x14ac:dyDescent="0.3">
      <c r="C575" s="13" t="s">
        <v>79</v>
      </c>
      <c r="J575" s="6">
        <f>SUBTOTAL(9,J550:J574)</f>
        <v>1489.2350000000001</v>
      </c>
      <c r="K575" t="s">
        <v>389</v>
      </c>
    </row>
    <row r="576" spans="3:11" outlineLevel="2" x14ac:dyDescent="0.3">
      <c r="C576" s="9">
        <v>44992</v>
      </c>
      <c r="D576" t="s">
        <v>17</v>
      </c>
      <c r="E576" t="s">
        <v>20</v>
      </c>
      <c r="F576" t="s">
        <v>10</v>
      </c>
      <c r="G576" t="s">
        <v>23</v>
      </c>
      <c r="H576">
        <v>640</v>
      </c>
      <c r="I576">
        <v>71</v>
      </c>
      <c r="J576" s="6">
        <f t="shared" ref="J576:J595" si="32">H576*I576/1000</f>
        <v>45.44</v>
      </c>
      <c r="K576" t="s">
        <v>389</v>
      </c>
    </row>
    <row r="577" spans="3:11" outlineLevel="2" x14ac:dyDescent="0.3">
      <c r="C577" s="10">
        <v>44992</v>
      </c>
      <c r="D577" s="11" t="s">
        <v>12</v>
      </c>
      <c r="E577" s="11" t="s">
        <v>20</v>
      </c>
      <c r="F577" s="11" t="s">
        <v>13</v>
      </c>
      <c r="G577" s="11" t="s">
        <v>22</v>
      </c>
      <c r="H577" s="11">
        <v>930</v>
      </c>
      <c r="I577" s="11">
        <v>42</v>
      </c>
      <c r="J577" s="6">
        <f t="shared" si="32"/>
        <v>39.06</v>
      </c>
      <c r="K577" t="s">
        <v>389</v>
      </c>
    </row>
    <row r="578" spans="3:11" outlineLevel="2" x14ac:dyDescent="0.3">
      <c r="C578" s="9">
        <v>44992</v>
      </c>
      <c r="D578" t="s">
        <v>45</v>
      </c>
      <c r="E578" t="s">
        <v>20</v>
      </c>
      <c r="F578" t="s">
        <v>24</v>
      </c>
      <c r="G578" t="s">
        <v>42</v>
      </c>
      <c r="H578">
        <v>3205</v>
      </c>
      <c r="I578">
        <v>76</v>
      </c>
      <c r="J578" s="6">
        <f t="shared" si="32"/>
        <v>243.58</v>
      </c>
      <c r="K578" t="s">
        <v>389</v>
      </c>
    </row>
    <row r="579" spans="3:11" outlineLevel="2" x14ac:dyDescent="0.3">
      <c r="C579" s="9">
        <v>44992</v>
      </c>
      <c r="D579" t="s">
        <v>17</v>
      </c>
      <c r="E579" t="s">
        <v>9</v>
      </c>
      <c r="F579" t="s">
        <v>10</v>
      </c>
      <c r="G579" t="s">
        <v>41</v>
      </c>
      <c r="H579">
        <v>650</v>
      </c>
      <c r="I579">
        <v>66</v>
      </c>
      <c r="J579" s="6">
        <f t="shared" si="32"/>
        <v>42.9</v>
      </c>
      <c r="K579" t="s">
        <v>389</v>
      </c>
    </row>
    <row r="580" spans="3:11" outlineLevel="2" x14ac:dyDescent="0.3">
      <c r="C580" s="9">
        <v>44992</v>
      </c>
      <c r="D580" t="s">
        <v>8</v>
      </c>
      <c r="E580" t="s">
        <v>9</v>
      </c>
      <c r="F580" t="s">
        <v>18</v>
      </c>
      <c r="G580" t="s">
        <v>28</v>
      </c>
      <c r="H580">
        <v>690</v>
      </c>
      <c r="I580">
        <v>37</v>
      </c>
      <c r="J580" s="6">
        <f t="shared" si="32"/>
        <v>25.53</v>
      </c>
      <c r="K580" t="s">
        <v>389</v>
      </c>
    </row>
    <row r="581" spans="3:11" outlineLevel="2" x14ac:dyDescent="0.3">
      <c r="C581" s="9">
        <v>44992</v>
      </c>
      <c r="D581" t="s">
        <v>8</v>
      </c>
      <c r="E581" t="s">
        <v>9</v>
      </c>
      <c r="F581" t="s">
        <v>24</v>
      </c>
      <c r="G581" t="s">
        <v>36</v>
      </c>
      <c r="H581">
        <v>2460</v>
      </c>
      <c r="I581">
        <v>48</v>
      </c>
      <c r="J581" s="6">
        <f t="shared" si="32"/>
        <v>118.08</v>
      </c>
      <c r="K581" t="s">
        <v>389</v>
      </c>
    </row>
    <row r="582" spans="3:11" outlineLevel="2" x14ac:dyDescent="0.3">
      <c r="C582" s="9">
        <v>44992</v>
      </c>
      <c r="D582" t="s">
        <v>8</v>
      </c>
      <c r="E582" t="s">
        <v>26</v>
      </c>
      <c r="F582" t="s">
        <v>24</v>
      </c>
      <c r="G582" t="s">
        <v>36</v>
      </c>
      <c r="H582">
        <v>2460</v>
      </c>
      <c r="I582">
        <v>17</v>
      </c>
      <c r="J582" s="6">
        <f t="shared" si="32"/>
        <v>41.82</v>
      </c>
      <c r="K582" t="s">
        <v>389</v>
      </c>
    </row>
    <row r="583" spans="3:11" outlineLevel="2" x14ac:dyDescent="0.3">
      <c r="C583" s="9">
        <v>44992</v>
      </c>
      <c r="D583" t="s">
        <v>12</v>
      </c>
      <c r="E583" t="s">
        <v>26</v>
      </c>
      <c r="F583" t="s">
        <v>24</v>
      </c>
      <c r="G583" t="s">
        <v>30</v>
      </c>
      <c r="H583">
        <v>2970</v>
      </c>
      <c r="I583">
        <v>72</v>
      </c>
      <c r="J583" s="6">
        <f t="shared" si="32"/>
        <v>213.84</v>
      </c>
      <c r="K583" t="s">
        <v>389</v>
      </c>
    </row>
    <row r="584" spans="3:11" outlineLevel="2" x14ac:dyDescent="0.3">
      <c r="C584" s="9">
        <v>44992</v>
      </c>
      <c r="D584" t="s">
        <v>8</v>
      </c>
      <c r="E584" t="s">
        <v>15</v>
      </c>
      <c r="F584" t="s">
        <v>10</v>
      </c>
      <c r="G584" t="s">
        <v>23</v>
      </c>
      <c r="H584">
        <v>640</v>
      </c>
      <c r="I584">
        <v>95</v>
      </c>
      <c r="J584" s="6">
        <f t="shared" si="32"/>
        <v>60.8</v>
      </c>
      <c r="K584" t="s">
        <v>389</v>
      </c>
    </row>
    <row r="585" spans="3:11" outlineLevel="2" x14ac:dyDescent="0.3">
      <c r="C585" s="9">
        <v>44992</v>
      </c>
      <c r="D585" t="s">
        <v>8</v>
      </c>
      <c r="E585" t="s">
        <v>15</v>
      </c>
      <c r="F585" t="s">
        <v>10</v>
      </c>
      <c r="G585" t="s">
        <v>11</v>
      </c>
      <c r="H585">
        <v>705</v>
      </c>
      <c r="I585">
        <v>23</v>
      </c>
      <c r="J585" s="6">
        <f t="shared" si="32"/>
        <v>16.215</v>
      </c>
      <c r="K585" t="s">
        <v>389</v>
      </c>
    </row>
    <row r="586" spans="3:11" outlineLevel="2" x14ac:dyDescent="0.3">
      <c r="C586" s="9">
        <v>44992</v>
      </c>
      <c r="D586" t="s">
        <v>17</v>
      </c>
      <c r="E586" t="s">
        <v>15</v>
      </c>
      <c r="F586" t="s">
        <v>10</v>
      </c>
      <c r="G586" t="s">
        <v>11</v>
      </c>
      <c r="H586">
        <v>705</v>
      </c>
      <c r="I586">
        <v>69</v>
      </c>
      <c r="J586" s="6">
        <f t="shared" si="32"/>
        <v>48.645000000000003</v>
      </c>
      <c r="K586" t="s">
        <v>389</v>
      </c>
    </row>
    <row r="587" spans="3:11" outlineLevel="2" x14ac:dyDescent="0.3">
      <c r="C587" s="9">
        <v>44992</v>
      </c>
      <c r="D587" t="s">
        <v>12</v>
      </c>
      <c r="E587" t="s">
        <v>15</v>
      </c>
      <c r="F587" t="s">
        <v>10</v>
      </c>
      <c r="G587" t="s">
        <v>41</v>
      </c>
      <c r="H587">
        <v>650</v>
      </c>
      <c r="I587">
        <v>24</v>
      </c>
      <c r="J587" s="6">
        <f t="shared" si="32"/>
        <v>15.6</v>
      </c>
      <c r="K587" t="s">
        <v>389</v>
      </c>
    </row>
    <row r="588" spans="3:11" outlineLevel="2" x14ac:dyDescent="0.3">
      <c r="C588" s="9">
        <v>44992</v>
      </c>
      <c r="D588" t="s">
        <v>45</v>
      </c>
      <c r="E588" t="s">
        <v>15</v>
      </c>
      <c r="F588" t="s">
        <v>18</v>
      </c>
      <c r="G588" t="s">
        <v>31</v>
      </c>
      <c r="H588">
        <v>715</v>
      </c>
      <c r="I588">
        <v>48</v>
      </c>
      <c r="J588" s="6">
        <f t="shared" si="32"/>
        <v>34.32</v>
      </c>
      <c r="K588" t="s">
        <v>389</v>
      </c>
    </row>
    <row r="589" spans="3:11" outlineLevel="2" x14ac:dyDescent="0.3">
      <c r="C589" s="9">
        <v>44992</v>
      </c>
      <c r="D589" t="s">
        <v>8</v>
      </c>
      <c r="E589" t="s">
        <v>15</v>
      </c>
      <c r="F589" t="s">
        <v>24</v>
      </c>
      <c r="G589" t="s">
        <v>42</v>
      </c>
      <c r="H589">
        <v>3205</v>
      </c>
      <c r="I589">
        <v>21</v>
      </c>
      <c r="J589" s="6">
        <f t="shared" si="32"/>
        <v>67.305000000000007</v>
      </c>
      <c r="K589" t="s">
        <v>389</v>
      </c>
    </row>
    <row r="590" spans="3:11" outlineLevel="2" x14ac:dyDescent="0.3">
      <c r="C590" s="9">
        <v>44992</v>
      </c>
      <c r="D590" t="s">
        <v>17</v>
      </c>
      <c r="E590" t="s">
        <v>33</v>
      </c>
      <c r="F590" t="s">
        <v>18</v>
      </c>
      <c r="G590" t="s">
        <v>28</v>
      </c>
      <c r="H590">
        <v>690</v>
      </c>
      <c r="I590">
        <v>7</v>
      </c>
      <c r="J590" s="6">
        <f t="shared" si="32"/>
        <v>4.83</v>
      </c>
      <c r="K590" t="s">
        <v>389</v>
      </c>
    </row>
    <row r="591" spans="3:11" outlineLevel="2" x14ac:dyDescent="0.3">
      <c r="C591" s="9">
        <v>44992</v>
      </c>
      <c r="D591" t="s">
        <v>8</v>
      </c>
      <c r="E591" t="s">
        <v>33</v>
      </c>
      <c r="F591" t="s">
        <v>13</v>
      </c>
      <c r="G591" t="s">
        <v>22</v>
      </c>
      <c r="H591">
        <v>930</v>
      </c>
      <c r="I591">
        <v>15</v>
      </c>
      <c r="J591" s="6">
        <f t="shared" si="32"/>
        <v>13.95</v>
      </c>
      <c r="K591" t="s">
        <v>389</v>
      </c>
    </row>
    <row r="592" spans="3:11" outlineLevel="2" x14ac:dyDescent="0.3">
      <c r="C592" s="9">
        <v>44992</v>
      </c>
      <c r="D592" t="s">
        <v>8</v>
      </c>
      <c r="E592" t="s">
        <v>33</v>
      </c>
      <c r="F592" t="s">
        <v>13</v>
      </c>
      <c r="G592" t="s">
        <v>44</v>
      </c>
      <c r="H592">
        <v>2540</v>
      </c>
      <c r="I592">
        <v>65</v>
      </c>
      <c r="J592" s="6">
        <f t="shared" si="32"/>
        <v>165.1</v>
      </c>
      <c r="K592" t="s">
        <v>389</v>
      </c>
    </row>
    <row r="593" spans="3:11" outlineLevel="2" x14ac:dyDescent="0.3">
      <c r="C593" s="9">
        <v>44992</v>
      </c>
      <c r="D593" t="s">
        <v>12</v>
      </c>
      <c r="E593" t="s">
        <v>35</v>
      </c>
      <c r="F593" t="s">
        <v>18</v>
      </c>
      <c r="G593" t="s">
        <v>21</v>
      </c>
      <c r="H593">
        <v>450</v>
      </c>
      <c r="I593">
        <v>47</v>
      </c>
      <c r="J593" s="6">
        <f t="shared" si="32"/>
        <v>21.15</v>
      </c>
      <c r="K593" t="s">
        <v>389</v>
      </c>
    </row>
    <row r="594" spans="3:11" outlineLevel="2" x14ac:dyDescent="0.3">
      <c r="C594" s="9">
        <v>44992</v>
      </c>
      <c r="D594" t="s">
        <v>17</v>
      </c>
      <c r="E594" t="s">
        <v>35</v>
      </c>
      <c r="F594" t="s">
        <v>18</v>
      </c>
      <c r="G594" t="s">
        <v>27</v>
      </c>
      <c r="H594">
        <v>460</v>
      </c>
      <c r="I594">
        <v>12</v>
      </c>
      <c r="J594" s="6">
        <f t="shared" si="32"/>
        <v>5.52</v>
      </c>
      <c r="K594" t="s">
        <v>389</v>
      </c>
    </row>
    <row r="595" spans="3:11" outlineLevel="2" x14ac:dyDescent="0.3">
      <c r="C595" s="9">
        <v>44992</v>
      </c>
      <c r="D595" t="s">
        <v>17</v>
      </c>
      <c r="E595" t="s">
        <v>35</v>
      </c>
      <c r="F595" t="s">
        <v>13</v>
      </c>
      <c r="G595" t="s">
        <v>43</v>
      </c>
      <c r="H595">
        <v>1420</v>
      </c>
      <c r="I595">
        <v>55</v>
      </c>
      <c r="J595" s="6">
        <f t="shared" si="32"/>
        <v>78.099999999999994</v>
      </c>
      <c r="K595" t="s">
        <v>389</v>
      </c>
    </row>
    <row r="596" spans="3:11" outlineLevel="1" x14ac:dyDescent="0.3">
      <c r="C596" s="13" t="s">
        <v>80</v>
      </c>
      <c r="J596" s="6">
        <f>SUBTOTAL(9,J576:J595)</f>
        <v>1301.7850000000001</v>
      </c>
      <c r="K596" t="s">
        <v>389</v>
      </c>
    </row>
    <row r="597" spans="3:11" outlineLevel="2" x14ac:dyDescent="0.3">
      <c r="C597" s="10">
        <v>44993</v>
      </c>
      <c r="D597" s="11" t="s">
        <v>17</v>
      </c>
      <c r="E597" s="11" t="s">
        <v>20</v>
      </c>
      <c r="F597" s="11" t="s">
        <v>10</v>
      </c>
      <c r="G597" s="11" t="s">
        <v>39</v>
      </c>
      <c r="H597" s="11">
        <v>650</v>
      </c>
      <c r="I597" s="11">
        <v>67</v>
      </c>
      <c r="J597" s="6">
        <f t="shared" ref="J597:J607" si="33">H597*I597/1000</f>
        <v>43.55</v>
      </c>
      <c r="K597" t="s">
        <v>389</v>
      </c>
    </row>
    <row r="598" spans="3:11" outlineLevel="2" x14ac:dyDescent="0.3">
      <c r="C598" s="9">
        <v>44993</v>
      </c>
      <c r="D598" t="s">
        <v>45</v>
      </c>
      <c r="E598" t="s">
        <v>20</v>
      </c>
      <c r="F598" t="s">
        <v>10</v>
      </c>
      <c r="G598" t="s">
        <v>16</v>
      </c>
      <c r="H598">
        <v>1380</v>
      </c>
      <c r="I598">
        <v>84</v>
      </c>
      <c r="J598" s="6">
        <f t="shared" si="33"/>
        <v>115.92</v>
      </c>
      <c r="K598" t="s">
        <v>389</v>
      </c>
    </row>
    <row r="599" spans="3:11" outlineLevel="2" x14ac:dyDescent="0.3">
      <c r="C599" s="9">
        <v>44993</v>
      </c>
      <c r="D599" t="s">
        <v>17</v>
      </c>
      <c r="E599" t="s">
        <v>9</v>
      </c>
      <c r="F599" t="s">
        <v>24</v>
      </c>
      <c r="G599" t="s">
        <v>25</v>
      </c>
      <c r="H599">
        <v>1760</v>
      </c>
      <c r="I599">
        <v>44</v>
      </c>
      <c r="J599" s="6">
        <f t="shared" si="33"/>
        <v>77.44</v>
      </c>
      <c r="K599" t="s">
        <v>389</v>
      </c>
    </row>
    <row r="600" spans="3:11" outlineLevel="2" x14ac:dyDescent="0.3">
      <c r="C600" s="9">
        <v>44993</v>
      </c>
      <c r="D600" t="s">
        <v>8</v>
      </c>
      <c r="E600" t="s">
        <v>9</v>
      </c>
      <c r="F600" t="s">
        <v>24</v>
      </c>
      <c r="G600" t="s">
        <v>34</v>
      </c>
      <c r="H600">
        <v>1670</v>
      </c>
      <c r="I600">
        <v>36</v>
      </c>
      <c r="J600" s="6">
        <f t="shared" si="33"/>
        <v>60.12</v>
      </c>
      <c r="K600" t="s">
        <v>389</v>
      </c>
    </row>
    <row r="601" spans="3:11" outlineLevel="2" x14ac:dyDescent="0.3">
      <c r="C601" s="9">
        <v>44993</v>
      </c>
      <c r="D601" t="s">
        <v>12</v>
      </c>
      <c r="E601" t="s">
        <v>26</v>
      </c>
      <c r="F601" t="s">
        <v>18</v>
      </c>
      <c r="G601" t="s">
        <v>21</v>
      </c>
      <c r="H601">
        <v>450</v>
      </c>
      <c r="I601">
        <v>96</v>
      </c>
      <c r="J601" s="6">
        <f t="shared" si="33"/>
        <v>43.2</v>
      </c>
      <c r="K601" t="s">
        <v>389</v>
      </c>
    </row>
    <row r="602" spans="3:11" outlineLevel="2" x14ac:dyDescent="0.3">
      <c r="C602" s="9">
        <v>44993</v>
      </c>
      <c r="D602" t="s">
        <v>12</v>
      </c>
      <c r="E602" t="s">
        <v>26</v>
      </c>
      <c r="F602" t="s">
        <v>24</v>
      </c>
      <c r="G602" t="s">
        <v>34</v>
      </c>
      <c r="H602">
        <v>1670</v>
      </c>
      <c r="I602">
        <v>52</v>
      </c>
      <c r="J602" s="6">
        <f t="shared" si="33"/>
        <v>86.84</v>
      </c>
      <c r="K602" t="s">
        <v>389</v>
      </c>
    </row>
    <row r="603" spans="3:11" outlineLevel="2" x14ac:dyDescent="0.3">
      <c r="C603" s="9">
        <v>44993</v>
      </c>
      <c r="D603" t="s">
        <v>8</v>
      </c>
      <c r="E603" t="s">
        <v>26</v>
      </c>
      <c r="F603" t="s">
        <v>24</v>
      </c>
      <c r="G603" t="s">
        <v>34</v>
      </c>
      <c r="H603">
        <v>1670</v>
      </c>
      <c r="I603">
        <v>27</v>
      </c>
      <c r="J603" s="6">
        <f t="shared" si="33"/>
        <v>45.09</v>
      </c>
      <c r="K603" t="s">
        <v>389</v>
      </c>
    </row>
    <row r="604" spans="3:11" outlineLevel="2" x14ac:dyDescent="0.3">
      <c r="C604" s="9">
        <v>44993</v>
      </c>
      <c r="D604" t="s">
        <v>8</v>
      </c>
      <c r="E604" t="s">
        <v>26</v>
      </c>
      <c r="F604" t="s">
        <v>24</v>
      </c>
      <c r="G604" t="s">
        <v>42</v>
      </c>
      <c r="H604">
        <v>3205</v>
      </c>
      <c r="I604">
        <v>56</v>
      </c>
      <c r="J604" s="6">
        <f t="shared" si="33"/>
        <v>179.48</v>
      </c>
      <c r="K604" t="s">
        <v>389</v>
      </c>
    </row>
    <row r="605" spans="3:11" outlineLevel="2" x14ac:dyDescent="0.3">
      <c r="C605" s="9">
        <v>44993</v>
      </c>
      <c r="D605" t="s">
        <v>8</v>
      </c>
      <c r="E605" t="s">
        <v>33</v>
      </c>
      <c r="F605" t="s">
        <v>10</v>
      </c>
      <c r="G605" t="s">
        <v>39</v>
      </c>
      <c r="H605">
        <v>650</v>
      </c>
      <c r="I605">
        <v>90</v>
      </c>
      <c r="J605" s="6">
        <f t="shared" si="33"/>
        <v>58.5</v>
      </c>
      <c r="K605" t="s">
        <v>389</v>
      </c>
    </row>
    <row r="606" spans="3:11" outlineLevel="2" x14ac:dyDescent="0.3">
      <c r="C606" s="9">
        <v>44993</v>
      </c>
      <c r="D606" t="s">
        <v>8</v>
      </c>
      <c r="E606" t="s">
        <v>33</v>
      </c>
      <c r="F606" t="s">
        <v>24</v>
      </c>
      <c r="G606" t="s">
        <v>36</v>
      </c>
      <c r="H606">
        <v>2460</v>
      </c>
      <c r="I606">
        <v>61</v>
      </c>
      <c r="J606" s="6">
        <f t="shared" si="33"/>
        <v>150.06</v>
      </c>
      <c r="K606" t="s">
        <v>389</v>
      </c>
    </row>
    <row r="607" spans="3:11" outlineLevel="2" x14ac:dyDescent="0.3">
      <c r="C607" s="9">
        <v>44993</v>
      </c>
      <c r="D607" t="s">
        <v>17</v>
      </c>
      <c r="E607" t="s">
        <v>35</v>
      </c>
      <c r="F607" t="s">
        <v>10</v>
      </c>
      <c r="G607" t="s">
        <v>41</v>
      </c>
      <c r="H607">
        <v>650</v>
      </c>
      <c r="I607">
        <v>34</v>
      </c>
      <c r="J607" s="6">
        <f t="shared" si="33"/>
        <v>22.1</v>
      </c>
      <c r="K607" t="s">
        <v>389</v>
      </c>
    </row>
    <row r="608" spans="3:11" outlineLevel="1" x14ac:dyDescent="0.3">
      <c r="C608" s="13" t="s">
        <v>81</v>
      </c>
      <c r="J608" s="6">
        <f>SUBTOTAL(9,J597:J607)</f>
        <v>882.30000000000007</v>
      </c>
      <c r="K608" t="s">
        <v>389</v>
      </c>
    </row>
    <row r="609" spans="3:11" outlineLevel="2" x14ac:dyDescent="0.3">
      <c r="C609" s="10">
        <v>44994</v>
      </c>
      <c r="D609" s="11" t="s">
        <v>17</v>
      </c>
      <c r="E609" s="11" t="s">
        <v>20</v>
      </c>
      <c r="F609" s="11" t="s">
        <v>10</v>
      </c>
      <c r="G609" s="11" t="s">
        <v>11</v>
      </c>
      <c r="H609" s="11">
        <v>705</v>
      </c>
      <c r="I609" s="11">
        <v>61</v>
      </c>
      <c r="J609" s="6">
        <f t="shared" ref="J609:J622" si="34">H609*I609/1000</f>
        <v>43.005000000000003</v>
      </c>
      <c r="K609" t="s">
        <v>389</v>
      </c>
    </row>
    <row r="610" spans="3:11" outlineLevel="2" x14ac:dyDescent="0.3">
      <c r="C610" s="9">
        <v>44994</v>
      </c>
      <c r="D610" t="s">
        <v>8</v>
      </c>
      <c r="E610" t="s">
        <v>20</v>
      </c>
      <c r="F610" t="s">
        <v>18</v>
      </c>
      <c r="G610" t="s">
        <v>27</v>
      </c>
      <c r="H610">
        <v>460</v>
      </c>
      <c r="I610">
        <v>30</v>
      </c>
      <c r="J610" s="6">
        <f t="shared" si="34"/>
        <v>13.8</v>
      </c>
      <c r="K610" t="s">
        <v>389</v>
      </c>
    </row>
    <row r="611" spans="3:11" outlineLevel="2" x14ac:dyDescent="0.3">
      <c r="C611" s="10">
        <v>44994</v>
      </c>
      <c r="D611" s="11" t="s">
        <v>45</v>
      </c>
      <c r="E611" s="11" t="s">
        <v>20</v>
      </c>
      <c r="F611" s="11" t="s">
        <v>13</v>
      </c>
      <c r="G611" s="11" t="s">
        <v>22</v>
      </c>
      <c r="H611" s="11">
        <v>930</v>
      </c>
      <c r="I611" s="11">
        <v>23</v>
      </c>
      <c r="J611" s="6">
        <f t="shared" si="34"/>
        <v>21.39</v>
      </c>
      <c r="K611" t="s">
        <v>389</v>
      </c>
    </row>
    <row r="612" spans="3:11" outlineLevel="2" x14ac:dyDescent="0.3">
      <c r="C612" s="9">
        <v>44994</v>
      </c>
      <c r="D612" t="s">
        <v>17</v>
      </c>
      <c r="E612" t="s">
        <v>20</v>
      </c>
      <c r="F612" t="s">
        <v>13</v>
      </c>
      <c r="G612" t="s">
        <v>38</v>
      </c>
      <c r="H612">
        <v>2400</v>
      </c>
      <c r="I612">
        <v>89</v>
      </c>
      <c r="J612" s="6">
        <f t="shared" si="34"/>
        <v>213.6</v>
      </c>
      <c r="K612" t="s">
        <v>389</v>
      </c>
    </row>
    <row r="613" spans="3:11" outlineLevel="2" x14ac:dyDescent="0.3">
      <c r="C613" s="10">
        <v>44994</v>
      </c>
      <c r="D613" s="11" t="s">
        <v>12</v>
      </c>
      <c r="E613" s="11" t="s">
        <v>20</v>
      </c>
      <c r="F613" s="11" t="s">
        <v>13</v>
      </c>
      <c r="G613" s="11" t="s">
        <v>43</v>
      </c>
      <c r="H613" s="11">
        <v>1420</v>
      </c>
      <c r="I613" s="11">
        <v>92</v>
      </c>
      <c r="J613" s="6">
        <f t="shared" si="34"/>
        <v>130.63999999999999</v>
      </c>
      <c r="K613" t="s">
        <v>389</v>
      </c>
    </row>
    <row r="614" spans="3:11" outlineLevel="2" x14ac:dyDescent="0.3">
      <c r="C614" s="9">
        <v>44994</v>
      </c>
      <c r="D614" t="s">
        <v>17</v>
      </c>
      <c r="E614" t="s">
        <v>20</v>
      </c>
      <c r="F614" t="s">
        <v>24</v>
      </c>
      <c r="G614" t="s">
        <v>32</v>
      </c>
      <c r="H614">
        <v>1505</v>
      </c>
      <c r="I614">
        <v>8</v>
      </c>
      <c r="J614" s="6">
        <f t="shared" si="34"/>
        <v>12.04</v>
      </c>
      <c r="K614" t="s">
        <v>389</v>
      </c>
    </row>
    <row r="615" spans="3:11" outlineLevel="2" x14ac:dyDescent="0.3">
      <c r="C615" s="9">
        <v>44994</v>
      </c>
      <c r="D615" t="s">
        <v>8</v>
      </c>
      <c r="E615" t="s">
        <v>9</v>
      </c>
      <c r="F615" t="s">
        <v>13</v>
      </c>
      <c r="G615" t="s">
        <v>44</v>
      </c>
      <c r="H615">
        <v>2540</v>
      </c>
      <c r="I615">
        <v>49</v>
      </c>
      <c r="J615" s="6">
        <f t="shared" si="34"/>
        <v>124.46</v>
      </c>
      <c r="K615" t="s">
        <v>389</v>
      </c>
    </row>
    <row r="616" spans="3:11" outlineLevel="2" x14ac:dyDescent="0.3">
      <c r="C616" s="9">
        <v>44994</v>
      </c>
      <c r="D616" t="s">
        <v>17</v>
      </c>
      <c r="E616" t="s">
        <v>9</v>
      </c>
      <c r="F616" t="s">
        <v>24</v>
      </c>
      <c r="G616" t="s">
        <v>36</v>
      </c>
      <c r="H616">
        <v>2460</v>
      </c>
      <c r="I616">
        <v>70</v>
      </c>
      <c r="J616" s="6">
        <f t="shared" si="34"/>
        <v>172.2</v>
      </c>
      <c r="K616" t="s">
        <v>389</v>
      </c>
    </row>
    <row r="617" spans="3:11" outlineLevel="2" x14ac:dyDescent="0.3">
      <c r="C617" s="9">
        <v>44994</v>
      </c>
      <c r="D617" t="s">
        <v>45</v>
      </c>
      <c r="E617" t="s">
        <v>15</v>
      </c>
      <c r="F617" t="s">
        <v>10</v>
      </c>
      <c r="G617" t="s">
        <v>23</v>
      </c>
      <c r="H617">
        <v>640</v>
      </c>
      <c r="I617">
        <v>59</v>
      </c>
      <c r="J617" s="6">
        <f t="shared" si="34"/>
        <v>37.76</v>
      </c>
      <c r="K617" t="s">
        <v>389</v>
      </c>
    </row>
    <row r="618" spans="3:11" outlineLevel="2" x14ac:dyDescent="0.3">
      <c r="C618" s="9">
        <v>44994</v>
      </c>
      <c r="D618" t="s">
        <v>8</v>
      </c>
      <c r="E618" t="s">
        <v>15</v>
      </c>
      <c r="F618" t="s">
        <v>10</v>
      </c>
      <c r="G618" t="s">
        <v>23</v>
      </c>
      <c r="H618">
        <v>640</v>
      </c>
      <c r="I618">
        <v>36</v>
      </c>
      <c r="J618" s="6">
        <f t="shared" si="34"/>
        <v>23.04</v>
      </c>
      <c r="K618" t="s">
        <v>389</v>
      </c>
    </row>
    <row r="619" spans="3:11" outlineLevel="2" x14ac:dyDescent="0.3">
      <c r="C619" s="9">
        <v>44994</v>
      </c>
      <c r="D619" t="s">
        <v>8</v>
      </c>
      <c r="E619" t="s">
        <v>15</v>
      </c>
      <c r="F619" t="s">
        <v>13</v>
      </c>
      <c r="G619" t="s">
        <v>22</v>
      </c>
      <c r="H619">
        <v>930</v>
      </c>
      <c r="I619">
        <v>8</v>
      </c>
      <c r="J619" s="6">
        <f t="shared" si="34"/>
        <v>7.44</v>
      </c>
      <c r="K619" t="s">
        <v>389</v>
      </c>
    </row>
    <row r="620" spans="3:11" outlineLevel="2" x14ac:dyDescent="0.3">
      <c r="C620" s="9">
        <v>44994</v>
      </c>
      <c r="D620" t="s">
        <v>8</v>
      </c>
      <c r="E620" t="s">
        <v>33</v>
      </c>
      <c r="F620" t="s">
        <v>13</v>
      </c>
      <c r="G620" t="s">
        <v>44</v>
      </c>
      <c r="H620">
        <v>2540</v>
      </c>
      <c r="I620">
        <v>47</v>
      </c>
      <c r="J620" s="6">
        <f t="shared" si="34"/>
        <v>119.38</v>
      </c>
      <c r="K620" t="s">
        <v>389</v>
      </c>
    </row>
    <row r="621" spans="3:11" outlineLevel="2" x14ac:dyDescent="0.3">
      <c r="C621" s="9">
        <v>44994</v>
      </c>
      <c r="D621" t="s">
        <v>17</v>
      </c>
      <c r="E621" t="s">
        <v>33</v>
      </c>
      <c r="F621" t="s">
        <v>13</v>
      </c>
      <c r="G621" t="s">
        <v>44</v>
      </c>
      <c r="H621">
        <v>2540</v>
      </c>
      <c r="I621">
        <v>90</v>
      </c>
      <c r="J621" s="6">
        <f t="shared" si="34"/>
        <v>228.6</v>
      </c>
      <c r="K621" t="s">
        <v>389</v>
      </c>
    </row>
    <row r="622" spans="3:11" outlineLevel="2" x14ac:dyDescent="0.3">
      <c r="C622" s="9">
        <v>44994</v>
      </c>
      <c r="D622" t="s">
        <v>12</v>
      </c>
      <c r="E622" t="s">
        <v>35</v>
      </c>
      <c r="F622" t="s">
        <v>10</v>
      </c>
      <c r="G622" t="s">
        <v>41</v>
      </c>
      <c r="H622">
        <v>650</v>
      </c>
      <c r="I622">
        <v>51</v>
      </c>
      <c r="J622" s="6">
        <f t="shared" si="34"/>
        <v>33.15</v>
      </c>
      <c r="K622" t="s">
        <v>389</v>
      </c>
    </row>
    <row r="623" spans="3:11" outlineLevel="1" x14ac:dyDescent="0.3">
      <c r="C623" s="13" t="s">
        <v>82</v>
      </c>
      <c r="J623" s="6">
        <f>SUBTOTAL(9,J609:J622)</f>
        <v>1180.5050000000001</v>
      </c>
      <c r="K623" t="s">
        <v>389</v>
      </c>
    </row>
    <row r="624" spans="3:11" outlineLevel="2" x14ac:dyDescent="0.3">
      <c r="C624" s="10">
        <v>44995</v>
      </c>
      <c r="D624" s="11" t="s">
        <v>17</v>
      </c>
      <c r="E624" s="11" t="s">
        <v>20</v>
      </c>
      <c r="F624" s="11" t="s">
        <v>13</v>
      </c>
      <c r="G624" s="11" t="s">
        <v>44</v>
      </c>
      <c r="H624" s="11">
        <v>2540</v>
      </c>
      <c r="I624" s="11">
        <v>95</v>
      </c>
      <c r="J624" s="6">
        <f t="shared" ref="J624:J645" si="35">H624*I624/1000</f>
        <v>241.3</v>
      </c>
      <c r="K624" t="s">
        <v>389</v>
      </c>
    </row>
    <row r="625" spans="3:11" outlineLevel="2" x14ac:dyDescent="0.3">
      <c r="C625" s="9">
        <v>44995</v>
      </c>
      <c r="D625" t="s">
        <v>12</v>
      </c>
      <c r="E625" t="s">
        <v>9</v>
      </c>
      <c r="F625" t="s">
        <v>10</v>
      </c>
      <c r="G625" t="s">
        <v>16</v>
      </c>
      <c r="H625">
        <v>1380</v>
      </c>
      <c r="I625">
        <v>30</v>
      </c>
      <c r="J625" s="6">
        <f t="shared" si="35"/>
        <v>41.4</v>
      </c>
      <c r="K625" t="s">
        <v>389</v>
      </c>
    </row>
    <row r="626" spans="3:11" outlineLevel="2" x14ac:dyDescent="0.3">
      <c r="C626" s="9">
        <v>44995</v>
      </c>
      <c r="D626" t="s">
        <v>8</v>
      </c>
      <c r="E626" t="s">
        <v>9</v>
      </c>
      <c r="F626" t="s">
        <v>18</v>
      </c>
      <c r="G626" t="s">
        <v>21</v>
      </c>
      <c r="H626">
        <v>450</v>
      </c>
      <c r="I626">
        <v>81</v>
      </c>
      <c r="J626" s="6">
        <f t="shared" si="35"/>
        <v>36.450000000000003</v>
      </c>
      <c r="K626" t="s">
        <v>389</v>
      </c>
    </row>
    <row r="627" spans="3:11" outlineLevel="2" x14ac:dyDescent="0.3">
      <c r="C627" s="9">
        <v>44995</v>
      </c>
      <c r="D627" t="s">
        <v>12</v>
      </c>
      <c r="E627" t="s">
        <v>9</v>
      </c>
      <c r="F627" t="s">
        <v>13</v>
      </c>
      <c r="G627" t="s">
        <v>22</v>
      </c>
      <c r="H627">
        <v>930</v>
      </c>
      <c r="I627">
        <v>98</v>
      </c>
      <c r="J627" s="6">
        <f t="shared" si="35"/>
        <v>91.14</v>
      </c>
      <c r="K627" t="s">
        <v>389</v>
      </c>
    </row>
    <row r="628" spans="3:11" outlineLevel="2" x14ac:dyDescent="0.3">
      <c r="C628" s="9">
        <v>44995</v>
      </c>
      <c r="D628" t="s">
        <v>17</v>
      </c>
      <c r="E628" t="s">
        <v>9</v>
      </c>
      <c r="F628" t="s">
        <v>13</v>
      </c>
      <c r="G628" t="s">
        <v>14</v>
      </c>
      <c r="H628">
        <v>1320</v>
      </c>
      <c r="I628">
        <v>91</v>
      </c>
      <c r="J628" s="6">
        <f t="shared" si="35"/>
        <v>120.12</v>
      </c>
      <c r="K628" t="s">
        <v>389</v>
      </c>
    </row>
    <row r="629" spans="3:11" outlineLevel="2" x14ac:dyDescent="0.3">
      <c r="C629" s="9">
        <v>44995</v>
      </c>
      <c r="D629" t="s">
        <v>17</v>
      </c>
      <c r="E629" t="s">
        <v>26</v>
      </c>
      <c r="F629" t="s">
        <v>10</v>
      </c>
      <c r="G629" t="s">
        <v>41</v>
      </c>
      <c r="H629">
        <v>650</v>
      </c>
      <c r="I629">
        <v>23</v>
      </c>
      <c r="J629" s="6">
        <f t="shared" si="35"/>
        <v>14.95</v>
      </c>
      <c r="K629" t="s">
        <v>389</v>
      </c>
    </row>
    <row r="630" spans="3:11" outlineLevel="2" x14ac:dyDescent="0.3">
      <c r="C630" s="9">
        <v>44995</v>
      </c>
      <c r="D630" t="s">
        <v>8</v>
      </c>
      <c r="E630" t="s">
        <v>26</v>
      </c>
      <c r="F630" t="s">
        <v>18</v>
      </c>
      <c r="G630" t="s">
        <v>31</v>
      </c>
      <c r="H630">
        <v>715</v>
      </c>
      <c r="I630">
        <v>83</v>
      </c>
      <c r="J630" s="6">
        <f t="shared" si="35"/>
        <v>59.344999999999999</v>
      </c>
      <c r="K630" t="s">
        <v>389</v>
      </c>
    </row>
    <row r="631" spans="3:11" outlineLevel="2" x14ac:dyDescent="0.3">
      <c r="C631" s="9">
        <v>44995</v>
      </c>
      <c r="D631" t="s">
        <v>8</v>
      </c>
      <c r="E631" t="s">
        <v>26</v>
      </c>
      <c r="F631" t="s">
        <v>13</v>
      </c>
      <c r="G631" t="s">
        <v>14</v>
      </c>
      <c r="H631">
        <v>1320</v>
      </c>
      <c r="I631">
        <v>100</v>
      </c>
      <c r="J631" s="6">
        <f t="shared" si="35"/>
        <v>132</v>
      </c>
      <c r="K631" t="s">
        <v>389</v>
      </c>
    </row>
    <row r="632" spans="3:11" outlineLevel="2" x14ac:dyDescent="0.3">
      <c r="C632" s="9">
        <v>44995</v>
      </c>
      <c r="D632" t="s">
        <v>8</v>
      </c>
      <c r="E632" t="s">
        <v>26</v>
      </c>
      <c r="F632" t="s">
        <v>13</v>
      </c>
      <c r="G632" t="s">
        <v>14</v>
      </c>
      <c r="H632">
        <v>1320</v>
      </c>
      <c r="I632">
        <v>87</v>
      </c>
      <c r="J632" s="6">
        <f t="shared" si="35"/>
        <v>114.84</v>
      </c>
      <c r="K632" t="s">
        <v>389</v>
      </c>
    </row>
    <row r="633" spans="3:11" outlineLevel="2" x14ac:dyDescent="0.3">
      <c r="C633" s="9">
        <v>44995</v>
      </c>
      <c r="D633" t="s">
        <v>17</v>
      </c>
      <c r="E633" t="s">
        <v>26</v>
      </c>
      <c r="F633" t="s">
        <v>24</v>
      </c>
      <c r="G633" t="s">
        <v>36</v>
      </c>
      <c r="H633">
        <v>2460</v>
      </c>
      <c r="I633">
        <v>48</v>
      </c>
      <c r="J633" s="6">
        <f t="shared" si="35"/>
        <v>118.08</v>
      </c>
      <c r="K633" t="s">
        <v>389</v>
      </c>
    </row>
    <row r="634" spans="3:11" outlineLevel="2" x14ac:dyDescent="0.3">
      <c r="C634" s="9">
        <v>44995</v>
      </c>
      <c r="D634" t="s">
        <v>17</v>
      </c>
      <c r="E634" t="s">
        <v>33</v>
      </c>
      <c r="F634" t="s">
        <v>10</v>
      </c>
      <c r="G634" t="s">
        <v>23</v>
      </c>
      <c r="H634">
        <v>640</v>
      </c>
      <c r="I634">
        <v>83</v>
      </c>
      <c r="J634" s="6">
        <f t="shared" si="35"/>
        <v>53.12</v>
      </c>
      <c r="K634" t="s">
        <v>389</v>
      </c>
    </row>
    <row r="635" spans="3:11" outlineLevel="2" x14ac:dyDescent="0.3">
      <c r="C635" s="9">
        <v>44995</v>
      </c>
      <c r="D635" t="s">
        <v>17</v>
      </c>
      <c r="E635" t="s">
        <v>33</v>
      </c>
      <c r="F635" t="s">
        <v>10</v>
      </c>
      <c r="G635" t="s">
        <v>23</v>
      </c>
      <c r="H635">
        <v>640</v>
      </c>
      <c r="I635">
        <v>26</v>
      </c>
      <c r="J635" s="6">
        <f t="shared" si="35"/>
        <v>16.64</v>
      </c>
      <c r="K635" t="s">
        <v>389</v>
      </c>
    </row>
    <row r="636" spans="3:11" outlineLevel="2" x14ac:dyDescent="0.3">
      <c r="C636" s="9">
        <v>44995</v>
      </c>
      <c r="D636" t="s">
        <v>17</v>
      </c>
      <c r="E636" t="s">
        <v>33</v>
      </c>
      <c r="F636" t="s">
        <v>18</v>
      </c>
      <c r="G636" t="s">
        <v>37</v>
      </c>
      <c r="H636">
        <v>890</v>
      </c>
      <c r="I636">
        <v>87</v>
      </c>
      <c r="J636" s="6">
        <f t="shared" si="35"/>
        <v>77.430000000000007</v>
      </c>
      <c r="K636" t="s">
        <v>389</v>
      </c>
    </row>
    <row r="637" spans="3:11" outlineLevel="2" x14ac:dyDescent="0.3">
      <c r="C637" s="9">
        <v>44995</v>
      </c>
      <c r="D637" t="s">
        <v>12</v>
      </c>
      <c r="E637" t="s">
        <v>33</v>
      </c>
      <c r="F637" t="s">
        <v>18</v>
      </c>
      <c r="G637" t="s">
        <v>21</v>
      </c>
      <c r="H637">
        <v>450</v>
      </c>
      <c r="I637">
        <v>19</v>
      </c>
      <c r="J637" s="6">
        <f t="shared" si="35"/>
        <v>8.5500000000000007</v>
      </c>
      <c r="K637" t="s">
        <v>389</v>
      </c>
    </row>
    <row r="638" spans="3:11" outlineLevel="2" x14ac:dyDescent="0.3">
      <c r="C638" s="9">
        <v>44995</v>
      </c>
      <c r="D638" t="s">
        <v>12</v>
      </c>
      <c r="E638" t="s">
        <v>33</v>
      </c>
      <c r="F638" t="s">
        <v>18</v>
      </c>
      <c r="G638" t="s">
        <v>21</v>
      </c>
      <c r="H638">
        <v>450</v>
      </c>
      <c r="I638">
        <v>19</v>
      </c>
      <c r="J638" s="6">
        <f t="shared" si="35"/>
        <v>8.5500000000000007</v>
      </c>
      <c r="K638" t="s">
        <v>389</v>
      </c>
    </row>
    <row r="639" spans="3:11" outlineLevel="2" x14ac:dyDescent="0.3">
      <c r="C639" s="9">
        <v>44995</v>
      </c>
      <c r="D639" t="s">
        <v>45</v>
      </c>
      <c r="E639" t="s">
        <v>33</v>
      </c>
      <c r="F639" t="s">
        <v>13</v>
      </c>
      <c r="G639" t="s">
        <v>38</v>
      </c>
      <c r="H639">
        <v>2400</v>
      </c>
      <c r="I639">
        <v>67</v>
      </c>
      <c r="J639" s="6">
        <f t="shared" si="35"/>
        <v>160.80000000000001</v>
      </c>
      <c r="K639" t="s">
        <v>389</v>
      </c>
    </row>
    <row r="640" spans="3:11" outlineLevel="2" x14ac:dyDescent="0.3">
      <c r="C640" s="9">
        <v>44995</v>
      </c>
      <c r="D640" t="s">
        <v>17</v>
      </c>
      <c r="E640" t="s">
        <v>35</v>
      </c>
      <c r="F640" t="s">
        <v>10</v>
      </c>
      <c r="G640" t="s">
        <v>11</v>
      </c>
      <c r="H640">
        <v>705</v>
      </c>
      <c r="I640">
        <v>13</v>
      </c>
      <c r="J640" s="6">
        <f t="shared" si="35"/>
        <v>9.1649999999999991</v>
      </c>
      <c r="K640" t="s">
        <v>389</v>
      </c>
    </row>
    <row r="641" spans="3:11" outlineLevel="2" x14ac:dyDescent="0.3">
      <c r="C641" s="9">
        <v>44995</v>
      </c>
      <c r="D641" t="s">
        <v>17</v>
      </c>
      <c r="E641" t="s">
        <v>35</v>
      </c>
      <c r="F641" t="s">
        <v>10</v>
      </c>
      <c r="G641" t="s">
        <v>23</v>
      </c>
      <c r="H641">
        <v>640</v>
      </c>
      <c r="I641">
        <v>68</v>
      </c>
      <c r="J641" s="6">
        <f t="shared" si="35"/>
        <v>43.52</v>
      </c>
      <c r="K641" t="s">
        <v>389</v>
      </c>
    </row>
    <row r="642" spans="3:11" outlineLevel="2" x14ac:dyDescent="0.3">
      <c r="C642" s="9">
        <v>44995</v>
      </c>
      <c r="D642" t="s">
        <v>17</v>
      </c>
      <c r="E642" t="s">
        <v>35</v>
      </c>
      <c r="F642" t="s">
        <v>18</v>
      </c>
      <c r="G642" t="s">
        <v>19</v>
      </c>
      <c r="H642">
        <v>325</v>
      </c>
      <c r="I642">
        <v>12</v>
      </c>
      <c r="J642" s="6">
        <f t="shared" si="35"/>
        <v>3.9</v>
      </c>
      <c r="K642" t="s">
        <v>389</v>
      </c>
    </row>
    <row r="643" spans="3:11" outlineLevel="2" x14ac:dyDescent="0.3">
      <c r="C643" s="9">
        <v>44995</v>
      </c>
      <c r="D643" t="s">
        <v>12</v>
      </c>
      <c r="E643" t="s">
        <v>35</v>
      </c>
      <c r="F643" t="s">
        <v>18</v>
      </c>
      <c r="G643" t="s">
        <v>21</v>
      </c>
      <c r="H643">
        <v>450</v>
      </c>
      <c r="I643">
        <v>5</v>
      </c>
      <c r="J643" s="6">
        <f t="shared" si="35"/>
        <v>2.25</v>
      </c>
      <c r="K643" t="s">
        <v>389</v>
      </c>
    </row>
    <row r="644" spans="3:11" outlineLevel="2" x14ac:dyDescent="0.3">
      <c r="C644" s="9">
        <v>44995</v>
      </c>
      <c r="D644" t="s">
        <v>12</v>
      </c>
      <c r="E644" t="s">
        <v>35</v>
      </c>
      <c r="F644" t="s">
        <v>13</v>
      </c>
      <c r="G644" t="s">
        <v>38</v>
      </c>
      <c r="H644">
        <v>2400</v>
      </c>
      <c r="I644">
        <v>97</v>
      </c>
      <c r="J644" s="6">
        <f t="shared" si="35"/>
        <v>232.8</v>
      </c>
      <c r="K644" t="s">
        <v>389</v>
      </c>
    </row>
    <row r="645" spans="3:11" outlineLevel="2" x14ac:dyDescent="0.3">
      <c r="C645" s="9">
        <v>44995</v>
      </c>
      <c r="D645" t="s">
        <v>8</v>
      </c>
      <c r="E645" t="s">
        <v>35</v>
      </c>
      <c r="F645" t="s">
        <v>24</v>
      </c>
      <c r="G645" t="s">
        <v>36</v>
      </c>
      <c r="H645">
        <v>2460</v>
      </c>
      <c r="I645">
        <v>9</v>
      </c>
      <c r="J645" s="6">
        <f t="shared" si="35"/>
        <v>22.14</v>
      </c>
      <c r="K645" t="s">
        <v>389</v>
      </c>
    </row>
    <row r="646" spans="3:11" outlineLevel="1" x14ac:dyDescent="0.3">
      <c r="C646" s="13" t="s">
        <v>83</v>
      </c>
      <c r="J646" s="6">
        <f>SUBTOTAL(9,J624:J645)</f>
        <v>1608.4900000000002</v>
      </c>
      <c r="K646" t="s">
        <v>389</v>
      </c>
    </row>
    <row r="647" spans="3:11" outlineLevel="2" x14ac:dyDescent="0.3">
      <c r="C647" s="9">
        <v>44996</v>
      </c>
      <c r="D647" t="s">
        <v>45</v>
      </c>
      <c r="E647" t="s">
        <v>20</v>
      </c>
      <c r="F647" t="s">
        <v>13</v>
      </c>
      <c r="G647" t="s">
        <v>38</v>
      </c>
      <c r="H647">
        <v>2400</v>
      </c>
      <c r="I647">
        <v>35</v>
      </c>
      <c r="J647" s="6">
        <f t="shared" ref="J647:J670" si="36">H647*I647/1000</f>
        <v>84</v>
      </c>
      <c r="K647" t="s">
        <v>389</v>
      </c>
    </row>
    <row r="648" spans="3:11" outlineLevel="2" x14ac:dyDescent="0.3">
      <c r="C648" s="10">
        <v>44996</v>
      </c>
      <c r="D648" s="11" t="s">
        <v>45</v>
      </c>
      <c r="E648" s="11" t="s">
        <v>20</v>
      </c>
      <c r="F648" s="11" t="s">
        <v>13</v>
      </c>
      <c r="G648" s="11" t="s">
        <v>22</v>
      </c>
      <c r="H648" s="11">
        <v>930</v>
      </c>
      <c r="I648" s="11">
        <v>14</v>
      </c>
      <c r="J648" s="6">
        <f t="shared" si="36"/>
        <v>13.02</v>
      </c>
      <c r="K648" t="s">
        <v>389</v>
      </c>
    </row>
    <row r="649" spans="3:11" outlineLevel="2" x14ac:dyDescent="0.3">
      <c r="C649" s="9">
        <v>44996</v>
      </c>
      <c r="D649" t="s">
        <v>8</v>
      </c>
      <c r="E649" t="s">
        <v>20</v>
      </c>
      <c r="F649" t="s">
        <v>24</v>
      </c>
      <c r="G649" t="s">
        <v>25</v>
      </c>
      <c r="H649">
        <v>1760</v>
      </c>
      <c r="I649">
        <v>98</v>
      </c>
      <c r="J649" s="6">
        <f t="shared" si="36"/>
        <v>172.48</v>
      </c>
      <c r="K649" t="s">
        <v>389</v>
      </c>
    </row>
    <row r="650" spans="3:11" outlineLevel="2" x14ac:dyDescent="0.3">
      <c r="C650" s="10">
        <v>44996</v>
      </c>
      <c r="D650" s="11" t="s">
        <v>45</v>
      </c>
      <c r="E650" s="11" t="s">
        <v>20</v>
      </c>
      <c r="F650" s="11" t="s">
        <v>24</v>
      </c>
      <c r="G650" s="11" t="s">
        <v>34</v>
      </c>
      <c r="H650" s="11">
        <v>1670</v>
      </c>
      <c r="I650" s="11">
        <v>34</v>
      </c>
      <c r="J650" s="6">
        <f t="shared" si="36"/>
        <v>56.78</v>
      </c>
      <c r="K650" t="s">
        <v>389</v>
      </c>
    </row>
    <row r="651" spans="3:11" outlineLevel="2" x14ac:dyDescent="0.3">
      <c r="C651" s="9">
        <v>44996</v>
      </c>
      <c r="D651" t="s">
        <v>17</v>
      </c>
      <c r="E651" t="s">
        <v>9</v>
      </c>
      <c r="F651" t="s">
        <v>18</v>
      </c>
      <c r="G651" t="s">
        <v>28</v>
      </c>
      <c r="H651">
        <v>690</v>
      </c>
      <c r="I651">
        <v>97</v>
      </c>
      <c r="J651" s="6">
        <f t="shared" si="36"/>
        <v>66.930000000000007</v>
      </c>
      <c r="K651" t="s">
        <v>389</v>
      </c>
    </row>
    <row r="652" spans="3:11" outlineLevel="2" x14ac:dyDescent="0.3">
      <c r="C652" s="9">
        <v>44996</v>
      </c>
      <c r="D652" t="s">
        <v>12</v>
      </c>
      <c r="E652" t="s">
        <v>9</v>
      </c>
      <c r="F652" t="s">
        <v>24</v>
      </c>
      <c r="G652" t="s">
        <v>25</v>
      </c>
      <c r="H652">
        <v>1760</v>
      </c>
      <c r="I652">
        <v>23</v>
      </c>
      <c r="J652" s="6">
        <f t="shared" si="36"/>
        <v>40.479999999999997</v>
      </c>
      <c r="K652" t="s">
        <v>389</v>
      </c>
    </row>
    <row r="653" spans="3:11" outlineLevel="2" x14ac:dyDescent="0.3">
      <c r="C653" s="9">
        <v>44996</v>
      </c>
      <c r="D653" t="s">
        <v>17</v>
      </c>
      <c r="E653" t="s">
        <v>9</v>
      </c>
      <c r="F653" t="s">
        <v>24</v>
      </c>
      <c r="G653" t="s">
        <v>42</v>
      </c>
      <c r="H653">
        <v>3205</v>
      </c>
      <c r="I653">
        <v>81</v>
      </c>
      <c r="J653" s="6">
        <f t="shared" si="36"/>
        <v>259.60500000000002</v>
      </c>
      <c r="K653" t="s">
        <v>389</v>
      </c>
    </row>
    <row r="654" spans="3:11" outlineLevel="2" x14ac:dyDescent="0.3">
      <c r="C654" s="9">
        <v>44996</v>
      </c>
      <c r="D654" t="s">
        <v>45</v>
      </c>
      <c r="E654" t="s">
        <v>26</v>
      </c>
      <c r="F654" t="s">
        <v>10</v>
      </c>
      <c r="G654" t="s">
        <v>11</v>
      </c>
      <c r="H654">
        <v>705</v>
      </c>
      <c r="I654">
        <v>88</v>
      </c>
      <c r="J654" s="6">
        <f t="shared" si="36"/>
        <v>62.04</v>
      </c>
      <c r="K654" t="s">
        <v>389</v>
      </c>
    </row>
    <row r="655" spans="3:11" outlineLevel="2" x14ac:dyDescent="0.3">
      <c r="C655" s="9">
        <v>44996</v>
      </c>
      <c r="D655" t="s">
        <v>17</v>
      </c>
      <c r="E655" t="s">
        <v>15</v>
      </c>
      <c r="F655" t="s">
        <v>10</v>
      </c>
      <c r="G655" t="s">
        <v>39</v>
      </c>
      <c r="H655">
        <v>650</v>
      </c>
      <c r="I655">
        <v>58</v>
      </c>
      <c r="J655" s="6">
        <f t="shared" si="36"/>
        <v>37.700000000000003</v>
      </c>
      <c r="K655" t="s">
        <v>389</v>
      </c>
    </row>
    <row r="656" spans="3:11" outlineLevel="2" x14ac:dyDescent="0.3">
      <c r="C656" s="9">
        <v>44996</v>
      </c>
      <c r="D656" t="s">
        <v>8</v>
      </c>
      <c r="E656" t="s">
        <v>15</v>
      </c>
      <c r="F656" t="s">
        <v>18</v>
      </c>
      <c r="G656" t="s">
        <v>37</v>
      </c>
      <c r="H656">
        <v>890</v>
      </c>
      <c r="I656">
        <v>14</v>
      </c>
      <c r="J656" s="6">
        <f t="shared" si="36"/>
        <v>12.46</v>
      </c>
      <c r="K656" t="s">
        <v>389</v>
      </c>
    </row>
    <row r="657" spans="3:11" outlineLevel="2" x14ac:dyDescent="0.3">
      <c r="C657" s="9">
        <v>44996</v>
      </c>
      <c r="D657" t="s">
        <v>8</v>
      </c>
      <c r="E657" t="s">
        <v>15</v>
      </c>
      <c r="F657" t="s">
        <v>13</v>
      </c>
      <c r="G657" t="s">
        <v>22</v>
      </c>
      <c r="H657">
        <v>930</v>
      </c>
      <c r="I657">
        <v>24</v>
      </c>
      <c r="J657" s="6">
        <f t="shared" si="36"/>
        <v>22.32</v>
      </c>
      <c r="K657" t="s">
        <v>389</v>
      </c>
    </row>
    <row r="658" spans="3:11" outlineLevel="2" x14ac:dyDescent="0.3">
      <c r="C658" s="9">
        <v>44996</v>
      </c>
      <c r="D658" t="s">
        <v>45</v>
      </c>
      <c r="E658" t="s">
        <v>15</v>
      </c>
      <c r="F658" t="s">
        <v>24</v>
      </c>
      <c r="G658" t="s">
        <v>34</v>
      </c>
      <c r="H658">
        <v>1670</v>
      </c>
      <c r="I658">
        <v>45</v>
      </c>
      <c r="J658" s="6">
        <f t="shared" si="36"/>
        <v>75.150000000000006</v>
      </c>
      <c r="K658" t="s">
        <v>389</v>
      </c>
    </row>
    <row r="659" spans="3:11" outlineLevel="2" x14ac:dyDescent="0.3">
      <c r="C659" s="9">
        <v>44996</v>
      </c>
      <c r="D659" t="s">
        <v>45</v>
      </c>
      <c r="E659" t="s">
        <v>15</v>
      </c>
      <c r="F659" t="s">
        <v>24</v>
      </c>
      <c r="G659" t="s">
        <v>42</v>
      </c>
      <c r="H659">
        <v>3205</v>
      </c>
      <c r="I659">
        <v>80</v>
      </c>
      <c r="J659" s="6">
        <f t="shared" si="36"/>
        <v>256.39999999999998</v>
      </c>
      <c r="K659" t="s">
        <v>389</v>
      </c>
    </row>
    <row r="660" spans="3:11" outlineLevel="2" x14ac:dyDescent="0.3">
      <c r="C660" s="9">
        <v>44996</v>
      </c>
      <c r="D660" t="s">
        <v>45</v>
      </c>
      <c r="E660" t="s">
        <v>33</v>
      </c>
      <c r="F660" t="s">
        <v>18</v>
      </c>
      <c r="G660" t="s">
        <v>37</v>
      </c>
      <c r="H660">
        <v>890</v>
      </c>
      <c r="I660">
        <v>28</v>
      </c>
      <c r="J660" s="6">
        <f t="shared" si="36"/>
        <v>24.92</v>
      </c>
      <c r="K660" t="s">
        <v>389</v>
      </c>
    </row>
    <row r="661" spans="3:11" outlineLevel="2" x14ac:dyDescent="0.3">
      <c r="C661" s="9">
        <v>44996</v>
      </c>
      <c r="D661" t="s">
        <v>17</v>
      </c>
      <c r="E661" t="s">
        <v>33</v>
      </c>
      <c r="F661" t="s">
        <v>13</v>
      </c>
      <c r="G661" t="s">
        <v>43</v>
      </c>
      <c r="H661">
        <v>1420</v>
      </c>
      <c r="I661">
        <v>73</v>
      </c>
      <c r="J661" s="6">
        <f t="shared" si="36"/>
        <v>103.66</v>
      </c>
      <c r="K661" t="s">
        <v>389</v>
      </c>
    </row>
    <row r="662" spans="3:11" outlineLevel="2" x14ac:dyDescent="0.3">
      <c r="C662" s="9">
        <v>44996</v>
      </c>
      <c r="D662" t="s">
        <v>8</v>
      </c>
      <c r="E662" t="s">
        <v>35</v>
      </c>
      <c r="F662" t="s">
        <v>10</v>
      </c>
      <c r="G662" t="s">
        <v>11</v>
      </c>
      <c r="H662">
        <v>705</v>
      </c>
      <c r="I662">
        <v>52</v>
      </c>
      <c r="J662" s="6">
        <f t="shared" si="36"/>
        <v>36.659999999999997</v>
      </c>
      <c r="K662" t="s">
        <v>389</v>
      </c>
    </row>
    <row r="663" spans="3:11" outlineLevel="2" x14ac:dyDescent="0.3">
      <c r="C663" s="9">
        <v>44996</v>
      </c>
      <c r="D663" t="s">
        <v>45</v>
      </c>
      <c r="E663" t="s">
        <v>35</v>
      </c>
      <c r="F663" t="s">
        <v>18</v>
      </c>
      <c r="G663" t="s">
        <v>31</v>
      </c>
      <c r="H663">
        <v>715</v>
      </c>
      <c r="I663">
        <v>33</v>
      </c>
      <c r="J663" s="6">
        <f t="shared" si="36"/>
        <v>23.594999999999999</v>
      </c>
      <c r="K663" t="s">
        <v>389</v>
      </c>
    </row>
    <row r="664" spans="3:11" outlineLevel="2" x14ac:dyDescent="0.3">
      <c r="C664" s="9">
        <v>44996</v>
      </c>
      <c r="D664" t="s">
        <v>17</v>
      </c>
      <c r="E664" t="s">
        <v>35</v>
      </c>
      <c r="F664" t="s">
        <v>13</v>
      </c>
      <c r="G664" t="s">
        <v>38</v>
      </c>
      <c r="H664">
        <v>2400</v>
      </c>
      <c r="I664">
        <v>41</v>
      </c>
      <c r="J664" s="6">
        <f t="shared" si="36"/>
        <v>98.4</v>
      </c>
      <c r="K664" t="s">
        <v>389</v>
      </c>
    </row>
    <row r="665" spans="3:11" outlineLevel="2" x14ac:dyDescent="0.3">
      <c r="C665" s="9">
        <v>44996</v>
      </c>
      <c r="D665" t="s">
        <v>12</v>
      </c>
      <c r="E665" t="s">
        <v>35</v>
      </c>
      <c r="F665" t="s">
        <v>13</v>
      </c>
      <c r="G665" t="s">
        <v>44</v>
      </c>
      <c r="H665">
        <v>2540</v>
      </c>
      <c r="I665">
        <v>23</v>
      </c>
      <c r="J665" s="6">
        <f t="shared" si="36"/>
        <v>58.42</v>
      </c>
      <c r="K665" t="s">
        <v>389</v>
      </c>
    </row>
    <row r="666" spans="3:11" outlineLevel="2" x14ac:dyDescent="0.3">
      <c r="C666" s="9">
        <v>44996</v>
      </c>
      <c r="D666" t="s">
        <v>45</v>
      </c>
      <c r="E666" t="s">
        <v>35</v>
      </c>
      <c r="F666" t="s">
        <v>13</v>
      </c>
      <c r="G666" t="s">
        <v>29</v>
      </c>
      <c r="H666">
        <v>1230</v>
      </c>
      <c r="I666">
        <v>12</v>
      </c>
      <c r="J666" s="6">
        <f t="shared" si="36"/>
        <v>14.76</v>
      </c>
      <c r="K666" t="s">
        <v>389</v>
      </c>
    </row>
    <row r="667" spans="3:11" outlineLevel="2" x14ac:dyDescent="0.3">
      <c r="C667" s="9">
        <v>44996</v>
      </c>
      <c r="D667" t="s">
        <v>12</v>
      </c>
      <c r="E667" t="s">
        <v>35</v>
      </c>
      <c r="F667" t="s">
        <v>13</v>
      </c>
      <c r="G667" t="s">
        <v>22</v>
      </c>
      <c r="H667">
        <v>930</v>
      </c>
      <c r="I667">
        <v>22</v>
      </c>
      <c r="J667" s="6">
        <f t="shared" si="36"/>
        <v>20.46</v>
      </c>
      <c r="K667" t="s">
        <v>389</v>
      </c>
    </row>
    <row r="668" spans="3:11" outlineLevel="2" x14ac:dyDescent="0.3">
      <c r="C668" s="9">
        <v>44996</v>
      </c>
      <c r="D668" t="s">
        <v>45</v>
      </c>
      <c r="E668" t="s">
        <v>35</v>
      </c>
      <c r="F668" t="s">
        <v>13</v>
      </c>
      <c r="G668" t="s">
        <v>29</v>
      </c>
      <c r="H668">
        <v>1230</v>
      </c>
      <c r="I668">
        <v>88</v>
      </c>
      <c r="J668" s="6">
        <f t="shared" si="36"/>
        <v>108.24</v>
      </c>
      <c r="K668" t="s">
        <v>389</v>
      </c>
    </row>
    <row r="669" spans="3:11" outlineLevel="2" x14ac:dyDescent="0.3">
      <c r="C669" s="9">
        <v>44996</v>
      </c>
      <c r="D669" t="s">
        <v>17</v>
      </c>
      <c r="E669" t="s">
        <v>35</v>
      </c>
      <c r="F669" t="s">
        <v>24</v>
      </c>
      <c r="G669" t="s">
        <v>36</v>
      </c>
      <c r="H669">
        <v>2460</v>
      </c>
      <c r="I669">
        <v>55</v>
      </c>
      <c r="J669" s="6">
        <f t="shared" si="36"/>
        <v>135.30000000000001</v>
      </c>
      <c r="K669" t="s">
        <v>389</v>
      </c>
    </row>
    <row r="670" spans="3:11" outlineLevel="2" x14ac:dyDescent="0.3">
      <c r="C670" s="9">
        <v>44996</v>
      </c>
      <c r="D670" t="s">
        <v>8</v>
      </c>
      <c r="E670" t="s">
        <v>35</v>
      </c>
      <c r="F670" t="s">
        <v>24</v>
      </c>
      <c r="G670" t="s">
        <v>42</v>
      </c>
      <c r="H670">
        <v>3205</v>
      </c>
      <c r="I670">
        <v>58</v>
      </c>
      <c r="J670" s="6">
        <f t="shared" si="36"/>
        <v>185.89</v>
      </c>
      <c r="K670" t="s">
        <v>389</v>
      </c>
    </row>
    <row r="671" spans="3:11" outlineLevel="1" x14ac:dyDescent="0.3">
      <c r="C671" s="13" t="s">
        <v>84</v>
      </c>
      <c r="J671" s="6">
        <f>SUBTOTAL(9,J647:J670)</f>
        <v>1969.6700000000005</v>
      </c>
      <c r="K671" t="s">
        <v>389</v>
      </c>
    </row>
    <row r="672" spans="3:11" outlineLevel="2" x14ac:dyDescent="0.3">
      <c r="C672" s="9">
        <v>44997</v>
      </c>
      <c r="D672" t="s">
        <v>8</v>
      </c>
      <c r="E672" t="s">
        <v>20</v>
      </c>
      <c r="F672" t="s">
        <v>10</v>
      </c>
      <c r="G672" t="s">
        <v>23</v>
      </c>
      <c r="H672">
        <v>640</v>
      </c>
      <c r="I672">
        <v>74</v>
      </c>
      <c r="J672" s="6">
        <f t="shared" ref="J672:J694" si="37">H672*I672/1000</f>
        <v>47.36</v>
      </c>
      <c r="K672" t="s">
        <v>389</v>
      </c>
    </row>
    <row r="673" spans="3:11" outlineLevel="2" x14ac:dyDescent="0.3">
      <c r="C673" s="10">
        <v>44997</v>
      </c>
      <c r="D673" s="11" t="s">
        <v>8</v>
      </c>
      <c r="E673" s="11" t="s">
        <v>20</v>
      </c>
      <c r="F673" s="11" t="s">
        <v>18</v>
      </c>
      <c r="G673" s="11" t="s">
        <v>27</v>
      </c>
      <c r="H673" s="11">
        <v>460</v>
      </c>
      <c r="I673" s="11">
        <v>63</v>
      </c>
      <c r="J673" s="6">
        <f t="shared" si="37"/>
        <v>28.98</v>
      </c>
      <c r="K673" t="s">
        <v>389</v>
      </c>
    </row>
    <row r="674" spans="3:11" outlineLevel="2" x14ac:dyDescent="0.3">
      <c r="C674" s="9">
        <v>44997</v>
      </c>
      <c r="D674" t="s">
        <v>45</v>
      </c>
      <c r="E674" t="s">
        <v>20</v>
      </c>
      <c r="F674" t="s">
        <v>13</v>
      </c>
      <c r="G674" t="s">
        <v>29</v>
      </c>
      <c r="H674">
        <v>1230</v>
      </c>
      <c r="I674">
        <v>28</v>
      </c>
      <c r="J674" s="6">
        <f t="shared" si="37"/>
        <v>34.44</v>
      </c>
      <c r="K674" t="s">
        <v>389</v>
      </c>
    </row>
    <row r="675" spans="3:11" outlineLevel="2" x14ac:dyDescent="0.3">
      <c r="C675" s="10">
        <v>44997</v>
      </c>
      <c r="D675" s="11" t="s">
        <v>45</v>
      </c>
      <c r="E675" s="11" t="s">
        <v>20</v>
      </c>
      <c r="F675" s="11" t="s">
        <v>24</v>
      </c>
      <c r="G675" s="11" t="s">
        <v>36</v>
      </c>
      <c r="H675" s="11">
        <v>2460</v>
      </c>
      <c r="I675" s="11">
        <v>23</v>
      </c>
      <c r="J675" s="6">
        <f t="shared" si="37"/>
        <v>56.58</v>
      </c>
      <c r="K675" t="s">
        <v>389</v>
      </c>
    </row>
    <row r="676" spans="3:11" outlineLevel="2" x14ac:dyDescent="0.3">
      <c r="C676" s="9">
        <v>44997</v>
      </c>
      <c r="D676" t="s">
        <v>45</v>
      </c>
      <c r="E676" t="s">
        <v>20</v>
      </c>
      <c r="F676" t="s">
        <v>24</v>
      </c>
      <c r="G676" t="s">
        <v>42</v>
      </c>
      <c r="H676">
        <v>3205</v>
      </c>
      <c r="I676">
        <v>74</v>
      </c>
      <c r="J676" s="6">
        <f t="shared" si="37"/>
        <v>237.17</v>
      </c>
      <c r="K676" t="s">
        <v>389</v>
      </c>
    </row>
    <row r="677" spans="3:11" outlineLevel="2" x14ac:dyDescent="0.3">
      <c r="C677" s="9">
        <v>44997</v>
      </c>
      <c r="D677" t="s">
        <v>8</v>
      </c>
      <c r="E677" t="s">
        <v>9</v>
      </c>
      <c r="F677" t="s">
        <v>18</v>
      </c>
      <c r="G677" t="s">
        <v>19</v>
      </c>
      <c r="H677">
        <v>325</v>
      </c>
      <c r="I677">
        <v>31</v>
      </c>
      <c r="J677" s="6">
        <f t="shared" si="37"/>
        <v>10.074999999999999</v>
      </c>
      <c r="K677" t="s">
        <v>389</v>
      </c>
    </row>
    <row r="678" spans="3:11" outlineLevel="2" x14ac:dyDescent="0.3">
      <c r="C678" s="9">
        <v>44997</v>
      </c>
      <c r="D678" t="s">
        <v>12</v>
      </c>
      <c r="E678" t="s">
        <v>9</v>
      </c>
      <c r="F678" t="s">
        <v>18</v>
      </c>
      <c r="G678" t="s">
        <v>27</v>
      </c>
      <c r="H678">
        <v>460</v>
      </c>
      <c r="I678">
        <v>100</v>
      </c>
      <c r="J678" s="6">
        <f t="shared" si="37"/>
        <v>46</v>
      </c>
      <c r="K678" t="s">
        <v>389</v>
      </c>
    </row>
    <row r="679" spans="3:11" outlineLevel="2" x14ac:dyDescent="0.3">
      <c r="C679" s="9">
        <v>44997</v>
      </c>
      <c r="D679" t="s">
        <v>12</v>
      </c>
      <c r="E679" t="s">
        <v>26</v>
      </c>
      <c r="F679" t="s">
        <v>10</v>
      </c>
      <c r="G679" t="s">
        <v>23</v>
      </c>
      <c r="H679">
        <v>640</v>
      </c>
      <c r="I679">
        <v>10</v>
      </c>
      <c r="J679" s="6">
        <f t="shared" si="37"/>
        <v>6.4</v>
      </c>
      <c r="K679" t="s">
        <v>389</v>
      </c>
    </row>
    <row r="680" spans="3:11" outlineLevel="2" x14ac:dyDescent="0.3">
      <c r="C680" s="9">
        <v>44997</v>
      </c>
      <c r="D680" t="s">
        <v>12</v>
      </c>
      <c r="E680" t="s">
        <v>15</v>
      </c>
      <c r="F680" t="s">
        <v>10</v>
      </c>
      <c r="G680" t="s">
        <v>40</v>
      </c>
      <c r="H680">
        <v>540</v>
      </c>
      <c r="I680">
        <v>59</v>
      </c>
      <c r="J680" s="6">
        <f t="shared" si="37"/>
        <v>31.86</v>
      </c>
      <c r="K680" t="s">
        <v>389</v>
      </c>
    </row>
    <row r="681" spans="3:11" outlineLevel="2" x14ac:dyDescent="0.3">
      <c r="C681" s="9">
        <v>44997</v>
      </c>
      <c r="D681" t="s">
        <v>8</v>
      </c>
      <c r="E681" t="s">
        <v>15</v>
      </c>
      <c r="F681" t="s">
        <v>10</v>
      </c>
      <c r="G681" t="s">
        <v>23</v>
      </c>
      <c r="H681">
        <v>640</v>
      </c>
      <c r="I681">
        <v>18</v>
      </c>
      <c r="J681" s="6">
        <f t="shared" si="37"/>
        <v>11.52</v>
      </c>
      <c r="K681" t="s">
        <v>389</v>
      </c>
    </row>
    <row r="682" spans="3:11" outlineLevel="2" x14ac:dyDescent="0.3">
      <c r="C682" s="9">
        <v>44997</v>
      </c>
      <c r="D682" t="s">
        <v>45</v>
      </c>
      <c r="E682" t="s">
        <v>15</v>
      </c>
      <c r="F682" t="s">
        <v>18</v>
      </c>
      <c r="G682" t="s">
        <v>19</v>
      </c>
      <c r="H682">
        <v>325</v>
      </c>
      <c r="I682">
        <v>62</v>
      </c>
      <c r="J682" s="6">
        <f t="shared" si="37"/>
        <v>20.149999999999999</v>
      </c>
      <c r="K682" t="s">
        <v>389</v>
      </c>
    </row>
    <row r="683" spans="3:11" outlineLevel="2" x14ac:dyDescent="0.3">
      <c r="C683" s="9">
        <v>44997</v>
      </c>
      <c r="D683" t="s">
        <v>12</v>
      </c>
      <c r="E683" t="s">
        <v>33</v>
      </c>
      <c r="F683" t="s">
        <v>10</v>
      </c>
      <c r="G683" t="s">
        <v>41</v>
      </c>
      <c r="H683">
        <v>650</v>
      </c>
      <c r="I683">
        <v>10</v>
      </c>
      <c r="J683" s="6">
        <f t="shared" si="37"/>
        <v>6.5</v>
      </c>
      <c r="K683" t="s">
        <v>389</v>
      </c>
    </row>
    <row r="684" spans="3:11" outlineLevel="2" x14ac:dyDescent="0.3">
      <c r="C684" s="9">
        <v>44997</v>
      </c>
      <c r="D684" t="s">
        <v>8</v>
      </c>
      <c r="E684" t="s">
        <v>33</v>
      </c>
      <c r="F684" t="s">
        <v>10</v>
      </c>
      <c r="G684" t="s">
        <v>16</v>
      </c>
      <c r="H684">
        <v>1380</v>
      </c>
      <c r="I684">
        <v>96</v>
      </c>
      <c r="J684" s="6">
        <f t="shared" si="37"/>
        <v>132.47999999999999</v>
      </c>
      <c r="K684" t="s">
        <v>389</v>
      </c>
    </row>
    <row r="685" spans="3:11" outlineLevel="2" x14ac:dyDescent="0.3">
      <c r="C685" s="9">
        <v>44997</v>
      </c>
      <c r="D685" t="s">
        <v>12</v>
      </c>
      <c r="E685" t="s">
        <v>33</v>
      </c>
      <c r="F685" t="s">
        <v>18</v>
      </c>
      <c r="G685" t="s">
        <v>37</v>
      </c>
      <c r="H685">
        <v>890</v>
      </c>
      <c r="I685">
        <v>87</v>
      </c>
      <c r="J685" s="6">
        <f t="shared" si="37"/>
        <v>77.430000000000007</v>
      </c>
      <c r="K685" t="s">
        <v>389</v>
      </c>
    </row>
    <row r="686" spans="3:11" outlineLevel="2" x14ac:dyDescent="0.3">
      <c r="C686" s="9">
        <v>44997</v>
      </c>
      <c r="D686" t="s">
        <v>45</v>
      </c>
      <c r="E686" t="s">
        <v>33</v>
      </c>
      <c r="F686" t="s">
        <v>18</v>
      </c>
      <c r="G686" t="s">
        <v>28</v>
      </c>
      <c r="H686">
        <v>690</v>
      </c>
      <c r="I686">
        <v>20</v>
      </c>
      <c r="J686" s="6">
        <f t="shared" si="37"/>
        <v>13.8</v>
      </c>
      <c r="K686" t="s">
        <v>389</v>
      </c>
    </row>
    <row r="687" spans="3:11" outlineLevel="2" x14ac:dyDescent="0.3">
      <c r="C687" s="9">
        <v>44997</v>
      </c>
      <c r="D687" t="s">
        <v>45</v>
      </c>
      <c r="E687" t="s">
        <v>33</v>
      </c>
      <c r="F687" t="s">
        <v>13</v>
      </c>
      <c r="G687" t="s">
        <v>38</v>
      </c>
      <c r="H687">
        <v>2400</v>
      </c>
      <c r="I687">
        <v>86</v>
      </c>
      <c r="J687" s="6">
        <f t="shared" si="37"/>
        <v>206.4</v>
      </c>
      <c r="K687" t="s">
        <v>389</v>
      </c>
    </row>
    <row r="688" spans="3:11" outlineLevel="2" x14ac:dyDescent="0.3">
      <c r="C688" s="9">
        <v>44997</v>
      </c>
      <c r="D688" t="s">
        <v>45</v>
      </c>
      <c r="E688" t="s">
        <v>33</v>
      </c>
      <c r="F688" t="s">
        <v>13</v>
      </c>
      <c r="G688" t="s">
        <v>38</v>
      </c>
      <c r="H688">
        <v>2400</v>
      </c>
      <c r="I688">
        <v>25</v>
      </c>
      <c r="J688" s="6">
        <f t="shared" si="37"/>
        <v>60</v>
      </c>
      <c r="K688" t="s">
        <v>389</v>
      </c>
    </row>
    <row r="689" spans="3:11" outlineLevel="2" x14ac:dyDescent="0.3">
      <c r="C689" s="9">
        <v>44997</v>
      </c>
      <c r="D689" t="s">
        <v>17</v>
      </c>
      <c r="E689" t="s">
        <v>33</v>
      </c>
      <c r="F689" t="s">
        <v>24</v>
      </c>
      <c r="G689" t="s">
        <v>30</v>
      </c>
      <c r="H689">
        <v>2970</v>
      </c>
      <c r="I689">
        <v>44</v>
      </c>
      <c r="J689" s="6">
        <f t="shared" si="37"/>
        <v>130.68</v>
      </c>
      <c r="K689" t="s">
        <v>389</v>
      </c>
    </row>
    <row r="690" spans="3:11" outlineLevel="2" x14ac:dyDescent="0.3">
      <c r="C690" s="9">
        <v>44997</v>
      </c>
      <c r="D690" t="s">
        <v>8</v>
      </c>
      <c r="E690" t="s">
        <v>35</v>
      </c>
      <c r="F690" t="s">
        <v>18</v>
      </c>
      <c r="G690" t="s">
        <v>21</v>
      </c>
      <c r="H690">
        <v>450</v>
      </c>
      <c r="I690">
        <v>36</v>
      </c>
      <c r="J690" s="6">
        <f t="shared" si="37"/>
        <v>16.2</v>
      </c>
      <c r="K690" t="s">
        <v>389</v>
      </c>
    </row>
    <row r="691" spans="3:11" outlineLevel="2" x14ac:dyDescent="0.3">
      <c r="C691" s="9">
        <v>44997</v>
      </c>
      <c r="D691" t="s">
        <v>17</v>
      </c>
      <c r="E691" t="s">
        <v>35</v>
      </c>
      <c r="F691" t="s">
        <v>18</v>
      </c>
      <c r="G691" t="s">
        <v>28</v>
      </c>
      <c r="H691">
        <v>690</v>
      </c>
      <c r="I691">
        <v>81</v>
      </c>
      <c r="J691" s="6">
        <f t="shared" si="37"/>
        <v>55.89</v>
      </c>
      <c r="K691" t="s">
        <v>389</v>
      </c>
    </row>
    <row r="692" spans="3:11" outlineLevel="2" x14ac:dyDescent="0.3">
      <c r="C692" s="9">
        <v>44997</v>
      </c>
      <c r="D692" t="s">
        <v>45</v>
      </c>
      <c r="E692" t="s">
        <v>35</v>
      </c>
      <c r="F692" t="s">
        <v>18</v>
      </c>
      <c r="G692" t="s">
        <v>31</v>
      </c>
      <c r="H692">
        <v>715</v>
      </c>
      <c r="I692">
        <v>94</v>
      </c>
      <c r="J692" s="6">
        <f t="shared" si="37"/>
        <v>67.209999999999994</v>
      </c>
      <c r="K692" t="s">
        <v>389</v>
      </c>
    </row>
    <row r="693" spans="3:11" outlineLevel="2" x14ac:dyDescent="0.3">
      <c r="C693" s="9">
        <v>44997</v>
      </c>
      <c r="D693" t="s">
        <v>17</v>
      </c>
      <c r="E693" t="s">
        <v>35</v>
      </c>
      <c r="F693" t="s">
        <v>18</v>
      </c>
      <c r="G693" t="s">
        <v>19</v>
      </c>
      <c r="H693">
        <v>325</v>
      </c>
      <c r="I693">
        <v>56</v>
      </c>
      <c r="J693" s="6">
        <f t="shared" si="37"/>
        <v>18.2</v>
      </c>
      <c r="K693" t="s">
        <v>389</v>
      </c>
    </row>
    <row r="694" spans="3:11" outlineLevel="2" x14ac:dyDescent="0.3">
      <c r="C694" s="9">
        <v>44997</v>
      </c>
      <c r="D694" t="s">
        <v>12</v>
      </c>
      <c r="E694" t="s">
        <v>35</v>
      </c>
      <c r="F694" t="s">
        <v>24</v>
      </c>
      <c r="G694" t="s">
        <v>36</v>
      </c>
      <c r="H694">
        <v>2460</v>
      </c>
      <c r="I694">
        <v>63</v>
      </c>
      <c r="J694" s="6">
        <f t="shared" si="37"/>
        <v>154.97999999999999</v>
      </c>
      <c r="K694" t="s">
        <v>389</v>
      </c>
    </row>
    <row r="695" spans="3:11" outlineLevel="1" x14ac:dyDescent="0.3">
      <c r="C695" s="13" t="s">
        <v>85</v>
      </c>
      <c r="J695" s="6">
        <f>SUBTOTAL(9,J672:J694)</f>
        <v>1470.3050000000003</v>
      </c>
      <c r="K695" t="s">
        <v>389</v>
      </c>
    </row>
    <row r="696" spans="3:11" outlineLevel="2" x14ac:dyDescent="0.3">
      <c r="C696" s="10">
        <v>44998</v>
      </c>
      <c r="D696" s="11" t="s">
        <v>17</v>
      </c>
      <c r="E696" s="11" t="s">
        <v>20</v>
      </c>
      <c r="F696" s="11" t="s">
        <v>18</v>
      </c>
      <c r="G696" s="11" t="s">
        <v>21</v>
      </c>
      <c r="H696" s="11">
        <v>450</v>
      </c>
      <c r="I696" s="11">
        <v>76</v>
      </c>
      <c r="J696" s="6">
        <f t="shared" ref="J696:J712" si="38">H696*I696/1000</f>
        <v>34.200000000000003</v>
      </c>
      <c r="K696" t="s">
        <v>389</v>
      </c>
    </row>
    <row r="697" spans="3:11" outlineLevel="2" x14ac:dyDescent="0.3">
      <c r="C697" s="9">
        <v>44998</v>
      </c>
      <c r="D697" t="s">
        <v>45</v>
      </c>
      <c r="E697" t="s">
        <v>20</v>
      </c>
      <c r="F697" t="s">
        <v>13</v>
      </c>
      <c r="G697" t="s">
        <v>43</v>
      </c>
      <c r="H697">
        <v>1420</v>
      </c>
      <c r="I697">
        <v>51</v>
      </c>
      <c r="J697" s="6">
        <f t="shared" si="38"/>
        <v>72.42</v>
      </c>
      <c r="K697" t="s">
        <v>389</v>
      </c>
    </row>
    <row r="698" spans="3:11" outlineLevel="2" x14ac:dyDescent="0.3">
      <c r="C698" s="10">
        <v>44998</v>
      </c>
      <c r="D698" s="11" t="s">
        <v>17</v>
      </c>
      <c r="E698" s="11" t="s">
        <v>20</v>
      </c>
      <c r="F698" s="11" t="s">
        <v>13</v>
      </c>
      <c r="G698" s="11" t="s">
        <v>43</v>
      </c>
      <c r="H698" s="11">
        <v>1420</v>
      </c>
      <c r="I698" s="11">
        <v>94</v>
      </c>
      <c r="J698" s="6">
        <f t="shared" si="38"/>
        <v>133.47999999999999</v>
      </c>
      <c r="K698" t="s">
        <v>389</v>
      </c>
    </row>
    <row r="699" spans="3:11" outlineLevel="2" x14ac:dyDescent="0.3">
      <c r="C699" s="9">
        <v>44998</v>
      </c>
      <c r="D699" t="s">
        <v>12</v>
      </c>
      <c r="E699" t="s">
        <v>20</v>
      </c>
      <c r="F699" t="s">
        <v>24</v>
      </c>
      <c r="G699" t="s">
        <v>34</v>
      </c>
      <c r="H699">
        <v>1670</v>
      </c>
      <c r="I699">
        <v>36</v>
      </c>
      <c r="J699" s="6">
        <f t="shared" si="38"/>
        <v>60.12</v>
      </c>
      <c r="K699" t="s">
        <v>389</v>
      </c>
    </row>
    <row r="700" spans="3:11" outlineLevel="2" x14ac:dyDescent="0.3">
      <c r="C700" s="9">
        <v>44998</v>
      </c>
      <c r="D700" t="s">
        <v>17</v>
      </c>
      <c r="E700" t="s">
        <v>9</v>
      </c>
      <c r="F700" t="s">
        <v>10</v>
      </c>
      <c r="G700" t="s">
        <v>41</v>
      </c>
      <c r="H700">
        <v>650</v>
      </c>
      <c r="I700">
        <v>38</v>
      </c>
      <c r="J700" s="6">
        <f t="shared" si="38"/>
        <v>24.7</v>
      </c>
      <c r="K700" t="s">
        <v>389</v>
      </c>
    </row>
    <row r="701" spans="3:11" outlineLevel="2" x14ac:dyDescent="0.3">
      <c r="C701" s="9">
        <v>44998</v>
      </c>
      <c r="D701" t="s">
        <v>17</v>
      </c>
      <c r="E701" t="s">
        <v>9</v>
      </c>
      <c r="F701" t="s">
        <v>18</v>
      </c>
      <c r="G701" t="s">
        <v>19</v>
      </c>
      <c r="H701">
        <v>325</v>
      </c>
      <c r="I701">
        <v>7</v>
      </c>
      <c r="J701" s="6">
        <f t="shared" si="38"/>
        <v>2.2749999999999999</v>
      </c>
      <c r="K701" t="s">
        <v>389</v>
      </c>
    </row>
    <row r="702" spans="3:11" outlineLevel="2" x14ac:dyDescent="0.3">
      <c r="C702" s="9">
        <v>44998</v>
      </c>
      <c r="D702" t="s">
        <v>8</v>
      </c>
      <c r="E702" t="s">
        <v>9</v>
      </c>
      <c r="F702" t="s">
        <v>13</v>
      </c>
      <c r="G702" t="s">
        <v>38</v>
      </c>
      <c r="H702">
        <v>2400</v>
      </c>
      <c r="I702">
        <v>31</v>
      </c>
      <c r="J702" s="6">
        <f t="shared" si="38"/>
        <v>74.400000000000006</v>
      </c>
      <c r="K702" t="s">
        <v>389</v>
      </c>
    </row>
    <row r="703" spans="3:11" outlineLevel="2" x14ac:dyDescent="0.3">
      <c r="C703" s="9">
        <v>44998</v>
      </c>
      <c r="D703" t="s">
        <v>8</v>
      </c>
      <c r="E703" t="s">
        <v>9</v>
      </c>
      <c r="F703" t="s">
        <v>24</v>
      </c>
      <c r="G703" t="s">
        <v>30</v>
      </c>
      <c r="H703">
        <v>2970</v>
      </c>
      <c r="I703">
        <v>27</v>
      </c>
      <c r="J703" s="6">
        <f t="shared" si="38"/>
        <v>80.19</v>
      </c>
      <c r="K703" t="s">
        <v>389</v>
      </c>
    </row>
    <row r="704" spans="3:11" outlineLevel="2" x14ac:dyDescent="0.3">
      <c r="C704" s="9">
        <v>44998</v>
      </c>
      <c r="D704" t="s">
        <v>17</v>
      </c>
      <c r="E704" t="s">
        <v>9</v>
      </c>
      <c r="F704" t="s">
        <v>24</v>
      </c>
      <c r="G704" t="s">
        <v>30</v>
      </c>
      <c r="H704">
        <v>2970</v>
      </c>
      <c r="I704">
        <v>62</v>
      </c>
      <c r="J704" s="6">
        <f t="shared" si="38"/>
        <v>184.14</v>
      </c>
      <c r="K704" t="s">
        <v>389</v>
      </c>
    </row>
    <row r="705" spans="3:11" outlineLevel="2" x14ac:dyDescent="0.3">
      <c r="C705" s="9">
        <v>44998</v>
      </c>
      <c r="D705" t="s">
        <v>8</v>
      </c>
      <c r="E705" t="s">
        <v>9</v>
      </c>
      <c r="F705" t="s">
        <v>24</v>
      </c>
      <c r="G705" t="s">
        <v>30</v>
      </c>
      <c r="H705">
        <v>2970</v>
      </c>
      <c r="I705">
        <v>12</v>
      </c>
      <c r="J705" s="6">
        <f t="shared" si="38"/>
        <v>35.64</v>
      </c>
      <c r="K705" t="s">
        <v>389</v>
      </c>
    </row>
    <row r="706" spans="3:11" outlineLevel="2" x14ac:dyDescent="0.3">
      <c r="C706" s="9">
        <v>44998</v>
      </c>
      <c r="D706" t="s">
        <v>45</v>
      </c>
      <c r="E706" t="s">
        <v>26</v>
      </c>
      <c r="F706" t="s">
        <v>18</v>
      </c>
      <c r="G706" t="s">
        <v>37</v>
      </c>
      <c r="H706">
        <v>890</v>
      </c>
      <c r="I706">
        <v>70</v>
      </c>
      <c r="J706" s="6">
        <f t="shared" si="38"/>
        <v>62.3</v>
      </c>
      <c r="K706" t="s">
        <v>389</v>
      </c>
    </row>
    <row r="707" spans="3:11" outlineLevel="2" x14ac:dyDescent="0.3">
      <c r="C707" s="9">
        <v>44998</v>
      </c>
      <c r="D707" t="s">
        <v>8</v>
      </c>
      <c r="E707" t="s">
        <v>26</v>
      </c>
      <c r="F707" t="s">
        <v>24</v>
      </c>
      <c r="G707" t="s">
        <v>30</v>
      </c>
      <c r="H707">
        <v>2970</v>
      </c>
      <c r="I707">
        <v>31</v>
      </c>
      <c r="J707" s="6">
        <f t="shared" si="38"/>
        <v>92.07</v>
      </c>
      <c r="K707" t="s">
        <v>389</v>
      </c>
    </row>
    <row r="708" spans="3:11" outlineLevel="2" x14ac:dyDescent="0.3">
      <c r="C708" s="9">
        <v>44998</v>
      </c>
      <c r="D708" t="s">
        <v>17</v>
      </c>
      <c r="E708" t="s">
        <v>26</v>
      </c>
      <c r="F708" t="s">
        <v>24</v>
      </c>
      <c r="G708" t="s">
        <v>30</v>
      </c>
      <c r="H708">
        <v>2970</v>
      </c>
      <c r="I708">
        <v>42</v>
      </c>
      <c r="J708" s="6">
        <f t="shared" si="38"/>
        <v>124.74</v>
      </c>
      <c r="K708" t="s">
        <v>389</v>
      </c>
    </row>
    <row r="709" spans="3:11" outlineLevel="2" x14ac:dyDescent="0.3">
      <c r="C709" s="9">
        <v>44998</v>
      </c>
      <c r="D709" t="s">
        <v>45</v>
      </c>
      <c r="E709" t="s">
        <v>15</v>
      </c>
      <c r="F709" t="s">
        <v>13</v>
      </c>
      <c r="G709" t="s">
        <v>29</v>
      </c>
      <c r="H709">
        <v>1230</v>
      </c>
      <c r="I709">
        <v>32</v>
      </c>
      <c r="J709" s="6">
        <f t="shared" si="38"/>
        <v>39.36</v>
      </c>
      <c r="K709" t="s">
        <v>389</v>
      </c>
    </row>
    <row r="710" spans="3:11" outlineLevel="2" x14ac:dyDescent="0.3">
      <c r="C710" s="9">
        <v>44998</v>
      </c>
      <c r="D710" t="s">
        <v>45</v>
      </c>
      <c r="E710" t="s">
        <v>33</v>
      </c>
      <c r="F710" t="s">
        <v>10</v>
      </c>
      <c r="G710" t="s">
        <v>23</v>
      </c>
      <c r="H710">
        <v>640</v>
      </c>
      <c r="I710">
        <v>46</v>
      </c>
      <c r="J710" s="6">
        <f t="shared" si="38"/>
        <v>29.44</v>
      </c>
      <c r="K710" t="s">
        <v>389</v>
      </c>
    </row>
    <row r="711" spans="3:11" outlineLevel="2" x14ac:dyDescent="0.3">
      <c r="C711" s="9">
        <v>44998</v>
      </c>
      <c r="D711" t="s">
        <v>12</v>
      </c>
      <c r="E711" t="s">
        <v>35</v>
      </c>
      <c r="F711" t="s">
        <v>10</v>
      </c>
      <c r="G711" t="s">
        <v>16</v>
      </c>
      <c r="H711">
        <v>1380</v>
      </c>
      <c r="I711">
        <v>90</v>
      </c>
      <c r="J711" s="6">
        <f t="shared" si="38"/>
        <v>124.2</v>
      </c>
      <c r="K711" t="s">
        <v>389</v>
      </c>
    </row>
    <row r="712" spans="3:11" outlineLevel="2" x14ac:dyDescent="0.3">
      <c r="C712" s="9">
        <v>44998</v>
      </c>
      <c r="D712" t="s">
        <v>17</v>
      </c>
      <c r="E712" t="s">
        <v>35</v>
      </c>
      <c r="F712" t="s">
        <v>18</v>
      </c>
      <c r="G712" t="s">
        <v>28</v>
      </c>
      <c r="H712">
        <v>690</v>
      </c>
      <c r="I712">
        <v>49</v>
      </c>
      <c r="J712" s="6">
        <f t="shared" si="38"/>
        <v>33.81</v>
      </c>
      <c r="K712" t="s">
        <v>389</v>
      </c>
    </row>
    <row r="713" spans="3:11" outlineLevel="1" x14ac:dyDescent="0.3">
      <c r="C713" s="13" t="s">
        <v>86</v>
      </c>
      <c r="J713" s="6">
        <f>SUBTOTAL(9,J696:J712)</f>
        <v>1207.4849999999999</v>
      </c>
      <c r="K713" t="s">
        <v>389</v>
      </c>
    </row>
    <row r="714" spans="3:11" outlineLevel="2" x14ac:dyDescent="0.3">
      <c r="C714" s="10">
        <v>44999</v>
      </c>
      <c r="D714" s="11" t="s">
        <v>8</v>
      </c>
      <c r="E714" s="11" t="s">
        <v>20</v>
      </c>
      <c r="F714" s="11" t="s">
        <v>10</v>
      </c>
      <c r="G714" s="11" t="s">
        <v>40</v>
      </c>
      <c r="H714" s="11">
        <v>540</v>
      </c>
      <c r="I714" s="11">
        <v>34</v>
      </c>
      <c r="J714" s="6">
        <f t="shared" ref="J714:J724" si="39">H714*I714/1000</f>
        <v>18.36</v>
      </c>
      <c r="K714" t="s">
        <v>389</v>
      </c>
    </row>
    <row r="715" spans="3:11" outlineLevel="2" x14ac:dyDescent="0.3">
      <c r="C715" s="9">
        <v>44999</v>
      </c>
      <c r="D715" t="s">
        <v>17</v>
      </c>
      <c r="E715" t="s">
        <v>9</v>
      </c>
      <c r="F715" t="s">
        <v>13</v>
      </c>
      <c r="G715" t="s">
        <v>22</v>
      </c>
      <c r="H715">
        <v>930</v>
      </c>
      <c r="I715">
        <v>8</v>
      </c>
      <c r="J715" s="6">
        <f t="shared" si="39"/>
        <v>7.44</v>
      </c>
      <c r="K715" t="s">
        <v>389</v>
      </c>
    </row>
    <row r="716" spans="3:11" outlineLevel="2" x14ac:dyDescent="0.3">
      <c r="C716" s="9">
        <v>44999</v>
      </c>
      <c r="D716" t="s">
        <v>8</v>
      </c>
      <c r="E716" t="s">
        <v>9</v>
      </c>
      <c r="F716" t="s">
        <v>24</v>
      </c>
      <c r="G716" t="s">
        <v>32</v>
      </c>
      <c r="H716">
        <v>1505</v>
      </c>
      <c r="I716">
        <v>84</v>
      </c>
      <c r="J716" s="6">
        <f t="shared" si="39"/>
        <v>126.42</v>
      </c>
      <c r="K716" t="s">
        <v>389</v>
      </c>
    </row>
    <row r="717" spans="3:11" outlineLevel="2" x14ac:dyDescent="0.3">
      <c r="C717" s="9">
        <v>44999</v>
      </c>
      <c r="D717" t="s">
        <v>17</v>
      </c>
      <c r="E717" t="s">
        <v>26</v>
      </c>
      <c r="F717" t="s">
        <v>10</v>
      </c>
      <c r="G717" t="s">
        <v>11</v>
      </c>
      <c r="H717">
        <v>705</v>
      </c>
      <c r="I717">
        <v>86</v>
      </c>
      <c r="J717" s="6">
        <f t="shared" si="39"/>
        <v>60.63</v>
      </c>
      <c r="K717" t="s">
        <v>389</v>
      </c>
    </row>
    <row r="718" spans="3:11" outlineLevel="2" x14ac:dyDescent="0.3">
      <c r="C718" s="9">
        <v>44999</v>
      </c>
      <c r="D718" t="s">
        <v>8</v>
      </c>
      <c r="E718" t="s">
        <v>26</v>
      </c>
      <c r="F718" t="s">
        <v>18</v>
      </c>
      <c r="G718" t="s">
        <v>27</v>
      </c>
      <c r="H718">
        <v>460</v>
      </c>
      <c r="I718">
        <v>44</v>
      </c>
      <c r="J718" s="6">
        <f t="shared" si="39"/>
        <v>20.239999999999998</v>
      </c>
      <c r="K718" t="s">
        <v>389</v>
      </c>
    </row>
    <row r="719" spans="3:11" outlineLevel="2" x14ac:dyDescent="0.3">
      <c r="C719" s="9">
        <v>44999</v>
      </c>
      <c r="D719" t="s">
        <v>17</v>
      </c>
      <c r="E719" t="s">
        <v>26</v>
      </c>
      <c r="F719" t="s">
        <v>18</v>
      </c>
      <c r="G719" t="s">
        <v>21</v>
      </c>
      <c r="H719">
        <v>450</v>
      </c>
      <c r="I719">
        <v>85</v>
      </c>
      <c r="J719" s="6">
        <f t="shared" si="39"/>
        <v>38.25</v>
      </c>
      <c r="K719" t="s">
        <v>389</v>
      </c>
    </row>
    <row r="720" spans="3:11" outlineLevel="2" x14ac:dyDescent="0.3">
      <c r="C720" s="9">
        <v>44999</v>
      </c>
      <c r="D720" t="s">
        <v>12</v>
      </c>
      <c r="E720" t="s">
        <v>26</v>
      </c>
      <c r="F720" t="s">
        <v>13</v>
      </c>
      <c r="G720" t="s">
        <v>38</v>
      </c>
      <c r="H720">
        <v>2400</v>
      </c>
      <c r="I720">
        <v>81</v>
      </c>
      <c r="J720" s="6">
        <f t="shared" si="39"/>
        <v>194.4</v>
      </c>
      <c r="K720" t="s">
        <v>389</v>
      </c>
    </row>
    <row r="721" spans="3:11" outlineLevel="2" x14ac:dyDescent="0.3">
      <c r="C721" s="9">
        <v>44999</v>
      </c>
      <c r="D721" t="s">
        <v>12</v>
      </c>
      <c r="E721" t="s">
        <v>15</v>
      </c>
      <c r="F721" t="s">
        <v>10</v>
      </c>
      <c r="G721" t="s">
        <v>40</v>
      </c>
      <c r="H721">
        <v>540</v>
      </c>
      <c r="I721">
        <v>45</v>
      </c>
      <c r="J721" s="6">
        <f t="shared" si="39"/>
        <v>24.3</v>
      </c>
      <c r="K721" t="s">
        <v>389</v>
      </c>
    </row>
    <row r="722" spans="3:11" outlineLevel="2" x14ac:dyDescent="0.3">
      <c r="C722" s="9">
        <v>44999</v>
      </c>
      <c r="D722" t="s">
        <v>12</v>
      </c>
      <c r="E722" t="s">
        <v>15</v>
      </c>
      <c r="F722" t="s">
        <v>13</v>
      </c>
      <c r="G722" t="s">
        <v>29</v>
      </c>
      <c r="H722">
        <v>1230</v>
      </c>
      <c r="I722">
        <v>13</v>
      </c>
      <c r="J722" s="6">
        <f t="shared" si="39"/>
        <v>15.99</v>
      </c>
      <c r="K722" t="s">
        <v>389</v>
      </c>
    </row>
    <row r="723" spans="3:11" outlineLevel="2" x14ac:dyDescent="0.3">
      <c r="C723" s="9">
        <v>44999</v>
      </c>
      <c r="D723" t="s">
        <v>45</v>
      </c>
      <c r="E723" t="s">
        <v>33</v>
      </c>
      <c r="F723" t="s">
        <v>24</v>
      </c>
      <c r="G723" t="s">
        <v>32</v>
      </c>
      <c r="H723">
        <v>1505</v>
      </c>
      <c r="I723">
        <v>70</v>
      </c>
      <c r="J723" s="6">
        <f t="shared" si="39"/>
        <v>105.35</v>
      </c>
      <c r="K723" t="s">
        <v>389</v>
      </c>
    </row>
    <row r="724" spans="3:11" outlineLevel="2" x14ac:dyDescent="0.3">
      <c r="C724" s="9">
        <v>44999</v>
      </c>
      <c r="D724" t="s">
        <v>45</v>
      </c>
      <c r="E724" t="s">
        <v>35</v>
      </c>
      <c r="F724" t="s">
        <v>24</v>
      </c>
      <c r="G724" t="s">
        <v>32</v>
      </c>
      <c r="H724">
        <v>1505</v>
      </c>
      <c r="I724">
        <v>75</v>
      </c>
      <c r="J724" s="6">
        <f t="shared" si="39"/>
        <v>112.875</v>
      </c>
      <c r="K724" t="s">
        <v>389</v>
      </c>
    </row>
    <row r="725" spans="3:11" outlineLevel="1" x14ac:dyDescent="0.3">
      <c r="C725" s="13" t="s">
        <v>87</v>
      </c>
      <c r="J725" s="6">
        <f>SUBTOTAL(9,J714:J724)</f>
        <v>724.255</v>
      </c>
      <c r="K725" t="s">
        <v>389</v>
      </c>
    </row>
    <row r="726" spans="3:11" outlineLevel="2" x14ac:dyDescent="0.3">
      <c r="C726" s="9">
        <v>45000</v>
      </c>
      <c r="D726" t="s">
        <v>8</v>
      </c>
      <c r="E726" t="s">
        <v>20</v>
      </c>
      <c r="F726" t="s">
        <v>18</v>
      </c>
      <c r="G726" t="s">
        <v>37</v>
      </c>
      <c r="H726">
        <v>890</v>
      </c>
      <c r="I726">
        <v>48</v>
      </c>
      <c r="J726" s="6">
        <f t="shared" ref="J726:J733" si="40">H726*I726/1000</f>
        <v>42.72</v>
      </c>
      <c r="K726" t="s">
        <v>389</v>
      </c>
    </row>
    <row r="727" spans="3:11" outlineLevel="2" x14ac:dyDescent="0.3">
      <c r="C727" s="10">
        <v>45000</v>
      </c>
      <c r="D727" s="11" t="s">
        <v>45</v>
      </c>
      <c r="E727" s="11" t="s">
        <v>20</v>
      </c>
      <c r="F727" s="11" t="s">
        <v>18</v>
      </c>
      <c r="G727" s="11" t="s">
        <v>37</v>
      </c>
      <c r="H727" s="11">
        <v>890</v>
      </c>
      <c r="I727" s="11">
        <v>92</v>
      </c>
      <c r="J727" s="6">
        <f t="shared" si="40"/>
        <v>81.88</v>
      </c>
      <c r="K727" t="s">
        <v>389</v>
      </c>
    </row>
    <row r="728" spans="3:11" outlineLevel="2" x14ac:dyDescent="0.3">
      <c r="C728" s="9">
        <v>45000</v>
      </c>
      <c r="D728" t="s">
        <v>17</v>
      </c>
      <c r="E728" t="s">
        <v>20</v>
      </c>
      <c r="F728" t="s">
        <v>13</v>
      </c>
      <c r="G728" t="s">
        <v>29</v>
      </c>
      <c r="H728">
        <v>1230</v>
      </c>
      <c r="I728">
        <v>73</v>
      </c>
      <c r="J728" s="6">
        <f t="shared" si="40"/>
        <v>89.79</v>
      </c>
      <c r="K728" t="s">
        <v>389</v>
      </c>
    </row>
    <row r="729" spans="3:11" outlineLevel="2" x14ac:dyDescent="0.3">
      <c r="C729" s="9">
        <v>45000</v>
      </c>
      <c r="D729" t="s">
        <v>12</v>
      </c>
      <c r="E729" t="s">
        <v>9</v>
      </c>
      <c r="F729" t="s">
        <v>13</v>
      </c>
      <c r="G729" t="s">
        <v>14</v>
      </c>
      <c r="H729">
        <v>1320</v>
      </c>
      <c r="I729">
        <v>28</v>
      </c>
      <c r="J729" s="6">
        <f t="shared" si="40"/>
        <v>36.96</v>
      </c>
      <c r="K729" t="s">
        <v>389</v>
      </c>
    </row>
    <row r="730" spans="3:11" outlineLevel="2" x14ac:dyDescent="0.3">
      <c r="C730" s="9">
        <v>45000</v>
      </c>
      <c r="D730" t="s">
        <v>8</v>
      </c>
      <c r="E730" t="s">
        <v>9</v>
      </c>
      <c r="F730" t="s">
        <v>24</v>
      </c>
      <c r="G730" t="s">
        <v>30</v>
      </c>
      <c r="H730">
        <v>2970</v>
      </c>
      <c r="I730">
        <v>59</v>
      </c>
      <c r="J730" s="6">
        <f t="shared" si="40"/>
        <v>175.23</v>
      </c>
      <c r="K730" t="s">
        <v>389</v>
      </c>
    </row>
    <row r="731" spans="3:11" outlineLevel="2" x14ac:dyDescent="0.3">
      <c r="C731" s="9">
        <v>45000</v>
      </c>
      <c r="D731" t="s">
        <v>45</v>
      </c>
      <c r="E731" t="s">
        <v>26</v>
      </c>
      <c r="F731" t="s">
        <v>18</v>
      </c>
      <c r="G731" t="s">
        <v>37</v>
      </c>
      <c r="H731">
        <v>890</v>
      </c>
      <c r="I731">
        <v>73</v>
      </c>
      <c r="J731" s="6">
        <f t="shared" si="40"/>
        <v>64.97</v>
      </c>
      <c r="K731" t="s">
        <v>389</v>
      </c>
    </row>
    <row r="732" spans="3:11" outlineLevel="2" x14ac:dyDescent="0.3">
      <c r="C732" s="9">
        <v>45000</v>
      </c>
      <c r="D732" t="s">
        <v>8</v>
      </c>
      <c r="E732" t="s">
        <v>26</v>
      </c>
      <c r="F732" t="s">
        <v>24</v>
      </c>
      <c r="G732" t="s">
        <v>36</v>
      </c>
      <c r="H732">
        <v>2460</v>
      </c>
      <c r="I732">
        <v>12</v>
      </c>
      <c r="J732" s="6">
        <f t="shared" si="40"/>
        <v>29.52</v>
      </c>
      <c r="K732" t="s">
        <v>389</v>
      </c>
    </row>
    <row r="733" spans="3:11" outlineLevel="2" x14ac:dyDescent="0.3">
      <c r="C733" s="9">
        <v>45000</v>
      </c>
      <c r="D733" t="s">
        <v>8</v>
      </c>
      <c r="E733" t="s">
        <v>15</v>
      </c>
      <c r="F733" t="s">
        <v>18</v>
      </c>
      <c r="G733" t="s">
        <v>31</v>
      </c>
      <c r="H733">
        <v>715</v>
      </c>
      <c r="I733">
        <v>51</v>
      </c>
      <c r="J733" s="6">
        <f t="shared" si="40"/>
        <v>36.465000000000003</v>
      </c>
      <c r="K733" t="s">
        <v>389</v>
      </c>
    </row>
    <row r="734" spans="3:11" outlineLevel="1" x14ac:dyDescent="0.3">
      <c r="C734" s="13" t="s">
        <v>88</v>
      </c>
      <c r="J734" s="6">
        <f>SUBTOTAL(9,J726:J733)</f>
        <v>557.53499999999997</v>
      </c>
      <c r="K734" t="s">
        <v>389</v>
      </c>
    </row>
    <row r="735" spans="3:11" outlineLevel="2" x14ac:dyDescent="0.3">
      <c r="C735" s="10">
        <v>45001</v>
      </c>
      <c r="D735" s="11" t="s">
        <v>8</v>
      </c>
      <c r="E735" s="11" t="s">
        <v>20</v>
      </c>
      <c r="F735" s="11" t="s">
        <v>10</v>
      </c>
      <c r="G735" s="11" t="s">
        <v>16</v>
      </c>
      <c r="H735" s="11">
        <v>1380</v>
      </c>
      <c r="I735" s="11">
        <v>74</v>
      </c>
      <c r="J735" s="6">
        <f t="shared" ref="J735:J744" si="41">H735*I735/1000</f>
        <v>102.12</v>
      </c>
      <c r="K735" t="s">
        <v>389</v>
      </c>
    </row>
    <row r="736" spans="3:11" outlineLevel="2" x14ac:dyDescent="0.3">
      <c r="C736" s="9">
        <v>45001</v>
      </c>
      <c r="D736" t="s">
        <v>45</v>
      </c>
      <c r="E736" t="s">
        <v>20</v>
      </c>
      <c r="F736" t="s">
        <v>24</v>
      </c>
      <c r="G736" t="s">
        <v>30</v>
      </c>
      <c r="H736">
        <v>2970</v>
      </c>
      <c r="I736">
        <v>13</v>
      </c>
      <c r="J736" s="6">
        <f t="shared" si="41"/>
        <v>38.61</v>
      </c>
      <c r="K736" t="s">
        <v>389</v>
      </c>
    </row>
    <row r="737" spans="3:11" outlineLevel="2" x14ac:dyDescent="0.3">
      <c r="C737" s="9">
        <v>45001</v>
      </c>
      <c r="D737" t="s">
        <v>45</v>
      </c>
      <c r="E737" t="s">
        <v>9</v>
      </c>
      <c r="F737" t="s">
        <v>18</v>
      </c>
      <c r="G737" t="s">
        <v>37</v>
      </c>
      <c r="H737">
        <v>890</v>
      </c>
      <c r="I737">
        <v>100</v>
      </c>
      <c r="J737" s="6">
        <f t="shared" si="41"/>
        <v>89</v>
      </c>
      <c r="K737" t="s">
        <v>389</v>
      </c>
    </row>
    <row r="738" spans="3:11" outlineLevel="2" x14ac:dyDescent="0.3">
      <c r="C738" s="9">
        <v>45001</v>
      </c>
      <c r="D738" t="s">
        <v>8</v>
      </c>
      <c r="E738" t="s">
        <v>9</v>
      </c>
      <c r="F738" t="s">
        <v>24</v>
      </c>
      <c r="G738" t="s">
        <v>25</v>
      </c>
      <c r="H738">
        <v>1760</v>
      </c>
      <c r="I738">
        <v>21</v>
      </c>
      <c r="J738" s="6">
        <f t="shared" si="41"/>
        <v>36.96</v>
      </c>
      <c r="K738" t="s">
        <v>389</v>
      </c>
    </row>
    <row r="739" spans="3:11" outlineLevel="2" x14ac:dyDescent="0.3">
      <c r="C739" s="9">
        <v>45001</v>
      </c>
      <c r="D739" t="s">
        <v>12</v>
      </c>
      <c r="E739" t="s">
        <v>26</v>
      </c>
      <c r="F739" t="s">
        <v>24</v>
      </c>
      <c r="G739" t="s">
        <v>30</v>
      </c>
      <c r="H739">
        <v>2970</v>
      </c>
      <c r="I739">
        <v>7</v>
      </c>
      <c r="J739" s="6">
        <f t="shared" si="41"/>
        <v>20.79</v>
      </c>
      <c r="K739" t="s">
        <v>389</v>
      </c>
    </row>
    <row r="740" spans="3:11" outlineLevel="2" x14ac:dyDescent="0.3">
      <c r="C740" s="9">
        <v>45001</v>
      </c>
      <c r="D740" t="s">
        <v>12</v>
      </c>
      <c r="E740" t="s">
        <v>15</v>
      </c>
      <c r="F740" t="s">
        <v>13</v>
      </c>
      <c r="G740" t="s">
        <v>38</v>
      </c>
      <c r="H740">
        <v>2400</v>
      </c>
      <c r="I740">
        <v>24</v>
      </c>
      <c r="J740" s="6">
        <f t="shared" si="41"/>
        <v>57.6</v>
      </c>
      <c r="K740" t="s">
        <v>389</v>
      </c>
    </row>
    <row r="741" spans="3:11" outlineLevel="2" x14ac:dyDescent="0.3">
      <c r="C741" s="9">
        <v>45001</v>
      </c>
      <c r="D741" t="s">
        <v>45</v>
      </c>
      <c r="E741" t="s">
        <v>15</v>
      </c>
      <c r="F741" t="s">
        <v>24</v>
      </c>
      <c r="G741" t="s">
        <v>30</v>
      </c>
      <c r="H741">
        <v>2970</v>
      </c>
      <c r="I741">
        <v>89</v>
      </c>
      <c r="J741" s="6">
        <f t="shared" si="41"/>
        <v>264.33</v>
      </c>
      <c r="K741" t="s">
        <v>389</v>
      </c>
    </row>
    <row r="742" spans="3:11" outlineLevel="2" x14ac:dyDescent="0.3">
      <c r="C742" s="9">
        <v>45001</v>
      </c>
      <c r="D742" t="s">
        <v>45</v>
      </c>
      <c r="E742" t="s">
        <v>33</v>
      </c>
      <c r="F742" t="s">
        <v>10</v>
      </c>
      <c r="G742" t="s">
        <v>40</v>
      </c>
      <c r="H742">
        <v>540</v>
      </c>
      <c r="I742">
        <v>89</v>
      </c>
      <c r="J742" s="6">
        <f t="shared" si="41"/>
        <v>48.06</v>
      </c>
      <c r="K742" t="s">
        <v>389</v>
      </c>
    </row>
    <row r="743" spans="3:11" outlineLevel="2" x14ac:dyDescent="0.3">
      <c r="C743" s="9">
        <v>45001</v>
      </c>
      <c r="D743" t="s">
        <v>8</v>
      </c>
      <c r="E743" t="s">
        <v>35</v>
      </c>
      <c r="F743" t="s">
        <v>18</v>
      </c>
      <c r="G743" t="s">
        <v>31</v>
      </c>
      <c r="H743">
        <v>715</v>
      </c>
      <c r="I743">
        <v>79</v>
      </c>
      <c r="J743" s="6">
        <f t="shared" si="41"/>
        <v>56.484999999999999</v>
      </c>
      <c r="K743" t="s">
        <v>389</v>
      </c>
    </row>
    <row r="744" spans="3:11" outlineLevel="2" x14ac:dyDescent="0.3">
      <c r="C744" s="9">
        <v>45001</v>
      </c>
      <c r="D744" t="s">
        <v>45</v>
      </c>
      <c r="E744" t="s">
        <v>35</v>
      </c>
      <c r="F744" t="s">
        <v>24</v>
      </c>
      <c r="G744" t="s">
        <v>42</v>
      </c>
      <c r="H744">
        <v>3205</v>
      </c>
      <c r="I744">
        <v>17</v>
      </c>
      <c r="J744" s="6">
        <f t="shared" si="41"/>
        <v>54.484999999999999</v>
      </c>
      <c r="K744" t="s">
        <v>389</v>
      </c>
    </row>
    <row r="745" spans="3:11" outlineLevel="1" x14ac:dyDescent="0.3">
      <c r="C745" s="13" t="s">
        <v>89</v>
      </c>
      <c r="J745" s="6">
        <f>SUBTOTAL(9,J735:J744)</f>
        <v>768.44</v>
      </c>
      <c r="K745" t="s">
        <v>389</v>
      </c>
    </row>
    <row r="746" spans="3:11" outlineLevel="2" x14ac:dyDescent="0.3">
      <c r="C746" s="10">
        <v>45002</v>
      </c>
      <c r="D746" s="11" t="s">
        <v>12</v>
      </c>
      <c r="E746" s="11" t="s">
        <v>20</v>
      </c>
      <c r="F746" s="11" t="s">
        <v>10</v>
      </c>
      <c r="G746" s="11" t="s">
        <v>40</v>
      </c>
      <c r="H746" s="11">
        <v>540</v>
      </c>
      <c r="I746" s="11">
        <v>89</v>
      </c>
      <c r="J746" s="6">
        <f t="shared" ref="J746:J755" si="42">H746*I746/1000</f>
        <v>48.06</v>
      </c>
      <c r="K746" t="s">
        <v>389</v>
      </c>
    </row>
    <row r="747" spans="3:11" outlineLevel="2" x14ac:dyDescent="0.3">
      <c r="C747" s="9">
        <v>45002</v>
      </c>
      <c r="D747" t="s">
        <v>17</v>
      </c>
      <c r="E747" t="s">
        <v>20</v>
      </c>
      <c r="F747" t="s">
        <v>18</v>
      </c>
      <c r="G747" t="s">
        <v>28</v>
      </c>
      <c r="H747">
        <v>690</v>
      </c>
      <c r="I747">
        <v>46</v>
      </c>
      <c r="J747" s="6">
        <f t="shared" si="42"/>
        <v>31.74</v>
      </c>
      <c r="K747" t="s">
        <v>389</v>
      </c>
    </row>
    <row r="748" spans="3:11" outlineLevel="2" x14ac:dyDescent="0.3">
      <c r="C748" s="10">
        <v>45002</v>
      </c>
      <c r="D748" s="11" t="s">
        <v>12</v>
      </c>
      <c r="E748" s="11" t="s">
        <v>20</v>
      </c>
      <c r="F748" s="11" t="s">
        <v>18</v>
      </c>
      <c r="G748" s="11" t="s">
        <v>19</v>
      </c>
      <c r="H748" s="11">
        <v>325</v>
      </c>
      <c r="I748" s="11">
        <v>5</v>
      </c>
      <c r="J748" s="6">
        <f t="shared" si="42"/>
        <v>1.625</v>
      </c>
      <c r="K748" t="s">
        <v>389</v>
      </c>
    </row>
    <row r="749" spans="3:11" outlineLevel="2" x14ac:dyDescent="0.3">
      <c r="C749" s="9">
        <v>45002</v>
      </c>
      <c r="D749" t="s">
        <v>12</v>
      </c>
      <c r="E749" t="s">
        <v>20</v>
      </c>
      <c r="F749" t="s">
        <v>18</v>
      </c>
      <c r="G749" t="s">
        <v>21</v>
      </c>
      <c r="H749">
        <v>450</v>
      </c>
      <c r="I749">
        <v>33</v>
      </c>
      <c r="J749" s="6">
        <f t="shared" si="42"/>
        <v>14.85</v>
      </c>
      <c r="K749" t="s">
        <v>389</v>
      </c>
    </row>
    <row r="750" spans="3:11" outlineLevel="2" x14ac:dyDescent="0.3">
      <c r="C750" s="9">
        <v>45002</v>
      </c>
      <c r="D750" t="s">
        <v>17</v>
      </c>
      <c r="E750" t="s">
        <v>9</v>
      </c>
      <c r="F750" t="s">
        <v>13</v>
      </c>
      <c r="G750" t="s">
        <v>29</v>
      </c>
      <c r="H750">
        <v>1230</v>
      </c>
      <c r="I750">
        <v>58</v>
      </c>
      <c r="J750" s="6">
        <f t="shared" si="42"/>
        <v>71.34</v>
      </c>
      <c r="K750" t="s">
        <v>389</v>
      </c>
    </row>
    <row r="751" spans="3:11" outlineLevel="2" x14ac:dyDescent="0.3">
      <c r="C751" s="9">
        <v>45002</v>
      </c>
      <c r="D751" t="s">
        <v>8</v>
      </c>
      <c r="E751" t="s">
        <v>26</v>
      </c>
      <c r="F751" t="s">
        <v>10</v>
      </c>
      <c r="G751" t="s">
        <v>41</v>
      </c>
      <c r="H751">
        <v>650</v>
      </c>
      <c r="I751">
        <v>87</v>
      </c>
      <c r="J751" s="6">
        <f t="shared" si="42"/>
        <v>56.55</v>
      </c>
      <c r="K751" t="s">
        <v>389</v>
      </c>
    </row>
    <row r="752" spans="3:11" outlineLevel="2" x14ac:dyDescent="0.3">
      <c r="C752" s="9">
        <v>45002</v>
      </c>
      <c r="D752" t="s">
        <v>8</v>
      </c>
      <c r="E752" t="s">
        <v>26</v>
      </c>
      <c r="F752" t="s">
        <v>18</v>
      </c>
      <c r="G752" t="s">
        <v>31</v>
      </c>
      <c r="H752">
        <v>715</v>
      </c>
      <c r="I752">
        <v>31</v>
      </c>
      <c r="J752" s="6">
        <f t="shared" si="42"/>
        <v>22.164999999999999</v>
      </c>
      <c r="K752" t="s">
        <v>389</v>
      </c>
    </row>
    <row r="753" spans="3:11" outlineLevel="2" x14ac:dyDescent="0.3">
      <c r="C753" s="9">
        <v>45002</v>
      </c>
      <c r="D753" t="s">
        <v>17</v>
      </c>
      <c r="E753" t="s">
        <v>15</v>
      </c>
      <c r="F753" t="s">
        <v>10</v>
      </c>
      <c r="G753" t="s">
        <v>41</v>
      </c>
      <c r="H753">
        <v>650</v>
      </c>
      <c r="I753">
        <v>48</v>
      </c>
      <c r="J753" s="6">
        <f t="shared" si="42"/>
        <v>31.2</v>
      </c>
      <c r="K753" t="s">
        <v>389</v>
      </c>
    </row>
    <row r="754" spans="3:11" outlineLevel="2" x14ac:dyDescent="0.3">
      <c r="C754" s="9">
        <v>45002</v>
      </c>
      <c r="D754" t="s">
        <v>45</v>
      </c>
      <c r="E754" t="s">
        <v>15</v>
      </c>
      <c r="F754" t="s">
        <v>10</v>
      </c>
      <c r="G754" t="s">
        <v>39</v>
      </c>
      <c r="H754">
        <v>650</v>
      </c>
      <c r="I754">
        <v>13</v>
      </c>
      <c r="J754" s="6">
        <f t="shared" si="42"/>
        <v>8.4499999999999993</v>
      </c>
      <c r="K754" t="s">
        <v>389</v>
      </c>
    </row>
    <row r="755" spans="3:11" outlineLevel="2" x14ac:dyDescent="0.3">
      <c r="C755" s="9">
        <v>45002</v>
      </c>
      <c r="D755" t="s">
        <v>45</v>
      </c>
      <c r="E755" t="s">
        <v>35</v>
      </c>
      <c r="F755" t="s">
        <v>10</v>
      </c>
      <c r="G755" t="s">
        <v>16</v>
      </c>
      <c r="H755">
        <v>1380</v>
      </c>
      <c r="I755">
        <v>31</v>
      </c>
      <c r="J755" s="6">
        <f t="shared" si="42"/>
        <v>42.78</v>
      </c>
      <c r="K755" t="s">
        <v>389</v>
      </c>
    </row>
    <row r="756" spans="3:11" outlineLevel="1" x14ac:dyDescent="0.3">
      <c r="C756" s="13" t="s">
        <v>90</v>
      </c>
      <c r="J756" s="6">
        <f>SUBTOTAL(9,J746:J755)</f>
        <v>328.76</v>
      </c>
      <c r="K756" t="s">
        <v>389</v>
      </c>
    </row>
    <row r="757" spans="3:11" outlineLevel="2" x14ac:dyDescent="0.3">
      <c r="C757" s="9">
        <v>45003</v>
      </c>
      <c r="D757" t="s">
        <v>17</v>
      </c>
      <c r="E757" t="s">
        <v>9</v>
      </c>
      <c r="F757" t="s">
        <v>24</v>
      </c>
      <c r="G757" t="s">
        <v>32</v>
      </c>
      <c r="H757">
        <v>1505</v>
      </c>
      <c r="I757">
        <v>56</v>
      </c>
      <c r="J757" s="6">
        <f t="shared" ref="J757:J768" si="43">H757*I757/1000</f>
        <v>84.28</v>
      </c>
      <c r="K757" t="s">
        <v>389</v>
      </c>
    </row>
    <row r="758" spans="3:11" outlineLevel="2" x14ac:dyDescent="0.3">
      <c r="C758" s="9">
        <v>45003</v>
      </c>
      <c r="D758" t="s">
        <v>8</v>
      </c>
      <c r="E758" t="s">
        <v>26</v>
      </c>
      <c r="F758" t="s">
        <v>10</v>
      </c>
      <c r="G758" t="s">
        <v>16</v>
      </c>
      <c r="H758">
        <v>1380</v>
      </c>
      <c r="I758">
        <v>58</v>
      </c>
      <c r="J758" s="6">
        <f t="shared" si="43"/>
        <v>80.040000000000006</v>
      </c>
      <c r="K758" t="s">
        <v>389</v>
      </c>
    </row>
    <row r="759" spans="3:11" outlineLevel="2" x14ac:dyDescent="0.3">
      <c r="C759" s="9">
        <v>45003</v>
      </c>
      <c r="D759" t="s">
        <v>8</v>
      </c>
      <c r="E759" t="s">
        <v>26</v>
      </c>
      <c r="F759" t="s">
        <v>10</v>
      </c>
      <c r="G759" t="s">
        <v>41</v>
      </c>
      <c r="H759">
        <v>650</v>
      </c>
      <c r="I759">
        <v>26</v>
      </c>
      <c r="J759" s="6">
        <f t="shared" si="43"/>
        <v>16.899999999999999</v>
      </c>
      <c r="K759" t="s">
        <v>389</v>
      </c>
    </row>
    <row r="760" spans="3:11" outlineLevel="2" x14ac:dyDescent="0.3">
      <c r="C760" s="9">
        <v>45003</v>
      </c>
      <c r="D760" t="s">
        <v>12</v>
      </c>
      <c r="E760" t="s">
        <v>26</v>
      </c>
      <c r="F760" t="s">
        <v>18</v>
      </c>
      <c r="G760" t="s">
        <v>21</v>
      </c>
      <c r="H760">
        <v>450</v>
      </c>
      <c r="I760">
        <v>58</v>
      </c>
      <c r="J760" s="6">
        <f t="shared" si="43"/>
        <v>26.1</v>
      </c>
      <c r="K760" t="s">
        <v>389</v>
      </c>
    </row>
    <row r="761" spans="3:11" outlineLevel="2" x14ac:dyDescent="0.3">
      <c r="C761" s="9">
        <v>45003</v>
      </c>
      <c r="D761" t="s">
        <v>8</v>
      </c>
      <c r="E761" t="s">
        <v>15</v>
      </c>
      <c r="F761" t="s">
        <v>18</v>
      </c>
      <c r="G761" t="s">
        <v>28</v>
      </c>
      <c r="H761">
        <v>690</v>
      </c>
      <c r="I761">
        <v>69</v>
      </c>
      <c r="J761" s="6">
        <f t="shared" si="43"/>
        <v>47.61</v>
      </c>
      <c r="K761" t="s">
        <v>389</v>
      </c>
    </row>
    <row r="762" spans="3:11" outlineLevel="2" x14ac:dyDescent="0.3">
      <c r="C762" s="9">
        <v>45003</v>
      </c>
      <c r="D762" t="s">
        <v>12</v>
      </c>
      <c r="E762" t="s">
        <v>15</v>
      </c>
      <c r="F762" t="s">
        <v>13</v>
      </c>
      <c r="G762" t="s">
        <v>29</v>
      </c>
      <c r="H762">
        <v>1230</v>
      </c>
      <c r="I762">
        <v>60</v>
      </c>
      <c r="J762" s="6">
        <f t="shared" si="43"/>
        <v>73.8</v>
      </c>
      <c r="K762" t="s">
        <v>389</v>
      </c>
    </row>
    <row r="763" spans="3:11" outlineLevel="2" x14ac:dyDescent="0.3">
      <c r="C763" s="9">
        <v>45003</v>
      </c>
      <c r="D763" t="s">
        <v>45</v>
      </c>
      <c r="E763" t="s">
        <v>15</v>
      </c>
      <c r="F763" t="s">
        <v>13</v>
      </c>
      <c r="G763" t="s">
        <v>22</v>
      </c>
      <c r="H763">
        <v>930</v>
      </c>
      <c r="I763">
        <v>6</v>
      </c>
      <c r="J763" s="6">
        <f t="shared" si="43"/>
        <v>5.58</v>
      </c>
      <c r="K763" t="s">
        <v>389</v>
      </c>
    </row>
    <row r="764" spans="3:11" outlineLevel="2" x14ac:dyDescent="0.3">
      <c r="C764" s="9">
        <v>45003</v>
      </c>
      <c r="D764" t="s">
        <v>12</v>
      </c>
      <c r="E764" t="s">
        <v>15</v>
      </c>
      <c r="F764" t="s">
        <v>13</v>
      </c>
      <c r="G764" t="s">
        <v>44</v>
      </c>
      <c r="H764">
        <v>2540</v>
      </c>
      <c r="I764">
        <v>13</v>
      </c>
      <c r="J764" s="6">
        <f t="shared" si="43"/>
        <v>33.020000000000003</v>
      </c>
      <c r="K764" t="s">
        <v>389</v>
      </c>
    </row>
    <row r="765" spans="3:11" outlineLevel="2" x14ac:dyDescent="0.3">
      <c r="C765" s="9">
        <v>45003</v>
      </c>
      <c r="D765" t="s">
        <v>45</v>
      </c>
      <c r="E765" t="s">
        <v>15</v>
      </c>
      <c r="F765" t="s">
        <v>13</v>
      </c>
      <c r="G765" t="s">
        <v>14</v>
      </c>
      <c r="H765">
        <v>1320</v>
      </c>
      <c r="I765">
        <v>39</v>
      </c>
      <c r="J765" s="6">
        <f t="shared" si="43"/>
        <v>51.48</v>
      </c>
      <c r="K765" t="s">
        <v>389</v>
      </c>
    </row>
    <row r="766" spans="3:11" outlineLevel="2" x14ac:dyDescent="0.3">
      <c r="C766" s="9">
        <v>45003</v>
      </c>
      <c r="D766" t="s">
        <v>17</v>
      </c>
      <c r="E766" t="s">
        <v>35</v>
      </c>
      <c r="F766" t="s">
        <v>10</v>
      </c>
      <c r="G766" t="s">
        <v>11</v>
      </c>
      <c r="H766">
        <v>705</v>
      </c>
      <c r="I766">
        <v>55</v>
      </c>
      <c r="J766" s="6">
        <f t="shared" si="43"/>
        <v>38.774999999999999</v>
      </c>
      <c r="K766" t="s">
        <v>389</v>
      </c>
    </row>
    <row r="767" spans="3:11" outlineLevel="2" x14ac:dyDescent="0.3">
      <c r="C767" s="9">
        <v>45003</v>
      </c>
      <c r="D767" t="s">
        <v>45</v>
      </c>
      <c r="E767" t="s">
        <v>35</v>
      </c>
      <c r="F767" t="s">
        <v>10</v>
      </c>
      <c r="G767" t="s">
        <v>41</v>
      </c>
      <c r="H767">
        <v>650</v>
      </c>
      <c r="I767">
        <v>12</v>
      </c>
      <c r="J767" s="6">
        <f t="shared" si="43"/>
        <v>7.8</v>
      </c>
      <c r="K767" t="s">
        <v>389</v>
      </c>
    </row>
    <row r="768" spans="3:11" outlineLevel="2" x14ac:dyDescent="0.3">
      <c r="C768" s="9">
        <v>45003</v>
      </c>
      <c r="D768" t="s">
        <v>17</v>
      </c>
      <c r="E768" t="s">
        <v>35</v>
      </c>
      <c r="F768" t="s">
        <v>10</v>
      </c>
      <c r="G768" t="s">
        <v>39</v>
      </c>
      <c r="H768">
        <v>650</v>
      </c>
      <c r="I768">
        <v>18</v>
      </c>
      <c r="J768" s="6">
        <f t="shared" si="43"/>
        <v>11.7</v>
      </c>
      <c r="K768" t="s">
        <v>389</v>
      </c>
    </row>
    <row r="769" spans="3:11" outlineLevel="1" x14ac:dyDescent="0.3">
      <c r="C769" s="13" t="s">
        <v>91</v>
      </c>
      <c r="J769" s="6">
        <f>SUBTOTAL(9,J757:J768)</f>
        <v>477.08499999999998</v>
      </c>
      <c r="K769" t="s">
        <v>389</v>
      </c>
    </row>
    <row r="770" spans="3:11" outlineLevel="2" x14ac:dyDescent="0.3">
      <c r="C770" s="10">
        <v>45004</v>
      </c>
      <c r="D770" s="11" t="s">
        <v>17</v>
      </c>
      <c r="E770" s="11" t="s">
        <v>20</v>
      </c>
      <c r="F770" s="11" t="s">
        <v>18</v>
      </c>
      <c r="G770" s="11" t="s">
        <v>28</v>
      </c>
      <c r="H770" s="11">
        <v>690</v>
      </c>
      <c r="I770" s="11">
        <v>85</v>
      </c>
      <c r="J770" s="6">
        <f t="shared" ref="J770:J784" si="44">H770*I770/1000</f>
        <v>58.65</v>
      </c>
      <c r="K770" t="s">
        <v>389</v>
      </c>
    </row>
    <row r="771" spans="3:11" outlineLevel="2" x14ac:dyDescent="0.3">
      <c r="C771" s="9">
        <v>45004</v>
      </c>
      <c r="D771" t="s">
        <v>17</v>
      </c>
      <c r="E771" t="s">
        <v>20</v>
      </c>
      <c r="F771" t="s">
        <v>13</v>
      </c>
      <c r="G771" t="s">
        <v>43</v>
      </c>
      <c r="H771">
        <v>1420</v>
      </c>
      <c r="I771">
        <v>81</v>
      </c>
      <c r="J771" s="6">
        <f t="shared" si="44"/>
        <v>115.02</v>
      </c>
      <c r="K771" t="s">
        <v>389</v>
      </c>
    </row>
    <row r="772" spans="3:11" outlineLevel="2" x14ac:dyDescent="0.3">
      <c r="C772" s="9">
        <v>45004</v>
      </c>
      <c r="D772" t="s">
        <v>8</v>
      </c>
      <c r="E772" t="s">
        <v>9</v>
      </c>
      <c r="F772" t="s">
        <v>10</v>
      </c>
      <c r="G772" t="s">
        <v>23</v>
      </c>
      <c r="H772">
        <v>640</v>
      </c>
      <c r="I772">
        <v>77</v>
      </c>
      <c r="J772" s="6">
        <f t="shared" si="44"/>
        <v>49.28</v>
      </c>
      <c r="K772" t="s">
        <v>389</v>
      </c>
    </row>
    <row r="773" spans="3:11" outlineLevel="2" x14ac:dyDescent="0.3">
      <c r="C773" s="9">
        <v>45004</v>
      </c>
      <c r="D773" t="s">
        <v>45</v>
      </c>
      <c r="E773" t="s">
        <v>9</v>
      </c>
      <c r="F773" t="s">
        <v>18</v>
      </c>
      <c r="G773" t="s">
        <v>27</v>
      </c>
      <c r="H773">
        <v>460</v>
      </c>
      <c r="I773">
        <v>33</v>
      </c>
      <c r="J773" s="6">
        <f t="shared" si="44"/>
        <v>15.18</v>
      </c>
      <c r="K773" t="s">
        <v>389</v>
      </c>
    </row>
    <row r="774" spans="3:11" outlineLevel="2" x14ac:dyDescent="0.3">
      <c r="C774" s="9">
        <v>45004</v>
      </c>
      <c r="D774" t="s">
        <v>8</v>
      </c>
      <c r="E774" t="s">
        <v>26</v>
      </c>
      <c r="F774" t="s">
        <v>10</v>
      </c>
      <c r="G774" t="s">
        <v>40</v>
      </c>
      <c r="H774">
        <v>540</v>
      </c>
      <c r="I774">
        <v>83</v>
      </c>
      <c r="J774" s="6">
        <f t="shared" si="44"/>
        <v>44.82</v>
      </c>
      <c r="K774" t="s">
        <v>389</v>
      </c>
    </row>
    <row r="775" spans="3:11" outlineLevel="2" x14ac:dyDescent="0.3">
      <c r="C775" s="9">
        <v>45004</v>
      </c>
      <c r="D775" t="s">
        <v>17</v>
      </c>
      <c r="E775" t="s">
        <v>26</v>
      </c>
      <c r="F775" t="s">
        <v>18</v>
      </c>
      <c r="G775" t="s">
        <v>37</v>
      </c>
      <c r="H775">
        <v>890</v>
      </c>
      <c r="I775">
        <v>72</v>
      </c>
      <c r="J775" s="6">
        <f t="shared" si="44"/>
        <v>64.08</v>
      </c>
      <c r="K775" t="s">
        <v>389</v>
      </c>
    </row>
    <row r="776" spans="3:11" outlineLevel="2" x14ac:dyDescent="0.3">
      <c r="C776" s="9">
        <v>45004</v>
      </c>
      <c r="D776" t="s">
        <v>45</v>
      </c>
      <c r="E776" t="s">
        <v>26</v>
      </c>
      <c r="F776" t="s">
        <v>13</v>
      </c>
      <c r="G776" t="s">
        <v>38</v>
      </c>
      <c r="H776">
        <v>2400</v>
      </c>
      <c r="I776">
        <v>9</v>
      </c>
      <c r="J776" s="6">
        <f t="shared" si="44"/>
        <v>21.6</v>
      </c>
      <c r="K776" t="s">
        <v>389</v>
      </c>
    </row>
    <row r="777" spans="3:11" outlineLevel="2" x14ac:dyDescent="0.3">
      <c r="C777" s="9">
        <v>45004</v>
      </c>
      <c r="D777" t="s">
        <v>8</v>
      </c>
      <c r="E777" t="s">
        <v>15</v>
      </c>
      <c r="F777" t="s">
        <v>18</v>
      </c>
      <c r="G777" t="s">
        <v>27</v>
      </c>
      <c r="H777">
        <v>460</v>
      </c>
      <c r="I777">
        <v>44</v>
      </c>
      <c r="J777" s="6">
        <f t="shared" si="44"/>
        <v>20.239999999999998</v>
      </c>
      <c r="K777" t="s">
        <v>389</v>
      </c>
    </row>
    <row r="778" spans="3:11" outlineLevel="2" x14ac:dyDescent="0.3">
      <c r="C778" s="9">
        <v>45004</v>
      </c>
      <c r="D778" t="s">
        <v>8</v>
      </c>
      <c r="E778" t="s">
        <v>15</v>
      </c>
      <c r="F778" t="s">
        <v>18</v>
      </c>
      <c r="G778" t="s">
        <v>21</v>
      </c>
      <c r="H778">
        <v>450</v>
      </c>
      <c r="I778">
        <v>61</v>
      </c>
      <c r="J778" s="6">
        <f t="shared" si="44"/>
        <v>27.45</v>
      </c>
      <c r="K778" t="s">
        <v>389</v>
      </c>
    </row>
    <row r="779" spans="3:11" outlineLevel="2" x14ac:dyDescent="0.3">
      <c r="C779" s="9">
        <v>45004</v>
      </c>
      <c r="D779" t="s">
        <v>17</v>
      </c>
      <c r="E779" t="s">
        <v>15</v>
      </c>
      <c r="F779" t="s">
        <v>13</v>
      </c>
      <c r="G779" t="s">
        <v>43</v>
      </c>
      <c r="H779">
        <v>1420</v>
      </c>
      <c r="I779">
        <v>82</v>
      </c>
      <c r="J779" s="6">
        <f t="shared" si="44"/>
        <v>116.44</v>
      </c>
      <c r="K779" t="s">
        <v>389</v>
      </c>
    </row>
    <row r="780" spans="3:11" outlineLevel="2" x14ac:dyDescent="0.3">
      <c r="C780" s="9">
        <v>45004</v>
      </c>
      <c r="D780" t="s">
        <v>8</v>
      </c>
      <c r="E780" t="s">
        <v>33</v>
      </c>
      <c r="F780" t="s">
        <v>10</v>
      </c>
      <c r="G780" t="s">
        <v>16</v>
      </c>
      <c r="H780">
        <v>1380</v>
      </c>
      <c r="I780">
        <v>43</v>
      </c>
      <c r="J780" s="6">
        <f t="shared" si="44"/>
        <v>59.34</v>
      </c>
      <c r="K780" t="s">
        <v>389</v>
      </c>
    </row>
    <row r="781" spans="3:11" outlineLevel="2" x14ac:dyDescent="0.3">
      <c r="C781" s="9">
        <v>45004</v>
      </c>
      <c r="D781" t="s">
        <v>17</v>
      </c>
      <c r="E781" t="s">
        <v>33</v>
      </c>
      <c r="F781" t="s">
        <v>18</v>
      </c>
      <c r="G781" t="s">
        <v>37</v>
      </c>
      <c r="H781">
        <v>890</v>
      </c>
      <c r="I781">
        <v>33</v>
      </c>
      <c r="J781" s="6">
        <f t="shared" si="44"/>
        <v>29.37</v>
      </c>
      <c r="K781" t="s">
        <v>389</v>
      </c>
    </row>
    <row r="782" spans="3:11" outlineLevel="2" x14ac:dyDescent="0.3">
      <c r="C782" s="9">
        <v>45004</v>
      </c>
      <c r="D782" t="s">
        <v>12</v>
      </c>
      <c r="E782" t="s">
        <v>33</v>
      </c>
      <c r="F782" t="s">
        <v>18</v>
      </c>
      <c r="G782" t="s">
        <v>19</v>
      </c>
      <c r="H782">
        <v>325</v>
      </c>
      <c r="I782">
        <v>48</v>
      </c>
      <c r="J782" s="6">
        <f t="shared" si="44"/>
        <v>15.6</v>
      </c>
      <c r="K782" t="s">
        <v>389</v>
      </c>
    </row>
    <row r="783" spans="3:11" outlineLevel="2" x14ac:dyDescent="0.3">
      <c r="C783" s="9">
        <v>45004</v>
      </c>
      <c r="D783" t="s">
        <v>45</v>
      </c>
      <c r="E783" t="s">
        <v>33</v>
      </c>
      <c r="F783" t="s">
        <v>13</v>
      </c>
      <c r="G783" t="s">
        <v>14</v>
      </c>
      <c r="H783">
        <v>1320</v>
      </c>
      <c r="I783">
        <v>27</v>
      </c>
      <c r="J783" s="6">
        <f t="shared" si="44"/>
        <v>35.64</v>
      </c>
      <c r="K783" t="s">
        <v>389</v>
      </c>
    </row>
    <row r="784" spans="3:11" outlineLevel="2" x14ac:dyDescent="0.3">
      <c r="C784" s="9">
        <v>45004</v>
      </c>
      <c r="D784" t="s">
        <v>12</v>
      </c>
      <c r="E784" t="s">
        <v>33</v>
      </c>
      <c r="F784" t="s">
        <v>13</v>
      </c>
      <c r="G784" t="s">
        <v>29</v>
      </c>
      <c r="H784">
        <v>1230</v>
      </c>
      <c r="I784">
        <v>71</v>
      </c>
      <c r="J784" s="6">
        <f t="shared" si="44"/>
        <v>87.33</v>
      </c>
      <c r="K784" t="s">
        <v>389</v>
      </c>
    </row>
    <row r="785" spans="3:11" outlineLevel="1" x14ac:dyDescent="0.3">
      <c r="C785" s="13" t="s">
        <v>92</v>
      </c>
      <c r="J785" s="6">
        <f>SUBTOTAL(9,J770:J784)</f>
        <v>760.04000000000008</v>
      </c>
      <c r="K785" t="s">
        <v>389</v>
      </c>
    </row>
    <row r="786" spans="3:11" outlineLevel="2" x14ac:dyDescent="0.3">
      <c r="C786" s="10">
        <v>45005</v>
      </c>
      <c r="D786" s="11" t="s">
        <v>8</v>
      </c>
      <c r="E786" s="11" t="s">
        <v>20</v>
      </c>
      <c r="F786" s="11" t="s">
        <v>10</v>
      </c>
      <c r="G786" s="11" t="s">
        <v>40</v>
      </c>
      <c r="H786" s="11">
        <v>540</v>
      </c>
      <c r="I786" s="11">
        <v>86</v>
      </c>
      <c r="J786" s="6">
        <f t="shared" ref="J786:J798" si="45">H786*I786/1000</f>
        <v>46.44</v>
      </c>
      <c r="K786" t="s">
        <v>389</v>
      </c>
    </row>
    <row r="787" spans="3:11" outlineLevel="2" x14ac:dyDescent="0.3">
      <c r="C787" s="9">
        <v>45005</v>
      </c>
      <c r="D787" t="s">
        <v>8</v>
      </c>
      <c r="E787" t="s">
        <v>20</v>
      </c>
      <c r="F787" t="s">
        <v>13</v>
      </c>
      <c r="G787" t="s">
        <v>14</v>
      </c>
      <c r="H787">
        <v>1320</v>
      </c>
      <c r="I787">
        <v>84</v>
      </c>
      <c r="J787" s="6">
        <f t="shared" si="45"/>
        <v>110.88</v>
      </c>
      <c r="K787" t="s">
        <v>389</v>
      </c>
    </row>
    <row r="788" spans="3:11" outlineLevel="2" x14ac:dyDescent="0.3">
      <c r="C788" s="9">
        <v>45005</v>
      </c>
      <c r="D788" t="s">
        <v>8</v>
      </c>
      <c r="E788" t="s">
        <v>26</v>
      </c>
      <c r="F788" t="s">
        <v>10</v>
      </c>
      <c r="G788" t="s">
        <v>39</v>
      </c>
      <c r="H788">
        <v>650</v>
      </c>
      <c r="I788">
        <v>89</v>
      </c>
      <c r="J788" s="6">
        <f t="shared" si="45"/>
        <v>57.85</v>
      </c>
      <c r="K788" t="s">
        <v>389</v>
      </c>
    </row>
    <row r="789" spans="3:11" outlineLevel="2" x14ac:dyDescent="0.3">
      <c r="C789" s="9">
        <v>45005</v>
      </c>
      <c r="D789" t="s">
        <v>12</v>
      </c>
      <c r="E789" t="s">
        <v>15</v>
      </c>
      <c r="F789" t="s">
        <v>18</v>
      </c>
      <c r="G789" t="s">
        <v>31</v>
      </c>
      <c r="H789">
        <v>715</v>
      </c>
      <c r="I789">
        <v>5</v>
      </c>
      <c r="J789" s="6">
        <f t="shared" si="45"/>
        <v>3.5750000000000002</v>
      </c>
      <c r="K789" t="s">
        <v>389</v>
      </c>
    </row>
    <row r="790" spans="3:11" outlineLevel="2" x14ac:dyDescent="0.3">
      <c r="C790" s="9">
        <v>45005</v>
      </c>
      <c r="D790" t="s">
        <v>17</v>
      </c>
      <c r="E790" t="s">
        <v>15</v>
      </c>
      <c r="F790" t="s">
        <v>24</v>
      </c>
      <c r="G790" t="s">
        <v>34</v>
      </c>
      <c r="H790">
        <v>1670</v>
      </c>
      <c r="I790">
        <v>52</v>
      </c>
      <c r="J790" s="6">
        <f t="shared" si="45"/>
        <v>86.84</v>
      </c>
      <c r="K790" t="s">
        <v>389</v>
      </c>
    </row>
    <row r="791" spans="3:11" outlineLevel="2" x14ac:dyDescent="0.3">
      <c r="C791" s="9">
        <v>45005</v>
      </c>
      <c r="D791" t="s">
        <v>45</v>
      </c>
      <c r="E791" t="s">
        <v>33</v>
      </c>
      <c r="F791" t="s">
        <v>18</v>
      </c>
      <c r="G791" t="s">
        <v>27</v>
      </c>
      <c r="H791">
        <v>460</v>
      </c>
      <c r="I791">
        <v>48</v>
      </c>
      <c r="J791" s="6">
        <f t="shared" si="45"/>
        <v>22.08</v>
      </c>
      <c r="K791" t="s">
        <v>389</v>
      </c>
    </row>
    <row r="792" spans="3:11" outlineLevel="2" x14ac:dyDescent="0.3">
      <c r="C792" s="9">
        <v>45005</v>
      </c>
      <c r="D792" t="s">
        <v>12</v>
      </c>
      <c r="E792" t="s">
        <v>33</v>
      </c>
      <c r="F792" t="s">
        <v>18</v>
      </c>
      <c r="G792" t="s">
        <v>37</v>
      </c>
      <c r="H792">
        <v>890</v>
      </c>
      <c r="I792">
        <v>38</v>
      </c>
      <c r="J792" s="6">
        <f t="shared" si="45"/>
        <v>33.82</v>
      </c>
      <c r="K792" t="s">
        <v>389</v>
      </c>
    </row>
    <row r="793" spans="3:11" outlineLevel="2" x14ac:dyDescent="0.3">
      <c r="C793" s="9">
        <v>45005</v>
      </c>
      <c r="D793" t="s">
        <v>8</v>
      </c>
      <c r="E793" t="s">
        <v>33</v>
      </c>
      <c r="F793" t="s">
        <v>18</v>
      </c>
      <c r="G793" t="s">
        <v>21</v>
      </c>
      <c r="H793">
        <v>450</v>
      </c>
      <c r="I793">
        <v>77</v>
      </c>
      <c r="J793" s="6">
        <f t="shared" si="45"/>
        <v>34.65</v>
      </c>
      <c r="K793" t="s">
        <v>389</v>
      </c>
    </row>
    <row r="794" spans="3:11" outlineLevel="2" x14ac:dyDescent="0.3">
      <c r="C794" s="9">
        <v>45005</v>
      </c>
      <c r="D794" t="s">
        <v>12</v>
      </c>
      <c r="E794" t="s">
        <v>33</v>
      </c>
      <c r="F794" t="s">
        <v>13</v>
      </c>
      <c r="G794" t="s">
        <v>22</v>
      </c>
      <c r="H794">
        <v>930</v>
      </c>
      <c r="I794">
        <v>29</v>
      </c>
      <c r="J794" s="6">
        <f t="shared" si="45"/>
        <v>26.97</v>
      </c>
      <c r="K794" t="s">
        <v>389</v>
      </c>
    </row>
    <row r="795" spans="3:11" outlineLevel="2" x14ac:dyDescent="0.3">
      <c r="C795" s="9">
        <v>45005</v>
      </c>
      <c r="D795" t="s">
        <v>17</v>
      </c>
      <c r="E795" t="s">
        <v>33</v>
      </c>
      <c r="F795" t="s">
        <v>13</v>
      </c>
      <c r="G795" t="s">
        <v>43</v>
      </c>
      <c r="H795">
        <v>1420</v>
      </c>
      <c r="I795">
        <v>37</v>
      </c>
      <c r="J795" s="6">
        <f t="shared" si="45"/>
        <v>52.54</v>
      </c>
      <c r="K795" t="s">
        <v>389</v>
      </c>
    </row>
    <row r="796" spans="3:11" outlineLevel="2" x14ac:dyDescent="0.3">
      <c r="C796" s="9">
        <v>45005</v>
      </c>
      <c r="D796" t="s">
        <v>12</v>
      </c>
      <c r="E796" t="s">
        <v>33</v>
      </c>
      <c r="F796" t="s">
        <v>24</v>
      </c>
      <c r="G796" t="s">
        <v>32</v>
      </c>
      <c r="H796">
        <v>1505</v>
      </c>
      <c r="I796">
        <v>6</v>
      </c>
      <c r="J796" s="6">
        <f t="shared" si="45"/>
        <v>9.0299999999999994</v>
      </c>
      <c r="K796" t="s">
        <v>389</v>
      </c>
    </row>
    <row r="797" spans="3:11" outlineLevel="2" x14ac:dyDescent="0.3">
      <c r="C797" s="9">
        <v>45005</v>
      </c>
      <c r="D797" t="s">
        <v>12</v>
      </c>
      <c r="E797" t="s">
        <v>35</v>
      </c>
      <c r="F797" t="s">
        <v>10</v>
      </c>
      <c r="G797" t="s">
        <v>41</v>
      </c>
      <c r="H797">
        <v>650</v>
      </c>
      <c r="I797">
        <v>71</v>
      </c>
      <c r="J797" s="6">
        <f t="shared" si="45"/>
        <v>46.15</v>
      </c>
      <c r="K797" t="s">
        <v>389</v>
      </c>
    </row>
    <row r="798" spans="3:11" outlineLevel="2" x14ac:dyDescent="0.3">
      <c r="C798" s="9">
        <v>45005</v>
      </c>
      <c r="D798" t="s">
        <v>8</v>
      </c>
      <c r="E798" t="s">
        <v>35</v>
      </c>
      <c r="F798" t="s">
        <v>24</v>
      </c>
      <c r="G798" t="s">
        <v>25</v>
      </c>
      <c r="H798">
        <v>1760</v>
      </c>
      <c r="I798">
        <v>27</v>
      </c>
      <c r="J798" s="6">
        <f t="shared" si="45"/>
        <v>47.52</v>
      </c>
      <c r="K798" t="s">
        <v>389</v>
      </c>
    </row>
    <row r="799" spans="3:11" outlineLevel="1" x14ac:dyDescent="0.3">
      <c r="C799" s="13" t="s">
        <v>93</v>
      </c>
      <c r="J799" s="6">
        <f>SUBTOTAL(9,J786:J798)</f>
        <v>578.34499999999991</v>
      </c>
      <c r="K799" t="s">
        <v>389</v>
      </c>
    </row>
    <row r="800" spans="3:11" outlineLevel="2" x14ac:dyDescent="0.3">
      <c r="C800" s="10">
        <v>45006</v>
      </c>
      <c r="D800" s="11" t="s">
        <v>17</v>
      </c>
      <c r="E800" s="11" t="s">
        <v>20</v>
      </c>
      <c r="F800" s="11" t="s">
        <v>10</v>
      </c>
      <c r="G800" s="11" t="s">
        <v>16</v>
      </c>
      <c r="H800" s="11">
        <v>1380</v>
      </c>
      <c r="I800" s="11">
        <v>75</v>
      </c>
      <c r="J800" s="6">
        <f t="shared" ref="J800:J812" si="46">H800*I800/1000</f>
        <v>103.5</v>
      </c>
      <c r="K800" t="s">
        <v>389</v>
      </c>
    </row>
    <row r="801" spans="3:11" outlineLevel="2" x14ac:dyDescent="0.3">
      <c r="C801" s="9">
        <v>45006</v>
      </c>
      <c r="D801" t="s">
        <v>8</v>
      </c>
      <c r="E801" t="s">
        <v>20</v>
      </c>
      <c r="F801" t="s">
        <v>10</v>
      </c>
      <c r="G801" t="s">
        <v>40</v>
      </c>
      <c r="H801">
        <v>540</v>
      </c>
      <c r="I801">
        <v>47</v>
      </c>
      <c r="J801" s="6">
        <f t="shared" si="46"/>
        <v>25.38</v>
      </c>
      <c r="K801" t="s">
        <v>389</v>
      </c>
    </row>
    <row r="802" spans="3:11" outlineLevel="2" x14ac:dyDescent="0.3">
      <c r="C802" s="10">
        <v>45006</v>
      </c>
      <c r="D802" s="11" t="s">
        <v>12</v>
      </c>
      <c r="E802" s="11" t="s">
        <v>20</v>
      </c>
      <c r="F802" s="11" t="s">
        <v>18</v>
      </c>
      <c r="G802" s="11" t="s">
        <v>28</v>
      </c>
      <c r="H802" s="11">
        <v>690</v>
      </c>
      <c r="I802" s="11">
        <v>84</v>
      </c>
      <c r="J802" s="6">
        <f t="shared" si="46"/>
        <v>57.96</v>
      </c>
      <c r="K802" t="s">
        <v>389</v>
      </c>
    </row>
    <row r="803" spans="3:11" outlineLevel="2" x14ac:dyDescent="0.3">
      <c r="C803" s="9">
        <v>45006</v>
      </c>
      <c r="D803" t="s">
        <v>12</v>
      </c>
      <c r="E803" t="s">
        <v>20</v>
      </c>
      <c r="F803" t="s">
        <v>24</v>
      </c>
      <c r="G803" t="s">
        <v>42</v>
      </c>
      <c r="H803">
        <v>3205</v>
      </c>
      <c r="I803">
        <v>42</v>
      </c>
      <c r="J803" s="6">
        <f t="shared" si="46"/>
        <v>134.61000000000001</v>
      </c>
      <c r="K803" t="s">
        <v>389</v>
      </c>
    </row>
    <row r="804" spans="3:11" outlineLevel="2" x14ac:dyDescent="0.3">
      <c r="C804" s="10">
        <v>45006</v>
      </c>
      <c r="D804" s="11" t="s">
        <v>17</v>
      </c>
      <c r="E804" s="11" t="s">
        <v>20</v>
      </c>
      <c r="F804" s="11" t="s">
        <v>24</v>
      </c>
      <c r="G804" s="11" t="s">
        <v>34</v>
      </c>
      <c r="H804" s="11">
        <v>1670</v>
      </c>
      <c r="I804" s="11">
        <v>95</v>
      </c>
      <c r="J804" s="6">
        <f t="shared" si="46"/>
        <v>158.65</v>
      </c>
      <c r="K804" t="s">
        <v>389</v>
      </c>
    </row>
    <row r="805" spans="3:11" outlineLevel="2" x14ac:dyDescent="0.3">
      <c r="C805" s="9">
        <v>45006</v>
      </c>
      <c r="D805" t="s">
        <v>17</v>
      </c>
      <c r="E805" t="s">
        <v>9</v>
      </c>
      <c r="F805" t="s">
        <v>10</v>
      </c>
      <c r="G805" t="s">
        <v>41</v>
      </c>
      <c r="H805">
        <v>650</v>
      </c>
      <c r="I805">
        <v>73</v>
      </c>
      <c r="J805" s="6">
        <f t="shared" si="46"/>
        <v>47.45</v>
      </c>
      <c r="K805" t="s">
        <v>389</v>
      </c>
    </row>
    <row r="806" spans="3:11" outlineLevel="2" x14ac:dyDescent="0.3">
      <c r="C806" s="9">
        <v>45006</v>
      </c>
      <c r="D806" t="s">
        <v>8</v>
      </c>
      <c r="E806" t="s">
        <v>26</v>
      </c>
      <c r="F806" t="s">
        <v>10</v>
      </c>
      <c r="G806" t="s">
        <v>40</v>
      </c>
      <c r="H806">
        <v>540</v>
      </c>
      <c r="I806">
        <v>10</v>
      </c>
      <c r="J806" s="6">
        <f t="shared" si="46"/>
        <v>5.4</v>
      </c>
      <c r="K806" t="s">
        <v>389</v>
      </c>
    </row>
    <row r="807" spans="3:11" outlineLevel="2" x14ac:dyDescent="0.3">
      <c r="C807" s="9">
        <v>45006</v>
      </c>
      <c r="D807" t="s">
        <v>12</v>
      </c>
      <c r="E807" t="s">
        <v>26</v>
      </c>
      <c r="F807" t="s">
        <v>13</v>
      </c>
      <c r="G807" t="s">
        <v>43</v>
      </c>
      <c r="H807">
        <v>1420</v>
      </c>
      <c r="I807">
        <v>97</v>
      </c>
      <c r="J807" s="6">
        <f t="shared" si="46"/>
        <v>137.74</v>
      </c>
      <c r="K807" t="s">
        <v>389</v>
      </c>
    </row>
    <row r="808" spans="3:11" outlineLevel="2" x14ac:dyDescent="0.3">
      <c r="C808" s="9">
        <v>45006</v>
      </c>
      <c r="D808" t="s">
        <v>45</v>
      </c>
      <c r="E808" t="s">
        <v>15</v>
      </c>
      <c r="F808" t="s">
        <v>10</v>
      </c>
      <c r="G808" t="s">
        <v>41</v>
      </c>
      <c r="H808">
        <v>650</v>
      </c>
      <c r="I808">
        <v>41</v>
      </c>
      <c r="J808" s="6">
        <f t="shared" si="46"/>
        <v>26.65</v>
      </c>
      <c r="K808" t="s">
        <v>389</v>
      </c>
    </row>
    <row r="809" spans="3:11" outlineLevel="2" x14ac:dyDescent="0.3">
      <c r="C809" s="9">
        <v>45006</v>
      </c>
      <c r="D809" t="s">
        <v>17</v>
      </c>
      <c r="E809" t="s">
        <v>15</v>
      </c>
      <c r="F809" t="s">
        <v>18</v>
      </c>
      <c r="G809" t="s">
        <v>19</v>
      </c>
      <c r="H809">
        <v>325</v>
      </c>
      <c r="I809">
        <v>80</v>
      </c>
      <c r="J809" s="6">
        <f t="shared" si="46"/>
        <v>26</v>
      </c>
      <c r="K809" t="s">
        <v>389</v>
      </c>
    </row>
    <row r="810" spans="3:11" outlineLevel="2" x14ac:dyDescent="0.3">
      <c r="C810" s="9">
        <v>45006</v>
      </c>
      <c r="D810" t="s">
        <v>45</v>
      </c>
      <c r="E810" t="s">
        <v>15</v>
      </c>
      <c r="F810" t="s">
        <v>24</v>
      </c>
      <c r="G810" t="s">
        <v>30</v>
      </c>
      <c r="H810">
        <v>2970</v>
      </c>
      <c r="I810">
        <v>85</v>
      </c>
      <c r="J810" s="6">
        <f t="shared" si="46"/>
        <v>252.45</v>
      </c>
      <c r="K810" t="s">
        <v>389</v>
      </c>
    </row>
    <row r="811" spans="3:11" outlineLevel="2" x14ac:dyDescent="0.3">
      <c r="C811" s="9">
        <v>45006</v>
      </c>
      <c r="D811" t="s">
        <v>17</v>
      </c>
      <c r="E811" t="s">
        <v>33</v>
      </c>
      <c r="F811" t="s">
        <v>10</v>
      </c>
      <c r="G811" t="s">
        <v>16</v>
      </c>
      <c r="H811">
        <v>1380</v>
      </c>
      <c r="I811">
        <v>73</v>
      </c>
      <c r="J811" s="6">
        <f t="shared" si="46"/>
        <v>100.74</v>
      </c>
      <c r="K811" t="s">
        <v>389</v>
      </c>
    </row>
    <row r="812" spans="3:11" outlineLevel="2" x14ac:dyDescent="0.3">
      <c r="C812" s="9">
        <v>45006</v>
      </c>
      <c r="D812" t="s">
        <v>8</v>
      </c>
      <c r="E812" t="s">
        <v>35</v>
      </c>
      <c r="F812" t="s">
        <v>10</v>
      </c>
      <c r="G812" t="s">
        <v>39</v>
      </c>
      <c r="H812">
        <v>650</v>
      </c>
      <c r="I812">
        <v>63</v>
      </c>
      <c r="J812" s="6">
        <f t="shared" si="46"/>
        <v>40.950000000000003</v>
      </c>
      <c r="K812" t="s">
        <v>389</v>
      </c>
    </row>
    <row r="813" spans="3:11" outlineLevel="1" x14ac:dyDescent="0.3">
      <c r="C813" s="13" t="s">
        <v>94</v>
      </c>
      <c r="J813" s="6">
        <f>SUBTOTAL(9,J800:J812)</f>
        <v>1117.48</v>
      </c>
      <c r="K813" t="s">
        <v>389</v>
      </c>
    </row>
    <row r="814" spans="3:11" outlineLevel="2" x14ac:dyDescent="0.3">
      <c r="C814" s="9">
        <v>45007</v>
      </c>
      <c r="D814" t="s">
        <v>8</v>
      </c>
      <c r="E814" t="s">
        <v>20</v>
      </c>
      <c r="F814" t="s">
        <v>10</v>
      </c>
      <c r="G814" t="s">
        <v>23</v>
      </c>
      <c r="H814">
        <v>640</v>
      </c>
      <c r="I814">
        <v>98</v>
      </c>
      <c r="J814" s="6">
        <f t="shared" ref="J814:J822" si="47">H814*I814/1000</f>
        <v>62.72</v>
      </c>
      <c r="K814" t="s">
        <v>389</v>
      </c>
    </row>
    <row r="815" spans="3:11" outlineLevel="2" x14ac:dyDescent="0.3">
      <c r="C815" s="9">
        <v>45007</v>
      </c>
      <c r="D815" t="s">
        <v>17</v>
      </c>
      <c r="E815" t="s">
        <v>9</v>
      </c>
      <c r="F815" t="s">
        <v>18</v>
      </c>
      <c r="G815" t="s">
        <v>27</v>
      </c>
      <c r="H815">
        <v>460</v>
      </c>
      <c r="I815">
        <v>61</v>
      </c>
      <c r="J815" s="6">
        <f t="shared" si="47"/>
        <v>28.06</v>
      </c>
      <c r="K815" t="s">
        <v>389</v>
      </c>
    </row>
    <row r="816" spans="3:11" outlineLevel="2" x14ac:dyDescent="0.3">
      <c r="C816" s="9">
        <v>45007</v>
      </c>
      <c r="D816" t="s">
        <v>17</v>
      </c>
      <c r="E816" t="s">
        <v>9</v>
      </c>
      <c r="F816" t="s">
        <v>24</v>
      </c>
      <c r="G816" t="s">
        <v>32</v>
      </c>
      <c r="H816">
        <v>1505</v>
      </c>
      <c r="I816">
        <v>51</v>
      </c>
      <c r="J816" s="6">
        <f t="shared" si="47"/>
        <v>76.754999999999995</v>
      </c>
      <c r="K816" t="s">
        <v>389</v>
      </c>
    </row>
    <row r="817" spans="3:11" outlineLevel="2" x14ac:dyDescent="0.3">
      <c r="C817" s="9">
        <v>45007</v>
      </c>
      <c r="D817" t="s">
        <v>45</v>
      </c>
      <c r="E817" t="s">
        <v>26</v>
      </c>
      <c r="F817" t="s">
        <v>10</v>
      </c>
      <c r="G817" t="s">
        <v>23</v>
      </c>
      <c r="H817">
        <v>640</v>
      </c>
      <c r="I817">
        <v>78</v>
      </c>
      <c r="J817" s="6">
        <f t="shared" si="47"/>
        <v>49.92</v>
      </c>
      <c r="K817" t="s">
        <v>389</v>
      </c>
    </row>
    <row r="818" spans="3:11" outlineLevel="2" x14ac:dyDescent="0.3">
      <c r="C818" s="9">
        <v>45007</v>
      </c>
      <c r="D818" t="s">
        <v>45</v>
      </c>
      <c r="E818" t="s">
        <v>26</v>
      </c>
      <c r="F818" t="s">
        <v>13</v>
      </c>
      <c r="G818" t="s">
        <v>22</v>
      </c>
      <c r="H818">
        <v>930</v>
      </c>
      <c r="I818">
        <v>34</v>
      </c>
      <c r="J818" s="6">
        <f t="shared" si="47"/>
        <v>31.62</v>
      </c>
      <c r="K818" t="s">
        <v>389</v>
      </c>
    </row>
    <row r="819" spans="3:11" outlineLevel="2" x14ac:dyDescent="0.3">
      <c r="C819" s="9">
        <v>45007</v>
      </c>
      <c r="D819" t="s">
        <v>45</v>
      </c>
      <c r="E819" t="s">
        <v>15</v>
      </c>
      <c r="F819" t="s">
        <v>13</v>
      </c>
      <c r="G819" t="s">
        <v>44</v>
      </c>
      <c r="H819">
        <v>2540</v>
      </c>
      <c r="I819">
        <v>91</v>
      </c>
      <c r="J819" s="6">
        <f t="shared" si="47"/>
        <v>231.14</v>
      </c>
      <c r="K819" t="s">
        <v>389</v>
      </c>
    </row>
    <row r="820" spans="3:11" outlineLevel="2" x14ac:dyDescent="0.3">
      <c r="C820" s="9">
        <v>45007</v>
      </c>
      <c r="D820" t="s">
        <v>45</v>
      </c>
      <c r="E820" t="s">
        <v>15</v>
      </c>
      <c r="F820" t="s">
        <v>13</v>
      </c>
      <c r="G820" t="s">
        <v>29</v>
      </c>
      <c r="H820">
        <v>1230</v>
      </c>
      <c r="I820">
        <v>40</v>
      </c>
      <c r="J820" s="6">
        <f t="shared" si="47"/>
        <v>49.2</v>
      </c>
      <c r="K820" t="s">
        <v>389</v>
      </c>
    </row>
    <row r="821" spans="3:11" outlineLevel="2" x14ac:dyDescent="0.3">
      <c r="C821" s="9">
        <v>45007</v>
      </c>
      <c r="D821" t="s">
        <v>8</v>
      </c>
      <c r="E821" t="s">
        <v>33</v>
      </c>
      <c r="F821" t="s">
        <v>10</v>
      </c>
      <c r="G821" t="s">
        <v>40</v>
      </c>
      <c r="H821">
        <v>540</v>
      </c>
      <c r="I821">
        <v>52</v>
      </c>
      <c r="J821" s="6">
        <f t="shared" si="47"/>
        <v>28.08</v>
      </c>
      <c r="K821" t="s">
        <v>389</v>
      </c>
    </row>
    <row r="822" spans="3:11" outlineLevel="2" x14ac:dyDescent="0.3">
      <c r="C822" s="9">
        <v>45007</v>
      </c>
      <c r="D822" t="s">
        <v>12</v>
      </c>
      <c r="E822" t="s">
        <v>33</v>
      </c>
      <c r="F822" t="s">
        <v>13</v>
      </c>
      <c r="G822" t="s">
        <v>43</v>
      </c>
      <c r="H822">
        <v>1420</v>
      </c>
      <c r="I822">
        <v>89</v>
      </c>
      <c r="J822" s="6">
        <f t="shared" si="47"/>
        <v>126.38</v>
      </c>
      <c r="K822" t="s">
        <v>389</v>
      </c>
    </row>
    <row r="823" spans="3:11" outlineLevel="1" x14ac:dyDescent="0.3">
      <c r="C823" s="13" t="s">
        <v>95</v>
      </c>
      <c r="J823" s="6">
        <f>SUBTOTAL(9,J814:J822)</f>
        <v>683.875</v>
      </c>
      <c r="K823" t="s">
        <v>389</v>
      </c>
    </row>
    <row r="824" spans="3:11" outlineLevel="2" x14ac:dyDescent="0.3">
      <c r="C824" s="10">
        <v>45008</v>
      </c>
      <c r="D824" s="11" t="s">
        <v>8</v>
      </c>
      <c r="E824" s="11" t="s">
        <v>20</v>
      </c>
      <c r="F824" s="11" t="s">
        <v>13</v>
      </c>
      <c r="G824" s="11" t="s">
        <v>43</v>
      </c>
      <c r="H824" s="11">
        <v>1420</v>
      </c>
      <c r="I824" s="11">
        <v>20</v>
      </c>
      <c r="J824" s="6">
        <f t="shared" ref="J824:J832" si="48">H824*I824/1000</f>
        <v>28.4</v>
      </c>
      <c r="K824" t="s">
        <v>389</v>
      </c>
    </row>
    <row r="825" spans="3:11" outlineLevel="2" x14ac:dyDescent="0.3">
      <c r="C825" s="9">
        <v>45008</v>
      </c>
      <c r="D825" t="s">
        <v>8</v>
      </c>
      <c r="E825" t="s">
        <v>20</v>
      </c>
      <c r="F825" t="s">
        <v>13</v>
      </c>
      <c r="G825" t="s">
        <v>44</v>
      </c>
      <c r="H825">
        <v>2540</v>
      </c>
      <c r="I825">
        <v>21</v>
      </c>
      <c r="J825" s="6">
        <f t="shared" si="48"/>
        <v>53.34</v>
      </c>
      <c r="K825" t="s">
        <v>389</v>
      </c>
    </row>
    <row r="826" spans="3:11" outlineLevel="2" x14ac:dyDescent="0.3">
      <c r="C826" s="9">
        <v>45008</v>
      </c>
      <c r="D826" t="s">
        <v>17</v>
      </c>
      <c r="E826" t="s">
        <v>9</v>
      </c>
      <c r="F826" t="s">
        <v>10</v>
      </c>
      <c r="G826" t="s">
        <v>40</v>
      </c>
      <c r="H826">
        <v>540</v>
      </c>
      <c r="I826">
        <v>6</v>
      </c>
      <c r="J826" s="6">
        <f t="shared" si="48"/>
        <v>3.24</v>
      </c>
      <c r="K826" t="s">
        <v>389</v>
      </c>
    </row>
    <row r="827" spans="3:11" outlineLevel="2" x14ac:dyDescent="0.3">
      <c r="C827" s="9">
        <v>45008</v>
      </c>
      <c r="D827" t="s">
        <v>17</v>
      </c>
      <c r="E827" t="s">
        <v>9</v>
      </c>
      <c r="F827" t="s">
        <v>18</v>
      </c>
      <c r="G827" t="s">
        <v>21</v>
      </c>
      <c r="H827">
        <v>450</v>
      </c>
      <c r="I827">
        <v>33</v>
      </c>
      <c r="J827" s="6">
        <f t="shared" si="48"/>
        <v>14.85</v>
      </c>
      <c r="K827" t="s">
        <v>389</v>
      </c>
    </row>
    <row r="828" spans="3:11" outlineLevel="2" x14ac:dyDescent="0.3">
      <c r="C828" s="9">
        <v>45008</v>
      </c>
      <c r="D828" t="s">
        <v>45</v>
      </c>
      <c r="E828" t="s">
        <v>26</v>
      </c>
      <c r="F828" t="s">
        <v>18</v>
      </c>
      <c r="G828" t="s">
        <v>27</v>
      </c>
      <c r="H828">
        <v>460</v>
      </c>
      <c r="I828">
        <v>83</v>
      </c>
      <c r="J828" s="6">
        <f t="shared" si="48"/>
        <v>38.18</v>
      </c>
      <c r="K828" t="s">
        <v>389</v>
      </c>
    </row>
    <row r="829" spans="3:11" outlineLevel="2" x14ac:dyDescent="0.3">
      <c r="C829" s="9">
        <v>45008</v>
      </c>
      <c r="D829" t="s">
        <v>12</v>
      </c>
      <c r="E829" t="s">
        <v>15</v>
      </c>
      <c r="F829" t="s">
        <v>13</v>
      </c>
      <c r="G829" t="s">
        <v>14</v>
      </c>
      <c r="H829">
        <v>1320</v>
      </c>
      <c r="I829">
        <v>17</v>
      </c>
      <c r="J829" s="6">
        <f t="shared" si="48"/>
        <v>22.44</v>
      </c>
      <c r="K829" t="s">
        <v>389</v>
      </c>
    </row>
    <row r="830" spans="3:11" outlineLevel="2" x14ac:dyDescent="0.3">
      <c r="C830" s="9">
        <v>45008</v>
      </c>
      <c r="D830" t="s">
        <v>17</v>
      </c>
      <c r="E830" t="s">
        <v>33</v>
      </c>
      <c r="F830" t="s">
        <v>24</v>
      </c>
      <c r="G830" t="s">
        <v>25</v>
      </c>
      <c r="H830">
        <v>1760</v>
      </c>
      <c r="I830">
        <v>33</v>
      </c>
      <c r="J830" s="6">
        <f t="shared" si="48"/>
        <v>58.08</v>
      </c>
      <c r="K830" t="s">
        <v>389</v>
      </c>
    </row>
    <row r="831" spans="3:11" outlineLevel="2" x14ac:dyDescent="0.3">
      <c r="C831" s="9">
        <v>45008</v>
      </c>
      <c r="D831" t="s">
        <v>12</v>
      </c>
      <c r="E831" t="s">
        <v>33</v>
      </c>
      <c r="F831" t="s">
        <v>24</v>
      </c>
      <c r="G831" t="s">
        <v>42</v>
      </c>
      <c r="H831">
        <v>3205</v>
      </c>
      <c r="I831">
        <v>11</v>
      </c>
      <c r="J831" s="6">
        <f t="shared" si="48"/>
        <v>35.255000000000003</v>
      </c>
      <c r="K831" t="s">
        <v>389</v>
      </c>
    </row>
    <row r="832" spans="3:11" outlineLevel="2" x14ac:dyDescent="0.3">
      <c r="C832" s="9">
        <v>45008</v>
      </c>
      <c r="D832" t="s">
        <v>8</v>
      </c>
      <c r="E832" t="s">
        <v>35</v>
      </c>
      <c r="F832" t="s">
        <v>24</v>
      </c>
      <c r="G832" t="s">
        <v>42</v>
      </c>
      <c r="H832">
        <v>3205</v>
      </c>
      <c r="I832">
        <v>41</v>
      </c>
      <c r="J832" s="6">
        <f t="shared" si="48"/>
        <v>131.405</v>
      </c>
      <c r="K832" t="s">
        <v>389</v>
      </c>
    </row>
    <row r="833" spans="3:11" outlineLevel="1" x14ac:dyDescent="0.3">
      <c r="C833" s="13" t="s">
        <v>96</v>
      </c>
      <c r="J833" s="6">
        <f>SUBTOTAL(9,J824:J832)</f>
        <v>385.18999999999994</v>
      </c>
      <c r="K833" t="s">
        <v>389</v>
      </c>
    </row>
    <row r="834" spans="3:11" outlineLevel="2" x14ac:dyDescent="0.3">
      <c r="C834" s="9">
        <v>45009</v>
      </c>
      <c r="D834" t="s">
        <v>12</v>
      </c>
      <c r="E834" t="s">
        <v>26</v>
      </c>
      <c r="F834" t="s">
        <v>10</v>
      </c>
      <c r="G834" t="s">
        <v>39</v>
      </c>
      <c r="H834">
        <v>650</v>
      </c>
      <c r="I834">
        <v>71</v>
      </c>
      <c r="J834" s="6">
        <f>H834*I834/1000</f>
        <v>46.15</v>
      </c>
      <c r="K834" t="s">
        <v>389</v>
      </c>
    </row>
    <row r="835" spans="3:11" outlineLevel="2" x14ac:dyDescent="0.3">
      <c r="C835" s="9">
        <v>45009</v>
      </c>
      <c r="D835" t="s">
        <v>8</v>
      </c>
      <c r="E835" t="s">
        <v>26</v>
      </c>
      <c r="F835" t="s">
        <v>18</v>
      </c>
      <c r="G835" t="s">
        <v>21</v>
      </c>
      <c r="H835">
        <v>450</v>
      </c>
      <c r="I835">
        <v>27</v>
      </c>
      <c r="J835" s="6">
        <f>H835*I835/1000</f>
        <v>12.15</v>
      </c>
      <c r="K835" t="s">
        <v>389</v>
      </c>
    </row>
    <row r="836" spans="3:11" outlineLevel="2" x14ac:dyDescent="0.3">
      <c r="C836" s="9">
        <v>45009</v>
      </c>
      <c r="D836" t="s">
        <v>17</v>
      </c>
      <c r="E836" t="s">
        <v>26</v>
      </c>
      <c r="F836" t="s">
        <v>18</v>
      </c>
      <c r="G836" t="s">
        <v>28</v>
      </c>
      <c r="H836">
        <v>690</v>
      </c>
      <c r="I836">
        <v>27</v>
      </c>
      <c r="J836" s="6">
        <f>H836*I836/1000</f>
        <v>18.63</v>
      </c>
      <c r="K836" t="s">
        <v>389</v>
      </c>
    </row>
    <row r="837" spans="3:11" outlineLevel="2" x14ac:dyDescent="0.3">
      <c r="C837" s="9">
        <v>45009</v>
      </c>
      <c r="D837" t="s">
        <v>17</v>
      </c>
      <c r="E837" t="s">
        <v>33</v>
      </c>
      <c r="F837" t="s">
        <v>10</v>
      </c>
      <c r="G837" t="s">
        <v>41</v>
      </c>
      <c r="H837">
        <v>650</v>
      </c>
      <c r="I837">
        <v>14</v>
      </c>
      <c r="J837" s="6">
        <f>H837*I837/1000</f>
        <v>9.1</v>
      </c>
      <c r="K837" t="s">
        <v>389</v>
      </c>
    </row>
    <row r="838" spans="3:11" outlineLevel="2" x14ac:dyDescent="0.3">
      <c r="C838" s="9">
        <v>45009</v>
      </c>
      <c r="D838" t="s">
        <v>12</v>
      </c>
      <c r="E838" t="s">
        <v>35</v>
      </c>
      <c r="F838" t="s">
        <v>18</v>
      </c>
      <c r="G838" t="s">
        <v>21</v>
      </c>
      <c r="H838">
        <v>450</v>
      </c>
      <c r="I838">
        <v>78</v>
      </c>
      <c r="J838" s="6">
        <f>H838*I838/1000</f>
        <v>35.1</v>
      </c>
      <c r="K838" t="s">
        <v>389</v>
      </c>
    </row>
    <row r="839" spans="3:11" outlineLevel="1" x14ac:dyDescent="0.3">
      <c r="C839" s="13" t="s">
        <v>97</v>
      </c>
      <c r="J839" s="6">
        <f>SUBTOTAL(9,J834:J838)</f>
        <v>121.13</v>
      </c>
      <c r="K839" t="s">
        <v>389</v>
      </c>
    </row>
    <row r="840" spans="3:11" outlineLevel="2" x14ac:dyDescent="0.3">
      <c r="C840" s="9">
        <v>45010</v>
      </c>
      <c r="D840" t="s">
        <v>45</v>
      </c>
      <c r="E840" t="s">
        <v>9</v>
      </c>
      <c r="F840" t="s">
        <v>18</v>
      </c>
      <c r="G840" t="s">
        <v>28</v>
      </c>
      <c r="H840">
        <v>690</v>
      </c>
      <c r="I840">
        <v>32</v>
      </c>
      <c r="J840" s="6">
        <f>H840*I840/1000</f>
        <v>22.08</v>
      </c>
      <c r="K840" t="s">
        <v>389</v>
      </c>
    </row>
    <row r="841" spans="3:11" outlineLevel="2" x14ac:dyDescent="0.3">
      <c r="C841" s="9">
        <v>45010</v>
      </c>
      <c r="D841" t="s">
        <v>8</v>
      </c>
      <c r="E841" t="s">
        <v>15</v>
      </c>
      <c r="F841" t="s">
        <v>10</v>
      </c>
      <c r="G841" t="s">
        <v>39</v>
      </c>
      <c r="H841">
        <v>650</v>
      </c>
      <c r="I841">
        <v>46</v>
      </c>
      <c r="J841" s="6">
        <f>H841*I841/1000</f>
        <v>29.9</v>
      </c>
      <c r="K841" t="s">
        <v>389</v>
      </c>
    </row>
    <row r="842" spans="3:11" outlineLevel="2" x14ac:dyDescent="0.3">
      <c r="C842" s="9">
        <v>45010</v>
      </c>
      <c r="D842" t="s">
        <v>8</v>
      </c>
      <c r="E842" t="s">
        <v>15</v>
      </c>
      <c r="F842" t="s">
        <v>24</v>
      </c>
      <c r="G842" t="s">
        <v>25</v>
      </c>
      <c r="H842">
        <v>1760</v>
      </c>
      <c r="I842">
        <v>75</v>
      </c>
      <c r="J842" s="6">
        <f>H842*I842/1000</f>
        <v>132</v>
      </c>
      <c r="K842" t="s">
        <v>389</v>
      </c>
    </row>
    <row r="843" spans="3:11" outlineLevel="2" x14ac:dyDescent="0.3">
      <c r="C843" s="9">
        <v>45010</v>
      </c>
      <c r="D843" t="s">
        <v>45</v>
      </c>
      <c r="E843" t="s">
        <v>33</v>
      </c>
      <c r="F843" t="s">
        <v>13</v>
      </c>
      <c r="G843" t="s">
        <v>22</v>
      </c>
      <c r="H843">
        <v>930</v>
      </c>
      <c r="I843">
        <v>67</v>
      </c>
      <c r="J843" s="6">
        <f>H843*I843/1000</f>
        <v>62.31</v>
      </c>
      <c r="K843" t="s">
        <v>389</v>
      </c>
    </row>
    <row r="844" spans="3:11" outlineLevel="2" x14ac:dyDescent="0.3">
      <c r="C844" s="9">
        <v>45010</v>
      </c>
      <c r="D844" t="s">
        <v>12</v>
      </c>
      <c r="E844" t="s">
        <v>33</v>
      </c>
      <c r="F844" t="s">
        <v>13</v>
      </c>
      <c r="G844" t="s">
        <v>29</v>
      </c>
      <c r="H844">
        <v>1230</v>
      </c>
      <c r="I844">
        <v>95</v>
      </c>
      <c r="J844" s="6">
        <f>H844*I844/1000</f>
        <v>116.85</v>
      </c>
      <c r="K844" t="s">
        <v>389</v>
      </c>
    </row>
    <row r="845" spans="3:11" outlineLevel="1" x14ac:dyDescent="0.3">
      <c r="C845" s="13" t="s">
        <v>98</v>
      </c>
      <c r="J845" s="6">
        <f>SUBTOTAL(9,J840:J844)</f>
        <v>363.14</v>
      </c>
      <c r="K845" t="s">
        <v>389</v>
      </c>
    </row>
    <row r="846" spans="3:11" outlineLevel="2" x14ac:dyDescent="0.3">
      <c r="C846" s="10">
        <v>45011</v>
      </c>
      <c r="D846" s="11" t="s">
        <v>8</v>
      </c>
      <c r="E846" s="11" t="s">
        <v>20</v>
      </c>
      <c r="F846" s="11" t="s">
        <v>10</v>
      </c>
      <c r="G846" s="11" t="s">
        <v>11</v>
      </c>
      <c r="H846" s="11">
        <v>705</v>
      </c>
      <c r="I846" s="11">
        <v>22</v>
      </c>
      <c r="J846" s="6">
        <f t="shared" ref="J846:J856" si="49">H846*I846/1000</f>
        <v>15.51</v>
      </c>
      <c r="K846" t="s">
        <v>389</v>
      </c>
    </row>
    <row r="847" spans="3:11" outlineLevel="2" x14ac:dyDescent="0.3">
      <c r="C847" s="9">
        <v>45011</v>
      </c>
      <c r="D847" t="s">
        <v>12</v>
      </c>
      <c r="E847" t="s">
        <v>20</v>
      </c>
      <c r="F847" t="s">
        <v>10</v>
      </c>
      <c r="G847" t="s">
        <v>41</v>
      </c>
      <c r="H847">
        <v>650</v>
      </c>
      <c r="I847">
        <v>8</v>
      </c>
      <c r="J847" s="6">
        <f t="shared" si="49"/>
        <v>5.2</v>
      </c>
      <c r="K847" t="s">
        <v>389</v>
      </c>
    </row>
    <row r="848" spans="3:11" outlineLevel="2" x14ac:dyDescent="0.3">
      <c r="C848" s="9">
        <v>45011</v>
      </c>
      <c r="D848" t="s">
        <v>45</v>
      </c>
      <c r="E848" t="s">
        <v>9</v>
      </c>
      <c r="F848" t="s">
        <v>18</v>
      </c>
      <c r="G848" t="s">
        <v>28</v>
      </c>
      <c r="H848">
        <v>690</v>
      </c>
      <c r="I848">
        <v>97</v>
      </c>
      <c r="J848" s="6">
        <f t="shared" si="49"/>
        <v>66.930000000000007</v>
      </c>
      <c r="K848" t="s">
        <v>389</v>
      </c>
    </row>
    <row r="849" spans="3:11" outlineLevel="2" x14ac:dyDescent="0.3">
      <c r="C849" s="9">
        <v>45011</v>
      </c>
      <c r="D849" t="s">
        <v>8</v>
      </c>
      <c r="E849" t="s">
        <v>9</v>
      </c>
      <c r="F849" t="s">
        <v>18</v>
      </c>
      <c r="G849" t="s">
        <v>19</v>
      </c>
      <c r="H849">
        <v>325</v>
      </c>
      <c r="I849">
        <v>32</v>
      </c>
      <c r="J849" s="6">
        <f t="shared" si="49"/>
        <v>10.4</v>
      </c>
      <c r="K849" t="s">
        <v>389</v>
      </c>
    </row>
    <row r="850" spans="3:11" outlineLevel="2" x14ac:dyDescent="0.3">
      <c r="C850" s="9">
        <v>45011</v>
      </c>
      <c r="D850" t="s">
        <v>45</v>
      </c>
      <c r="E850" t="s">
        <v>9</v>
      </c>
      <c r="F850" t="s">
        <v>24</v>
      </c>
      <c r="G850" t="s">
        <v>32</v>
      </c>
      <c r="H850">
        <v>1505</v>
      </c>
      <c r="I850">
        <v>34</v>
      </c>
      <c r="J850" s="6">
        <f t="shared" si="49"/>
        <v>51.17</v>
      </c>
      <c r="K850" t="s">
        <v>389</v>
      </c>
    </row>
    <row r="851" spans="3:11" outlineLevel="2" x14ac:dyDescent="0.3">
      <c r="C851" s="9">
        <v>45011</v>
      </c>
      <c r="D851" t="s">
        <v>8</v>
      </c>
      <c r="E851" t="s">
        <v>9</v>
      </c>
      <c r="F851" t="s">
        <v>24</v>
      </c>
      <c r="G851" t="s">
        <v>30</v>
      </c>
      <c r="H851">
        <v>2970</v>
      </c>
      <c r="I851">
        <v>92</v>
      </c>
      <c r="J851" s="6">
        <f t="shared" si="49"/>
        <v>273.24</v>
      </c>
      <c r="K851" t="s">
        <v>389</v>
      </c>
    </row>
    <row r="852" spans="3:11" outlineLevel="2" x14ac:dyDescent="0.3">
      <c r="C852" s="9">
        <v>45011</v>
      </c>
      <c r="D852" t="s">
        <v>12</v>
      </c>
      <c r="E852" t="s">
        <v>26</v>
      </c>
      <c r="F852" t="s">
        <v>13</v>
      </c>
      <c r="G852" t="s">
        <v>44</v>
      </c>
      <c r="H852">
        <v>2540</v>
      </c>
      <c r="I852">
        <v>65</v>
      </c>
      <c r="J852" s="6">
        <f t="shared" si="49"/>
        <v>165.1</v>
      </c>
      <c r="K852" t="s">
        <v>389</v>
      </c>
    </row>
    <row r="853" spans="3:11" outlineLevel="2" x14ac:dyDescent="0.3">
      <c r="C853" s="9">
        <v>45011</v>
      </c>
      <c r="D853" t="s">
        <v>8</v>
      </c>
      <c r="E853" t="s">
        <v>15</v>
      </c>
      <c r="F853" t="s">
        <v>10</v>
      </c>
      <c r="G853" t="s">
        <v>23</v>
      </c>
      <c r="H853">
        <v>640</v>
      </c>
      <c r="I853">
        <v>40</v>
      </c>
      <c r="J853" s="6">
        <f t="shared" si="49"/>
        <v>25.6</v>
      </c>
      <c r="K853" t="s">
        <v>389</v>
      </c>
    </row>
    <row r="854" spans="3:11" outlineLevel="2" x14ac:dyDescent="0.3">
      <c r="C854" s="9">
        <v>45011</v>
      </c>
      <c r="D854" t="s">
        <v>12</v>
      </c>
      <c r="E854" t="s">
        <v>15</v>
      </c>
      <c r="F854" t="s">
        <v>18</v>
      </c>
      <c r="G854" t="s">
        <v>31</v>
      </c>
      <c r="H854">
        <v>715</v>
      </c>
      <c r="I854">
        <v>50</v>
      </c>
      <c r="J854" s="6">
        <f t="shared" si="49"/>
        <v>35.75</v>
      </c>
      <c r="K854" t="s">
        <v>389</v>
      </c>
    </row>
    <row r="855" spans="3:11" outlineLevel="2" x14ac:dyDescent="0.3">
      <c r="C855" s="9">
        <v>45011</v>
      </c>
      <c r="D855" t="s">
        <v>12</v>
      </c>
      <c r="E855" t="s">
        <v>15</v>
      </c>
      <c r="F855" t="s">
        <v>18</v>
      </c>
      <c r="G855" t="s">
        <v>37</v>
      </c>
      <c r="H855">
        <v>890</v>
      </c>
      <c r="I855">
        <v>89</v>
      </c>
      <c r="J855" s="6">
        <f t="shared" si="49"/>
        <v>79.209999999999994</v>
      </c>
      <c r="K855" t="s">
        <v>389</v>
      </c>
    </row>
    <row r="856" spans="3:11" outlineLevel="2" x14ac:dyDescent="0.3">
      <c r="C856" s="9">
        <v>45011</v>
      </c>
      <c r="D856" t="s">
        <v>17</v>
      </c>
      <c r="E856" t="s">
        <v>35</v>
      </c>
      <c r="F856" t="s">
        <v>18</v>
      </c>
      <c r="G856" t="s">
        <v>37</v>
      </c>
      <c r="H856">
        <v>890</v>
      </c>
      <c r="I856">
        <v>99</v>
      </c>
      <c r="J856" s="6">
        <f t="shared" si="49"/>
        <v>88.11</v>
      </c>
      <c r="K856" t="s">
        <v>389</v>
      </c>
    </row>
    <row r="857" spans="3:11" outlineLevel="1" x14ac:dyDescent="0.3">
      <c r="C857" s="13" t="s">
        <v>99</v>
      </c>
      <c r="J857" s="6">
        <f>SUBTOTAL(9,J846:J856)</f>
        <v>816.22000000000014</v>
      </c>
      <c r="K857" t="s">
        <v>389</v>
      </c>
    </row>
    <row r="858" spans="3:11" outlineLevel="2" x14ac:dyDescent="0.3">
      <c r="C858" s="10">
        <v>45012</v>
      </c>
      <c r="D858" s="11" t="s">
        <v>8</v>
      </c>
      <c r="E858" s="11" t="s">
        <v>20</v>
      </c>
      <c r="F858" s="11" t="s">
        <v>18</v>
      </c>
      <c r="G858" s="11" t="s">
        <v>27</v>
      </c>
      <c r="H858" s="11">
        <v>460</v>
      </c>
      <c r="I858" s="11">
        <v>34</v>
      </c>
      <c r="J858" s="6">
        <f t="shared" ref="J858:J871" si="50">H858*I858/1000</f>
        <v>15.64</v>
      </c>
      <c r="K858" t="s">
        <v>389</v>
      </c>
    </row>
    <row r="859" spans="3:11" outlineLevel="2" x14ac:dyDescent="0.3">
      <c r="C859" s="9">
        <v>45012</v>
      </c>
      <c r="D859" t="s">
        <v>17</v>
      </c>
      <c r="E859" t="s">
        <v>9</v>
      </c>
      <c r="F859" t="s">
        <v>10</v>
      </c>
      <c r="G859" t="s">
        <v>40</v>
      </c>
      <c r="H859">
        <v>540</v>
      </c>
      <c r="I859">
        <v>55</v>
      </c>
      <c r="J859" s="6">
        <f t="shared" si="50"/>
        <v>29.7</v>
      </c>
      <c r="K859" t="s">
        <v>389</v>
      </c>
    </row>
    <row r="860" spans="3:11" outlineLevel="2" x14ac:dyDescent="0.3">
      <c r="C860" s="9">
        <v>45012</v>
      </c>
      <c r="D860" t="s">
        <v>17</v>
      </c>
      <c r="E860" t="s">
        <v>26</v>
      </c>
      <c r="F860" t="s">
        <v>10</v>
      </c>
      <c r="G860" t="s">
        <v>39</v>
      </c>
      <c r="H860">
        <v>650</v>
      </c>
      <c r="I860">
        <v>67</v>
      </c>
      <c r="J860" s="6">
        <f t="shared" si="50"/>
        <v>43.55</v>
      </c>
      <c r="K860" t="s">
        <v>389</v>
      </c>
    </row>
    <row r="861" spans="3:11" outlineLevel="2" x14ac:dyDescent="0.3">
      <c r="C861" s="9">
        <v>45012</v>
      </c>
      <c r="D861" t="s">
        <v>8</v>
      </c>
      <c r="E861" t="s">
        <v>26</v>
      </c>
      <c r="F861" t="s">
        <v>18</v>
      </c>
      <c r="G861" t="s">
        <v>19</v>
      </c>
      <c r="H861">
        <v>325</v>
      </c>
      <c r="I861">
        <v>37</v>
      </c>
      <c r="J861" s="6">
        <f t="shared" si="50"/>
        <v>12.025</v>
      </c>
      <c r="K861" t="s">
        <v>389</v>
      </c>
    </row>
    <row r="862" spans="3:11" outlineLevel="2" x14ac:dyDescent="0.3">
      <c r="C862" s="9">
        <v>45012</v>
      </c>
      <c r="D862" t="s">
        <v>45</v>
      </c>
      <c r="E862" t="s">
        <v>26</v>
      </c>
      <c r="F862" t="s">
        <v>24</v>
      </c>
      <c r="G862" t="s">
        <v>42</v>
      </c>
      <c r="H862">
        <v>3205</v>
      </c>
      <c r="I862">
        <v>90</v>
      </c>
      <c r="J862" s="6">
        <f t="shared" si="50"/>
        <v>288.45</v>
      </c>
      <c r="K862" t="s">
        <v>389</v>
      </c>
    </row>
    <row r="863" spans="3:11" outlineLevel="2" x14ac:dyDescent="0.3">
      <c r="C863" s="9">
        <v>45012</v>
      </c>
      <c r="D863" t="s">
        <v>8</v>
      </c>
      <c r="E863" t="s">
        <v>15</v>
      </c>
      <c r="F863" t="s">
        <v>13</v>
      </c>
      <c r="G863" t="s">
        <v>38</v>
      </c>
      <c r="H863">
        <v>2400</v>
      </c>
      <c r="I863">
        <v>8</v>
      </c>
      <c r="J863" s="6">
        <f t="shared" si="50"/>
        <v>19.2</v>
      </c>
      <c r="K863" t="s">
        <v>389</v>
      </c>
    </row>
    <row r="864" spans="3:11" outlineLevel="2" x14ac:dyDescent="0.3">
      <c r="C864" s="9">
        <v>45012</v>
      </c>
      <c r="D864" t="s">
        <v>12</v>
      </c>
      <c r="E864" t="s">
        <v>15</v>
      </c>
      <c r="F864" t="s">
        <v>13</v>
      </c>
      <c r="G864" t="s">
        <v>22</v>
      </c>
      <c r="H864">
        <v>930</v>
      </c>
      <c r="I864">
        <v>38</v>
      </c>
      <c r="J864" s="6">
        <f t="shared" si="50"/>
        <v>35.340000000000003</v>
      </c>
      <c r="K864" t="s">
        <v>389</v>
      </c>
    </row>
    <row r="865" spans="3:11" outlineLevel="2" x14ac:dyDescent="0.3">
      <c r="C865" s="9">
        <v>45012</v>
      </c>
      <c r="D865" t="s">
        <v>8</v>
      </c>
      <c r="E865" t="s">
        <v>15</v>
      </c>
      <c r="F865" t="s">
        <v>13</v>
      </c>
      <c r="G865" t="s">
        <v>44</v>
      </c>
      <c r="H865">
        <v>2540</v>
      </c>
      <c r="I865">
        <v>51</v>
      </c>
      <c r="J865" s="6">
        <f t="shared" si="50"/>
        <v>129.54</v>
      </c>
      <c r="K865" t="s">
        <v>389</v>
      </c>
    </row>
    <row r="866" spans="3:11" outlineLevel="2" x14ac:dyDescent="0.3">
      <c r="C866" s="9">
        <v>45012</v>
      </c>
      <c r="D866" t="s">
        <v>12</v>
      </c>
      <c r="E866" t="s">
        <v>33</v>
      </c>
      <c r="F866" t="s">
        <v>10</v>
      </c>
      <c r="G866" t="s">
        <v>41</v>
      </c>
      <c r="H866">
        <v>650</v>
      </c>
      <c r="I866">
        <v>9</v>
      </c>
      <c r="J866" s="6">
        <f t="shared" si="50"/>
        <v>5.85</v>
      </c>
      <c r="K866" t="s">
        <v>389</v>
      </c>
    </row>
    <row r="867" spans="3:11" outlineLevel="2" x14ac:dyDescent="0.3">
      <c r="C867" s="9">
        <v>45012</v>
      </c>
      <c r="D867" t="s">
        <v>17</v>
      </c>
      <c r="E867" t="s">
        <v>33</v>
      </c>
      <c r="F867" t="s">
        <v>10</v>
      </c>
      <c r="G867" t="s">
        <v>11</v>
      </c>
      <c r="H867">
        <v>705</v>
      </c>
      <c r="I867">
        <v>17</v>
      </c>
      <c r="J867" s="6">
        <f t="shared" si="50"/>
        <v>11.984999999999999</v>
      </c>
      <c r="K867" t="s">
        <v>389</v>
      </c>
    </row>
    <row r="868" spans="3:11" outlineLevel="2" x14ac:dyDescent="0.3">
      <c r="C868" s="9">
        <v>45012</v>
      </c>
      <c r="D868" t="s">
        <v>8</v>
      </c>
      <c r="E868" t="s">
        <v>33</v>
      </c>
      <c r="F868" t="s">
        <v>18</v>
      </c>
      <c r="G868" t="s">
        <v>31</v>
      </c>
      <c r="H868">
        <v>715</v>
      </c>
      <c r="I868">
        <v>54</v>
      </c>
      <c r="J868" s="6">
        <f t="shared" si="50"/>
        <v>38.61</v>
      </c>
      <c r="K868" t="s">
        <v>389</v>
      </c>
    </row>
    <row r="869" spans="3:11" outlineLevel="2" x14ac:dyDescent="0.3">
      <c r="C869" s="9">
        <v>45012</v>
      </c>
      <c r="D869" t="s">
        <v>45</v>
      </c>
      <c r="E869" t="s">
        <v>33</v>
      </c>
      <c r="F869" t="s">
        <v>13</v>
      </c>
      <c r="G869" t="s">
        <v>29</v>
      </c>
      <c r="H869">
        <v>1230</v>
      </c>
      <c r="I869">
        <v>58</v>
      </c>
      <c r="J869" s="6">
        <f t="shared" si="50"/>
        <v>71.34</v>
      </c>
      <c r="K869" t="s">
        <v>389</v>
      </c>
    </row>
    <row r="870" spans="3:11" outlineLevel="2" x14ac:dyDescent="0.3">
      <c r="C870" s="9">
        <v>45012</v>
      </c>
      <c r="D870" t="s">
        <v>45</v>
      </c>
      <c r="E870" t="s">
        <v>35</v>
      </c>
      <c r="F870" t="s">
        <v>24</v>
      </c>
      <c r="G870" t="s">
        <v>30</v>
      </c>
      <c r="H870">
        <v>2970</v>
      </c>
      <c r="I870">
        <v>49</v>
      </c>
      <c r="J870" s="6">
        <f t="shared" si="50"/>
        <v>145.53</v>
      </c>
      <c r="K870" t="s">
        <v>389</v>
      </c>
    </row>
    <row r="871" spans="3:11" outlineLevel="2" x14ac:dyDescent="0.3">
      <c r="C871" s="9">
        <v>45012</v>
      </c>
      <c r="D871" t="s">
        <v>8</v>
      </c>
      <c r="E871" t="s">
        <v>35</v>
      </c>
      <c r="F871" t="s">
        <v>24</v>
      </c>
      <c r="G871" t="s">
        <v>42</v>
      </c>
      <c r="H871">
        <v>3205</v>
      </c>
      <c r="I871">
        <v>80</v>
      </c>
      <c r="J871" s="6">
        <f t="shared" si="50"/>
        <v>256.39999999999998</v>
      </c>
      <c r="K871" t="s">
        <v>389</v>
      </c>
    </row>
    <row r="872" spans="3:11" outlineLevel="1" x14ac:dyDescent="0.3">
      <c r="C872" s="13" t="s">
        <v>100</v>
      </c>
      <c r="J872" s="6">
        <f>SUBTOTAL(9,J858:J871)</f>
        <v>1103.1599999999999</v>
      </c>
      <c r="K872" t="s">
        <v>389</v>
      </c>
    </row>
    <row r="873" spans="3:11" outlineLevel="2" x14ac:dyDescent="0.3">
      <c r="C873" s="9">
        <v>45013</v>
      </c>
      <c r="D873" t="s">
        <v>8</v>
      </c>
      <c r="E873" t="s">
        <v>20</v>
      </c>
      <c r="F873" t="s">
        <v>10</v>
      </c>
      <c r="G873" t="s">
        <v>39</v>
      </c>
      <c r="H873">
        <v>650</v>
      </c>
      <c r="I873">
        <v>54</v>
      </c>
      <c r="J873" s="6">
        <f t="shared" ref="J873:J883" si="51">H873*I873/1000</f>
        <v>35.1</v>
      </c>
      <c r="K873" t="s">
        <v>389</v>
      </c>
    </row>
    <row r="874" spans="3:11" outlineLevel="2" x14ac:dyDescent="0.3">
      <c r="C874" s="10">
        <v>45013</v>
      </c>
      <c r="D874" s="11" t="s">
        <v>45</v>
      </c>
      <c r="E874" s="11" t="s">
        <v>20</v>
      </c>
      <c r="F874" s="11" t="s">
        <v>13</v>
      </c>
      <c r="G874" s="11" t="s">
        <v>22</v>
      </c>
      <c r="H874" s="11">
        <v>930</v>
      </c>
      <c r="I874" s="11">
        <v>90</v>
      </c>
      <c r="J874" s="6">
        <f t="shared" si="51"/>
        <v>83.7</v>
      </c>
      <c r="K874" t="s">
        <v>389</v>
      </c>
    </row>
    <row r="875" spans="3:11" outlineLevel="2" x14ac:dyDescent="0.3">
      <c r="C875" s="9">
        <v>45013</v>
      </c>
      <c r="D875" t="s">
        <v>45</v>
      </c>
      <c r="E875" t="s">
        <v>9</v>
      </c>
      <c r="F875" t="s">
        <v>24</v>
      </c>
      <c r="G875" t="s">
        <v>42</v>
      </c>
      <c r="H875">
        <v>3205</v>
      </c>
      <c r="I875">
        <v>74</v>
      </c>
      <c r="J875" s="6">
        <f t="shared" si="51"/>
        <v>237.17</v>
      </c>
      <c r="K875" t="s">
        <v>389</v>
      </c>
    </row>
    <row r="876" spans="3:11" outlineLevel="2" x14ac:dyDescent="0.3">
      <c r="C876" s="9">
        <v>45013</v>
      </c>
      <c r="D876" t="s">
        <v>17</v>
      </c>
      <c r="E876" t="s">
        <v>26</v>
      </c>
      <c r="F876" t="s">
        <v>24</v>
      </c>
      <c r="G876" t="s">
        <v>42</v>
      </c>
      <c r="H876">
        <v>3205</v>
      </c>
      <c r="I876">
        <v>18</v>
      </c>
      <c r="J876" s="6">
        <f t="shared" si="51"/>
        <v>57.69</v>
      </c>
      <c r="K876" t="s">
        <v>389</v>
      </c>
    </row>
    <row r="877" spans="3:11" outlineLevel="2" x14ac:dyDescent="0.3">
      <c r="C877" s="9">
        <v>45013</v>
      </c>
      <c r="D877" t="s">
        <v>45</v>
      </c>
      <c r="E877" t="s">
        <v>15</v>
      </c>
      <c r="F877" t="s">
        <v>10</v>
      </c>
      <c r="G877" t="s">
        <v>41</v>
      </c>
      <c r="H877">
        <v>650</v>
      </c>
      <c r="I877">
        <v>27</v>
      </c>
      <c r="J877" s="6">
        <f t="shared" si="51"/>
        <v>17.55</v>
      </c>
      <c r="K877" t="s">
        <v>389</v>
      </c>
    </row>
    <row r="878" spans="3:11" outlineLevel="2" x14ac:dyDescent="0.3">
      <c r="C878" s="9">
        <v>45013</v>
      </c>
      <c r="D878" t="s">
        <v>12</v>
      </c>
      <c r="E878" t="s">
        <v>15</v>
      </c>
      <c r="F878" t="s">
        <v>18</v>
      </c>
      <c r="G878" t="s">
        <v>28</v>
      </c>
      <c r="H878">
        <v>690</v>
      </c>
      <c r="I878">
        <v>52</v>
      </c>
      <c r="J878" s="6">
        <f t="shared" si="51"/>
        <v>35.880000000000003</v>
      </c>
      <c r="K878" t="s">
        <v>389</v>
      </c>
    </row>
    <row r="879" spans="3:11" outlineLevel="2" x14ac:dyDescent="0.3">
      <c r="C879" s="9">
        <v>45013</v>
      </c>
      <c r="D879" t="s">
        <v>12</v>
      </c>
      <c r="E879" t="s">
        <v>33</v>
      </c>
      <c r="F879" t="s">
        <v>18</v>
      </c>
      <c r="G879" t="s">
        <v>31</v>
      </c>
      <c r="H879">
        <v>715</v>
      </c>
      <c r="I879">
        <v>79</v>
      </c>
      <c r="J879" s="6">
        <f t="shared" si="51"/>
        <v>56.484999999999999</v>
      </c>
      <c r="K879" t="s">
        <v>389</v>
      </c>
    </row>
    <row r="880" spans="3:11" outlineLevel="2" x14ac:dyDescent="0.3">
      <c r="C880" s="9">
        <v>45013</v>
      </c>
      <c r="D880" t="s">
        <v>8</v>
      </c>
      <c r="E880" t="s">
        <v>33</v>
      </c>
      <c r="F880" t="s">
        <v>18</v>
      </c>
      <c r="G880" t="s">
        <v>28</v>
      </c>
      <c r="H880">
        <v>690</v>
      </c>
      <c r="I880">
        <v>98</v>
      </c>
      <c r="J880" s="6">
        <f t="shared" si="51"/>
        <v>67.62</v>
      </c>
      <c r="K880" t="s">
        <v>389</v>
      </c>
    </row>
    <row r="881" spans="3:11" outlineLevel="2" x14ac:dyDescent="0.3">
      <c r="C881" s="9">
        <v>45013</v>
      </c>
      <c r="D881" t="s">
        <v>17</v>
      </c>
      <c r="E881" t="s">
        <v>33</v>
      </c>
      <c r="F881" t="s">
        <v>13</v>
      </c>
      <c r="G881" t="s">
        <v>29</v>
      </c>
      <c r="H881">
        <v>1230</v>
      </c>
      <c r="I881">
        <v>32</v>
      </c>
      <c r="J881" s="6">
        <f t="shared" si="51"/>
        <v>39.36</v>
      </c>
      <c r="K881" t="s">
        <v>389</v>
      </c>
    </row>
    <row r="882" spans="3:11" outlineLevel="2" x14ac:dyDescent="0.3">
      <c r="C882" s="9">
        <v>45013</v>
      </c>
      <c r="D882" t="s">
        <v>12</v>
      </c>
      <c r="E882" t="s">
        <v>35</v>
      </c>
      <c r="F882" t="s">
        <v>10</v>
      </c>
      <c r="G882" t="s">
        <v>23</v>
      </c>
      <c r="H882">
        <v>640</v>
      </c>
      <c r="I882">
        <v>51</v>
      </c>
      <c r="J882" s="6">
        <f t="shared" si="51"/>
        <v>32.64</v>
      </c>
      <c r="K882" t="s">
        <v>389</v>
      </c>
    </row>
    <row r="883" spans="3:11" outlineLevel="2" x14ac:dyDescent="0.3">
      <c r="C883" s="9">
        <v>45013</v>
      </c>
      <c r="D883" t="s">
        <v>17</v>
      </c>
      <c r="E883" t="s">
        <v>35</v>
      </c>
      <c r="F883" t="s">
        <v>13</v>
      </c>
      <c r="G883" t="s">
        <v>43</v>
      </c>
      <c r="H883">
        <v>1420</v>
      </c>
      <c r="I883">
        <v>99</v>
      </c>
      <c r="J883" s="6">
        <f t="shared" si="51"/>
        <v>140.58000000000001</v>
      </c>
      <c r="K883" t="s">
        <v>389</v>
      </c>
    </row>
    <row r="884" spans="3:11" outlineLevel="1" x14ac:dyDescent="0.3">
      <c r="C884" s="13" t="s">
        <v>101</v>
      </c>
      <c r="J884" s="6">
        <f>SUBTOTAL(9,J873:J883)</f>
        <v>803.77500000000009</v>
      </c>
      <c r="K884" t="s">
        <v>389</v>
      </c>
    </row>
    <row r="885" spans="3:11" outlineLevel="2" x14ac:dyDescent="0.3">
      <c r="C885" s="9">
        <v>45014</v>
      </c>
      <c r="D885" t="s">
        <v>45</v>
      </c>
      <c r="E885" t="s">
        <v>26</v>
      </c>
      <c r="F885" t="s">
        <v>24</v>
      </c>
      <c r="G885" t="s">
        <v>34</v>
      </c>
      <c r="H885">
        <v>1670</v>
      </c>
      <c r="I885">
        <v>11</v>
      </c>
      <c r="J885" s="6">
        <f t="shared" ref="J885:J890" si="52">H885*I885/1000</f>
        <v>18.37</v>
      </c>
      <c r="K885" t="s">
        <v>389</v>
      </c>
    </row>
    <row r="886" spans="3:11" outlineLevel="2" x14ac:dyDescent="0.3">
      <c r="C886" s="9">
        <v>45014</v>
      </c>
      <c r="D886" t="s">
        <v>12</v>
      </c>
      <c r="E886" t="s">
        <v>15</v>
      </c>
      <c r="F886" t="s">
        <v>10</v>
      </c>
      <c r="G886" t="s">
        <v>16</v>
      </c>
      <c r="H886">
        <v>1380</v>
      </c>
      <c r="I886">
        <v>23</v>
      </c>
      <c r="J886" s="6">
        <f t="shared" si="52"/>
        <v>31.74</v>
      </c>
      <c r="K886" t="s">
        <v>389</v>
      </c>
    </row>
    <row r="887" spans="3:11" outlineLevel="2" x14ac:dyDescent="0.3">
      <c r="C887" s="9">
        <v>45014</v>
      </c>
      <c r="D887" t="s">
        <v>8</v>
      </c>
      <c r="E887" t="s">
        <v>15</v>
      </c>
      <c r="F887" t="s">
        <v>24</v>
      </c>
      <c r="G887" t="s">
        <v>34</v>
      </c>
      <c r="H887">
        <v>1670</v>
      </c>
      <c r="I887">
        <v>77</v>
      </c>
      <c r="J887" s="6">
        <f t="shared" si="52"/>
        <v>128.59</v>
      </c>
      <c r="K887" t="s">
        <v>389</v>
      </c>
    </row>
    <row r="888" spans="3:11" outlineLevel="2" x14ac:dyDescent="0.3">
      <c r="C888" s="9">
        <v>45014</v>
      </c>
      <c r="D888" t="s">
        <v>12</v>
      </c>
      <c r="E888" t="s">
        <v>33</v>
      </c>
      <c r="F888" t="s">
        <v>10</v>
      </c>
      <c r="G888" t="s">
        <v>16</v>
      </c>
      <c r="H888">
        <v>1380</v>
      </c>
      <c r="I888">
        <v>81</v>
      </c>
      <c r="J888" s="6">
        <f t="shared" si="52"/>
        <v>111.78</v>
      </c>
      <c r="K888" t="s">
        <v>389</v>
      </c>
    </row>
    <row r="889" spans="3:11" outlineLevel="2" x14ac:dyDescent="0.3">
      <c r="C889" s="9">
        <v>45014</v>
      </c>
      <c r="D889" t="s">
        <v>45</v>
      </c>
      <c r="E889" t="s">
        <v>33</v>
      </c>
      <c r="F889" t="s">
        <v>10</v>
      </c>
      <c r="G889" t="s">
        <v>39</v>
      </c>
      <c r="H889">
        <v>650</v>
      </c>
      <c r="I889">
        <v>58</v>
      </c>
      <c r="J889" s="6">
        <f t="shared" si="52"/>
        <v>37.700000000000003</v>
      </c>
      <c r="K889" t="s">
        <v>389</v>
      </c>
    </row>
    <row r="890" spans="3:11" outlineLevel="2" x14ac:dyDescent="0.3">
      <c r="C890" s="9">
        <v>45014</v>
      </c>
      <c r="D890" t="s">
        <v>8</v>
      </c>
      <c r="E890" t="s">
        <v>33</v>
      </c>
      <c r="F890" t="s">
        <v>24</v>
      </c>
      <c r="G890" t="s">
        <v>30</v>
      </c>
      <c r="H890">
        <v>2970</v>
      </c>
      <c r="I890">
        <v>78</v>
      </c>
      <c r="J890" s="6">
        <f t="shared" si="52"/>
        <v>231.66</v>
      </c>
      <c r="K890" t="s">
        <v>389</v>
      </c>
    </row>
    <row r="891" spans="3:11" outlineLevel="1" x14ac:dyDescent="0.3">
      <c r="C891" s="13" t="s">
        <v>102</v>
      </c>
      <c r="J891" s="6">
        <f>SUBTOTAL(9,J885:J890)</f>
        <v>559.84</v>
      </c>
      <c r="K891" t="s">
        <v>389</v>
      </c>
    </row>
    <row r="892" spans="3:11" outlineLevel="2" x14ac:dyDescent="0.3">
      <c r="C892" s="9">
        <v>45015</v>
      </c>
      <c r="D892" t="s">
        <v>12</v>
      </c>
      <c r="E892" t="s">
        <v>20</v>
      </c>
      <c r="F892" t="s">
        <v>10</v>
      </c>
      <c r="G892" t="s">
        <v>39</v>
      </c>
      <c r="H892">
        <v>650</v>
      </c>
      <c r="I892">
        <v>62</v>
      </c>
      <c r="J892" s="6">
        <f t="shared" ref="J892:J900" si="53">H892*I892/1000</f>
        <v>40.299999999999997</v>
      </c>
      <c r="K892" t="s">
        <v>389</v>
      </c>
    </row>
    <row r="893" spans="3:11" outlineLevel="2" x14ac:dyDescent="0.3">
      <c r="C893" s="10">
        <v>45015</v>
      </c>
      <c r="D893" s="11" t="s">
        <v>8</v>
      </c>
      <c r="E893" s="11" t="s">
        <v>20</v>
      </c>
      <c r="F893" s="11" t="s">
        <v>13</v>
      </c>
      <c r="G893" s="11" t="s">
        <v>29</v>
      </c>
      <c r="H893" s="11">
        <v>1230</v>
      </c>
      <c r="I893" s="11">
        <v>47</v>
      </c>
      <c r="J893" s="6">
        <f t="shared" si="53"/>
        <v>57.81</v>
      </c>
      <c r="K893" t="s">
        <v>389</v>
      </c>
    </row>
    <row r="894" spans="3:11" outlineLevel="2" x14ac:dyDescent="0.3">
      <c r="C894" s="9">
        <v>45015</v>
      </c>
      <c r="D894" t="s">
        <v>45</v>
      </c>
      <c r="E894" t="s">
        <v>20</v>
      </c>
      <c r="F894" t="s">
        <v>13</v>
      </c>
      <c r="G894" t="s">
        <v>43</v>
      </c>
      <c r="H894">
        <v>1420</v>
      </c>
      <c r="I894">
        <v>83</v>
      </c>
      <c r="J894" s="6">
        <f t="shared" si="53"/>
        <v>117.86</v>
      </c>
      <c r="K894" t="s">
        <v>389</v>
      </c>
    </row>
    <row r="895" spans="3:11" outlineLevel="2" x14ac:dyDescent="0.3">
      <c r="C895" s="9">
        <v>45015</v>
      </c>
      <c r="D895" t="s">
        <v>45</v>
      </c>
      <c r="E895" t="s">
        <v>9</v>
      </c>
      <c r="F895" t="s">
        <v>18</v>
      </c>
      <c r="G895" t="s">
        <v>28</v>
      </c>
      <c r="H895">
        <v>690</v>
      </c>
      <c r="I895">
        <v>82</v>
      </c>
      <c r="J895" s="6">
        <f t="shared" si="53"/>
        <v>56.58</v>
      </c>
      <c r="K895" t="s">
        <v>389</v>
      </c>
    </row>
    <row r="896" spans="3:11" outlineLevel="2" x14ac:dyDescent="0.3">
      <c r="C896" s="9">
        <v>45015</v>
      </c>
      <c r="D896" t="s">
        <v>8</v>
      </c>
      <c r="E896" t="s">
        <v>9</v>
      </c>
      <c r="F896" t="s">
        <v>13</v>
      </c>
      <c r="G896" t="s">
        <v>14</v>
      </c>
      <c r="H896">
        <v>1320</v>
      </c>
      <c r="I896">
        <v>47</v>
      </c>
      <c r="J896" s="6">
        <f t="shared" si="53"/>
        <v>62.04</v>
      </c>
      <c r="K896" t="s">
        <v>389</v>
      </c>
    </row>
    <row r="897" spans="3:11" outlineLevel="2" x14ac:dyDescent="0.3">
      <c r="C897" s="9">
        <v>45015</v>
      </c>
      <c r="D897" t="s">
        <v>45</v>
      </c>
      <c r="E897" t="s">
        <v>26</v>
      </c>
      <c r="F897" t="s">
        <v>24</v>
      </c>
      <c r="G897" t="s">
        <v>32</v>
      </c>
      <c r="H897">
        <v>1505</v>
      </c>
      <c r="I897">
        <v>78</v>
      </c>
      <c r="J897" s="6">
        <f t="shared" si="53"/>
        <v>117.39</v>
      </c>
      <c r="K897" t="s">
        <v>389</v>
      </c>
    </row>
    <row r="898" spans="3:11" outlineLevel="2" x14ac:dyDescent="0.3">
      <c r="C898" s="9">
        <v>45015</v>
      </c>
      <c r="D898" t="s">
        <v>12</v>
      </c>
      <c r="E898" t="s">
        <v>15</v>
      </c>
      <c r="F898" t="s">
        <v>24</v>
      </c>
      <c r="G898" t="s">
        <v>25</v>
      </c>
      <c r="H898">
        <v>1760</v>
      </c>
      <c r="I898">
        <v>91</v>
      </c>
      <c r="J898" s="6">
        <f t="shared" si="53"/>
        <v>160.16</v>
      </c>
      <c r="K898" t="s">
        <v>389</v>
      </c>
    </row>
    <row r="899" spans="3:11" outlineLevel="2" x14ac:dyDescent="0.3">
      <c r="C899" s="9">
        <v>45015</v>
      </c>
      <c r="D899" t="s">
        <v>8</v>
      </c>
      <c r="E899" t="s">
        <v>33</v>
      </c>
      <c r="F899" t="s">
        <v>10</v>
      </c>
      <c r="G899" t="s">
        <v>40</v>
      </c>
      <c r="H899">
        <v>540</v>
      </c>
      <c r="I899">
        <v>18</v>
      </c>
      <c r="J899" s="6">
        <f t="shared" si="53"/>
        <v>9.7200000000000006</v>
      </c>
      <c r="K899" t="s">
        <v>389</v>
      </c>
    </row>
    <row r="900" spans="3:11" outlineLevel="2" x14ac:dyDescent="0.3">
      <c r="C900" s="9">
        <v>45015</v>
      </c>
      <c r="D900" t="s">
        <v>17</v>
      </c>
      <c r="E900" t="s">
        <v>33</v>
      </c>
      <c r="F900" t="s">
        <v>10</v>
      </c>
      <c r="G900" t="s">
        <v>11</v>
      </c>
      <c r="H900">
        <v>705</v>
      </c>
      <c r="I900">
        <v>90</v>
      </c>
      <c r="J900" s="6">
        <f t="shared" si="53"/>
        <v>63.45</v>
      </c>
      <c r="K900" t="s">
        <v>389</v>
      </c>
    </row>
    <row r="901" spans="3:11" outlineLevel="1" x14ac:dyDescent="0.3">
      <c r="C901" s="13" t="s">
        <v>103</v>
      </c>
      <c r="J901" s="6">
        <f>SUBTOTAL(9,J892:J900)</f>
        <v>685.31000000000006</v>
      </c>
      <c r="K901" t="s">
        <v>389</v>
      </c>
    </row>
    <row r="902" spans="3:11" outlineLevel="2" x14ac:dyDescent="0.3">
      <c r="C902" s="10">
        <v>45016</v>
      </c>
      <c r="D902" s="11" t="s">
        <v>12</v>
      </c>
      <c r="E902" s="11" t="s">
        <v>20</v>
      </c>
      <c r="F902" s="11" t="s">
        <v>13</v>
      </c>
      <c r="G902" s="11" t="s">
        <v>44</v>
      </c>
      <c r="H902" s="11">
        <v>2540</v>
      </c>
      <c r="I902" s="11">
        <v>48</v>
      </c>
      <c r="J902" s="6">
        <f t="shared" ref="J902:J911" si="54">H902*I902/1000</f>
        <v>121.92</v>
      </c>
      <c r="K902" t="s">
        <v>389</v>
      </c>
    </row>
    <row r="903" spans="3:11" outlineLevel="2" x14ac:dyDescent="0.3">
      <c r="C903" s="9">
        <v>45016</v>
      </c>
      <c r="D903" t="s">
        <v>17</v>
      </c>
      <c r="E903" t="s">
        <v>20</v>
      </c>
      <c r="F903" t="s">
        <v>24</v>
      </c>
      <c r="G903" t="s">
        <v>25</v>
      </c>
      <c r="H903">
        <v>1760</v>
      </c>
      <c r="I903">
        <v>84</v>
      </c>
      <c r="J903" s="6">
        <f t="shared" si="54"/>
        <v>147.84</v>
      </c>
      <c r="K903" t="s">
        <v>389</v>
      </c>
    </row>
    <row r="904" spans="3:11" outlineLevel="2" x14ac:dyDescent="0.3">
      <c r="C904" s="9">
        <v>45016</v>
      </c>
      <c r="D904" t="s">
        <v>45</v>
      </c>
      <c r="E904" t="s">
        <v>9</v>
      </c>
      <c r="F904" t="s">
        <v>24</v>
      </c>
      <c r="G904" t="s">
        <v>32</v>
      </c>
      <c r="H904">
        <v>1505</v>
      </c>
      <c r="I904">
        <v>46</v>
      </c>
      <c r="J904" s="6">
        <f t="shared" si="54"/>
        <v>69.23</v>
      </c>
      <c r="K904" t="s">
        <v>389</v>
      </c>
    </row>
    <row r="905" spans="3:11" outlineLevel="2" x14ac:dyDescent="0.3">
      <c r="C905" s="9">
        <v>45016</v>
      </c>
      <c r="D905" t="s">
        <v>8</v>
      </c>
      <c r="E905" t="s">
        <v>15</v>
      </c>
      <c r="F905" t="s">
        <v>10</v>
      </c>
      <c r="G905" t="s">
        <v>11</v>
      </c>
      <c r="H905">
        <v>705</v>
      </c>
      <c r="I905">
        <v>5</v>
      </c>
      <c r="J905" s="6">
        <f t="shared" si="54"/>
        <v>3.5249999999999999</v>
      </c>
      <c r="K905" t="s">
        <v>389</v>
      </c>
    </row>
    <row r="906" spans="3:11" outlineLevel="2" x14ac:dyDescent="0.3">
      <c r="C906" s="9">
        <v>45016</v>
      </c>
      <c r="D906" t="s">
        <v>12</v>
      </c>
      <c r="E906" t="s">
        <v>15</v>
      </c>
      <c r="F906" t="s">
        <v>10</v>
      </c>
      <c r="G906" t="s">
        <v>40</v>
      </c>
      <c r="H906">
        <v>540</v>
      </c>
      <c r="I906">
        <v>76</v>
      </c>
      <c r="J906" s="6">
        <f t="shared" si="54"/>
        <v>41.04</v>
      </c>
      <c r="K906" t="s">
        <v>389</v>
      </c>
    </row>
    <row r="907" spans="3:11" outlineLevel="2" x14ac:dyDescent="0.3">
      <c r="C907" s="9">
        <v>45016</v>
      </c>
      <c r="D907" t="s">
        <v>45</v>
      </c>
      <c r="E907" t="s">
        <v>15</v>
      </c>
      <c r="F907" t="s">
        <v>10</v>
      </c>
      <c r="G907" t="s">
        <v>39</v>
      </c>
      <c r="H907">
        <v>650</v>
      </c>
      <c r="I907">
        <v>90</v>
      </c>
      <c r="J907" s="6">
        <f t="shared" si="54"/>
        <v>58.5</v>
      </c>
      <c r="K907" t="s">
        <v>389</v>
      </c>
    </row>
    <row r="908" spans="3:11" outlineLevel="2" x14ac:dyDescent="0.3">
      <c r="C908" s="9">
        <v>45016</v>
      </c>
      <c r="D908" t="s">
        <v>45</v>
      </c>
      <c r="E908" t="s">
        <v>15</v>
      </c>
      <c r="F908" t="s">
        <v>13</v>
      </c>
      <c r="G908" t="s">
        <v>43</v>
      </c>
      <c r="H908">
        <v>1420</v>
      </c>
      <c r="I908">
        <v>98</v>
      </c>
      <c r="J908" s="6">
        <f t="shared" si="54"/>
        <v>139.16</v>
      </c>
      <c r="K908" t="s">
        <v>389</v>
      </c>
    </row>
    <row r="909" spans="3:11" outlineLevel="2" x14ac:dyDescent="0.3">
      <c r="C909" s="9">
        <v>45016</v>
      </c>
      <c r="D909" t="s">
        <v>45</v>
      </c>
      <c r="E909" t="s">
        <v>33</v>
      </c>
      <c r="F909" t="s">
        <v>10</v>
      </c>
      <c r="G909" t="s">
        <v>16</v>
      </c>
      <c r="H909">
        <v>1380</v>
      </c>
      <c r="I909">
        <v>43</v>
      </c>
      <c r="J909" s="6">
        <f t="shared" si="54"/>
        <v>59.34</v>
      </c>
      <c r="K909" t="s">
        <v>389</v>
      </c>
    </row>
    <row r="910" spans="3:11" outlineLevel="2" x14ac:dyDescent="0.3">
      <c r="C910" s="9">
        <v>45016</v>
      </c>
      <c r="D910" t="s">
        <v>45</v>
      </c>
      <c r="E910" t="s">
        <v>35</v>
      </c>
      <c r="F910" t="s">
        <v>10</v>
      </c>
      <c r="G910" t="s">
        <v>16</v>
      </c>
      <c r="H910">
        <v>1380</v>
      </c>
      <c r="I910">
        <v>74</v>
      </c>
      <c r="J910" s="6">
        <f t="shared" si="54"/>
        <v>102.12</v>
      </c>
      <c r="K910" t="s">
        <v>389</v>
      </c>
    </row>
    <row r="911" spans="3:11" outlineLevel="2" x14ac:dyDescent="0.3">
      <c r="C911" s="9">
        <v>45016</v>
      </c>
      <c r="D911" t="s">
        <v>17</v>
      </c>
      <c r="E911" t="s">
        <v>35</v>
      </c>
      <c r="F911" t="s">
        <v>10</v>
      </c>
      <c r="G911" t="s">
        <v>23</v>
      </c>
      <c r="H911">
        <v>640</v>
      </c>
      <c r="I911">
        <v>53</v>
      </c>
      <c r="J911" s="6">
        <f t="shared" si="54"/>
        <v>33.92</v>
      </c>
      <c r="K911" t="s">
        <v>389</v>
      </c>
    </row>
    <row r="912" spans="3:11" outlineLevel="1" x14ac:dyDescent="0.3">
      <c r="C912" s="13" t="s">
        <v>104</v>
      </c>
      <c r="J912" s="6">
        <f>SUBTOTAL(9,J902:J911)</f>
        <v>776.59500000000003</v>
      </c>
    </row>
    <row r="913" spans="3:11" outlineLevel="2" x14ac:dyDescent="0.3">
      <c r="C913" s="9">
        <v>45017</v>
      </c>
      <c r="D913" t="s">
        <v>17</v>
      </c>
      <c r="E913" t="s">
        <v>9</v>
      </c>
      <c r="F913" t="s">
        <v>13</v>
      </c>
      <c r="G913" t="s">
        <v>22</v>
      </c>
      <c r="H913">
        <v>930</v>
      </c>
      <c r="I913">
        <v>47</v>
      </c>
      <c r="J913" s="6">
        <f t="shared" ref="J913:J920" si="55">H913*I913/1000</f>
        <v>43.71</v>
      </c>
      <c r="K913" t="s">
        <v>390</v>
      </c>
    </row>
    <row r="914" spans="3:11" outlineLevel="2" x14ac:dyDescent="0.3">
      <c r="C914" s="9">
        <v>45017</v>
      </c>
      <c r="D914" t="s">
        <v>17</v>
      </c>
      <c r="E914" t="s">
        <v>26</v>
      </c>
      <c r="F914" t="s">
        <v>10</v>
      </c>
      <c r="G914" t="s">
        <v>39</v>
      </c>
      <c r="H914">
        <v>650</v>
      </c>
      <c r="I914">
        <v>52</v>
      </c>
      <c r="J914" s="6">
        <f t="shared" si="55"/>
        <v>33.799999999999997</v>
      </c>
      <c r="K914" t="s">
        <v>390</v>
      </c>
    </row>
    <row r="915" spans="3:11" outlineLevel="2" x14ac:dyDescent="0.3">
      <c r="C915" s="9">
        <v>45017</v>
      </c>
      <c r="D915" t="s">
        <v>17</v>
      </c>
      <c r="E915" t="s">
        <v>26</v>
      </c>
      <c r="F915" t="s">
        <v>10</v>
      </c>
      <c r="G915" t="s">
        <v>11</v>
      </c>
      <c r="H915">
        <v>705</v>
      </c>
      <c r="I915">
        <v>5</v>
      </c>
      <c r="J915" s="6">
        <f t="shared" si="55"/>
        <v>3.5249999999999999</v>
      </c>
      <c r="K915" t="s">
        <v>390</v>
      </c>
    </row>
    <row r="916" spans="3:11" outlineLevel="2" x14ac:dyDescent="0.3">
      <c r="C916" s="9">
        <v>45017</v>
      </c>
      <c r="D916" t="s">
        <v>45</v>
      </c>
      <c r="E916" t="s">
        <v>26</v>
      </c>
      <c r="F916" t="s">
        <v>18</v>
      </c>
      <c r="G916" t="s">
        <v>21</v>
      </c>
      <c r="H916">
        <v>450</v>
      </c>
      <c r="I916">
        <v>56</v>
      </c>
      <c r="J916" s="6">
        <f t="shared" si="55"/>
        <v>25.2</v>
      </c>
      <c r="K916" t="s">
        <v>390</v>
      </c>
    </row>
    <row r="917" spans="3:11" outlineLevel="2" x14ac:dyDescent="0.3">
      <c r="C917" s="9">
        <v>45017</v>
      </c>
      <c r="D917" t="s">
        <v>17</v>
      </c>
      <c r="E917" t="s">
        <v>15</v>
      </c>
      <c r="F917" t="s">
        <v>10</v>
      </c>
      <c r="G917" t="s">
        <v>16</v>
      </c>
      <c r="H917">
        <v>1380</v>
      </c>
      <c r="I917">
        <v>34</v>
      </c>
      <c r="J917" s="6">
        <f t="shared" si="55"/>
        <v>46.92</v>
      </c>
      <c r="K917" t="s">
        <v>390</v>
      </c>
    </row>
    <row r="918" spans="3:11" outlineLevel="2" x14ac:dyDescent="0.3">
      <c r="C918" s="9">
        <v>45017</v>
      </c>
      <c r="D918" t="s">
        <v>12</v>
      </c>
      <c r="E918" t="s">
        <v>15</v>
      </c>
      <c r="F918" t="s">
        <v>18</v>
      </c>
      <c r="G918" t="s">
        <v>19</v>
      </c>
      <c r="H918">
        <v>325</v>
      </c>
      <c r="I918">
        <v>18</v>
      </c>
      <c r="J918" s="6">
        <f t="shared" si="55"/>
        <v>5.85</v>
      </c>
      <c r="K918" t="s">
        <v>390</v>
      </c>
    </row>
    <row r="919" spans="3:11" outlineLevel="2" x14ac:dyDescent="0.3">
      <c r="C919" s="9">
        <v>45017</v>
      </c>
      <c r="D919" t="s">
        <v>45</v>
      </c>
      <c r="E919" t="s">
        <v>15</v>
      </c>
      <c r="F919" t="s">
        <v>18</v>
      </c>
      <c r="G919" t="s">
        <v>19</v>
      </c>
      <c r="H919">
        <v>325</v>
      </c>
      <c r="I919">
        <v>23</v>
      </c>
      <c r="J919" s="6">
        <f t="shared" si="55"/>
        <v>7.4749999999999996</v>
      </c>
      <c r="K919" t="s">
        <v>390</v>
      </c>
    </row>
    <row r="920" spans="3:11" outlineLevel="2" x14ac:dyDescent="0.3">
      <c r="C920" s="9">
        <v>45017</v>
      </c>
      <c r="D920" t="s">
        <v>8</v>
      </c>
      <c r="E920" t="s">
        <v>33</v>
      </c>
      <c r="F920" t="s">
        <v>10</v>
      </c>
      <c r="G920" t="s">
        <v>11</v>
      </c>
      <c r="H920">
        <v>705</v>
      </c>
      <c r="I920">
        <v>78</v>
      </c>
      <c r="J920" s="6">
        <f t="shared" si="55"/>
        <v>54.99</v>
      </c>
      <c r="K920" t="s">
        <v>390</v>
      </c>
    </row>
    <row r="921" spans="3:11" outlineLevel="1" x14ac:dyDescent="0.3">
      <c r="C921" s="13" t="s">
        <v>105</v>
      </c>
      <c r="J921" s="6">
        <f>SUBTOTAL(9,J913:J920)</f>
        <v>221.47</v>
      </c>
      <c r="K921" t="s">
        <v>390</v>
      </c>
    </row>
    <row r="922" spans="3:11" outlineLevel="2" x14ac:dyDescent="0.3">
      <c r="C922" s="10">
        <v>45018</v>
      </c>
      <c r="D922" s="11" t="s">
        <v>12</v>
      </c>
      <c r="E922" s="11" t="s">
        <v>20</v>
      </c>
      <c r="F922" s="11" t="s">
        <v>13</v>
      </c>
      <c r="G922" s="11" t="s">
        <v>29</v>
      </c>
      <c r="H922" s="11">
        <v>1230</v>
      </c>
      <c r="I922" s="11">
        <v>29</v>
      </c>
      <c r="J922" s="6">
        <f t="shared" ref="J922:J928" si="56">H922*I922/1000</f>
        <v>35.67</v>
      </c>
      <c r="K922" t="s">
        <v>390</v>
      </c>
    </row>
    <row r="923" spans="3:11" outlineLevel="2" x14ac:dyDescent="0.3">
      <c r="C923" s="9">
        <v>45018</v>
      </c>
      <c r="D923" t="s">
        <v>8</v>
      </c>
      <c r="E923" t="s">
        <v>20</v>
      </c>
      <c r="F923" t="s">
        <v>24</v>
      </c>
      <c r="G923" t="s">
        <v>34</v>
      </c>
      <c r="H923">
        <v>1670</v>
      </c>
      <c r="I923">
        <v>78</v>
      </c>
      <c r="J923" s="6">
        <f t="shared" si="56"/>
        <v>130.26</v>
      </c>
      <c r="K923" t="s">
        <v>390</v>
      </c>
    </row>
    <row r="924" spans="3:11" outlineLevel="2" x14ac:dyDescent="0.3">
      <c r="C924" s="9">
        <v>45018</v>
      </c>
      <c r="D924" t="s">
        <v>45</v>
      </c>
      <c r="E924" t="s">
        <v>15</v>
      </c>
      <c r="F924" t="s">
        <v>24</v>
      </c>
      <c r="G924" t="s">
        <v>25</v>
      </c>
      <c r="H924">
        <v>1760</v>
      </c>
      <c r="I924">
        <v>92</v>
      </c>
      <c r="J924" s="6">
        <f t="shared" si="56"/>
        <v>161.91999999999999</v>
      </c>
      <c r="K924" t="s">
        <v>390</v>
      </c>
    </row>
    <row r="925" spans="3:11" outlineLevel="2" x14ac:dyDescent="0.3">
      <c r="C925" s="9">
        <v>45018</v>
      </c>
      <c r="D925" t="s">
        <v>8</v>
      </c>
      <c r="E925" t="s">
        <v>33</v>
      </c>
      <c r="F925" t="s">
        <v>10</v>
      </c>
      <c r="G925" t="s">
        <v>16</v>
      </c>
      <c r="H925">
        <v>1380</v>
      </c>
      <c r="I925">
        <v>68</v>
      </c>
      <c r="J925" s="6">
        <f t="shared" si="56"/>
        <v>93.84</v>
      </c>
      <c r="K925" t="s">
        <v>390</v>
      </c>
    </row>
    <row r="926" spans="3:11" outlineLevel="2" x14ac:dyDescent="0.3">
      <c r="C926" s="9">
        <v>45018</v>
      </c>
      <c r="D926" t="s">
        <v>12</v>
      </c>
      <c r="E926" t="s">
        <v>35</v>
      </c>
      <c r="F926" t="s">
        <v>18</v>
      </c>
      <c r="G926" t="s">
        <v>19</v>
      </c>
      <c r="H926">
        <v>325</v>
      </c>
      <c r="I926">
        <v>5</v>
      </c>
      <c r="J926" s="6">
        <f t="shared" si="56"/>
        <v>1.625</v>
      </c>
      <c r="K926" t="s">
        <v>390</v>
      </c>
    </row>
    <row r="927" spans="3:11" outlineLevel="2" x14ac:dyDescent="0.3">
      <c r="C927" s="9">
        <v>45018</v>
      </c>
      <c r="D927" t="s">
        <v>17</v>
      </c>
      <c r="E927" t="s">
        <v>35</v>
      </c>
      <c r="F927" t="s">
        <v>13</v>
      </c>
      <c r="G927" t="s">
        <v>38</v>
      </c>
      <c r="H927">
        <v>2400</v>
      </c>
      <c r="I927">
        <v>76</v>
      </c>
      <c r="J927" s="6">
        <f t="shared" si="56"/>
        <v>182.4</v>
      </c>
      <c r="K927" t="s">
        <v>390</v>
      </c>
    </row>
    <row r="928" spans="3:11" outlineLevel="2" x14ac:dyDescent="0.3">
      <c r="C928" s="9">
        <v>45018</v>
      </c>
      <c r="D928" t="s">
        <v>17</v>
      </c>
      <c r="E928" t="s">
        <v>35</v>
      </c>
      <c r="F928" t="s">
        <v>24</v>
      </c>
      <c r="G928" t="s">
        <v>32</v>
      </c>
      <c r="H928">
        <v>1505</v>
      </c>
      <c r="I928">
        <v>34</v>
      </c>
      <c r="J928" s="6">
        <f t="shared" si="56"/>
        <v>51.17</v>
      </c>
      <c r="K928" t="s">
        <v>390</v>
      </c>
    </row>
    <row r="929" spans="3:11" outlineLevel="1" x14ac:dyDescent="0.3">
      <c r="C929" s="13" t="s">
        <v>106</v>
      </c>
      <c r="J929" s="6">
        <f>SUBTOTAL(9,J922:J928)</f>
        <v>656.88499999999999</v>
      </c>
      <c r="K929" t="s">
        <v>390</v>
      </c>
    </row>
    <row r="930" spans="3:11" outlineLevel="2" x14ac:dyDescent="0.3">
      <c r="C930" s="10">
        <v>45019</v>
      </c>
      <c r="D930" s="11" t="s">
        <v>8</v>
      </c>
      <c r="E930" s="11" t="s">
        <v>20</v>
      </c>
      <c r="F930" s="11" t="s">
        <v>13</v>
      </c>
      <c r="G930" s="11" t="s">
        <v>38</v>
      </c>
      <c r="H930" s="11">
        <v>2400</v>
      </c>
      <c r="I930" s="11">
        <v>21</v>
      </c>
      <c r="J930" s="6">
        <f t="shared" ref="J930:J939" si="57">H930*I930/1000</f>
        <v>50.4</v>
      </c>
      <c r="K930" t="s">
        <v>390</v>
      </c>
    </row>
    <row r="931" spans="3:11" outlineLevel="2" x14ac:dyDescent="0.3">
      <c r="C931" s="9">
        <v>45019</v>
      </c>
      <c r="D931" t="s">
        <v>12</v>
      </c>
      <c r="E931" t="s">
        <v>9</v>
      </c>
      <c r="F931" t="s">
        <v>13</v>
      </c>
      <c r="G931" t="s">
        <v>38</v>
      </c>
      <c r="H931">
        <v>2400</v>
      </c>
      <c r="I931">
        <v>27</v>
      </c>
      <c r="J931" s="6">
        <f t="shared" si="57"/>
        <v>64.8</v>
      </c>
      <c r="K931" t="s">
        <v>390</v>
      </c>
    </row>
    <row r="932" spans="3:11" outlineLevel="2" x14ac:dyDescent="0.3">
      <c r="C932" s="9">
        <v>45019</v>
      </c>
      <c r="D932" t="s">
        <v>17</v>
      </c>
      <c r="E932" t="s">
        <v>9</v>
      </c>
      <c r="F932" t="s">
        <v>24</v>
      </c>
      <c r="G932" t="s">
        <v>42</v>
      </c>
      <c r="H932">
        <v>3205</v>
      </c>
      <c r="I932">
        <v>81</v>
      </c>
      <c r="J932" s="6">
        <f t="shared" si="57"/>
        <v>259.60500000000002</v>
      </c>
      <c r="K932" t="s">
        <v>390</v>
      </c>
    </row>
    <row r="933" spans="3:11" outlineLevel="2" x14ac:dyDescent="0.3">
      <c r="C933" s="9">
        <v>45019</v>
      </c>
      <c r="D933" t="s">
        <v>8</v>
      </c>
      <c r="E933" t="s">
        <v>26</v>
      </c>
      <c r="F933" t="s">
        <v>18</v>
      </c>
      <c r="G933" t="s">
        <v>28</v>
      </c>
      <c r="H933">
        <v>690</v>
      </c>
      <c r="I933">
        <v>10</v>
      </c>
      <c r="J933" s="6">
        <f t="shared" si="57"/>
        <v>6.9</v>
      </c>
      <c r="K933" t="s">
        <v>390</v>
      </c>
    </row>
    <row r="934" spans="3:11" outlineLevel="2" x14ac:dyDescent="0.3">
      <c r="C934" s="9">
        <v>45019</v>
      </c>
      <c r="D934" t="s">
        <v>17</v>
      </c>
      <c r="E934" t="s">
        <v>26</v>
      </c>
      <c r="F934" t="s">
        <v>18</v>
      </c>
      <c r="G934" t="s">
        <v>21</v>
      </c>
      <c r="H934">
        <v>450</v>
      </c>
      <c r="I934">
        <v>74</v>
      </c>
      <c r="J934" s="6">
        <f t="shared" si="57"/>
        <v>33.299999999999997</v>
      </c>
      <c r="K934" t="s">
        <v>390</v>
      </c>
    </row>
    <row r="935" spans="3:11" outlineLevel="2" x14ac:dyDescent="0.3">
      <c r="C935" s="9">
        <v>45019</v>
      </c>
      <c r="D935" t="s">
        <v>8</v>
      </c>
      <c r="E935" t="s">
        <v>26</v>
      </c>
      <c r="F935" t="s">
        <v>13</v>
      </c>
      <c r="G935" t="s">
        <v>38</v>
      </c>
      <c r="H935">
        <v>2400</v>
      </c>
      <c r="I935">
        <v>72</v>
      </c>
      <c r="J935" s="6">
        <f t="shared" si="57"/>
        <v>172.8</v>
      </c>
      <c r="K935" t="s">
        <v>390</v>
      </c>
    </row>
    <row r="936" spans="3:11" outlineLevel="2" x14ac:dyDescent="0.3">
      <c r="C936" s="9">
        <v>45019</v>
      </c>
      <c r="D936" t="s">
        <v>12</v>
      </c>
      <c r="E936" t="s">
        <v>26</v>
      </c>
      <c r="F936" t="s">
        <v>13</v>
      </c>
      <c r="G936" t="s">
        <v>44</v>
      </c>
      <c r="H936">
        <v>2540</v>
      </c>
      <c r="I936">
        <v>79</v>
      </c>
      <c r="J936" s="6">
        <f t="shared" si="57"/>
        <v>200.66</v>
      </c>
      <c r="K936" t="s">
        <v>390</v>
      </c>
    </row>
    <row r="937" spans="3:11" outlineLevel="2" x14ac:dyDescent="0.3">
      <c r="C937" s="9">
        <v>45019</v>
      </c>
      <c r="D937" t="s">
        <v>45</v>
      </c>
      <c r="E937" t="s">
        <v>15</v>
      </c>
      <c r="F937" t="s">
        <v>18</v>
      </c>
      <c r="G937" t="s">
        <v>19</v>
      </c>
      <c r="H937">
        <v>325</v>
      </c>
      <c r="I937">
        <v>81</v>
      </c>
      <c r="J937" s="6">
        <f t="shared" si="57"/>
        <v>26.324999999999999</v>
      </c>
      <c r="K937" t="s">
        <v>390</v>
      </c>
    </row>
    <row r="938" spans="3:11" outlineLevel="2" x14ac:dyDescent="0.3">
      <c r="C938" s="9">
        <v>45019</v>
      </c>
      <c r="D938" t="s">
        <v>8</v>
      </c>
      <c r="E938" t="s">
        <v>15</v>
      </c>
      <c r="F938" t="s">
        <v>13</v>
      </c>
      <c r="G938" t="s">
        <v>22</v>
      </c>
      <c r="H938">
        <v>930</v>
      </c>
      <c r="I938">
        <v>89</v>
      </c>
      <c r="J938" s="6">
        <f t="shared" si="57"/>
        <v>82.77</v>
      </c>
      <c r="K938" t="s">
        <v>390</v>
      </c>
    </row>
    <row r="939" spans="3:11" outlineLevel="2" x14ac:dyDescent="0.3">
      <c r="C939" s="9">
        <v>45019</v>
      </c>
      <c r="D939" t="s">
        <v>12</v>
      </c>
      <c r="E939" t="s">
        <v>33</v>
      </c>
      <c r="F939" t="s">
        <v>18</v>
      </c>
      <c r="G939" t="s">
        <v>37</v>
      </c>
      <c r="H939">
        <v>890</v>
      </c>
      <c r="I939">
        <v>8</v>
      </c>
      <c r="J939" s="6">
        <f t="shared" si="57"/>
        <v>7.12</v>
      </c>
      <c r="K939" t="s">
        <v>390</v>
      </c>
    </row>
    <row r="940" spans="3:11" outlineLevel="1" x14ac:dyDescent="0.3">
      <c r="C940" s="13" t="s">
        <v>107</v>
      </c>
      <c r="J940" s="6">
        <f>SUBTOTAL(9,J930:J939)</f>
        <v>904.68000000000006</v>
      </c>
      <c r="K940" t="s">
        <v>390</v>
      </c>
    </row>
    <row r="941" spans="3:11" outlineLevel="2" x14ac:dyDescent="0.3">
      <c r="C941" s="9">
        <v>45020</v>
      </c>
      <c r="D941" t="s">
        <v>17</v>
      </c>
      <c r="E941" t="s">
        <v>20</v>
      </c>
      <c r="F941" t="s">
        <v>13</v>
      </c>
      <c r="G941" t="s">
        <v>22</v>
      </c>
      <c r="H941">
        <v>930</v>
      </c>
      <c r="I941">
        <v>40</v>
      </c>
      <c r="J941" s="6">
        <f t="shared" ref="J941:J952" si="58">H941*I941/1000</f>
        <v>37.200000000000003</v>
      </c>
      <c r="K941" t="s">
        <v>390</v>
      </c>
    </row>
    <row r="942" spans="3:11" outlineLevel="2" x14ac:dyDescent="0.3">
      <c r="C942" s="10">
        <v>45020</v>
      </c>
      <c r="D942" s="11" t="s">
        <v>8</v>
      </c>
      <c r="E942" s="11" t="s">
        <v>20</v>
      </c>
      <c r="F942" s="11" t="s">
        <v>13</v>
      </c>
      <c r="G942" s="11" t="s">
        <v>29</v>
      </c>
      <c r="H942" s="11">
        <v>1230</v>
      </c>
      <c r="I942" s="11">
        <v>33</v>
      </c>
      <c r="J942" s="6">
        <f t="shared" si="58"/>
        <v>40.590000000000003</v>
      </c>
      <c r="K942" t="s">
        <v>390</v>
      </c>
    </row>
    <row r="943" spans="3:11" outlineLevel="2" x14ac:dyDescent="0.3">
      <c r="C943" s="9">
        <v>45020</v>
      </c>
      <c r="D943" t="s">
        <v>45</v>
      </c>
      <c r="E943" t="s">
        <v>20</v>
      </c>
      <c r="F943" t="s">
        <v>24</v>
      </c>
      <c r="G943" t="s">
        <v>32</v>
      </c>
      <c r="H943">
        <v>1505</v>
      </c>
      <c r="I943">
        <v>74</v>
      </c>
      <c r="J943" s="6">
        <f t="shared" si="58"/>
        <v>111.37</v>
      </c>
      <c r="K943" t="s">
        <v>390</v>
      </c>
    </row>
    <row r="944" spans="3:11" outlineLevel="2" x14ac:dyDescent="0.3">
      <c r="C944" s="9">
        <v>45020</v>
      </c>
      <c r="D944" t="s">
        <v>17</v>
      </c>
      <c r="E944" t="s">
        <v>26</v>
      </c>
      <c r="F944" t="s">
        <v>18</v>
      </c>
      <c r="G944" t="s">
        <v>21</v>
      </c>
      <c r="H944">
        <v>450</v>
      </c>
      <c r="I944">
        <v>99</v>
      </c>
      <c r="J944" s="6">
        <f t="shared" si="58"/>
        <v>44.55</v>
      </c>
      <c r="K944" t="s">
        <v>390</v>
      </c>
    </row>
    <row r="945" spans="3:11" outlineLevel="2" x14ac:dyDescent="0.3">
      <c r="C945" s="9">
        <v>45020</v>
      </c>
      <c r="D945" t="s">
        <v>45</v>
      </c>
      <c r="E945" t="s">
        <v>26</v>
      </c>
      <c r="F945" t="s">
        <v>13</v>
      </c>
      <c r="G945" t="s">
        <v>22</v>
      </c>
      <c r="H945">
        <v>930</v>
      </c>
      <c r="I945">
        <v>22</v>
      </c>
      <c r="J945" s="6">
        <f t="shared" si="58"/>
        <v>20.46</v>
      </c>
      <c r="K945" t="s">
        <v>390</v>
      </c>
    </row>
    <row r="946" spans="3:11" outlineLevel="2" x14ac:dyDescent="0.3">
      <c r="C946" s="9">
        <v>45020</v>
      </c>
      <c r="D946" t="s">
        <v>8</v>
      </c>
      <c r="E946" t="s">
        <v>15</v>
      </c>
      <c r="F946" t="s">
        <v>13</v>
      </c>
      <c r="G946" t="s">
        <v>14</v>
      </c>
      <c r="H946">
        <v>1320</v>
      </c>
      <c r="I946">
        <v>17</v>
      </c>
      <c r="J946" s="6">
        <f t="shared" si="58"/>
        <v>22.44</v>
      </c>
      <c r="K946" t="s">
        <v>390</v>
      </c>
    </row>
    <row r="947" spans="3:11" outlineLevel="2" x14ac:dyDescent="0.3">
      <c r="C947" s="9">
        <v>45020</v>
      </c>
      <c r="D947" t="s">
        <v>17</v>
      </c>
      <c r="E947" t="s">
        <v>15</v>
      </c>
      <c r="F947" t="s">
        <v>13</v>
      </c>
      <c r="G947" t="s">
        <v>29</v>
      </c>
      <c r="H947">
        <v>1230</v>
      </c>
      <c r="I947">
        <v>94</v>
      </c>
      <c r="J947" s="6">
        <f t="shared" si="58"/>
        <v>115.62</v>
      </c>
      <c r="K947" t="s">
        <v>390</v>
      </c>
    </row>
    <row r="948" spans="3:11" outlineLevel="2" x14ac:dyDescent="0.3">
      <c r="C948" s="9">
        <v>45020</v>
      </c>
      <c r="D948" t="s">
        <v>45</v>
      </c>
      <c r="E948" t="s">
        <v>33</v>
      </c>
      <c r="F948" t="s">
        <v>24</v>
      </c>
      <c r="G948" t="s">
        <v>34</v>
      </c>
      <c r="H948">
        <v>1670</v>
      </c>
      <c r="I948">
        <v>51</v>
      </c>
      <c r="J948" s="6">
        <f t="shared" si="58"/>
        <v>85.17</v>
      </c>
      <c r="K948" t="s">
        <v>390</v>
      </c>
    </row>
    <row r="949" spans="3:11" outlineLevel="2" x14ac:dyDescent="0.3">
      <c r="C949" s="9">
        <v>45020</v>
      </c>
      <c r="D949" t="s">
        <v>45</v>
      </c>
      <c r="E949" t="s">
        <v>35</v>
      </c>
      <c r="F949" t="s">
        <v>10</v>
      </c>
      <c r="G949" t="s">
        <v>16</v>
      </c>
      <c r="H949">
        <v>1380</v>
      </c>
      <c r="I949">
        <v>53</v>
      </c>
      <c r="J949" s="6">
        <f t="shared" si="58"/>
        <v>73.14</v>
      </c>
      <c r="K949" t="s">
        <v>390</v>
      </c>
    </row>
    <row r="950" spans="3:11" outlineLevel="2" x14ac:dyDescent="0.3">
      <c r="C950" s="9">
        <v>45020</v>
      </c>
      <c r="D950" t="s">
        <v>45</v>
      </c>
      <c r="E950" t="s">
        <v>35</v>
      </c>
      <c r="F950" t="s">
        <v>18</v>
      </c>
      <c r="G950" t="s">
        <v>27</v>
      </c>
      <c r="H950">
        <v>460</v>
      </c>
      <c r="I950">
        <v>28</v>
      </c>
      <c r="J950" s="6">
        <f t="shared" si="58"/>
        <v>12.88</v>
      </c>
      <c r="K950" t="s">
        <v>390</v>
      </c>
    </row>
    <row r="951" spans="3:11" outlineLevel="2" x14ac:dyDescent="0.3">
      <c r="C951" s="9">
        <v>45020</v>
      </c>
      <c r="D951" t="s">
        <v>17</v>
      </c>
      <c r="E951" t="s">
        <v>35</v>
      </c>
      <c r="F951" t="s">
        <v>18</v>
      </c>
      <c r="G951" t="s">
        <v>37</v>
      </c>
      <c r="H951">
        <v>890</v>
      </c>
      <c r="I951">
        <v>18</v>
      </c>
      <c r="J951" s="6">
        <f t="shared" si="58"/>
        <v>16.02</v>
      </c>
      <c r="K951" t="s">
        <v>390</v>
      </c>
    </row>
    <row r="952" spans="3:11" outlineLevel="2" x14ac:dyDescent="0.3">
      <c r="C952" s="9">
        <v>45020</v>
      </c>
      <c r="D952" t="s">
        <v>17</v>
      </c>
      <c r="E952" t="s">
        <v>35</v>
      </c>
      <c r="F952" t="s">
        <v>13</v>
      </c>
      <c r="G952" t="s">
        <v>43</v>
      </c>
      <c r="H952">
        <v>1420</v>
      </c>
      <c r="I952">
        <v>90</v>
      </c>
      <c r="J952" s="6">
        <f t="shared" si="58"/>
        <v>127.8</v>
      </c>
      <c r="K952" t="s">
        <v>390</v>
      </c>
    </row>
    <row r="953" spans="3:11" outlineLevel="1" x14ac:dyDescent="0.3">
      <c r="C953" s="13" t="s">
        <v>108</v>
      </c>
      <c r="J953" s="6">
        <f>SUBTOTAL(9,J941:J952)</f>
        <v>707.24</v>
      </c>
      <c r="K953" t="s">
        <v>390</v>
      </c>
    </row>
    <row r="954" spans="3:11" outlineLevel="2" x14ac:dyDescent="0.3">
      <c r="C954" s="10">
        <v>45021</v>
      </c>
      <c r="D954" s="11" t="s">
        <v>12</v>
      </c>
      <c r="E954" s="11" t="s">
        <v>20</v>
      </c>
      <c r="F954" s="11" t="s">
        <v>18</v>
      </c>
      <c r="G954" s="11" t="s">
        <v>28</v>
      </c>
      <c r="H954" s="11">
        <v>690</v>
      </c>
      <c r="I954" s="11">
        <v>41</v>
      </c>
      <c r="J954" s="6">
        <f t="shared" ref="J954:J959" si="59">H954*I954/1000</f>
        <v>28.29</v>
      </c>
      <c r="K954" t="s">
        <v>390</v>
      </c>
    </row>
    <row r="955" spans="3:11" outlineLevel="2" x14ac:dyDescent="0.3">
      <c r="C955" s="9">
        <v>45021</v>
      </c>
      <c r="D955" t="s">
        <v>17</v>
      </c>
      <c r="E955" t="s">
        <v>9</v>
      </c>
      <c r="F955" t="s">
        <v>18</v>
      </c>
      <c r="G955" t="s">
        <v>27</v>
      </c>
      <c r="H955">
        <v>460</v>
      </c>
      <c r="I955">
        <v>12</v>
      </c>
      <c r="J955" s="6">
        <f t="shared" si="59"/>
        <v>5.52</v>
      </c>
      <c r="K955" t="s">
        <v>390</v>
      </c>
    </row>
    <row r="956" spans="3:11" outlineLevel="2" x14ac:dyDescent="0.3">
      <c r="C956" s="9">
        <v>45021</v>
      </c>
      <c r="D956" t="s">
        <v>12</v>
      </c>
      <c r="E956" t="s">
        <v>26</v>
      </c>
      <c r="F956" t="s">
        <v>13</v>
      </c>
      <c r="G956" t="s">
        <v>14</v>
      </c>
      <c r="H956">
        <v>1320</v>
      </c>
      <c r="I956">
        <v>94</v>
      </c>
      <c r="J956" s="6">
        <f t="shared" si="59"/>
        <v>124.08</v>
      </c>
      <c r="K956" t="s">
        <v>390</v>
      </c>
    </row>
    <row r="957" spans="3:11" outlineLevel="2" x14ac:dyDescent="0.3">
      <c r="C957" s="9">
        <v>45021</v>
      </c>
      <c r="D957" t="s">
        <v>12</v>
      </c>
      <c r="E957" t="s">
        <v>15</v>
      </c>
      <c r="F957" t="s">
        <v>10</v>
      </c>
      <c r="G957" t="s">
        <v>16</v>
      </c>
      <c r="H957">
        <v>1380</v>
      </c>
      <c r="I957">
        <v>69</v>
      </c>
      <c r="J957" s="6">
        <f t="shared" si="59"/>
        <v>95.22</v>
      </c>
      <c r="K957" t="s">
        <v>390</v>
      </c>
    </row>
    <row r="958" spans="3:11" outlineLevel="2" x14ac:dyDescent="0.3">
      <c r="C958" s="9">
        <v>45021</v>
      </c>
      <c r="D958" t="s">
        <v>17</v>
      </c>
      <c r="E958" t="s">
        <v>35</v>
      </c>
      <c r="F958" t="s">
        <v>10</v>
      </c>
      <c r="G958" t="s">
        <v>16</v>
      </c>
      <c r="H958">
        <v>1380</v>
      </c>
      <c r="I958">
        <v>95</v>
      </c>
      <c r="J958" s="6">
        <f t="shared" si="59"/>
        <v>131.1</v>
      </c>
      <c r="K958" t="s">
        <v>390</v>
      </c>
    </row>
    <row r="959" spans="3:11" outlineLevel="2" x14ac:dyDescent="0.3">
      <c r="C959" s="9">
        <v>45021</v>
      </c>
      <c r="D959" t="s">
        <v>17</v>
      </c>
      <c r="E959" t="s">
        <v>35</v>
      </c>
      <c r="F959" t="s">
        <v>10</v>
      </c>
      <c r="G959" t="s">
        <v>39</v>
      </c>
      <c r="H959">
        <v>650</v>
      </c>
      <c r="I959">
        <v>73</v>
      </c>
      <c r="J959" s="6">
        <f t="shared" si="59"/>
        <v>47.45</v>
      </c>
      <c r="K959" t="s">
        <v>390</v>
      </c>
    </row>
    <row r="960" spans="3:11" outlineLevel="1" x14ac:dyDescent="0.3">
      <c r="C960" s="13" t="s">
        <v>109</v>
      </c>
      <c r="J960" s="6">
        <f>SUBTOTAL(9,J954:J959)</f>
        <v>431.65999999999997</v>
      </c>
      <c r="K960" t="s">
        <v>390</v>
      </c>
    </row>
    <row r="961" spans="3:11" outlineLevel="2" x14ac:dyDescent="0.3">
      <c r="C961" s="9">
        <v>45022</v>
      </c>
      <c r="D961" t="s">
        <v>17</v>
      </c>
      <c r="E961" t="s">
        <v>20</v>
      </c>
      <c r="F961" t="s">
        <v>18</v>
      </c>
      <c r="G961" t="s">
        <v>21</v>
      </c>
      <c r="H961">
        <v>450</v>
      </c>
      <c r="I961">
        <v>38</v>
      </c>
      <c r="J961" s="6">
        <f t="shared" ref="J961:J973" si="60">H961*I961/1000</f>
        <v>17.100000000000001</v>
      </c>
      <c r="K961" t="s">
        <v>390</v>
      </c>
    </row>
    <row r="962" spans="3:11" outlineLevel="2" x14ac:dyDescent="0.3">
      <c r="C962" s="10">
        <v>45022</v>
      </c>
      <c r="D962" s="11" t="s">
        <v>12</v>
      </c>
      <c r="E962" s="11" t="s">
        <v>20</v>
      </c>
      <c r="F962" s="11" t="s">
        <v>18</v>
      </c>
      <c r="G962" s="11" t="s">
        <v>28</v>
      </c>
      <c r="H962" s="11">
        <v>690</v>
      </c>
      <c r="I962" s="11">
        <v>66</v>
      </c>
      <c r="J962" s="6">
        <f t="shared" si="60"/>
        <v>45.54</v>
      </c>
      <c r="K962" t="s">
        <v>390</v>
      </c>
    </row>
    <row r="963" spans="3:11" outlineLevel="2" x14ac:dyDescent="0.3">
      <c r="C963" s="9">
        <v>45022</v>
      </c>
      <c r="D963" t="s">
        <v>45</v>
      </c>
      <c r="E963" t="s">
        <v>20</v>
      </c>
      <c r="F963" t="s">
        <v>18</v>
      </c>
      <c r="G963" t="s">
        <v>19</v>
      </c>
      <c r="H963">
        <v>325</v>
      </c>
      <c r="I963">
        <v>64</v>
      </c>
      <c r="J963" s="6">
        <f t="shared" si="60"/>
        <v>20.8</v>
      </c>
      <c r="K963" t="s">
        <v>390</v>
      </c>
    </row>
    <row r="964" spans="3:11" outlineLevel="2" x14ac:dyDescent="0.3">
      <c r="C964" s="9">
        <v>45022</v>
      </c>
      <c r="D964" t="s">
        <v>17</v>
      </c>
      <c r="E964" t="s">
        <v>9</v>
      </c>
      <c r="F964" t="s">
        <v>18</v>
      </c>
      <c r="G964" t="s">
        <v>21</v>
      </c>
      <c r="H964">
        <v>450</v>
      </c>
      <c r="I964">
        <v>48</v>
      </c>
      <c r="J964" s="6">
        <f t="shared" si="60"/>
        <v>21.6</v>
      </c>
      <c r="K964" t="s">
        <v>390</v>
      </c>
    </row>
    <row r="965" spans="3:11" outlineLevel="2" x14ac:dyDescent="0.3">
      <c r="C965" s="9">
        <v>45022</v>
      </c>
      <c r="D965" t="s">
        <v>12</v>
      </c>
      <c r="E965" t="s">
        <v>9</v>
      </c>
      <c r="F965" t="s">
        <v>24</v>
      </c>
      <c r="G965" t="s">
        <v>25</v>
      </c>
      <c r="H965">
        <v>1760</v>
      </c>
      <c r="I965">
        <v>49</v>
      </c>
      <c r="J965" s="6">
        <f t="shared" si="60"/>
        <v>86.24</v>
      </c>
      <c r="K965" t="s">
        <v>390</v>
      </c>
    </row>
    <row r="966" spans="3:11" outlineLevel="2" x14ac:dyDescent="0.3">
      <c r="C966" s="9">
        <v>45022</v>
      </c>
      <c r="D966" t="s">
        <v>17</v>
      </c>
      <c r="E966" t="s">
        <v>26</v>
      </c>
      <c r="F966" t="s">
        <v>18</v>
      </c>
      <c r="G966" t="s">
        <v>28</v>
      </c>
      <c r="H966">
        <v>690</v>
      </c>
      <c r="I966">
        <v>40</v>
      </c>
      <c r="J966" s="6">
        <f t="shared" si="60"/>
        <v>27.6</v>
      </c>
      <c r="K966" t="s">
        <v>390</v>
      </c>
    </row>
    <row r="967" spans="3:11" outlineLevel="2" x14ac:dyDescent="0.3">
      <c r="C967" s="9">
        <v>45022</v>
      </c>
      <c r="D967" t="s">
        <v>45</v>
      </c>
      <c r="E967" t="s">
        <v>26</v>
      </c>
      <c r="F967" t="s">
        <v>13</v>
      </c>
      <c r="G967" t="s">
        <v>29</v>
      </c>
      <c r="H967">
        <v>1230</v>
      </c>
      <c r="I967">
        <v>28</v>
      </c>
      <c r="J967" s="6">
        <f t="shared" si="60"/>
        <v>34.44</v>
      </c>
      <c r="K967" t="s">
        <v>390</v>
      </c>
    </row>
    <row r="968" spans="3:11" outlineLevel="2" x14ac:dyDescent="0.3">
      <c r="C968" s="9">
        <v>45022</v>
      </c>
      <c r="D968" t="s">
        <v>12</v>
      </c>
      <c r="E968" t="s">
        <v>26</v>
      </c>
      <c r="F968" t="s">
        <v>24</v>
      </c>
      <c r="G968" t="s">
        <v>36</v>
      </c>
      <c r="H968">
        <v>2460</v>
      </c>
      <c r="I968">
        <v>67</v>
      </c>
      <c r="J968" s="6">
        <f t="shared" si="60"/>
        <v>164.82</v>
      </c>
      <c r="K968" t="s">
        <v>390</v>
      </c>
    </row>
    <row r="969" spans="3:11" outlineLevel="2" x14ac:dyDescent="0.3">
      <c r="C969" s="9">
        <v>45022</v>
      </c>
      <c r="D969" t="s">
        <v>8</v>
      </c>
      <c r="E969" t="s">
        <v>15</v>
      </c>
      <c r="F969" t="s">
        <v>18</v>
      </c>
      <c r="G969" t="s">
        <v>27</v>
      </c>
      <c r="H969">
        <v>460</v>
      </c>
      <c r="I969">
        <v>71</v>
      </c>
      <c r="J969" s="6">
        <f t="shared" si="60"/>
        <v>32.659999999999997</v>
      </c>
      <c r="K969" t="s">
        <v>390</v>
      </c>
    </row>
    <row r="970" spans="3:11" outlineLevel="2" x14ac:dyDescent="0.3">
      <c r="C970" s="9">
        <v>45022</v>
      </c>
      <c r="D970" t="s">
        <v>12</v>
      </c>
      <c r="E970" t="s">
        <v>15</v>
      </c>
      <c r="F970" t="s">
        <v>18</v>
      </c>
      <c r="G970" t="s">
        <v>31</v>
      </c>
      <c r="H970">
        <v>715</v>
      </c>
      <c r="I970">
        <v>44</v>
      </c>
      <c r="J970" s="6">
        <f t="shared" si="60"/>
        <v>31.46</v>
      </c>
      <c r="K970" t="s">
        <v>390</v>
      </c>
    </row>
    <row r="971" spans="3:11" outlineLevel="2" x14ac:dyDescent="0.3">
      <c r="C971" s="9">
        <v>45022</v>
      </c>
      <c r="D971" t="s">
        <v>8</v>
      </c>
      <c r="E971" t="s">
        <v>33</v>
      </c>
      <c r="F971" t="s">
        <v>10</v>
      </c>
      <c r="G971" t="s">
        <v>39</v>
      </c>
      <c r="H971">
        <v>650</v>
      </c>
      <c r="I971">
        <v>84</v>
      </c>
      <c r="J971" s="6">
        <f t="shared" si="60"/>
        <v>54.6</v>
      </c>
      <c r="K971" t="s">
        <v>390</v>
      </c>
    </row>
    <row r="972" spans="3:11" outlineLevel="2" x14ac:dyDescent="0.3">
      <c r="C972" s="9">
        <v>45022</v>
      </c>
      <c r="D972" t="s">
        <v>8</v>
      </c>
      <c r="E972" t="s">
        <v>35</v>
      </c>
      <c r="F972" t="s">
        <v>10</v>
      </c>
      <c r="G972" t="s">
        <v>23</v>
      </c>
      <c r="H972">
        <v>640</v>
      </c>
      <c r="I972">
        <v>88</v>
      </c>
      <c r="J972" s="6">
        <f t="shared" si="60"/>
        <v>56.32</v>
      </c>
      <c r="K972" t="s">
        <v>390</v>
      </c>
    </row>
    <row r="973" spans="3:11" outlineLevel="2" x14ac:dyDescent="0.3">
      <c r="C973" s="9">
        <v>45022</v>
      </c>
      <c r="D973" t="s">
        <v>17</v>
      </c>
      <c r="E973" t="s">
        <v>35</v>
      </c>
      <c r="F973" t="s">
        <v>13</v>
      </c>
      <c r="G973" t="s">
        <v>38</v>
      </c>
      <c r="H973">
        <v>2400</v>
      </c>
      <c r="I973">
        <v>29</v>
      </c>
      <c r="J973" s="6">
        <f t="shared" si="60"/>
        <v>69.599999999999994</v>
      </c>
      <c r="K973" t="s">
        <v>390</v>
      </c>
    </row>
    <row r="974" spans="3:11" outlineLevel="1" x14ac:dyDescent="0.3">
      <c r="C974" s="13" t="s">
        <v>110</v>
      </c>
      <c r="J974" s="6">
        <f>SUBTOTAL(9,J961:J973)</f>
        <v>662.78</v>
      </c>
      <c r="K974" t="s">
        <v>390</v>
      </c>
    </row>
    <row r="975" spans="3:11" outlineLevel="2" x14ac:dyDescent="0.3">
      <c r="C975" s="10">
        <v>45023</v>
      </c>
      <c r="D975" s="11" t="s">
        <v>8</v>
      </c>
      <c r="E975" s="11" t="s">
        <v>20</v>
      </c>
      <c r="F975" s="11" t="s">
        <v>18</v>
      </c>
      <c r="G975" s="11" t="s">
        <v>21</v>
      </c>
      <c r="H975" s="11">
        <v>450</v>
      </c>
      <c r="I975" s="11">
        <v>27</v>
      </c>
      <c r="J975" s="6">
        <f t="shared" ref="J975:J987" si="61">H975*I975/1000</f>
        <v>12.15</v>
      </c>
      <c r="K975" t="s">
        <v>390</v>
      </c>
    </row>
    <row r="976" spans="3:11" outlineLevel="2" x14ac:dyDescent="0.3">
      <c r="C976" s="9">
        <v>45023</v>
      </c>
      <c r="D976" t="s">
        <v>8</v>
      </c>
      <c r="E976" t="s">
        <v>20</v>
      </c>
      <c r="F976" t="s">
        <v>18</v>
      </c>
      <c r="G976" t="s">
        <v>27</v>
      </c>
      <c r="H976">
        <v>460</v>
      </c>
      <c r="I976">
        <v>55</v>
      </c>
      <c r="J976" s="6">
        <f t="shared" si="61"/>
        <v>25.3</v>
      </c>
      <c r="K976" t="s">
        <v>390</v>
      </c>
    </row>
    <row r="977" spans="3:11" outlineLevel="2" x14ac:dyDescent="0.3">
      <c r="C977" s="10">
        <v>45023</v>
      </c>
      <c r="D977" s="11" t="s">
        <v>17</v>
      </c>
      <c r="E977" s="11" t="s">
        <v>20</v>
      </c>
      <c r="F977" s="11" t="s">
        <v>24</v>
      </c>
      <c r="G977" s="11" t="s">
        <v>42</v>
      </c>
      <c r="H977" s="11">
        <v>3205</v>
      </c>
      <c r="I977" s="11">
        <v>89</v>
      </c>
      <c r="J977" s="6">
        <f t="shared" si="61"/>
        <v>285.245</v>
      </c>
      <c r="K977" t="s">
        <v>390</v>
      </c>
    </row>
    <row r="978" spans="3:11" outlineLevel="2" x14ac:dyDescent="0.3">
      <c r="C978" s="9">
        <v>45023</v>
      </c>
      <c r="D978" t="s">
        <v>12</v>
      </c>
      <c r="E978" t="s">
        <v>9</v>
      </c>
      <c r="F978" t="s">
        <v>10</v>
      </c>
      <c r="G978" t="s">
        <v>11</v>
      </c>
      <c r="H978">
        <v>705</v>
      </c>
      <c r="I978">
        <v>92</v>
      </c>
      <c r="J978" s="6">
        <f t="shared" si="61"/>
        <v>64.86</v>
      </c>
      <c r="K978" t="s">
        <v>390</v>
      </c>
    </row>
    <row r="979" spans="3:11" outlineLevel="2" x14ac:dyDescent="0.3">
      <c r="C979" s="9">
        <v>45023</v>
      </c>
      <c r="D979" t="s">
        <v>17</v>
      </c>
      <c r="E979" t="s">
        <v>9</v>
      </c>
      <c r="F979" t="s">
        <v>18</v>
      </c>
      <c r="G979" t="s">
        <v>28</v>
      </c>
      <c r="H979">
        <v>690</v>
      </c>
      <c r="I979">
        <v>52</v>
      </c>
      <c r="J979" s="6">
        <f t="shared" si="61"/>
        <v>35.880000000000003</v>
      </c>
      <c r="K979" t="s">
        <v>390</v>
      </c>
    </row>
    <row r="980" spans="3:11" outlineLevel="2" x14ac:dyDescent="0.3">
      <c r="C980" s="9">
        <v>45023</v>
      </c>
      <c r="D980" t="s">
        <v>45</v>
      </c>
      <c r="E980" t="s">
        <v>9</v>
      </c>
      <c r="F980" t="s">
        <v>24</v>
      </c>
      <c r="G980" t="s">
        <v>30</v>
      </c>
      <c r="H980">
        <v>2970</v>
      </c>
      <c r="I980">
        <v>85</v>
      </c>
      <c r="J980" s="6">
        <f t="shared" si="61"/>
        <v>252.45</v>
      </c>
      <c r="K980" t="s">
        <v>390</v>
      </c>
    </row>
    <row r="981" spans="3:11" outlineLevel="2" x14ac:dyDescent="0.3">
      <c r="C981" s="9">
        <v>45023</v>
      </c>
      <c r="D981" t="s">
        <v>17</v>
      </c>
      <c r="E981" t="s">
        <v>15</v>
      </c>
      <c r="F981" t="s">
        <v>18</v>
      </c>
      <c r="G981" t="s">
        <v>31</v>
      </c>
      <c r="H981">
        <v>715</v>
      </c>
      <c r="I981">
        <v>73</v>
      </c>
      <c r="J981" s="6">
        <f t="shared" si="61"/>
        <v>52.195</v>
      </c>
      <c r="K981" t="s">
        <v>390</v>
      </c>
    </row>
    <row r="982" spans="3:11" outlineLevel="2" x14ac:dyDescent="0.3">
      <c r="C982" s="9">
        <v>45023</v>
      </c>
      <c r="D982" t="s">
        <v>12</v>
      </c>
      <c r="E982" t="s">
        <v>15</v>
      </c>
      <c r="F982" t="s">
        <v>18</v>
      </c>
      <c r="G982" t="s">
        <v>19</v>
      </c>
      <c r="H982">
        <v>325</v>
      </c>
      <c r="I982">
        <v>29</v>
      </c>
      <c r="J982" s="6">
        <f t="shared" si="61"/>
        <v>9.4250000000000007</v>
      </c>
      <c r="K982" t="s">
        <v>390</v>
      </c>
    </row>
    <row r="983" spans="3:11" outlineLevel="2" x14ac:dyDescent="0.3">
      <c r="C983" s="9">
        <v>45023</v>
      </c>
      <c r="D983" t="s">
        <v>8</v>
      </c>
      <c r="E983" t="s">
        <v>15</v>
      </c>
      <c r="F983" t="s">
        <v>24</v>
      </c>
      <c r="G983" t="s">
        <v>32</v>
      </c>
      <c r="H983">
        <v>1505</v>
      </c>
      <c r="I983">
        <v>59</v>
      </c>
      <c r="J983" s="6">
        <f t="shared" si="61"/>
        <v>88.795000000000002</v>
      </c>
      <c r="K983" t="s">
        <v>390</v>
      </c>
    </row>
    <row r="984" spans="3:11" outlineLevel="2" x14ac:dyDescent="0.3">
      <c r="C984" s="9">
        <v>45023</v>
      </c>
      <c r="D984" t="s">
        <v>17</v>
      </c>
      <c r="E984" t="s">
        <v>33</v>
      </c>
      <c r="F984" t="s">
        <v>13</v>
      </c>
      <c r="G984" t="s">
        <v>44</v>
      </c>
      <c r="H984">
        <v>2540</v>
      </c>
      <c r="I984">
        <v>40</v>
      </c>
      <c r="J984" s="6">
        <f t="shared" si="61"/>
        <v>101.6</v>
      </c>
      <c r="K984" t="s">
        <v>390</v>
      </c>
    </row>
    <row r="985" spans="3:11" outlineLevel="2" x14ac:dyDescent="0.3">
      <c r="C985" s="9">
        <v>45023</v>
      </c>
      <c r="D985" t="s">
        <v>45</v>
      </c>
      <c r="E985" t="s">
        <v>35</v>
      </c>
      <c r="F985" t="s">
        <v>18</v>
      </c>
      <c r="G985" t="s">
        <v>27</v>
      </c>
      <c r="H985">
        <v>460</v>
      </c>
      <c r="I985">
        <v>93</v>
      </c>
      <c r="J985" s="6">
        <f t="shared" si="61"/>
        <v>42.78</v>
      </c>
      <c r="K985" t="s">
        <v>390</v>
      </c>
    </row>
    <row r="986" spans="3:11" outlineLevel="2" x14ac:dyDescent="0.3">
      <c r="C986" s="9">
        <v>45023</v>
      </c>
      <c r="D986" t="s">
        <v>12</v>
      </c>
      <c r="E986" t="s">
        <v>35</v>
      </c>
      <c r="F986" t="s">
        <v>18</v>
      </c>
      <c r="G986" t="s">
        <v>19</v>
      </c>
      <c r="H986">
        <v>325</v>
      </c>
      <c r="I986">
        <v>72</v>
      </c>
      <c r="J986" s="6">
        <f t="shared" si="61"/>
        <v>23.4</v>
      </c>
      <c r="K986" t="s">
        <v>390</v>
      </c>
    </row>
    <row r="987" spans="3:11" outlineLevel="2" x14ac:dyDescent="0.3">
      <c r="C987" s="9">
        <v>45023</v>
      </c>
      <c r="D987" t="s">
        <v>8</v>
      </c>
      <c r="E987" t="s">
        <v>35</v>
      </c>
      <c r="F987" t="s">
        <v>13</v>
      </c>
      <c r="G987" t="s">
        <v>14</v>
      </c>
      <c r="H987">
        <v>1320</v>
      </c>
      <c r="I987">
        <v>51</v>
      </c>
      <c r="J987" s="6">
        <f t="shared" si="61"/>
        <v>67.319999999999993</v>
      </c>
      <c r="K987" t="s">
        <v>390</v>
      </c>
    </row>
    <row r="988" spans="3:11" outlineLevel="1" x14ac:dyDescent="0.3">
      <c r="C988" s="13" t="s">
        <v>111</v>
      </c>
      <c r="J988" s="6">
        <f>SUBTOTAL(9,J975:J987)</f>
        <v>1061.3999999999999</v>
      </c>
      <c r="K988" t="s">
        <v>390</v>
      </c>
    </row>
    <row r="989" spans="3:11" outlineLevel="2" x14ac:dyDescent="0.3">
      <c r="C989" s="9">
        <v>45024</v>
      </c>
      <c r="D989" t="s">
        <v>45</v>
      </c>
      <c r="E989" t="s">
        <v>20</v>
      </c>
      <c r="F989" t="s">
        <v>24</v>
      </c>
      <c r="G989" t="s">
        <v>25</v>
      </c>
      <c r="H989">
        <v>1760</v>
      </c>
      <c r="I989">
        <v>57</v>
      </c>
      <c r="J989" s="6">
        <f>H989*I989/1000</f>
        <v>100.32</v>
      </c>
      <c r="K989" t="s">
        <v>390</v>
      </c>
    </row>
    <row r="990" spans="3:11" outlineLevel="2" x14ac:dyDescent="0.3">
      <c r="C990" s="9">
        <v>45024</v>
      </c>
      <c r="D990" t="s">
        <v>12</v>
      </c>
      <c r="E990" t="s">
        <v>9</v>
      </c>
      <c r="F990" t="s">
        <v>10</v>
      </c>
      <c r="G990" t="s">
        <v>41</v>
      </c>
      <c r="H990">
        <v>650</v>
      </c>
      <c r="I990">
        <v>99</v>
      </c>
      <c r="J990" s="6">
        <f>H990*I990/1000</f>
        <v>64.349999999999994</v>
      </c>
      <c r="K990" t="s">
        <v>390</v>
      </c>
    </row>
    <row r="991" spans="3:11" outlineLevel="2" x14ac:dyDescent="0.3">
      <c r="C991" s="9">
        <v>45024</v>
      </c>
      <c r="D991" t="s">
        <v>17</v>
      </c>
      <c r="E991" t="s">
        <v>9</v>
      </c>
      <c r="F991" t="s">
        <v>10</v>
      </c>
      <c r="G991" t="s">
        <v>11</v>
      </c>
      <c r="H991">
        <v>705</v>
      </c>
      <c r="I991">
        <v>76</v>
      </c>
      <c r="J991" s="6">
        <f>H991*I991/1000</f>
        <v>53.58</v>
      </c>
      <c r="K991" t="s">
        <v>390</v>
      </c>
    </row>
    <row r="992" spans="3:11" outlineLevel="2" x14ac:dyDescent="0.3">
      <c r="C992" s="9">
        <v>45024</v>
      </c>
      <c r="D992" t="s">
        <v>45</v>
      </c>
      <c r="E992" t="s">
        <v>26</v>
      </c>
      <c r="F992" t="s">
        <v>13</v>
      </c>
      <c r="G992" t="s">
        <v>44</v>
      </c>
      <c r="H992">
        <v>2540</v>
      </c>
      <c r="I992">
        <v>91</v>
      </c>
      <c r="J992" s="6">
        <f>H992*I992/1000</f>
        <v>231.14</v>
      </c>
      <c r="K992" t="s">
        <v>390</v>
      </c>
    </row>
    <row r="993" spans="3:11" outlineLevel="2" x14ac:dyDescent="0.3">
      <c r="C993" s="9">
        <v>45024</v>
      </c>
      <c r="D993" t="s">
        <v>45</v>
      </c>
      <c r="E993" t="s">
        <v>33</v>
      </c>
      <c r="F993" t="s">
        <v>18</v>
      </c>
      <c r="G993" t="s">
        <v>31</v>
      </c>
      <c r="H993">
        <v>715</v>
      </c>
      <c r="I993">
        <v>25</v>
      </c>
      <c r="J993" s="6">
        <f>H993*I993/1000</f>
        <v>17.875</v>
      </c>
      <c r="K993" t="s">
        <v>390</v>
      </c>
    </row>
    <row r="994" spans="3:11" outlineLevel="1" x14ac:dyDescent="0.3">
      <c r="C994" s="13" t="s">
        <v>112</v>
      </c>
      <c r="J994" s="6">
        <f>SUBTOTAL(9,J989:J993)</f>
        <v>467.26499999999999</v>
      </c>
      <c r="K994" t="s">
        <v>390</v>
      </c>
    </row>
    <row r="995" spans="3:11" outlineLevel="2" x14ac:dyDescent="0.3">
      <c r="C995" s="10">
        <v>45025</v>
      </c>
      <c r="D995" s="11" t="s">
        <v>12</v>
      </c>
      <c r="E995" s="11" t="s">
        <v>20</v>
      </c>
      <c r="F995" s="11" t="s">
        <v>18</v>
      </c>
      <c r="G995" s="11" t="s">
        <v>19</v>
      </c>
      <c r="H995" s="11">
        <v>325</v>
      </c>
      <c r="I995" s="11">
        <v>81</v>
      </c>
      <c r="J995" s="6">
        <f t="shared" ref="J995:J1004" si="62">H995*I995/1000</f>
        <v>26.324999999999999</v>
      </c>
      <c r="K995" t="s">
        <v>390</v>
      </c>
    </row>
    <row r="996" spans="3:11" outlineLevel="2" x14ac:dyDescent="0.3">
      <c r="C996" s="9">
        <v>45025</v>
      </c>
      <c r="D996" t="s">
        <v>8</v>
      </c>
      <c r="E996" t="s">
        <v>20</v>
      </c>
      <c r="F996" t="s">
        <v>18</v>
      </c>
      <c r="G996" t="s">
        <v>37</v>
      </c>
      <c r="H996">
        <v>890</v>
      </c>
      <c r="I996">
        <v>27</v>
      </c>
      <c r="J996" s="6">
        <f t="shared" si="62"/>
        <v>24.03</v>
      </c>
      <c r="K996" t="s">
        <v>390</v>
      </c>
    </row>
    <row r="997" spans="3:11" outlineLevel="2" x14ac:dyDescent="0.3">
      <c r="C997" s="9">
        <v>45025</v>
      </c>
      <c r="D997" t="s">
        <v>8</v>
      </c>
      <c r="E997" t="s">
        <v>9</v>
      </c>
      <c r="F997" t="s">
        <v>18</v>
      </c>
      <c r="G997" t="s">
        <v>19</v>
      </c>
      <c r="H997">
        <v>325</v>
      </c>
      <c r="I997">
        <v>85</v>
      </c>
      <c r="J997" s="6">
        <f t="shared" si="62"/>
        <v>27.625</v>
      </c>
      <c r="K997" t="s">
        <v>390</v>
      </c>
    </row>
    <row r="998" spans="3:11" outlineLevel="2" x14ac:dyDescent="0.3">
      <c r="C998" s="9">
        <v>45025</v>
      </c>
      <c r="D998" t="s">
        <v>8</v>
      </c>
      <c r="E998" t="s">
        <v>9</v>
      </c>
      <c r="F998" t="s">
        <v>13</v>
      </c>
      <c r="G998" t="s">
        <v>22</v>
      </c>
      <c r="H998">
        <v>930</v>
      </c>
      <c r="I998">
        <v>6</v>
      </c>
      <c r="J998" s="6">
        <f t="shared" si="62"/>
        <v>5.58</v>
      </c>
      <c r="K998" t="s">
        <v>390</v>
      </c>
    </row>
    <row r="999" spans="3:11" outlineLevel="2" x14ac:dyDescent="0.3">
      <c r="C999" s="9">
        <v>45025</v>
      </c>
      <c r="D999" t="s">
        <v>12</v>
      </c>
      <c r="E999" t="s">
        <v>9</v>
      </c>
      <c r="F999" t="s">
        <v>24</v>
      </c>
      <c r="G999" t="s">
        <v>30</v>
      </c>
      <c r="H999">
        <v>2970</v>
      </c>
      <c r="I999">
        <v>12</v>
      </c>
      <c r="J999" s="6">
        <f t="shared" si="62"/>
        <v>35.64</v>
      </c>
      <c r="K999" t="s">
        <v>390</v>
      </c>
    </row>
    <row r="1000" spans="3:11" outlineLevel="2" x14ac:dyDescent="0.3">
      <c r="C1000" s="9">
        <v>45025</v>
      </c>
      <c r="D1000" t="s">
        <v>8</v>
      </c>
      <c r="E1000" t="s">
        <v>26</v>
      </c>
      <c r="F1000" t="s">
        <v>10</v>
      </c>
      <c r="G1000" t="s">
        <v>41</v>
      </c>
      <c r="H1000">
        <v>650</v>
      </c>
      <c r="I1000">
        <v>52</v>
      </c>
      <c r="J1000" s="6">
        <f t="shared" si="62"/>
        <v>33.799999999999997</v>
      </c>
      <c r="K1000" t="s">
        <v>390</v>
      </c>
    </row>
    <row r="1001" spans="3:11" outlineLevel="2" x14ac:dyDescent="0.3">
      <c r="C1001" s="9">
        <v>45025</v>
      </c>
      <c r="D1001" t="s">
        <v>12</v>
      </c>
      <c r="E1001" t="s">
        <v>26</v>
      </c>
      <c r="F1001" t="s">
        <v>13</v>
      </c>
      <c r="G1001" t="s">
        <v>14</v>
      </c>
      <c r="H1001">
        <v>1320</v>
      </c>
      <c r="I1001">
        <v>100</v>
      </c>
      <c r="J1001" s="6">
        <f t="shared" si="62"/>
        <v>132</v>
      </c>
      <c r="K1001" t="s">
        <v>390</v>
      </c>
    </row>
    <row r="1002" spans="3:11" outlineLevel="2" x14ac:dyDescent="0.3">
      <c r="C1002" s="9">
        <v>45025</v>
      </c>
      <c r="D1002" t="s">
        <v>8</v>
      </c>
      <c r="E1002" t="s">
        <v>15</v>
      </c>
      <c r="F1002" t="s">
        <v>18</v>
      </c>
      <c r="G1002" t="s">
        <v>31</v>
      </c>
      <c r="H1002">
        <v>715</v>
      </c>
      <c r="I1002">
        <v>61</v>
      </c>
      <c r="J1002" s="6">
        <f t="shared" si="62"/>
        <v>43.615000000000002</v>
      </c>
      <c r="K1002" t="s">
        <v>390</v>
      </c>
    </row>
    <row r="1003" spans="3:11" outlineLevel="2" x14ac:dyDescent="0.3">
      <c r="C1003" s="9">
        <v>45025</v>
      </c>
      <c r="D1003" t="s">
        <v>17</v>
      </c>
      <c r="E1003" t="s">
        <v>15</v>
      </c>
      <c r="F1003" t="s">
        <v>24</v>
      </c>
      <c r="G1003" t="s">
        <v>42</v>
      </c>
      <c r="H1003">
        <v>3205</v>
      </c>
      <c r="I1003">
        <v>80</v>
      </c>
      <c r="J1003" s="6">
        <f t="shared" si="62"/>
        <v>256.39999999999998</v>
      </c>
      <c r="K1003" t="s">
        <v>390</v>
      </c>
    </row>
    <row r="1004" spans="3:11" outlineLevel="2" x14ac:dyDescent="0.3">
      <c r="C1004" s="9">
        <v>45025</v>
      </c>
      <c r="D1004" t="s">
        <v>45</v>
      </c>
      <c r="E1004" t="s">
        <v>33</v>
      </c>
      <c r="F1004" t="s">
        <v>24</v>
      </c>
      <c r="G1004" t="s">
        <v>34</v>
      </c>
      <c r="H1004">
        <v>1670</v>
      </c>
      <c r="I1004">
        <v>79</v>
      </c>
      <c r="J1004" s="6">
        <f t="shared" si="62"/>
        <v>131.93</v>
      </c>
      <c r="K1004" t="s">
        <v>390</v>
      </c>
    </row>
    <row r="1005" spans="3:11" outlineLevel="1" x14ac:dyDescent="0.3">
      <c r="C1005" s="13" t="s">
        <v>113</v>
      </c>
      <c r="J1005" s="6">
        <f>SUBTOTAL(9,J995:J1004)</f>
        <v>716.94499999999994</v>
      </c>
      <c r="K1005" t="s">
        <v>390</v>
      </c>
    </row>
    <row r="1006" spans="3:11" outlineLevel="2" x14ac:dyDescent="0.3">
      <c r="C1006" s="10">
        <v>45026</v>
      </c>
      <c r="D1006" s="11" t="s">
        <v>8</v>
      </c>
      <c r="E1006" s="11" t="s">
        <v>20</v>
      </c>
      <c r="F1006" s="11" t="s">
        <v>18</v>
      </c>
      <c r="G1006" s="11" t="s">
        <v>27</v>
      </c>
      <c r="H1006" s="11">
        <v>460</v>
      </c>
      <c r="I1006" s="11">
        <v>55</v>
      </c>
      <c r="J1006" s="6">
        <f t="shared" ref="J1006:J1018" si="63">H1006*I1006/1000</f>
        <v>25.3</v>
      </c>
      <c r="K1006" t="s">
        <v>390</v>
      </c>
    </row>
    <row r="1007" spans="3:11" outlineLevel="2" x14ac:dyDescent="0.3">
      <c r="C1007" s="9">
        <v>45026</v>
      </c>
      <c r="D1007" t="s">
        <v>17</v>
      </c>
      <c r="E1007" t="s">
        <v>20</v>
      </c>
      <c r="F1007" t="s">
        <v>13</v>
      </c>
      <c r="G1007" t="s">
        <v>43</v>
      </c>
      <c r="H1007">
        <v>1420</v>
      </c>
      <c r="I1007">
        <v>39</v>
      </c>
      <c r="J1007" s="6">
        <f t="shared" si="63"/>
        <v>55.38</v>
      </c>
      <c r="K1007" t="s">
        <v>390</v>
      </c>
    </row>
    <row r="1008" spans="3:11" outlineLevel="2" x14ac:dyDescent="0.3">
      <c r="C1008" s="9">
        <v>45026</v>
      </c>
      <c r="D1008" t="s">
        <v>45</v>
      </c>
      <c r="E1008" t="s">
        <v>9</v>
      </c>
      <c r="F1008" t="s">
        <v>18</v>
      </c>
      <c r="G1008" t="s">
        <v>28</v>
      </c>
      <c r="H1008">
        <v>690</v>
      </c>
      <c r="I1008">
        <v>16</v>
      </c>
      <c r="J1008" s="6">
        <f t="shared" si="63"/>
        <v>11.04</v>
      </c>
      <c r="K1008" t="s">
        <v>390</v>
      </c>
    </row>
    <row r="1009" spans="3:11" outlineLevel="2" x14ac:dyDescent="0.3">
      <c r="C1009" s="9">
        <v>45026</v>
      </c>
      <c r="D1009" t="s">
        <v>45</v>
      </c>
      <c r="E1009" t="s">
        <v>9</v>
      </c>
      <c r="F1009" t="s">
        <v>13</v>
      </c>
      <c r="G1009" t="s">
        <v>43</v>
      </c>
      <c r="H1009">
        <v>1420</v>
      </c>
      <c r="I1009">
        <v>33</v>
      </c>
      <c r="J1009" s="6">
        <f t="shared" si="63"/>
        <v>46.86</v>
      </c>
      <c r="K1009" t="s">
        <v>390</v>
      </c>
    </row>
    <row r="1010" spans="3:11" outlineLevel="2" x14ac:dyDescent="0.3">
      <c r="C1010" s="9">
        <v>45026</v>
      </c>
      <c r="D1010" t="s">
        <v>17</v>
      </c>
      <c r="E1010" t="s">
        <v>26</v>
      </c>
      <c r="F1010" t="s">
        <v>18</v>
      </c>
      <c r="G1010" t="s">
        <v>19</v>
      </c>
      <c r="H1010">
        <v>325</v>
      </c>
      <c r="I1010">
        <v>77</v>
      </c>
      <c r="J1010" s="6">
        <f t="shared" si="63"/>
        <v>25.024999999999999</v>
      </c>
      <c r="K1010" t="s">
        <v>390</v>
      </c>
    </row>
    <row r="1011" spans="3:11" outlineLevel="2" x14ac:dyDescent="0.3">
      <c r="C1011" s="9">
        <v>45026</v>
      </c>
      <c r="D1011" t="s">
        <v>45</v>
      </c>
      <c r="E1011" t="s">
        <v>15</v>
      </c>
      <c r="F1011" t="s">
        <v>13</v>
      </c>
      <c r="G1011" t="s">
        <v>14</v>
      </c>
      <c r="H1011">
        <v>1320</v>
      </c>
      <c r="I1011">
        <v>80</v>
      </c>
      <c r="J1011" s="6">
        <f t="shared" si="63"/>
        <v>105.6</v>
      </c>
      <c r="K1011" t="s">
        <v>390</v>
      </c>
    </row>
    <row r="1012" spans="3:11" outlineLevel="2" x14ac:dyDescent="0.3">
      <c r="C1012" s="9">
        <v>45026</v>
      </c>
      <c r="D1012" t="s">
        <v>45</v>
      </c>
      <c r="E1012" t="s">
        <v>15</v>
      </c>
      <c r="F1012" t="s">
        <v>13</v>
      </c>
      <c r="G1012" t="s">
        <v>38</v>
      </c>
      <c r="H1012">
        <v>2400</v>
      </c>
      <c r="I1012">
        <v>15</v>
      </c>
      <c r="J1012" s="6">
        <f t="shared" si="63"/>
        <v>36</v>
      </c>
      <c r="K1012" t="s">
        <v>390</v>
      </c>
    </row>
    <row r="1013" spans="3:11" outlineLevel="2" x14ac:dyDescent="0.3">
      <c r="C1013" s="9">
        <v>45026</v>
      </c>
      <c r="D1013" t="s">
        <v>8</v>
      </c>
      <c r="E1013" t="s">
        <v>15</v>
      </c>
      <c r="F1013" t="s">
        <v>24</v>
      </c>
      <c r="G1013" t="s">
        <v>34</v>
      </c>
      <c r="H1013">
        <v>1670</v>
      </c>
      <c r="I1013">
        <v>8</v>
      </c>
      <c r="J1013" s="6">
        <f t="shared" si="63"/>
        <v>13.36</v>
      </c>
      <c r="K1013" t="s">
        <v>390</v>
      </c>
    </row>
    <row r="1014" spans="3:11" outlineLevel="2" x14ac:dyDescent="0.3">
      <c r="C1014" s="9">
        <v>45026</v>
      </c>
      <c r="D1014" t="s">
        <v>45</v>
      </c>
      <c r="E1014" t="s">
        <v>33</v>
      </c>
      <c r="F1014" t="s">
        <v>18</v>
      </c>
      <c r="G1014" t="s">
        <v>37</v>
      </c>
      <c r="H1014">
        <v>890</v>
      </c>
      <c r="I1014">
        <v>86</v>
      </c>
      <c r="J1014" s="6">
        <f t="shared" si="63"/>
        <v>76.540000000000006</v>
      </c>
      <c r="K1014" t="s">
        <v>390</v>
      </c>
    </row>
    <row r="1015" spans="3:11" outlineLevel="2" x14ac:dyDescent="0.3">
      <c r="C1015" s="9">
        <v>45026</v>
      </c>
      <c r="D1015" t="s">
        <v>45</v>
      </c>
      <c r="E1015" t="s">
        <v>33</v>
      </c>
      <c r="F1015" t="s">
        <v>13</v>
      </c>
      <c r="G1015" t="s">
        <v>29</v>
      </c>
      <c r="H1015">
        <v>1230</v>
      </c>
      <c r="I1015">
        <v>15</v>
      </c>
      <c r="J1015" s="6">
        <f t="shared" si="63"/>
        <v>18.45</v>
      </c>
      <c r="K1015" t="s">
        <v>390</v>
      </c>
    </row>
    <row r="1016" spans="3:11" outlineLevel="2" x14ac:dyDescent="0.3">
      <c r="C1016" s="9">
        <v>45026</v>
      </c>
      <c r="D1016" t="s">
        <v>8</v>
      </c>
      <c r="E1016" t="s">
        <v>33</v>
      </c>
      <c r="F1016" t="s">
        <v>24</v>
      </c>
      <c r="G1016" t="s">
        <v>30</v>
      </c>
      <c r="H1016">
        <v>2970</v>
      </c>
      <c r="I1016">
        <v>12</v>
      </c>
      <c r="J1016" s="6">
        <f t="shared" si="63"/>
        <v>35.64</v>
      </c>
      <c r="K1016" t="s">
        <v>390</v>
      </c>
    </row>
    <row r="1017" spans="3:11" outlineLevel="2" x14ac:dyDescent="0.3">
      <c r="C1017" s="9">
        <v>45026</v>
      </c>
      <c r="D1017" t="s">
        <v>12</v>
      </c>
      <c r="E1017" t="s">
        <v>35</v>
      </c>
      <c r="F1017" t="s">
        <v>18</v>
      </c>
      <c r="G1017" t="s">
        <v>37</v>
      </c>
      <c r="H1017">
        <v>890</v>
      </c>
      <c r="I1017">
        <v>51</v>
      </c>
      <c r="J1017" s="6">
        <f t="shared" si="63"/>
        <v>45.39</v>
      </c>
      <c r="K1017" t="s">
        <v>390</v>
      </c>
    </row>
    <row r="1018" spans="3:11" outlineLevel="2" x14ac:dyDescent="0.3">
      <c r="C1018" s="9">
        <v>45026</v>
      </c>
      <c r="D1018" t="s">
        <v>45</v>
      </c>
      <c r="E1018" t="s">
        <v>35</v>
      </c>
      <c r="F1018" t="s">
        <v>13</v>
      </c>
      <c r="G1018" t="s">
        <v>14</v>
      </c>
      <c r="H1018">
        <v>1320</v>
      </c>
      <c r="I1018">
        <v>55</v>
      </c>
      <c r="J1018" s="6">
        <f t="shared" si="63"/>
        <v>72.599999999999994</v>
      </c>
      <c r="K1018" t="s">
        <v>390</v>
      </c>
    </row>
    <row r="1019" spans="3:11" outlineLevel="1" x14ac:dyDescent="0.3">
      <c r="C1019" s="13" t="s">
        <v>114</v>
      </c>
      <c r="J1019" s="6">
        <f>SUBTOTAL(9,J1006:J1018)</f>
        <v>567.18499999999995</v>
      </c>
      <c r="K1019" t="s">
        <v>390</v>
      </c>
    </row>
    <row r="1020" spans="3:11" outlineLevel="2" x14ac:dyDescent="0.3">
      <c r="C1020" s="10">
        <v>45027</v>
      </c>
      <c r="D1020" s="11" t="s">
        <v>17</v>
      </c>
      <c r="E1020" s="11" t="s">
        <v>20</v>
      </c>
      <c r="F1020" s="11" t="s">
        <v>24</v>
      </c>
      <c r="G1020" s="11" t="s">
        <v>30</v>
      </c>
      <c r="H1020" s="11">
        <v>2970</v>
      </c>
      <c r="I1020" s="11">
        <v>48</v>
      </c>
      <c r="J1020" s="6">
        <f t="shared" ref="J1020:J1027" si="64">H1020*I1020/1000</f>
        <v>142.56</v>
      </c>
      <c r="K1020" t="s">
        <v>390</v>
      </c>
    </row>
    <row r="1021" spans="3:11" outlineLevel="2" x14ac:dyDescent="0.3">
      <c r="C1021" s="9">
        <v>45027</v>
      </c>
      <c r="D1021" t="s">
        <v>17</v>
      </c>
      <c r="E1021" t="s">
        <v>9</v>
      </c>
      <c r="F1021" t="s">
        <v>24</v>
      </c>
      <c r="G1021" t="s">
        <v>25</v>
      </c>
      <c r="H1021">
        <v>1760</v>
      </c>
      <c r="I1021">
        <v>34</v>
      </c>
      <c r="J1021" s="6">
        <f t="shared" si="64"/>
        <v>59.84</v>
      </c>
      <c r="K1021" t="s">
        <v>390</v>
      </c>
    </row>
    <row r="1022" spans="3:11" outlineLevel="2" x14ac:dyDescent="0.3">
      <c r="C1022" s="9">
        <v>45027</v>
      </c>
      <c r="D1022" t="s">
        <v>12</v>
      </c>
      <c r="E1022" t="s">
        <v>26</v>
      </c>
      <c r="F1022" t="s">
        <v>13</v>
      </c>
      <c r="G1022" t="s">
        <v>29</v>
      </c>
      <c r="H1022">
        <v>1230</v>
      </c>
      <c r="I1022">
        <v>26</v>
      </c>
      <c r="J1022" s="6">
        <f t="shared" si="64"/>
        <v>31.98</v>
      </c>
      <c r="K1022" t="s">
        <v>390</v>
      </c>
    </row>
    <row r="1023" spans="3:11" outlineLevel="2" x14ac:dyDescent="0.3">
      <c r="C1023" s="9">
        <v>45027</v>
      </c>
      <c r="D1023" t="s">
        <v>8</v>
      </c>
      <c r="E1023" t="s">
        <v>15</v>
      </c>
      <c r="F1023" t="s">
        <v>13</v>
      </c>
      <c r="G1023" t="s">
        <v>43</v>
      </c>
      <c r="H1023">
        <v>1420</v>
      </c>
      <c r="I1023">
        <v>43</v>
      </c>
      <c r="J1023" s="6">
        <f t="shared" si="64"/>
        <v>61.06</v>
      </c>
      <c r="K1023" t="s">
        <v>390</v>
      </c>
    </row>
    <row r="1024" spans="3:11" outlineLevel="2" x14ac:dyDescent="0.3">
      <c r="C1024" s="9">
        <v>45027</v>
      </c>
      <c r="D1024" t="s">
        <v>8</v>
      </c>
      <c r="E1024" t="s">
        <v>15</v>
      </c>
      <c r="F1024" t="s">
        <v>13</v>
      </c>
      <c r="G1024" t="s">
        <v>38</v>
      </c>
      <c r="H1024">
        <v>2400</v>
      </c>
      <c r="I1024">
        <v>48</v>
      </c>
      <c r="J1024" s="6">
        <f t="shared" si="64"/>
        <v>115.2</v>
      </c>
      <c r="K1024" t="s">
        <v>390</v>
      </c>
    </row>
    <row r="1025" spans="3:11" outlineLevel="2" x14ac:dyDescent="0.3">
      <c r="C1025" s="9">
        <v>45027</v>
      </c>
      <c r="D1025" t="s">
        <v>12</v>
      </c>
      <c r="E1025" t="s">
        <v>33</v>
      </c>
      <c r="F1025" t="s">
        <v>13</v>
      </c>
      <c r="G1025" t="s">
        <v>14</v>
      </c>
      <c r="H1025">
        <v>1320</v>
      </c>
      <c r="I1025">
        <v>89</v>
      </c>
      <c r="J1025" s="6">
        <f t="shared" si="64"/>
        <v>117.48</v>
      </c>
      <c r="K1025" t="s">
        <v>390</v>
      </c>
    </row>
    <row r="1026" spans="3:11" outlineLevel="2" x14ac:dyDescent="0.3">
      <c r="C1026" s="9">
        <v>45027</v>
      </c>
      <c r="D1026" t="s">
        <v>17</v>
      </c>
      <c r="E1026" t="s">
        <v>35</v>
      </c>
      <c r="F1026" t="s">
        <v>10</v>
      </c>
      <c r="G1026" t="s">
        <v>39</v>
      </c>
      <c r="H1026">
        <v>650</v>
      </c>
      <c r="I1026">
        <v>64</v>
      </c>
      <c r="J1026" s="6">
        <f t="shared" si="64"/>
        <v>41.6</v>
      </c>
      <c r="K1026" t="s">
        <v>390</v>
      </c>
    </row>
    <row r="1027" spans="3:11" outlineLevel="2" x14ac:dyDescent="0.3">
      <c r="C1027" s="9">
        <v>45027</v>
      </c>
      <c r="D1027" t="s">
        <v>8</v>
      </c>
      <c r="E1027" t="s">
        <v>35</v>
      </c>
      <c r="F1027" t="s">
        <v>18</v>
      </c>
      <c r="G1027" t="s">
        <v>19</v>
      </c>
      <c r="H1027">
        <v>325</v>
      </c>
      <c r="I1027">
        <v>58</v>
      </c>
      <c r="J1027" s="6">
        <f t="shared" si="64"/>
        <v>18.850000000000001</v>
      </c>
      <c r="K1027" t="s">
        <v>390</v>
      </c>
    </row>
    <row r="1028" spans="3:11" outlineLevel="1" x14ac:dyDescent="0.3">
      <c r="C1028" s="13" t="s">
        <v>115</v>
      </c>
      <c r="J1028" s="6">
        <f>SUBTOTAL(9,J1020:J1027)</f>
        <v>588.57000000000005</v>
      </c>
      <c r="K1028" t="s">
        <v>390</v>
      </c>
    </row>
    <row r="1029" spans="3:11" outlineLevel="2" x14ac:dyDescent="0.3">
      <c r="C1029" s="9">
        <v>45028</v>
      </c>
      <c r="D1029" t="s">
        <v>45</v>
      </c>
      <c r="E1029" t="s">
        <v>20</v>
      </c>
      <c r="F1029" t="s">
        <v>24</v>
      </c>
      <c r="G1029" t="s">
        <v>30</v>
      </c>
      <c r="H1029">
        <v>2970</v>
      </c>
      <c r="I1029">
        <v>66</v>
      </c>
      <c r="J1029" s="6">
        <f t="shared" ref="J1029:J1040" si="65">H1029*I1029/1000</f>
        <v>196.02</v>
      </c>
      <c r="K1029" t="s">
        <v>390</v>
      </c>
    </row>
    <row r="1030" spans="3:11" outlineLevel="2" x14ac:dyDescent="0.3">
      <c r="C1030" s="9">
        <v>45028</v>
      </c>
      <c r="D1030" t="s">
        <v>45</v>
      </c>
      <c r="E1030" t="s">
        <v>9</v>
      </c>
      <c r="F1030" t="s">
        <v>10</v>
      </c>
      <c r="G1030" t="s">
        <v>39</v>
      </c>
      <c r="H1030">
        <v>650</v>
      </c>
      <c r="I1030">
        <v>53</v>
      </c>
      <c r="J1030" s="6">
        <f t="shared" si="65"/>
        <v>34.450000000000003</v>
      </c>
      <c r="K1030" t="s">
        <v>390</v>
      </c>
    </row>
    <row r="1031" spans="3:11" outlineLevel="2" x14ac:dyDescent="0.3">
      <c r="C1031" s="9">
        <v>45028</v>
      </c>
      <c r="D1031" t="s">
        <v>17</v>
      </c>
      <c r="E1031" t="s">
        <v>9</v>
      </c>
      <c r="F1031" t="s">
        <v>18</v>
      </c>
      <c r="G1031" t="s">
        <v>21</v>
      </c>
      <c r="H1031">
        <v>450</v>
      </c>
      <c r="I1031">
        <v>92</v>
      </c>
      <c r="J1031" s="6">
        <f t="shared" si="65"/>
        <v>41.4</v>
      </c>
      <c r="K1031" t="s">
        <v>390</v>
      </c>
    </row>
    <row r="1032" spans="3:11" outlineLevel="2" x14ac:dyDescent="0.3">
      <c r="C1032" s="9">
        <v>45028</v>
      </c>
      <c r="D1032" t="s">
        <v>17</v>
      </c>
      <c r="E1032" t="s">
        <v>9</v>
      </c>
      <c r="F1032" t="s">
        <v>13</v>
      </c>
      <c r="G1032" t="s">
        <v>38</v>
      </c>
      <c r="H1032">
        <v>2400</v>
      </c>
      <c r="I1032">
        <v>42</v>
      </c>
      <c r="J1032" s="6">
        <f t="shared" si="65"/>
        <v>100.8</v>
      </c>
      <c r="K1032" t="s">
        <v>390</v>
      </c>
    </row>
    <row r="1033" spans="3:11" outlineLevel="2" x14ac:dyDescent="0.3">
      <c r="C1033" s="9">
        <v>45028</v>
      </c>
      <c r="D1033" t="s">
        <v>17</v>
      </c>
      <c r="E1033" t="s">
        <v>26</v>
      </c>
      <c r="F1033" t="s">
        <v>24</v>
      </c>
      <c r="G1033" t="s">
        <v>30</v>
      </c>
      <c r="H1033">
        <v>2970</v>
      </c>
      <c r="I1033">
        <v>45</v>
      </c>
      <c r="J1033" s="6">
        <f t="shared" si="65"/>
        <v>133.65</v>
      </c>
      <c r="K1033" t="s">
        <v>390</v>
      </c>
    </row>
    <row r="1034" spans="3:11" outlineLevel="2" x14ac:dyDescent="0.3">
      <c r="C1034" s="9">
        <v>45028</v>
      </c>
      <c r="D1034" t="s">
        <v>12</v>
      </c>
      <c r="E1034" t="s">
        <v>15</v>
      </c>
      <c r="F1034" t="s">
        <v>13</v>
      </c>
      <c r="G1034" t="s">
        <v>43</v>
      </c>
      <c r="H1034">
        <v>1420</v>
      </c>
      <c r="I1034">
        <v>37</v>
      </c>
      <c r="J1034" s="6">
        <f t="shared" si="65"/>
        <v>52.54</v>
      </c>
      <c r="K1034" t="s">
        <v>390</v>
      </c>
    </row>
    <row r="1035" spans="3:11" outlineLevel="2" x14ac:dyDescent="0.3">
      <c r="C1035" s="9">
        <v>45028</v>
      </c>
      <c r="D1035" t="s">
        <v>8</v>
      </c>
      <c r="E1035" t="s">
        <v>15</v>
      </c>
      <c r="F1035" t="s">
        <v>24</v>
      </c>
      <c r="G1035" t="s">
        <v>42</v>
      </c>
      <c r="H1035">
        <v>3205</v>
      </c>
      <c r="I1035">
        <v>54</v>
      </c>
      <c r="J1035" s="6">
        <f t="shared" si="65"/>
        <v>173.07</v>
      </c>
      <c r="K1035" t="s">
        <v>390</v>
      </c>
    </row>
    <row r="1036" spans="3:11" outlineLevel="2" x14ac:dyDescent="0.3">
      <c r="C1036" s="9">
        <v>45028</v>
      </c>
      <c r="D1036" t="s">
        <v>12</v>
      </c>
      <c r="E1036" t="s">
        <v>33</v>
      </c>
      <c r="F1036" t="s">
        <v>18</v>
      </c>
      <c r="G1036" t="s">
        <v>19</v>
      </c>
      <c r="H1036">
        <v>325</v>
      </c>
      <c r="I1036">
        <v>97</v>
      </c>
      <c r="J1036" s="6">
        <f t="shared" si="65"/>
        <v>31.524999999999999</v>
      </c>
      <c r="K1036" t="s">
        <v>390</v>
      </c>
    </row>
    <row r="1037" spans="3:11" outlineLevel="2" x14ac:dyDescent="0.3">
      <c r="C1037" s="9">
        <v>45028</v>
      </c>
      <c r="D1037" t="s">
        <v>12</v>
      </c>
      <c r="E1037" t="s">
        <v>33</v>
      </c>
      <c r="F1037" t="s">
        <v>18</v>
      </c>
      <c r="G1037" t="s">
        <v>28</v>
      </c>
      <c r="H1037">
        <v>690</v>
      </c>
      <c r="I1037">
        <v>98</v>
      </c>
      <c r="J1037" s="6">
        <f t="shared" si="65"/>
        <v>67.62</v>
      </c>
      <c r="K1037" t="s">
        <v>390</v>
      </c>
    </row>
    <row r="1038" spans="3:11" outlineLevel="2" x14ac:dyDescent="0.3">
      <c r="C1038" s="9">
        <v>45028</v>
      </c>
      <c r="D1038" t="s">
        <v>12</v>
      </c>
      <c r="E1038" t="s">
        <v>33</v>
      </c>
      <c r="F1038" t="s">
        <v>18</v>
      </c>
      <c r="G1038" t="s">
        <v>27</v>
      </c>
      <c r="H1038">
        <v>460</v>
      </c>
      <c r="I1038">
        <v>84</v>
      </c>
      <c r="J1038" s="6">
        <f t="shared" si="65"/>
        <v>38.64</v>
      </c>
      <c r="K1038" t="s">
        <v>390</v>
      </c>
    </row>
    <row r="1039" spans="3:11" outlineLevel="2" x14ac:dyDescent="0.3">
      <c r="C1039" s="9">
        <v>45028</v>
      </c>
      <c r="D1039" t="s">
        <v>45</v>
      </c>
      <c r="E1039" t="s">
        <v>33</v>
      </c>
      <c r="F1039" t="s">
        <v>24</v>
      </c>
      <c r="G1039" t="s">
        <v>34</v>
      </c>
      <c r="H1039">
        <v>1670</v>
      </c>
      <c r="I1039">
        <v>47</v>
      </c>
      <c r="J1039" s="6">
        <f t="shared" si="65"/>
        <v>78.489999999999995</v>
      </c>
      <c r="K1039" t="s">
        <v>390</v>
      </c>
    </row>
    <row r="1040" spans="3:11" outlineLevel="2" x14ac:dyDescent="0.3">
      <c r="C1040" s="9">
        <v>45028</v>
      </c>
      <c r="D1040" t="s">
        <v>45</v>
      </c>
      <c r="E1040" t="s">
        <v>35</v>
      </c>
      <c r="F1040" t="s">
        <v>24</v>
      </c>
      <c r="G1040" t="s">
        <v>34</v>
      </c>
      <c r="H1040">
        <v>1670</v>
      </c>
      <c r="I1040">
        <v>20</v>
      </c>
      <c r="J1040" s="6">
        <f t="shared" si="65"/>
        <v>33.4</v>
      </c>
      <c r="K1040" t="s">
        <v>390</v>
      </c>
    </row>
    <row r="1041" spans="3:11" outlineLevel="1" x14ac:dyDescent="0.3">
      <c r="C1041" s="13" t="s">
        <v>116</v>
      </c>
      <c r="J1041" s="6">
        <f>SUBTOTAL(9,J1029:J1040)</f>
        <v>981.60500000000002</v>
      </c>
      <c r="K1041" t="s">
        <v>390</v>
      </c>
    </row>
    <row r="1042" spans="3:11" outlineLevel="2" x14ac:dyDescent="0.3">
      <c r="C1042" s="9">
        <v>45029</v>
      </c>
      <c r="D1042" t="s">
        <v>8</v>
      </c>
      <c r="E1042" t="s">
        <v>15</v>
      </c>
      <c r="F1042" t="s">
        <v>10</v>
      </c>
      <c r="G1042" t="s">
        <v>40</v>
      </c>
      <c r="H1042">
        <v>540</v>
      </c>
      <c r="I1042">
        <v>54</v>
      </c>
      <c r="J1042" s="6">
        <f t="shared" ref="J1042:J1050" si="66">H1042*I1042/1000</f>
        <v>29.16</v>
      </c>
      <c r="K1042" t="s">
        <v>390</v>
      </c>
    </row>
    <row r="1043" spans="3:11" outlineLevel="2" x14ac:dyDescent="0.3">
      <c r="C1043" s="9">
        <v>45029</v>
      </c>
      <c r="D1043" t="s">
        <v>17</v>
      </c>
      <c r="E1043" t="s">
        <v>15</v>
      </c>
      <c r="F1043" t="s">
        <v>24</v>
      </c>
      <c r="G1043" t="s">
        <v>30</v>
      </c>
      <c r="H1043">
        <v>2970</v>
      </c>
      <c r="I1043">
        <v>98</v>
      </c>
      <c r="J1043" s="6">
        <f t="shared" si="66"/>
        <v>291.06</v>
      </c>
      <c r="K1043" t="s">
        <v>390</v>
      </c>
    </row>
    <row r="1044" spans="3:11" outlineLevel="2" x14ac:dyDescent="0.3">
      <c r="C1044" s="9">
        <v>45029</v>
      </c>
      <c r="D1044" t="s">
        <v>8</v>
      </c>
      <c r="E1044" t="s">
        <v>33</v>
      </c>
      <c r="F1044" t="s">
        <v>18</v>
      </c>
      <c r="G1044" t="s">
        <v>28</v>
      </c>
      <c r="H1044">
        <v>690</v>
      </c>
      <c r="I1044">
        <v>11</v>
      </c>
      <c r="J1044" s="6">
        <f t="shared" si="66"/>
        <v>7.59</v>
      </c>
      <c r="K1044" t="s">
        <v>390</v>
      </c>
    </row>
    <row r="1045" spans="3:11" outlineLevel="2" x14ac:dyDescent="0.3">
      <c r="C1045" s="9">
        <v>45029</v>
      </c>
      <c r="D1045" t="s">
        <v>45</v>
      </c>
      <c r="E1045" t="s">
        <v>33</v>
      </c>
      <c r="F1045" t="s">
        <v>18</v>
      </c>
      <c r="G1045" t="s">
        <v>28</v>
      </c>
      <c r="H1045">
        <v>690</v>
      </c>
      <c r="I1045">
        <v>32</v>
      </c>
      <c r="J1045" s="6">
        <f t="shared" si="66"/>
        <v>22.08</v>
      </c>
      <c r="K1045" t="s">
        <v>390</v>
      </c>
    </row>
    <row r="1046" spans="3:11" outlineLevel="2" x14ac:dyDescent="0.3">
      <c r="C1046" s="9">
        <v>45029</v>
      </c>
      <c r="D1046" t="s">
        <v>12</v>
      </c>
      <c r="E1046" t="s">
        <v>33</v>
      </c>
      <c r="F1046" t="s">
        <v>13</v>
      </c>
      <c r="G1046" t="s">
        <v>29</v>
      </c>
      <c r="H1046">
        <v>1230</v>
      </c>
      <c r="I1046">
        <v>85</v>
      </c>
      <c r="J1046" s="6">
        <f t="shared" si="66"/>
        <v>104.55</v>
      </c>
      <c r="K1046" t="s">
        <v>390</v>
      </c>
    </row>
    <row r="1047" spans="3:11" outlineLevel="2" x14ac:dyDescent="0.3">
      <c r="C1047" s="9">
        <v>45029</v>
      </c>
      <c r="D1047" t="s">
        <v>12</v>
      </c>
      <c r="E1047" t="s">
        <v>33</v>
      </c>
      <c r="F1047" t="s">
        <v>24</v>
      </c>
      <c r="G1047" t="s">
        <v>42</v>
      </c>
      <c r="H1047">
        <v>3205</v>
      </c>
      <c r="I1047">
        <v>63</v>
      </c>
      <c r="J1047" s="6">
        <f t="shared" si="66"/>
        <v>201.91499999999999</v>
      </c>
      <c r="K1047" t="s">
        <v>390</v>
      </c>
    </row>
    <row r="1048" spans="3:11" outlineLevel="2" x14ac:dyDescent="0.3">
      <c r="C1048" s="9">
        <v>45029</v>
      </c>
      <c r="D1048" t="s">
        <v>12</v>
      </c>
      <c r="E1048" t="s">
        <v>35</v>
      </c>
      <c r="F1048" t="s">
        <v>10</v>
      </c>
      <c r="G1048" t="s">
        <v>23</v>
      </c>
      <c r="H1048">
        <v>640</v>
      </c>
      <c r="I1048">
        <v>74</v>
      </c>
      <c r="J1048" s="6">
        <f t="shared" si="66"/>
        <v>47.36</v>
      </c>
      <c r="K1048" t="s">
        <v>390</v>
      </c>
    </row>
    <row r="1049" spans="3:11" outlineLevel="2" x14ac:dyDescent="0.3">
      <c r="C1049" s="9">
        <v>45029</v>
      </c>
      <c r="D1049" t="s">
        <v>17</v>
      </c>
      <c r="E1049" t="s">
        <v>35</v>
      </c>
      <c r="F1049" t="s">
        <v>18</v>
      </c>
      <c r="G1049" t="s">
        <v>19</v>
      </c>
      <c r="H1049">
        <v>325</v>
      </c>
      <c r="I1049">
        <v>82</v>
      </c>
      <c r="J1049" s="6">
        <f t="shared" si="66"/>
        <v>26.65</v>
      </c>
      <c r="K1049" t="s">
        <v>390</v>
      </c>
    </row>
    <row r="1050" spans="3:11" outlineLevel="2" x14ac:dyDescent="0.3">
      <c r="C1050" s="9">
        <v>45029</v>
      </c>
      <c r="D1050" t="s">
        <v>8</v>
      </c>
      <c r="E1050" t="s">
        <v>35</v>
      </c>
      <c r="F1050" t="s">
        <v>13</v>
      </c>
      <c r="G1050" t="s">
        <v>43</v>
      </c>
      <c r="H1050">
        <v>1420</v>
      </c>
      <c r="I1050">
        <v>69</v>
      </c>
      <c r="J1050" s="6">
        <f t="shared" si="66"/>
        <v>97.98</v>
      </c>
      <c r="K1050" t="s">
        <v>390</v>
      </c>
    </row>
    <row r="1051" spans="3:11" outlineLevel="1" x14ac:dyDescent="0.3">
      <c r="C1051" s="13" t="s">
        <v>117</v>
      </c>
      <c r="J1051" s="6">
        <f>SUBTOTAL(9,J1042:J1050)</f>
        <v>828.34500000000003</v>
      </c>
      <c r="K1051" t="s">
        <v>390</v>
      </c>
    </row>
    <row r="1052" spans="3:11" outlineLevel="2" x14ac:dyDescent="0.3">
      <c r="C1052" s="10">
        <v>45030</v>
      </c>
      <c r="D1052" s="11" t="s">
        <v>12</v>
      </c>
      <c r="E1052" s="11" t="s">
        <v>20</v>
      </c>
      <c r="F1052" s="11" t="s">
        <v>10</v>
      </c>
      <c r="G1052" s="11" t="s">
        <v>41</v>
      </c>
      <c r="H1052" s="11">
        <v>650</v>
      </c>
      <c r="I1052" s="11">
        <v>61</v>
      </c>
      <c r="J1052" s="6">
        <f t="shared" ref="J1052:J1059" si="67">H1052*I1052/1000</f>
        <v>39.65</v>
      </c>
      <c r="K1052" t="s">
        <v>390</v>
      </c>
    </row>
    <row r="1053" spans="3:11" outlineLevel="2" x14ac:dyDescent="0.3">
      <c r="C1053" s="9">
        <v>45030</v>
      </c>
      <c r="D1053" t="s">
        <v>45</v>
      </c>
      <c r="E1053" t="s">
        <v>20</v>
      </c>
      <c r="F1053" t="s">
        <v>13</v>
      </c>
      <c r="G1053" t="s">
        <v>38</v>
      </c>
      <c r="H1053">
        <v>2400</v>
      </c>
      <c r="I1053">
        <v>72</v>
      </c>
      <c r="J1053" s="6">
        <f t="shared" si="67"/>
        <v>172.8</v>
      </c>
      <c r="K1053" t="s">
        <v>390</v>
      </c>
    </row>
    <row r="1054" spans="3:11" outlineLevel="2" x14ac:dyDescent="0.3">
      <c r="C1054" s="10">
        <v>45030</v>
      </c>
      <c r="D1054" s="11" t="s">
        <v>12</v>
      </c>
      <c r="E1054" s="11" t="s">
        <v>20</v>
      </c>
      <c r="F1054" s="11" t="s">
        <v>13</v>
      </c>
      <c r="G1054" s="11" t="s">
        <v>14</v>
      </c>
      <c r="H1054" s="11">
        <v>1320</v>
      </c>
      <c r="I1054" s="11">
        <v>55</v>
      </c>
      <c r="J1054" s="6">
        <f t="shared" si="67"/>
        <v>72.599999999999994</v>
      </c>
      <c r="K1054" t="s">
        <v>390</v>
      </c>
    </row>
    <row r="1055" spans="3:11" outlineLevel="2" x14ac:dyDescent="0.3">
      <c r="C1055" s="9">
        <v>45030</v>
      </c>
      <c r="D1055" t="s">
        <v>17</v>
      </c>
      <c r="E1055" t="s">
        <v>15</v>
      </c>
      <c r="F1055" t="s">
        <v>10</v>
      </c>
      <c r="G1055" t="s">
        <v>23</v>
      </c>
      <c r="H1055">
        <v>640</v>
      </c>
      <c r="I1055">
        <v>65</v>
      </c>
      <c r="J1055" s="6">
        <f t="shared" si="67"/>
        <v>41.6</v>
      </c>
      <c r="K1055" t="s">
        <v>390</v>
      </c>
    </row>
    <row r="1056" spans="3:11" outlineLevel="2" x14ac:dyDescent="0.3">
      <c r="C1056" s="9">
        <v>45030</v>
      </c>
      <c r="D1056" t="s">
        <v>17</v>
      </c>
      <c r="E1056" t="s">
        <v>15</v>
      </c>
      <c r="F1056" t="s">
        <v>13</v>
      </c>
      <c r="G1056" t="s">
        <v>44</v>
      </c>
      <c r="H1056">
        <v>2540</v>
      </c>
      <c r="I1056">
        <v>29</v>
      </c>
      <c r="J1056" s="6">
        <f t="shared" si="67"/>
        <v>73.66</v>
      </c>
      <c r="K1056" t="s">
        <v>390</v>
      </c>
    </row>
    <row r="1057" spans="3:11" outlineLevel="2" x14ac:dyDescent="0.3">
      <c r="C1057" s="9">
        <v>45030</v>
      </c>
      <c r="D1057" t="s">
        <v>45</v>
      </c>
      <c r="E1057" t="s">
        <v>15</v>
      </c>
      <c r="F1057" t="s">
        <v>13</v>
      </c>
      <c r="G1057" t="s">
        <v>22</v>
      </c>
      <c r="H1057">
        <v>930</v>
      </c>
      <c r="I1057">
        <v>41</v>
      </c>
      <c r="J1057" s="6">
        <f t="shared" si="67"/>
        <v>38.130000000000003</v>
      </c>
      <c r="K1057" t="s">
        <v>390</v>
      </c>
    </row>
    <row r="1058" spans="3:11" outlineLevel="2" x14ac:dyDescent="0.3">
      <c r="C1058" s="9">
        <v>45030</v>
      </c>
      <c r="D1058" t="s">
        <v>12</v>
      </c>
      <c r="E1058" t="s">
        <v>33</v>
      </c>
      <c r="F1058" t="s">
        <v>24</v>
      </c>
      <c r="G1058" t="s">
        <v>36</v>
      </c>
      <c r="H1058">
        <v>2460</v>
      </c>
      <c r="I1058">
        <v>45</v>
      </c>
      <c r="J1058" s="6">
        <f t="shared" si="67"/>
        <v>110.7</v>
      </c>
      <c r="K1058" t="s">
        <v>390</v>
      </c>
    </row>
    <row r="1059" spans="3:11" outlineLevel="2" x14ac:dyDescent="0.3">
      <c r="C1059" s="9">
        <v>45030</v>
      </c>
      <c r="D1059" t="s">
        <v>12</v>
      </c>
      <c r="E1059" t="s">
        <v>35</v>
      </c>
      <c r="F1059" t="s">
        <v>18</v>
      </c>
      <c r="G1059" t="s">
        <v>27</v>
      </c>
      <c r="H1059">
        <v>460</v>
      </c>
      <c r="I1059">
        <v>96</v>
      </c>
      <c r="J1059" s="6">
        <f t="shared" si="67"/>
        <v>44.16</v>
      </c>
      <c r="K1059" t="s">
        <v>390</v>
      </c>
    </row>
    <row r="1060" spans="3:11" outlineLevel="1" x14ac:dyDescent="0.3">
      <c r="C1060" s="13" t="s">
        <v>118</v>
      </c>
      <c r="J1060" s="6">
        <f>SUBTOTAL(9,J1052:J1059)</f>
        <v>593.30000000000007</v>
      </c>
      <c r="K1060" t="s">
        <v>390</v>
      </c>
    </row>
    <row r="1061" spans="3:11" outlineLevel="2" x14ac:dyDescent="0.3">
      <c r="C1061" s="9">
        <v>45031</v>
      </c>
      <c r="D1061" t="s">
        <v>45</v>
      </c>
      <c r="E1061" t="s">
        <v>20</v>
      </c>
      <c r="F1061" t="s">
        <v>10</v>
      </c>
      <c r="G1061" t="s">
        <v>11</v>
      </c>
      <c r="H1061">
        <v>705</v>
      </c>
      <c r="I1061">
        <v>29</v>
      </c>
      <c r="J1061" s="6">
        <f t="shared" ref="J1061:J1068" si="68">H1061*I1061/1000</f>
        <v>20.445</v>
      </c>
      <c r="K1061" t="s">
        <v>390</v>
      </c>
    </row>
    <row r="1062" spans="3:11" outlineLevel="2" x14ac:dyDescent="0.3">
      <c r="C1062" s="9">
        <v>45031</v>
      </c>
      <c r="D1062" t="s">
        <v>17</v>
      </c>
      <c r="E1062" t="s">
        <v>9</v>
      </c>
      <c r="F1062" t="s">
        <v>10</v>
      </c>
      <c r="G1062" t="s">
        <v>16</v>
      </c>
      <c r="H1062">
        <v>1380</v>
      </c>
      <c r="I1062">
        <v>73</v>
      </c>
      <c r="J1062" s="6">
        <f t="shared" si="68"/>
        <v>100.74</v>
      </c>
      <c r="K1062" t="s">
        <v>390</v>
      </c>
    </row>
    <row r="1063" spans="3:11" outlineLevel="2" x14ac:dyDescent="0.3">
      <c r="C1063" s="9">
        <v>45031</v>
      </c>
      <c r="D1063" t="s">
        <v>45</v>
      </c>
      <c r="E1063" t="s">
        <v>9</v>
      </c>
      <c r="F1063" t="s">
        <v>10</v>
      </c>
      <c r="G1063" t="s">
        <v>23</v>
      </c>
      <c r="H1063">
        <v>640</v>
      </c>
      <c r="I1063">
        <v>34</v>
      </c>
      <c r="J1063" s="6">
        <f t="shared" si="68"/>
        <v>21.76</v>
      </c>
      <c r="K1063" t="s">
        <v>390</v>
      </c>
    </row>
    <row r="1064" spans="3:11" outlineLevel="2" x14ac:dyDescent="0.3">
      <c r="C1064" s="9">
        <v>45031</v>
      </c>
      <c r="D1064" t="s">
        <v>17</v>
      </c>
      <c r="E1064" t="s">
        <v>9</v>
      </c>
      <c r="F1064" t="s">
        <v>13</v>
      </c>
      <c r="G1064" t="s">
        <v>29</v>
      </c>
      <c r="H1064">
        <v>1230</v>
      </c>
      <c r="I1064">
        <v>33</v>
      </c>
      <c r="J1064" s="6">
        <f t="shared" si="68"/>
        <v>40.590000000000003</v>
      </c>
      <c r="K1064" t="s">
        <v>390</v>
      </c>
    </row>
    <row r="1065" spans="3:11" outlineLevel="2" x14ac:dyDescent="0.3">
      <c r="C1065" s="9">
        <v>45031</v>
      </c>
      <c r="D1065" t="s">
        <v>17</v>
      </c>
      <c r="E1065" t="s">
        <v>26</v>
      </c>
      <c r="F1065" t="s">
        <v>13</v>
      </c>
      <c r="G1065" t="s">
        <v>22</v>
      </c>
      <c r="H1065">
        <v>930</v>
      </c>
      <c r="I1065">
        <v>42</v>
      </c>
      <c r="J1065" s="6">
        <f t="shared" si="68"/>
        <v>39.06</v>
      </c>
      <c r="K1065" t="s">
        <v>390</v>
      </c>
    </row>
    <row r="1066" spans="3:11" outlineLevel="2" x14ac:dyDescent="0.3">
      <c r="C1066" s="9">
        <v>45031</v>
      </c>
      <c r="D1066" t="s">
        <v>45</v>
      </c>
      <c r="E1066" t="s">
        <v>33</v>
      </c>
      <c r="F1066" t="s">
        <v>24</v>
      </c>
      <c r="G1066" t="s">
        <v>36</v>
      </c>
      <c r="H1066">
        <v>2460</v>
      </c>
      <c r="I1066">
        <v>8</v>
      </c>
      <c r="J1066" s="6">
        <f t="shared" si="68"/>
        <v>19.68</v>
      </c>
      <c r="K1066" t="s">
        <v>390</v>
      </c>
    </row>
    <row r="1067" spans="3:11" outlineLevel="2" x14ac:dyDescent="0.3">
      <c r="C1067" s="9">
        <v>45031</v>
      </c>
      <c r="D1067" t="s">
        <v>45</v>
      </c>
      <c r="E1067" t="s">
        <v>35</v>
      </c>
      <c r="F1067" t="s">
        <v>10</v>
      </c>
      <c r="G1067" t="s">
        <v>11</v>
      </c>
      <c r="H1067">
        <v>705</v>
      </c>
      <c r="I1067">
        <v>100</v>
      </c>
      <c r="J1067" s="6">
        <f t="shared" si="68"/>
        <v>70.5</v>
      </c>
      <c r="K1067" t="s">
        <v>390</v>
      </c>
    </row>
    <row r="1068" spans="3:11" outlineLevel="2" x14ac:dyDescent="0.3">
      <c r="C1068" s="9">
        <v>45031</v>
      </c>
      <c r="D1068" t="s">
        <v>17</v>
      </c>
      <c r="E1068" t="s">
        <v>35</v>
      </c>
      <c r="F1068" t="s">
        <v>24</v>
      </c>
      <c r="G1068" t="s">
        <v>36</v>
      </c>
      <c r="H1068">
        <v>2460</v>
      </c>
      <c r="I1068">
        <v>60</v>
      </c>
      <c r="J1068" s="6">
        <f t="shared" si="68"/>
        <v>147.6</v>
      </c>
      <c r="K1068" t="s">
        <v>390</v>
      </c>
    </row>
    <row r="1069" spans="3:11" outlineLevel="1" x14ac:dyDescent="0.3">
      <c r="C1069" s="13" t="s">
        <v>119</v>
      </c>
      <c r="J1069" s="6">
        <f>SUBTOTAL(9,J1061:J1068)</f>
        <v>460.375</v>
      </c>
      <c r="K1069" t="s">
        <v>390</v>
      </c>
    </row>
    <row r="1070" spans="3:11" outlineLevel="2" x14ac:dyDescent="0.3">
      <c r="C1070" s="10">
        <v>45032</v>
      </c>
      <c r="D1070" s="11" t="s">
        <v>45</v>
      </c>
      <c r="E1070" s="11" t="s">
        <v>20</v>
      </c>
      <c r="F1070" s="11" t="s">
        <v>10</v>
      </c>
      <c r="G1070" s="11" t="s">
        <v>40</v>
      </c>
      <c r="H1070" s="11">
        <v>540</v>
      </c>
      <c r="I1070" s="11">
        <v>99</v>
      </c>
      <c r="J1070" s="6">
        <f t="shared" ref="J1070:J1079" si="69">H1070*I1070/1000</f>
        <v>53.46</v>
      </c>
      <c r="K1070" t="s">
        <v>390</v>
      </c>
    </row>
    <row r="1071" spans="3:11" outlineLevel="2" x14ac:dyDescent="0.3">
      <c r="C1071" s="9">
        <v>45032</v>
      </c>
      <c r="D1071" t="s">
        <v>17</v>
      </c>
      <c r="E1071" t="s">
        <v>20</v>
      </c>
      <c r="F1071" t="s">
        <v>10</v>
      </c>
      <c r="G1071" t="s">
        <v>23</v>
      </c>
      <c r="H1071">
        <v>640</v>
      </c>
      <c r="I1071">
        <v>80</v>
      </c>
      <c r="J1071" s="6">
        <f t="shared" si="69"/>
        <v>51.2</v>
      </c>
      <c r="K1071" t="s">
        <v>390</v>
      </c>
    </row>
    <row r="1072" spans="3:11" outlineLevel="2" x14ac:dyDescent="0.3">
      <c r="C1072" s="9">
        <v>45032</v>
      </c>
      <c r="D1072" t="s">
        <v>45</v>
      </c>
      <c r="E1072" t="s">
        <v>9</v>
      </c>
      <c r="F1072" t="s">
        <v>24</v>
      </c>
      <c r="G1072" t="s">
        <v>25</v>
      </c>
      <c r="H1072">
        <v>1760</v>
      </c>
      <c r="I1072">
        <v>57</v>
      </c>
      <c r="J1072" s="6">
        <f t="shared" si="69"/>
        <v>100.32</v>
      </c>
      <c r="K1072" t="s">
        <v>390</v>
      </c>
    </row>
    <row r="1073" spans="3:11" outlineLevel="2" x14ac:dyDescent="0.3">
      <c r="C1073" s="9">
        <v>45032</v>
      </c>
      <c r="D1073" t="s">
        <v>12</v>
      </c>
      <c r="E1073" t="s">
        <v>26</v>
      </c>
      <c r="F1073" t="s">
        <v>24</v>
      </c>
      <c r="G1073" t="s">
        <v>32</v>
      </c>
      <c r="H1073">
        <v>1505</v>
      </c>
      <c r="I1073">
        <v>6</v>
      </c>
      <c r="J1073" s="6">
        <f t="shared" si="69"/>
        <v>9.0299999999999994</v>
      </c>
      <c r="K1073" t="s">
        <v>390</v>
      </c>
    </row>
    <row r="1074" spans="3:11" outlineLevel="2" x14ac:dyDescent="0.3">
      <c r="C1074" s="9">
        <v>45032</v>
      </c>
      <c r="D1074" t="s">
        <v>12</v>
      </c>
      <c r="E1074" t="s">
        <v>15</v>
      </c>
      <c r="F1074" t="s">
        <v>10</v>
      </c>
      <c r="G1074" t="s">
        <v>16</v>
      </c>
      <c r="H1074">
        <v>1380</v>
      </c>
      <c r="I1074">
        <v>85</v>
      </c>
      <c r="J1074" s="6">
        <f t="shared" si="69"/>
        <v>117.3</v>
      </c>
      <c r="K1074" t="s">
        <v>390</v>
      </c>
    </row>
    <row r="1075" spans="3:11" outlineLevel="2" x14ac:dyDescent="0.3">
      <c r="C1075" s="9">
        <v>45032</v>
      </c>
      <c r="D1075" t="s">
        <v>12</v>
      </c>
      <c r="E1075" t="s">
        <v>15</v>
      </c>
      <c r="F1075" t="s">
        <v>18</v>
      </c>
      <c r="G1075" t="s">
        <v>37</v>
      </c>
      <c r="H1075">
        <v>890</v>
      </c>
      <c r="I1075">
        <v>33</v>
      </c>
      <c r="J1075" s="6">
        <f t="shared" si="69"/>
        <v>29.37</v>
      </c>
      <c r="K1075" t="s">
        <v>390</v>
      </c>
    </row>
    <row r="1076" spans="3:11" outlineLevel="2" x14ac:dyDescent="0.3">
      <c r="C1076" s="9">
        <v>45032</v>
      </c>
      <c r="D1076" t="s">
        <v>12</v>
      </c>
      <c r="E1076" t="s">
        <v>35</v>
      </c>
      <c r="F1076" t="s">
        <v>18</v>
      </c>
      <c r="G1076" t="s">
        <v>31</v>
      </c>
      <c r="H1076">
        <v>715</v>
      </c>
      <c r="I1076">
        <v>45</v>
      </c>
      <c r="J1076" s="6">
        <f t="shared" si="69"/>
        <v>32.174999999999997</v>
      </c>
      <c r="K1076" t="s">
        <v>390</v>
      </c>
    </row>
    <row r="1077" spans="3:11" outlineLevel="2" x14ac:dyDescent="0.3">
      <c r="C1077" s="9">
        <v>45032</v>
      </c>
      <c r="D1077" t="s">
        <v>12</v>
      </c>
      <c r="E1077" t="s">
        <v>35</v>
      </c>
      <c r="F1077" t="s">
        <v>13</v>
      </c>
      <c r="G1077" t="s">
        <v>29</v>
      </c>
      <c r="H1077">
        <v>1230</v>
      </c>
      <c r="I1077">
        <v>79</v>
      </c>
      <c r="J1077" s="6">
        <f t="shared" si="69"/>
        <v>97.17</v>
      </c>
      <c r="K1077" t="s">
        <v>390</v>
      </c>
    </row>
    <row r="1078" spans="3:11" outlineLevel="2" x14ac:dyDescent="0.3">
      <c r="C1078" s="9">
        <v>45032</v>
      </c>
      <c r="D1078" t="s">
        <v>8</v>
      </c>
      <c r="E1078" t="s">
        <v>35</v>
      </c>
      <c r="F1078" t="s">
        <v>13</v>
      </c>
      <c r="G1078" t="s">
        <v>22</v>
      </c>
      <c r="H1078">
        <v>930</v>
      </c>
      <c r="I1078">
        <v>67</v>
      </c>
      <c r="J1078" s="6">
        <f t="shared" si="69"/>
        <v>62.31</v>
      </c>
      <c r="K1078" t="s">
        <v>390</v>
      </c>
    </row>
    <row r="1079" spans="3:11" outlineLevel="2" x14ac:dyDescent="0.3">
      <c r="C1079" s="9">
        <v>45032</v>
      </c>
      <c r="D1079" t="s">
        <v>12</v>
      </c>
      <c r="E1079" t="s">
        <v>35</v>
      </c>
      <c r="F1079" t="s">
        <v>24</v>
      </c>
      <c r="G1079" t="s">
        <v>30</v>
      </c>
      <c r="H1079">
        <v>2970</v>
      </c>
      <c r="I1079">
        <v>62</v>
      </c>
      <c r="J1079" s="6">
        <f t="shared" si="69"/>
        <v>184.14</v>
      </c>
      <c r="K1079" t="s">
        <v>390</v>
      </c>
    </row>
    <row r="1080" spans="3:11" outlineLevel="1" x14ac:dyDescent="0.3">
      <c r="C1080" s="13" t="s">
        <v>120</v>
      </c>
      <c r="J1080" s="6">
        <f>SUBTOTAL(9,J1070:J1079)</f>
        <v>736.47500000000002</v>
      </c>
      <c r="K1080" t="s">
        <v>390</v>
      </c>
    </row>
    <row r="1081" spans="3:11" outlineLevel="2" x14ac:dyDescent="0.3">
      <c r="C1081" s="9">
        <v>45033</v>
      </c>
      <c r="D1081" t="s">
        <v>8</v>
      </c>
      <c r="E1081" t="s">
        <v>26</v>
      </c>
      <c r="F1081" t="s">
        <v>13</v>
      </c>
      <c r="G1081" t="s">
        <v>22</v>
      </c>
      <c r="H1081">
        <v>930</v>
      </c>
      <c r="I1081">
        <v>53</v>
      </c>
      <c r="J1081" s="6">
        <f>H1081*I1081/1000</f>
        <v>49.29</v>
      </c>
      <c r="K1081" t="s">
        <v>390</v>
      </c>
    </row>
    <row r="1082" spans="3:11" outlineLevel="2" x14ac:dyDescent="0.3">
      <c r="C1082" s="9">
        <v>45033</v>
      </c>
      <c r="D1082" t="s">
        <v>8</v>
      </c>
      <c r="E1082" t="s">
        <v>15</v>
      </c>
      <c r="F1082" t="s">
        <v>10</v>
      </c>
      <c r="G1082" t="s">
        <v>40</v>
      </c>
      <c r="H1082">
        <v>540</v>
      </c>
      <c r="I1082">
        <v>10</v>
      </c>
      <c r="J1082" s="6">
        <f>H1082*I1082/1000</f>
        <v>5.4</v>
      </c>
      <c r="K1082" t="s">
        <v>390</v>
      </c>
    </row>
    <row r="1083" spans="3:11" outlineLevel="2" x14ac:dyDescent="0.3">
      <c r="C1083" s="9">
        <v>45033</v>
      </c>
      <c r="D1083" t="s">
        <v>17</v>
      </c>
      <c r="E1083" t="s">
        <v>33</v>
      </c>
      <c r="F1083" t="s">
        <v>10</v>
      </c>
      <c r="G1083" t="s">
        <v>16</v>
      </c>
      <c r="H1083">
        <v>1380</v>
      </c>
      <c r="I1083">
        <v>92</v>
      </c>
      <c r="J1083" s="6">
        <f>H1083*I1083/1000</f>
        <v>126.96</v>
      </c>
      <c r="K1083" t="s">
        <v>390</v>
      </c>
    </row>
    <row r="1084" spans="3:11" outlineLevel="2" x14ac:dyDescent="0.3">
      <c r="C1084" s="9">
        <v>45033</v>
      </c>
      <c r="D1084" t="s">
        <v>17</v>
      </c>
      <c r="E1084" t="s">
        <v>33</v>
      </c>
      <c r="F1084" t="s">
        <v>24</v>
      </c>
      <c r="G1084" t="s">
        <v>34</v>
      </c>
      <c r="H1084">
        <v>1670</v>
      </c>
      <c r="I1084">
        <v>71</v>
      </c>
      <c r="J1084" s="6">
        <f>H1084*I1084/1000</f>
        <v>118.57</v>
      </c>
      <c r="K1084" t="s">
        <v>390</v>
      </c>
    </row>
    <row r="1085" spans="3:11" outlineLevel="2" x14ac:dyDescent="0.3">
      <c r="C1085" s="9">
        <v>45033</v>
      </c>
      <c r="D1085" t="s">
        <v>17</v>
      </c>
      <c r="E1085" t="s">
        <v>35</v>
      </c>
      <c r="F1085" t="s">
        <v>18</v>
      </c>
      <c r="G1085" t="s">
        <v>28</v>
      </c>
      <c r="H1085">
        <v>690</v>
      </c>
      <c r="I1085">
        <v>30</v>
      </c>
      <c r="J1085" s="6">
        <f>H1085*I1085/1000</f>
        <v>20.7</v>
      </c>
      <c r="K1085" t="s">
        <v>390</v>
      </c>
    </row>
    <row r="1086" spans="3:11" outlineLevel="1" x14ac:dyDescent="0.3">
      <c r="C1086" s="13" t="s">
        <v>121</v>
      </c>
      <c r="J1086" s="6">
        <f>SUBTOTAL(9,J1081:J1085)</f>
        <v>320.91999999999996</v>
      </c>
      <c r="K1086" t="s">
        <v>390</v>
      </c>
    </row>
    <row r="1087" spans="3:11" outlineLevel="2" x14ac:dyDescent="0.3">
      <c r="C1087" s="10">
        <v>45034</v>
      </c>
      <c r="D1087" s="11" t="s">
        <v>8</v>
      </c>
      <c r="E1087" s="11" t="s">
        <v>20</v>
      </c>
      <c r="F1087" s="11" t="s">
        <v>10</v>
      </c>
      <c r="G1087" s="11" t="s">
        <v>40</v>
      </c>
      <c r="H1087" s="11">
        <v>540</v>
      </c>
      <c r="I1087" s="11">
        <v>8</v>
      </c>
      <c r="J1087" s="6">
        <f t="shared" ref="J1087:J1096" si="70">H1087*I1087/1000</f>
        <v>4.32</v>
      </c>
      <c r="K1087" t="s">
        <v>390</v>
      </c>
    </row>
    <row r="1088" spans="3:11" outlineLevel="2" x14ac:dyDescent="0.3">
      <c r="C1088" s="9">
        <v>45034</v>
      </c>
      <c r="D1088" t="s">
        <v>17</v>
      </c>
      <c r="E1088" t="s">
        <v>20</v>
      </c>
      <c r="F1088" t="s">
        <v>10</v>
      </c>
      <c r="G1088" t="s">
        <v>39</v>
      </c>
      <c r="H1088">
        <v>650</v>
      </c>
      <c r="I1088">
        <v>23</v>
      </c>
      <c r="J1088" s="6">
        <f t="shared" si="70"/>
        <v>14.95</v>
      </c>
      <c r="K1088" t="s">
        <v>390</v>
      </c>
    </row>
    <row r="1089" spans="3:11" outlineLevel="2" x14ac:dyDescent="0.3">
      <c r="C1089" s="10">
        <v>45034</v>
      </c>
      <c r="D1089" s="11" t="s">
        <v>45</v>
      </c>
      <c r="E1089" s="11" t="s">
        <v>20</v>
      </c>
      <c r="F1089" s="11" t="s">
        <v>24</v>
      </c>
      <c r="G1089" s="11" t="s">
        <v>34</v>
      </c>
      <c r="H1089" s="11">
        <v>1670</v>
      </c>
      <c r="I1089" s="11">
        <v>98</v>
      </c>
      <c r="J1089" s="6">
        <f t="shared" si="70"/>
        <v>163.66</v>
      </c>
      <c r="K1089" t="s">
        <v>390</v>
      </c>
    </row>
    <row r="1090" spans="3:11" outlineLevel="2" x14ac:dyDescent="0.3">
      <c r="C1090" s="9">
        <v>45034</v>
      </c>
      <c r="D1090" t="s">
        <v>8</v>
      </c>
      <c r="E1090" t="s">
        <v>9</v>
      </c>
      <c r="F1090" t="s">
        <v>10</v>
      </c>
      <c r="G1090" t="s">
        <v>11</v>
      </c>
      <c r="H1090">
        <v>705</v>
      </c>
      <c r="I1090">
        <v>46</v>
      </c>
      <c r="J1090" s="6">
        <f t="shared" si="70"/>
        <v>32.43</v>
      </c>
      <c r="K1090" t="s">
        <v>390</v>
      </c>
    </row>
    <row r="1091" spans="3:11" outlineLevel="2" x14ac:dyDescent="0.3">
      <c r="C1091" s="9">
        <v>45034</v>
      </c>
      <c r="D1091" t="s">
        <v>8</v>
      </c>
      <c r="E1091" t="s">
        <v>26</v>
      </c>
      <c r="F1091" t="s">
        <v>18</v>
      </c>
      <c r="G1091" t="s">
        <v>27</v>
      </c>
      <c r="H1091">
        <v>460</v>
      </c>
      <c r="I1091">
        <v>87</v>
      </c>
      <c r="J1091" s="6">
        <f t="shared" si="70"/>
        <v>40.020000000000003</v>
      </c>
      <c r="K1091" t="s">
        <v>390</v>
      </c>
    </row>
    <row r="1092" spans="3:11" outlineLevel="2" x14ac:dyDescent="0.3">
      <c r="C1092" s="9">
        <v>45034</v>
      </c>
      <c r="D1092" t="s">
        <v>8</v>
      </c>
      <c r="E1092" t="s">
        <v>26</v>
      </c>
      <c r="F1092" t="s">
        <v>13</v>
      </c>
      <c r="G1092" t="s">
        <v>22</v>
      </c>
      <c r="H1092">
        <v>930</v>
      </c>
      <c r="I1092">
        <v>20</v>
      </c>
      <c r="J1092" s="6">
        <f t="shared" si="70"/>
        <v>18.600000000000001</v>
      </c>
      <c r="K1092" t="s">
        <v>390</v>
      </c>
    </row>
    <row r="1093" spans="3:11" outlineLevel="2" x14ac:dyDescent="0.3">
      <c r="C1093" s="9">
        <v>45034</v>
      </c>
      <c r="D1093" t="s">
        <v>8</v>
      </c>
      <c r="E1093" t="s">
        <v>15</v>
      </c>
      <c r="F1093" t="s">
        <v>18</v>
      </c>
      <c r="G1093" t="s">
        <v>28</v>
      </c>
      <c r="H1093">
        <v>690</v>
      </c>
      <c r="I1093">
        <v>55</v>
      </c>
      <c r="J1093" s="6">
        <f t="shared" si="70"/>
        <v>37.950000000000003</v>
      </c>
      <c r="K1093" t="s">
        <v>390</v>
      </c>
    </row>
    <row r="1094" spans="3:11" outlineLevel="2" x14ac:dyDescent="0.3">
      <c r="C1094" s="9">
        <v>45034</v>
      </c>
      <c r="D1094" t="s">
        <v>8</v>
      </c>
      <c r="E1094" t="s">
        <v>15</v>
      </c>
      <c r="F1094" t="s">
        <v>13</v>
      </c>
      <c r="G1094" t="s">
        <v>14</v>
      </c>
      <c r="H1094">
        <v>1320</v>
      </c>
      <c r="I1094">
        <v>61</v>
      </c>
      <c r="J1094" s="6">
        <f t="shared" si="70"/>
        <v>80.52</v>
      </c>
      <c r="K1094" t="s">
        <v>390</v>
      </c>
    </row>
    <row r="1095" spans="3:11" outlineLevel="2" x14ac:dyDescent="0.3">
      <c r="C1095" s="9">
        <v>45034</v>
      </c>
      <c r="D1095" t="s">
        <v>12</v>
      </c>
      <c r="E1095" t="s">
        <v>15</v>
      </c>
      <c r="F1095" t="s">
        <v>13</v>
      </c>
      <c r="G1095" t="s">
        <v>22</v>
      </c>
      <c r="H1095">
        <v>930</v>
      </c>
      <c r="I1095">
        <v>45</v>
      </c>
      <c r="J1095" s="6">
        <f t="shared" si="70"/>
        <v>41.85</v>
      </c>
      <c r="K1095" t="s">
        <v>390</v>
      </c>
    </row>
    <row r="1096" spans="3:11" outlineLevel="2" x14ac:dyDescent="0.3">
      <c r="C1096" s="9">
        <v>45034</v>
      </c>
      <c r="D1096" t="s">
        <v>17</v>
      </c>
      <c r="E1096" t="s">
        <v>35</v>
      </c>
      <c r="F1096" t="s">
        <v>18</v>
      </c>
      <c r="G1096" t="s">
        <v>37</v>
      </c>
      <c r="H1096">
        <v>890</v>
      </c>
      <c r="I1096">
        <v>80</v>
      </c>
      <c r="J1096" s="6">
        <f t="shared" si="70"/>
        <v>71.2</v>
      </c>
      <c r="K1096" t="s">
        <v>390</v>
      </c>
    </row>
    <row r="1097" spans="3:11" outlineLevel="1" x14ac:dyDescent="0.3">
      <c r="C1097" s="13" t="s">
        <v>122</v>
      </c>
      <c r="J1097" s="6">
        <f>SUBTOTAL(9,J1087:J1096)</f>
        <v>505.5</v>
      </c>
      <c r="K1097" t="s">
        <v>390</v>
      </c>
    </row>
    <row r="1098" spans="3:11" outlineLevel="2" x14ac:dyDescent="0.3">
      <c r="C1098" s="9">
        <v>45035</v>
      </c>
      <c r="D1098" t="s">
        <v>8</v>
      </c>
      <c r="E1098" t="s">
        <v>20</v>
      </c>
      <c r="F1098" t="s">
        <v>10</v>
      </c>
      <c r="G1098" t="s">
        <v>39</v>
      </c>
      <c r="H1098">
        <v>650</v>
      </c>
      <c r="I1098">
        <v>75</v>
      </c>
      <c r="J1098" s="6">
        <f t="shared" ref="J1098:J1107" si="71">H1098*I1098/1000</f>
        <v>48.75</v>
      </c>
      <c r="K1098" t="s">
        <v>390</v>
      </c>
    </row>
    <row r="1099" spans="3:11" outlineLevel="2" x14ac:dyDescent="0.3">
      <c r="C1099" s="10">
        <v>45035</v>
      </c>
      <c r="D1099" s="11" t="s">
        <v>12</v>
      </c>
      <c r="E1099" s="11" t="s">
        <v>20</v>
      </c>
      <c r="F1099" s="11" t="s">
        <v>13</v>
      </c>
      <c r="G1099" s="11" t="s">
        <v>38</v>
      </c>
      <c r="H1099" s="11">
        <v>2400</v>
      </c>
      <c r="I1099" s="11">
        <v>74</v>
      </c>
      <c r="J1099" s="6">
        <f t="shared" si="71"/>
        <v>177.6</v>
      </c>
      <c r="K1099" t="s">
        <v>390</v>
      </c>
    </row>
    <row r="1100" spans="3:11" outlineLevel="2" x14ac:dyDescent="0.3">
      <c r="C1100" s="9">
        <v>45035</v>
      </c>
      <c r="D1100" t="s">
        <v>12</v>
      </c>
      <c r="E1100" t="s">
        <v>9</v>
      </c>
      <c r="F1100" t="s">
        <v>13</v>
      </c>
      <c r="G1100" t="s">
        <v>43</v>
      </c>
      <c r="H1100">
        <v>1420</v>
      </c>
      <c r="I1100">
        <v>81</v>
      </c>
      <c r="J1100" s="6">
        <f t="shared" si="71"/>
        <v>115.02</v>
      </c>
      <c r="K1100" t="s">
        <v>390</v>
      </c>
    </row>
    <row r="1101" spans="3:11" outlineLevel="2" x14ac:dyDescent="0.3">
      <c r="C1101" s="9">
        <v>45035</v>
      </c>
      <c r="D1101" t="s">
        <v>12</v>
      </c>
      <c r="E1101" t="s">
        <v>26</v>
      </c>
      <c r="F1101" t="s">
        <v>10</v>
      </c>
      <c r="G1101" t="s">
        <v>23</v>
      </c>
      <c r="H1101">
        <v>640</v>
      </c>
      <c r="I1101">
        <v>46</v>
      </c>
      <c r="J1101" s="6">
        <f t="shared" si="71"/>
        <v>29.44</v>
      </c>
      <c r="K1101" t="s">
        <v>390</v>
      </c>
    </row>
    <row r="1102" spans="3:11" outlineLevel="2" x14ac:dyDescent="0.3">
      <c r="C1102" s="9">
        <v>45035</v>
      </c>
      <c r="D1102" t="s">
        <v>45</v>
      </c>
      <c r="E1102" t="s">
        <v>26</v>
      </c>
      <c r="F1102" t="s">
        <v>18</v>
      </c>
      <c r="G1102" t="s">
        <v>31</v>
      </c>
      <c r="H1102">
        <v>715</v>
      </c>
      <c r="I1102">
        <v>92</v>
      </c>
      <c r="J1102" s="6">
        <f t="shared" si="71"/>
        <v>65.78</v>
      </c>
      <c r="K1102" t="s">
        <v>390</v>
      </c>
    </row>
    <row r="1103" spans="3:11" outlineLevel="2" x14ac:dyDescent="0.3">
      <c r="C1103" s="9">
        <v>45035</v>
      </c>
      <c r="D1103" t="s">
        <v>12</v>
      </c>
      <c r="E1103" t="s">
        <v>26</v>
      </c>
      <c r="F1103" t="s">
        <v>13</v>
      </c>
      <c r="G1103" t="s">
        <v>14</v>
      </c>
      <c r="H1103">
        <v>1320</v>
      </c>
      <c r="I1103">
        <v>49</v>
      </c>
      <c r="J1103" s="6">
        <f t="shared" si="71"/>
        <v>64.680000000000007</v>
      </c>
      <c r="K1103" t="s">
        <v>390</v>
      </c>
    </row>
    <row r="1104" spans="3:11" outlineLevel="2" x14ac:dyDescent="0.3">
      <c r="C1104" s="9">
        <v>45035</v>
      </c>
      <c r="D1104" t="s">
        <v>45</v>
      </c>
      <c r="E1104" t="s">
        <v>26</v>
      </c>
      <c r="F1104" t="s">
        <v>24</v>
      </c>
      <c r="G1104" t="s">
        <v>36</v>
      </c>
      <c r="H1104">
        <v>2460</v>
      </c>
      <c r="I1104">
        <v>36</v>
      </c>
      <c r="J1104" s="6">
        <f t="shared" si="71"/>
        <v>88.56</v>
      </c>
      <c r="K1104" t="s">
        <v>390</v>
      </c>
    </row>
    <row r="1105" spans="3:11" outlineLevel="2" x14ac:dyDescent="0.3">
      <c r="C1105" s="9">
        <v>45035</v>
      </c>
      <c r="D1105" t="s">
        <v>17</v>
      </c>
      <c r="E1105" t="s">
        <v>15</v>
      </c>
      <c r="F1105" t="s">
        <v>10</v>
      </c>
      <c r="G1105" t="s">
        <v>39</v>
      </c>
      <c r="H1105">
        <v>650</v>
      </c>
      <c r="I1105">
        <v>96</v>
      </c>
      <c r="J1105" s="6">
        <f t="shared" si="71"/>
        <v>62.4</v>
      </c>
      <c r="K1105" t="s">
        <v>390</v>
      </c>
    </row>
    <row r="1106" spans="3:11" outlineLevel="2" x14ac:dyDescent="0.3">
      <c r="C1106" s="9">
        <v>45035</v>
      </c>
      <c r="D1106" t="s">
        <v>12</v>
      </c>
      <c r="E1106" t="s">
        <v>15</v>
      </c>
      <c r="F1106" t="s">
        <v>13</v>
      </c>
      <c r="G1106" t="s">
        <v>43</v>
      </c>
      <c r="H1106">
        <v>1420</v>
      </c>
      <c r="I1106">
        <v>80</v>
      </c>
      <c r="J1106" s="6">
        <f t="shared" si="71"/>
        <v>113.6</v>
      </c>
      <c r="K1106" t="s">
        <v>390</v>
      </c>
    </row>
    <row r="1107" spans="3:11" outlineLevel="2" x14ac:dyDescent="0.3">
      <c r="C1107" s="9">
        <v>45035</v>
      </c>
      <c r="D1107" t="s">
        <v>17</v>
      </c>
      <c r="E1107" t="s">
        <v>33</v>
      </c>
      <c r="F1107" t="s">
        <v>18</v>
      </c>
      <c r="G1107" t="s">
        <v>31</v>
      </c>
      <c r="H1107">
        <v>715</v>
      </c>
      <c r="I1107">
        <v>23</v>
      </c>
      <c r="J1107" s="6">
        <f t="shared" si="71"/>
        <v>16.445</v>
      </c>
      <c r="K1107" t="s">
        <v>390</v>
      </c>
    </row>
    <row r="1108" spans="3:11" outlineLevel="1" x14ac:dyDescent="0.3">
      <c r="C1108" s="13" t="s">
        <v>123</v>
      </c>
      <c r="J1108" s="6">
        <f>SUBTOTAL(9,J1098:J1107)</f>
        <v>782.27500000000009</v>
      </c>
      <c r="K1108" t="s">
        <v>390</v>
      </c>
    </row>
    <row r="1109" spans="3:11" outlineLevel="2" x14ac:dyDescent="0.3">
      <c r="C1109" s="9">
        <v>45036</v>
      </c>
      <c r="D1109" t="s">
        <v>45</v>
      </c>
      <c r="E1109" t="s">
        <v>20</v>
      </c>
      <c r="F1109" t="s">
        <v>13</v>
      </c>
      <c r="G1109" t="s">
        <v>44</v>
      </c>
      <c r="H1109">
        <v>2540</v>
      </c>
      <c r="I1109">
        <v>24</v>
      </c>
      <c r="J1109" s="6">
        <f t="shared" ref="J1109:J1118" si="72">H1109*I1109/1000</f>
        <v>60.96</v>
      </c>
      <c r="K1109" t="s">
        <v>390</v>
      </c>
    </row>
    <row r="1110" spans="3:11" outlineLevel="2" x14ac:dyDescent="0.3">
      <c r="C1110" s="10">
        <v>45036</v>
      </c>
      <c r="D1110" s="11" t="s">
        <v>45</v>
      </c>
      <c r="E1110" s="11" t="s">
        <v>20</v>
      </c>
      <c r="F1110" s="11" t="s">
        <v>24</v>
      </c>
      <c r="G1110" s="11" t="s">
        <v>30</v>
      </c>
      <c r="H1110" s="11">
        <v>2970</v>
      </c>
      <c r="I1110" s="11">
        <v>37</v>
      </c>
      <c r="J1110" s="6">
        <f t="shared" si="72"/>
        <v>109.89</v>
      </c>
      <c r="K1110" t="s">
        <v>390</v>
      </c>
    </row>
    <row r="1111" spans="3:11" outlineLevel="2" x14ac:dyDescent="0.3">
      <c r="C1111" s="9">
        <v>45036</v>
      </c>
      <c r="D1111" t="s">
        <v>45</v>
      </c>
      <c r="E1111" t="s">
        <v>9</v>
      </c>
      <c r="F1111" t="s">
        <v>10</v>
      </c>
      <c r="G1111" t="s">
        <v>16</v>
      </c>
      <c r="H1111">
        <v>1380</v>
      </c>
      <c r="I1111">
        <v>5</v>
      </c>
      <c r="J1111" s="6">
        <f t="shared" si="72"/>
        <v>6.9</v>
      </c>
      <c r="K1111" t="s">
        <v>390</v>
      </c>
    </row>
    <row r="1112" spans="3:11" outlineLevel="2" x14ac:dyDescent="0.3">
      <c r="C1112" s="9">
        <v>45036</v>
      </c>
      <c r="D1112" t="s">
        <v>8</v>
      </c>
      <c r="E1112" t="s">
        <v>9</v>
      </c>
      <c r="F1112" t="s">
        <v>10</v>
      </c>
      <c r="G1112" t="s">
        <v>39</v>
      </c>
      <c r="H1112">
        <v>650</v>
      </c>
      <c r="I1112">
        <v>39</v>
      </c>
      <c r="J1112" s="6">
        <f t="shared" si="72"/>
        <v>25.35</v>
      </c>
      <c r="K1112" t="s">
        <v>390</v>
      </c>
    </row>
    <row r="1113" spans="3:11" outlineLevel="2" x14ac:dyDescent="0.3">
      <c r="C1113" s="9">
        <v>45036</v>
      </c>
      <c r="D1113" t="s">
        <v>8</v>
      </c>
      <c r="E1113" t="s">
        <v>9</v>
      </c>
      <c r="F1113" t="s">
        <v>13</v>
      </c>
      <c r="G1113" t="s">
        <v>29</v>
      </c>
      <c r="H1113">
        <v>1230</v>
      </c>
      <c r="I1113">
        <v>82</v>
      </c>
      <c r="J1113" s="6">
        <f t="shared" si="72"/>
        <v>100.86</v>
      </c>
      <c r="K1113" t="s">
        <v>390</v>
      </c>
    </row>
    <row r="1114" spans="3:11" outlineLevel="2" x14ac:dyDescent="0.3">
      <c r="C1114" s="9">
        <v>45036</v>
      </c>
      <c r="D1114" t="s">
        <v>8</v>
      </c>
      <c r="E1114" t="s">
        <v>26</v>
      </c>
      <c r="F1114" t="s">
        <v>13</v>
      </c>
      <c r="G1114" t="s">
        <v>44</v>
      </c>
      <c r="H1114">
        <v>2540</v>
      </c>
      <c r="I1114">
        <v>68</v>
      </c>
      <c r="J1114" s="6">
        <f t="shared" si="72"/>
        <v>172.72</v>
      </c>
      <c r="K1114" t="s">
        <v>390</v>
      </c>
    </row>
    <row r="1115" spans="3:11" outlineLevel="2" x14ac:dyDescent="0.3">
      <c r="C1115" s="9">
        <v>45036</v>
      </c>
      <c r="D1115" t="s">
        <v>12</v>
      </c>
      <c r="E1115" t="s">
        <v>33</v>
      </c>
      <c r="F1115" t="s">
        <v>10</v>
      </c>
      <c r="G1115" t="s">
        <v>39</v>
      </c>
      <c r="H1115">
        <v>650</v>
      </c>
      <c r="I1115">
        <v>98</v>
      </c>
      <c r="J1115" s="6">
        <f t="shared" si="72"/>
        <v>63.7</v>
      </c>
      <c r="K1115" t="s">
        <v>390</v>
      </c>
    </row>
    <row r="1116" spans="3:11" outlineLevel="2" x14ac:dyDescent="0.3">
      <c r="C1116" s="9">
        <v>45036</v>
      </c>
      <c r="D1116" t="s">
        <v>45</v>
      </c>
      <c r="E1116" t="s">
        <v>33</v>
      </c>
      <c r="F1116" t="s">
        <v>18</v>
      </c>
      <c r="G1116" t="s">
        <v>28</v>
      </c>
      <c r="H1116">
        <v>690</v>
      </c>
      <c r="I1116">
        <v>99</v>
      </c>
      <c r="J1116" s="6">
        <f t="shared" si="72"/>
        <v>68.31</v>
      </c>
      <c r="K1116" t="s">
        <v>390</v>
      </c>
    </row>
    <row r="1117" spans="3:11" outlineLevel="2" x14ac:dyDescent="0.3">
      <c r="C1117" s="9">
        <v>45036</v>
      </c>
      <c r="D1117" t="s">
        <v>45</v>
      </c>
      <c r="E1117" t="s">
        <v>33</v>
      </c>
      <c r="F1117" t="s">
        <v>18</v>
      </c>
      <c r="G1117" t="s">
        <v>28</v>
      </c>
      <c r="H1117">
        <v>690</v>
      </c>
      <c r="I1117">
        <v>68</v>
      </c>
      <c r="J1117" s="6">
        <f t="shared" si="72"/>
        <v>46.92</v>
      </c>
      <c r="K1117" t="s">
        <v>390</v>
      </c>
    </row>
    <row r="1118" spans="3:11" outlineLevel="2" x14ac:dyDescent="0.3">
      <c r="C1118" s="9">
        <v>45036</v>
      </c>
      <c r="D1118" t="s">
        <v>12</v>
      </c>
      <c r="E1118" t="s">
        <v>33</v>
      </c>
      <c r="F1118" t="s">
        <v>24</v>
      </c>
      <c r="G1118" t="s">
        <v>30</v>
      </c>
      <c r="H1118">
        <v>2970</v>
      </c>
      <c r="I1118">
        <v>78</v>
      </c>
      <c r="J1118" s="6">
        <f t="shared" si="72"/>
        <v>231.66</v>
      </c>
      <c r="K1118" t="s">
        <v>390</v>
      </c>
    </row>
    <row r="1119" spans="3:11" outlineLevel="1" x14ac:dyDescent="0.3">
      <c r="C1119" s="13" t="s">
        <v>124</v>
      </c>
      <c r="J1119" s="6">
        <f>SUBTOTAL(9,J1109:J1118)</f>
        <v>887.27</v>
      </c>
      <c r="K1119" t="s">
        <v>390</v>
      </c>
    </row>
    <row r="1120" spans="3:11" outlineLevel="2" x14ac:dyDescent="0.3">
      <c r="C1120" s="9">
        <v>45037</v>
      </c>
      <c r="D1120" t="s">
        <v>45</v>
      </c>
      <c r="E1120" t="s">
        <v>20</v>
      </c>
      <c r="F1120" t="s">
        <v>13</v>
      </c>
      <c r="G1120" t="s">
        <v>14</v>
      </c>
      <c r="H1120">
        <v>1320</v>
      </c>
      <c r="I1120">
        <v>17</v>
      </c>
      <c r="J1120" s="6">
        <f t="shared" ref="J1120:J1130" si="73">H1120*I1120/1000</f>
        <v>22.44</v>
      </c>
      <c r="K1120" t="s">
        <v>390</v>
      </c>
    </row>
    <row r="1121" spans="3:11" outlineLevel="2" x14ac:dyDescent="0.3">
      <c r="C1121" s="10">
        <v>45037</v>
      </c>
      <c r="D1121" s="11" t="s">
        <v>17</v>
      </c>
      <c r="E1121" s="11" t="s">
        <v>20</v>
      </c>
      <c r="F1121" s="11" t="s">
        <v>24</v>
      </c>
      <c r="G1121" s="11" t="s">
        <v>34</v>
      </c>
      <c r="H1121" s="11">
        <v>1670</v>
      </c>
      <c r="I1121" s="11">
        <v>11</v>
      </c>
      <c r="J1121" s="6">
        <f t="shared" si="73"/>
        <v>18.37</v>
      </c>
      <c r="K1121" t="s">
        <v>390</v>
      </c>
    </row>
    <row r="1122" spans="3:11" outlineLevel="2" x14ac:dyDescent="0.3">
      <c r="C1122" s="9">
        <v>45037</v>
      </c>
      <c r="D1122" t="s">
        <v>17</v>
      </c>
      <c r="E1122" t="s">
        <v>20</v>
      </c>
      <c r="F1122" t="s">
        <v>24</v>
      </c>
      <c r="G1122" t="s">
        <v>42</v>
      </c>
      <c r="H1122">
        <v>3205</v>
      </c>
      <c r="I1122">
        <v>25</v>
      </c>
      <c r="J1122" s="6">
        <f t="shared" si="73"/>
        <v>80.125</v>
      </c>
      <c r="K1122" t="s">
        <v>390</v>
      </c>
    </row>
    <row r="1123" spans="3:11" outlineLevel="2" x14ac:dyDescent="0.3">
      <c r="C1123" s="9">
        <v>45037</v>
      </c>
      <c r="D1123" t="s">
        <v>8</v>
      </c>
      <c r="E1123" t="s">
        <v>9</v>
      </c>
      <c r="F1123" t="s">
        <v>18</v>
      </c>
      <c r="G1123" t="s">
        <v>21</v>
      </c>
      <c r="H1123">
        <v>450</v>
      </c>
      <c r="I1123">
        <v>96</v>
      </c>
      <c r="J1123" s="6">
        <f t="shared" si="73"/>
        <v>43.2</v>
      </c>
      <c r="K1123" t="s">
        <v>390</v>
      </c>
    </row>
    <row r="1124" spans="3:11" outlineLevel="2" x14ac:dyDescent="0.3">
      <c r="C1124" s="9">
        <v>45037</v>
      </c>
      <c r="D1124" t="s">
        <v>17</v>
      </c>
      <c r="E1124" t="s">
        <v>9</v>
      </c>
      <c r="F1124" t="s">
        <v>18</v>
      </c>
      <c r="G1124" t="s">
        <v>19</v>
      </c>
      <c r="H1124">
        <v>325</v>
      </c>
      <c r="I1124">
        <v>46</v>
      </c>
      <c r="J1124" s="6">
        <f t="shared" si="73"/>
        <v>14.95</v>
      </c>
      <c r="K1124" t="s">
        <v>390</v>
      </c>
    </row>
    <row r="1125" spans="3:11" outlineLevel="2" x14ac:dyDescent="0.3">
      <c r="C1125" s="9">
        <v>45037</v>
      </c>
      <c r="D1125" t="s">
        <v>45</v>
      </c>
      <c r="E1125" t="s">
        <v>26</v>
      </c>
      <c r="F1125" t="s">
        <v>10</v>
      </c>
      <c r="G1125" t="s">
        <v>23</v>
      </c>
      <c r="H1125">
        <v>640</v>
      </c>
      <c r="I1125">
        <v>28</v>
      </c>
      <c r="J1125" s="6">
        <f t="shared" si="73"/>
        <v>17.920000000000002</v>
      </c>
      <c r="K1125" t="s">
        <v>390</v>
      </c>
    </row>
    <row r="1126" spans="3:11" outlineLevel="2" x14ac:dyDescent="0.3">
      <c r="C1126" s="9">
        <v>45037</v>
      </c>
      <c r="D1126" t="s">
        <v>17</v>
      </c>
      <c r="E1126" t="s">
        <v>15</v>
      </c>
      <c r="F1126" t="s">
        <v>10</v>
      </c>
      <c r="G1126" t="s">
        <v>39</v>
      </c>
      <c r="H1126">
        <v>650</v>
      </c>
      <c r="I1126">
        <v>73</v>
      </c>
      <c r="J1126" s="6">
        <f t="shared" si="73"/>
        <v>47.45</v>
      </c>
      <c r="K1126" t="s">
        <v>390</v>
      </c>
    </row>
    <row r="1127" spans="3:11" outlineLevel="2" x14ac:dyDescent="0.3">
      <c r="C1127" s="9">
        <v>45037</v>
      </c>
      <c r="D1127" t="s">
        <v>17</v>
      </c>
      <c r="E1127" t="s">
        <v>15</v>
      </c>
      <c r="F1127" t="s">
        <v>18</v>
      </c>
      <c r="G1127" t="s">
        <v>27</v>
      </c>
      <c r="H1127">
        <v>460</v>
      </c>
      <c r="I1127">
        <v>91</v>
      </c>
      <c r="J1127" s="6">
        <f t="shared" si="73"/>
        <v>41.86</v>
      </c>
      <c r="K1127" t="s">
        <v>390</v>
      </c>
    </row>
    <row r="1128" spans="3:11" outlineLevel="2" x14ac:dyDescent="0.3">
      <c r="C1128" s="9">
        <v>45037</v>
      </c>
      <c r="D1128" t="s">
        <v>45</v>
      </c>
      <c r="E1128" t="s">
        <v>33</v>
      </c>
      <c r="F1128" t="s">
        <v>18</v>
      </c>
      <c r="G1128" t="s">
        <v>31</v>
      </c>
      <c r="H1128">
        <v>715</v>
      </c>
      <c r="I1128">
        <v>7</v>
      </c>
      <c r="J1128" s="6">
        <f t="shared" si="73"/>
        <v>5.0049999999999999</v>
      </c>
      <c r="K1128" t="s">
        <v>390</v>
      </c>
    </row>
    <row r="1129" spans="3:11" outlineLevel="2" x14ac:dyDescent="0.3">
      <c r="C1129" s="9">
        <v>45037</v>
      </c>
      <c r="D1129" t="s">
        <v>17</v>
      </c>
      <c r="E1129" t="s">
        <v>33</v>
      </c>
      <c r="F1129" t="s">
        <v>18</v>
      </c>
      <c r="G1129" t="s">
        <v>27</v>
      </c>
      <c r="H1129">
        <v>460</v>
      </c>
      <c r="I1129">
        <v>59</v>
      </c>
      <c r="J1129" s="6">
        <f t="shared" si="73"/>
        <v>27.14</v>
      </c>
      <c r="K1129" t="s">
        <v>390</v>
      </c>
    </row>
    <row r="1130" spans="3:11" outlineLevel="2" x14ac:dyDescent="0.3">
      <c r="C1130" s="9">
        <v>45037</v>
      </c>
      <c r="D1130" t="s">
        <v>17</v>
      </c>
      <c r="E1130" t="s">
        <v>35</v>
      </c>
      <c r="F1130" t="s">
        <v>18</v>
      </c>
      <c r="G1130" t="s">
        <v>31</v>
      </c>
      <c r="H1130">
        <v>715</v>
      </c>
      <c r="I1130">
        <v>45</v>
      </c>
      <c r="J1130" s="6">
        <f t="shared" si="73"/>
        <v>32.174999999999997</v>
      </c>
      <c r="K1130" t="s">
        <v>390</v>
      </c>
    </row>
    <row r="1131" spans="3:11" outlineLevel="1" x14ac:dyDescent="0.3">
      <c r="C1131" s="13" t="s">
        <v>125</v>
      </c>
      <c r="J1131" s="6">
        <f>SUBTOTAL(9,J1120:J1130)</f>
        <v>350.63499999999999</v>
      </c>
      <c r="K1131" t="s">
        <v>390</v>
      </c>
    </row>
    <row r="1132" spans="3:11" outlineLevel="2" x14ac:dyDescent="0.3">
      <c r="C1132" s="10">
        <v>45038</v>
      </c>
      <c r="D1132" s="11" t="s">
        <v>17</v>
      </c>
      <c r="E1132" s="11" t="s">
        <v>20</v>
      </c>
      <c r="F1132" s="11" t="s">
        <v>10</v>
      </c>
      <c r="G1132" s="11" t="s">
        <v>11</v>
      </c>
      <c r="H1132" s="11">
        <v>705</v>
      </c>
      <c r="I1132" s="11">
        <v>17</v>
      </c>
      <c r="J1132" s="6">
        <f t="shared" ref="J1132:J1143" si="74">H1132*I1132/1000</f>
        <v>11.984999999999999</v>
      </c>
      <c r="K1132" t="s">
        <v>390</v>
      </c>
    </row>
    <row r="1133" spans="3:11" outlineLevel="2" x14ac:dyDescent="0.3">
      <c r="C1133" s="9">
        <v>45038</v>
      </c>
      <c r="D1133" t="s">
        <v>12</v>
      </c>
      <c r="E1133" t="s">
        <v>9</v>
      </c>
      <c r="F1133" t="s">
        <v>18</v>
      </c>
      <c r="G1133" t="s">
        <v>31</v>
      </c>
      <c r="H1133">
        <v>715</v>
      </c>
      <c r="I1133">
        <v>82</v>
      </c>
      <c r="J1133" s="6">
        <f t="shared" si="74"/>
        <v>58.63</v>
      </c>
      <c r="K1133" t="s">
        <v>390</v>
      </c>
    </row>
    <row r="1134" spans="3:11" outlineLevel="2" x14ac:dyDescent="0.3">
      <c r="C1134" s="9">
        <v>45038</v>
      </c>
      <c r="D1134" t="s">
        <v>17</v>
      </c>
      <c r="E1134" t="s">
        <v>9</v>
      </c>
      <c r="F1134" t="s">
        <v>24</v>
      </c>
      <c r="G1134" t="s">
        <v>25</v>
      </c>
      <c r="H1134">
        <v>1760</v>
      </c>
      <c r="I1134">
        <v>37</v>
      </c>
      <c r="J1134" s="6">
        <f t="shared" si="74"/>
        <v>65.12</v>
      </c>
      <c r="K1134" t="s">
        <v>390</v>
      </c>
    </row>
    <row r="1135" spans="3:11" outlineLevel="2" x14ac:dyDescent="0.3">
      <c r="C1135" s="9">
        <v>45038</v>
      </c>
      <c r="D1135" t="s">
        <v>8</v>
      </c>
      <c r="E1135" t="s">
        <v>9</v>
      </c>
      <c r="F1135" t="s">
        <v>24</v>
      </c>
      <c r="G1135" t="s">
        <v>30</v>
      </c>
      <c r="H1135">
        <v>2970</v>
      </c>
      <c r="I1135">
        <v>19</v>
      </c>
      <c r="J1135" s="6">
        <f t="shared" si="74"/>
        <v>56.43</v>
      </c>
      <c r="K1135" t="s">
        <v>390</v>
      </c>
    </row>
    <row r="1136" spans="3:11" outlineLevel="2" x14ac:dyDescent="0.3">
      <c r="C1136" s="9">
        <v>45038</v>
      </c>
      <c r="D1136" t="s">
        <v>17</v>
      </c>
      <c r="E1136" t="s">
        <v>26</v>
      </c>
      <c r="F1136" t="s">
        <v>13</v>
      </c>
      <c r="G1136" t="s">
        <v>43</v>
      </c>
      <c r="H1136">
        <v>1420</v>
      </c>
      <c r="I1136">
        <v>64</v>
      </c>
      <c r="J1136" s="6">
        <f t="shared" si="74"/>
        <v>90.88</v>
      </c>
      <c r="K1136" t="s">
        <v>390</v>
      </c>
    </row>
    <row r="1137" spans="3:11" outlineLevel="2" x14ac:dyDescent="0.3">
      <c r="C1137" s="9">
        <v>45038</v>
      </c>
      <c r="D1137" t="s">
        <v>12</v>
      </c>
      <c r="E1137" t="s">
        <v>26</v>
      </c>
      <c r="F1137" t="s">
        <v>24</v>
      </c>
      <c r="G1137" t="s">
        <v>30</v>
      </c>
      <c r="H1137">
        <v>2970</v>
      </c>
      <c r="I1137">
        <v>51</v>
      </c>
      <c r="J1137" s="6">
        <f t="shared" si="74"/>
        <v>151.47</v>
      </c>
      <c r="K1137" t="s">
        <v>390</v>
      </c>
    </row>
    <row r="1138" spans="3:11" outlineLevel="2" x14ac:dyDescent="0.3">
      <c r="C1138" s="9">
        <v>45038</v>
      </c>
      <c r="D1138" t="s">
        <v>17</v>
      </c>
      <c r="E1138" t="s">
        <v>26</v>
      </c>
      <c r="F1138" t="s">
        <v>24</v>
      </c>
      <c r="G1138" t="s">
        <v>32</v>
      </c>
      <c r="H1138">
        <v>1505</v>
      </c>
      <c r="I1138">
        <v>17</v>
      </c>
      <c r="J1138" s="6">
        <f t="shared" si="74"/>
        <v>25.585000000000001</v>
      </c>
      <c r="K1138" t="s">
        <v>390</v>
      </c>
    </row>
    <row r="1139" spans="3:11" outlineLevel="2" x14ac:dyDescent="0.3">
      <c r="C1139" s="9">
        <v>45038</v>
      </c>
      <c r="D1139" t="s">
        <v>17</v>
      </c>
      <c r="E1139" t="s">
        <v>26</v>
      </c>
      <c r="F1139" t="s">
        <v>24</v>
      </c>
      <c r="G1139" t="s">
        <v>36</v>
      </c>
      <c r="H1139">
        <v>2460</v>
      </c>
      <c r="I1139">
        <v>77</v>
      </c>
      <c r="J1139" s="6">
        <f t="shared" si="74"/>
        <v>189.42</v>
      </c>
      <c r="K1139" t="s">
        <v>390</v>
      </c>
    </row>
    <row r="1140" spans="3:11" outlineLevel="2" x14ac:dyDescent="0.3">
      <c r="C1140" s="9">
        <v>45038</v>
      </c>
      <c r="D1140" t="s">
        <v>45</v>
      </c>
      <c r="E1140" t="s">
        <v>15</v>
      </c>
      <c r="F1140" t="s">
        <v>18</v>
      </c>
      <c r="G1140" t="s">
        <v>21</v>
      </c>
      <c r="H1140">
        <v>450</v>
      </c>
      <c r="I1140">
        <v>9</v>
      </c>
      <c r="J1140" s="6">
        <f t="shared" si="74"/>
        <v>4.05</v>
      </c>
      <c r="K1140" t="s">
        <v>390</v>
      </c>
    </row>
    <row r="1141" spans="3:11" outlineLevel="2" x14ac:dyDescent="0.3">
      <c r="C1141" s="9">
        <v>45038</v>
      </c>
      <c r="D1141" t="s">
        <v>12</v>
      </c>
      <c r="E1141" t="s">
        <v>15</v>
      </c>
      <c r="F1141" t="s">
        <v>13</v>
      </c>
      <c r="G1141" t="s">
        <v>38</v>
      </c>
      <c r="H1141">
        <v>2400</v>
      </c>
      <c r="I1141">
        <v>75</v>
      </c>
      <c r="J1141" s="6">
        <f t="shared" si="74"/>
        <v>180</v>
      </c>
      <c r="K1141" t="s">
        <v>390</v>
      </c>
    </row>
    <row r="1142" spans="3:11" outlineLevel="2" x14ac:dyDescent="0.3">
      <c r="C1142" s="9">
        <v>45038</v>
      </c>
      <c r="D1142" t="s">
        <v>17</v>
      </c>
      <c r="E1142" t="s">
        <v>33</v>
      </c>
      <c r="F1142" t="s">
        <v>18</v>
      </c>
      <c r="G1142" t="s">
        <v>21</v>
      </c>
      <c r="H1142">
        <v>450</v>
      </c>
      <c r="I1142">
        <v>93</v>
      </c>
      <c r="J1142" s="6">
        <f t="shared" si="74"/>
        <v>41.85</v>
      </c>
      <c r="K1142" t="s">
        <v>390</v>
      </c>
    </row>
    <row r="1143" spans="3:11" outlineLevel="2" x14ac:dyDescent="0.3">
      <c r="C1143" s="9">
        <v>45038</v>
      </c>
      <c r="D1143" t="s">
        <v>17</v>
      </c>
      <c r="E1143" t="s">
        <v>33</v>
      </c>
      <c r="F1143" t="s">
        <v>13</v>
      </c>
      <c r="G1143" t="s">
        <v>43</v>
      </c>
      <c r="H1143">
        <v>1420</v>
      </c>
      <c r="I1143">
        <v>29</v>
      </c>
      <c r="J1143" s="6">
        <f t="shared" si="74"/>
        <v>41.18</v>
      </c>
      <c r="K1143" t="s">
        <v>390</v>
      </c>
    </row>
    <row r="1144" spans="3:11" outlineLevel="1" x14ac:dyDescent="0.3">
      <c r="C1144" s="13" t="s">
        <v>126</v>
      </c>
      <c r="J1144" s="6">
        <f>SUBTOTAL(9,J1132:J1143)</f>
        <v>916.59999999999991</v>
      </c>
      <c r="K1144" t="s">
        <v>390</v>
      </c>
    </row>
    <row r="1145" spans="3:11" outlineLevel="2" x14ac:dyDescent="0.3">
      <c r="C1145" s="9">
        <v>45039</v>
      </c>
      <c r="D1145" t="s">
        <v>8</v>
      </c>
      <c r="E1145" t="s">
        <v>20</v>
      </c>
      <c r="F1145" t="s">
        <v>18</v>
      </c>
      <c r="G1145" t="s">
        <v>19</v>
      </c>
      <c r="H1145">
        <v>325</v>
      </c>
      <c r="I1145">
        <v>84</v>
      </c>
      <c r="J1145" s="6">
        <f t="shared" ref="J1145:J1154" si="75">H1145*I1145/1000</f>
        <v>27.3</v>
      </c>
      <c r="K1145" t="s">
        <v>390</v>
      </c>
    </row>
    <row r="1146" spans="3:11" outlineLevel="2" x14ac:dyDescent="0.3">
      <c r="C1146" s="9">
        <v>45039</v>
      </c>
      <c r="D1146" t="s">
        <v>17</v>
      </c>
      <c r="E1146" t="s">
        <v>9</v>
      </c>
      <c r="F1146" t="s">
        <v>18</v>
      </c>
      <c r="G1146" t="s">
        <v>28</v>
      </c>
      <c r="H1146">
        <v>690</v>
      </c>
      <c r="I1146">
        <v>43</v>
      </c>
      <c r="J1146" s="6">
        <f t="shared" si="75"/>
        <v>29.67</v>
      </c>
      <c r="K1146" t="s">
        <v>390</v>
      </c>
    </row>
    <row r="1147" spans="3:11" outlineLevel="2" x14ac:dyDescent="0.3">
      <c r="C1147" s="9">
        <v>45039</v>
      </c>
      <c r="D1147" t="s">
        <v>8</v>
      </c>
      <c r="E1147" t="s">
        <v>9</v>
      </c>
      <c r="F1147" t="s">
        <v>24</v>
      </c>
      <c r="G1147" t="s">
        <v>25</v>
      </c>
      <c r="H1147">
        <v>1760</v>
      </c>
      <c r="I1147">
        <v>82</v>
      </c>
      <c r="J1147" s="6">
        <f t="shared" si="75"/>
        <v>144.32</v>
      </c>
      <c r="K1147" t="s">
        <v>390</v>
      </c>
    </row>
    <row r="1148" spans="3:11" outlineLevel="2" x14ac:dyDescent="0.3">
      <c r="C1148" s="9">
        <v>45039</v>
      </c>
      <c r="D1148" t="s">
        <v>45</v>
      </c>
      <c r="E1148" t="s">
        <v>26</v>
      </c>
      <c r="F1148" t="s">
        <v>10</v>
      </c>
      <c r="G1148" t="s">
        <v>41</v>
      </c>
      <c r="H1148">
        <v>650</v>
      </c>
      <c r="I1148">
        <v>44</v>
      </c>
      <c r="J1148" s="6">
        <f t="shared" si="75"/>
        <v>28.6</v>
      </c>
      <c r="K1148" t="s">
        <v>390</v>
      </c>
    </row>
    <row r="1149" spans="3:11" outlineLevel="2" x14ac:dyDescent="0.3">
      <c r="C1149" s="9">
        <v>45039</v>
      </c>
      <c r="D1149" t="s">
        <v>8</v>
      </c>
      <c r="E1149" t="s">
        <v>26</v>
      </c>
      <c r="F1149" t="s">
        <v>24</v>
      </c>
      <c r="G1149" t="s">
        <v>42</v>
      </c>
      <c r="H1149">
        <v>3205</v>
      </c>
      <c r="I1149">
        <v>32</v>
      </c>
      <c r="J1149" s="6">
        <f t="shared" si="75"/>
        <v>102.56</v>
      </c>
      <c r="K1149" t="s">
        <v>390</v>
      </c>
    </row>
    <row r="1150" spans="3:11" outlineLevel="2" x14ac:dyDescent="0.3">
      <c r="C1150" s="9">
        <v>45039</v>
      </c>
      <c r="D1150" t="s">
        <v>12</v>
      </c>
      <c r="E1150" t="s">
        <v>26</v>
      </c>
      <c r="F1150" t="s">
        <v>24</v>
      </c>
      <c r="G1150" t="s">
        <v>32</v>
      </c>
      <c r="H1150">
        <v>1505</v>
      </c>
      <c r="I1150">
        <v>63</v>
      </c>
      <c r="J1150" s="6">
        <f t="shared" si="75"/>
        <v>94.814999999999998</v>
      </c>
      <c r="K1150" t="s">
        <v>390</v>
      </c>
    </row>
    <row r="1151" spans="3:11" outlineLevel="2" x14ac:dyDescent="0.3">
      <c r="C1151" s="9">
        <v>45039</v>
      </c>
      <c r="D1151" t="s">
        <v>17</v>
      </c>
      <c r="E1151" t="s">
        <v>15</v>
      </c>
      <c r="F1151" t="s">
        <v>13</v>
      </c>
      <c r="G1151" t="s">
        <v>43</v>
      </c>
      <c r="H1151">
        <v>1420</v>
      </c>
      <c r="I1151">
        <v>98</v>
      </c>
      <c r="J1151" s="6">
        <f t="shared" si="75"/>
        <v>139.16</v>
      </c>
      <c r="K1151" t="s">
        <v>390</v>
      </c>
    </row>
    <row r="1152" spans="3:11" outlineLevel="2" x14ac:dyDescent="0.3">
      <c r="C1152" s="9">
        <v>45039</v>
      </c>
      <c r="D1152" t="s">
        <v>8</v>
      </c>
      <c r="E1152" t="s">
        <v>15</v>
      </c>
      <c r="F1152" t="s">
        <v>24</v>
      </c>
      <c r="G1152" t="s">
        <v>32</v>
      </c>
      <c r="H1152">
        <v>1505</v>
      </c>
      <c r="I1152">
        <v>9</v>
      </c>
      <c r="J1152" s="6">
        <f t="shared" si="75"/>
        <v>13.545</v>
      </c>
      <c r="K1152" t="s">
        <v>390</v>
      </c>
    </row>
    <row r="1153" spans="3:11" outlineLevel="2" x14ac:dyDescent="0.3">
      <c r="C1153" s="9">
        <v>45039</v>
      </c>
      <c r="D1153" t="s">
        <v>45</v>
      </c>
      <c r="E1153" t="s">
        <v>33</v>
      </c>
      <c r="F1153" t="s">
        <v>18</v>
      </c>
      <c r="G1153" t="s">
        <v>19</v>
      </c>
      <c r="H1153">
        <v>325</v>
      </c>
      <c r="I1153">
        <v>30</v>
      </c>
      <c r="J1153" s="6">
        <f t="shared" si="75"/>
        <v>9.75</v>
      </c>
      <c r="K1153" t="s">
        <v>390</v>
      </c>
    </row>
    <row r="1154" spans="3:11" outlineLevel="2" x14ac:dyDescent="0.3">
      <c r="C1154" s="9">
        <v>45039</v>
      </c>
      <c r="D1154" t="s">
        <v>17</v>
      </c>
      <c r="E1154" t="s">
        <v>35</v>
      </c>
      <c r="F1154" t="s">
        <v>24</v>
      </c>
      <c r="G1154" t="s">
        <v>36</v>
      </c>
      <c r="H1154">
        <v>2460</v>
      </c>
      <c r="I1154">
        <v>78</v>
      </c>
      <c r="J1154" s="6">
        <f t="shared" si="75"/>
        <v>191.88</v>
      </c>
      <c r="K1154" t="s">
        <v>390</v>
      </c>
    </row>
    <row r="1155" spans="3:11" outlineLevel="1" x14ac:dyDescent="0.3">
      <c r="C1155" s="13" t="s">
        <v>127</v>
      </c>
      <c r="J1155" s="6">
        <f>SUBTOTAL(9,J1145:J1154)</f>
        <v>781.59999999999991</v>
      </c>
      <c r="K1155" t="s">
        <v>390</v>
      </c>
    </row>
    <row r="1156" spans="3:11" outlineLevel="2" x14ac:dyDescent="0.3">
      <c r="C1156" s="10">
        <v>45040</v>
      </c>
      <c r="D1156" s="11" t="s">
        <v>45</v>
      </c>
      <c r="E1156" s="11" t="s">
        <v>20</v>
      </c>
      <c r="F1156" s="11" t="s">
        <v>10</v>
      </c>
      <c r="G1156" s="11" t="s">
        <v>23</v>
      </c>
      <c r="H1156" s="11">
        <v>640</v>
      </c>
      <c r="I1156" s="11">
        <v>79</v>
      </c>
      <c r="J1156" s="6">
        <f t="shared" ref="J1156:J1166" si="76">H1156*I1156/1000</f>
        <v>50.56</v>
      </c>
      <c r="K1156" t="s">
        <v>390</v>
      </c>
    </row>
    <row r="1157" spans="3:11" outlineLevel="2" x14ac:dyDescent="0.3">
      <c r="C1157" s="9">
        <v>45040</v>
      </c>
      <c r="D1157" t="s">
        <v>45</v>
      </c>
      <c r="E1157" t="s">
        <v>20</v>
      </c>
      <c r="F1157" t="s">
        <v>18</v>
      </c>
      <c r="G1157" t="s">
        <v>37</v>
      </c>
      <c r="H1157">
        <v>890</v>
      </c>
      <c r="I1157">
        <v>100</v>
      </c>
      <c r="J1157" s="6">
        <f t="shared" si="76"/>
        <v>89</v>
      </c>
      <c r="K1157" t="s">
        <v>390</v>
      </c>
    </row>
    <row r="1158" spans="3:11" outlineLevel="2" x14ac:dyDescent="0.3">
      <c r="C1158" s="9">
        <v>45040</v>
      </c>
      <c r="D1158" t="s">
        <v>8</v>
      </c>
      <c r="E1158" t="s">
        <v>9</v>
      </c>
      <c r="F1158" t="s">
        <v>24</v>
      </c>
      <c r="G1158" t="s">
        <v>42</v>
      </c>
      <c r="H1158">
        <v>3205</v>
      </c>
      <c r="I1158">
        <v>48</v>
      </c>
      <c r="J1158" s="6">
        <f t="shared" si="76"/>
        <v>153.84</v>
      </c>
      <c r="K1158" t="s">
        <v>390</v>
      </c>
    </row>
    <row r="1159" spans="3:11" outlineLevel="2" x14ac:dyDescent="0.3">
      <c r="C1159" s="9">
        <v>45040</v>
      </c>
      <c r="D1159" t="s">
        <v>12</v>
      </c>
      <c r="E1159" t="s">
        <v>26</v>
      </c>
      <c r="F1159" t="s">
        <v>10</v>
      </c>
      <c r="G1159" t="s">
        <v>16</v>
      </c>
      <c r="H1159">
        <v>1380</v>
      </c>
      <c r="I1159">
        <v>19</v>
      </c>
      <c r="J1159" s="6">
        <f t="shared" si="76"/>
        <v>26.22</v>
      </c>
      <c r="K1159" t="s">
        <v>390</v>
      </c>
    </row>
    <row r="1160" spans="3:11" outlineLevel="2" x14ac:dyDescent="0.3">
      <c r="C1160" s="9">
        <v>45040</v>
      </c>
      <c r="D1160" t="s">
        <v>8</v>
      </c>
      <c r="E1160" t="s">
        <v>26</v>
      </c>
      <c r="F1160" t="s">
        <v>24</v>
      </c>
      <c r="G1160" t="s">
        <v>34</v>
      </c>
      <c r="H1160">
        <v>1670</v>
      </c>
      <c r="I1160">
        <v>72</v>
      </c>
      <c r="J1160" s="6">
        <f t="shared" si="76"/>
        <v>120.24</v>
      </c>
      <c r="K1160" t="s">
        <v>390</v>
      </c>
    </row>
    <row r="1161" spans="3:11" outlineLevel="2" x14ac:dyDescent="0.3">
      <c r="C1161" s="9">
        <v>45040</v>
      </c>
      <c r="D1161" t="s">
        <v>8</v>
      </c>
      <c r="E1161" t="s">
        <v>26</v>
      </c>
      <c r="F1161" t="s">
        <v>24</v>
      </c>
      <c r="G1161" t="s">
        <v>34</v>
      </c>
      <c r="H1161">
        <v>1670</v>
      </c>
      <c r="I1161">
        <v>56</v>
      </c>
      <c r="J1161" s="6">
        <f t="shared" si="76"/>
        <v>93.52</v>
      </c>
      <c r="K1161" t="s">
        <v>390</v>
      </c>
    </row>
    <row r="1162" spans="3:11" outlineLevel="2" x14ac:dyDescent="0.3">
      <c r="C1162" s="9">
        <v>45040</v>
      </c>
      <c r="D1162" t="s">
        <v>12</v>
      </c>
      <c r="E1162" t="s">
        <v>15</v>
      </c>
      <c r="F1162" t="s">
        <v>13</v>
      </c>
      <c r="G1162" t="s">
        <v>43</v>
      </c>
      <c r="H1162">
        <v>1420</v>
      </c>
      <c r="I1162">
        <v>70</v>
      </c>
      <c r="J1162" s="6">
        <f t="shared" si="76"/>
        <v>99.4</v>
      </c>
      <c r="K1162" t="s">
        <v>390</v>
      </c>
    </row>
    <row r="1163" spans="3:11" outlineLevel="2" x14ac:dyDescent="0.3">
      <c r="C1163" s="9">
        <v>45040</v>
      </c>
      <c r="D1163" t="s">
        <v>8</v>
      </c>
      <c r="E1163" t="s">
        <v>15</v>
      </c>
      <c r="F1163" t="s">
        <v>24</v>
      </c>
      <c r="G1163" t="s">
        <v>36</v>
      </c>
      <c r="H1163">
        <v>2460</v>
      </c>
      <c r="I1163">
        <v>44</v>
      </c>
      <c r="J1163" s="6">
        <f t="shared" si="76"/>
        <v>108.24</v>
      </c>
      <c r="K1163" t="s">
        <v>390</v>
      </c>
    </row>
    <row r="1164" spans="3:11" outlineLevel="2" x14ac:dyDescent="0.3">
      <c r="C1164" s="9">
        <v>45040</v>
      </c>
      <c r="D1164" t="s">
        <v>12</v>
      </c>
      <c r="E1164" t="s">
        <v>15</v>
      </c>
      <c r="F1164" t="s">
        <v>24</v>
      </c>
      <c r="G1164" t="s">
        <v>30</v>
      </c>
      <c r="H1164">
        <v>2970</v>
      </c>
      <c r="I1164">
        <v>17</v>
      </c>
      <c r="J1164" s="6">
        <f t="shared" si="76"/>
        <v>50.49</v>
      </c>
      <c r="K1164" t="s">
        <v>390</v>
      </c>
    </row>
    <row r="1165" spans="3:11" outlineLevel="2" x14ac:dyDescent="0.3">
      <c r="C1165" s="9">
        <v>45040</v>
      </c>
      <c r="D1165" t="s">
        <v>8</v>
      </c>
      <c r="E1165" t="s">
        <v>33</v>
      </c>
      <c r="F1165" t="s">
        <v>18</v>
      </c>
      <c r="G1165" t="s">
        <v>21</v>
      </c>
      <c r="H1165">
        <v>450</v>
      </c>
      <c r="I1165">
        <v>10</v>
      </c>
      <c r="J1165" s="6">
        <f t="shared" si="76"/>
        <v>4.5</v>
      </c>
      <c r="K1165" t="s">
        <v>390</v>
      </c>
    </row>
    <row r="1166" spans="3:11" outlineLevel="2" x14ac:dyDescent="0.3">
      <c r="C1166" s="9">
        <v>45040</v>
      </c>
      <c r="D1166" t="s">
        <v>17</v>
      </c>
      <c r="E1166" t="s">
        <v>35</v>
      </c>
      <c r="F1166" t="s">
        <v>10</v>
      </c>
      <c r="G1166" t="s">
        <v>40</v>
      </c>
      <c r="H1166">
        <v>540</v>
      </c>
      <c r="I1166">
        <v>76</v>
      </c>
      <c r="J1166" s="6">
        <f t="shared" si="76"/>
        <v>41.04</v>
      </c>
      <c r="K1166" t="s">
        <v>390</v>
      </c>
    </row>
    <row r="1167" spans="3:11" outlineLevel="1" x14ac:dyDescent="0.3">
      <c r="C1167" s="13" t="s">
        <v>128</v>
      </c>
      <c r="J1167" s="6">
        <f>SUBTOTAL(9,J1156:J1166)</f>
        <v>837.05</v>
      </c>
      <c r="K1167" t="s">
        <v>390</v>
      </c>
    </row>
    <row r="1168" spans="3:11" outlineLevel="2" x14ac:dyDescent="0.3">
      <c r="C1168" s="10">
        <v>45041</v>
      </c>
      <c r="D1168" s="11" t="s">
        <v>17</v>
      </c>
      <c r="E1168" s="11" t="s">
        <v>20</v>
      </c>
      <c r="F1168" s="11" t="s">
        <v>18</v>
      </c>
      <c r="G1168" s="11" t="s">
        <v>37</v>
      </c>
      <c r="H1168" s="11">
        <v>890</v>
      </c>
      <c r="I1168" s="11">
        <v>73</v>
      </c>
      <c r="J1168" s="6">
        <f t="shared" ref="J1168:J1177" si="77">H1168*I1168/1000</f>
        <v>64.97</v>
      </c>
      <c r="K1168" t="s">
        <v>390</v>
      </c>
    </row>
    <row r="1169" spans="3:11" outlineLevel="2" x14ac:dyDescent="0.3">
      <c r="C1169" s="9">
        <v>45041</v>
      </c>
      <c r="D1169" t="s">
        <v>17</v>
      </c>
      <c r="E1169" t="s">
        <v>9</v>
      </c>
      <c r="F1169" t="s">
        <v>10</v>
      </c>
      <c r="G1169" t="s">
        <v>23</v>
      </c>
      <c r="H1169">
        <v>640</v>
      </c>
      <c r="I1169">
        <v>68</v>
      </c>
      <c r="J1169" s="6">
        <f t="shared" si="77"/>
        <v>43.52</v>
      </c>
      <c r="K1169" t="s">
        <v>390</v>
      </c>
    </row>
    <row r="1170" spans="3:11" outlineLevel="2" x14ac:dyDescent="0.3">
      <c r="C1170" s="9">
        <v>45041</v>
      </c>
      <c r="D1170" t="s">
        <v>45</v>
      </c>
      <c r="E1170" t="s">
        <v>9</v>
      </c>
      <c r="F1170" t="s">
        <v>13</v>
      </c>
      <c r="G1170" t="s">
        <v>29</v>
      </c>
      <c r="H1170">
        <v>1230</v>
      </c>
      <c r="I1170">
        <v>20</v>
      </c>
      <c r="J1170" s="6">
        <f t="shared" si="77"/>
        <v>24.6</v>
      </c>
      <c r="K1170" t="s">
        <v>390</v>
      </c>
    </row>
    <row r="1171" spans="3:11" outlineLevel="2" x14ac:dyDescent="0.3">
      <c r="C1171" s="9">
        <v>45041</v>
      </c>
      <c r="D1171" t="s">
        <v>45</v>
      </c>
      <c r="E1171" t="s">
        <v>9</v>
      </c>
      <c r="F1171" t="s">
        <v>24</v>
      </c>
      <c r="G1171" t="s">
        <v>25</v>
      </c>
      <c r="H1171">
        <v>1760</v>
      </c>
      <c r="I1171">
        <v>53</v>
      </c>
      <c r="J1171" s="6">
        <f t="shared" si="77"/>
        <v>93.28</v>
      </c>
      <c r="K1171" t="s">
        <v>390</v>
      </c>
    </row>
    <row r="1172" spans="3:11" outlineLevel="2" x14ac:dyDescent="0.3">
      <c r="C1172" s="9">
        <v>45041</v>
      </c>
      <c r="D1172" t="s">
        <v>12</v>
      </c>
      <c r="E1172" t="s">
        <v>26</v>
      </c>
      <c r="F1172" t="s">
        <v>18</v>
      </c>
      <c r="G1172" t="s">
        <v>37</v>
      </c>
      <c r="H1172">
        <v>890</v>
      </c>
      <c r="I1172">
        <v>68</v>
      </c>
      <c r="J1172" s="6">
        <f t="shared" si="77"/>
        <v>60.52</v>
      </c>
      <c r="K1172" t="s">
        <v>390</v>
      </c>
    </row>
    <row r="1173" spans="3:11" outlineLevel="2" x14ac:dyDescent="0.3">
      <c r="C1173" s="9">
        <v>45041</v>
      </c>
      <c r="D1173" t="s">
        <v>45</v>
      </c>
      <c r="E1173" t="s">
        <v>15</v>
      </c>
      <c r="F1173" t="s">
        <v>24</v>
      </c>
      <c r="G1173" t="s">
        <v>42</v>
      </c>
      <c r="H1173">
        <v>3205</v>
      </c>
      <c r="I1173">
        <v>24</v>
      </c>
      <c r="J1173" s="6">
        <f t="shared" si="77"/>
        <v>76.92</v>
      </c>
      <c r="K1173" t="s">
        <v>390</v>
      </c>
    </row>
    <row r="1174" spans="3:11" outlineLevel="2" x14ac:dyDescent="0.3">
      <c r="C1174" s="9">
        <v>45041</v>
      </c>
      <c r="D1174" t="s">
        <v>45</v>
      </c>
      <c r="E1174" t="s">
        <v>33</v>
      </c>
      <c r="F1174" t="s">
        <v>18</v>
      </c>
      <c r="G1174" t="s">
        <v>27</v>
      </c>
      <c r="H1174">
        <v>460</v>
      </c>
      <c r="I1174">
        <v>73</v>
      </c>
      <c r="J1174" s="6">
        <f t="shared" si="77"/>
        <v>33.58</v>
      </c>
      <c r="K1174" t="s">
        <v>390</v>
      </c>
    </row>
    <row r="1175" spans="3:11" outlineLevel="2" x14ac:dyDescent="0.3">
      <c r="C1175" s="9">
        <v>45041</v>
      </c>
      <c r="D1175" t="s">
        <v>12</v>
      </c>
      <c r="E1175" t="s">
        <v>33</v>
      </c>
      <c r="F1175" t="s">
        <v>13</v>
      </c>
      <c r="G1175" t="s">
        <v>43</v>
      </c>
      <c r="H1175">
        <v>1420</v>
      </c>
      <c r="I1175">
        <v>12</v>
      </c>
      <c r="J1175" s="6">
        <f t="shared" si="77"/>
        <v>17.04</v>
      </c>
      <c r="K1175" t="s">
        <v>390</v>
      </c>
    </row>
    <row r="1176" spans="3:11" outlineLevel="2" x14ac:dyDescent="0.3">
      <c r="C1176" s="9">
        <v>45041</v>
      </c>
      <c r="D1176" t="s">
        <v>45</v>
      </c>
      <c r="E1176" t="s">
        <v>33</v>
      </c>
      <c r="F1176" t="s">
        <v>24</v>
      </c>
      <c r="G1176" t="s">
        <v>36</v>
      </c>
      <c r="H1176">
        <v>2460</v>
      </c>
      <c r="I1176">
        <v>92</v>
      </c>
      <c r="J1176" s="6">
        <f t="shared" si="77"/>
        <v>226.32</v>
      </c>
      <c r="K1176" t="s">
        <v>390</v>
      </c>
    </row>
    <row r="1177" spans="3:11" outlineLevel="2" x14ac:dyDescent="0.3">
      <c r="C1177" s="9">
        <v>45041</v>
      </c>
      <c r="D1177" t="s">
        <v>45</v>
      </c>
      <c r="E1177" t="s">
        <v>35</v>
      </c>
      <c r="F1177" t="s">
        <v>24</v>
      </c>
      <c r="G1177" t="s">
        <v>36</v>
      </c>
      <c r="H1177">
        <v>2460</v>
      </c>
      <c r="I1177">
        <v>14</v>
      </c>
      <c r="J1177" s="6">
        <f t="shared" si="77"/>
        <v>34.44</v>
      </c>
      <c r="K1177" t="s">
        <v>390</v>
      </c>
    </row>
    <row r="1178" spans="3:11" outlineLevel="1" x14ac:dyDescent="0.3">
      <c r="C1178" s="13" t="s">
        <v>129</v>
      </c>
      <c r="J1178" s="6">
        <f>SUBTOTAL(9,J1168:J1177)</f>
        <v>675.19</v>
      </c>
      <c r="K1178" t="s">
        <v>390</v>
      </c>
    </row>
    <row r="1179" spans="3:11" outlineLevel="2" x14ac:dyDescent="0.3">
      <c r="C1179" s="9">
        <v>45042</v>
      </c>
      <c r="D1179" t="s">
        <v>8</v>
      </c>
      <c r="E1179" t="s">
        <v>9</v>
      </c>
      <c r="F1179" t="s">
        <v>24</v>
      </c>
      <c r="G1179" t="s">
        <v>32</v>
      </c>
      <c r="H1179">
        <v>1505</v>
      </c>
      <c r="I1179">
        <v>43</v>
      </c>
      <c r="J1179" s="6">
        <f t="shared" ref="J1179:J1185" si="78">H1179*I1179/1000</f>
        <v>64.715000000000003</v>
      </c>
      <c r="K1179" t="s">
        <v>390</v>
      </c>
    </row>
    <row r="1180" spans="3:11" outlineLevel="2" x14ac:dyDescent="0.3">
      <c r="C1180" s="9">
        <v>45042</v>
      </c>
      <c r="D1180" t="s">
        <v>8</v>
      </c>
      <c r="E1180" t="s">
        <v>26</v>
      </c>
      <c r="F1180" t="s">
        <v>24</v>
      </c>
      <c r="G1180" t="s">
        <v>42</v>
      </c>
      <c r="H1180">
        <v>3205</v>
      </c>
      <c r="I1180">
        <v>44</v>
      </c>
      <c r="J1180" s="6">
        <f t="shared" si="78"/>
        <v>141.02000000000001</v>
      </c>
      <c r="K1180" t="s">
        <v>390</v>
      </c>
    </row>
    <row r="1181" spans="3:11" outlineLevel="2" x14ac:dyDescent="0.3">
      <c r="C1181" s="9">
        <v>45042</v>
      </c>
      <c r="D1181" t="s">
        <v>12</v>
      </c>
      <c r="E1181" t="s">
        <v>26</v>
      </c>
      <c r="F1181" t="s">
        <v>24</v>
      </c>
      <c r="G1181" t="s">
        <v>30</v>
      </c>
      <c r="H1181">
        <v>2970</v>
      </c>
      <c r="I1181">
        <v>49</v>
      </c>
      <c r="J1181" s="6">
        <f t="shared" si="78"/>
        <v>145.53</v>
      </c>
      <c r="K1181" t="s">
        <v>390</v>
      </c>
    </row>
    <row r="1182" spans="3:11" outlineLevel="2" x14ac:dyDescent="0.3">
      <c r="C1182" s="9">
        <v>45042</v>
      </c>
      <c r="D1182" t="s">
        <v>12</v>
      </c>
      <c r="E1182" t="s">
        <v>33</v>
      </c>
      <c r="F1182" t="s">
        <v>10</v>
      </c>
      <c r="G1182" t="s">
        <v>41</v>
      </c>
      <c r="H1182">
        <v>650</v>
      </c>
      <c r="I1182">
        <v>32</v>
      </c>
      <c r="J1182" s="6">
        <f t="shared" si="78"/>
        <v>20.8</v>
      </c>
      <c r="K1182" t="s">
        <v>390</v>
      </c>
    </row>
    <row r="1183" spans="3:11" outlineLevel="2" x14ac:dyDescent="0.3">
      <c r="C1183" s="9">
        <v>45042</v>
      </c>
      <c r="D1183" t="s">
        <v>12</v>
      </c>
      <c r="E1183" t="s">
        <v>35</v>
      </c>
      <c r="F1183" t="s">
        <v>13</v>
      </c>
      <c r="G1183" t="s">
        <v>44</v>
      </c>
      <c r="H1183">
        <v>2540</v>
      </c>
      <c r="I1183">
        <v>60</v>
      </c>
      <c r="J1183" s="6">
        <f t="shared" si="78"/>
        <v>152.4</v>
      </c>
      <c r="K1183" t="s">
        <v>390</v>
      </c>
    </row>
    <row r="1184" spans="3:11" outlineLevel="2" x14ac:dyDescent="0.3">
      <c r="C1184" s="9">
        <v>45042</v>
      </c>
      <c r="D1184" t="s">
        <v>17</v>
      </c>
      <c r="E1184" t="s">
        <v>35</v>
      </c>
      <c r="F1184" t="s">
        <v>13</v>
      </c>
      <c r="G1184" t="s">
        <v>38</v>
      </c>
      <c r="H1184">
        <v>2400</v>
      </c>
      <c r="I1184">
        <v>16</v>
      </c>
      <c r="J1184" s="6">
        <f t="shared" si="78"/>
        <v>38.4</v>
      </c>
      <c r="K1184" t="s">
        <v>390</v>
      </c>
    </row>
    <row r="1185" spans="3:11" outlineLevel="2" x14ac:dyDescent="0.3">
      <c r="C1185" s="9">
        <v>45042</v>
      </c>
      <c r="D1185" t="s">
        <v>17</v>
      </c>
      <c r="E1185" t="s">
        <v>35</v>
      </c>
      <c r="F1185" t="s">
        <v>13</v>
      </c>
      <c r="G1185" t="s">
        <v>22</v>
      </c>
      <c r="H1185">
        <v>930</v>
      </c>
      <c r="I1185">
        <v>95</v>
      </c>
      <c r="J1185" s="6">
        <f t="shared" si="78"/>
        <v>88.35</v>
      </c>
      <c r="K1185" t="s">
        <v>390</v>
      </c>
    </row>
    <row r="1186" spans="3:11" outlineLevel="1" x14ac:dyDescent="0.3">
      <c r="C1186" s="13" t="s">
        <v>130</v>
      </c>
      <c r="J1186" s="6">
        <f>SUBTOTAL(9,J1179:J1185)</f>
        <v>651.21500000000003</v>
      </c>
      <c r="K1186" t="s">
        <v>390</v>
      </c>
    </row>
    <row r="1187" spans="3:11" outlineLevel="2" x14ac:dyDescent="0.3">
      <c r="C1187" s="9">
        <v>45043</v>
      </c>
      <c r="D1187" t="s">
        <v>45</v>
      </c>
      <c r="E1187" t="s">
        <v>26</v>
      </c>
      <c r="F1187" t="s">
        <v>24</v>
      </c>
      <c r="G1187" t="s">
        <v>34</v>
      </c>
      <c r="H1187">
        <v>1670</v>
      </c>
      <c r="I1187">
        <v>8</v>
      </c>
      <c r="J1187" s="6">
        <f t="shared" ref="J1187:J1193" si="79">H1187*I1187/1000</f>
        <v>13.36</v>
      </c>
      <c r="K1187" t="s">
        <v>390</v>
      </c>
    </row>
    <row r="1188" spans="3:11" outlineLevel="2" x14ac:dyDescent="0.3">
      <c r="C1188" s="9">
        <v>45043</v>
      </c>
      <c r="D1188" t="s">
        <v>8</v>
      </c>
      <c r="E1188" t="s">
        <v>26</v>
      </c>
      <c r="F1188" t="s">
        <v>24</v>
      </c>
      <c r="G1188" t="s">
        <v>32</v>
      </c>
      <c r="H1188">
        <v>1505</v>
      </c>
      <c r="I1188">
        <v>48</v>
      </c>
      <c r="J1188" s="6">
        <f t="shared" si="79"/>
        <v>72.239999999999995</v>
      </c>
      <c r="K1188" t="s">
        <v>390</v>
      </c>
    </row>
    <row r="1189" spans="3:11" outlineLevel="2" x14ac:dyDescent="0.3">
      <c r="C1189" s="9">
        <v>45043</v>
      </c>
      <c r="D1189" t="s">
        <v>12</v>
      </c>
      <c r="E1189" t="s">
        <v>15</v>
      </c>
      <c r="F1189" t="s">
        <v>18</v>
      </c>
      <c r="G1189" t="s">
        <v>19</v>
      </c>
      <c r="H1189">
        <v>325</v>
      </c>
      <c r="I1189">
        <v>59</v>
      </c>
      <c r="J1189" s="6">
        <f t="shared" si="79"/>
        <v>19.175000000000001</v>
      </c>
      <c r="K1189" t="s">
        <v>390</v>
      </c>
    </row>
    <row r="1190" spans="3:11" outlineLevel="2" x14ac:dyDescent="0.3">
      <c r="C1190" s="9">
        <v>45043</v>
      </c>
      <c r="D1190" t="s">
        <v>17</v>
      </c>
      <c r="E1190" t="s">
        <v>33</v>
      </c>
      <c r="F1190" t="s">
        <v>10</v>
      </c>
      <c r="G1190" t="s">
        <v>39</v>
      </c>
      <c r="H1190">
        <v>650</v>
      </c>
      <c r="I1190">
        <v>44</v>
      </c>
      <c r="J1190" s="6">
        <f t="shared" si="79"/>
        <v>28.6</v>
      </c>
      <c r="K1190" t="s">
        <v>390</v>
      </c>
    </row>
    <row r="1191" spans="3:11" outlineLevel="2" x14ac:dyDescent="0.3">
      <c r="C1191" s="9">
        <v>45043</v>
      </c>
      <c r="D1191" t="s">
        <v>45</v>
      </c>
      <c r="E1191" t="s">
        <v>35</v>
      </c>
      <c r="F1191" t="s">
        <v>10</v>
      </c>
      <c r="G1191" t="s">
        <v>16</v>
      </c>
      <c r="H1191">
        <v>1380</v>
      </c>
      <c r="I1191">
        <v>92</v>
      </c>
      <c r="J1191" s="6">
        <f t="shared" si="79"/>
        <v>126.96</v>
      </c>
      <c r="K1191" t="s">
        <v>390</v>
      </c>
    </row>
    <row r="1192" spans="3:11" outlineLevel="2" x14ac:dyDescent="0.3">
      <c r="C1192" s="9">
        <v>45043</v>
      </c>
      <c r="D1192" t="s">
        <v>45</v>
      </c>
      <c r="E1192" t="s">
        <v>35</v>
      </c>
      <c r="F1192" t="s">
        <v>13</v>
      </c>
      <c r="G1192" t="s">
        <v>22</v>
      </c>
      <c r="H1192">
        <v>930</v>
      </c>
      <c r="I1192">
        <v>65</v>
      </c>
      <c r="J1192" s="6">
        <f t="shared" si="79"/>
        <v>60.45</v>
      </c>
      <c r="K1192" t="s">
        <v>390</v>
      </c>
    </row>
    <row r="1193" spans="3:11" outlineLevel="2" x14ac:dyDescent="0.3">
      <c r="C1193" s="9">
        <v>45043</v>
      </c>
      <c r="D1193" t="s">
        <v>45</v>
      </c>
      <c r="E1193" t="s">
        <v>35</v>
      </c>
      <c r="F1193" t="s">
        <v>24</v>
      </c>
      <c r="G1193" t="s">
        <v>30</v>
      </c>
      <c r="H1193">
        <v>2970</v>
      </c>
      <c r="I1193">
        <v>38</v>
      </c>
      <c r="J1193" s="6">
        <f t="shared" si="79"/>
        <v>112.86</v>
      </c>
      <c r="K1193" t="s">
        <v>390</v>
      </c>
    </row>
    <row r="1194" spans="3:11" outlineLevel="1" x14ac:dyDescent="0.3">
      <c r="C1194" s="13" t="s">
        <v>131</v>
      </c>
      <c r="J1194" s="6">
        <f>SUBTOTAL(9,J1187:J1193)</f>
        <v>433.64499999999998</v>
      </c>
      <c r="K1194" t="s">
        <v>390</v>
      </c>
    </row>
    <row r="1195" spans="3:11" outlineLevel="2" x14ac:dyDescent="0.3">
      <c r="C1195" s="9">
        <v>45044</v>
      </c>
      <c r="D1195" t="s">
        <v>17</v>
      </c>
      <c r="E1195" t="s">
        <v>20</v>
      </c>
      <c r="F1195" t="s">
        <v>18</v>
      </c>
      <c r="G1195" t="s">
        <v>37</v>
      </c>
      <c r="H1195">
        <v>890</v>
      </c>
      <c r="I1195">
        <v>40</v>
      </c>
      <c r="J1195" s="6">
        <f>H1195*I1195/1000</f>
        <v>35.6</v>
      </c>
      <c r="K1195" t="s">
        <v>390</v>
      </c>
    </row>
    <row r="1196" spans="3:11" outlineLevel="2" x14ac:dyDescent="0.3">
      <c r="C1196" s="10">
        <v>45044</v>
      </c>
      <c r="D1196" s="11" t="s">
        <v>8</v>
      </c>
      <c r="E1196" s="11" t="s">
        <v>20</v>
      </c>
      <c r="F1196" s="11" t="s">
        <v>24</v>
      </c>
      <c r="G1196" s="11" t="s">
        <v>30</v>
      </c>
      <c r="H1196" s="11">
        <v>2970</v>
      </c>
      <c r="I1196" s="11">
        <v>11</v>
      </c>
      <c r="J1196" s="6">
        <f>H1196*I1196/1000</f>
        <v>32.67</v>
      </c>
      <c r="K1196" t="s">
        <v>390</v>
      </c>
    </row>
    <row r="1197" spans="3:11" outlineLevel="1" x14ac:dyDescent="0.3">
      <c r="C1197" s="14" t="s">
        <v>132</v>
      </c>
      <c r="D1197" s="11"/>
      <c r="E1197" s="11"/>
      <c r="F1197" s="11"/>
      <c r="G1197" s="11"/>
      <c r="H1197" s="11"/>
      <c r="I1197" s="11"/>
      <c r="J1197" s="6">
        <f>SUBTOTAL(9,J1195:J1196)</f>
        <v>68.27000000000001</v>
      </c>
      <c r="K1197" t="s">
        <v>390</v>
      </c>
    </row>
    <row r="1198" spans="3:11" outlineLevel="2" x14ac:dyDescent="0.3">
      <c r="C1198" s="9">
        <v>45045</v>
      </c>
      <c r="D1198" t="s">
        <v>8</v>
      </c>
      <c r="E1198" t="s">
        <v>20</v>
      </c>
      <c r="F1198" t="s">
        <v>10</v>
      </c>
      <c r="G1198" t="s">
        <v>41</v>
      </c>
      <c r="H1198">
        <v>650</v>
      </c>
      <c r="I1198">
        <v>23</v>
      </c>
      <c r="J1198" s="6">
        <f t="shared" ref="J1198:J1210" si="80">H1198*I1198/1000</f>
        <v>14.95</v>
      </c>
      <c r="K1198" t="s">
        <v>390</v>
      </c>
    </row>
    <row r="1199" spans="3:11" outlineLevel="2" x14ac:dyDescent="0.3">
      <c r="C1199" s="9">
        <v>45045</v>
      </c>
      <c r="D1199" t="s">
        <v>17</v>
      </c>
      <c r="E1199" t="s">
        <v>9</v>
      </c>
      <c r="F1199" t="s">
        <v>10</v>
      </c>
      <c r="G1199" t="s">
        <v>23</v>
      </c>
      <c r="H1199">
        <v>640</v>
      </c>
      <c r="I1199">
        <v>57</v>
      </c>
      <c r="J1199" s="6">
        <f t="shared" si="80"/>
        <v>36.479999999999997</v>
      </c>
      <c r="K1199" t="s">
        <v>390</v>
      </c>
    </row>
    <row r="1200" spans="3:11" outlineLevel="2" x14ac:dyDescent="0.3">
      <c r="C1200" s="9">
        <v>45045</v>
      </c>
      <c r="D1200" t="s">
        <v>45</v>
      </c>
      <c r="E1200" t="s">
        <v>9</v>
      </c>
      <c r="F1200" t="s">
        <v>10</v>
      </c>
      <c r="G1200" t="s">
        <v>23</v>
      </c>
      <c r="H1200">
        <v>640</v>
      </c>
      <c r="I1200">
        <v>89</v>
      </c>
      <c r="J1200" s="6">
        <f t="shared" si="80"/>
        <v>56.96</v>
      </c>
      <c r="K1200" t="s">
        <v>390</v>
      </c>
    </row>
    <row r="1201" spans="3:11" outlineLevel="2" x14ac:dyDescent="0.3">
      <c r="C1201" s="9">
        <v>45045</v>
      </c>
      <c r="D1201" t="s">
        <v>12</v>
      </c>
      <c r="E1201" t="s">
        <v>9</v>
      </c>
      <c r="F1201" t="s">
        <v>18</v>
      </c>
      <c r="G1201" t="s">
        <v>27</v>
      </c>
      <c r="H1201">
        <v>460</v>
      </c>
      <c r="I1201">
        <v>6</v>
      </c>
      <c r="J1201" s="6">
        <f t="shared" si="80"/>
        <v>2.76</v>
      </c>
      <c r="K1201" t="s">
        <v>390</v>
      </c>
    </row>
    <row r="1202" spans="3:11" outlineLevel="2" x14ac:dyDescent="0.3">
      <c r="C1202" s="9">
        <v>45045</v>
      </c>
      <c r="D1202" t="s">
        <v>8</v>
      </c>
      <c r="E1202" t="s">
        <v>9</v>
      </c>
      <c r="F1202" t="s">
        <v>13</v>
      </c>
      <c r="G1202" t="s">
        <v>29</v>
      </c>
      <c r="H1202">
        <v>1230</v>
      </c>
      <c r="I1202">
        <v>45</v>
      </c>
      <c r="J1202" s="6">
        <f t="shared" si="80"/>
        <v>55.35</v>
      </c>
      <c r="K1202" t="s">
        <v>390</v>
      </c>
    </row>
    <row r="1203" spans="3:11" outlineLevel="2" x14ac:dyDescent="0.3">
      <c r="C1203" s="9">
        <v>45045</v>
      </c>
      <c r="D1203" t="s">
        <v>12</v>
      </c>
      <c r="E1203" t="s">
        <v>9</v>
      </c>
      <c r="F1203" t="s">
        <v>24</v>
      </c>
      <c r="G1203" t="s">
        <v>30</v>
      </c>
      <c r="H1203">
        <v>2970</v>
      </c>
      <c r="I1203">
        <v>96</v>
      </c>
      <c r="J1203" s="6">
        <f t="shared" si="80"/>
        <v>285.12</v>
      </c>
      <c r="K1203" t="s">
        <v>390</v>
      </c>
    </row>
    <row r="1204" spans="3:11" outlineLevel="2" x14ac:dyDescent="0.3">
      <c r="C1204" s="9">
        <v>45045</v>
      </c>
      <c r="D1204" t="s">
        <v>12</v>
      </c>
      <c r="E1204" t="s">
        <v>26</v>
      </c>
      <c r="F1204" t="s">
        <v>13</v>
      </c>
      <c r="G1204" t="s">
        <v>44</v>
      </c>
      <c r="H1204">
        <v>2540</v>
      </c>
      <c r="I1204">
        <v>42</v>
      </c>
      <c r="J1204" s="6">
        <f t="shared" si="80"/>
        <v>106.68</v>
      </c>
      <c r="K1204" t="s">
        <v>390</v>
      </c>
    </row>
    <row r="1205" spans="3:11" outlineLevel="2" x14ac:dyDescent="0.3">
      <c r="C1205" s="9">
        <v>45045</v>
      </c>
      <c r="D1205" t="s">
        <v>12</v>
      </c>
      <c r="E1205" t="s">
        <v>26</v>
      </c>
      <c r="F1205" t="s">
        <v>24</v>
      </c>
      <c r="G1205" t="s">
        <v>42</v>
      </c>
      <c r="H1205">
        <v>3205</v>
      </c>
      <c r="I1205">
        <v>85</v>
      </c>
      <c r="J1205" s="6">
        <f t="shared" si="80"/>
        <v>272.42500000000001</v>
      </c>
      <c r="K1205" t="s">
        <v>390</v>
      </c>
    </row>
    <row r="1206" spans="3:11" outlineLevel="2" x14ac:dyDescent="0.3">
      <c r="C1206" s="9">
        <v>45045</v>
      </c>
      <c r="D1206" t="s">
        <v>12</v>
      </c>
      <c r="E1206" t="s">
        <v>33</v>
      </c>
      <c r="F1206" t="s">
        <v>10</v>
      </c>
      <c r="G1206" t="s">
        <v>16</v>
      </c>
      <c r="H1206">
        <v>1380</v>
      </c>
      <c r="I1206">
        <v>69</v>
      </c>
      <c r="J1206" s="6">
        <f t="shared" si="80"/>
        <v>95.22</v>
      </c>
      <c r="K1206" t="s">
        <v>390</v>
      </c>
    </row>
    <row r="1207" spans="3:11" outlineLevel="2" x14ac:dyDescent="0.3">
      <c r="C1207" s="9">
        <v>45045</v>
      </c>
      <c r="D1207" t="s">
        <v>17</v>
      </c>
      <c r="E1207" t="s">
        <v>35</v>
      </c>
      <c r="F1207" t="s">
        <v>10</v>
      </c>
      <c r="G1207" t="s">
        <v>41</v>
      </c>
      <c r="H1207">
        <v>650</v>
      </c>
      <c r="I1207">
        <v>51</v>
      </c>
      <c r="J1207" s="6">
        <f t="shared" si="80"/>
        <v>33.15</v>
      </c>
      <c r="K1207" t="s">
        <v>390</v>
      </c>
    </row>
    <row r="1208" spans="3:11" outlineLevel="2" x14ac:dyDescent="0.3">
      <c r="C1208" s="9">
        <v>45045</v>
      </c>
      <c r="D1208" t="s">
        <v>12</v>
      </c>
      <c r="E1208" t="s">
        <v>35</v>
      </c>
      <c r="F1208" t="s">
        <v>10</v>
      </c>
      <c r="G1208" t="s">
        <v>39</v>
      </c>
      <c r="H1208">
        <v>650</v>
      </c>
      <c r="I1208">
        <v>30</v>
      </c>
      <c r="J1208" s="6">
        <f t="shared" si="80"/>
        <v>19.5</v>
      </c>
      <c r="K1208" t="s">
        <v>390</v>
      </c>
    </row>
    <row r="1209" spans="3:11" outlineLevel="2" x14ac:dyDescent="0.3">
      <c r="C1209" s="9">
        <v>45045</v>
      </c>
      <c r="D1209" t="s">
        <v>12</v>
      </c>
      <c r="E1209" t="s">
        <v>35</v>
      </c>
      <c r="F1209" t="s">
        <v>10</v>
      </c>
      <c r="G1209" t="s">
        <v>40</v>
      </c>
      <c r="H1209">
        <v>540</v>
      </c>
      <c r="I1209">
        <v>49</v>
      </c>
      <c r="J1209" s="6">
        <f t="shared" si="80"/>
        <v>26.46</v>
      </c>
      <c r="K1209" t="s">
        <v>390</v>
      </c>
    </row>
    <row r="1210" spans="3:11" outlineLevel="2" x14ac:dyDescent="0.3">
      <c r="C1210" s="9">
        <v>45045</v>
      </c>
      <c r="D1210" t="s">
        <v>45</v>
      </c>
      <c r="E1210" t="s">
        <v>35</v>
      </c>
      <c r="F1210" t="s">
        <v>24</v>
      </c>
      <c r="G1210" t="s">
        <v>32</v>
      </c>
      <c r="H1210">
        <v>1505</v>
      </c>
      <c r="I1210">
        <v>49</v>
      </c>
      <c r="J1210" s="6">
        <f t="shared" si="80"/>
        <v>73.745000000000005</v>
      </c>
      <c r="K1210" t="s">
        <v>390</v>
      </c>
    </row>
    <row r="1211" spans="3:11" outlineLevel="1" x14ac:dyDescent="0.3">
      <c r="C1211" s="13" t="s">
        <v>133</v>
      </c>
      <c r="J1211" s="6">
        <f>SUBTOTAL(9,J1198:J1210)</f>
        <v>1078.8</v>
      </c>
      <c r="K1211" t="s">
        <v>390</v>
      </c>
    </row>
    <row r="1212" spans="3:11" outlineLevel="2" x14ac:dyDescent="0.3">
      <c r="C1212" s="10">
        <v>45046</v>
      </c>
      <c r="D1212" s="11" t="s">
        <v>12</v>
      </c>
      <c r="E1212" s="11" t="s">
        <v>20</v>
      </c>
      <c r="F1212" s="11" t="s">
        <v>10</v>
      </c>
      <c r="G1212" s="11" t="s">
        <v>40</v>
      </c>
      <c r="H1212" s="11">
        <v>540</v>
      </c>
      <c r="I1212" s="11">
        <v>15</v>
      </c>
      <c r="J1212" s="6">
        <f t="shared" ref="J1212:J1225" si="81">H1212*I1212/1000</f>
        <v>8.1</v>
      </c>
      <c r="K1212" t="s">
        <v>390</v>
      </c>
    </row>
    <row r="1213" spans="3:11" outlineLevel="2" x14ac:dyDescent="0.3">
      <c r="C1213" s="9">
        <v>45046</v>
      </c>
      <c r="D1213" t="s">
        <v>17</v>
      </c>
      <c r="E1213" t="s">
        <v>20</v>
      </c>
      <c r="F1213" t="s">
        <v>13</v>
      </c>
      <c r="G1213" t="s">
        <v>43</v>
      </c>
      <c r="H1213">
        <v>1420</v>
      </c>
      <c r="I1213">
        <v>58</v>
      </c>
      <c r="J1213" s="6">
        <f t="shared" si="81"/>
        <v>82.36</v>
      </c>
      <c r="K1213" t="s">
        <v>390</v>
      </c>
    </row>
    <row r="1214" spans="3:11" outlineLevel="2" x14ac:dyDescent="0.3">
      <c r="C1214" s="10">
        <v>45046</v>
      </c>
      <c r="D1214" s="11" t="s">
        <v>45</v>
      </c>
      <c r="E1214" s="11" t="s">
        <v>20</v>
      </c>
      <c r="F1214" s="11" t="s">
        <v>24</v>
      </c>
      <c r="G1214" s="11" t="s">
        <v>25</v>
      </c>
      <c r="H1214" s="11">
        <v>1760</v>
      </c>
      <c r="I1214" s="11">
        <v>61</v>
      </c>
      <c r="J1214" s="6">
        <f t="shared" si="81"/>
        <v>107.36</v>
      </c>
      <c r="K1214" t="s">
        <v>390</v>
      </c>
    </row>
    <row r="1215" spans="3:11" outlineLevel="2" x14ac:dyDescent="0.3">
      <c r="C1215" s="9">
        <v>45046</v>
      </c>
      <c r="D1215" t="s">
        <v>45</v>
      </c>
      <c r="E1215" t="s">
        <v>9</v>
      </c>
      <c r="F1215" t="s">
        <v>10</v>
      </c>
      <c r="G1215" t="s">
        <v>16</v>
      </c>
      <c r="H1215">
        <v>1380</v>
      </c>
      <c r="I1215">
        <v>57</v>
      </c>
      <c r="J1215" s="6">
        <f t="shared" si="81"/>
        <v>78.66</v>
      </c>
      <c r="K1215" t="s">
        <v>390</v>
      </c>
    </row>
    <row r="1216" spans="3:11" outlineLevel="2" x14ac:dyDescent="0.3">
      <c r="C1216" s="9">
        <v>45046</v>
      </c>
      <c r="D1216" t="s">
        <v>8</v>
      </c>
      <c r="E1216" t="s">
        <v>9</v>
      </c>
      <c r="F1216" t="s">
        <v>18</v>
      </c>
      <c r="G1216" t="s">
        <v>21</v>
      </c>
      <c r="H1216">
        <v>450</v>
      </c>
      <c r="I1216">
        <v>6</v>
      </c>
      <c r="J1216" s="6">
        <f t="shared" si="81"/>
        <v>2.7</v>
      </c>
      <c r="K1216" t="s">
        <v>390</v>
      </c>
    </row>
    <row r="1217" spans="3:11" outlineLevel="2" x14ac:dyDescent="0.3">
      <c r="C1217" s="9">
        <v>45046</v>
      </c>
      <c r="D1217" t="s">
        <v>8</v>
      </c>
      <c r="E1217" t="s">
        <v>26</v>
      </c>
      <c r="F1217" t="s">
        <v>10</v>
      </c>
      <c r="G1217" t="s">
        <v>16</v>
      </c>
      <c r="H1217">
        <v>1380</v>
      </c>
      <c r="I1217">
        <v>6</v>
      </c>
      <c r="J1217" s="6">
        <f t="shared" si="81"/>
        <v>8.2799999999999994</v>
      </c>
      <c r="K1217" t="s">
        <v>390</v>
      </c>
    </row>
    <row r="1218" spans="3:11" outlineLevel="2" x14ac:dyDescent="0.3">
      <c r="C1218" s="9">
        <v>45046</v>
      </c>
      <c r="D1218" t="s">
        <v>45</v>
      </c>
      <c r="E1218" t="s">
        <v>26</v>
      </c>
      <c r="F1218" t="s">
        <v>10</v>
      </c>
      <c r="G1218" t="s">
        <v>16</v>
      </c>
      <c r="H1218">
        <v>1380</v>
      </c>
      <c r="I1218">
        <v>69</v>
      </c>
      <c r="J1218" s="6">
        <f t="shared" si="81"/>
        <v>95.22</v>
      </c>
      <c r="K1218" t="s">
        <v>390</v>
      </c>
    </row>
    <row r="1219" spans="3:11" outlineLevel="2" x14ac:dyDescent="0.3">
      <c r="C1219" s="9">
        <v>45046</v>
      </c>
      <c r="D1219" t="s">
        <v>12</v>
      </c>
      <c r="E1219" t="s">
        <v>26</v>
      </c>
      <c r="F1219" t="s">
        <v>13</v>
      </c>
      <c r="G1219" t="s">
        <v>29</v>
      </c>
      <c r="H1219">
        <v>1230</v>
      </c>
      <c r="I1219">
        <v>55</v>
      </c>
      <c r="J1219" s="6">
        <f t="shared" si="81"/>
        <v>67.650000000000006</v>
      </c>
      <c r="K1219" t="s">
        <v>390</v>
      </c>
    </row>
    <row r="1220" spans="3:11" outlineLevel="2" x14ac:dyDescent="0.3">
      <c r="C1220" s="9">
        <v>45046</v>
      </c>
      <c r="D1220" t="s">
        <v>17</v>
      </c>
      <c r="E1220" t="s">
        <v>26</v>
      </c>
      <c r="F1220" t="s">
        <v>13</v>
      </c>
      <c r="G1220" t="s">
        <v>44</v>
      </c>
      <c r="H1220">
        <v>2540</v>
      </c>
      <c r="I1220">
        <v>65</v>
      </c>
      <c r="J1220" s="6">
        <f t="shared" si="81"/>
        <v>165.1</v>
      </c>
      <c r="K1220" t="s">
        <v>390</v>
      </c>
    </row>
    <row r="1221" spans="3:11" outlineLevel="2" x14ac:dyDescent="0.3">
      <c r="C1221" s="9">
        <v>45046</v>
      </c>
      <c r="D1221" t="s">
        <v>45</v>
      </c>
      <c r="E1221" t="s">
        <v>15</v>
      </c>
      <c r="F1221" t="s">
        <v>10</v>
      </c>
      <c r="G1221" t="s">
        <v>16</v>
      </c>
      <c r="H1221">
        <v>1380</v>
      </c>
      <c r="I1221">
        <v>16</v>
      </c>
      <c r="J1221" s="6">
        <f t="shared" si="81"/>
        <v>22.08</v>
      </c>
      <c r="K1221" t="s">
        <v>390</v>
      </c>
    </row>
    <row r="1222" spans="3:11" outlineLevel="2" x14ac:dyDescent="0.3">
      <c r="C1222" s="9">
        <v>45046</v>
      </c>
      <c r="D1222" t="s">
        <v>12</v>
      </c>
      <c r="E1222" t="s">
        <v>15</v>
      </c>
      <c r="F1222" t="s">
        <v>24</v>
      </c>
      <c r="G1222" t="s">
        <v>30</v>
      </c>
      <c r="H1222">
        <v>2970</v>
      </c>
      <c r="I1222">
        <v>26</v>
      </c>
      <c r="J1222" s="6">
        <f t="shared" si="81"/>
        <v>77.22</v>
      </c>
      <c r="K1222" t="s">
        <v>390</v>
      </c>
    </row>
    <row r="1223" spans="3:11" outlineLevel="2" x14ac:dyDescent="0.3">
      <c r="C1223" s="9">
        <v>45046</v>
      </c>
      <c r="D1223" t="s">
        <v>12</v>
      </c>
      <c r="E1223" t="s">
        <v>33</v>
      </c>
      <c r="F1223" t="s">
        <v>10</v>
      </c>
      <c r="G1223" t="s">
        <v>11</v>
      </c>
      <c r="H1223">
        <v>705</v>
      </c>
      <c r="I1223">
        <v>15</v>
      </c>
      <c r="J1223" s="6">
        <f t="shared" si="81"/>
        <v>10.574999999999999</v>
      </c>
      <c r="K1223" t="s">
        <v>390</v>
      </c>
    </row>
    <row r="1224" spans="3:11" outlineLevel="2" x14ac:dyDescent="0.3">
      <c r="C1224" s="9">
        <v>45046</v>
      </c>
      <c r="D1224" t="s">
        <v>8</v>
      </c>
      <c r="E1224" t="s">
        <v>33</v>
      </c>
      <c r="F1224" t="s">
        <v>18</v>
      </c>
      <c r="G1224" t="s">
        <v>28</v>
      </c>
      <c r="H1224">
        <v>690</v>
      </c>
      <c r="I1224">
        <v>32</v>
      </c>
      <c r="J1224" s="6">
        <f t="shared" si="81"/>
        <v>22.08</v>
      </c>
      <c r="K1224" t="s">
        <v>390</v>
      </c>
    </row>
    <row r="1225" spans="3:11" outlineLevel="2" x14ac:dyDescent="0.3">
      <c r="C1225" s="9">
        <v>45046</v>
      </c>
      <c r="D1225" t="s">
        <v>17</v>
      </c>
      <c r="E1225" t="s">
        <v>33</v>
      </c>
      <c r="F1225" t="s">
        <v>13</v>
      </c>
      <c r="G1225" t="s">
        <v>44</v>
      </c>
      <c r="H1225">
        <v>2540</v>
      </c>
      <c r="I1225">
        <v>52</v>
      </c>
      <c r="J1225" s="6">
        <f t="shared" si="81"/>
        <v>132.08000000000001</v>
      </c>
      <c r="K1225" t="s">
        <v>390</v>
      </c>
    </row>
    <row r="1226" spans="3:11" outlineLevel="1" x14ac:dyDescent="0.3">
      <c r="C1226" s="13" t="s">
        <v>134</v>
      </c>
      <c r="J1226" s="6">
        <f>SUBTOTAL(9,J1212:J1225)</f>
        <v>879.46500000000015</v>
      </c>
    </row>
    <row r="1227" spans="3:11" outlineLevel="2" x14ac:dyDescent="0.3">
      <c r="C1227" s="9">
        <v>45047</v>
      </c>
      <c r="D1227" t="s">
        <v>17</v>
      </c>
      <c r="E1227" t="s">
        <v>20</v>
      </c>
      <c r="F1227" t="s">
        <v>10</v>
      </c>
      <c r="G1227" t="s">
        <v>11</v>
      </c>
      <c r="H1227">
        <v>705</v>
      </c>
      <c r="I1227">
        <v>23</v>
      </c>
      <c r="J1227" s="6">
        <f t="shared" ref="J1227:J1237" si="82">H1227*I1227/1000</f>
        <v>16.215</v>
      </c>
      <c r="K1227" t="s">
        <v>391</v>
      </c>
    </row>
    <row r="1228" spans="3:11" outlineLevel="2" x14ac:dyDescent="0.3">
      <c r="C1228" s="10">
        <v>45047</v>
      </c>
      <c r="D1228" s="11" t="s">
        <v>8</v>
      </c>
      <c r="E1228" s="11" t="s">
        <v>20</v>
      </c>
      <c r="F1228" s="11" t="s">
        <v>13</v>
      </c>
      <c r="G1228" s="11" t="s">
        <v>43</v>
      </c>
      <c r="H1228" s="11">
        <v>1420</v>
      </c>
      <c r="I1228" s="11">
        <v>63</v>
      </c>
      <c r="J1228" s="6">
        <f t="shared" si="82"/>
        <v>89.46</v>
      </c>
      <c r="K1228" t="s">
        <v>391</v>
      </c>
    </row>
    <row r="1229" spans="3:11" outlineLevel="2" x14ac:dyDescent="0.3">
      <c r="C1229" s="9">
        <v>45047</v>
      </c>
      <c r="D1229" t="s">
        <v>12</v>
      </c>
      <c r="E1229" t="s">
        <v>20</v>
      </c>
      <c r="F1229" t="s">
        <v>24</v>
      </c>
      <c r="G1229" t="s">
        <v>32</v>
      </c>
      <c r="H1229">
        <v>1505</v>
      </c>
      <c r="I1229">
        <v>97</v>
      </c>
      <c r="J1229" s="6">
        <f t="shared" si="82"/>
        <v>145.98500000000001</v>
      </c>
      <c r="K1229" t="s">
        <v>391</v>
      </c>
    </row>
    <row r="1230" spans="3:11" outlineLevel="2" x14ac:dyDescent="0.3">
      <c r="C1230" s="9">
        <v>45047</v>
      </c>
      <c r="D1230" t="s">
        <v>8</v>
      </c>
      <c r="E1230" t="s">
        <v>9</v>
      </c>
      <c r="F1230" t="s">
        <v>10</v>
      </c>
      <c r="G1230" t="s">
        <v>39</v>
      </c>
      <c r="H1230">
        <v>650</v>
      </c>
      <c r="I1230">
        <v>12</v>
      </c>
      <c r="J1230" s="6">
        <f t="shared" si="82"/>
        <v>7.8</v>
      </c>
      <c r="K1230" t="s">
        <v>391</v>
      </c>
    </row>
    <row r="1231" spans="3:11" outlineLevel="2" x14ac:dyDescent="0.3">
      <c r="C1231" s="9">
        <v>45047</v>
      </c>
      <c r="D1231" t="s">
        <v>12</v>
      </c>
      <c r="E1231" t="s">
        <v>26</v>
      </c>
      <c r="F1231" t="s">
        <v>10</v>
      </c>
      <c r="G1231" t="s">
        <v>40</v>
      </c>
      <c r="H1231">
        <v>540</v>
      </c>
      <c r="I1231">
        <v>98</v>
      </c>
      <c r="J1231" s="6">
        <f t="shared" si="82"/>
        <v>52.92</v>
      </c>
      <c r="K1231" t="s">
        <v>391</v>
      </c>
    </row>
    <row r="1232" spans="3:11" outlineLevel="2" x14ac:dyDescent="0.3">
      <c r="C1232" s="9">
        <v>45047</v>
      </c>
      <c r="D1232" t="s">
        <v>45</v>
      </c>
      <c r="E1232" t="s">
        <v>26</v>
      </c>
      <c r="F1232" t="s">
        <v>24</v>
      </c>
      <c r="G1232" t="s">
        <v>36</v>
      </c>
      <c r="H1232">
        <v>2460</v>
      </c>
      <c r="I1232">
        <v>73</v>
      </c>
      <c r="J1232" s="6">
        <f t="shared" si="82"/>
        <v>179.58</v>
      </c>
      <c r="K1232" t="s">
        <v>391</v>
      </c>
    </row>
    <row r="1233" spans="3:11" outlineLevel="2" x14ac:dyDescent="0.3">
      <c r="C1233" s="9">
        <v>45047</v>
      </c>
      <c r="D1233" t="s">
        <v>45</v>
      </c>
      <c r="E1233" t="s">
        <v>15</v>
      </c>
      <c r="F1233" t="s">
        <v>10</v>
      </c>
      <c r="G1233" t="s">
        <v>23</v>
      </c>
      <c r="H1233">
        <v>640</v>
      </c>
      <c r="I1233">
        <v>25</v>
      </c>
      <c r="J1233" s="6">
        <f t="shared" si="82"/>
        <v>16</v>
      </c>
      <c r="K1233" t="s">
        <v>391</v>
      </c>
    </row>
    <row r="1234" spans="3:11" outlineLevel="2" x14ac:dyDescent="0.3">
      <c r="C1234" s="9">
        <v>45047</v>
      </c>
      <c r="D1234" t="s">
        <v>8</v>
      </c>
      <c r="E1234" t="s">
        <v>33</v>
      </c>
      <c r="F1234" t="s">
        <v>10</v>
      </c>
      <c r="G1234" t="s">
        <v>39</v>
      </c>
      <c r="H1234">
        <v>650</v>
      </c>
      <c r="I1234">
        <v>61</v>
      </c>
      <c r="J1234" s="6">
        <f t="shared" si="82"/>
        <v>39.65</v>
      </c>
      <c r="K1234" t="s">
        <v>391</v>
      </c>
    </row>
    <row r="1235" spans="3:11" outlineLevel="2" x14ac:dyDescent="0.3">
      <c r="C1235" s="9">
        <v>45047</v>
      </c>
      <c r="D1235" t="s">
        <v>8</v>
      </c>
      <c r="E1235" t="s">
        <v>33</v>
      </c>
      <c r="F1235" t="s">
        <v>13</v>
      </c>
      <c r="G1235" t="s">
        <v>43</v>
      </c>
      <c r="H1235">
        <v>1420</v>
      </c>
      <c r="I1235">
        <v>78</v>
      </c>
      <c r="J1235" s="6">
        <f t="shared" si="82"/>
        <v>110.76</v>
      </c>
      <c r="K1235" t="s">
        <v>391</v>
      </c>
    </row>
    <row r="1236" spans="3:11" outlineLevel="2" x14ac:dyDescent="0.3">
      <c r="C1236" s="9">
        <v>45047</v>
      </c>
      <c r="D1236" t="s">
        <v>45</v>
      </c>
      <c r="E1236" t="s">
        <v>35</v>
      </c>
      <c r="F1236" t="s">
        <v>13</v>
      </c>
      <c r="G1236" t="s">
        <v>22</v>
      </c>
      <c r="H1236">
        <v>930</v>
      </c>
      <c r="I1236">
        <v>49</v>
      </c>
      <c r="J1236" s="6">
        <f t="shared" si="82"/>
        <v>45.57</v>
      </c>
      <c r="K1236" t="s">
        <v>391</v>
      </c>
    </row>
    <row r="1237" spans="3:11" outlineLevel="2" x14ac:dyDescent="0.3">
      <c r="C1237" s="9">
        <v>45047</v>
      </c>
      <c r="D1237" t="s">
        <v>12</v>
      </c>
      <c r="E1237" t="s">
        <v>35</v>
      </c>
      <c r="F1237" t="s">
        <v>13</v>
      </c>
      <c r="G1237" t="s">
        <v>43</v>
      </c>
      <c r="H1237">
        <v>1420</v>
      </c>
      <c r="I1237">
        <v>86</v>
      </c>
      <c r="J1237" s="6">
        <f t="shared" si="82"/>
        <v>122.12</v>
      </c>
      <c r="K1237" t="s">
        <v>391</v>
      </c>
    </row>
    <row r="1238" spans="3:11" outlineLevel="1" x14ac:dyDescent="0.3">
      <c r="C1238" s="13" t="s">
        <v>135</v>
      </c>
      <c r="J1238" s="6">
        <f>SUBTOTAL(9,J1227:J1237)</f>
        <v>826.06000000000006</v>
      </c>
      <c r="K1238" t="s">
        <v>391</v>
      </c>
    </row>
    <row r="1239" spans="3:11" outlineLevel="2" x14ac:dyDescent="0.3">
      <c r="C1239" s="10">
        <v>45048</v>
      </c>
      <c r="D1239" s="11" t="s">
        <v>12</v>
      </c>
      <c r="E1239" s="11" t="s">
        <v>20</v>
      </c>
      <c r="F1239" s="11" t="s">
        <v>10</v>
      </c>
      <c r="G1239" s="11" t="s">
        <v>16</v>
      </c>
      <c r="H1239" s="11">
        <v>1380</v>
      </c>
      <c r="I1239" s="11">
        <v>93</v>
      </c>
      <c r="J1239" s="6">
        <f t="shared" ref="J1239:J1246" si="83">H1239*I1239/1000</f>
        <v>128.34</v>
      </c>
      <c r="K1239" t="s">
        <v>391</v>
      </c>
    </row>
    <row r="1240" spans="3:11" outlineLevel="2" x14ac:dyDescent="0.3">
      <c r="C1240" s="9">
        <v>45048</v>
      </c>
      <c r="D1240" t="s">
        <v>12</v>
      </c>
      <c r="E1240" t="s">
        <v>26</v>
      </c>
      <c r="F1240" t="s">
        <v>18</v>
      </c>
      <c r="G1240" t="s">
        <v>27</v>
      </c>
      <c r="H1240">
        <v>460</v>
      </c>
      <c r="I1240">
        <v>55</v>
      </c>
      <c r="J1240" s="6">
        <f t="shared" si="83"/>
        <v>25.3</v>
      </c>
      <c r="K1240" t="s">
        <v>391</v>
      </c>
    </row>
    <row r="1241" spans="3:11" outlineLevel="2" x14ac:dyDescent="0.3">
      <c r="C1241" s="9">
        <v>45048</v>
      </c>
      <c r="D1241" t="s">
        <v>45</v>
      </c>
      <c r="E1241" t="s">
        <v>26</v>
      </c>
      <c r="F1241" t="s">
        <v>18</v>
      </c>
      <c r="G1241" t="s">
        <v>21</v>
      </c>
      <c r="H1241">
        <v>450</v>
      </c>
      <c r="I1241">
        <v>87</v>
      </c>
      <c r="J1241" s="6">
        <f t="shared" si="83"/>
        <v>39.15</v>
      </c>
      <c r="K1241" t="s">
        <v>391</v>
      </c>
    </row>
    <row r="1242" spans="3:11" outlineLevel="2" x14ac:dyDescent="0.3">
      <c r="C1242" s="9">
        <v>45048</v>
      </c>
      <c r="D1242" t="s">
        <v>45</v>
      </c>
      <c r="E1242" t="s">
        <v>26</v>
      </c>
      <c r="F1242" t="s">
        <v>24</v>
      </c>
      <c r="G1242" t="s">
        <v>25</v>
      </c>
      <c r="H1242">
        <v>1760</v>
      </c>
      <c r="I1242">
        <v>8</v>
      </c>
      <c r="J1242" s="6">
        <f t="shared" si="83"/>
        <v>14.08</v>
      </c>
      <c r="K1242" t="s">
        <v>391</v>
      </c>
    </row>
    <row r="1243" spans="3:11" outlineLevel="2" x14ac:dyDescent="0.3">
      <c r="C1243" s="9">
        <v>45048</v>
      </c>
      <c r="D1243" t="s">
        <v>8</v>
      </c>
      <c r="E1243" t="s">
        <v>26</v>
      </c>
      <c r="F1243" t="s">
        <v>24</v>
      </c>
      <c r="G1243" t="s">
        <v>32</v>
      </c>
      <c r="H1243">
        <v>1505</v>
      </c>
      <c r="I1243">
        <v>61</v>
      </c>
      <c r="J1243" s="6">
        <f t="shared" si="83"/>
        <v>91.805000000000007</v>
      </c>
      <c r="K1243" t="s">
        <v>391</v>
      </c>
    </row>
    <row r="1244" spans="3:11" outlineLevel="2" x14ac:dyDescent="0.3">
      <c r="C1244" s="9">
        <v>45048</v>
      </c>
      <c r="D1244" t="s">
        <v>12</v>
      </c>
      <c r="E1244" t="s">
        <v>15</v>
      </c>
      <c r="F1244" t="s">
        <v>24</v>
      </c>
      <c r="G1244" t="s">
        <v>36</v>
      </c>
      <c r="H1244">
        <v>2460</v>
      </c>
      <c r="I1244">
        <v>39</v>
      </c>
      <c r="J1244" s="6">
        <f t="shared" si="83"/>
        <v>95.94</v>
      </c>
      <c r="K1244" t="s">
        <v>391</v>
      </c>
    </row>
    <row r="1245" spans="3:11" outlineLevel="2" x14ac:dyDescent="0.3">
      <c r="C1245" s="9">
        <v>45048</v>
      </c>
      <c r="D1245" t="s">
        <v>45</v>
      </c>
      <c r="E1245" t="s">
        <v>33</v>
      </c>
      <c r="F1245" t="s">
        <v>24</v>
      </c>
      <c r="G1245" t="s">
        <v>30</v>
      </c>
      <c r="H1245">
        <v>2970</v>
      </c>
      <c r="I1245">
        <v>56</v>
      </c>
      <c r="J1245" s="6">
        <f t="shared" si="83"/>
        <v>166.32</v>
      </c>
      <c r="K1245" t="s">
        <v>391</v>
      </c>
    </row>
    <row r="1246" spans="3:11" outlineLevel="2" x14ac:dyDescent="0.3">
      <c r="C1246" s="9">
        <v>45048</v>
      </c>
      <c r="D1246" t="s">
        <v>12</v>
      </c>
      <c r="E1246" t="s">
        <v>35</v>
      </c>
      <c r="F1246" t="s">
        <v>13</v>
      </c>
      <c r="G1246" t="s">
        <v>14</v>
      </c>
      <c r="H1246">
        <v>1320</v>
      </c>
      <c r="I1246">
        <v>29</v>
      </c>
      <c r="J1246" s="6">
        <f t="shared" si="83"/>
        <v>38.28</v>
      </c>
      <c r="K1246" t="s">
        <v>391</v>
      </c>
    </row>
    <row r="1247" spans="3:11" outlineLevel="1" x14ac:dyDescent="0.3">
      <c r="C1247" s="13" t="s">
        <v>136</v>
      </c>
      <c r="J1247" s="6">
        <f>SUBTOTAL(9,J1239:J1246)</f>
        <v>599.21500000000003</v>
      </c>
      <c r="K1247" t="s">
        <v>391</v>
      </c>
    </row>
    <row r="1248" spans="3:11" outlineLevel="2" x14ac:dyDescent="0.3">
      <c r="C1248" s="9">
        <v>45049</v>
      </c>
      <c r="D1248" t="s">
        <v>45</v>
      </c>
      <c r="E1248" t="s">
        <v>20</v>
      </c>
      <c r="F1248" t="s">
        <v>13</v>
      </c>
      <c r="G1248" t="s">
        <v>22</v>
      </c>
      <c r="H1248">
        <v>930</v>
      </c>
      <c r="I1248">
        <v>84</v>
      </c>
      <c r="J1248" s="6">
        <f t="shared" ref="J1248:J1255" si="84">H1248*I1248/1000</f>
        <v>78.12</v>
      </c>
      <c r="K1248" t="s">
        <v>391</v>
      </c>
    </row>
    <row r="1249" spans="3:11" outlineLevel="2" x14ac:dyDescent="0.3">
      <c r="C1249" s="10">
        <v>45049</v>
      </c>
      <c r="D1249" s="11" t="s">
        <v>45</v>
      </c>
      <c r="E1249" s="11" t="s">
        <v>20</v>
      </c>
      <c r="F1249" s="11" t="s">
        <v>13</v>
      </c>
      <c r="G1249" s="11" t="s">
        <v>29</v>
      </c>
      <c r="H1249" s="11">
        <v>1230</v>
      </c>
      <c r="I1249" s="11">
        <v>96</v>
      </c>
      <c r="J1249" s="6">
        <f t="shared" si="84"/>
        <v>118.08</v>
      </c>
      <c r="K1249" t="s">
        <v>391</v>
      </c>
    </row>
    <row r="1250" spans="3:11" outlineLevel="2" x14ac:dyDescent="0.3">
      <c r="C1250" s="9">
        <v>45049</v>
      </c>
      <c r="D1250" t="s">
        <v>17</v>
      </c>
      <c r="E1250" t="s">
        <v>20</v>
      </c>
      <c r="F1250" t="s">
        <v>24</v>
      </c>
      <c r="G1250" t="s">
        <v>32</v>
      </c>
      <c r="H1250">
        <v>1505</v>
      </c>
      <c r="I1250">
        <v>80</v>
      </c>
      <c r="J1250" s="6">
        <f t="shared" si="84"/>
        <v>120.4</v>
      </c>
      <c r="K1250" t="s">
        <v>391</v>
      </c>
    </row>
    <row r="1251" spans="3:11" outlineLevel="2" x14ac:dyDescent="0.3">
      <c r="C1251" s="9">
        <v>45049</v>
      </c>
      <c r="D1251" t="s">
        <v>12</v>
      </c>
      <c r="E1251" t="s">
        <v>9</v>
      </c>
      <c r="F1251" t="s">
        <v>10</v>
      </c>
      <c r="G1251" t="s">
        <v>41</v>
      </c>
      <c r="H1251">
        <v>650</v>
      </c>
      <c r="I1251">
        <v>34</v>
      </c>
      <c r="J1251" s="6">
        <f t="shared" si="84"/>
        <v>22.1</v>
      </c>
      <c r="K1251" t="s">
        <v>391</v>
      </c>
    </row>
    <row r="1252" spans="3:11" outlineLevel="2" x14ac:dyDescent="0.3">
      <c r="C1252" s="9">
        <v>45049</v>
      </c>
      <c r="D1252" t="s">
        <v>8</v>
      </c>
      <c r="E1252" t="s">
        <v>9</v>
      </c>
      <c r="F1252" t="s">
        <v>24</v>
      </c>
      <c r="G1252" t="s">
        <v>34</v>
      </c>
      <c r="H1252">
        <v>1670</v>
      </c>
      <c r="I1252">
        <v>49</v>
      </c>
      <c r="J1252" s="6">
        <f t="shared" si="84"/>
        <v>81.83</v>
      </c>
      <c r="K1252" t="s">
        <v>391</v>
      </c>
    </row>
    <row r="1253" spans="3:11" outlineLevel="2" x14ac:dyDescent="0.3">
      <c r="C1253" s="9">
        <v>45049</v>
      </c>
      <c r="D1253" t="s">
        <v>12</v>
      </c>
      <c r="E1253" t="s">
        <v>33</v>
      </c>
      <c r="F1253" t="s">
        <v>13</v>
      </c>
      <c r="G1253" t="s">
        <v>14</v>
      </c>
      <c r="H1253">
        <v>1320</v>
      </c>
      <c r="I1253">
        <v>32</v>
      </c>
      <c r="J1253" s="6">
        <f t="shared" si="84"/>
        <v>42.24</v>
      </c>
      <c r="K1253" t="s">
        <v>391</v>
      </c>
    </row>
    <row r="1254" spans="3:11" outlineLevel="2" x14ac:dyDescent="0.3">
      <c r="C1254" s="9">
        <v>45049</v>
      </c>
      <c r="D1254" t="s">
        <v>8</v>
      </c>
      <c r="E1254" t="s">
        <v>33</v>
      </c>
      <c r="F1254" t="s">
        <v>24</v>
      </c>
      <c r="G1254" t="s">
        <v>32</v>
      </c>
      <c r="H1254">
        <v>1505</v>
      </c>
      <c r="I1254">
        <v>65</v>
      </c>
      <c r="J1254" s="6">
        <f t="shared" si="84"/>
        <v>97.825000000000003</v>
      </c>
      <c r="K1254" t="s">
        <v>391</v>
      </c>
    </row>
    <row r="1255" spans="3:11" outlineLevel="2" x14ac:dyDescent="0.3">
      <c r="C1255" s="9">
        <v>45049</v>
      </c>
      <c r="D1255" t="s">
        <v>17</v>
      </c>
      <c r="E1255" t="s">
        <v>35</v>
      </c>
      <c r="F1255" t="s">
        <v>13</v>
      </c>
      <c r="G1255" t="s">
        <v>22</v>
      </c>
      <c r="H1255">
        <v>930</v>
      </c>
      <c r="I1255">
        <v>71</v>
      </c>
      <c r="J1255" s="6">
        <f t="shared" si="84"/>
        <v>66.03</v>
      </c>
      <c r="K1255" t="s">
        <v>391</v>
      </c>
    </row>
    <row r="1256" spans="3:11" outlineLevel="1" x14ac:dyDescent="0.3">
      <c r="C1256" s="13" t="s">
        <v>137</v>
      </c>
      <c r="J1256" s="6">
        <f>SUBTOTAL(9,J1248:J1255)</f>
        <v>626.625</v>
      </c>
      <c r="K1256" t="s">
        <v>391</v>
      </c>
    </row>
    <row r="1257" spans="3:11" outlineLevel="2" x14ac:dyDescent="0.3">
      <c r="C1257" s="10">
        <v>45050</v>
      </c>
      <c r="D1257" s="11" t="s">
        <v>8</v>
      </c>
      <c r="E1257" s="11" t="s">
        <v>20</v>
      </c>
      <c r="F1257" s="11" t="s">
        <v>24</v>
      </c>
      <c r="G1257" s="11" t="s">
        <v>36</v>
      </c>
      <c r="H1257" s="11">
        <v>2460</v>
      </c>
      <c r="I1257" s="11">
        <v>83</v>
      </c>
      <c r="J1257" s="6">
        <f t="shared" ref="J1257:J1265" si="85">H1257*I1257/1000</f>
        <v>204.18</v>
      </c>
      <c r="K1257" t="s">
        <v>391</v>
      </c>
    </row>
    <row r="1258" spans="3:11" outlineLevel="2" x14ac:dyDescent="0.3">
      <c r="C1258" s="9">
        <v>45050</v>
      </c>
      <c r="D1258" t="s">
        <v>45</v>
      </c>
      <c r="E1258" t="s">
        <v>26</v>
      </c>
      <c r="F1258" t="s">
        <v>10</v>
      </c>
      <c r="G1258" t="s">
        <v>40</v>
      </c>
      <c r="H1258">
        <v>540</v>
      </c>
      <c r="I1258">
        <v>81</v>
      </c>
      <c r="J1258" s="6">
        <f t="shared" si="85"/>
        <v>43.74</v>
      </c>
      <c r="K1258" t="s">
        <v>391</v>
      </c>
    </row>
    <row r="1259" spans="3:11" outlineLevel="2" x14ac:dyDescent="0.3">
      <c r="C1259" s="9">
        <v>45050</v>
      </c>
      <c r="D1259" t="s">
        <v>45</v>
      </c>
      <c r="E1259" t="s">
        <v>33</v>
      </c>
      <c r="F1259" t="s">
        <v>18</v>
      </c>
      <c r="G1259" t="s">
        <v>37</v>
      </c>
      <c r="H1259">
        <v>890</v>
      </c>
      <c r="I1259">
        <v>50</v>
      </c>
      <c r="J1259" s="6">
        <f t="shared" si="85"/>
        <v>44.5</v>
      </c>
      <c r="K1259" t="s">
        <v>391</v>
      </c>
    </row>
    <row r="1260" spans="3:11" outlineLevel="2" x14ac:dyDescent="0.3">
      <c r="C1260" s="9">
        <v>45050</v>
      </c>
      <c r="D1260" t="s">
        <v>17</v>
      </c>
      <c r="E1260" t="s">
        <v>33</v>
      </c>
      <c r="F1260" t="s">
        <v>18</v>
      </c>
      <c r="G1260" t="s">
        <v>31</v>
      </c>
      <c r="H1260">
        <v>715</v>
      </c>
      <c r="I1260">
        <v>49</v>
      </c>
      <c r="J1260" s="6">
        <f t="shared" si="85"/>
        <v>35.034999999999997</v>
      </c>
      <c r="K1260" t="s">
        <v>391</v>
      </c>
    </row>
    <row r="1261" spans="3:11" outlineLevel="2" x14ac:dyDescent="0.3">
      <c r="C1261" s="9">
        <v>45050</v>
      </c>
      <c r="D1261" t="s">
        <v>45</v>
      </c>
      <c r="E1261" t="s">
        <v>33</v>
      </c>
      <c r="F1261" t="s">
        <v>13</v>
      </c>
      <c r="G1261" t="s">
        <v>14</v>
      </c>
      <c r="H1261">
        <v>1320</v>
      </c>
      <c r="I1261">
        <v>70</v>
      </c>
      <c r="J1261" s="6">
        <f t="shared" si="85"/>
        <v>92.4</v>
      </c>
      <c r="K1261" t="s">
        <v>391</v>
      </c>
    </row>
    <row r="1262" spans="3:11" outlineLevel="2" x14ac:dyDescent="0.3">
      <c r="C1262" s="9">
        <v>45050</v>
      </c>
      <c r="D1262" t="s">
        <v>12</v>
      </c>
      <c r="E1262" t="s">
        <v>33</v>
      </c>
      <c r="F1262" t="s">
        <v>24</v>
      </c>
      <c r="G1262" t="s">
        <v>32</v>
      </c>
      <c r="H1262">
        <v>1505</v>
      </c>
      <c r="I1262">
        <v>27</v>
      </c>
      <c r="J1262" s="6">
        <f t="shared" si="85"/>
        <v>40.634999999999998</v>
      </c>
      <c r="K1262" t="s">
        <v>391</v>
      </c>
    </row>
    <row r="1263" spans="3:11" outlineLevel="2" x14ac:dyDescent="0.3">
      <c r="C1263" s="9">
        <v>45050</v>
      </c>
      <c r="D1263" t="s">
        <v>45</v>
      </c>
      <c r="E1263" t="s">
        <v>33</v>
      </c>
      <c r="F1263" t="s">
        <v>24</v>
      </c>
      <c r="G1263" t="s">
        <v>32</v>
      </c>
      <c r="H1263">
        <v>1505</v>
      </c>
      <c r="I1263">
        <v>100</v>
      </c>
      <c r="J1263" s="6">
        <f t="shared" si="85"/>
        <v>150.5</v>
      </c>
      <c r="K1263" t="s">
        <v>391</v>
      </c>
    </row>
    <row r="1264" spans="3:11" outlineLevel="2" x14ac:dyDescent="0.3">
      <c r="C1264" s="9">
        <v>45050</v>
      </c>
      <c r="D1264" t="s">
        <v>12</v>
      </c>
      <c r="E1264" t="s">
        <v>35</v>
      </c>
      <c r="F1264" t="s">
        <v>13</v>
      </c>
      <c r="G1264" t="s">
        <v>14</v>
      </c>
      <c r="H1264">
        <v>1320</v>
      </c>
      <c r="I1264">
        <v>86</v>
      </c>
      <c r="J1264" s="6">
        <f t="shared" si="85"/>
        <v>113.52</v>
      </c>
      <c r="K1264" t="s">
        <v>391</v>
      </c>
    </row>
    <row r="1265" spans="3:11" outlineLevel="2" x14ac:dyDescent="0.3">
      <c r="C1265" s="9">
        <v>45050</v>
      </c>
      <c r="D1265" t="s">
        <v>8</v>
      </c>
      <c r="E1265" t="s">
        <v>35</v>
      </c>
      <c r="F1265" t="s">
        <v>13</v>
      </c>
      <c r="G1265" t="s">
        <v>44</v>
      </c>
      <c r="H1265">
        <v>2540</v>
      </c>
      <c r="I1265">
        <v>19</v>
      </c>
      <c r="J1265" s="6">
        <f t="shared" si="85"/>
        <v>48.26</v>
      </c>
      <c r="K1265" t="s">
        <v>391</v>
      </c>
    </row>
    <row r="1266" spans="3:11" outlineLevel="1" x14ac:dyDescent="0.3">
      <c r="C1266" s="13" t="s">
        <v>138</v>
      </c>
      <c r="J1266" s="6">
        <f>SUBTOTAL(9,J1257:J1265)</f>
        <v>772.77</v>
      </c>
      <c r="K1266" t="s">
        <v>391</v>
      </c>
    </row>
    <row r="1267" spans="3:11" outlineLevel="2" x14ac:dyDescent="0.3">
      <c r="C1267" s="9">
        <v>45051</v>
      </c>
      <c r="D1267" t="s">
        <v>12</v>
      </c>
      <c r="E1267" t="s">
        <v>9</v>
      </c>
      <c r="F1267" t="s">
        <v>18</v>
      </c>
      <c r="G1267" t="s">
        <v>28</v>
      </c>
      <c r="H1267">
        <v>690</v>
      </c>
      <c r="I1267">
        <v>34</v>
      </c>
      <c r="J1267" s="6">
        <f t="shared" ref="J1267:J1274" si="86">H1267*I1267/1000</f>
        <v>23.46</v>
      </c>
      <c r="K1267" t="s">
        <v>391</v>
      </c>
    </row>
    <row r="1268" spans="3:11" outlineLevel="2" x14ac:dyDescent="0.3">
      <c r="C1268" s="9">
        <v>45051</v>
      </c>
      <c r="D1268" t="s">
        <v>17</v>
      </c>
      <c r="E1268" t="s">
        <v>9</v>
      </c>
      <c r="F1268" t="s">
        <v>24</v>
      </c>
      <c r="G1268" t="s">
        <v>30</v>
      </c>
      <c r="H1268">
        <v>2970</v>
      </c>
      <c r="I1268">
        <v>6</v>
      </c>
      <c r="J1268" s="6">
        <f t="shared" si="86"/>
        <v>17.82</v>
      </c>
      <c r="K1268" t="s">
        <v>391</v>
      </c>
    </row>
    <row r="1269" spans="3:11" outlineLevel="2" x14ac:dyDescent="0.3">
      <c r="C1269" s="9">
        <v>45051</v>
      </c>
      <c r="D1269" t="s">
        <v>17</v>
      </c>
      <c r="E1269" t="s">
        <v>26</v>
      </c>
      <c r="F1269" t="s">
        <v>10</v>
      </c>
      <c r="G1269" t="s">
        <v>41</v>
      </c>
      <c r="H1269">
        <v>650</v>
      </c>
      <c r="I1269">
        <v>72</v>
      </c>
      <c r="J1269" s="6">
        <f t="shared" si="86"/>
        <v>46.8</v>
      </c>
      <c r="K1269" t="s">
        <v>391</v>
      </c>
    </row>
    <row r="1270" spans="3:11" outlineLevel="2" x14ac:dyDescent="0.3">
      <c r="C1270" s="9">
        <v>45051</v>
      </c>
      <c r="D1270" t="s">
        <v>17</v>
      </c>
      <c r="E1270" t="s">
        <v>26</v>
      </c>
      <c r="F1270" t="s">
        <v>13</v>
      </c>
      <c r="G1270" t="s">
        <v>29</v>
      </c>
      <c r="H1270">
        <v>1230</v>
      </c>
      <c r="I1270">
        <v>84</v>
      </c>
      <c r="J1270" s="6">
        <f t="shared" si="86"/>
        <v>103.32</v>
      </c>
      <c r="K1270" t="s">
        <v>391</v>
      </c>
    </row>
    <row r="1271" spans="3:11" outlineLevel="2" x14ac:dyDescent="0.3">
      <c r="C1271" s="9">
        <v>45051</v>
      </c>
      <c r="D1271" t="s">
        <v>8</v>
      </c>
      <c r="E1271" t="s">
        <v>15</v>
      </c>
      <c r="F1271" t="s">
        <v>18</v>
      </c>
      <c r="G1271" t="s">
        <v>28</v>
      </c>
      <c r="H1271">
        <v>690</v>
      </c>
      <c r="I1271">
        <v>60</v>
      </c>
      <c r="J1271" s="6">
        <f t="shared" si="86"/>
        <v>41.4</v>
      </c>
      <c r="K1271" t="s">
        <v>391</v>
      </c>
    </row>
    <row r="1272" spans="3:11" outlineLevel="2" x14ac:dyDescent="0.3">
      <c r="C1272" s="9">
        <v>45051</v>
      </c>
      <c r="D1272" t="s">
        <v>12</v>
      </c>
      <c r="E1272" t="s">
        <v>35</v>
      </c>
      <c r="F1272" t="s">
        <v>10</v>
      </c>
      <c r="G1272" t="s">
        <v>39</v>
      </c>
      <c r="H1272">
        <v>650</v>
      </c>
      <c r="I1272">
        <v>42</v>
      </c>
      <c r="J1272" s="6">
        <f t="shared" si="86"/>
        <v>27.3</v>
      </c>
      <c r="K1272" t="s">
        <v>391</v>
      </c>
    </row>
    <row r="1273" spans="3:11" outlineLevel="2" x14ac:dyDescent="0.3">
      <c r="C1273" s="9">
        <v>45051</v>
      </c>
      <c r="D1273" t="s">
        <v>17</v>
      </c>
      <c r="E1273" t="s">
        <v>35</v>
      </c>
      <c r="F1273" t="s">
        <v>13</v>
      </c>
      <c r="G1273" t="s">
        <v>22</v>
      </c>
      <c r="H1273">
        <v>930</v>
      </c>
      <c r="I1273">
        <v>39</v>
      </c>
      <c r="J1273" s="6">
        <f t="shared" si="86"/>
        <v>36.270000000000003</v>
      </c>
      <c r="K1273" t="s">
        <v>391</v>
      </c>
    </row>
    <row r="1274" spans="3:11" outlineLevel="2" x14ac:dyDescent="0.3">
      <c r="C1274" s="9">
        <v>45051</v>
      </c>
      <c r="D1274" t="s">
        <v>12</v>
      </c>
      <c r="E1274" t="s">
        <v>35</v>
      </c>
      <c r="F1274" t="s">
        <v>24</v>
      </c>
      <c r="G1274" t="s">
        <v>32</v>
      </c>
      <c r="H1274">
        <v>1505</v>
      </c>
      <c r="I1274">
        <v>9</v>
      </c>
      <c r="J1274" s="6">
        <f t="shared" si="86"/>
        <v>13.545</v>
      </c>
      <c r="K1274" t="s">
        <v>391</v>
      </c>
    </row>
    <row r="1275" spans="3:11" outlineLevel="1" x14ac:dyDescent="0.3">
      <c r="C1275" s="13" t="s">
        <v>139</v>
      </c>
      <c r="J1275" s="6">
        <f>SUBTOTAL(9,J1267:J1274)</f>
        <v>309.91499999999996</v>
      </c>
      <c r="K1275" t="s">
        <v>391</v>
      </c>
    </row>
    <row r="1276" spans="3:11" outlineLevel="2" x14ac:dyDescent="0.3">
      <c r="C1276" s="9">
        <v>45052</v>
      </c>
      <c r="D1276" t="s">
        <v>12</v>
      </c>
      <c r="E1276" t="s">
        <v>20</v>
      </c>
      <c r="F1276" t="s">
        <v>18</v>
      </c>
      <c r="G1276" t="s">
        <v>19</v>
      </c>
      <c r="H1276">
        <v>325</v>
      </c>
      <c r="I1276">
        <v>14</v>
      </c>
      <c r="J1276" s="6">
        <f t="shared" ref="J1276:J1287" si="87">H1276*I1276/1000</f>
        <v>4.55</v>
      </c>
      <c r="K1276" t="s">
        <v>391</v>
      </c>
    </row>
    <row r="1277" spans="3:11" outlineLevel="2" x14ac:dyDescent="0.3">
      <c r="C1277" s="9">
        <v>45052</v>
      </c>
      <c r="D1277" t="s">
        <v>12</v>
      </c>
      <c r="E1277" t="s">
        <v>9</v>
      </c>
      <c r="F1277" t="s">
        <v>10</v>
      </c>
      <c r="G1277" t="s">
        <v>41</v>
      </c>
      <c r="H1277">
        <v>650</v>
      </c>
      <c r="I1277">
        <v>73</v>
      </c>
      <c r="J1277" s="6">
        <f t="shared" si="87"/>
        <v>47.45</v>
      </c>
      <c r="K1277" t="s">
        <v>391</v>
      </c>
    </row>
    <row r="1278" spans="3:11" outlineLevel="2" x14ac:dyDescent="0.3">
      <c r="C1278" s="9">
        <v>45052</v>
      </c>
      <c r="D1278" t="s">
        <v>45</v>
      </c>
      <c r="E1278" t="s">
        <v>9</v>
      </c>
      <c r="F1278" t="s">
        <v>18</v>
      </c>
      <c r="G1278" t="s">
        <v>21</v>
      </c>
      <c r="H1278">
        <v>450</v>
      </c>
      <c r="I1278">
        <v>98</v>
      </c>
      <c r="J1278" s="6">
        <f t="shared" si="87"/>
        <v>44.1</v>
      </c>
      <c r="K1278" t="s">
        <v>391</v>
      </c>
    </row>
    <row r="1279" spans="3:11" outlineLevel="2" x14ac:dyDescent="0.3">
      <c r="C1279" s="9">
        <v>45052</v>
      </c>
      <c r="D1279" t="s">
        <v>12</v>
      </c>
      <c r="E1279" t="s">
        <v>9</v>
      </c>
      <c r="F1279" t="s">
        <v>24</v>
      </c>
      <c r="G1279" t="s">
        <v>36</v>
      </c>
      <c r="H1279">
        <v>2460</v>
      </c>
      <c r="I1279">
        <v>21</v>
      </c>
      <c r="J1279" s="6">
        <f t="shared" si="87"/>
        <v>51.66</v>
      </c>
      <c r="K1279" t="s">
        <v>391</v>
      </c>
    </row>
    <row r="1280" spans="3:11" outlineLevel="2" x14ac:dyDescent="0.3">
      <c r="C1280" s="9">
        <v>45052</v>
      </c>
      <c r="D1280" t="s">
        <v>12</v>
      </c>
      <c r="E1280" t="s">
        <v>26</v>
      </c>
      <c r="F1280" t="s">
        <v>10</v>
      </c>
      <c r="G1280" t="s">
        <v>41</v>
      </c>
      <c r="H1280">
        <v>650</v>
      </c>
      <c r="I1280">
        <v>88</v>
      </c>
      <c r="J1280" s="6">
        <f t="shared" si="87"/>
        <v>57.2</v>
      </c>
      <c r="K1280" t="s">
        <v>391</v>
      </c>
    </row>
    <row r="1281" spans="3:11" outlineLevel="2" x14ac:dyDescent="0.3">
      <c r="C1281" s="9">
        <v>45052</v>
      </c>
      <c r="D1281" t="s">
        <v>8</v>
      </c>
      <c r="E1281" t="s">
        <v>26</v>
      </c>
      <c r="F1281" t="s">
        <v>13</v>
      </c>
      <c r="G1281" t="s">
        <v>43</v>
      </c>
      <c r="H1281">
        <v>1420</v>
      </c>
      <c r="I1281">
        <v>89</v>
      </c>
      <c r="J1281" s="6">
        <f t="shared" si="87"/>
        <v>126.38</v>
      </c>
      <c r="K1281" t="s">
        <v>391</v>
      </c>
    </row>
    <row r="1282" spans="3:11" outlineLevel="2" x14ac:dyDescent="0.3">
      <c r="C1282" s="9">
        <v>45052</v>
      </c>
      <c r="D1282" t="s">
        <v>45</v>
      </c>
      <c r="E1282" t="s">
        <v>26</v>
      </c>
      <c r="F1282" t="s">
        <v>24</v>
      </c>
      <c r="G1282" t="s">
        <v>34</v>
      </c>
      <c r="H1282">
        <v>1670</v>
      </c>
      <c r="I1282">
        <v>64</v>
      </c>
      <c r="J1282" s="6">
        <f t="shared" si="87"/>
        <v>106.88</v>
      </c>
      <c r="K1282" t="s">
        <v>391</v>
      </c>
    </row>
    <row r="1283" spans="3:11" outlineLevel="2" x14ac:dyDescent="0.3">
      <c r="C1283" s="9">
        <v>45052</v>
      </c>
      <c r="D1283" t="s">
        <v>17</v>
      </c>
      <c r="E1283" t="s">
        <v>15</v>
      </c>
      <c r="F1283" t="s">
        <v>10</v>
      </c>
      <c r="G1283" t="s">
        <v>39</v>
      </c>
      <c r="H1283">
        <v>650</v>
      </c>
      <c r="I1283">
        <v>100</v>
      </c>
      <c r="J1283" s="6">
        <f t="shared" si="87"/>
        <v>65</v>
      </c>
      <c r="K1283" t="s">
        <v>391</v>
      </c>
    </row>
    <row r="1284" spans="3:11" outlineLevel="2" x14ac:dyDescent="0.3">
      <c r="C1284" s="9">
        <v>45052</v>
      </c>
      <c r="D1284" t="s">
        <v>45</v>
      </c>
      <c r="E1284" t="s">
        <v>33</v>
      </c>
      <c r="F1284" t="s">
        <v>10</v>
      </c>
      <c r="G1284" t="s">
        <v>16</v>
      </c>
      <c r="H1284">
        <v>1380</v>
      </c>
      <c r="I1284">
        <v>86</v>
      </c>
      <c r="J1284" s="6">
        <f t="shared" si="87"/>
        <v>118.68</v>
      </c>
      <c r="K1284" t="s">
        <v>391</v>
      </c>
    </row>
    <row r="1285" spans="3:11" outlineLevel="2" x14ac:dyDescent="0.3">
      <c r="C1285" s="9">
        <v>45052</v>
      </c>
      <c r="D1285" t="s">
        <v>45</v>
      </c>
      <c r="E1285" t="s">
        <v>33</v>
      </c>
      <c r="F1285" t="s">
        <v>18</v>
      </c>
      <c r="G1285" t="s">
        <v>27</v>
      </c>
      <c r="H1285">
        <v>460</v>
      </c>
      <c r="I1285">
        <v>51</v>
      </c>
      <c r="J1285" s="6">
        <f t="shared" si="87"/>
        <v>23.46</v>
      </c>
      <c r="K1285" t="s">
        <v>391</v>
      </c>
    </row>
    <row r="1286" spans="3:11" outlineLevel="2" x14ac:dyDescent="0.3">
      <c r="C1286" s="9">
        <v>45052</v>
      </c>
      <c r="D1286" t="s">
        <v>8</v>
      </c>
      <c r="E1286" t="s">
        <v>33</v>
      </c>
      <c r="F1286" t="s">
        <v>24</v>
      </c>
      <c r="G1286" t="s">
        <v>25</v>
      </c>
      <c r="H1286">
        <v>1760</v>
      </c>
      <c r="I1286">
        <v>82</v>
      </c>
      <c r="J1286" s="6">
        <f t="shared" si="87"/>
        <v>144.32</v>
      </c>
      <c r="K1286" t="s">
        <v>391</v>
      </c>
    </row>
    <row r="1287" spans="3:11" outlineLevel="2" x14ac:dyDescent="0.3">
      <c r="C1287" s="9">
        <v>45052</v>
      </c>
      <c r="D1287" t="s">
        <v>45</v>
      </c>
      <c r="E1287" t="s">
        <v>33</v>
      </c>
      <c r="F1287" t="s">
        <v>24</v>
      </c>
      <c r="G1287" t="s">
        <v>34</v>
      </c>
      <c r="H1287">
        <v>1670</v>
      </c>
      <c r="I1287">
        <v>76</v>
      </c>
      <c r="J1287" s="6">
        <f t="shared" si="87"/>
        <v>126.92</v>
      </c>
      <c r="K1287" t="s">
        <v>391</v>
      </c>
    </row>
    <row r="1288" spans="3:11" outlineLevel="1" x14ac:dyDescent="0.3">
      <c r="C1288" s="13" t="s">
        <v>140</v>
      </c>
      <c r="J1288" s="6">
        <f>SUBTOTAL(9,J1276:J1287)</f>
        <v>916.6</v>
      </c>
      <c r="K1288" t="s">
        <v>391</v>
      </c>
    </row>
    <row r="1289" spans="3:11" outlineLevel="2" x14ac:dyDescent="0.3">
      <c r="C1289" s="9">
        <v>45053</v>
      </c>
      <c r="D1289" t="s">
        <v>8</v>
      </c>
      <c r="E1289" t="s">
        <v>9</v>
      </c>
      <c r="F1289" t="s">
        <v>13</v>
      </c>
      <c r="G1289" t="s">
        <v>22</v>
      </c>
      <c r="H1289">
        <v>930</v>
      </c>
      <c r="I1289">
        <v>38</v>
      </c>
      <c r="J1289" s="6">
        <f>H1289*I1289/1000</f>
        <v>35.340000000000003</v>
      </c>
      <c r="K1289" t="s">
        <v>391</v>
      </c>
    </row>
    <row r="1290" spans="3:11" outlineLevel="2" x14ac:dyDescent="0.3">
      <c r="C1290" s="9">
        <v>45053</v>
      </c>
      <c r="D1290" t="s">
        <v>45</v>
      </c>
      <c r="E1290" t="s">
        <v>9</v>
      </c>
      <c r="F1290" t="s">
        <v>24</v>
      </c>
      <c r="G1290" t="s">
        <v>36</v>
      </c>
      <c r="H1290">
        <v>2460</v>
      </c>
      <c r="I1290">
        <v>50</v>
      </c>
      <c r="J1290" s="6">
        <f>H1290*I1290/1000</f>
        <v>123</v>
      </c>
      <c r="K1290" t="s">
        <v>391</v>
      </c>
    </row>
    <row r="1291" spans="3:11" outlineLevel="2" x14ac:dyDescent="0.3">
      <c r="C1291" s="9">
        <v>45053</v>
      </c>
      <c r="D1291" t="s">
        <v>45</v>
      </c>
      <c r="E1291" t="s">
        <v>33</v>
      </c>
      <c r="F1291" t="s">
        <v>24</v>
      </c>
      <c r="G1291" t="s">
        <v>25</v>
      </c>
      <c r="H1291">
        <v>1760</v>
      </c>
      <c r="I1291">
        <v>69</v>
      </c>
      <c r="J1291" s="6">
        <f>H1291*I1291/1000</f>
        <v>121.44</v>
      </c>
      <c r="K1291" t="s">
        <v>391</v>
      </c>
    </row>
    <row r="1292" spans="3:11" outlineLevel="2" x14ac:dyDescent="0.3">
      <c r="C1292" s="9">
        <v>45053</v>
      </c>
      <c r="D1292" t="s">
        <v>8</v>
      </c>
      <c r="E1292" t="s">
        <v>35</v>
      </c>
      <c r="F1292" t="s">
        <v>10</v>
      </c>
      <c r="G1292" t="s">
        <v>41</v>
      </c>
      <c r="H1292">
        <v>650</v>
      </c>
      <c r="I1292">
        <v>12</v>
      </c>
      <c r="J1292" s="6">
        <f>H1292*I1292/1000</f>
        <v>7.8</v>
      </c>
      <c r="K1292" t="s">
        <v>391</v>
      </c>
    </row>
    <row r="1293" spans="3:11" outlineLevel="2" x14ac:dyDescent="0.3">
      <c r="C1293" s="9">
        <v>45053</v>
      </c>
      <c r="D1293" t="s">
        <v>8</v>
      </c>
      <c r="E1293" t="s">
        <v>35</v>
      </c>
      <c r="F1293" t="s">
        <v>24</v>
      </c>
      <c r="G1293" t="s">
        <v>32</v>
      </c>
      <c r="H1293">
        <v>1505</v>
      </c>
      <c r="I1293">
        <v>42</v>
      </c>
      <c r="J1293" s="6">
        <f>H1293*I1293/1000</f>
        <v>63.21</v>
      </c>
      <c r="K1293" t="s">
        <v>391</v>
      </c>
    </row>
    <row r="1294" spans="3:11" outlineLevel="1" x14ac:dyDescent="0.3">
      <c r="C1294" s="13" t="s">
        <v>141</v>
      </c>
      <c r="J1294" s="6">
        <f>SUBTOTAL(9,J1289:J1293)</f>
        <v>350.78999999999996</v>
      </c>
      <c r="K1294" t="s">
        <v>391</v>
      </c>
    </row>
    <row r="1295" spans="3:11" outlineLevel="2" x14ac:dyDescent="0.3">
      <c r="C1295" s="10">
        <v>45054</v>
      </c>
      <c r="D1295" s="11" t="s">
        <v>45</v>
      </c>
      <c r="E1295" s="11" t="s">
        <v>20</v>
      </c>
      <c r="F1295" s="11" t="s">
        <v>10</v>
      </c>
      <c r="G1295" s="11" t="s">
        <v>11</v>
      </c>
      <c r="H1295" s="11">
        <v>705</v>
      </c>
      <c r="I1295" s="11">
        <v>43</v>
      </c>
      <c r="J1295" s="6">
        <f t="shared" ref="J1295:J1301" si="88">H1295*I1295/1000</f>
        <v>30.315000000000001</v>
      </c>
      <c r="K1295" t="s">
        <v>391</v>
      </c>
    </row>
    <row r="1296" spans="3:11" outlineLevel="2" x14ac:dyDescent="0.3">
      <c r="C1296" s="9">
        <v>45054</v>
      </c>
      <c r="D1296" t="s">
        <v>8</v>
      </c>
      <c r="E1296" t="s">
        <v>15</v>
      </c>
      <c r="F1296" t="s">
        <v>10</v>
      </c>
      <c r="G1296" t="s">
        <v>16</v>
      </c>
      <c r="H1296">
        <v>1380</v>
      </c>
      <c r="I1296">
        <v>83</v>
      </c>
      <c r="J1296" s="6">
        <f t="shared" si="88"/>
        <v>114.54</v>
      </c>
      <c r="K1296" t="s">
        <v>391</v>
      </c>
    </row>
    <row r="1297" spans="3:11" outlineLevel="2" x14ac:dyDescent="0.3">
      <c r="C1297" s="9">
        <v>45054</v>
      </c>
      <c r="D1297" t="s">
        <v>12</v>
      </c>
      <c r="E1297" t="s">
        <v>15</v>
      </c>
      <c r="F1297" t="s">
        <v>18</v>
      </c>
      <c r="G1297" t="s">
        <v>27</v>
      </c>
      <c r="H1297">
        <v>460</v>
      </c>
      <c r="I1297">
        <v>49</v>
      </c>
      <c r="J1297" s="6">
        <f t="shared" si="88"/>
        <v>22.54</v>
      </c>
      <c r="K1297" t="s">
        <v>391</v>
      </c>
    </row>
    <row r="1298" spans="3:11" outlineLevel="2" x14ac:dyDescent="0.3">
      <c r="C1298" s="9">
        <v>45054</v>
      </c>
      <c r="D1298" t="s">
        <v>45</v>
      </c>
      <c r="E1298" t="s">
        <v>33</v>
      </c>
      <c r="F1298" t="s">
        <v>13</v>
      </c>
      <c r="G1298" t="s">
        <v>22</v>
      </c>
      <c r="H1298">
        <v>930</v>
      </c>
      <c r="I1298">
        <v>49</v>
      </c>
      <c r="J1298" s="6">
        <f t="shared" si="88"/>
        <v>45.57</v>
      </c>
      <c r="K1298" t="s">
        <v>391</v>
      </c>
    </row>
    <row r="1299" spans="3:11" outlineLevel="2" x14ac:dyDescent="0.3">
      <c r="C1299" s="9">
        <v>45054</v>
      </c>
      <c r="D1299" t="s">
        <v>8</v>
      </c>
      <c r="E1299" t="s">
        <v>35</v>
      </c>
      <c r="F1299" t="s">
        <v>10</v>
      </c>
      <c r="G1299" t="s">
        <v>39</v>
      </c>
      <c r="H1299">
        <v>650</v>
      </c>
      <c r="I1299">
        <v>12</v>
      </c>
      <c r="J1299" s="6">
        <f t="shared" si="88"/>
        <v>7.8</v>
      </c>
      <c r="K1299" t="s">
        <v>391</v>
      </c>
    </row>
    <row r="1300" spans="3:11" outlineLevel="2" x14ac:dyDescent="0.3">
      <c r="C1300" s="9">
        <v>45054</v>
      </c>
      <c r="D1300" t="s">
        <v>17</v>
      </c>
      <c r="E1300" t="s">
        <v>35</v>
      </c>
      <c r="F1300" t="s">
        <v>18</v>
      </c>
      <c r="G1300" t="s">
        <v>28</v>
      </c>
      <c r="H1300">
        <v>690</v>
      </c>
      <c r="I1300">
        <v>61</v>
      </c>
      <c r="J1300" s="6">
        <f t="shared" si="88"/>
        <v>42.09</v>
      </c>
      <c r="K1300" t="s">
        <v>391</v>
      </c>
    </row>
    <row r="1301" spans="3:11" outlineLevel="2" x14ac:dyDescent="0.3">
      <c r="C1301" s="9">
        <v>45054</v>
      </c>
      <c r="D1301" t="s">
        <v>8</v>
      </c>
      <c r="E1301" t="s">
        <v>35</v>
      </c>
      <c r="F1301" t="s">
        <v>13</v>
      </c>
      <c r="G1301" t="s">
        <v>43</v>
      </c>
      <c r="H1301">
        <v>1420</v>
      </c>
      <c r="I1301">
        <v>57</v>
      </c>
      <c r="J1301" s="6">
        <f t="shared" si="88"/>
        <v>80.94</v>
      </c>
      <c r="K1301" t="s">
        <v>391</v>
      </c>
    </row>
    <row r="1302" spans="3:11" outlineLevel="1" x14ac:dyDescent="0.3">
      <c r="C1302" s="13" t="s">
        <v>142</v>
      </c>
      <c r="J1302" s="6">
        <f>SUBTOTAL(9,J1295:J1301)</f>
        <v>343.79500000000002</v>
      </c>
      <c r="K1302" t="s">
        <v>391</v>
      </c>
    </row>
    <row r="1303" spans="3:11" outlineLevel="2" x14ac:dyDescent="0.3">
      <c r="C1303" s="9">
        <v>45055</v>
      </c>
      <c r="D1303" t="s">
        <v>12</v>
      </c>
      <c r="E1303" t="s">
        <v>20</v>
      </c>
      <c r="F1303" t="s">
        <v>24</v>
      </c>
      <c r="G1303" t="s">
        <v>42</v>
      </c>
      <c r="H1303">
        <v>3205</v>
      </c>
      <c r="I1303">
        <v>63</v>
      </c>
      <c r="J1303" s="6">
        <f t="shared" ref="J1303:J1311" si="89">H1303*I1303/1000</f>
        <v>201.91499999999999</v>
      </c>
      <c r="K1303" t="s">
        <v>391</v>
      </c>
    </row>
    <row r="1304" spans="3:11" outlineLevel="2" x14ac:dyDescent="0.3">
      <c r="C1304" s="9">
        <v>45055</v>
      </c>
      <c r="D1304" t="s">
        <v>45</v>
      </c>
      <c r="E1304" t="s">
        <v>9</v>
      </c>
      <c r="F1304" t="s">
        <v>13</v>
      </c>
      <c r="G1304" t="s">
        <v>44</v>
      </c>
      <c r="H1304">
        <v>2540</v>
      </c>
      <c r="I1304">
        <v>78</v>
      </c>
      <c r="J1304" s="6">
        <f t="shared" si="89"/>
        <v>198.12</v>
      </c>
      <c r="K1304" t="s">
        <v>391</v>
      </c>
    </row>
    <row r="1305" spans="3:11" outlineLevel="2" x14ac:dyDescent="0.3">
      <c r="C1305" s="9">
        <v>45055</v>
      </c>
      <c r="D1305" t="s">
        <v>17</v>
      </c>
      <c r="E1305" t="s">
        <v>15</v>
      </c>
      <c r="F1305" t="s">
        <v>10</v>
      </c>
      <c r="G1305" t="s">
        <v>23</v>
      </c>
      <c r="H1305">
        <v>640</v>
      </c>
      <c r="I1305">
        <v>93</v>
      </c>
      <c r="J1305" s="6">
        <f t="shared" si="89"/>
        <v>59.52</v>
      </c>
      <c r="K1305" t="s">
        <v>391</v>
      </c>
    </row>
    <row r="1306" spans="3:11" outlineLevel="2" x14ac:dyDescent="0.3">
      <c r="C1306" s="9">
        <v>45055</v>
      </c>
      <c r="D1306" t="s">
        <v>12</v>
      </c>
      <c r="E1306" t="s">
        <v>15</v>
      </c>
      <c r="F1306" t="s">
        <v>10</v>
      </c>
      <c r="G1306" t="s">
        <v>41</v>
      </c>
      <c r="H1306">
        <v>650</v>
      </c>
      <c r="I1306">
        <v>84</v>
      </c>
      <c r="J1306" s="6">
        <f t="shared" si="89"/>
        <v>54.6</v>
      </c>
      <c r="K1306" t="s">
        <v>391</v>
      </c>
    </row>
    <row r="1307" spans="3:11" outlineLevel="2" x14ac:dyDescent="0.3">
      <c r="C1307" s="9">
        <v>45055</v>
      </c>
      <c r="D1307" t="s">
        <v>8</v>
      </c>
      <c r="E1307" t="s">
        <v>15</v>
      </c>
      <c r="F1307" t="s">
        <v>24</v>
      </c>
      <c r="G1307" t="s">
        <v>32</v>
      </c>
      <c r="H1307">
        <v>1505</v>
      </c>
      <c r="I1307">
        <v>19</v>
      </c>
      <c r="J1307" s="6">
        <f t="shared" si="89"/>
        <v>28.594999999999999</v>
      </c>
      <c r="K1307" t="s">
        <v>391</v>
      </c>
    </row>
    <row r="1308" spans="3:11" outlineLevel="2" x14ac:dyDescent="0.3">
      <c r="C1308" s="9">
        <v>45055</v>
      </c>
      <c r="D1308" t="s">
        <v>17</v>
      </c>
      <c r="E1308" t="s">
        <v>15</v>
      </c>
      <c r="F1308" t="s">
        <v>24</v>
      </c>
      <c r="G1308" t="s">
        <v>42</v>
      </c>
      <c r="H1308">
        <v>3205</v>
      </c>
      <c r="I1308">
        <v>27</v>
      </c>
      <c r="J1308" s="6">
        <f t="shared" si="89"/>
        <v>86.534999999999997</v>
      </c>
      <c r="K1308" t="s">
        <v>391</v>
      </c>
    </row>
    <row r="1309" spans="3:11" outlineLevel="2" x14ac:dyDescent="0.3">
      <c r="C1309" s="9">
        <v>45055</v>
      </c>
      <c r="D1309" t="s">
        <v>12</v>
      </c>
      <c r="E1309" t="s">
        <v>33</v>
      </c>
      <c r="F1309" t="s">
        <v>24</v>
      </c>
      <c r="G1309" t="s">
        <v>42</v>
      </c>
      <c r="H1309">
        <v>3205</v>
      </c>
      <c r="I1309">
        <v>81</v>
      </c>
      <c r="J1309" s="6">
        <f t="shared" si="89"/>
        <v>259.60500000000002</v>
      </c>
      <c r="K1309" t="s">
        <v>391</v>
      </c>
    </row>
    <row r="1310" spans="3:11" outlineLevel="2" x14ac:dyDescent="0.3">
      <c r="C1310" s="9">
        <v>45055</v>
      </c>
      <c r="D1310" t="s">
        <v>45</v>
      </c>
      <c r="E1310" t="s">
        <v>35</v>
      </c>
      <c r="F1310" t="s">
        <v>10</v>
      </c>
      <c r="G1310" t="s">
        <v>23</v>
      </c>
      <c r="H1310">
        <v>640</v>
      </c>
      <c r="I1310">
        <v>85</v>
      </c>
      <c r="J1310" s="6">
        <f t="shared" si="89"/>
        <v>54.4</v>
      </c>
      <c r="K1310" t="s">
        <v>391</v>
      </c>
    </row>
    <row r="1311" spans="3:11" outlineLevel="2" x14ac:dyDescent="0.3">
      <c r="C1311" s="9">
        <v>45055</v>
      </c>
      <c r="D1311" t="s">
        <v>17</v>
      </c>
      <c r="E1311" t="s">
        <v>35</v>
      </c>
      <c r="F1311" t="s">
        <v>13</v>
      </c>
      <c r="G1311" t="s">
        <v>43</v>
      </c>
      <c r="H1311">
        <v>1420</v>
      </c>
      <c r="I1311">
        <v>14</v>
      </c>
      <c r="J1311" s="6">
        <f t="shared" si="89"/>
        <v>19.88</v>
      </c>
      <c r="K1311" t="s">
        <v>391</v>
      </c>
    </row>
    <row r="1312" spans="3:11" outlineLevel="1" x14ac:dyDescent="0.3">
      <c r="C1312" s="13" t="s">
        <v>143</v>
      </c>
      <c r="J1312" s="6">
        <f>SUBTOTAL(9,J1303:J1311)</f>
        <v>963.17</v>
      </c>
      <c r="K1312" t="s">
        <v>391</v>
      </c>
    </row>
    <row r="1313" spans="3:11" outlineLevel="2" x14ac:dyDescent="0.3">
      <c r="C1313" s="10">
        <v>45056</v>
      </c>
      <c r="D1313" s="11" t="s">
        <v>45</v>
      </c>
      <c r="E1313" s="11" t="s">
        <v>20</v>
      </c>
      <c r="F1313" s="11" t="s">
        <v>24</v>
      </c>
      <c r="G1313" s="11" t="s">
        <v>42</v>
      </c>
      <c r="H1313" s="11">
        <v>3205</v>
      </c>
      <c r="I1313" s="11">
        <v>43</v>
      </c>
      <c r="J1313" s="6">
        <f>H1313*I1313/1000</f>
        <v>137.815</v>
      </c>
      <c r="K1313" t="s">
        <v>391</v>
      </c>
    </row>
    <row r="1314" spans="3:11" outlineLevel="2" x14ac:dyDescent="0.3">
      <c r="C1314" s="9">
        <v>45056</v>
      </c>
      <c r="D1314" t="s">
        <v>12</v>
      </c>
      <c r="E1314" t="s">
        <v>33</v>
      </c>
      <c r="F1314" t="s">
        <v>10</v>
      </c>
      <c r="G1314" t="s">
        <v>39</v>
      </c>
      <c r="H1314">
        <v>650</v>
      </c>
      <c r="I1314">
        <v>31</v>
      </c>
      <c r="J1314" s="6">
        <f>H1314*I1314/1000</f>
        <v>20.149999999999999</v>
      </c>
      <c r="K1314" t="s">
        <v>391</v>
      </c>
    </row>
    <row r="1315" spans="3:11" outlineLevel="2" x14ac:dyDescent="0.3">
      <c r="C1315" s="9">
        <v>45056</v>
      </c>
      <c r="D1315" t="s">
        <v>12</v>
      </c>
      <c r="E1315" t="s">
        <v>33</v>
      </c>
      <c r="F1315" t="s">
        <v>18</v>
      </c>
      <c r="G1315" t="s">
        <v>28</v>
      </c>
      <c r="H1315">
        <v>690</v>
      </c>
      <c r="I1315">
        <v>82</v>
      </c>
      <c r="J1315" s="6">
        <f>H1315*I1315/1000</f>
        <v>56.58</v>
      </c>
      <c r="K1315" t="s">
        <v>391</v>
      </c>
    </row>
    <row r="1316" spans="3:11" outlineLevel="2" x14ac:dyDescent="0.3">
      <c r="C1316" s="9">
        <v>45056</v>
      </c>
      <c r="D1316" t="s">
        <v>8</v>
      </c>
      <c r="E1316" t="s">
        <v>33</v>
      </c>
      <c r="F1316" t="s">
        <v>13</v>
      </c>
      <c r="G1316" t="s">
        <v>29</v>
      </c>
      <c r="H1316">
        <v>1230</v>
      </c>
      <c r="I1316">
        <v>84</v>
      </c>
      <c r="J1316" s="6">
        <f>H1316*I1316/1000</f>
        <v>103.32</v>
      </c>
      <c r="K1316" t="s">
        <v>391</v>
      </c>
    </row>
    <row r="1317" spans="3:11" outlineLevel="2" x14ac:dyDescent="0.3">
      <c r="C1317" s="9">
        <v>45056</v>
      </c>
      <c r="D1317" t="s">
        <v>12</v>
      </c>
      <c r="E1317" t="s">
        <v>35</v>
      </c>
      <c r="F1317" t="s">
        <v>10</v>
      </c>
      <c r="G1317" t="s">
        <v>41</v>
      </c>
      <c r="H1317">
        <v>650</v>
      </c>
      <c r="I1317">
        <v>89</v>
      </c>
      <c r="J1317" s="6">
        <f>H1317*I1317/1000</f>
        <v>57.85</v>
      </c>
      <c r="K1317" t="s">
        <v>391</v>
      </c>
    </row>
    <row r="1318" spans="3:11" outlineLevel="1" x14ac:dyDescent="0.3">
      <c r="C1318" s="13" t="s">
        <v>144</v>
      </c>
      <c r="J1318" s="6">
        <f>SUBTOTAL(9,J1313:J1317)</f>
        <v>375.71500000000003</v>
      </c>
      <c r="K1318" t="s">
        <v>391</v>
      </c>
    </row>
    <row r="1319" spans="3:11" outlineLevel="2" x14ac:dyDescent="0.3">
      <c r="C1319" s="9">
        <v>45057</v>
      </c>
      <c r="D1319" t="s">
        <v>12</v>
      </c>
      <c r="E1319" t="s">
        <v>20</v>
      </c>
      <c r="F1319" t="s">
        <v>18</v>
      </c>
      <c r="G1319" t="s">
        <v>28</v>
      </c>
      <c r="H1319">
        <v>690</v>
      </c>
      <c r="I1319">
        <v>15</v>
      </c>
      <c r="J1319" s="6">
        <f t="shared" ref="J1319:J1324" si="90">H1319*I1319/1000</f>
        <v>10.35</v>
      </c>
      <c r="K1319" t="s">
        <v>391</v>
      </c>
    </row>
    <row r="1320" spans="3:11" outlineLevel="2" x14ac:dyDescent="0.3">
      <c r="C1320" s="10">
        <v>45057</v>
      </c>
      <c r="D1320" s="11" t="s">
        <v>12</v>
      </c>
      <c r="E1320" s="11" t="s">
        <v>20</v>
      </c>
      <c r="F1320" s="11" t="s">
        <v>13</v>
      </c>
      <c r="G1320" s="11" t="s">
        <v>14</v>
      </c>
      <c r="H1320" s="11">
        <v>1320</v>
      </c>
      <c r="I1320" s="11">
        <v>17</v>
      </c>
      <c r="J1320" s="6">
        <f t="shared" si="90"/>
        <v>22.44</v>
      </c>
      <c r="K1320" t="s">
        <v>391</v>
      </c>
    </row>
    <row r="1321" spans="3:11" outlineLevel="2" x14ac:dyDescent="0.3">
      <c r="C1321" s="9">
        <v>45057</v>
      </c>
      <c r="D1321" t="s">
        <v>12</v>
      </c>
      <c r="E1321" t="s">
        <v>9</v>
      </c>
      <c r="F1321" t="s">
        <v>13</v>
      </c>
      <c r="G1321" t="s">
        <v>43</v>
      </c>
      <c r="H1321">
        <v>1420</v>
      </c>
      <c r="I1321">
        <v>19</v>
      </c>
      <c r="J1321" s="6">
        <f t="shared" si="90"/>
        <v>26.98</v>
      </c>
      <c r="K1321" t="s">
        <v>391</v>
      </c>
    </row>
    <row r="1322" spans="3:11" outlineLevel="2" x14ac:dyDescent="0.3">
      <c r="C1322" s="9">
        <v>45057</v>
      </c>
      <c r="D1322" t="s">
        <v>8</v>
      </c>
      <c r="E1322" t="s">
        <v>35</v>
      </c>
      <c r="F1322" t="s">
        <v>18</v>
      </c>
      <c r="G1322" t="s">
        <v>21</v>
      </c>
      <c r="H1322">
        <v>450</v>
      </c>
      <c r="I1322">
        <v>56</v>
      </c>
      <c r="J1322" s="6">
        <f t="shared" si="90"/>
        <v>25.2</v>
      </c>
      <c r="K1322" t="s">
        <v>391</v>
      </c>
    </row>
    <row r="1323" spans="3:11" outlineLevel="2" x14ac:dyDescent="0.3">
      <c r="C1323" s="9">
        <v>45057</v>
      </c>
      <c r="D1323" t="s">
        <v>45</v>
      </c>
      <c r="E1323" t="s">
        <v>35</v>
      </c>
      <c r="F1323" t="s">
        <v>13</v>
      </c>
      <c r="G1323" t="s">
        <v>38</v>
      </c>
      <c r="H1323">
        <v>2400</v>
      </c>
      <c r="I1323">
        <v>95</v>
      </c>
      <c r="J1323" s="6">
        <f t="shared" si="90"/>
        <v>228</v>
      </c>
      <c r="K1323" t="s">
        <v>391</v>
      </c>
    </row>
    <row r="1324" spans="3:11" outlineLevel="2" x14ac:dyDescent="0.3">
      <c r="C1324" s="9">
        <v>45057</v>
      </c>
      <c r="D1324" t="s">
        <v>17</v>
      </c>
      <c r="E1324" t="s">
        <v>35</v>
      </c>
      <c r="F1324" t="s">
        <v>24</v>
      </c>
      <c r="G1324" t="s">
        <v>42</v>
      </c>
      <c r="H1324">
        <v>3205</v>
      </c>
      <c r="I1324">
        <v>45</v>
      </c>
      <c r="J1324" s="6">
        <f t="shared" si="90"/>
        <v>144.22499999999999</v>
      </c>
      <c r="K1324" t="s">
        <v>391</v>
      </c>
    </row>
    <row r="1325" spans="3:11" outlineLevel="1" x14ac:dyDescent="0.3">
      <c r="C1325" s="13" t="s">
        <v>145</v>
      </c>
      <c r="J1325" s="6">
        <f>SUBTOTAL(9,J1319:J1324)</f>
        <v>457.19500000000005</v>
      </c>
      <c r="K1325" t="s">
        <v>391</v>
      </c>
    </row>
    <row r="1326" spans="3:11" outlineLevel="2" x14ac:dyDescent="0.3">
      <c r="C1326" s="9">
        <v>45058</v>
      </c>
      <c r="D1326" t="s">
        <v>12</v>
      </c>
      <c r="E1326" t="s">
        <v>20</v>
      </c>
      <c r="F1326" t="s">
        <v>24</v>
      </c>
      <c r="G1326" t="s">
        <v>42</v>
      </c>
      <c r="H1326">
        <v>3205</v>
      </c>
      <c r="I1326">
        <v>43</v>
      </c>
      <c r="J1326" s="6">
        <f t="shared" ref="J1326:J1331" si="91">H1326*I1326/1000</f>
        <v>137.815</v>
      </c>
      <c r="K1326" t="s">
        <v>391</v>
      </c>
    </row>
    <row r="1327" spans="3:11" outlineLevel="2" x14ac:dyDescent="0.3">
      <c r="C1327" s="9">
        <v>45058</v>
      </c>
      <c r="D1327" t="s">
        <v>45</v>
      </c>
      <c r="E1327" t="s">
        <v>9</v>
      </c>
      <c r="F1327" t="s">
        <v>10</v>
      </c>
      <c r="G1327" t="s">
        <v>40</v>
      </c>
      <c r="H1327">
        <v>540</v>
      </c>
      <c r="I1327">
        <v>93</v>
      </c>
      <c r="J1327" s="6">
        <f t="shared" si="91"/>
        <v>50.22</v>
      </c>
      <c r="K1327" t="s">
        <v>391</v>
      </c>
    </row>
    <row r="1328" spans="3:11" outlineLevel="2" x14ac:dyDescent="0.3">
      <c r="C1328" s="9">
        <v>45058</v>
      </c>
      <c r="D1328" t="s">
        <v>8</v>
      </c>
      <c r="E1328" t="s">
        <v>26</v>
      </c>
      <c r="F1328" t="s">
        <v>18</v>
      </c>
      <c r="G1328" t="s">
        <v>27</v>
      </c>
      <c r="H1328">
        <v>460</v>
      </c>
      <c r="I1328">
        <v>20</v>
      </c>
      <c r="J1328" s="6">
        <f t="shared" si="91"/>
        <v>9.1999999999999993</v>
      </c>
      <c r="K1328" t="s">
        <v>391</v>
      </c>
    </row>
    <row r="1329" spans="3:11" outlineLevel="2" x14ac:dyDescent="0.3">
      <c r="C1329" s="9">
        <v>45058</v>
      </c>
      <c r="D1329" t="s">
        <v>12</v>
      </c>
      <c r="E1329" t="s">
        <v>15</v>
      </c>
      <c r="F1329" t="s">
        <v>18</v>
      </c>
      <c r="G1329" t="s">
        <v>21</v>
      </c>
      <c r="H1329">
        <v>450</v>
      </c>
      <c r="I1329">
        <v>29</v>
      </c>
      <c r="J1329" s="6">
        <f t="shared" si="91"/>
        <v>13.05</v>
      </c>
      <c r="K1329" t="s">
        <v>391</v>
      </c>
    </row>
    <row r="1330" spans="3:11" outlineLevel="2" x14ac:dyDescent="0.3">
      <c r="C1330" s="9">
        <v>45058</v>
      </c>
      <c r="D1330" t="s">
        <v>12</v>
      </c>
      <c r="E1330" t="s">
        <v>33</v>
      </c>
      <c r="F1330" t="s">
        <v>10</v>
      </c>
      <c r="G1330" t="s">
        <v>16</v>
      </c>
      <c r="H1330">
        <v>1380</v>
      </c>
      <c r="I1330">
        <v>32</v>
      </c>
      <c r="J1330" s="6">
        <f t="shared" si="91"/>
        <v>44.16</v>
      </c>
      <c r="K1330" t="s">
        <v>391</v>
      </c>
    </row>
    <row r="1331" spans="3:11" outlineLevel="2" x14ac:dyDescent="0.3">
      <c r="C1331" s="9">
        <v>45058</v>
      </c>
      <c r="D1331" t="s">
        <v>45</v>
      </c>
      <c r="E1331" t="s">
        <v>35</v>
      </c>
      <c r="F1331" t="s">
        <v>24</v>
      </c>
      <c r="G1331" t="s">
        <v>25</v>
      </c>
      <c r="H1331">
        <v>1760</v>
      </c>
      <c r="I1331">
        <v>52</v>
      </c>
      <c r="J1331" s="6">
        <f t="shared" si="91"/>
        <v>91.52</v>
      </c>
      <c r="K1331" t="s">
        <v>391</v>
      </c>
    </row>
    <row r="1332" spans="3:11" outlineLevel="1" x14ac:dyDescent="0.3">
      <c r="C1332" s="13" t="s">
        <v>146</v>
      </c>
      <c r="J1332" s="6">
        <f>SUBTOTAL(9,J1326:J1331)</f>
        <v>345.96499999999997</v>
      </c>
      <c r="K1332" t="s">
        <v>391</v>
      </c>
    </row>
    <row r="1333" spans="3:11" outlineLevel="2" x14ac:dyDescent="0.3">
      <c r="C1333" s="10">
        <v>45059</v>
      </c>
      <c r="D1333" s="11" t="s">
        <v>45</v>
      </c>
      <c r="E1333" s="11" t="s">
        <v>20</v>
      </c>
      <c r="F1333" s="11" t="s">
        <v>13</v>
      </c>
      <c r="G1333" s="11" t="s">
        <v>38</v>
      </c>
      <c r="H1333" s="11">
        <v>2400</v>
      </c>
      <c r="I1333" s="11">
        <v>90</v>
      </c>
      <c r="J1333" s="6">
        <f t="shared" ref="J1333:J1344" si="92">H1333*I1333/1000</f>
        <v>216</v>
      </c>
      <c r="K1333" t="s">
        <v>391</v>
      </c>
    </row>
    <row r="1334" spans="3:11" outlineLevel="2" x14ac:dyDescent="0.3">
      <c r="C1334" s="9">
        <v>45059</v>
      </c>
      <c r="D1334" t="s">
        <v>12</v>
      </c>
      <c r="E1334" t="s">
        <v>9</v>
      </c>
      <c r="F1334" t="s">
        <v>10</v>
      </c>
      <c r="G1334" t="s">
        <v>11</v>
      </c>
      <c r="H1334">
        <v>705</v>
      </c>
      <c r="I1334">
        <v>54</v>
      </c>
      <c r="J1334" s="6">
        <f t="shared" si="92"/>
        <v>38.07</v>
      </c>
      <c r="K1334" t="s">
        <v>391</v>
      </c>
    </row>
    <row r="1335" spans="3:11" outlineLevel="2" x14ac:dyDescent="0.3">
      <c r="C1335" s="9">
        <v>45059</v>
      </c>
      <c r="D1335" t="s">
        <v>45</v>
      </c>
      <c r="E1335" t="s">
        <v>9</v>
      </c>
      <c r="F1335" t="s">
        <v>18</v>
      </c>
      <c r="G1335" t="s">
        <v>37</v>
      </c>
      <c r="H1335">
        <v>890</v>
      </c>
      <c r="I1335">
        <v>51</v>
      </c>
      <c r="J1335" s="6">
        <f t="shared" si="92"/>
        <v>45.39</v>
      </c>
      <c r="K1335" t="s">
        <v>391</v>
      </c>
    </row>
    <row r="1336" spans="3:11" outlineLevel="2" x14ac:dyDescent="0.3">
      <c r="C1336" s="9">
        <v>45059</v>
      </c>
      <c r="D1336" t="s">
        <v>8</v>
      </c>
      <c r="E1336" t="s">
        <v>26</v>
      </c>
      <c r="F1336" t="s">
        <v>18</v>
      </c>
      <c r="G1336" t="s">
        <v>31</v>
      </c>
      <c r="H1336">
        <v>715</v>
      </c>
      <c r="I1336">
        <v>39</v>
      </c>
      <c r="J1336" s="6">
        <f t="shared" si="92"/>
        <v>27.885000000000002</v>
      </c>
      <c r="K1336" t="s">
        <v>391</v>
      </c>
    </row>
    <row r="1337" spans="3:11" outlineLevel="2" x14ac:dyDescent="0.3">
      <c r="C1337" s="9">
        <v>45059</v>
      </c>
      <c r="D1337" t="s">
        <v>8</v>
      </c>
      <c r="E1337" t="s">
        <v>15</v>
      </c>
      <c r="F1337" t="s">
        <v>10</v>
      </c>
      <c r="G1337" t="s">
        <v>23</v>
      </c>
      <c r="H1337">
        <v>640</v>
      </c>
      <c r="I1337">
        <v>82</v>
      </c>
      <c r="J1337" s="6">
        <f t="shared" si="92"/>
        <v>52.48</v>
      </c>
      <c r="K1337" t="s">
        <v>391</v>
      </c>
    </row>
    <row r="1338" spans="3:11" outlineLevel="2" x14ac:dyDescent="0.3">
      <c r="C1338" s="9">
        <v>45059</v>
      </c>
      <c r="D1338" t="s">
        <v>17</v>
      </c>
      <c r="E1338" t="s">
        <v>15</v>
      </c>
      <c r="F1338" t="s">
        <v>10</v>
      </c>
      <c r="G1338" t="s">
        <v>16</v>
      </c>
      <c r="H1338">
        <v>1380</v>
      </c>
      <c r="I1338">
        <v>41</v>
      </c>
      <c r="J1338" s="6">
        <f t="shared" si="92"/>
        <v>56.58</v>
      </c>
      <c r="K1338" t="s">
        <v>391</v>
      </c>
    </row>
    <row r="1339" spans="3:11" outlineLevel="2" x14ac:dyDescent="0.3">
      <c r="C1339" s="9">
        <v>45059</v>
      </c>
      <c r="D1339" t="s">
        <v>17</v>
      </c>
      <c r="E1339" t="s">
        <v>15</v>
      </c>
      <c r="F1339" t="s">
        <v>10</v>
      </c>
      <c r="G1339" t="s">
        <v>23</v>
      </c>
      <c r="H1339">
        <v>640</v>
      </c>
      <c r="I1339">
        <v>42</v>
      </c>
      <c r="J1339" s="6">
        <f t="shared" si="92"/>
        <v>26.88</v>
      </c>
      <c r="K1339" t="s">
        <v>391</v>
      </c>
    </row>
    <row r="1340" spans="3:11" outlineLevel="2" x14ac:dyDescent="0.3">
      <c r="C1340" s="9">
        <v>45059</v>
      </c>
      <c r="D1340" t="s">
        <v>17</v>
      </c>
      <c r="E1340" t="s">
        <v>15</v>
      </c>
      <c r="F1340" t="s">
        <v>13</v>
      </c>
      <c r="G1340" t="s">
        <v>44</v>
      </c>
      <c r="H1340">
        <v>2540</v>
      </c>
      <c r="I1340">
        <v>87</v>
      </c>
      <c r="J1340" s="6">
        <f t="shared" si="92"/>
        <v>220.98</v>
      </c>
      <c r="K1340" t="s">
        <v>391</v>
      </c>
    </row>
    <row r="1341" spans="3:11" outlineLevel="2" x14ac:dyDescent="0.3">
      <c r="C1341" s="9">
        <v>45059</v>
      </c>
      <c r="D1341" t="s">
        <v>45</v>
      </c>
      <c r="E1341" t="s">
        <v>15</v>
      </c>
      <c r="F1341" t="s">
        <v>24</v>
      </c>
      <c r="G1341" t="s">
        <v>32</v>
      </c>
      <c r="H1341">
        <v>1505</v>
      </c>
      <c r="I1341">
        <v>46</v>
      </c>
      <c r="J1341" s="6">
        <f t="shared" si="92"/>
        <v>69.23</v>
      </c>
      <c r="K1341" t="s">
        <v>391</v>
      </c>
    </row>
    <row r="1342" spans="3:11" outlineLevel="2" x14ac:dyDescent="0.3">
      <c r="C1342" s="9">
        <v>45059</v>
      </c>
      <c r="D1342" t="s">
        <v>45</v>
      </c>
      <c r="E1342" t="s">
        <v>33</v>
      </c>
      <c r="F1342" t="s">
        <v>13</v>
      </c>
      <c r="G1342" t="s">
        <v>43</v>
      </c>
      <c r="H1342">
        <v>1420</v>
      </c>
      <c r="I1342">
        <v>40</v>
      </c>
      <c r="J1342" s="6">
        <f t="shared" si="92"/>
        <v>56.8</v>
      </c>
      <c r="K1342" t="s">
        <v>391</v>
      </c>
    </row>
    <row r="1343" spans="3:11" outlineLevel="2" x14ac:dyDescent="0.3">
      <c r="C1343" s="9">
        <v>45059</v>
      </c>
      <c r="D1343" t="s">
        <v>17</v>
      </c>
      <c r="E1343" t="s">
        <v>35</v>
      </c>
      <c r="F1343" t="s">
        <v>10</v>
      </c>
      <c r="G1343" t="s">
        <v>41</v>
      </c>
      <c r="H1343">
        <v>650</v>
      </c>
      <c r="I1343">
        <v>23</v>
      </c>
      <c r="J1343" s="6">
        <f t="shared" si="92"/>
        <v>14.95</v>
      </c>
      <c r="K1343" t="s">
        <v>391</v>
      </c>
    </row>
    <row r="1344" spans="3:11" outlineLevel="2" x14ac:dyDescent="0.3">
      <c r="C1344" s="9">
        <v>45059</v>
      </c>
      <c r="D1344" t="s">
        <v>8</v>
      </c>
      <c r="E1344" t="s">
        <v>35</v>
      </c>
      <c r="F1344" t="s">
        <v>18</v>
      </c>
      <c r="G1344" t="s">
        <v>28</v>
      </c>
      <c r="H1344">
        <v>690</v>
      </c>
      <c r="I1344">
        <v>66</v>
      </c>
      <c r="J1344" s="6">
        <f t="shared" si="92"/>
        <v>45.54</v>
      </c>
      <c r="K1344" t="s">
        <v>391</v>
      </c>
    </row>
    <row r="1345" spans="3:11" outlineLevel="1" x14ac:dyDescent="0.3">
      <c r="C1345" s="13" t="s">
        <v>147</v>
      </c>
      <c r="J1345" s="6">
        <f>SUBTOTAL(9,J1333:J1344)</f>
        <v>870.78499999999997</v>
      </c>
      <c r="K1345" t="s">
        <v>391</v>
      </c>
    </row>
    <row r="1346" spans="3:11" outlineLevel="2" x14ac:dyDescent="0.3">
      <c r="C1346" s="9">
        <v>45060</v>
      </c>
      <c r="D1346" t="s">
        <v>45</v>
      </c>
      <c r="E1346" t="s">
        <v>20</v>
      </c>
      <c r="F1346" t="s">
        <v>10</v>
      </c>
      <c r="G1346" t="s">
        <v>41</v>
      </c>
      <c r="H1346">
        <v>650</v>
      </c>
      <c r="I1346">
        <v>96</v>
      </c>
      <c r="J1346" s="6">
        <f t="shared" ref="J1346:J1352" si="93">H1346*I1346/1000</f>
        <v>62.4</v>
      </c>
      <c r="K1346" t="s">
        <v>391</v>
      </c>
    </row>
    <row r="1347" spans="3:11" outlineLevel="2" x14ac:dyDescent="0.3">
      <c r="C1347" s="9">
        <v>45060</v>
      </c>
      <c r="D1347" t="s">
        <v>8</v>
      </c>
      <c r="E1347" t="s">
        <v>9</v>
      </c>
      <c r="F1347" t="s">
        <v>10</v>
      </c>
      <c r="G1347" t="s">
        <v>41</v>
      </c>
      <c r="H1347">
        <v>650</v>
      </c>
      <c r="I1347">
        <v>32</v>
      </c>
      <c r="J1347" s="6">
        <f t="shared" si="93"/>
        <v>20.8</v>
      </c>
      <c r="K1347" t="s">
        <v>391</v>
      </c>
    </row>
    <row r="1348" spans="3:11" outlineLevel="2" x14ac:dyDescent="0.3">
      <c r="C1348" s="9">
        <v>45060</v>
      </c>
      <c r="D1348" t="s">
        <v>8</v>
      </c>
      <c r="E1348" t="s">
        <v>26</v>
      </c>
      <c r="F1348" t="s">
        <v>18</v>
      </c>
      <c r="G1348" t="s">
        <v>37</v>
      </c>
      <c r="H1348">
        <v>890</v>
      </c>
      <c r="I1348">
        <v>38</v>
      </c>
      <c r="J1348" s="6">
        <f t="shared" si="93"/>
        <v>33.82</v>
      </c>
      <c r="K1348" t="s">
        <v>391</v>
      </c>
    </row>
    <row r="1349" spans="3:11" outlineLevel="2" x14ac:dyDescent="0.3">
      <c r="C1349" s="9">
        <v>45060</v>
      </c>
      <c r="D1349" t="s">
        <v>45</v>
      </c>
      <c r="E1349" t="s">
        <v>15</v>
      </c>
      <c r="F1349" t="s">
        <v>10</v>
      </c>
      <c r="G1349" t="s">
        <v>40</v>
      </c>
      <c r="H1349">
        <v>540</v>
      </c>
      <c r="I1349">
        <v>73</v>
      </c>
      <c r="J1349" s="6">
        <f t="shared" si="93"/>
        <v>39.42</v>
      </c>
      <c r="K1349" t="s">
        <v>391</v>
      </c>
    </row>
    <row r="1350" spans="3:11" outlineLevel="2" x14ac:dyDescent="0.3">
      <c r="C1350" s="9">
        <v>45060</v>
      </c>
      <c r="D1350" t="s">
        <v>8</v>
      </c>
      <c r="E1350" t="s">
        <v>33</v>
      </c>
      <c r="F1350" t="s">
        <v>10</v>
      </c>
      <c r="G1350" t="s">
        <v>40</v>
      </c>
      <c r="H1350">
        <v>540</v>
      </c>
      <c r="I1350">
        <v>81</v>
      </c>
      <c r="J1350" s="6">
        <f t="shared" si="93"/>
        <v>43.74</v>
      </c>
      <c r="K1350" t="s">
        <v>391</v>
      </c>
    </row>
    <row r="1351" spans="3:11" outlineLevel="2" x14ac:dyDescent="0.3">
      <c r="C1351" s="9">
        <v>45060</v>
      </c>
      <c r="D1351" t="s">
        <v>12</v>
      </c>
      <c r="E1351" t="s">
        <v>33</v>
      </c>
      <c r="F1351" t="s">
        <v>10</v>
      </c>
      <c r="G1351" t="s">
        <v>40</v>
      </c>
      <c r="H1351">
        <v>540</v>
      </c>
      <c r="I1351">
        <v>36</v>
      </c>
      <c r="J1351" s="6">
        <f t="shared" si="93"/>
        <v>19.440000000000001</v>
      </c>
      <c r="K1351" t="s">
        <v>391</v>
      </c>
    </row>
    <row r="1352" spans="3:11" outlineLevel="2" x14ac:dyDescent="0.3">
      <c r="C1352" s="9">
        <v>45060</v>
      </c>
      <c r="D1352" t="s">
        <v>12</v>
      </c>
      <c r="E1352" t="s">
        <v>33</v>
      </c>
      <c r="F1352" t="s">
        <v>13</v>
      </c>
      <c r="G1352" t="s">
        <v>38</v>
      </c>
      <c r="H1352">
        <v>2400</v>
      </c>
      <c r="I1352">
        <v>22</v>
      </c>
      <c r="J1352" s="6">
        <f t="shared" si="93"/>
        <v>52.8</v>
      </c>
      <c r="K1352" t="s">
        <v>391</v>
      </c>
    </row>
    <row r="1353" spans="3:11" outlineLevel="1" x14ac:dyDescent="0.3">
      <c r="C1353" s="13" t="s">
        <v>148</v>
      </c>
      <c r="J1353" s="6">
        <f>SUBTOTAL(9,J1346:J1352)</f>
        <v>272.42</v>
      </c>
      <c r="K1353" t="s">
        <v>391</v>
      </c>
    </row>
    <row r="1354" spans="3:11" outlineLevel="2" x14ac:dyDescent="0.3">
      <c r="C1354" s="10">
        <v>45061</v>
      </c>
      <c r="D1354" s="11" t="s">
        <v>8</v>
      </c>
      <c r="E1354" s="11" t="s">
        <v>20</v>
      </c>
      <c r="F1354" s="11" t="s">
        <v>18</v>
      </c>
      <c r="G1354" s="11" t="s">
        <v>37</v>
      </c>
      <c r="H1354" s="11">
        <v>890</v>
      </c>
      <c r="I1354" s="11">
        <v>50</v>
      </c>
      <c r="J1354" s="6">
        <f t="shared" ref="J1354:J1361" si="94">H1354*I1354/1000</f>
        <v>44.5</v>
      </c>
      <c r="K1354" t="s">
        <v>391</v>
      </c>
    </row>
    <row r="1355" spans="3:11" outlineLevel="2" x14ac:dyDescent="0.3">
      <c r="C1355" s="9">
        <v>45061</v>
      </c>
      <c r="D1355" t="s">
        <v>17</v>
      </c>
      <c r="E1355" t="s">
        <v>20</v>
      </c>
      <c r="F1355" t="s">
        <v>13</v>
      </c>
      <c r="G1355" t="s">
        <v>14</v>
      </c>
      <c r="H1355">
        <v>1320</v>
      </c>
      <c r="I1355">
        <v>91</v>
      </c>
      <c r="J1355" s="6">
        <f t="shared" si="94"/>
        <v>120.12</v>
      </c>
      <c r="K1355" t="s">
        <v>391</v>
      </c>
    </row>
    <row r="1356" spans="3:11" outlineLevel="2" x14ac:dyDescent="0.3">
      <c r="C1356" s="9">
        <v>45061</v>
      </c>
      <c r="D1356" t="s">
        <v>45</v>
      </c>
      <c r="E1356" t="s">
        <v>9</v>
      </c>
      <c r="F1356" t="s">
        <v>13</v>
      </c>
      <c r="G1356" t="s">
        <v>29</v>
      </c>
      <c r="H1356">
        <v>1230</v>
      </c>
      <c r="I1356">
        <v>20</v>
      </c>
      <c r="J1356" s="6">
        <f t="shared" si="94"/>
        <v>24.6</v>
      </c>
      <c r="K1356" t="s">
        <v>391</v>
      </c>
    </row>
    <row r="1357" spans="3:11" outlineLevel="2" x14ac:dyDescent="0.3">
      <c r="C1357" s="9">
        <v>45061</v>
      </c>
      <c r="D1357" t="s">
        <v>8</v>
      </c>
      <c r="E1357" t="s">
        <v>9</v>
      </c>
      <c r="F1357" t="s">
        <v>24</v>
      </c>
      <c r="G1357" t="s">
        <v>25</v>
      </c>
      <c r="H1357">
        <v>1760</v>
      </c>
      <c r="I1357">
        <v>44</v>
      </c>
      <c r="J1357" s="6">
        <f t="shared" si="94"/>
        <v>77.44</v>
      </c>
      <c r="K1357" t="s">
        <v>391</v>
      </c>
    </row>
    <row r="1358" spans="3:11" outlineLevel="2" x14ac:dyDescent="0.3">
      <c r="C1358" s="9">
        <v>45061</v>
      </c>
      <c r="D1358" t="s">
        <v>8</v>
      </c>
      <c r="E1358" t="s">
        <v>26</v>
      </c>
      <c r="F1358" t="s">
        <v>18</v>
      </c>
      <c r="G1358" t="s">
        <v>31</v>
      </c>
      <c r="H1358">
        <v>715</v>
      </c>
      <c r="I1358">
        <v>31</v>
      </c>
      <c r="J1358" s="6">
        <f t="shared" si="94"/>
        <v>22.164999999999999</v>
      </c>
      <c r="K1358" t="s">
        <v>391</v>
      </c>
    </row>
    <row r="1359" spans="3:11" outlineLevel="2" x14ac:dyDescent="0.3">
      <c r="C1359" s="9">
        <v>45061</v>
      </c>
      <c r="D1359" t="s">
        <v>17</v>
      </c>
      <c r="E1359" t="s">
        <v>26</v>
      </c>
      <c r="F1359" t="s">
        <v>24</v>
      </c>
      <c r="G1359" t="s">
        <v>34</v>
      </c>
      <c r="H1359">
        <v>1670</v>
      </c>
      <c r="I1359">
        <v>69</v>
      </c>
      <c r="J1359" s="6">
        <f t="shared" si="94"/>
        <v>115.23</v>
      </c>
      <c r="K1359" t="s">
        <v>391</v>
      </c>
    </row>
    <row r="1360" spans="3:11" outlineLevel="2" x14ac:dyDescent="0.3">
      <c r="C1360" s="9">
        <v>45061</v>
      </c>
      <c r="D1360" t="s">
        <v>45</v>
      </c>
      <c r="E1360" t="s">
        <v>15</v>
      </c>
      <c r="F1360" t="s">
        <v>18</v>
      </c>
      <c r="G1360" t="s">
        <v>37</v>
      </c>
      <c r="H1360">
        <v>890</v>
      </c>
      <c r="I1360">
        <v>46</v>
      </c>
      <c r="J1360" s="6">
        <f t="shared" si="94"/>
        <v>40.94</v>
      </c>
      <c r="K1360" t="s">
        <v>391</v>
      </c>
    </row>
    <row r="1361" spans="3:11" outlineLevel="2" x14ac:dyDescent="0.3">
      <c r="C1361" s="9">
        <v>45061</v>
      </c>
      <c r="D1361" t="s">
        <v>45</v>
      </c>
      <c r="E1361" t="s">
        <v>33</v>
      </c>
      <c r="F1361" t="s">
        <v>24</v>
      </c>
      <c r="G1361" t="s">
        <v>34</v>
      </c>
      <c r="H1361">
        <v>1670</v>
      </c>
      <c r="I1361">
        <v>18</v>
      </c>
      <c r="J1361" s="6">
        <f t="shared" si="94"/>
        <v>30.06</v>
      </c>
      <c r="K1361" t="s">
        <v>391</v>
      </c>
    </row>
    <row r="1362" spans="3:11" outlineLevel="1" x14ac:dyDescent="0.3">
      <c r="C1362" s="13" t="s">
        <v>149</v>
      </c>
      <c r="J1362" s="6">
        <f>SUBTOTAL(9,J1354:J1361)</f>
        <v>475.05500000000001</v>
      </c>
      <c r="K1362" t="s">
        <v>391</v>
      </c>
    </row>
    <row r="1363" spans="3:11" outlineLevel="2" x14ac:dyDescent="0.3">
      <c r="C1363" s="10">
        <v>45062</v>
      </c>
      <c r="D1363" s="11" t="s">
        <v>45</v>
      </c>
      <c r="E1363" s="11" t="s">
        <v>20</v>
      </c>
      <c r="F1363" s="11" t="s">
        <v>10</v>
      </c>
      <c r="G1363" s="11" t="s">
        <v>16</v>
      </c>
      <c r="H1363" s="11">
        <v>1380</v>
      </c>
      <c r="I1363" s="11">
        <v>43</v>
      </c>
      <c r="J1363" s="6">
        <f t="shared" ref="J1363:J1372" si="95">H1363*I1363/1000</f>
        <v>59.34</v>
      </c>
      <c r="K1363" t="s">
        <v>391</v>
      </c>
    </row>
    <row r="1364" spans="3:11" outlineLevel="2" x14ac:dyDescent="0.3">
      <c r="C1364" s="9">
        <v>45062</v>
      </c>
      <c r="D1364" t="s">
        <v>17</v>
      </c>
      <c r="E1364" t="s">
        <v>20</v>
      </c>
      <c r="F1364" t="s">
        <v>13</v>
      </c>
      <c r="G1364" t="s">
        <v>44</v>
      </c>
      <c r="H1364">
        <v>2540</v>
      </c>
      <c r="I1364">
        <v>21</v>
      </c>
      <c r="J1364" s="6">
        <f t="shared" si="95"/>
        <v>53.34</v>
      </c>
      <c r="K1364" t="s">
        <v>391</v>
      </c>
    </row>
    <row r="1365" spans="3:11" outlineLevel="2" x14ac:dyDescent="0.3">
      <c r="C1365" s="10">
        <v>45062</v>
      </c>
      <c r="D1365" s="11" t="s">
        <v>17</v>
      </c>
      <c r="E1365" s="11" t="s">
        <v>20</v>
      </c>
      <c r="F1365" s="11" t="s">
        <v>24</v>
      </c>
      <c r="G1365" s="11" t="s">
        <v>36</v>
      </c>
      <c r="H1365" s="11">
        <v>2460</v>
      </c>
      <c r="I1365" s="11">
        <v>72</v>
      </c>
      <c r="J1365" s="6">
        <f t="shared" si="95"/>
        <v>177.12</v>
      </c>
      <c r="K1365" t="s">
        <v>391</v>
      </c>
    </row>
    <row r="1366" spans="3:11" outlineLevel="2" x14ac:dyDescent="0.3">
      <c r="C1366" s="9">
        <v>45062</v>
      </c>
      <c r="D1366" t="s">
        <v>12</v>
      </c>
      <c r="E1366" t="s">
        <v>9</v>
      </c>
      <c r="F1366" t="s">
        <v>10</v>
      </c>
      <c r="G1366" t="s">
        <v>16</v>
      </c>
      <c r="H1366">
        <v>1380</v>
      </c>
      <c r="I1366">
        <v>79</v>
      </c>
      <c r="J1366" s="6">
        <f t="shared" si="95"/>
        <v>109.02</v>
      </c>
      <c r="K1366" t="s">
        <v>391</v>
      </c>
    </row>
    <row r="1367" spans="3:11" outlineLevel="2" x14ac:dyDescent="0.3">
      <c r="C1367" s="9">
        <v>45062</v>
      </c>
      <c r="D1367" t="s">
        <v>45</v>
      </c>
      <c r="E1367" t="s">
        <v>9</v>
      </c>
      <c r="F1367" t="s">
        <v>10</v>
      </c>
      <c r="G1367" t="s">
        <v>11</v>
      </c>
      <c r="H1367">
        <v>705</v>
      </c>
      <c r="I1367">
        <v>74</v>
      </c>
      <c r="J1367" s="6">
        <f t="shared" si="95"/>
        <v>52.17</v>
      </c>
      <c r="K1367" t="s">
        <v>391</v>
      </c>
    </row>
    <row r="1368" spans="3:11" outlineLevel="2" x14ac:dyDescent="0.3">
      <c r="C1368" s="9">
        <v>45062</v>
      </c>
      <c r="D1368" t="s">
        <v>8</v>
      </c>
      <c r="E1368" t="s">
        <v>26</v>
      </c>
      <c r="F1368" t="s">
        <v>10</v>
      </c>
      <c r="G1368" t="s">
        <v>23</v>
      </c>
      <c r="H1368">
        <v>640</v>
      </c>
      <c r="I1368">
        <v>98</v>
      </c>
      <c r="J1368" s="6">
        <f t="shared" si="95"/>
        <v>62.72</v>
      </c>
      <c r="K1368" t="s">
        <v>391</v>
      </c>
    </row>
    <row r="1369" spans="3:11" outlineLevel="2" x14ac:dyDescent="0.3">
      <c r="C1369" s="9">
        <v>45062</v>
      </c>
      <c r="D1369" t="s">
        <v>8</v>
      </c>
      <c r="E1369" t="s">
        <v>15</v>
      </c>
      <c r="F1369" t="s">
        <v>24</v>
      </c>
      <c r="G1369" t="s">
        <v>42</v>
      </c>
      <c r="H1369">
        <v>3205</v>
      </c>
      <c r="I1369">
        <v>38</v>
      </c>
      <c r="J1369" s="6">
        <f t="shared" si="95"/>
        <v>121.79</v>
      </c>
      <c r="K1369" t="s">
        <v>391</v>
      </c>
    </row>
    <row r="1370" spans="3:11" outlineLevel="2" x14ac:dyDescent="0.3">
      <c r="C1370" s="9">
        <v>45062</v>
      </c>
      <c r="D1370" t="s">
        <v>45</v>
      </c>
      <c r="E1370" t="s">
        <v>33</v>
      </c>
      <c r="F1370" t="s">
        <v>18</v>
      </c>
      <c r="G1370" t="s">
        <v>28</v>
      </c>
      <c r="H1370">
        <v>690</v>
      </c>
      <c r="I1370">
        <v>19</v>
      </c>
      <c r="J1370" s="6">
        <f t="shared" si="95"/>
        <v>13.11</v>
      </c>
      <c r="K1370" t="s">
        <v>391</v>
      </c>
    </row>
    <row r="1371" spans="3:11" outlineLevel="2" x14ac:dyDescent="0.3">
      <c r="C1371" s="9">
        <v>45062</v>
      </c>
      <c r="D1371" t="s">
        <v>45</v>
      </c>
      <c r="E1371" t="s">
        <v>35</v>
      </c>
      <c r="F1371" t="s">
        <v>10</v>
      </c>
      <c r="G1371" t="s">
        <v>39</v>
      </c>
      <c r="H1371">
        <v>650</v>
      </c>
      <c r="I1371">
        <v>34</v>
      </c>
      <c r="J1371" s="6">
        <f t="shared" si="95"/>
        <v>22.1</v>
      </c>
      <c r="K1371" t="s">
        <v>391</v>
      </c>
    </row>
    <row r="1372" spans="3:11" outlineLevel="2" x14ac:dyDescent="0.3">
      <c r="C1372" s="9">
        <v>45062</v>
      </c>
      <c r="D1372" t="s">
        <v>17</v>
      </c>
      <c r="E1372" t="s">
        <v>35</v>
      </c>
      <c r="F1372" t="s">
        <v>10</v>
      </c>
      <c r="G1372" t="s">
        <v>23</v>
      </c>
      <c r="H1372">
        <v>640</v>
      </c>
      <c r="I1372">
        <v>21</v>
      </c>
      <c r="J1372" s="6">
        <f t="shared" si="95"/>
        <v>13.44</v>
      </c>
      <c r="K1372" t="s">
        <v>391</v>
      </c>
    </row>
    <row r="1373" spans="3:11" outlineLevel="1" x14ac:dyDescent="0.3">
      <c r="C1373" s="13" t="s">
        <v>150</v>
      </c>
      <c r="J1373" s="6">
        <f>SUBTOTAL(9,J1363:J1372)</f>
        <v>684.15000000000009</v>
      </c>
      <c r="K1373" t="s">
        <v>391</v>
      </c>
    </row>
    <row r="1374" spans="3:11" outlineLevel="2" x14ac:dyDescent="0.3">
      <c r="C1374" s="9">
        <v>45063</v>
      </c>
      <c r="D1374" t="s">
        <v>45</v>
      </c>
      <c r="E1374" t="s">
        <v>20</v>
      </c>
      <c r="F1374" t="s">
        <v>10</v>
      </c>
      <c r="G1374" t="s">
        <v>39</v>
      </c>
      <c r="H1374">
        <v>650</v>
      </c>
      <c r="I1374">
        <v>27</v>
      </c>
      <c r="J1374" s="6">
        <f t="shared" ref="J1374:J1383" si="96">H1374*I1374/1000</f>
        <v>17.55</v>
      </c>
      <c r="K1374" t="s">
        <v>391</v>
      </c>
    </row>
    <row r="1375" spans="3:11" outlineLevel="2" x14ac:dyDescent="0.3">
      <c r="C1375" s="10">
        <v>45063</v>
      </c>
      <c r="D1375" s="11" t="s">
        <v>17</v>
      </c>
      <c r="E1375" s="11" t="s">
        <v>20</v>
      </c>
      <c r="F1375" s="11" t="s">
        <v>10</v>
      </c>
      <c r="G1375" s="11" t="s">
        <v>11</v>
      </c>
      <c r="H1375" s="11">
        <v>705</v>
      </c>
      <c r="I1375" s="11">
        <v>57</v>
      </c>
      <c r="J1375" s="6">
        <f t="shared" si="96"/>
        <v>40.185000000000002</v>
      </c>
      <c r="K1375" t="s">
        <v>391</v>
      </c>
    </row>
    <row r="1376" spans="3:11" outlineLevel="2" x14ac:dyDescent="0.3">
      <c r="C1376" s="9">
        <v>45063</v>
      </c>
      <c r="D1376" t="s">
        <v>12</v>
      </c>
      <c r="E1376" t="s">
        <v>20</v>
      </c>
      <c r="F1376" t="s">
        <v>13</v>
      </c>
      <c r="G1376" t="s">
        <v>43</v>
      </c>
      <c r="H1376">
        <v>1420</v>
      </c>
      <c r="I1376">
        <v>100</v>
      </c>
      <c r="J1376" s="6">
        <f t="shared" si="96"/>
        <v>142</v>
      </c>
      <c r="K1376" t="s">
        <v>391</v>
      </c>
    </row>
    <row r="1377" spans="3:11" outlineLevel="2" x14ac:dyDescent="0.3">
      <c r="C1377" s="10">
        <v>45063</v>
      </c>
      <c r="D1377" s="11" t="s">
        <v>17</v>
      </c>
      <c r="E1377" s="11" t="s">
        <v>20</v>
      </c>
      <c r="F1377" s="11" t="s">
        <v>13</v>
      </c>
      <c r="G1377" s="11" t="s">
        <v>38</v>
      </c>
      <c r="H1377" s="11">
        <v>2400</v>
      </c>
      <c r="I1377" s="11">
        <v>41</v>
      </c>
      <c r="J1377" s="6">
        <f t="shared" si="96"/>
        <v>98.4</v>
      </c>
      <c r="K1377" t="s">
        <v>391</v>
      </c>
    </row>
    <row r="1378" spans="3:11" outlineLevel="2" x14ac:dyDescent="0.3">
      <c r="C1378" s="9">
        <v>45063</v>
      </c>
      <c r="D1378" t="s">
        <v>8</v>
      </c>
      <c r="E1378" t="s">
        <v>20</v>
      </c>
      <c r="F1378" t="s">
        <v>24</v>
      </c>
      <c r="G1378" t="s">
        <v>42</v>
      </c>
      <c r="H1378">
        <v>3205</v>
      </c>
      <c r="I1378">
        <v>78</v>
      </c>
      <c r="J1378" s="6">
        <f t="shared" si="96"/>
        <v>249.99</v>
      </c>
      <c r="K1378" t="s">
        <v>391</v>
      </c>
    </row>
    <row r="1379" spans="3:11" outlineLevel="2" x14ac:dyDescent="0.3">
      <c r="C1379" s="9">
        <v>45063</v>
      </c>
      <c r="D1379" t="s">
        <v>17</v>
      </c>
      <c r="E1379" t="s">
        <v>9</v>
      </c>
      <c r="F1379" t="s">
        <v>18</v>
      </c>
      <c r="G1379" t="s">
        <v>37</v>
      </c>
      <c r="H1379">
        <v>890</v>
      </c>
      <c r="I1379">
        <v>75</v>
      </c>
      <c r="J1379" s="6">
        <f t="shared" si="96"/>
        <v>66.75</v>
      </c>
      <c r="K1379" t="s">
        <v>391</v>
      </c>
    </row>
    <row r="1380" spans="3:11" outlineLevel="2" x14ac:dyDescent="0.3">
      <c r="C1380" s="9">
        <v>45063</v>
      </c>
      <c r="D1380" t="s">
        <v>12</v>
      </c>
      <c r="E1380" t="s">
        <v>26</v>
      </c>
      <c r="F1380" t="s">
        <v>13</v>
      </c>
      <c r="G1380" t="s">
        <v>38</v>
      </c>
      <c r="H1380">
        <v>2400</v>
      </c>
      <c r="I1380">
        <v>43</v>
      </c>
      <c r="J1380" s="6">
        <f t="shared" si="96"/>
        <v>103.2</v>
      </c>
      <c r="K1380" t="s">
        <v>391</v>
      </c>
    </row>
    <row r="1381" spans="3:11" outlineLevel="2" x14ac:dyDescent="0.3">
      <c r="C1381" s="9">
        <v>45063</v>
      </c>
      <c r="D1381" t="s">
        <v>45</v>
      </c>
      <c r="E1381" t="s">
        <v>26</v>
      </c>
      <c r="F1381" t="s">
        <v>24</v>
      </c>
      <c r="G1381" t="s">
        <v>30</v>
      </c>
      <c r="H1381">
        <v>2970</v>
      </c>
      <c r="I1381">
        <v>27</v>
      </c>
      <c r="J1381" s="6">
        <f t="shared" si="96"/>
        <v>80.19</v>
      </c>
      <c r="K1381" t="s">
        <v>391</v>
      </c>
    </row>
    <row r="1382" spans="3:11" outlineLevel="2" x14ac:dyDescent="0.3">
      <c r="C1382" s="9">
        <v>45063</v>
      </c>
      <c r="D1382" t="s">
        <v>12</v>
      </c>
      <c r="E1382" t="s">
        <v>15</v>
      </c>
      <c r="F1382" t="s">
        <v>18</v>
      </c>
      <c r="G1382" t="s">
        <v>27</v>
      </c>
      <c r="H1382">
        <v>460</v>
      </c>
      <c r="I1382">
        <v>59</v>
      </c>
      <c r="J1382" s="6">
        <f t="shared" si="96"/>
        <v>27.14</v>
      </c>
      <c r="K1382" t="s">
        <v>391</v>
      </c>
    </row>
    <row r="1383" spans="3:11" outlineLevel="2" x14ac:dyDescent="0.3">
      <c r="C1383" s="9">
        <v>45063</v>
      </c>
      <c r="D1383" t="s">
        <v>12</v>
      </c>
      <c r="E1383" t="s">
        <v>15</v>
      </c>
      <c r="F1383" t="s">
        <v>24</v>
      </c>
      <c r="G1383" t="s">
        <v>32</v>
      </c>
      <c r="H1383">
        <v>1505</v>
      </c>
      <c r="I1383">
        <v>98</v>
      </c>
      <c r="J1383" s="6">
        <f t="shared" si="96"/>
        <v>147.49</v>
      </c>
      <c r="K1383" t="s">
        <v>391</v>
      </c>
    </row>
    <row r="1384" spans="3:11" outlineLevel="1" x14ac:dyDescent="0.3">
      <c r="C1384" s="13" t="s">
        <v>151</v>
      </c>
      <c r="J1384" s="6">
        <f>SUBTOTAL(9,J1374:J1383)</f>
        <v>972.8950000000001</v>
      </c>
      <c r="K1384" t="s">
        <v>391</v>
      </c>
    </row>
    <row r="1385" spans="3:11" outlineLevel="2" x14ac:dyDescent="0.3">
      <c r="C1385" s="10">
        <v>45064</v>
      </c>
      <c r="D1385" s="11" t="s">
        <v>45</v>
      </c>
      <c r="E1385" s="11" t="s">
        <v>20</v>
      </c>
      <c r="F1385" s="11" t="s">
        <v>18</v>
      </c>
      <c r="G1385" s="11" t="s">
        <v>37</v>
      </c>
      <c r="H1385" s="11">
        <v>890</v>
      </c>
      <c r="I1385" s="11">
        <v>21</v>
      </c>
      <c r="J1385" s="6">
        <f t="shared" ref="J1385:J1393" si="97">H1385*I1385/1000</f>
        <v>18.690000000000001</v>
      </c>
      <c r="K1385" t="s">
        <v>391</v>
      </c>
    </row>
    <row r="1386" spans="3:11" outlineLevel="2" x14ac:dyDescent="0.3">
      <c r="C1386" s="9">
        <v>45064</v>
      </c>
      <c r="D1386" t="s">
        <v>17</v>
      </c>
      <c r="E1386" t="s">
        <v>9</v>
      </c>
      <c r="F1386" t="s">
        <v>10</v>
      </c>
      <c r="G1386" t="s">
        <v>16</v>
      </c>
      <c r="H1386">
        <v>1380</v>
      </c>
      <c r="I1386">
        <v>18</v>
      </c>
      <c r="J1386" s="6">
        <f t="shared" si="97"/>
        <v>24.84</v>
      </c>
      <c r="K1386" t="s">
        <v>391</v>
      </c>
    </row>
    <row r="1387" spans="3:11" outlineLevel="2" x14ac:dyDescent="0.3">
      <c r="C1387" s="9">
        <v>45064</v>
      </c>
      <c r="D1387" t="s">
        <v>12</v>
      </c>
      <c r="E1387" t="s">
        <v>9</v>
      </c>
      <c r="F1387" t="s">
        <v>18</v>
      </c>
      <c r="G1387" t="s">
        <v>21</v>
      </c>
      <c r="H1387">
        <v>450</v>
      </c>
      <c r="I1387">
        <v>97</v>
      </c>
      <c r="J1387" s="6">
        <f t="shared" si="97"/>
        <v>43.65</v>
      </c>
      <c r="K1387" t="s">
        <v>391</v>
      </c>
    </row>
    <row r="1388" spans="3:11" outlineLevel="2" x14ac:dyDescent="0.3">
      <c r="C1388" s="9">
        <v>45064</v>
      </c>
      <c r="D1388" t="s">
        <v>8</v>
      </c>
      <c r="E1388" t="s">
        <v>9</v>
      </c>
      <c r="F1388" t="s">
        <v>18</v>
      </c>
      <c r="G1388" t="s">
        <v>31</v>
      </c>
      <c r="H1388">
        <v>715</v>
      </c>
      <c r="I1388">
        <v>89</v>
      </c>
      <c r="J1388" s="6">
        <f t="shared" si="97"/>
        <v>63.634999999999998</v>
      </c>
      <c r="K1388" t="s">
        <v>391</v>
      </c>
    </row>
    <row r="1389" spans="3:11" outlineLevel="2" x14ac:dyDescent="0.3">
      <c r="C1389" s="9">
        <v>45064</v>
      </c>
      <c r="D1389" t="s">
        <v>45</v>
      </c>
      <c r="E1389" t="s">
        <v>15</v>
      </c>
      <c r="F1389" t="s">
        <v>10</v>
      </c>
      <c r="G1389" t="s">
        <v>23</v>
      </c>
      <c r="H1389">
        <v>640</v>
      </c>
      <c r="I1389">
        <v>40</v>
      </c>
      <c r="J1389" s="6">
        <f t="shared" si="97"/>
        <v>25.6</v>
      </c>
      <c r="K1389" t="s">
        <v>391</v>
      </c>
    </row>
    <row r="1390" spans="3:11" outlineLevel="2" x14ac:dyDescent="0.3">
      <c r="C1390" s="9">
        <v>45064</v>
      </c>
      <c r="D1390" t="s">
        <v>17</v>
      </c>
      <c r="E1390" t="s">
        <v>15</v>
      </c>
      <c r="F1390" t="s">
        <v>10</v>
      </c>
      <c r="G1390" t="s">
        <v>23</v>
      </c>
      <c r="H1390">
        <v>640</v>
      </c>
      <c r="I1390">
        <v>75</v>
      </c>
      <c r="J1390" s="6">
        <f t="shared" si="97"/>
        <v>48</v>
      </c>
      <c r="K1390" t="s">
        <v>391</v>
      </c>
    </row>
    <row r="1391" spans="3:11" outlineLevel="2" x14ac:dyDescent="0.3">
      <c r="C1391" s="9">
        <v>45064</v>
      </c>
      <c r="D1391" t="s">
        <v>45</v>
      </c>
      <c r="E1391" t="s">
        <v>15</v>
      </c>
      <c r="F1391" t="s">
        <v>24</v>
      </c>
      <c r="G1391" t="s">
        <v>30</v>
      </c>
      <c r="H1391">
        <v>2970</v>
      </c>
      <c r="I1391">
        <v>59</v>
      </c>
      <c r="J1391" s="6">
        <f t="shared" si="97"/>
        <v>175.23</v>
      </c>
      <c r="K1391" t="s">
        <v>391</v>
      </c>
    </row>
    <row r="1392" spans="3:11" outlineLevel="2" x14ac:dyDescent="0.3">
      <c r="C1392" s="9">
        <v>45064</v>
      </c>
      <c r="D1392" t="s">
        <v>17</v>
      </c>
      <c r="E1392" t="s">
        <v>33</v>
      </c>
      <c r="F1392" t="s">
        <v>24</v>
      </c>
      <c r="G1392" t="s">
        <v>25</v>
      </c>
      <c r="H1392">
        <v>1760</v>
      </c>
      <c r="I1392">
        <v>24</v>
      </c>
      <c r="J1392" s="6">
        <f t="shared" si="97"/>
        <v>42.24</v>
      </c>
      <c r="K1392" t="s">
        <v>391</v>
      </c>
    </row>
    <row r="1393" spans="3:11" outlineLevel="2" x14ac:dyDescent="0.3">
      <c r="C1393" s="9">
        <v>45064</v>
      </c>
      <c r="D1393" t="s">
        <v>17</v>
      </c>
      <c r="E1393" t="s">
        <v>35</v>
      </c>
      <c r="F1393" t="s">
        <v>24</v>
      </c>
      <c r="G1393" t="s">
        <v>36</v>
      </c>
      <c r="H1393">
        <v>2460</v>
      </c>
      <c r="I1393">
        <v>5</v>
      </c>
      <c r="J1393" s="6">
        <f t="shared" si="97"/>
        <v>12.3</v>
      </c>
      <c r="K1393" t="s">
        <v>391</v>
      </c>
    </row>
    <row r="1394" spans="3:11" outlineLevel="1" x14ac:dyDescent="0.3">
      <c r="C1394" s="13" t="s">
        <v>152</v>
      </c>
      <c r="J1394" s="6">
        <f>SUBTOTAL(9,J1385:J1393)</f>
        <v>454.185</v>
      </c>
      <c r="K1394" t="s">
        <v>391</v>
      </c>
    </row>
    <row r="1395" spans="3:11" outlineLevel="2" x14ac:dyDescent="0.3">
      <c r="C1395" s="9">
        <v>45065</v>
      </c>
      <c r="D1395" t="s">
        <v>8</v>
      </c>
      <c r="E1395" t="s">
        <v>20</v>
      </c>
      <c r="F1395" t="s">
        <v>10</v>
      </c>
      <c r="G1395" t="s">
        <v>23</v>
      </c>
      <c r="H1395">
        <v>640</v>
      </c>
      <c r="I1395">
        <v>60</v>
      </c>
      <c r="J1395" s="6">
        <f t="shared" ref="J1395:J1405" si="98">H1395*I1395/1000</f>
        <v>38.4</v>
      </c>
      <c r="K1395" t="s">
        <v>391</v>
      </c>
    </row>
    <row r="1396" spans="3:11" outlineLevel="2" x14ac:dyDescent="0.3">
      <c r="C1396" s="10">
        <v>45065</v>
      </c>
      <c r="D1396" s="11" t="s">
        <v>45</v>
      </c>
      <c r="E1396" s="11" t="s">
        <v>20</v>
      </c>
      <c r="F1396" s="11" t="s">
        <v>18</v>
      </c>
      <c r="G1396" s="11" t="s">
        <v>21</v>
      </c>
      <c r="H1396" s="11">
        <v>450</v>
      </c>
      <c r="I1396" s="11">
        <v>86</v>
      </c>
      <c r="J1396" s="6">
        <f t="shared" si="98"/>
        <v>38.700000000000003</v>
      </c>
      <c r="K1396" t="s">
        <v>391</v>
      </c>
    </row>
    <row r="1397" spans="3:11" outlineLevel="2" x14ac:dyDescent="0.3">
      <c r="C1397" s="9">
        <v>45065</v>
      </c>
      <c r="D1397" t="s">
        <v>8</v>
      </c>
      <c r="E1397" t="s">
        <v>20</v>
      </c>
      <c r="F1397" t="s">
        <v>13</v>
      </c>
      <c r="G1397" t="s">
        <v>38</v>
      </c>
      <c r="H1397">
        <v>2400</v>
      </c>
      <c r="I1397">
        <v>23</v>
      </c>
      <c r="J1397" s="6">
        <f t="shared" si="98"/>
        <v>55.2</v>
      </c>
      <c r="K1397" t="s">
        <v>391</v>
      </c>
    </row>
    <row r="1398" spans="3:11" outlineLevel="2" x14ac:dyDescent="0.3">
      <c r="C1398" s="9">
        <v>45065</v>
      </c>
      <c r="D1398" t="s">
        <v>45</v>
      </c>
      <c r="E1398" t="s">
        <v>9</v>
      </c>
      <c r="F1398" t="s">
        <v>18</v>
      </c>
      <c r="G1398" t="s">
        <v>19</v>
      </c>
      <c r="H1398">
        <v>325</v>
      </c>
      <c r="I1398">
        <v>48</v>
      </c>
      <c r="J1398" s="6">
        <f t="shared" si="98"/>
        <v>15.6</v>
      </c>
      <c r="K1398" t="s">
        <v>391</v>
      </c>
    </row>
    <row r="1399" spans="3:11" outlineLevel="2" x14ac:dyDescent="0.3">
      <c r="C1399" s="9">
        <v>45065</v>
      </c>
      <c r="D1399" t="s">
        <v>12</v>
      </c>
      <c r="E1399" t="s">
        <v>26</v>
      </c>
      <c r="F1399" t="s">
        <v>24</v>
      </c>
      <c r="G1399" t="s">
        <v>30</v>
      </c>
      <c r="H1399">
        <v>2970</v>
      </c>
      <c r="I1399">
        <v>59</v>
      </c>
      <c r="J1399" s="6">
        <f t="shared" si="98"/>
        <v>175.23</v>
      </c>
      <c r="K1399" t="s">
        <v>391</v>
      </c>
    </row>
    <row r="1400" spans="3:11" outlineLevel="2" x14ac:dyDescent="0.3">
      <c r="C1400" s="9">
        <v>45065</v>
      </c>
      <c r="D1400" t="s">
        <v>8</v>
      </c>
      <c r="E1400" t="s">
        <v>26</v>
      </c>
      <c r="F1400" t="s">
        <v>24</v>
      </c>
      <c r="G1400" t="s">
        <v>25</v>
      </c>
      <c r="H1400">
        <v>1760</v>
      </c>
      <c r="I1400">
        <v>30</v>
      </c>
      <c r="J1400" s="6">
        <f t="shared" si="98"/>
        <v>52.8</v>
      </c>
      <c r="K1400" t="s">
        <v>391</v>
      </c>
    </row>
    <row r="1401" spans="3:11" outlineLevel="2" x14ac:dyDescent="0.3">
      <c r="C1401" s="9">
        <v>45065</v>
      </c>
      <c r="D1401" t="s">
        <v>12</v>
      </c>
      <c r="E1401" t="s">
        <v>15</v>
      </c>
      <c r="F1401" t="s">
        <v>18</v>
      </c>
      <c r="G1401" t="s">
        <v>27</v>
      </c>
      <c r="H1401">
        <v>460</v>
      </c>
      <c r="I1401">
        <v>23</v>
      </c>
      <c r="J1401" s="6">
        <f t="shared" si="98"/>
        <v>10.58</v>
      </c>
      <c r="K1401" t="s">
        <v>391</v>
      </c>
    </row>
    <row r="1402" spans="3:11" outlineLevel="2" x14ac:dyDescent="0.3">
      <c r="C1402" s="9">
        <v>45065</v>
      </c>
      <c r="D1402" t="s">
        <v>17</v>
      </c>
      <c r="E1402" t="s">
        <v>33</v>
      </c>
      <c r="F1402" t="s">
        <v>18</v>
      </c>
      <c r="G1402" t="s">
        <v>37</v>
      </c>
      <c r="H1402">
        <v>890</v>
      </c>
      <c r="I1402">
        <v>27</v>
      </c>
      <c r="J1402" s="6">
        <f t="shared" si="98"/>
        <v>24.03</v>
      </c>
      <c r="K1402" t="s">
        <v>391</v>
      </c>
    </row>
    <row r="1403" spans="3:11" outlineLevel="2" x14ac:dyDescent="0.3">
      <c r="C1403" s="9">
        <v>45065</v>
      </c>
      <c r="D1403" t="s">
        <v>8</v>
      </c>
      <c r="E1403" t="s">
        <v>33</v>
      </c>
      <c r="F1403" t="s">
        <v>24</v>
      </c>
      <c r="G1403" t="s">
        <v>34</v>
      </c>
      <c r="H1403">
        <v>1670</v>
      </c>
      <c r="I1403">
        <v>32</v>
      </c>
      <c r="J1403" s="6">
        <f t="shared" si="98"/>
        <v>53.44</v>
      </c>
      <c r="K1403" t="s">
        <v>391</v>
      </c>
    </row>
    <row r="1404" spans="3:11" outlineLevel="2" x14ac:dyDescent="0.3">
      <c r="C1404" s="9">
        <v>45065</v>
      </c>
      <c r="D1404" t="s">
        <v>12</v>
      </c>
      <c r="E1404" t="s">
        <v>35</v>
      </c>
      <c r="F1404" t="s">
        <v>13</v>
      </c>
      <c r="G1404" t="s">
        <v>14</v>
      </c>
      <c r="H1404">
        <v>1320</v>
      </c>
      <c r="I1404">
        <v>15</v>
      </c>
      <c r="J1404" s="6">
        <f t="shared" si="98"/>
        <v>19.8</v>
      </c>
      <c r="K1404" t="s">
        <v>391</v>
      </c>
    </row>
    <row r="1405" spans="3:11" outlineLevel="2" x14ac:dyDescent="0.3">
      <c r="C1405" s="9">
        <v>45065</v>
      </c>
      <c r="D1405" t="s">
        <v>8</v>
      </c>
      <c r="E1405" t="s">
        <v>35</v>
      </c>
      <c r="F1405" t="s">
        <v>24</v>
      </c>
      <c r="G1405" t="s">
        <v>42</v>
      </c>
      <c r="H1405">
        <v>3205</v>
      </c>
      <c r="I1405">
        <v>46</v>
      </c>
      <c r="J1405" s="6">
        <f t="shared" si="98"/>
        <v>147.43</v>
      </c>
      <c r="K1405" t="s">
        <v>391</v>
      </c>
    </row>
    <row r="1406" spans="3:11" outlineLevel="1" x14ac:dyDescent="0.3">
      <c r="C1406" s="13" t="s">
        <v>153</v>
      </c>
      <c r="J1406" s="6">
        <f>SUBTOTAL(9,J1395:J1405)</f>
        <v>631.21</v>
      </c>
      <c r="K1406" t="s">
        <v>391</v>
      </c>
    </row>
    <row r="1407" spans="3:11" outlineLevel="2" x14ac:dyDescent="0.3">
      <c r="C1407" s="10">
        <v>45066</v>
      </c>
      <c r="D1407" s="11" t="s">
        <v>12</v>
      </c>
      <c r="E1407" s="11" t="s">
        <v>20</v>
      </c>
      <c r="F1407" s="11" t="s">
        <v>13</v>
      </c>
      <c r="G1407" s="11" t="s">
        <v>43</v>
      </c>
      <c r="H1407" s="11">
        <v>1420</v>
      </c>
      <c r="I1407" s="11">
        <v>74</v>
      </c>
      <c r="J1407" s="6">
        <f t="shared" ref="J1407:J1415" si="99">H1407*I1407/1000</f>
        <v>105.08</v>
      </c>
      <c r="K1407" t="s">
        <v>391</v>
      </c>
    </row>
    <row r="1408" spans="3:11" outlineLevel="2" x14ac:dyDescent="0.3">
      <c r="C1408" s="9">
        <v>45066</v>
      </c>
      <c r="D1408" t="s">
        <v>8</v>
      </c>
      <c r="E1408" t="s">
        <v>9</v>
      </c>
      <c r="F1408" t="s">
        <v>24</v>
      </c>
      <c r="G1408" t="s">
        <v>32</v>
      </c>
      <c r="H1408">
        <v>1505</v>
      </c>
      <c r="I1408">
        <v>49</v>
      </c>
      <c r="J1408" s="6">
        <f t="shared" si="99"/>
        <v>73.745000000000005</v>
      </c>
      <c r="K1408" t="s">
        <v>391</v>
      </c>
    </row>
    <row r="1409" spans="3:11" outlineLevel="2" x14ac:dyDescent="0.3">
      <c r="C1409" s="9">
        <v>45066</v>
      </c>
      <c r="D1409" t="s">
        <v>8</v>
      </c>
      <c r="E1409" t="s">
        <v>26</v>
      </c>
      <c r="F1409" t="s">
        <v>13</v>
      </c>
      <c r="G1409" t="s">
        <v>14</v>
      </c>
      <c r="H1409">
        <v>1320</v>
      </c>
      <c r="I1409">
        <v>45</v>
      </c>
      <c r="J1409" s="6">
        <f t="shared" si="99"/>
        <v>59.4</v>
      </c>
      <c r="K1409" t="s">
        <v>391</v>
      </c>
    </row>
    <row r="1410" spans="3:11" outlineLevel="2" x14ac:dyDescent="0.3">
      <c r="C1410" s="9">
        <v>45066</v>
      </c>
      <c r="D1410" t="s">
        <v>8</v>
      </c>
      <c r="E1410" t="s">
        <v>15</v>
      </c>
      <c r="F1410" t="s">
        <v>18</v>
      </c>
      <c r="G1410" t="s">
        <v>19</v>
      </c>
      <c r="H1410">
        <v>325</v>
      </c>
      <c r="I1410">
        <v>46</v>
      </c>
      <c r="J1410" s="6">
        <f t="shared" si="99"/>
        <v>14.95</v>
      </c>
      <c r="K1410" t="s">
        <v>391</v>
      </c>
    </row>
    <row r="1411" spans="3:11" outlineLevel="2" x14ac:dyDescent="0.3">
      <c r="C1411" s="9">
        <v>45066</v>
      </c>
      <c r="D1411" t="s">
        <v>12</v>
      </c>
      <c r="E1411" t="s">
        <v>33</v>
      </c>
      <c r="F1411" t="s">
        <v>18</v>
      </c>
      <c r="G1411" t="s">
        <v>28</v>
      </c>
      <c r="H1411">
        <v>690</v>
      </c>
      <c r="I1411">
        <v>37</v>
      </c>
      <c r="J1411" s="6">
        <f t="shared" si="99"/>
        <v>25.53</v>
      </c>
      <c r="K1411" t="s">
        <v>391</v>
      </c>
    </row>
    <row r="1412" spans="3:11" outlineLevel="2" x14ac:dyDescent="0.3">
      <c r="C1412" s="9">
        <v>45066</v>
      </c>
      <c r="D1412" t="s">
        <v>45</v>
      </c>
      <c r="E1412" t="s">
        <v>33</v>
      </c>
      <c r="F1412" t="s">
        <v>13</v>
      </c>
      <c r="G1412" t="s">
        <v>22</v>
      </c>
      <c r="H1412">
        <v>930</v>
      </c>
      <c r="I1412">
        <v>18</v>
      </c>
      <c r="J1412" s="6">
        <f t="shared" si="99"/>
        <v>16.739999999999998</v>
      </c>
      <c r="K1412" t="s">
        <v>391</v>
      </c>
    </row>
    <row r="1413" spans="3:11" outlineLevel="2" x14ac:dyDescent="0.3">
      <c r="C1413" s="9">
        <v>45066</v>
      </c>
      <c r="D1413" t="s">
        <v>8</v>
      </c>
      <c r="E1413" t="s">
        <v>35</v>
      </c>
      <c r="F1413" t="s">
        <v>10</v>
      </c>
      <c r="G1413" t="s">
        <v>41</v>
      </c>
      <c r="H1413">
        <v>650</v>
      </c>
      <c r="I1413">
        <v>98</v>
      </c>
      <c r="J1413" s="6">
        <f t="shared" si="99"/>
        <v>63.7</v>
      </c>
      <c r="K1413" t="s">
        <v>391</v>
      </c>
    </row>
    <row r="1414" spans="3:11" outlineLevel="2" x14ac:dyDescent="0.3">
      <c r="C1414" s="9">
        <v>45066</v>
      </c>
      <c r="D1414" t="s">
        <v>17</v>
      </c>
      <c r="E1414" t="s">
        <v>35</v>
      </c>
      <c r="F1414" t="s">
        <v>18</v>
      </c>
      <c r="G1414" t="s">
        <v>28</v>
      </c>
      <c r="H1414">
        <v>690</v>
      </c>
      <c r="I1414">
        <v>16</v>
      </c>
      <c r="J1414" s="6">
        <f t="shared" si="99"/>
        <v>11.04</v>
      </c>
      <c r="K1414" t="s">
        <v>391</v>
      </c>
    </row>
    <row r="1415" spans="3:11" outlineLevel="2" x14ac:dyDescent="0.3">
      <c r="C1415" s="9">
        <v>45066</v>
      </c>
      <c r="D1415" t="s">
        <v>17</v>
      </c>
      <c r="E1415" t="s">
        <v>35</v>
      </c>
      <c r="F1415" t="s">
        <v>24</v>
      </c>
      <c r="G1415" t="s">
        <v>25</v>
      </c>
      <c r="H1415">
        <v>1760</v>
      </c>
      <c r="I1415">
        <v>24</v>
      </c>
      <c r="J1415" s="6">
        <f t="shared" si="99"/>
        <v>42.24</v>
      </c>
      <c r="K1415" t="s">
        <v>391</v>
      </c>
    </row>
    <row r="1416" spans="3:11" outlineLevel="1" x14ac:dyDescent="0.3">
      <c r="C1416" s="13" t="s">
        <v>154</v>
      </c>
      <c r="J1416" s="6">
        <f>SUBTOTAL(9,J1407:J1415)</f>
        <v>412.42500000000001</v>
      </c>
      <c r="K1416" t="s">
        <v>391</v>
      </c>
    </row>
    <row r="1417" spans="3:11" outlineLevel="2" x14ac:dyDescent="0.3">
      <c r="C1417" s="9">
        <v>45067</v>
      </c>
      <c r="D1417" t="s">
        <v>45</v>
      </c>
      <c r="E1417" t="s">
        <v>20</v>
      </c>
      <c r="F1417" t="s">
        <v>13</v>
      </c>
      <c r="G1417" t="s">
        <v>44</v>
      </c>
      <c r="H1417">
        <v>2540</v>
      </c>
      <c r="I1417">
        <v>61</v>
      </c>
      <c r="J1417" s="6">
        <f t="shared" ref="J1417:J1428" si="100">H1417*I1417/1000</f>
        <v>154.94</v>
      </c>
      <c r="K1417" t="s">
        <v>391</v>
      </c>
    </row>
    <row r="1418" spans="3:11" outlineLevel="2" x14ac:dyDescent="0.3">
      <c r="C1418" s="9">
        <v>45067</v>
      </c>
      <c r="D1418" t="s">
        <v>8</v>
      </c>
      <c r="E1418" t="s">
        <v>9</v>
      </c>
      <c r="F1418" t="s">
        <v>10</v>
      </c>
      <c r="G1418" t="s">
        <v>16</v>
      </c>
      <c r="H1418">
        <v>1380</v>
      </c>
      <c r="I1418">
        <v>54</v>
      </c>
      <c r="J1418" s="6">
        <f t="shared" si="100"/>
        <v>74.52</v>
      </c>
      <c r="K1418" t="s">
        <v>391</v>
      </c>
    </row>
    <row r="1419" spans="3:11" outlineLevel="2" x14ac:dyDescent="0.3">
      <c r="C1419" s="9">
        <v>45067</v>
      </c>
      <c r="D1419" t="s">
        <v>45</v>
      </c>
      <c r="E1419" t="s">
        <v>9</v>
      </c>
      <c r="F1419" t="s">
        <v>18</v>
      </c>
      <c r="G1419" t="s">
        <v>31</v>
      </c>
      <c r="H1419">
        <v>715</v>
      </c>
      <c r="I1419">
        <v>17</v>
      </c>
      <c r="J1419" s="6">
        <f t="shared" si="100"/>
        <v>12.154999999999999</v>
      </c>
      <c r="K1419" t="s">
        <v>391</v>
      </c>
    </row>
    <row r="1420" spans="3:11" outlineLevel="2" x14ac:dyDescent="0.3">
      <c r="C1420" s="9">
        <v>45067</v>
      </c>
      <c r="D1420" t="s">
        <v>12</v>
      </c>
      <c r="E1420" t="s">
        <v>9</v>
      </c>
      <c r="F1420" t="s">
        <v>13</v>
      </c>
      <c r="G1420" t="s">
        <v>22</v>
      </c>
      <c r="H1420">
        <v>930</v>
      </c>
      <c r="I1420">
        <v>35</v>
      </c>
      <c r="J1420" s="6">
        <f t="shared" si="100"/>
        <v>32.549999999999997</v>
      </c>
      <c r="K1420" t="s">
        <v>391</v>
      </c>
    </row>
    <row r="1421" spans="3:11" outlineLevel="2" x14ac:dyDescent="0.3">
      <c r="C1421" s="9">
        <v>45067</v>
      </c>
      <c r="D1421" t="s">
        <v>8</v>
      </c>
      <c r="E1421" t="s">
        <v>9</v>
      </c>
      <c r="F1421" t="s">
        <v>13</v>
      </c>
      <c r="G1421" t="s">
        <v>44</v>
      </c>
      <c r="H1421">
        <v>2540</v>
      </c>
      <c r="I1421">
        <v>7</v>
      </c>
      <c r="J1421" s="6">
        <f t="shared" si="100"/>
        <v>17.78</v>
      </c>
      <c r="K1421" t="s">
        <v>391</v>
      </c>
    </row>
    <row r="1422" spans="3:11" outlineLevel="2" x14ac:dyDescent="0.3">
      <c r="C1422" s="9">
        <v>45067</v>
      </c>
      <c r="D1422" t="s">
        <v>45</v>
      </c>
      <c r="E1422" t="s">
        <v>26</v>
      </c>
      <c r="F1422" t="s">
        <v>18</v>
      </c>
      <c r="G1422" t="s">
        <v>31</v>
      </c>
      <c r="H1422">
        <v>715</v>
      </c>
      <c r="I1422">
        <v>20</v>
      </c>
      <c r="J1422" s="6">
        <f t="shared" si="100"/>
        <v>14.3</v>
      </c>
      <c r="K1422" t="s">
        <v>391</v>
      </c>
    </row>
    <row r="1423" spans="3:11" outlineLevel="2" x14ac:dyDescent="0.3">
      <c r="C1423" s="9">
        <v>45067</v>
      </c>
      <c r="D1423" t="s">
        <v>8</v>
      </c>
      <c r="E1423" t="s">
        <v>26</v>
      </c>
      <c r="F1423" t="s">
        <v>24</v>
      </c>
      <c r="G1423" t="s">
        <v>30</v>
      </c>
      <c r="H1423">
        <v>2970</v>
      </c>
      <c r="I1423">
        <v>72</v>
      </c>
      <c r="J1423" s="6">
        <f t="shared" si="100"/>
        <v>213.84</v>
      </c>
      <c r="K1423" t="s">
        <v>391</v>
      </c>
    </row>
    <row r="1424" spans="3:11" outlineLevel="2" x14ac:dyDescent="0.3">
      <c r="C1424" s="9">
        <v>45067</v>
      </c>
      <c r="D1424" t="s">
        <v>17</v>
      </c>
      <c r="E1424" t="s">
        <v>15</v>
      </c>
      <c r="F1424" t="s">
        <v>10</v>
      </c>
      <c r="G1424" t="s">
        <v>40</v>
      </c>
      <c r="H1424">
        <v>540</v>
      </c>
      <c r="I1424">
        <v>100</v>
      </c>
      <c r="J1424" s="6">
        <f t="shared" si="100"/>
        <v>54</v>
      </c>
      <c r="K1424" t="s">
        <v>391</v>
      </c>
    </row>
    <row r="1425" spans="3:11" outlineLevel="2" x14ac:dyDescent="0.3">
      <c r="C1425" s="9">
        <v>45067</v>
      </c>
      <c r="D1425" t="s">
        <v>45</v>
      </c>
      <c r="E1425" t="s">
        <v>15</v>
      </c>
      <c r="F1425" t="s">
        <v>10</v>
      </c>
      <c r="G1425" t="s">
        <v>39</v>
      </c>
      <c r="H1425">
        <v>650</v>
      </c>
      <c r="I1425">
        <v>27</v>
      </c>
      <c r="J1425" s="6">
        <f t="shared" si="100"/>
        <v>17.55</v>
      </c>
      <c r="K1425" t="s">
        <v>391</v>
      </c>
    </row>
    <row r="1426" spans="3:11" outlineLevel="2" x14ac:dyDescent="0.3">
      <c r="C1426" s="9">
        <v>45067</v>
      </c>
      <c r="D1426" t="s">
        <v>45</v>
      </c>
      <c r="E1426" t="s">
        <v>35</v>
      </c>
      <c r="F1426" t="s">
        <v>10</v>
      </c>
      <c r="G1426" t="s">
        <v>39</v>
      </c>
      <c r="H1426">
        <v>650</v>
      </c>
      <c r="I1426">
        <v>62</v>
      </c>
      <c r="J1426" s="6">
        <f t="shared" si="100"/>
        <v>40.299999999999997</v>
      </c>
      <c r="K1426" t="s">
        <v>391</v>
      </c>
    </row>
    <row r="1427" spans="3:11" outlineLevel="2" x14ac:dyDescent="0.3">
      <c r="C1427" s="9">
        <v>45067</v>
      </c>
      <c r="D1427" t="s">
        <v>8</v>
      </c>
      <c r="E1427" t="s">
        <v>35</v>
      </c>
      <c r="F1427" t="s">
        <v>13</v>
      </c>
      <c r="G1427" t="s">
        <v>44</v>
      </c>
      <c r="H1427">
        <v>2540</v>
      </c>
      <c r="I1427">
        <v>94</v>
      </c>
      <c r="J1427" s="6">
        <f t="shared" si="100"/>
        <v>238.76</v>
      </c>
      <c r="K1427" t="s">
        <v>391</v>
      </c>
    </row>
    <row r="1428" spans="3:11" outlineLevel="2" x14ac:dyDescent="0.3">
      <c r="C1428" s="9">
        <v>45067</v>
      </c>
      <c r="D1428" t="s">
        <v>45</v>
      </c>
      <c r="E1428" t="s">
        <v>35</v>
      </c>
      <c r="F1428" t="s">
        <v>24</v>
      </c>
      <c r="G1428" t="s">
        <v>36</v>
      </c>
      <c r="H1428">
        <v>2460</v>
      </c>
      <c r="I1428">
        <v>31</v>
      </c>
      <c r="J1428" s="6">
        <f t="shared" si="100"/>
        <v>76.260000000000005</v>
      </c>
      <c r="K1428" t="s">
        <v>391</v>
      </c>
    </row>
    <row r="1429" spans="3:11" outlineLevel="1" x14ac:dyDescent="0.3">
      <c r="C1429" s="13" t="s">
        <v>155</v>
      </c>
      <c r="J1429" s="6">
        <f>SUBTOTAL(9,J1417:J1428)</f>
        <v>946.95499999999981</v>
      </c>
      <c r="K1429" t="s">
        <v>391</v>
      </c>
    </row>
    <row r="1430" spans="3:11" outlineLevel="2" x14ac:dyDescent="0.3">
      <c r="C1430" s="10">
        <v>45068</v>
      </c>
      <c r="D1430" s="11" t="s">
        <v>12</v>
      </c>
      <c r="E1430" s="11" t="s">
        <v>20</v>
      </c>
      <c r="F1430" s="11" t="s">
        <v>10</v>
      </c>
      <c r="G1430" s="11" t="s">
        <v>40</v>
      </c>
      <c r="H1430" s="11">
        <v>540</v>
      </c>
      <c r="I1430" s="11">
        <v>59</v>
      </c>
      <c r="J1430" s="6">
        <f>H1430*I1430/1000</f>
        <v>31.86</v>
      </c>
      <c r="K1430" t="s">
        <v>391</v>
      </c>
    </row>
    <row r="1431" spans="3:11" outlineLevel="2" x14ac:dyDescent="0.3">
      <c r="C1431" s="9">
        <v>45068</v>
      </c>
      <c r="D1431" t="s">
        <v>8</v>
      </c>
      <c r="E1431" t="s">
        <v>26</v>
      </c>
      <c r="F1431" t="s">
        <v>18</v>
      </c>
      <c r="G1431" t="s">
        <v>27</v>
      </c>
      <c r="H1431">
        <v>460</v>
      </c>
      <c r="I1431">
        <v>52</v>
      </c>
      <c r="J1431" s="6">
        <f>H1431*I1431/1000</f>
        <v>23.92</v>
      </c>
      <c r="K1431" t="s">
        <v>391</v>
      </c>
    </row>
    <row r="1432" spans="3:11" outlineLevel="2" x14ac:dyDescent="0.3">
      <c r="C1432" s="9">
        <v>45068</v>
      </c>
      <c r="D1432" t="s">
        <v>12</v>
      </c>
      <c r="E1432" t="s">
        <v>15</v>
      </c>
      <c r="F1432" t="s">
        <v>10</v>
      </c>
      <c r="G1432" t="s">
        <v>11</v>
      </c>
      <c r="H1432">
        <v>705</v>
      </c>
      <c r="I1432">
        <v>25</v>
      </c>
      <c r="J1432" s="6">
        <f>H1432*I1432/1000</f>
        <v>17.625</v>
      </c>
      <c r="K1432" t="s">
        <v>391</v>
      </c>
    </row>
    <row r="1433" spans="3:11" outlineLevel="2" x14ac:dyDescent="0.3">
      <c r="C1433" s="9">
        <v>45068</v>
      </c>
      <c r="D1433" t="s">
        <v>17</v>
      </c>
      <c r="E1433" t="s">
        <v>33</v>
      </c>
      <c r="F1433" t="s">
        <v>13</v>
      </c>
      <c r="G1433" t="s">
        <v>44</v>
      </c>
      <c r="H1433">
        <v>2540</v>
      </c>
      <c r="I1433">
        <v>87</v>
      </c>
      <c r="J1433" s="6">
        <f>H1433*I1433/1000</f>
        <v>220.98</v>
      </c>
      <c r="K1433" t="s">
        <v>391</v>
      </c>
    </row>
    <row r="1434" spans="3:11" outlineLevel="2" x14ac:dyDescent="0.3">
      <c r="C1434" s="9">
        <v>45068</v>
      </c>
      <c r="D1434" t="s">
        <v>8</v>
      </c>
      <c r="E1434" t="s">
        <v>35</v>
      </c>
      <c r="F1434" t="s">
        <v>24</v>
      </c>
      <c r="G1434" t="s">
        <v>42</v>
      </c>
      <c r="H1434">
        <v>3205</v>
      </c>
      <c r="I1434">
        <v>90</v>
      </c>
      <c r="J1434" s="6">
        <f>H1434*I1434/1000</f>
        <v>288.45</v>
      </c>
      <c r="K1434" t="s">
        <v>391</v>
      </c>
    </row>
    <row r="1435" spans="3:11" outlineLevel="1" x14ac:dyDescent="0.3">
      <c r="C1435" s="13" t="s">
        <v>156</v>
      </c>
      <c r="J1435" s="6">
        <f>SUBTOTAL(9,J1430:J1434)</f>
        <v>582.83500000000004</v>
      </c>
      <c r="K1435" t="s">
        <v>391</v>
      </c>
    </row>
    <row r="1436" spans="3:11" outlineLevel="2" x14ac:dyDescent="0.3">
      <c r="C1436" s="9">
        <v>45069</v>
      </c>
      <c r="D1436" t="s">
        <v>17</v>
      </c>
      <c r="E1436" t="s">
        <v>20</v>
      </c>
      <c r="F1436" t="s">
        <v>13</v>
      </c>
      <c r="G1436" t="s">
        <v>44</v>
      </c>
      <c r="H1436">
        <v>2540</v>
      </c>
      <c r="I1436">
        <v>57</v>
      </c>
      <c r="J1436" s="6">
        <f t="shared" ref="J1436:J1444" si="101">H1436*I1436/1000</f>
        <v>144.78</v>
      </c>
      <c r="K1436" t="s">
        <v>391</v>
      </c>
    </row>
    <row r="1437" spans="3:11" outlineLevel="2" x14ac:dyDescent="0.3">
      <c r="C1437" s="9">
        <v>45069</v>
      </c>
      <c r="D1437" t="s">
        <v>12</v>
      </c>
      <c r="E1437" t="s">
        <v>9</v>
      </c>
      <c r="F1437" t="s">
        <v>10</v>
      </c>
      <c r="G1437" t="s">
        <v>41</v>
      </c>
      <c r="H1437">
        <v>650</v>
      </c>
      <c r="I1437">
        <v>8</v>
      </c>
      <c r="J1437" s="6">
        <f t="shared" si="101"/>
        <v>5.2</v>
      </c>
      <c r="K1437" t="s">
        <v>391</v>
      </c>
    </row>
    <row r="1438" spans="3:11" outlineLevel="2" x14ac:dyDescent="0.3">
      <c r="C1438" s="9">
        <v>45069</v>
      </c>
      <c r="D1438" t="s">
        <v>8</v>
      </c>
      <c r="E1438" t="s">
        <v>9</v>
      </c>
      <c r="F1438" t="s">
        <v>18</v>
      </c>
      <c r="G1438" t="s">
        <v>27</v>
      </c>
      <c r="H1438">
        <v>460</v>
      </c>
      <c r="I1438">
        <v>39</v>
      </c>
      <c r="J1438" s="6">
        <f t="shared" si="101"/>
        <v>17.940000000000001</v>
      </c>
      <c r="K1438" t="s">
        <v>391</v>
      </c>
    </row>
    <row r="1439" spans="3:11" outlineLevel="2" x14ac:dyDescent="0.3">
      <c r="C1439" s="9">
        <v>45069</v>
      </c>
      <c r="D1439" t="s">
        <v>45</v>
      </c>
      <c r="E1439" t="s">
        <v>26</v>
      </c>
      <c r="F1439" t="s">
        <v>10</v>
      </c>
      <c r="G1439" t="s">
        <v>41</v>
      </c>
      <c r="H1439">
        <v>650</v>
      </c>
      <c r="I1439">
        <v>55</v>
      </c>
      <c r="J1439" s="6">
        <f t="shared" si="101"/>
        <v>35.75</v>
      </c>
      <c r="K1439" t="s">
        <v>391</v>
      </c>
    </row>
    <row r="1440" spans="3:11" outlineLevel="2" x14ac:dyDescent="0.3">
      <c r="C1440" s="9">
        <v>45069</v>
      </c>
      <c r="D1440" t="s">
        <v>45</v>
      </c>
      <c r="E1440" t="s">
        <v>15</v>
      </c>
      <c r="F1440" t="s">
        <v>18</v>
      </c>
      <c r="G1440" t="s">
        <v>21</v>
      </c>
      <c r="H1440">
        <v>450</v>
      </c>
      <c r="I1440">
        <v>86</v>
      </c>
      <c r="J1440" s="6">
        <f t="shared" si="101"/>
        <v>38.700000000000003</v>
      </c>
      <c r="K1440" t="s">
        <v>391</v>
      </c>
    </row>
    <row r="1441" spans="3:11" outlineLevel="2" x14ac:dyDescent="0.3">
      <c r="C1441" s="9">
        <v>45069</v>
      </c>
      <c r="D1441" t="s">
        <v>8</v>
      </c>
      <c r="E1441" t="s">
        <v>33</v>
      </c>
      <c r="F1441" t="s">
        <v>13</v>
      </c>
      <c r="G1441" t="s">
        <v>22</v>
      </c>
      <c r="H1441">
        <v>930</v>
      </c>
      <c r="I1441">
        <v>45</v>
      </c>
      <c r="J1441" s="6">
        <f t="shared" si="101"/>
        <v>41.85</v>
      </c>
      <c r="K1441" t="s">
        <v>391</v>
      </c>
    </row>
    <row r="1442" spans="3:11" outlineLevel="2" x14ac:dyDescent="0.3">
      <c r="C1442" s="9">
        <v>45069</v>
      </c>
      <c r="D1442" t="s">
        <v>45</v>
      </c>
      <c r="E1442" t="s">
        <v>33</v>
      </c>
      <c r="F1442" t="s">
        <v>13</v>
      </c>
      <c r="G1442" t="s">
        <v>14</v>
      </c>
      <c r="H1442">
        <v>1320</v>
      </c>
      <c r="I1442">
        <v>82</v>
      </c>
      <c r="J1442" s="6">
        <f t="shared" si="101"/>
        <v>108.24</v>
      </c>
      <c r="K1442" t="s">
        <v>391</v>
      </c>
    </row>
    <row r="1443" spans="3:11" outlineLevel="2" x14ac:dyDescent="0.3">
      <c r="C1443" s="9">
        <v>45069</v>
      </c>
      <c r="D1443" t="s">
        <v>8</v>
      </c>
      <c r="E1443" t="s">
        <v>35</v>
      </c>
      <c r="F1443" t="s">
        <v>13</v>
      </c>
      <c r="G1443" t="s">
        <v>44</v>
      </c>
      <c r="H1443">
        <v>2540</v>
      </c>
      <c r="I1443">
        <v>97</v>
      </c>
      <c r="J1443" s="6">
        <f t="shared" si="101"/>
        <v>246.38</v>
      </c>
      <c r="K1443" t="s">
        <v>391</v>
      </c>
    </row>
    <row r="1444" spans="3:11" outlineLevel="2" x14ac:dyDescent="0.3">
      <c r="C1444" s="9">
        <v>45069</v>
      </c>
      <c r="D1444" t="s">
        <v>8</v>
      </c>
      <c r="E1444" t="s">
        <v>35</v>
      </c>
      <c r="F1444" t="s">
        <v>24</v>
      </c>
      <c r="G1444" t="s">
        <v>32</v>
      </c>
      <c r="H1444">
        <v>1505</v>
      </c>
      <c r="I1444">
        <v>32</v>
      </c>
      <c r="J1444" s="6">
        <f t="shared" si="101"/>
        <v>48.16</v>
      </c>
      <c r="K1444" t="s">
        <v>391</v>
      </c>
    </row>
    <row r="1445" spans="3:11" outlineLevel="1" x14ac:dyDescent="0.3">
      <c r="C1445" s="13" t="s">
        <v>157</v>
      </c>
      <c r="J1445" s="6">
        <f>SUBTOTAL(9,J1436:J1444)</f>
        <v>687</v>
      </c>
      <c r="K1445" t="s">
        <v>391</v>
      </c>
    </row>
    <row r="1446" spans="3:11" outlineLevel="2" x14ac:dyDescent="0.3">
      <c r="C1446" s="10">
        <v>45070</v>
      </c>
      <c r="D1446" s="11" t="s">
        <v>17</v>
      </c>
      <c r="E1446" s="11" t="s">
        <v>20</v>
      </c>
      <c r="F1446" s="11" t="s">
        <v>18</v>
      </c>
      <c r="G1446" s="11" t="s">
        <v>27</v>
      </c>
      <c r="H1446" s="11">
        <v>460</v>
      </c>
      <c r="I1446" s="11">
        <v>8</v>
      </c>
      <c r="J1446" s="6">
        <f t="shared" ref="J1446:J1455" si="102">H1446*I1446/1000</f>
        <v>3.68</v>
      </c>
      <c r="K1446" t="s">
        <v>391</v>
      </c>
    </row>
    <row r="1447" spans="3:11" outlineLevel="2" x14ac:dyDescent="0.3">
      <c r="C1447" s="9">
        <v>45070</v>
      </c>
      <c r="D1447" t="s">
        <v>8</v>
      </c>
      <c r="E1447" t="s">
        <v>20</v>
      </c>
      <c r="F1447" t="s">
        <v>24</v>
      </c>
      <c r="G1447" t="s">
        <v>36</v>
      </c>
      <c r="H1447">
        <v>2460</v>
      </c>
      <c r="I1447">
        <v>8</v>
      </c>
      <c r="J1447" s="6">
        <f t="shared" si="102"/>
        <v>19.68</v>
      </c>
      <c r="K1447" t="s">
        <v>391</v>
      </c>
    </row>
    <row r="1448" spans="3:11" outlineLevel="2" x14ac:dyDescent="0.3">
      <c r="C1448" s="9">
        <v>45070</v>
      </c>
      <c r="D1448" t="s">
        <v>8</v>
      </c>
      <c r="E1448" t="s">
        <v>26</v>
      </c>
      <c r="F1448" t="s">
        <v>24</v>
      </c>
      <c r="G1448" t="s">
        <v>30</v>
      </c>
      <c r="H1448">
        <v>2970</v>
      </c>
      <c r="I1448">
        <v>27</v>
      </c>
      <c r="J1448" s="6">
        <f t="shared" si="102"/>
        <v>80.19</v>
      </c>
      <c r="K1448" t="s">
        <v>391</v>
      </c>
    </row>
    <row r="1449" spans="3:11" outlineLevel="2" x14ac:dyDescent="0.3">
      <c r="C1449" s="9">
        <v>45070</v>
      </c>
      <c r="D1449" t="s">
        <v>17</v>
      </c>
      <c r="E1449" t="s">
        <v>15</v>
      </c>
      <c r="F1449" t="s">
        <v>10</v>
      </c>
      <c r="G1449" t="s">
        <v>40</v>
      </c>
      <c r="H1449">
        <v>540</v>
      </c>
      <c r="I1449">
        <v>60</v>
      </c>
      <c r="J1449" s="6">
        <f t="shared" si="102"/>
        <v>32.4</v>
      </c>
      <c r="K1449" t="s">
        <v>391</v>
      </c>
    </row>
    <row r="1450" spans="3:11" outlineLevel="2" x14ac:dyDescent="0.3">
      <c r="C1450" s="9">
        <v>45070</v>
      </c>
      <c r="D1450" t="s">
        <v>17</v>
      </c>
      <c r="E1450" t="s">
        <v>15</v>
      </c>
      <c r="F1450" t="s">
        <v>18</v>
      </c>
      <c r="G1450" t="s">
        <v>19</v>
      </c>
      <c r="H1450">
        <v>325</v>
      </c>
      <c r="I1450">
        <v>12</v>
      </c>
      <c r="J1450" s="6">
        <f t="shared" si="102"/>
        <v>3.9</v>
      </c>
      <c r="K1450" t="s">
        <v>391</v>
      </c>
    </row>
    <row r="1451" spans="3:11" outlineLevel="2" x14ac:dyDescent="0.3">
      <c r="C1451" s="9">
        <v>45070</v>
      </c>
      <c r="D1451" t="s">
        <v>12</v>
      </c>
      <c r="E1451" t="s">
        <v>15</v>
      </c>
      <c r="F1451" t="s">
        <v>18</v>
      </c>
      <c r="G1451" t="s">
        <v>19</v>
      </c>
      <c r="H1451">
        <v>325</v>
      </c>
      <c r="I1451">
        <v>17</v>
      </c>
      <c r="J1451" s="6">
        <f t="shared" si="102"/>
        <v>5.5250000000000004</v>
      </c>
      <c r="K1451" t="s">
        <v>391</v>
      </c>
    </row>
    <row r="1452" spans="3:11" outlineLevel="2" x14ac:dyDescent="0.3">
      <c r="C1452" s="9">
        <v>45070</v>
      </c>
      <c r="D1452" t="s">
        <v>45</v>
      </c>
      <c r="E1452" t="s">
        <v>15</v>
      </c>
      <c r="F1452" t="s">
        <v>13</v>
      </c>
      <c r="G1452" t="s">
        <v>38</v>
      </c>
      <c r="H1452">
        <v>2400</v>
      </c>
      <c r="I1452">
        <v>36</v>
      </c>
      <c r="J1452" s="6">
        <f t="shared" si="102"/>
        <v>86.4</v>
      </c>
      <c r="K1452" t="s">
        <v>391</v>
      </c>
    </row>
    <row r="1453" spans="3:11" outlineLevel="2" x14ac:dyDescent="0.3">
      <c r="C1453" s="9">
        <v>45070</v>
      </c>
      <c r="D1453" t="s">
        <v>17</v>
      </c>
      <c r="E1453" t="s">
        <v>33</v>
      </c>
      <c r="F1453" t="s">
        <v>10</v>
      </c>
      <c r="G1453" t="s">
        <v>40</v>
      </c>
      <c r="H1453">
        <v>540</v>
      </c>
      <c r="I1453">
        <v>19</v>
      </c>
      <c r="J1453" s="6">
        <f t="shared" si="102"/>
        <v>10.26</v>
      </c>
      <c r="K1453" t="s">
        <v>391</v>
      </c>
    </row>
    <row r="1454" spans="3:11" outlineLevel="2" x14ac:dyDescent="0.3">
      <c r="C1454" s="9">
        <v>45070</v>
      </c>
      <c r="D1454" t="s">
        <v>12</v>
      </c>
      <c r="E1454" t="s">
        <v>33</v>
      </c>
      <c r="F1454" t="s">
        <v>18</v>
      </c>
      <c r="G1454" t="s">
        <v>28</v>
      </c>
      <c r="H1454">
        <v>690</v>
      </c>
      <c r="I1454">
        <v>20</v>
      </c>
      <c r="J1454" s="6">
        <f t="shared" si="102"/>
        <v>13.8</v>
      </c>
      <c r="K1454" t="s">
        <v>391</v>
      </c>
    </row>
    <row r="1455" spans="3:11" outlineLevel="2" x14ac:dyDescent="0.3">
      <c r="C1455" s="9">
        <v>45070</v>
      </c>
      <c r="D1455" t="s">
        <v>45</v>
      </c>
      <c r="E1455" t="s">
        <v>33</v>
      </c>
      <c r="F1455" t="s">
        <v>24</v>
      </c>
      <c r="G1455" t="s">
        <v>25</v>
      </c>
      <c r="H1455">
        <v>1760</v>
      </c>
      <c r="I1455">
        <v>48</v>
      </c>
      <c r="J1455" s="6">
        <f t="shared" si="102"/>
        <v>84.48</v>
      </c>
      <c r="K1455" t="s">
        <v>391</v>
      </c>
    </row>
    <row r="1456" spans="3:11" outlineLevel="1" x14ac:dyDescent="0.3">
      <c r="C1456" s="13" t="s">
        <v>158</v>
      </c>
      <c r="J1456" s="6">
        <f>SUBTOTAL(9,J1446:J1455)</f>
        <v>340.315</v>
      </c>
      <c r="K1456" t="s">
        <v>391</v>
      </c>
    </row>
    <row r="1457" spans="3:11" outlineLevel="2" x14ac:dyDescent="0.3">
      <c r="C1457" s="10">
        <v>45071</v>
      </c>
      <c r="D1457" s="11" t="s">
        <v>17</v>
      </c>
      <c r="E1457" s="11" t="s">
        <v>20</v>
      </c>
      <c r="F1457" s="11" t="s">
        <v>10</v>
      </c>
      <c r="G1457" s="11" t="s">
        <v>16</v>
      </c>
      <c r="H1457" s="11">
        <v>1380</v>
      </c>
      <c r="I1457" s="11">
        <v>83</v>
      </c>
      <c r="J1457" s="6">
        <f t="shared" ref="J1457:J1469" si="103">H1457*I1457/1000</f>
        <v>114.54</v>
      </c>
      <c r="K1457" t="s">
        <v>391</v>
      </c>
    </row>
    <row r="1458" spans="3:11" outlineLevel="2" x14ac:dyDescent="0.3">
      <c r="C1458" s="9">
        <v>45071</v>
      </c>
      <c r="D1458" t="s">
        <v>12</v>
      </c>
      <c r="E1458" t="s">
        <v>20</v>
      </c>
      <c r="F1458" t="s">
        <v>24</v>
      </c>
      <c r="G1458" t="s">
        <v>32</v>
      </c>
      <c r="H1458">
        <v>1505</v>
      </c>
      <c r="I1458">
        <v>63</v>
      </c>
      <c r="J1458" s="6">
        <f t="shared" si="103"/>
        <v>94.814999999999998</v>
      </c>
      <c r="K1458" t="s">
        <v>391</v>
      </c>
    </row>
    <row r="1459" spans="3:11" outlineLevel="2" x14ac:dyDescent="0.3">
      <c r="C1459" s="9">
        <v>45071</v>
      </c>
      <c r="D1459" t="s">
        <v>12</v>
      </c>
      <c r="E1459" t="s">
        <v>9</v>
      </c>
      <c r="F1459" t="s">
        <v>18</v>
      </c>
      <c r="G1459" t="s">
        <v>28</v>
      </c>
      <c r="H1459">
        <v>690</v>
      </c>
      <c r="I1459">
        <v>13</v>
      </c>
      <c r="J1459" s="6">
        <f t="shared" si="103"/>
        <v>8.9700000000000006</v>
      </c>
      <c r="K1459" t="s">
        <v>391</v>
      </c>
    </row>
    <row r="1460" spans="3:11" outlineLevel="2" x14ac:dyDescent="0.3">
      <c r="C1460" s="9">
        <v>45071</v>
      </c>
      <c r="D1460" t="s">
        <v>45</v>
      </c>
      <c r="E1460" t="s">
        <v>9</v>
      </c>
      <c r="F1460" t="s">
        <v>18</v>
      </c>
      <c r="G1460" t="s">
        <v>37</v>
      </c>
      <c r="H1460">
        <v>890</v>
      </c>
      <c r="I1460">
        <v>69</v>
      </c>
      <c r="J1460" s="6">
        <f t="shared" si="103"/>
        <v>61.41</v>
      </c>
      <c r="K1460" t="s">
        <v>391</v>
      </c>
    </row>
    <row r="1461" spans="3:11" outlineLevel="2" x14ac:dyDescent="0.3">
      <c r="C1461" s="9">
        <v>45071</v>
      </c>
      <c r="D1461" t="s">
        <v>17</v>
      </c>
      <c r="E1461" t="s">
        <v>9</v>
      </c>
      <c r="F1461" t="s">
        <v>18</v>
      </c>
      <c r="G1461" t="s">
        <v>37</v>
      </c>
      <c r="H1461">
        <v>890</v>
      </c>
      <c r="I1461">
        <v>86</v>
      </c>
      <c r="J1461" s="6">
        <f t="shared" si="103"/>
        <v>76.540000000000006</v>
      </c>
      <c r="K1461" t="s">
        <v>391</v>
      </c>
    </row>
    <row r="1462" spans="3:11" outlineLevel="2" x14ac:dyDescent="0.3">
      <c r="C1462" s="9">
        <v>45071</v>
      </c>
      <c r="D1462" t="s">
        <v>12</v>
      </c>
      <c r="E1462" t="s">
        <v>9</v>
      </c>
      <c r="F1462" t="s">
        <v>18</v>
      </c>
      <c r="G1462" t="s">
        <v>31</v>
      </c>
      <c r="H1462">
        <v>715</v>
      </c>
      <c r="I1462">
        <v>88</v>
      </c>
      <c r="J1462" s="6">
        <f t="shared" si="103"/>
        <v>62.92</v>
      </c>
      <c r="K1462" t="s">
        <v>391</v>
      </c>
    </row>
    <row r="1463" spans="3:11" outlineLevel="2" x14ac:dyDescent="0.3">
      <c r="C1463" s="9">
        <v>45071</v>
      </c>
      <c r="D1463" t="s">
        <v>45</v>
      </c>
      <c r="E1463" t="s">
        <v>9</v>
      </c>
      <c r="F1463" t="s">
        <v>24</v>
      </c>
      <c r="G1463" t="s">
        <v>34</v>
      </c>
      <c r="H1463">
        <v>1670</v>
      </c>
      <c r="I1463">
        <v>44</v>
      </c>
      <c r="J1463" s="6">
        <f t="shared" si="103"/>
        <v>73.48</v>
      </c>
      <c r="K1463" t="s">
        <v>391</v>
      </c>
    </row>
    <row r="1464" spans="3:11" outlineLevel="2" x14ac:dyDescent="0.3">
      <c r="C1464" s="9">
        <v>45071</v>
      </c>
      <c r="D1464" t="s">
        <v>12</v>
      </c>
      <c r="E1464" t="s">
        <v>26</v>
      </c>
      <c r="F1464" t="s">
        <v>10</v>
      </c>
      <c r="G1464" t="s">
        <v>41</v>
      </c>
      <c r="H1464">
        <v>650</v>
      </c>
      <c r="I1464">
        <v>72</v>
      </c>
      <c r="J1464" s="6">
        <f t="shared" si="103"/>
        <v>46.8</v>
      </c>
      <c r="K1464" t="s">
        <v>391</v>
      </c>
    </row>
    <row r="1465" spans="3:11" outlineLevel="2" x14ac:dyDescent="0.3">
      <c r="C1465" s="9">
        <v>45071</v>
      </c>
      <c r="D1465" t="s">
        <v>45</v>
      </c>
      <c r="E1465" t="s">
        <v>26</v>
      </c>
      <c r="F1465" t="s">
        <v>10</v>
      </c>
      <c r="G1465" t="s">
        <v>40</v>
      </c>
      <c r="H1465">
        <v>540</v>
      </c>
      <c r="I1465">
        <v>91</v>
      </c>
      <c r="J1465" s="6">
        <f t="shared" si="103"/>
        <v>49.14</v>
      </c>
      <c r="K1465" t="s">
        <v>391</v>
      </c>
    </row>
    <row r="1466" spans="3:11" outlineLevel="2" x14ac:dyDescent="0.3">
      <c r="C1466" s="9">
        <v>45071</v>
      </c>
      <c r="D1466" t="s">
        <v>8</v>
      </c>
      <c r="E1466" t="s">
        <v>33</v>
      </c>
      <c r="F1466" t="s">
        <v>18</v>
      </c>
      <c r="G1466" t="s">
        <v>19</v>
      </c>
      <c r="H1466">
        <v>325</v>
      </c>
      <c r="I1466">
        <v>61</v>
      </c>
      <c r="J1466" s="6">
        <f t="shared" si="103"/>
        <v>19.824999999999999</v>
      </c>
      <c r="K1466" t="s">
        <v>391</v>
      </c>
    </row>
    <row r="1467" spans="3:11" outlineLevel="2" x14ac:dyDescent="0.3">
      <c r="C1467" s="9">
        <v>45071</v>
      </c>
      <c r="D1467" t="s">
        <v>8</v>
      </c>
      <c r="E1467" t="s">
        <v>33</v>
      </c>
      <c r="F1467" t="s">
        <v>13</v>
      </c>
      <c r="G1467" t="s">
        <v>43</v>
      </c>
      <c r="H1467">
        <v>1420</v>
      </c>
      <c r="I1467">
        <v>82</v>
      </c>
      <c r="J1467" s="6">
        <f t="shared" si="103"/>
        <v>116.44</v>
      </c>
      <c r="K1467" t="s">
        <v>391</v>
      </c>
    </row>
    <row r="1468" spans="3:11" outlineLevel="2" x14ac:dyDescent="0.3">
      <c r="C1468" s="9">
        <v>45071</v>
      </c>
      <c r="D1468" t="s">
        <v>8</v>
      </c>
      <c r="E1468" t="s">
        <v>33</v>
      </c>
      <c r="F1468" t="s">
        <v>24</v>
      </c>
      <c r="G1468" t="s">
        <v>32</v>
      </c>
      <c r="H1468">
        <v>1505</v>
      </c>
      <c r="I1468">
        <v>59</v>
      </c>
      <c r="J1468" s="6">
        <f t="shared" si="103"/>
        <v>88.795000000000002</v>
      </c>
      <c r="K1468" t="s">
        <v>391</v>
      </c>
    </row>
    <row r="1469" spans="3:11" outlineLevel="2" x14ac:dyDescent="0.3">
      <c r="C1469" s="9">
        <v>45071</v>
      </c>
      <c r="D1469" t="s">
        <v>17</v>
      </c>
      <c r="E1469" t="s">
        <v>35</v>
      </c>
      <c r="F1469" t="s">
        <v>10</v>
      </c>
      <c r="G1469" t="s">
        <v>11</v>
      </c>
      <c r="H1469">
        <v>705</v>
      </c>
      <c r="I1469">
        <v>50</v>
      </c>
      <c r="J1469" s="6">
        <f t="shared" si="103"/>
        <v>35.25</v>
      </c>
      <c r="K1469" t="s">
        <v>391</v>
      </c>
    </row>
    <row r="1470" spans="3:11" outlineLevel="1" x14ac:dyDescent="0.3">
      <c r="C1470" s="13" t="s">
        <v>159</v>
      </c>
      <c r="J1470" s="6">
        <f>SUBTOTAL(9,J1457:J1469)</f>
        <v>848.92500000000007</v>
      </c>
      <c r="K1470" t="s">
        <v>391</v>
      </c>
    </row>
    <row r="1471" spans="3:11" outlineLevel="2" x14ac:dyDescent="0.3">
      <c r="C1471" s="10">
        <v>45072</v>
      </c>
      <c r="D1471" s="11" t="s">
        <v>45</v>
      </c>
      <c r="E1471" s="11" t="s">
        <v>20</v>
      </c>
      <c r="F1471" s="11" t="s">
        <v>18</v>
      </c>
      <c r="G1471" s="11" t="s">
        <v>21</v>
      </c>
      <c r="H1471" s="11">
        <v>450</v>
      </c>
      <c r="I1471" s="11">
        <v>89</v>
      </c>
      <c r="J1471" s="6">
        <f t="shared" ref="J1471:J1482" si="104">H1471*I1471/1000</f>
        <v>40.049999999999997</v>
      </c>
      <c r="K1471" t="s">
        <v>391</v>
      </c>
    </row>
    <row r="1472" spans="3:11" outlineLevel="2" x14ac:dyDescent="0.3">
      <c r="C1472" s="9">
        <v>45072</v>
      </c>
      <c r="D1472" t="s">
        <v>8</v>
      </c>
      <c r="E1472" t="s">
        <v>20</v>
      </c>
      <c r="F1472" t="s">
        <v>18</v>
      </c>
      <c r="G1472" t="s">
        <v>37</v>
      </c>
      <c r="H1472">
        <v>890</v>
      </c>
      <c r="I1472">
        <v>97</v>
      </c>
      <c r="J1472" s="6">
        <f t="shared" si="104"/>
        <v>86.33</v>
      </c>
      <c r="K1472" t="s">
        <v>391</v>
      </c>
    </row>
    <row r="1473" spans="3:11" outlineLevel="2" x14ac:dyDescent="0.3">
      <c r="C1473" s="10">
        <v>45072</v>
      </c>
      <c r="D1473" s="11" t="s">
        <v>8</v>
      </c>
      <c r="E1473" s="11" t="s">
        <v>20</v>
      </c>
      <c r="F1473" s="11" t="s">
        <v>18</v>
      </c>
      <c r="G1473" s="11" t="s">
        <v>28</v>
      </c>
      <c r="H1473" s="11">
        <v>690</v>
      </c>
      <c r="I1473" s="11">
        <v>95</v>
      </c>
      <c r="J1473" s="6">
        <f t="shared" si="104"/>
        <v>65.55</v>
      </c>
      <c r="K1473" t="s">
        <v>391</v>
      </c>
    </row>
    <row r="1474" spans="3:11" outlineLevel="2" x14ac:dyDescent="0.3">
      <c r="C1474" s="9">
        <v>45072</v>
      </c>
      <c r="D1474" t="s">
        <v>12</v>
      </c>
      <c r="E1474" t="s">
        <v>20</v>
      </c>
      <c r="F1474" t="s">
        <v>18</v>
      </c>
      <c r="G1474" t="s">
        <v>27</v>
      </c>
      <c r="H1474">
        <v>460</v>
      </c>
      <c r="I1474">
        <v>21</v>
      </c>
      <c r="J1474" s="6">
        <f t="shared" si="104"/>
        <v>9.66</v>
      </c>
      <c r="K1474" t="s">
        <v>391</v>
      </c>
    </row>
    <row r="1475" spans="3:11" outlineLevel="2" x14ac:dyDescent="0.3">
      <c r="C1475" s="10">
        <v>45072</v>
      </c>
      <c r="D1475" s="11" t="s">
        <v>45</v>
      </c>
      <c r="E1475" s="11" t="s">
        <v>20</v>
      </c>
      <c r="F1475" s="11" t="s">
        <v>18</v>
      </c>
      <c r="G1475" s="11" t="s">
        <v>37</v>
      </c>
      <c r="H1475" s="11">
        <v>890</v>
      </c>
      <c r="I1475" s="11">
        <v>9</v>
      </c>
      <c r="J1475" s="6">
        <f t="shared" si="104"/>
        <v>8.01</v>
      </c>
      <c r="K1475" t="s">
        <v>391</v>
      </c>
    </row>
    <row r="1476" spans="3:11" outlineLevel="2" x14ac:dyDescent="0.3">
      <c r="C1476" s="9">
        <v>45072</v>
      </c>
      <c r="D1476" t="s">
        <v>45</v>
      </c>
      <c r="E1476" t="s">
        <v>20</v>
      </c>
      <c r="F1476" t="s">
        <v>13</v>
      </c>
      <c r="G1476" t="s">
        <v>14</v>
      </c>
      <c r="H1476">
        <v>1320</v>
      </c>
      <c r="I1476">
        <v>22</v>
      </c>
      <c r="J1476" s="6">
        <f t="shared" si="104"/>
        <v>29.04</v>
      </c>
      <c r="K1476" t="s">
        <v>391</v>
      </c>
    </row>
    <row r="1477" spans="3:11" outlineLevel="2" x14ac:dyDescent="0.3">
      <c r="C1477" s="10">
        <v>45072</v>
      </c>
      <c r="D1477" s="11" t="s">
        <v>8</v>
      </c>
      <c r="E1477" s="11" t="s">
        <v>20</v>
      </c>
      <c r="F1477" s="11" t="s">
        <v>24</v>
      </c>
      <c r="G1477" s="11" t="s">
        <v>34</v>
      </c>
      <c r="H1477" s="11">
        <v>1670</v>
      </c>
      <c r="I1477" s="11">
        <v>90</v>
      </c>
      <c r="J1477" s="6">
        <f t="shared" si="104"/>
        <v>150.30000000000001</v>
      </c>
      <c r="K1477" t="s">
        <v>391</v>
      </c>
    </row>
    <row r="1478" spans="3:11" outlineLevel="2" x14ac:dyDescent="0.3">
      <c r="C1478" s="9">
        <v>45072</v>
      </c>
      <c r="D1478" t="s">
        <v>12</v>
      </c>
      <c r="E1478" t="s">
        <v>26</v>
      </c>
      <c r="F1478" t="s">
        <v>13</v>
      </c>
      <c r="G1478" t="s">
        <v>44</v>
      </c>
      <c r="H1478">
        <v>2540</v>
      </c>
      <c r="I1478">
        <v>97</v>
      </c>
      <c r="J1478" s="6">
        <f t="shared" si="104"/>
        <v>246.38</v>
      </c>
      <c r="K1478" t="s">
        <v>391</v>
      </c>
    </row>
    <row r="1479" spans="3:11" outlineLevel="2" x14ac:dyDescent="0.3">
      <c r="C1479" s="9">
        <v>45072</v>
      </c>
      <c r="D1479" t="s">
        <v>45</v>
      </c>
      <c r="E1479" t="s">
        <v>26</v>
      </c>
      <c r="F1479" t="s">
        <v>24</v>
      </c>
      <c r="G1479" t="s">
        <v>34</v>
      </c>
      <c r="H1479">
        <v>1670</v>
      </c>
      <c r="I1479">
        <v>14</v>
      </c>
      <c r="J1479" s="6">
        <f t="shared" si="104"/>
        <v>23.38</v>
      </c>
      <c r="K1479" t="s">
        <v>391</v>
      </c>
    </row>
    <row r="1480" spans="3:11" outlineLevel="2" x14ac:dyDescent="0.3">
      <c r="C1480" s="9">
        <v>45072</v>
      </c>
      <c r="D1480" t="s">
        <v>17</v>
      </c>
      <c r="E1480" t="s">
        <v>15</v>
      </c>
      <c r="F1480" t="s">
        <v>10</v>
      </c>
      <c r="G1480" t="s">
        <v>41</v>
      </c>
      <c r="H1480">
        <v>650</v>
      </c>
      <c r="I1480">
        <v>30</v>
      </c>
      <c r="J1480" s="6">
        <f t="shared" si="104"/>
        <v>19.5</v>
      </c>
      <c r="K1480" t="s">
        <v>391</v>
      </c>
    </row>
    <row r="1481" spans="3:11" outlineLevel="2" x14ac:dyDescent="0.3">
      <c r="C1481" s="9">
        <v>45072</v>
      </c>
      <c r="D1481" t="s">
        <v>12</v>
      </c>
      <c r="E1481" t="s">
        <v>15</v>
      </c>
      <c r="F1481" t="s">
        <v>18</v>
      </c>
      <c r="G1481" t="s">
        <v>21</v>
      </c>
      <c r="H1481">
        <v>450</v>
      </c>
      <c r="I1481">
        <v>52</v>
      </c>
      <c r="J1481" s="6">
        <f t="shared" si="104"/>
        <v>23.4</v>
      </c>
      <c r="K1481" t="s">
        <v>391</v>
      </c>
    </row>
    <row r="1482" spans="3:11" outlineLevel="2" x14ac:dyDescent="0.3">
      <c r="C1482" s="9">
        <v>45072</v>
      </c>
      <c r="D1482" t="s">
        <v>12</v>
      </c>
      <c r="E1482" t="s">
        <v>35</v>
      </c>
      <c r="F1482" t="s">
        <v>18</v>
      </c>
      <c r="G1482" t="s">
        <v>21</v>
      </c>
      <c r="H1482">
        <v>450</v>
      </c>
      <c r="I1482">
        <v>61</v>
      </c>
      <c r="J1482" s="6">
        <f t="shared" si="104"/>
        <v>27.45</v>
      </c>
      <c r="K1482" t="s">
        <v>391</v>
      </c>
    </row>
    <row r="1483" spans="3:11" outlineLevel="1" x14ac:dyDescent="0.3">
      <c r="C1483" s="13" t="s">
        <v>160</v>
      </c>
      <c r="J1483" s="6">
        <f>SUBTOTAL(9,J1471:J1482)</f>
        <v>729.05</v>
      </c>
      <c r="K1483" t="s">
        <v>391</v>
      </c>
    </row>
    <row r="1484" spans="3:11" outlineLevel="2" x14ac:dyDescent="0.3">
      <c r="C1484" s="9">
        <v>45073</v>
      </c>
      <c r="D1484" t="s">
        <v>8</v>
      </c>
      <c r="E1484" t="s">
        <v>20</v>
      </c>
      <c r="F1484" t="s">
        <v>10</v>
      </c>
      <c r="G1484" t="s">
        <v>16</v>
      </c>
      <c r="H1484">
        <v>1380</v>
      </c>
      <c r="I1484">
        <v>10</v>
      </c>
      <c r="J1484" s="6">
        <f t="shared" ref="J1484:J1489" si="105">H1484*I1484/1000</f>
        <v>13.8</v>
      </c>
      <c r="K1484" t="s">
        <v>391</v>
      </c>
    </row>
    <row r="1485" spans="3:11" outlineLevel="2" x14ac:dyDescent="0.3">
      <c r="C1485" s="10">
        <v>45073</v>
      </c>
      <c r="D1485" s="11" t="s">
        <v>8</v>
      </c>
      <c r="E1485" s="11" t="s">
        <v>20</v>
      </c>
      <c r="F1485" s="11" t="s">
        <v>24</v>
      </c>
      <c r="G1485" s="11" t="s">
        <v>34</v>
      </c>
      <c r="H1485" s="11">
        <v>1670</v>
      </c>
      <c r="I1485" s="11">
        <v>85</v>
      </c>
      <c r="J1485" s="6">
        <f t="shared" si="105"/>
        <v>141.94999999999999</v>
      </c>
      <c r="K1485" t="s">
        <v>391</v>
      </c>
    </row>
    <row r="1486" spans="3:11" outlineLevel="2" x14ac:dyDescent="0.3">
      <c r="C1486" s="9">
        <v>45073</v>
      </c>
      <c r="D1486" t="s">
        <v>12</v>
      </c>
      <c r="E1486" t="s">
        <v>26</v>
      </c>
      <c r="F1486" t="s">
        <v>10</v>
      </c>
      <c r="G1486" t="s">
        <v>41</v>
      </c>
      <c r="H1486">
        <v>650</v>
      </c>
      <c r="I1486">
        <v>58</v>
      </c>
      <c r="J1486" s="6">
        <f t="shared" si="105"/>
        <v>37.700000000000003</v>
      </c>
      <c r="K1486" t="s">
        <v>391</v>
      </c>
    </row>
    <row r="1487" spans="3:11" outlineLevel="2" x14ac:dyDescent="0.3">
      <c r="C1487" s="9">
        <v>45073</v>
      </c>
      <c r="D1487" t="s">
        <v>12</v>
      </c>
      <c r="E1487" t="s">
        <v>26</v>
      </c>
      <c r="F1487" t="s">
        <v>13</v>
      </c>
      <c r="G1487" t="s">
        <v>14</v>
      </c>
      <c r="H1487">
        <v>1320</v>
      </c>
      <c r="I1487">
        <v>61</v>
      </c>
      <c r="J1487" s="6">
        <f t="shared" si="105"/>
        <v>80.52</v>
      </c>
      <c r="K1487" t="s">
        <v>391</v>
      </c>
    </row>
    <row r="1488" spans="3:11" outlineLevel="2" x14ac:dyDescent="0.3">
      <c r="C1488" s="9">
        <v>45073</v>
      </c>
      <c r="D1488" t="s">
        <v>45</v>
      </c>
      <c r="E1488" t="s">
        <v>33</v>
      </c>
      <c r="F1488" t="s">
        <v>24</v>
      </c>
      <c r="G1488" t="s">
        <v>25</v>
      </c>
      <c r="H1488">
        <v>1760</v>
      </c>
      <c r="I1488">
        <v>45</v>
      </c>
      <c r="J1488" s="6">
        <f t="shared" si="105"/>
        <v>79.2</v>
      </c>
      <c r="K1488" t="s">
        <v>391</v>
      </c>
    </row>
    <row r="1489" spans="3:11" outlineLevel="2" x14ac:dyDescent="0.3">
      <c r="C1489" s="9">
        <v>45073</v>
      </c>
      <c r="D1489" t="s">
        <v>12</v>
      </c>
      <c r="E1489" t="s">
        <v>33</v>
      </c>
      <c r="F1489" t="s">
        <v>24</v>
      </c>
      <c r="G1489" t="s">
        <v>36</v>
      </c>
      <c r="H1489">
        <v>2460</v>
      </c>
      <c r="I1489">
        <v>5</v>
      </c>
      <c r="J1489" s="6">
        <f t="shared" si="105"/>
        <v>12.3</v>
      </c>
      <c r="K1489" t="s">
        <v>391</v>
      </c>
    </row>
    <row r="1490" spans="3:11" outlineLevel="1" x14ac:dyDescent="0.3">
      <c r="C1490" s="13" t="s">
        <v>161</v>
      </c>
      <c r="J1490" s="6">
        <f>SUBTOTAL(9,J1484:J1489)</f>
        <v>365.46999999999997</v>
      </c>
      <c r="K1490" t="s">
        <v>391</v>
      </c>
    </row>
    <row r="1491" spans="3:11" outlineLevel="2" x14ac:dyDescent="0.3">
      <c r="C1491" s="9">
        <v>45074</v>
      </c>
      <c r="D1491" t="s">
        <v>45</v>
      </c>
      <c r="E1491" t="s">
        <v>9</v>
      </c>
      <c r="F1491" t="s">
        <v>18</v>
      </c>
      <c r="G1491" t="s">
        <v>31</v>
      </c>
      <c r="H1491">
        <v>715</v>
      </c>
      <c r="I1491">
        <v>75</v>
      </c>
      <c r="J1491" s="6">
        <f>H1491*I1491/1000</f>
        <v>53.625</v>
      </c>
      <c r="K1491" t="s">
        <v>391</v>
      </c>
    </row>
    <row r="1492" spans="3:11" outlineLevel="2" x14ac:dyDescent="0.3">
      <c r="C1492" s="9">
        <v>45074</v>
      </c>
      <c r="D1492" t="s">
        <v>45</v>
      </c>
      <c r="E1492" t="s">
        <v>26</v>
      </c>
      <c r="F1492" t="s">
        <v>24</v>
      </c>
      <c r="G1492" t="s">
        <v>34</v>
      </c>
      <c r="H1492">
        <v>1670</v>
      </c>
      <c r="I1492">
        <v>37</v>
      </c>
      <c r="J1492" s="6">
        <f>H1492*I1492/1000</f>
        <v>61.79</v>
      </c>
      <c r="K1492" t="s">
        <v>391</v>
      </c>
    </row>
    <row r="1493" spans="3:11" outlineLevel="2" x14ac:dyDescent="0.3">
      <c r="C1493" s="9">
        <v>45074</v>
      </c>
      <c r="D1493" t="s">
        <v>8</v>
      </c>
      <c r="E1493" t="s">
        <v>33</v>
      </c>
      <c r="F1493" t="s">
        <v>13</v>
      </c>
      <c r="G1493" t="s">
        <v>22</v>
      </c>
      <c r="H1493">
        <v>930</v>
      </c>
      <c r="I1493">
        <v>56</v>
      </c>
      <c r="J1493" s="6">
        <f>H1493*I1493/1000</f>
        <v>52.08</v>
      </c>
      <c r="K1493" t="s">
        <v>391</v>
      </c>
    </row>
    <row r="1494" spans="3:11" outlineLevel="2" x14ac:dyDescent="0.3">
      <c r="C1494" s="9">
        <v>45074</v>
      </c>
      <c r="D1494" t="s">
        <v>8</v>
      </c>
      <c r="E1494" t="s">
        <v>35</v>
      </c>
      <c r="F1494" t="s">
        <v>18</v>
      </c>
      <c r="G1494" t="s">
        <v>37</v>
      </c>
      <c r="H1494">
        <v>890</v>
      </c>
      <c r="I1494">
        <v>25</v>
      </c>
      <c r="J1494" s="6">
        <f>H1494*I1494/1000</f>
        <v>22.25</v>
      </c>
      <c r="K1494" t="s">
        <v>391</v>
      </c>
    </row>
    <row r="1495" spans="3:11" outlineLevel="2" x14ac:dyDescent="0.3">
      <c r="C1495" s="9">
        <v>45074</v>
      </c>
      <c r="D1495" t="s">
        <v>17</v>
      </c>
      <c r="E1495" t="s">
        <v>35</v>
      </c>
      <c r="F1495" t="s">
        <v>13</v>
      </c>
      <c r="G1495" t="s">
        <v>38</v>
      </c>
      <c r="H1495">
        <v>2400</v>
      </c>
      <c r="I1495">
        <v>67</v>
      </c>
      <c r="J1495" s="6">
        <f>H1495*I1495/1000</f>
        <v>160.80000000000001</v>
      </c>
      <c r="K1495" t="s">
        <v>391</v>
      </c>
    </row>
    <row r="1496" spans="3:11" outlineLevel="1" x14ac:dyDescent="0.3">
      <c r="C1496" s="13" t="s">
        <v>162</v>
      </c>
      <c r="J1496" s="6">
        <f>SUBTOTAL(9,J1491:J1495)</f>
        <v>350.54500000000002</v>
      </c>
      <c r="K1496" t="s">
        <v>391</v>
      </c>
    </row>
    <row r="1497" spans="3:11" outlineLevel="2" x14ac:dyDescent="0.3">
      <c r="C1497" s="9">
        <v>45075</v>
      </c>
      <c r="D1497" t="s">
        <v>8</v>
      </c>
      <c r="E1497" t="s">
        <v>20</v>
      </c>
      <c r="F1497" t="s">
        <v>10</v>
      </c>
      <c r="G1497" t="s">
        <v>23</v>
      </c>
      <c r="H1497">
        <v>640</v>
      </c>
      <c r="I1497">
        <v>7</v>
      </c>
      <c r="J1497" s="6">
        <f t="shared" ref="J1497:J1510" si="106">H1497*I1497/1000</f>
        <v>4.4800000000000004</v>
      </c>
      <c r="K1497" t="s">
        <v>391</v>
      </c>
    </row>
    <row r="1498" spans="3:11" outlineLevel="2" x14ac:dyDescent="0.3">
      <c r="C1498" s="9">
        <v>45075</v>
      </c>
      <c r="D1498" t="s">
        <v>45</v>
      </c>
      <c r="E1498" t="s">
        <v>9</v>
      </c>
      <c r="F1498" t="s">
        <v>10</v>
      </c>
      <c r="G1498" t="s">
        <v>23</v>
      </c>
      <c r="H1498">
        <v>640</v>
      </c>
      <c r="I1498">
        <v>52</v>
      </c>
      <c r="J1498" s="6">
        <f t="shared" si="106"/>
        <v>33.28</v>
      </c>
      <c r="K1498" t="s">
        <v>391</v>
      </c>
    </row>
    <row r="1499" spans="3:11" outlineLevel="2" x14ac:dyDescent="0.3">
      <c r="C1499" s="9">
        <v>45075</v>
      </c>
      <c r="D1499" t="s">
        <v>12</v>
      </c>
      <c r="E1499" t="s">
        <v>9</v>
      </c>
      <c r="F1499" t="s">
        <v>13</v>
      </c>
      <c r="G1499" t="s">
        <v>43</v>
      </c>
      <c r="H1499">
        <v>1420</v>
      </c>
      <c r="I1499">
        <v>93</v>
      </c>
      <c r="J1499" s="6">
        <f t="shared" si="106"/>
        <v>132.06</v>
      </c>
      <c r="K1499" t="s">
        <v>391</v>
      </c>
    </row>
    <row r="1500" spans="3:11" outlineLevel="2" x14ac:dyDescent="0.3">
      <c r="C1500" s="9">
        <v>45075</v>
      </c>
      <c r="D1500" t="s">
        <v>17</v>
      </c>
      <c r="E1500" t="s">
        <v>9</v>
      </c>
      <c r="F1500" t="s">
        <v>24</v>
      </c>
      <c r="G1500" t="s">
        <v>34</v>
      </c>
      <c r="H1500">
        <v>1670</v>
      </c>
      <c r="I1500">
        <v>6</v>
      </c>
      <c r="J1500" s="6">
        <f t="shared" si="106"/>
        <v>10.02</v>
      </c>
      <c r="K1500" t="s">
        <v>391</v>
      </c>
    </row>
    <row r="1501" spans="3:11" outlineLevel="2" x14ac:dyDescent="0.3">
      <c r="C1501" s="9">
        <v>45075</v>
      </c>
      <c r="D1501" t="s">
        <v>12</v>
      </c>
      <c r="E1501" t="s">
        <v>26</v>
      </c>
      <c r="F1501" t="s">
        <v>18</v>
      </c>
      <c r="G1501" t="s">
        <v>21</v>
      </c>
      <c r="H1501">
        <v>450</v>
      </c>
      <c r="I1501">
        <v>18</v>
      </c>
      <c r="J1501" s="6">
        <f t="shared" si="106"/>
        <v>8.1</v>
      </c>
      <c r="K1501" t="s">
        <v>391</v>
      </c>
    </row>
    <row r="1502" spans="3:11" outlineLevel="2" x14ac:dyDescent="0.3">
      <c r="C1502" s="9">
        <v>45075</v>
      </c>
      <c r="D1502" t="s">
        <v>12</v>
      </c>
      <c r="E1502" t="s">
        <v>26</v>
      </c>
      <c r="F1502" t="s">
        <v>18</v>
      </c>
      <c r="G1502" t="s">
        <v>27</v>
      </c>
      <c r="H1502">
        <v>460</v>
      </c>
      <c r="I1502">
        <v>17</v>
      </c>
      <c r="J1502" s="6">
        <f t="shared" si="106"/>
        <v>7.82</v>
      </c>
      <c r="K1502" t="s">
        <v>391</v>
      </c>
    </row>
    <row r="1503" spans="3:11" outlineLevel="2" x14ac:dyDescent="0.3">
      <c r="C1503" s="9">
        <v>45075</v>
      </c>
      <c r="D1503" t="s">
        <v>8</v>
      </c>
      <c r="E1503" t="s">
        <v>26</v>
      </c>
      <c r="F1503" t="s">
        <v>13</v>
      </c>
      <c r="G1503" t="s">
        <v>38</v>
      </c>
      <c r="H1503">
        <v>2400</v>
      </c>
      <c r="I1503">
        <v>88</v>
      </c>
      <c r="J1503" s="6">
        <f t="shared" si="106"/>
        <v>211.2</v>
      </c>
      <c r="K1503" t="s">
        <v>391</v>
      </c>
    </row>
    <row r="1504" spans="3:11" outlineLevel="2" x14ac:dyDescent="0.3">
      <c r="C1504" s="9">
        <v>45075</v>
      </c>
      <c r="D1504" t="s">
        <v>12</v>
      </c>
      <c r="E1504" t="s">
        <v>26</v>
      </c>
      <c r="F1504" t="s">
        <v>24</v>
      </c>
      <c r="G1504" t="s">
        <v>30</v>
      </c>
      <c r="H1504">
        <v>2970</v>
      </c>
      <c r="I1504">
        <v>68</v>
      </c>
      <c r="J1504" s="6">
        <f t="shared" si="106"/>
        <v>201.96</v>
      </c>
      <c r="K1504" t="s">
        <v>391</v>
      </c>
    </row>
    <row r="1505" spans="3:11" outlineLevel="2" x14ac:dyDescent="0.3">
      <c r="C1505" s="9">
        <v>45075</v>
      </c>
      <c r="D1505" t="s">
        <v>45</v>
      </c>
      <c r="E1505" t="s">
        <v>15</v>
      </c>
      <c r="F1505" t="s">
        <v>18</v>
      </c>
      <c r="G1505" t="s">
        <v>37</v>
      </c>
      <c r="H1505">
        <v>890</v>
      </c>
      <c r="I1505">
        <v>95</v>
      </c>
      <c r="J1505" s="6">
        <f t="shared" si="106"/>
        <v>84.55</v>
      </c>
      <c r="K1505" t="s">
        <v>391</v>
      </c>
    </row>
    <row r="1506" spans="3:11" outlineLevel="2" x14ac:dyDescent="0.3">
      <c r="C1506" s="9">
        <v>45075</v>
      </c>
      <c r="D1506" t="s">
        <v>8</v>
      </c>
      <c r="E1506" t="s">
        <v>15</v>
      </c>
      <c r="F1506" t="s">
        <v>24</v>
      </c>
      <c r="G1506" t="s">
        <v>42</v>
      </c>
      <c r="H1506">
        <v>3205</v>
      </c>
      <c r="I1506">
        <v>94</v>
      </c>
      <c r="J1506" s="6">
        <f t="shared" si="106"/>
        <v>301.27</v>
      </c>
      <c r="K1506" t="s">
        <v>391</v>
      </c>
    </row>
    <row r="1507" spans="3:11" outlineLevel="2" x14ac:dyDescent="0.3">
      <c r="C1507" s="9">
        <v>45075</v>
      </c>
      <c r="D1507" t="s">
        <v>8</v>
      </c>
      <c r="E1507" t="s">
        <v>33</v>
      </c>
      <c r="F1507" t="s">
        <v>18</v>
      </c>
      <c r="G1507" t="s">
        <v>28</v>
      </c>
      <c r="H1507">
        <v>690</v>
      </c>
      <c r="I1507">
        <v>30</v>
      </c>
      <c r="J1507" s="6">
        <f t="shared" si="106"/>
        <v>20.7</v>
      </c>
      <c r="K1507" t="s">
        <v>391</v>
      </c>
    </row>
    <row r="1508" spans="3:11" outlineLevel="2" x14ac:dyDescent="0.3">
      <c r="C1508" s="9">
        <v>45075</v>
      </c>
      <c r="D1508" t="s">
        <v>8</v>
      </c>
      <c r="E1508" t="s">
        <v>33</v>
      </c>
      <c r="F1508" t="s">
        <v>13</v>
      </c>
      <c r="G1508" t="s">
        <v>29</v>
      </c>
      <c r="H1508">
        <v>1230</v>
      </c>
      <c r="I1508">
        <v>68</v>
      </c>
      <c r="J1508" s="6">
        <f t="shared" si="106"/>
        <v>83.64</v>
      </c>
      <c r="K1508" t="s">
        <v>391</v>
      </c>
    </row>
    <row r="1509" spans="3:11" outlineLevel="2" x14ac:dyDescent="0.3">
      <c r="C1509" s="9">
        <v>45075</v>
      </c>
      <c r="D1509" t="s">
        <v>45</v>
      </c>
      <c r="E1509" t="s">
        <v>33</v>
      </c>
      <c r="F1509" t="s">
        <v>13</v>
      </c>
      <c r="G1509" t="s">
        <v>29</v>
      </c>
      <c r="H1509">
        <v>1230</v>
      </c>
      <c r="I1509">
        <v>32</v>
      </c>
      <c r="J1509" s="6">
        <f t="shared" si="106"/>
        <v>39.36</v>
      </c>
      <c r="K1509" t="s">
        <v>391</v>
      </c>
    </row>
    <row r="1510" spans="3:11" outlineLevel="2" x14ac:dyDescent="0.3">
      <c r="C1510" s="9">
        <v>45075</v>
      </c>
      <c r="D1510" t="s">
        <v>17</v>
      </c>
      <c r="E1510" t="s">
        <v>35</v>
      </c>
      <c r="F1510" t="s">
        <v>10</v>
      </c>
      <c r="G1510" t="s">
        <v>39</v>
      </c>
      <c r="H1510">
        <v>650</v>
      </c>
      <c r="I1510">
        <v>17</v>
      </c>
      <c r="J1510" s="6">
        <f t="shared" si="106"/>
        <v>11.05</v>
      </c>
      <c r="K1510" t="s">
        <v>391</v>
      </c>
    </row>
    <row r="1511" spans="3:11" outlineLevel="1" x14ac:dyDescent="0.3">
      <c r="C1511" s="13" t="s">
        <v>163</v>
      </c>
      <c r="J1511" s="6">
        <f>SUBTOTAL(9,J1497:J1510)</f>
        <v>1149.4899999999998</v>
      </c>
      <c r="K1511" t="s">
        <v>391</v>
      </c>
    </row>
    <row r="1512" spans="3:11" outlineLevel="2" x14ac:dyDescent="0.3">
      <c r="C1512" s="9">
        <v>45076</v>
      </c>
      <c r="D1512" t="s">
        <v>8</v>
      </c>
      <c r="E1512" t="s">
        <v>9</v>
      </c>
      <c r="F1512" t="s">
        <v>18</v>
      </c>
      <c r="G1512" t="s">
        <v>31</v>
      </c>
      <c r="H1512">
        <v>715</v>
      </c>
      <c r="I1512">
        <v>91</v>
      </c>
      <c r="J1512" s="6">
        <f t="shared" ref="J1512:J1519" si="107">H1512*I1512/1000</f>
        <v>65.064999999999998</v>
      </c>
      <c r="K1512" t="s">
        <v>391</v>
      </c>
    </row>
    <row r="1513" spans="3:11" outlineLevel="2" x14ac:dyDescent="0.3">
      <c r="C1513" s="9">
        <v>45076</v>
      </c>
      <c r="D1513" t="s">
        <v>8</v>
      </c>
      <c r="E1513" t="s">
        <v>9</v>
      </c>
      <c r="F1513" t="s">
        <v>24</v>
      </c>
      <c r="G1513" t="s">
        <v>32</v>
      </c>
      <c r="H1513">
        <v>1505</v>
      </c>
      <c r="I1513">
        <v>35</v>
      </c>
      <c r="J1513" s="6">
        <f t="shared" si="107"/>
        <v>52.674999999999997</v>
      </c>
      <c r="K1513" t="s">
        <v>391</v>
      </c>
    </row>
    <row r="1514" spans="3:11" outlineLevel="2" x14ac:dyDescent="0.3">
      <c r="C1514" s="9">
        <v>45076</v>
      </c>
      <c r="D1514" t="s">
        <v>45</v>
      </c>
      <c r="E1514" t="s">
        <v>15</v>
      </c>
      <c r="F1514" t="s">
        <v>18</v>
      </c>
      <c r="G1514" t="s">
        <v>31</v>
      </c>
      <c r="H1514">
        <v>715</v>
      </c>
      <c r="I1514">
        <v>8</v>
      </c>
      <c r="J1514" s="6">
        <f t="shared" si="107"/>
        <v>5.72</v>
      </c>
      <c r="K1514" t="s">
        <v>391</v>
      </c>
    </row>
    <row r="1515" spans="3:11" outlineLevel="2" x14ac:dyDescent="0.3">
      <c r="C1515" s="9">
        <v>45076</v>
      </c>
      <c r="D1515" t="s">
        <v>17</v>
      </c>
      <c r="E1515" t="s">
        <v>15</v>
      </c>
      <c r="F1515" t="s">
        <v>18</v>
      </c>
      <c r="G1515" t="s">
        <v>28</v>
      </c>
      <c r="H1515">
        <v>690</v>
      </c>
      <c r="I1515">
        <v>42</v>
      </c>
      <c r="J1515" s="6">
        <f t="shared" si="107"/>
        <v>28.98</v>
      </c>
      <c r="K1515" t="s">
        <v>391</v>
      </c>
    </row>
    <row r="1516" spans="3:11" outlineLevel="2" x14ac:dyDescent="0.3">
      <c r="C1516" s="9">
        <v>45076</v>
      </c>
      <c r="D1516" t="s">
        <v>8</v>
      </c>
      <c r="E1516" t="s">
        <v>15</v>
      </c>
      <c r="F1516" t="s">
        <v>24</v>
      </c>
      <c r="G1516" t="s">
        <v>36</v>
      </c>
      <c r="H1516">
        <v>2460</v>
      </c>
      <c r="I1516">
        <v>11</v>
      </c>
      <c r="J1516" s="6">
        <f t="shared" si="107"/>
        <v>27.06</v>
      </c>
      <c r="K1516" t="s">
        <v>391</v>
      </c>
    </row>
    <row r="1517" spans="3:11" outlineLevel="2" x14ac:dyDescent="0.3">
      <c r="C1517" s="9">
        <v>45076</v>
      </c>
      <c r="D1517" t="s">
        <v>8</v>
      </c>
      <c r="E1517" t="s">
        <v>33</v>
      </c>
      <c r="F1517" t="s">
        <v>24</v>
      </c>
      <c r="G1517" t="s">
        <v>25</v>
      </c>
      <c r="H1517">
        <v>1760</v>
      </c>
      <c r="I1517">
        <v>63</v>
      </c>
      <c r="J1517" s="6">
        <f t="shared" si="107"/>
        <v>110.88</v>
      </c>
      <c r="K1517" t="s">
        <v>391</v>
      </c>
    </row>
    <row r="1518" spans="3:11" outlineLevel="2" x14ac:dyDescent="0.3">
      <c r="C1518" s="9">
        <v>45076</v>
      </c>
      <c r="D1518" t="s">
        <v>17</v>
      </c>
      <c r="E1518" t="s">
        <v>35</v>
      </c>
      <c r="F1518" t="s">
        <v>18</v>
      </c>
      <c r="G1518" t="s">
        <v>31</v>
      </c>
      <c r="H1518">
        <v>715</v>
      </c>
      <c r="I1518">
        <v>12</v>
      </c>
      <c r="J1518" s="6">
        <f t="shared" si="107"/>
        <v>8.58</v>
      </c>
      <c r="K1518" t="s">
        <v>391</v>
      </c>
    </row>
    <row r="1519" spans="3:11" outlineLevel="2" x14ac:dyDescent="0.3">
      <c r="C1519" s="9">
        <v>45076</v>
      </c>
      <c r="D1519" t="s">
        <v>8</v>
      </c>
      <c r="E1519" t="s">
        <v>35</v>
      </c>
      <c r="F1519" t="s">
        <v>13</v>
      </c>
      <c r="G1519" t="s">
        <v>14</v>
      </c>
      <c r="H1519">
        <v>1320</v>
      </c>
      <c r="I1519">
        <v>24</v>
      </c>
      <c r="J1519" s="6">
        <f t="shared" si="107"/>
        <v>31.68</v>
      </c>
      <c r="K1519" t="s">
        <v>391</v>
      </c>
    </row>
    <row r="1520" spans="3:11" outlineLevel="1" x14ac:dyDescent="0.3">
      <c r="C1520" s="13" t="s">
        <v>164</v>
      </c>
      <c r="J1520" s="6">
        <f>SUBTOTAL(9,J1512:J1519)</f>
        <v>330.64</v>
      </c>
      <c r="K1520" t="s">
        <v>391</v>
      </c>
    </row>
    <row r="1521" spans="3:11" outlineLevel="2" x14ac:dyDescent="0.3">
      <c r="C1521" s="10">
        <v>45077</v>
      </c>
      <c r="D1521" s="11" t="s">
        <v>12</v>
      </c>
      <c r="E1521" s="11" t="s">
        <v>20</v>
      </c>
      <c r="F1521" s="11" t="s">
        <v>13</v>
      </c>
      <c r="G1521" s="11" t="s">
        <v>14</v>
      </c>
      <c r="H1521" s="11">
        <v>1320</v>
      </c>
      <c r="I1521" s="11">
        <v>36</v>
      </c>
      <c r="J1521" s="6">
        <f t="shared" ref="J1521:J1531" si="108">H1521*I1521/1000</f>
        <v>47.52</v>
      </c>
      <c r="K1521" t="s">
        <v>391</v>
      </c>
    </row>
    <row r="1522" spans="3:11" outlineLevel="2" x14ac:dyDescent="0.3">
      <c r="C1522" s="9">
        <v>45077</v>
      </c>
      <c r="D1522" t="s">
        <v>45</v>
      </c>
      <c r="E1522" t="s">
        <v>20</v>
      </c>
      <c r="F1522" t="s">
        <v>13</v>
      </c>
      <c r="G1522" t="s">
        <v>29</v>
      </c>
      <c r="H1522">
        <v>1230</v>
      </c>
      <c r="I1522">
        <v>36</v>
      </c>
      <c r="J1522" s="6">
        <f t="shared" si="108"/>
        <v>44.28</v>
      </c>
      <c r="K1522" t="s">
        <v>391</v>
      </c>
    </row>
    <row r="1523" spans="3:11" outlineLevel="2" x14ac:dyDescent="0.3">
      <c r="C1523" s="9">
        <v>45077</v>
      </c>
      <c r="D1523" t="s">
        <v>12</v>
      </c>
      <c r="E1523" t="s">
        <v>9</v>
      </c>
      <c r="F1523" t="s">
        <v>10</v>
      </c>
      <c r="G1523" t="s">
        <v>11</v>
      </c>
      <c r="H1523">
        <v>705</v>
      </c>
      <c r="I1523">
        <v>70</v>
      </c>
      <c r="J1523" s="6">
        <f t="shared" si="108"/>
        <v>49.35</v>
      </c>
      <c r="K1523" t="s">
        <v>391</v>
      </c>
    </row>
    <row r="1524" spans="3:11" outlineLevel="2" x14ac:dyDescent="0.3">
      <c r="C1524" s="9">
        <v>45077</v>
      </c>
      <c r="D1524" t="s">
        <v>8</v>
      </c>
      <c r="E1524" t="s">
        <v>9</v>
      </c>
      <c r="F1524" t="s">
        <v>18</v>
      </c>
      <c r="G1524" t="s">
        <v>28</v>
      </c>
      <c r="H1524">
        <v>690</v>
      </c>
      <c r="I1524">
        <v>94</v>
      </c>
      <c r="J1524" s="6">
        <f t="shared" si="108"/>
        <v>64.86</v>
      </c>
      <c r="K1524" t="s">
        <v>391</v>
      </c>
    </row>
    <row r="1525" spans="3:11" outlineLevel="2" x14ac:dyDescent="0.3">
      <c r="C1525" s="9">
        <v>45077</v>
      </c>
      <c r="D1525" t="s">
        <v>8</v>
      </c>
      <c r="E1525" t="s">
        <v>9</v>
      </c>
      <c r="F1525" t="s">
        <v>24</v>
      </c>
      <c r="G1525" t="s">
        <v>30</v>
      </c>
      <c r="H1525">
        <v>2970</v>
      </c>
      <c r="I1525">
        <v>38</v>
      </c>
      <c r="J1525" s="6">
        <f t="shared" si="108"/>
        <v>112.86</v>
      </c>
      <c r="K1525" t="s">
        <v>391</v>
      </c>
    </row>
    <row r="1526" spans="3:11" outlineLevel="2" x14ac:dyDescent="0.3">
      <c r="C1526" s="9">
        <v>45077</v>
      </c>
      <c r="D1526" t="s">
        <v>45</v>
      </c>
      <c r="E1526" t="s">
        <v>26</v>
      </c>
      <c r="F1526" t="s">
        <v>18</v>
      </c>
      <c r="G1526" t="s">
        <v>21</v>
      </c>
      <c r="H1526">
        <v>450</v>
      </c>
      <c r="I1526">
        <v>62</v>
      </c>
      <c r="J1526" s="6">
        <f t="shared" si="108"/>
        <v>27.9</v>
      </c>
      <c r="K1526" t="s">
        <v>391</v>
      </c>
    </row>
    <row r="1527" spans="3:11" outlineLevel="2" x14ac:dyDescent="0.3">
      <c r="C1527" s="9">
        <v>45077</v>
      </c>
      <c r="D1527" t="s">
        <v>8</v>
      </c>
      <c r="E1527" t="s">
        <v>15</v>
      </c>
      <c r="F1527" t="s">
        <v>10</v>
      </c>
      <c r="G1527" t="s">
        <v>23</v>
      </c>
      <c r="H1527">
        <v>640</v>
      </c>
      <c r="I1527">
        <v>73</v>
      </c>
      <c r="J1527" s="6">
        <f t="shared" si="108"/>
        <v>46.72</v>
      </c>
      <c r="K1527" t="s">
        <v>391</v>
      </c>
    </row>
    <row r="1528" spans="3:11" outlineLevel="2" x14ac:dyDescent="0.3">
      <c r="C1528" s="9">
        <v>45077</v>
      </c>
      <c r="D1528" t="s">
        <v>17</v>
      </c>
      <c r="E1528" t="s">
        <v>33</v>
      </c>
      <c r="F1528" t="s">
        <v>10</v>
      </c>
      <c r="G1528" t="s">
        <v>11</v>
      </c>
      <c r="H1528">
        <v>705</v>
      </c>
      <c r="I1528">
        <v>26</v>
      </c>
      <c r="J1528" s="6">
        <f t="shared" si="108"/>
        <v>18.329999999999998</v>
      </c>
      <c r="K1528" t="s">
        <v>391</v>
      </c>
    </row>
    <row r="1529" spans="3:11" outlineLevel="2" x14ac:dyDescent="0.3">
      <c r="C1529" s="9">
        <v>45077</v>
      </c>
      <c r="D1529" t="s">
        <v>17</v>
      </c>
      <c r="E1529" t="s">
        <v>33</v>
      </c>
      <c r="F1529" t="s">
        <v>18</v>
      </c>
      <c r="G1529" t="s">
        <v>27</v>
      </c>
      <c r="H1529">
        <v>460</v>
      </c>
      <c r="I1529">
        <v>48</v>
      </c>
      <c r="J1529" s="6">
        <f t="shared" si="108"/>
        <v>22.08</v>
      </c>
      <c r="K1529" t="s">
        <v>391</v>
      </c>
    </row>
    <row r="1530" spans="3:11" outlineLevel="2" x14ac:dyDescent="0.3">
      <c r="C1530" s="9">
        <v>45077</v>
      </c>
      <c r="D1530" t="s">
        <v>45</v>
      </c>
      <c r="E1530" t="s">
        <v>35</v>
      </c>
      <c r="F1530" t="s">
        <v>18</v>
      </c>
      <c r="G1530" t="s">
        <v>27</v>
      </c>
      <c r="H1530">
        <v>460</v>
      </c>
      <c r="I1530">
        <v>63</v>
      </c>
      <c r="J1530" s="6">
        <f t="shared" si="108"/>
        <v>28.98</v>
      </c>
      <c r="K1530" t="s">
        <v>391</v>
      </c>
    </row>
    <row r="1531" spans="3:11" outlineLevel="2" x14ac:dyDescent="0.3">
      <c r="C1531" s="9">
        <v>45077</v>
      </c>
      <c r="D1531" t="s">
        <v>12</v>
      </c>
      <c r="E1531" t="s">
        <v>35</v>
      </c>
      <c r="F1531" t="s">
        <v>24</v>
      </c>
      <c r="G1531" t="s">
        <v>42</v>
      </c>
      <c r="H1531">
        <v>3205</v>
      </c>
      <c r="I1531">
        <v>99</v>
      </c>
      <c r="J1531" s="6">
        <f t="shared" si="108"/>
        <v>317.29500000000002</v>
      </c>
      <c r="K1531" t="s">
        <v>391</v>
      </c>
    </row>
    <row r="1532" spans="3:11" outlineLevel="1" x14ac:dyDescent="0.3">
      <c r="C1532" s="13" t="s">
        <v>165</v>
      </c>
      <c r="J1532" s="6">
        <f>SUBTOTAL(9,J1521:J1531)</f>
        <v>780.17499999999995</v>
      </c>
    </row>
    <row r="1533" spans="3:11" outlineLevel="2" x14ac:dyDescent="0.3">
      <c r="C1533" s="10">
        <v>45078</v>
      </c>
      <c r="D1533" s="11" t="s">
        <v>17</v>
      </c>
      <c r="E1533" s="11" t="s">
        <v>20</v>
      </c>
      <c r="F1533" s="11" t="s">
        <v>10</v>
      </c>
      <c r="G1533" s="11" t="s">
        <v>40</v>
      </c>
      <c r="H1533" s="11">
        <v>540</v>
      </c>
      <c r="I1533" s="11">
        <v>28</v>
      </c>
      <c r="J1533" s="6">
        <f t="shared" ref="J1533:J1544" si="109">H1533*I1533/1000</f>
        <v>15.12</v>
      </c>
      <c r="K1533" t="s">
        <v>392</v>
      </c>
    </row>
    <row r="1534" spans="3:11" outlineLevel="2" x14ac:dyDescent="0.3">
      <c r="C1534" s="9">
        <v>45078</v>
      </c>
      <c r="D1534" t="s">
        <v>45</v>
      </c>
      <c r="E1534" t="s">
        <v>20</v>
      </c>
      <c r="F1534" t="s">
        <v>24</v>
      </c>
      <c r="G1534" t="s">
        <v>36</v>
      </c>
      <c r="H1534">
        <v>2460</v>
      </c>
      <c r="I1534">
        <v>73</v>
      </c>
      <c r="J1534" s="6">
        <f t="shared" si="109"/>
        <v>179.58</v>
      </c>
      <c r="K1534" t="s">
        <v>392</v>
      </c>
    </row>
    <row r="1535" spans="3:11" outlineLevel="2" x14ac:dyDescent="0.3">
      <c r="C1535" s="10">
        <v>45078</v>
      </c>
      <c r="D1535" s="11" t="s">
        <v>8</v>
      </c>
      <c r="E1535" s="11" t="s">
        <v>20</v>
      </c>
      <c r="F1535" s="11" t="s">
        <v>24</v>
      </c>
      <c r="G1535" s="11" t="s">
        <v>34</v>
      </c>
      <c r="H1535" s="11">
        <v>1670</v>
      </c>
      <c r="I1535" s="11">
        <v>30</v>
      </c>
      <c r="J1535" s="6">
        <f t="shared" si="109"/>
        <v>50.1</v>
      </c>
      <c r="K1535" t="s">
        <v>392</v>
      </c>
    </row>
    <row r="1536" spans="3:11" outlineLevel="2" x14ac:dyDescent="0.3">
      <c r="C1536" s="9">
        <v>45078</v>
      </c>
      <c r="D1536" t="s">
        <v>8</v>
      </c>
      <c r="E1536" t="s">
        <v>9</v>
      </c>
      <c r="F1536" t="s">
        <v>18</v>
      </c>
      <c r="G1536" t="s">
        <v>21</v>
      </c>
      <c r="H1536">
        <v>450</v>
      </c>
      <c r="I1536">
        <v>9</v>
      </c>
      <c r="J1536" s="6">
        <f t="shared" si="109"/>
        <v>4.05</v>
      </c>
      <c r="K1536" t="s">
        <v>392</v>
      </c>
    </row>
    <row r="1537" spans="3:11" outlineLevel="2" x14ac:dyDescent="0.3">
      <c r="C1537" s="9">
        <v>45078</v>
      </c>
      <c r="D1537" t="s">
        <v>45</v>
      </c>
      <c r="E1537" t="s">
        <v>15</v>
      </c>
      <c r="F1537" t="s">
        <v>10</v>
      </c>
      <c r="G1537" t="s">
        <v>39</v>
      </c>
      <c r="H1537">
        <v>650</v>
      </c>
      <c r="I1537">
        <v>28</v>
      </c>
      <c r="J1537" s="6">
        <f t="shared" si="109"/>
        <v>18.2</v>
      </c>
      <c r="K1537" t="s">
        <v>392</v>
      </c>
    </row>
    <row r="1538" spans="3:11" outlineLevel="2" x14ac:dyDescent="0.3">
      <c r="C1538" s="9">
        <v>45078</v>
      </c>
      <c r="D1538" t="s">
        <v>17</v>
      </c>
      <c r="E1538" t="s">
        <v>15</v>
      </c>
      <c r="F1538" t="s">
        <v>13</v>
      </c>
      <c r="G1538" t="s">
        <v>44</v>
      </c>
      <c r="H1538">
        <v>2540</v>
      </c>
      <c r="I1538">
        <v>44</v>
      </c>
      <c r="J1538" s="6">
        <f t="shared" si="109"/>
        <v>111.76</v>
      </c>
      <c r="K1538" t="s">
        <v>392</v>
      </c>
    </row>
    <row r="1539" spans="3:11" outlineLevel="2" x14ac:dyDescent="0.3">
      <c r="C1539" s="9">
        <v>45078</v>
      </c>
      <c r="D1539" t="s">
        <v>8</v>
      </c>
      <c r="E1539" t="s">
        <v>15</v>
      </c>
      <c r="F1539" t="s">
        <v>24</v>
      </c>
      <c r="G1539" t="s">
        <v>25</v>
      </c>
      <c r="H1539">
        <v>1760</v>
      </c>
      <c r="I1539">
        <v>72</v>
      </c>
      <c r="J1539" s="6">
        <f t="shared" si="109"/>
        <v>126.72</v>
      </c>
      <c r="K1539" t="s">
        <v>392</v>
      </c>
    </row>
    <row r="1540" spans="3:11" outlineLevel="2" x14ac:dyDescent="0.3">
      <c r="C1540" s="9">
        <v>45078</v>
      </c>
      <c r="D1540" t="s">
        <v>8</v>
      </c>
      <c r="E1540" t="s">
        <v>15</v>
      </c>
      <c r="F1540" t="s">
        <v>24</v>
      </c>
      <c r="G1540" t="s">
        <v>30</v>
      </c>
      <c r="H1540">
        <v>2970</v>
      </c>
      <c r="I1540">
        <v>72</v>
      </c>
      <c r="J1540" s="6">
        <f t="shared" si="109"/>
        <v>213.84</v>
      </c>
      <c r="K1540" t="s">
        <v>392</v>
      </c>
    </row>
    <row r="1541" spans="3:11" outlineLevel="2" x14ac:dyDescent="0.3">
      <c r="C1541" s="9">
        <v>45078</v>
      </c>
      <c r="D1541" t="s">
        <v>17</v>
      </c>
      <c r="E1541" t="s">
        <v>33</v>
      </c>
      <c r="F1541" t="s">
        <v>10</v>
      </c>
      <c r="G1541" t="s">
        <v>16</v>
      </c>
      <c r="H1541">
        <v>1380</v>
      </c>
      <c r="I1541">
        <v>51</v>
      </c>
      <c r="J1541" s="6">
        <f t="shared" si="109"/>
        <v>70.38</v>
      </c>
      <c r="K1541" t="s">
        <v>392</v>
      </c>
    </row>
    <row r="1542" spans="3:11" outlineLevel="2" x14ac:dyDescent="0.3">
      <c r="C1542" s="9">
        <v>45078</v>
      </c>
      <c r="D1542" t="s">
        <v>17</v>
      </c>
      <c r="E1542" t="s">
        <v>33</v>
      </c>
      <c r="F1542" t="s">
        <v>13</v>
      </c>
      <c r="G1542" t="s">
        <v>14</v>
      </c>
      <c r="H1542">
        <v>1320</v>
      </c>
      <c r="I1542">
        <v>73</v>
      </c>
      <c r="J1542" s="6">
        <f t="shared" si="109"/>
        <v>96.36</v>
      </c>
      <c r="K1542" t="s">
        <v>392</v>
      </c>
    </row>
    <row r="1543" spans="3:11" outlineLevel="2" x14ac:dyDescent="0.3">
      <c r="C1543" s="9">
        <v>45078</v>
      </c>
      <c r="D1543" t="s">
        <v>8</v>
      </c>
      <c r="E1543" t="s">
        <v>35</v>
      </c>
      <c r="F1543" t="s">
        <v>13</v>
      </c>
      <c r="G1543" t="s">
        <v>43</v>
      </c>
      <c r="H1543">
        <v>1420</v>
      </c>
      <c r="I1543">
        <v>53</v>
      </c>
      <c r="J1543" s="6">
        <f t="shared" si="109"/>
        <v>75.260000000000005</v>
      </c>
      <c r="K1543" t="s">
        <v>392</v>
      </c>
    </row>
    <row r="1544" spans="3:11" outlineLevel="2" x14ac:dyDescent="0.3">
      <c r="C1544" s="9">
        <v>45078</v>
      </c>
      <c r="D1544" t="s">
        <v>8</v>
      </c>
      <c r="E1544" t="s">
        <v>35</v>
      </c>
      <c r="F1544" t="s">
        <v>13</v>
      </c>
      <c r="G1544" t="s">
        <v>14</v>
      </c>
      <c r="H1544">
        <v>1320</v>
      </c>
      <c r="I1544">
        <v>61</v>
      </c>
      <c r="J1544" s="6">
        <f t="shared" si="109"/>
        <v>80.52</v>
      </c>
      <c r="K1544" t="s">
        <v>392</v>
      </c>
    </row>
    <row r="1545" spans="3:11" outlineLevel="1" x14ac:dyDescent="0.3">
      <c r="C1545" s="13" t="s">
        <v>166</v>
      </c>
      <c r="J1545" s="6">
        <f>SUBTOTAL(9,J1533:J1544)</f>
        <v>1041.8900000000001</v>
      </c>
      <c r="K1545" t="s">
        <v>392</v>
      </c>
    </row>
    <row r="1546" spans="3:11" outlineLevel="2" x14ac:dyDescent="0.3">
      <c r="C1546" s="9">
        <v>45079</v>
      </c>
      <c r="D1546" t="s">
        <v>17</v>
      </c>
      <c r="E1546" t="s">
        <v>9</v>
      </c>
      <c r="F1546" t="s">
        <v>18</v>
      </c>
      <c r="G1546" t="s">
        <v>28</v>
      </c>
      <c r="H1546">
        <v>690</v>
      </c>
      <c r="I1546">
        <v>50</v>
      </c>
      <c r="J1546" s="6">
        <f t="shared" ref="J1546:J1551" si="110">H1546*I1546/1000</f>
        <v>34.5</v>
      </c>
      <c r="K1546" t="s">
        <v>392</v>
      </c>
    </row>
    <row r="1547" spans="3:11" outlineLevel="2" x14ac:dyDescent="0.3">
      <c r="C1547" s="9">
        <v>45079</v>
      </c>
      <c r="D1547" t="s">
        <v>12</v>
      </c>
      <c r="E1547" t="s">
        <v>9</v>
      </c>
      <c r="F1547" t="s">
        <v>18</v>
      </c>
      <c r="G1547" t="s">
        <v>28</v>
      </c>
      <c r="H1547">
        <v>690</v>
      </c>
      <c r="I1547">
        <v>82</v>
      </c>
      <c r="J1547" s="6">
        <f t="shared" si="110"/>
        <v>56.58</v>
      </c>
      <c r="K1547" t="s">
        <v>392</v>
      </c>
    </row>
    <row r="1548" spans="3:11" outlineLevel="2" x14ac:dyDescent="0.3">
      <c r="C1548" s="9">
        <v>45079</v>
      </c>
      <c r="D1548" t="s">
        <v>8</v>
      </c>
      <c r="E1548" t="s">
        <v>33</v>
      </c>
      <c r="F1548" t="s">
        <v>13</v>
      </c>
      <c r="G1548" t="s">
        <v>22</v>
      </c>
      <c r="H1548">
        <v>930</v>
      </c>
      <c r="I1548">
        <v>43</v>
      </c>
      <c r="J1548" s="6">
        <f t="shared" si="110"/>
        <v>39.99</v>
      </c>
      <c r="K1548" t="s">
        <v>392</v>
      </c>
    </row>
    <row r="1549" spans="3:11" outlineLevel="2" x14ac:dyDescent="0.3">
      <c r="C1549" s="9">
        <v>45079</v>
      </c>
      <c r="D1549" t="s">
        <v>45</v>
      </c>
      <c r="E1549" t="s">
        <v>33</v>
      </c>
      <c r="F1549" t="s">
        <v>24</v>
      </c>
      <c r="G1549" t="s">
        <v>30</v>
      </c>
      <c r="H1549">
        <v>2970</v>
      </c>
      <c r="I1549">
        <v>61</v>
      </c>
      <c r="J1549" s="6">
        <f t="shared" si="110"/>
        <v>181.17</v>
      </c>
      <c r="K1549" t="s">
        <v>392</v>
      </c>
    </row>
    <row r="1550" spans="3:11" outlineLevel="2" x14ac:dyDescent="0.3">
      <c r="C1550" s="9">
        <v>45079</v>
      </c>
      <c r="D1550" t="s">
        <v>17</v>
      </c>
      <c r="E1550" t="s">
        <v>35</v>
      </c>
      <c r="F1550" t="s">
        <v>10</v>
      </c>
      <c r="G1550" t="s">
        <v>11</v>
      </c>
      <c r="H1550">
        <v>705</v>
      </c>
      <c r="I1550">
        <v>70</v>
      </c>
      <c r="J1550" s="6">
        <f t="shared" si="110"/>
        <v>49.35</v>
      </c>
      <c r="K1550" t="s">
        <v>392</v>
      </c>
    </row>
    <row r="1551" spans="3:11" outlineLevel="2" x14ac:dyDescent="0.3">
      <c r="C1551" s="9">
        <v>45079</v>
      </c>
      <c r="D1551" t="s">
        <v>17</v>
      </c>
      <c r="E1551" t="s">
        <v>35</v>
      </c>
      <c r="F1551" t="s">
        <v>10</v>
      </c>
      <c r="G1551" t="s">
        <v>40</v>
      </c>
      <c r="H1551">
        <v>540</v>
      </c>
      <c r="I1551">
        <v>76</v>
      </c>
      <c r="J1551" s="6">
        <f t="shared" si="110"/>
        <v>41.04</v>
      </c>
      <c r="K1551" t="s">
        <v>392</v>
      </c>
    </row>
    <row r="1552" spans="3:11" outlineLevel="1" x14ac:dyDescent="0.3">
      <c r="C1552" s="13" t="s">
        <v>167</v>
      </c>
      <c r="J1552" s="6">
        <f>SUBTOTAL(9,J1546:J1551)</f>
        <v>402.63000000000005</v>
      </c>
      <c r="K1552" t="s">
        <v>392</v>
      </c>
    </row>
    <row r="1553" spans="3:11" outlineLevel="2" x14ac:dyDescent="0.3">
      <c r="C1553" s="9">
        <v>45080</v>
      </c>
      <c r="D1553" t="s">
        <v>12</v>
      </c>
      <c r="E1553" t="s">
        <v>15</v>
      </c>
      <c r="F1553" t="s">
        <v>10</v>
      </c>
      <c r="G1553" t="s">
        <v>40</v>
      </c>
      <c r="H1553">
        <v>540</v>
      </c>
      <c r="I1553">
        <v>62</v>
      </c>
      <c r="J1553" s="6">
        <f>H1553*I1553/1000</f>
        <v>33.479999999999997</v>
      </c>
      <c r="K1553" t="s">
        <v>392</v>
      </c>
    </row>
    <row r="1554" spans="3:11" outlineLevel="2" x14ac:dyDescent="0.3">
      <c r="C1554" s="9">
        <v>45080</v>
      </c>
      <c r="D1554" t="s">
        <v>8</v>
      </c>
      <c r="E1554" t="s">
        <v>33</v>
      </c>
      <c r="F1554" t="s">
        <v>10</v>
      </c>
      <c r="G1554" t="s">
        <v>41</v>
      </c>
      <c r="H1554">
        <v>650</v>
      </c>
      <c r="I1554">
        <v>12</v>
      </c>
      <c r="J1554" s="6">
        <f>H1554*I1554/1000</f>
        <v>7.8</v>
      </c>
      <c r="K1554" t="s">
        <v>392</v>
      </c>
    </row>
    <row r="1555" spans="3:11" outlineLevel="2" x14ac:dyDescent="0.3">
      <c r="C1555" s="9">
        <v>45080</v>
      </c>
      <c r="D1555" t="s">
        <v>17</v>
      </c>
      <c r="E1555" t="s">
        <v>33</v>
      </c>
      <c r="F1555" t="s">
        <v>18</v>
      </c>
      <c r="G1555" t="s">
        <v>28</v>
      </c>
      <c r="H1555">
        <v>690</v>
      </c>
      <c r="I1555">
        <v>69</v>
      </c>
      <c r="J1555" s="6">
        <f>H1555*I1555/1000</f>
        <v>47.61</v>
      </c>
      <c r="K1555" t="s">
        <v>392</v>
      </c>
    </row>
    <row r="1556" spans="3:11" outlineLevel="2" x14ac:dyDescent="0.3">
      <c r="C1556" s="9">
        <v>45080</v>
      </c>
      <c r="D1556" t="s">
        <v>17</v>
      </c>
      <c r="E1556" t="s">
        <v>35</v>
      </c>
      <c r="F1556" t="s">
        <v>10</v>
      </c>
      <c r="G1556" t="s">
        <v>39</v>
      </c>
      <c r="H1556">
        <v>650</v>
      </c>
      <c r="I1556">
        <v>69</v>
      </c>
      <c r="J1556" s="6">
        <f>H1556*I1556/1000</f>
        <v>44.85</v>
      </c>
      <c r="K1556" t="s">
        <v>392</v>
      </c>
    </row>
    <row r="1557" spans="3:11" outlineLevel="1" x14ac:dyDescent="0.3">
      <c r="C1557" s="13" t="s">
        <v>168</v>
      </c>
      <c r="J1557" s="6">
        <f>SUBTOTAL(9,J1553:J1556)</f>
        <v>133.73999999999998</v>
      </c>
      <c r="K1557" t="s">
        <v>392</v>
      </c>
    </row>
    <row r="1558" spans="3:11" outlineLevel="2" x14ac:dyDescent="0.3">
      <c r="C1558" s="9">
        <v>45081</v>
      </c>
      <c r="D1558" t="s">
        <v>17</v>
      </c>
      <c r="E1558" t="s">
        <v>20</v>
      </c>
      <c r="F1558" t="s">
        <v>18</v>
      </c>
      <c r="G1558" t="s">
        <v>19</v>
      </c>
      <c r="H1558">
        <v>325</v>
      </c>
      <c r="I1558">
        <v>69</v>
      </c>
      <c r="J1558" s="6">
        <f t="shared" ref="J1558:J1568" si="111">H1558*I1558/1000</f>
        <v>22.425000000000001</v>
      </c>
      <c r="K1558" t="s">
        <v>392</v>
      </c>
    </row>
    <row r="1559" spans="3:11" outlineLevel="2" x14ac:dyDescent="0.3">
      <c r="C1559" s="9">
        <v>45081</v>
      </c>
      <c r="D1559" t="s">
        <v>45</v>
      </c>
      <c r="E1559" t="s">
        <v>9</v>
      </c>
      <c r="F1559" t="s">
        <v>10</v>
      </c>
      <c r="G1559" t="s">
        <v>23</v>
      </c>
      <c r="H1559">
        <v>640</v>
      </c>
      <c r="I1559">
        <v>6</v>
      </c>
      <c r="J1559" s="6">
        <f t="shared" si="111"/>
        <v>3.84</v>
      </c>
      <c r="K1559" t="s">
        <v>392</v>
      </c>
    </row>
    <row r="1560" spans="3:11" outlineLevel="2" x14ac:dyDescent="0.3">
      <c r="C1560" s="9">
        <v>45081</v>
      </c>
      <c r="D1560" t="s">
        <v>12</v>
      </c>
      <c r="E1560" t="s">
        <v>9</v>
      </c>
      <c r="F1560" t="s">
        <v>18</v>
      </c>
      <c r="G1560" t="s">
        <v>31</v>
      </c>
      <c r="H1560">
        <v>715</v>
      </c>
      <c r="I1560">
        <v>82</v>
      </c>
      <c r="J1560" s="6">
        <f t="shared" si="111"/>
        <v>58.63</v>
      </c>
      <c r="K1560" t="s">
        <v>392</v>
      </c>
    </row>
    <row r="1561" spans="3:11" outlineLevel="2" x14ac:dyDescent="0.3">
      <c r="C1561" s="9">
        <v>45081</v>
      </c>
      <c r="D1561" t="s">
        <v>8</v>
      </c>
      <c r="E1561" t="s">
        <v>26</v>
      </c>
      <c r="F1561" t="s">
        <v>10</v>
      </c>
      <c r="G1561" t="s">
        <v>39</v>
      </c>
      <c r="H1561">
        <v>650</v>
      </c>
      <c r="I1561">
        <v>31</v>
      </c>
      <c r="J1561" s="6">
        <f t="shared" si="111"/>
        <v>20.149999999999999</v>
      </c>
      <c r="K1561" t="s">
        <v>392</v>
      </c>
    </row>
    <row r="1562" spans="3:11" outlineLevel="2" x14ac:dyDescent="0.3">
      <c r="C1562" s="9">
        <v>45081</v>
      </c>
      <c r="D1562" t="s">
        <v>8</v>
      </c>
      <c r="E1562" t="s">
        <v>26</v>
      </c>
      <c r="F1562" t="s">
        <v>13</v>
      </c>
      <c r="G1562" t="s">
        <v>43</v>
      </c>
      <c r="H1562">
        <v>1420</v>
      </c>
      <c r="I1562">
        <v>61</v>
      </c>
      <c r="J1562" s="6">
        <f t="shared" si="111"/>
        <v>86.62</v>
      </c>
      <c r="K1562" t="s">
        <v>392</v>
      </c>
    </row>
    <row r="1563" spans="3:11" outlineLevel="2" x14ac:dyDescent="0.3">
      <c r="C1563" s="9">
        <v>45081</v>
      </c>
      <c r="D1563" t="s">
        <v>17</v>
      </c>
      <c r="E1563" t="s">
        <v>15</v>
      </c>
      <c r="F1563" t="s">
        <v>24</v>
      </c>
      <c r="G1563" t="s">
        <v>32</v>
      </c>
      <c r="H1563">
        <v>1505</v>
      </c>
      <c r="I1563">
        <v>67</v>
      </c>
      <c r="J1563" s="6">
        <f t="shared" si="111"/>
        <v>100.83499999999999</v>
      </c>
      <c r="K1563" t="s">
        <v>392</v>
      </c>
    </row>
    <row r="1564" spans="3:11" outlineLevel="2" x14ac:dyDescent="0.3">
      <c r="C1564" s="9">
        <v>45081</v>
      </c>
      <c r="D1564" t="s">
        <v>12</v>
      </c>
      <c r="E1564" t="s">
        <v>33</v>
      </c>
      <c r="F1564" t="s">
        <v>10</v>
      </c>
      <c r="G1564" t="s">
        <v>39</v>
      </c>
      <c r="H1564">
        <v>650</v>
      </c>
      <c r="I1564">
        <v>50</v>
      </c>
      <c r="J1564" s="6">
        <f t="shared" si="111"/>
        <v>32.5</v>
      </c>
      <c r="K1564" t="s">
        <v>392</v>
      </c>
    </row>
    <row r="1565" spans="3:11" outlineLevel="2" x14ac:dyDescent="0.3">
      <c r="C1565" s="9">
        <v>45081</v>
      </c>
      <c r="D1565" t="s">
        <v>17</v>
      </c>
      <c r="E1565" t="s">
        <v>33</v>
      </c>
      <c r="F1565" t="s">
        <v>10</v>
      </c>
      <c r="G1565" t="s">
        <v>39</v>
      </c>
      <c r="H1565">
        <v>650</v>
      </c>
      <c r="I1565">
        <v>27</v>
      </c>
      <c r="J1565" s="6">
        <f t="shared" si="111"/>
        <v>17.55</v>
      </c>
      <c r="K1565" t="s">
        <v>392</v>
      </c>
    </row>
    <row r="1566" spans="3:11" outlineLevel="2" x14ac:dyDescent="0.3">
      <c r="C1566" s="9">
        <v>45081</v>
      </c>
      <c r="D1566" t="s">
        <v>17</v>
      </c>
      <c r="E1566" t="s">
        <v>33</v>
      </c>
      <c r="F1566" t="s">
        <v>10</v>
      </c>
      <c r="G1566" t="s">
        <v>23</v>
      </c>
      <c r="H1566">
        <v>640</v>
      </c>
      <c r="I1566">
        <v>99</v>
      </c>
      <c r="J1566" s="6">
        <f t="shared" si="111"/>
        <v>63.36</v>
      </c>
      <c r="K1566" t="s">
        <v>392</v>
      </c>
    </row>
    <row r="1567" spans="3:11" outlineLevel="2" x14ac:dyDescent="0.3">
      <c r="C1567" s="9">
        <v>45081</v>
      </c>
      <c r="D1567" t="s">
        <v>17</v>
      </c>
      <c r="E1567" t="s">
        <v>33</v>
      </c>
      <c r="F1567" t="s">
        <v>24</v>
      </c>
      <c r="G1567" t="s">
        <v>42</v>
      </c>
      <c r="H1567">
        <v>3205</v>
      </c>
      <c r="I1567">
        <v>89</v>
      </c>
      <c r="J1567" s="6">
        <f t="shared" si="111"/>
        <v>285.245</v>
      </c>
      <c r="K1567" t="s">
        <v>392</v>
      </c>
    </row>
    <row r="1568" spans="3:11" outlineLevel="2" x14ac:dyDescent="0.3">
      <c r="C1568" s="9">
        <v>45081</v>
      </c>
      <c r="D1568" t="s">
        <v>8</v>
      </c>
      <c r="E1568" t="s">
        <v>35</v>
      </c>
      <c r="F1568" t="s">
        <v>10</v>
      </c>
      <c r="G1568" t="s">
        <v>40</v>
      </c>
      <c r="H1568">
        <v>540</v>
      </c>
      <c r="I1568">
        <v>38</v>
      </c>
      <c r="J1568" s="6">
        <f t="shared" si="111"/>
        <v>20.52</v>
      </c>
      <c r="K1568" t="s">
        <v>392</v>
      </c>
    </row>
    <row r="1569" spans="3:11" outlineLevel="1" x14ac:dyDescent="0.3">
      <c r="C1569" s="13" t="s">
        <v>169</v>
      </c>
      <c r="J1569" s="6">
        <f>SUBTOTAL(9,J1558:J1568)</f>
        <v>711.67499999999995</v>
      </c>
      <c r="K1569" t="s">
        <v>392</v>
      </c>
    </row>
    <row r="1570" spans="3:11" outlineLevel="2" x14ac:dyDescent="0.3">
      <c r="C1570" s="10">
        <v>45082</v>
      </c>
      <c r="D1570" s="11" t="s">
        <v>8</v>
      </c>
      <c r="E1570" s="11" t="s">
        <v>20</v>
      </c>
      <c r="F1570" s="11" t="s">
        <v>10</v>
      </c>
      <c r="G1570" s="11" t="s">
        <v>40</v>
      </c>
      <c r="H1570" s="11">
        <v>540</v>
      </c>
      <c r="I1570" s="11">
        <v>81</v>
      </c>
      <c r="J1570" s="6">
        <f t="shared" ref="J1570:J1578" si="112">H1570*I1570/1000</f>
        <v>43.74</v>
      </c>
      <c r="K1570" t="s">
        <v>392</v>
      </c>
    </row>
    <row r="1571" spans="3:11" outlineLevel="2" x14ac:dyDescent="0.3">
      <c r="C1571" s="9">
        <v>45082</v>
      </c>
      <c r="D1571" t="s">
        <v>8</v>
      </c>
      <c r="E1571" t="s">
        <v>20</v>
      </c>
      <c r="F1571" t="s">
        <v>10</v>
      </c>
      <c r="G1571" t="s">
        <v>39</v>
      </c>
      <c r="H1571">
        <v>650</v>
      </c>
      <c r="I1571">
        <v>7</v>
      </c>
      <c r="J1571" s="6">
        <f t="shared" si="112"/>
        <v>4.55</v>
      </c>
      <c r="K1571" t="s">
        <v>392</v>
      </c>
    </row>
    <row r="1572" spans="3:11" outlineLevel="2" x14ac:dyDescent="0.3">
      <c r="C1572" s="10">
        <v>45082</v>
      </c>
      <c r="D1572" s="11" t="s">
        <v>17</v>
      </c>
      <c r="E1572" s="11" t="s">
        <v>20</v>
      </c>
      <c r="F1572" s="11" t="s">
        <v>13</v>
      </c>
      <c r="G1572" s="11" t="s">
        <v>43</v>
      </c>
      <c r="H1572" s="11">
        <v>1420</v>
      </c>
      <c r="I1572" s="11">
        <v>49</v>
      </c>
      <c r="J1572" s="6">
        <f t="shared" si="112"/>
        <v>69.58</v>
      </c>
      <c r="K1572" t="s">
        <v>392</v>
      </c>
    </row>
    <row r="1573" spans="3:11" outlineLevel="2" x14ac:dyDescent="0.3">
      <c r="C1573" s="9">
        <v>45082</v>
      </c>
      <c r="D1573" t="s">
        <v>12</v>
      </c>
      <c r="E1573" t="s">
        <v>9</v>
      </c>
      <c r="F1573" t="s">
        <v>18</v>
      </c>
      <c r="G1573" t="s">
        <v>27</v>
      </c>
      <c r="H1573">
        <v>460</v>
      </c>
      <c r="I1573">
        <v>79</v>
      </c>
      <c r="J1573" s="6">
        <f t="shared" si="112"/>
        <v>36.340000000000003</v>
      </c>
      <c r="K1573" t="s">
        <v>392</v>
      </c>
    </row>
    <row r="1574" spans="3:11" outlineLevel="2" x14ac:dyDescent="0.3">
      <c r="C1574" s="9">
        <v>45082</v>
      </c>
      <c r="D1574" t="s">
        <v>45</v>
      </c>
      <c r="E1574" t="s">
        <v>9</v>
      </c>
      <c r="F1574" t="s">
        <v>18</v>
      </c>
      <c r="G1574" t="s">
        <v>31</v>
      </c>
      <c r="H1574">
        <v>715</v>
      </c>
      <c r="I1574">
        <v>13</v>
      </c>
      <c r="J1574" s="6">
        <f t="shared" si="112"/>
        <v>9.2949999999999999</v>
      </c>
      <c r="K1574" t="s">
        <v>392</v>
      </c>
    </row>
    <row r="1575" spans="3:11" outlineLevel="2" x14ac:dyDescent="0.3">
      <c r="C1575" s="9">
        <v>45082</v>
      </c>
      <c r="D1575" t="s">
        <v>8</v>
      </c>
      <c r="E1575" t="s">
        <v>26</v>
      </c>
      <c r="F1575" t="s">
        <v>10</v>
      </c>
      <c r="G1575" t="s">
        <v>39</v>
      </c>
      <c r="H1575">
        <v>650</v>
      </c>
      <c r="I1575">
        <v>44</v>
      </c>
      <c r="J1575" s="6">
        <f t="shared" si="112"/>
        <v>28.6</v>
      </c>
      <c r="K1575" t="s">
        <v>392</v>
      </c>
    </row>
    <row r="1576" spans="3:11" outlineLevel="2" x14ac:dyDescent="0.3">
      <c r="C1576" s="9">
        <v>45082</v>
      </c>
      <c r="D1576" t="s">
        <v>12</v>
      </c>
      <c r="E1576" t="s">
        <v>26</v>
      </c>
      <c r="F1576" t="s">
        <v>18</v>
      </c>
      <c r="G1576" t="s">
        <v>28</v>
      </c>
      <c r="H1576">
        <v>690</v>
      </c>
      <c r="I1576">
        <v>6</v>
      </c>
      <c r="J1576" s="6">
        <f t="shared" si="112"/>
        <v>4.1399999999999997</v>
      </c>
      <c r="K1576" t="s">
        <v>392</v>
      </c>
    </row>
    <row r="1577" spans="3:11" outlineLevel="2" x14ac:dyDescent="0.3">
      <c r="C1577" s="9">
        <v>45082</v>
      </c>
      <c r="D1577" t="s">
        <v>12</v>
      </c>
      <c r="E1577" t="s">
        <v>33</v>
      </c>
      <c r="F1577" t="s">
        <v>10</v>
      </c>
      <c r="G1577" t="s">
        <v>39</v>
      </c>
      <c r="H1577">
        <v>650</v>
      </c>
      <c r="I1577">
        <v>98</v>
      </c>
      <c r="J1577" s="6">
        <f t="shared" si="112"/>
        <v>63.7</v>
      </c>
      <c r="K1577" t="s">
        <v>392</v>
      </c>
    </row>
    <row r="1578" spans="3:11" outlineLevel="2" x14ac:dyDescent="0.3">
      <c r="C1578" s="9">
        <v>45082</v>
      </c>
      <c r="D1578" t="s">
        <v>45</v>
      </c>
      <c r="E1578" t="s">
        <v>35</v>
      </c>
      <c r="F1578" t="s">
        <v>10</v>
      </c>
      <c r="G1578" t="s">
        <v>41</v>
      </c>
      <c r="H1578">
        <v>650</v>
      </c>
      <c r="I1578">
        <v>86</v>
      </c>
      <c r="J1578" s="6">
        <f t="shared" si="112"/>
        <v>55.9</v>
      </c>
      <c r="K1578" t="s">
        <v>392</v>
      </c>
    </row>
    <row r="1579" spans="3:11" outlineLevel="1" x14ac:dyDescent="0.3">
      <c r="C1579" s="13" t="s">
        <v>170</v>
      </c>
      <c r="J1579" s="6">
        <f>SUBTOTAL(9,J1570:J1578)</f>
        <v>315.84499999999997</v>
      </c>
      <c r="K1579" t="s">
        <v>392</v>
      </c>
    </row>
    <row r="1580" spans="3:11" outlineLevel="2" x14ac:dyDescent="0.3">
      <c r="C1580" s="9">
        <v>45083</v>
      </c>
      <c r="D1580" t="s">
        <v>17</v>
      </c>
      <c r="E1580" t="s">
        <v>20</v>
      </c>
      <c r="F1580" t="s">
        <v>10</v>
      </c>
      <c r="G1580" t="s">
        <v>11</v>
      </c>
      <c r="H1580">
        <v>705</v>
      </c>
      <c r="I1580">
        <v>48</v>
      </c>
      <c r="J1580" s="6">
        <f t="shared" ref="J1580:J1587" si="113">H1580*I1580/1000</f>
        <v>33.840000000000003</v>
      </c>
      <c r="K1580" t="s">
        <v>392</v>
      </c>
    </row>
    <row r="1581" spans="3:11" outlineLevel="2" x14ac:dyDescent="0.3">
      <c r="C1581" s="9">
        <v>45083</v>
      </c>
      <c r="D1581" t="s">
        <v>17</v>
      </c>
      <c r="E1581" t="s">
        <v>20</v>
      </c>
      <c r="F1581" t="s">
        <v>24</v>
      </c>
      <c r="G1581" t="s">
        <v>32</v>
      </c>
      <c r="H1581">
        <v>1505</v>
      </c>
      <c r="I1581">
        <v>57</v>
      </c>
      <c r="J1581" s="6">
        <f t="shared" si="113"/>
        <v>85.784999999999997</v>
      </c>
      <c r="K1581" t="s">
        <v>392</v>
      </c>
    </row>
    <row r="1582" spans="3:11" outlineLevel="2" x14ac:dyDescent="0.3">
      <c r="C1582" s="9">
        <v>45083</v>
      </c>
      <c r="D1582" t="s">
        <v>45</v>
      </c>
      <c r="E1582" t="s">
        <v>9</v>
      </c>
      <c r="F1582" t="s">
        <v>13</v>
      </c>
      <c r="G1582" t="s">
        <v>29</v>
      </c>
      <c r="H1582">
        <v>1230</v>
      </c>
      <c r="I1582">
        <v>14</v>
      </c>
      <c r="J1582" s="6">
        <f t="shared" si="113"/>
        <v>17.22</v>
      </c>
      <c r="K1582" t="s">
        <v>392</v>
      </c>
    </row>
    <row r="1583" spans="3:11" outlineLevel="2" x14ac:dyDescent="0.3">
      <c r="C1583" s="9">
        <v>45083</v>
      </c>
      <c r="D1583" t="s">
        <v>8</v>
      </c>
      <c r="E1583" t="s">
        <v>15</v>
      </c>
      <c r="F1583" t="s">
        <v>10</v>
      </c>
      <c r="G1583" t="s">
        <v>41</v>
      </c>
      <c r="H1583">
        <v>650</v>
      </c>
      <c r="I1583">
        <v>25</v>
      </c>
      <c r="J1583" s="6">
        <f t="shared" si="113"/>
        <v>16.25</v>
      </c>
      <c r="K1583" t="s">
        <v>392</v>
      </c>
    </row>
    <row r="1584" spans="3:11" outlineLevel="2" x14ac:dyDescent="0.3">
      <c r="C1584" s="9">
        <v>45083</v>
      </c>
      <c r="D1584" t="s">
        <v>17</v>
      </c>
      <c r="E1584" t="s">
        <v>33</v>
      </c>
      <c r="F1584" t="s">
        <v>18</v>
      </c>
      <c r="G1584" t="s">
        <v>27</v>
      </c>
      <c r="H1584">
        <v>460</v>
      </c>
      <c r="I1584">
        <v>37</v>
      </c>
      <c r="J1584" s="6">
        <f t="shared" si="113"/>
        <v>17.02</v>
      </c>
      <c r="K1584" t="s">
        <v>392</v>
      </c>
    </row>
    <row r="1585" spans="3:11" outlineLevel="2" x14ac:dyDescent="0.3">
      <c r="C1585" s="9">
        <v>45083</v>
      </c>
      <c r="D1585" t="s">
        <v>12</v>
      </c>
      <c r="E1585" t="s">
        <v>33</v>
      </c>
      <c r="F1585" t="s">
        <v>18</v>
      </c>
      <c r="G1585" t="s">
        <v>21</v>
      </c>
      <c r="H1585">
        <v>450</v>
      </c>
      <c r="I1585">
        <v>7</v>
      </c>
      <c r="J1585" s="6">
        <f t="shared" si="113"/>
        <v>3.15</v>
      </c>
      <c r="K1585" t="s">
        <v>392</v>
      </c>
    </row>
    <row r="1586" spans="3:11" outlineLevel="2" x14ac:dyDescent="0.3">
      <c r="C1586" s="9">
        <v>45083</v>
      </c>
      <c r="D1586" t="s">
        <v>8</v>
      </c>
      <c r="E1586" t="s">
        <v>33</v>
      </c>
      <c r="F1586" t="s">
        <v>24</v>
      </c>
      <c r="G1586" t="s">
        <v>25</v>
      </c>
      <c r="H1586">
        <v>1760</v>
      </c>
      <c r="I1586">
        <v>58</v>
      </c>
      <c r="J1586" s="6">
        <f t="shared" si="113"/>
        <v>102.08</v>
      </c>
      <c r="K1586" t="s">
        <v>392</v>
      </c>
    </row>
    <row r="1587" spans="3:11" outlineLevel="2" x14ac:dyDescent="0.3">
      <c r="C1587" s="9">
        <v>45083</v>
      </c>
      <c r="D1587" t="s">
        <v>8</v>
      </c>
      <c r="E1587" t="s">
        <v>35</v>
      </c>
      <c r="F1587" t="s">
        <v>24</v>
      </c>
      <c r="G1587" t="s">
        <v>42</v>
      </c>
      <c r="H1587">
        <v>3205</v>
      </c>
      <c r="I1587">
        <v>57</v>
      </c>
      <c r="J1587" s="6">
        <f t="shared" si="113"/>
        <v>182.685</v>
      </c>
      <c r="K1587" t="s">
        <v>392</v>
      </c>
    </row>
    <row r="1588" spans="3:11" outlineLevel="1" x14ac:dyDescent="0.3">
      <c r="C1588" s="13" t="s">
        <v>171</v>
      </c>
      <c r="J1588" s="6">
        <f>SUBTOTAL(9,J1580:J1587)</f>
        <v>458.03000000000003</v>
      </c>
      <c r="K1588" t="s">
        <v>392</v>
      </c>
    </row>
    <row r="1589" spans="3:11" outlineLevel="2" x14ac:dyDescent="0.3">
      <c r="C1589" s="9">
        <v>45084</v>
      </c>
      <c r="D1589" t="s">
        <v>8</v>
      </c>
      <c r="E1589" t="s">
        <v>20</v>
      </c>
      <c r="F1589" t="s">
        <v>10</v>
      </c>
      <c r="G1589" t="s">
        <v>23</v>
      </c>
      <c r="H1589">
        <v>640</v>
      </c>
      <c r="I1589">
        <v>23</v>
      </c>
      <c r="J1589" s="6">
        <f t="shared" ref="J1589:J1600" si="114">H1589*I1589/1000</f>
        <v>14.72</v>
      </c>
      <c r="K1589" t="s">
        <v>392</v>
      </c>
    </row>
    <row r="1590" spans="3:11" outlineLevel="2" x14ac:dyDescent="0.3">
      <c r="C1590" s="9">
        <v>45084</v>
      </c>
      <c r="D1590" t="s">
        <v>8</v>
      </c>
      <c r="E1590" t="s">
        <v>20</v>
      </c>
      <c r="F1590" t="s">
        <v>24</v>
      </c>
      <c r="G1590" t="s">
        <v>25</v>
      </c>
      <c r="H1590">
        <v>1760</v>
      </c>
      <c r="I1590">
        <v>62</v>
      </c>
      <c r="J1590" s="6">
        <f t="shared" si="114"/>
        <v>109.12</v>
      </c>
      <c r="K1590" t="s">
        <v>392</v>
      </c>
    </row>
    <row r="1591" spans="3:11" outlineLevel="2" x14ac:dyDescent="0.3">
      <c r="C1591" s="9">
        <v>45084</v>
      </c>
      <c r="D1591" t="s">
        <v>45</v>
      </c>
      <c r="E1591" t="s">
        <v>9</v>
      </c>
      <c r="F1591" t="s">
        <v>24</v>
      </c>
      <c r="G1591" t="s">
        <v>32</v>
      </c>
      <c r="H1591">
        <v>1505</v>
      </c>
      <c r="I1591">
        <v>77</v>
      </c>
      <c r="J1591" s="6">
        <f t="shared" si="114"/>
        <v>115.88500000000001</v>
      </c>
      <c r="K1591" t="s">
        <v>392</v>
      </c>
    </row>
    <row r="1592" spans="3:11" outlineLevel="2" x14ac:dyDescent="0.3">
      <c r="C1592" s="9">
        <v>45084</v>
      </c>
      <c r="D1592" t="s">
        <v>12</v>
      </c>
      <c r="E1592" t="s">
        <v>26</v>
      </c>
      <c r="F1592" t="s">
        <v>24</v>
      </c>
      <c r="G1592" t="s">
        <v>30</v>
      </c>
      <c r="H1592">
        <v>2970</v>
      </c>
      <c r="I1592">
        <v>23</v>
      </c>
      <c r="J1592" s="6">
        <f t="shared" si="114"/>
        <v>68.31</v>
      </c>
      <c r="K1592" t="s">
        <v>392</v>
      </c>
    </row>
    <row r="1593" spans="3:11" outlineLevel="2" x14ac:dyDescent="0.3">
      <c r="C1593" s="9">
        <v>45084</v>
      </c>
      <c r="D1593" t="s">
        <v>17</v>
      </c>
      <c r="E1593" t="s">
        <v>15</v>
      </c>
      <c r="F1593" t="s">
        <v>10</v>
      </c>
      <c r="G1593" t="s">
        <v>16</v>
      </c>
      <c r="H1593">
        <v>1380</v>
      </c>
      <c r="I1593">
        <v>90</v>
      </c>
      <c r="J1593" s="6">
        <f t="shared" si="114"/>
        <v>124.2</v>
      </c>
      <c r="K1593" t="s">
        <v>392</v>
      </c>
    </row>
    <row r="1594" spans="3:11" outlineLevel="2" x14ac:dyDescent="0.3">
      <c r="C1594" s="9">
        <v>45084</v>
      </c>
      <c r="D1594" t="s">
        <v>45</v>
      </c>
      <c r="E1594" t="s">
        <v>15</v>
      </c>
      <c r="F1594" t="s">
        <v>10</v>
      </c>
      <c r="G1594" t="s">
        <v>11</v>
      </c>
      <c r="H1594">
        <v>705</v>
      </c>
      <c r="I1594">
        <v>27</v>
      </c>
      <c r="J1594" s="6">
        <f t="shared" si="114"/>
        <v>19.035</v>
      </c>
      <c r="K1594" t="s">
        <v>392</v>
      </c>
    </row>
    <row r="1595" spans="3:11" outlineLevel="2" x14ac:dyDescent="0.3">
      <c r="C1595" s="9">
        <v>45084</v>
      </c>
      <c r="D1595" t="s">
        <v>45</v>
      </c>
      <c r="E1595" t="s">
        <v>15</v>
      </c>
      <c r="F1595" t="s">
        <v>13</v>
      </c>
      <c r="G1595" t="s">
        <v>38</v>
      </c>
      <c r="H1595">
        <v>2400</v>
      </c>
      <c r="I1595">
        <v>44</v>
      </c>
      <c r="J1595" s="6">
        <f t="shared" si="114"/>
        <v>105.6</v>
      </c>
      <c r="K1595" t="s">
        <v>392</v>
      </c>
    </row>
    <row r="1596" spans="3:11" outlineLevel="2" x14ac:dyDescent="0.3">
      <c r="C1596" s="9">
        <v>45084</v>
      </c>
      <c r="D1596" t="s">
        <v>12</v>
      </c>
      <c r="E1596" t="s">
        <v>15</v>
      </c>
      <c r="F1596" t="s">
        <v>24</v>
      </c>
      <c r="G1596" t="s">
        <v>42</v>
      </c>
      <c r="H1596">
        <v>3205</v>
      </c>
      <c r="I1596">
        <v>70</v>
      </c>
      <c r="J1596" s="6">
        <f t="shared" si="114"/>
        <v>224.35</v>
      </c>
      <c r="K1596" t="s">
        <v>392</v>
      </c>
    </row>
    <row r="1597" spans="3:11" outlineLevel="2" x14ac:dyDescent="0.3">
      <c r="C1597" s="9">
        <v>45084</v>
      </c>
      <c r="D1597" t="s">
        <v>17</v>
      </c>
      <c r="E1597" t="s">
        <v>33</v>
      </c>
      <c r="F1597" t="s">
        <v>10</v>
      </c>
      <c r="G1597" t="s">
        <v>11</v>
      </c>
      <c r="H1597">
        <v>705</v>
      </c>
      <c r="I1597">
        <v>58</v>
      </c>
      <c r="J1597" s="6">
        <f t="shared" si="114"/>
        <v>40.89</v>
      </c>
      <c r="K1597" t="s">
        <v>392</v>
      </c>
    </row>
    <row r="1598" spans="3:11" outlineLevel="2" x14ac:dyDescent="0.3">
      <c r="C1598" s="9">
        <v>45084</v>
      </c>
      <c r="D1598" t="s">
        <v>8</v>
      </c>
      <c r="E1598" t="s">
        <v>33</v>
      </c>
      <c r="F1598" t="s">
        <v>10</v>
      </c>
      <c r="G1598" t="s">
        <v>41</v>
      </c>
      <c r="H1598">
        <v>650</v>
      </c>
      <c r="I1598">
        <v>46</v>
      </c>
      <c r="J1598" s="6">
        <f t="shared" si="114"/>
        <v>29.9</v>
      </c>
      <c r="K1598" t="s">
        <v>392</v>
      </c>
    </row>
    <row r="1599" spans="3:11" outlineLevel="2" x14ac:dyDescent="0.3">
      <c r="C1599" s="9">
        <v>45084</v>
      </c>
      <c r="D1599" t="s">
        <v>45</v>
      </c>
      <c r="E1599" t="s">
        <v>33</v>
      </c>
      <c r="F1599" t="s">
        <v>13</v>
      </c>
      <c r="G1599" t="s">
        <v>38</v>
      </c>
      <c r="H1599">
        <v>2400</v>
      </c>
      <c r="I1599">
        <v>90</v>
      </c>
      <c r="J1599" s="6">
        <f t="shared" si="114"/>
        <v>216</v>
      </c>
      <c r="K1599" t="s">
        <v>392</v>
      </c>
    </row>
    <row r="1600" spans="3:11" outlineLevel="2" x14ac:dyDescent="0.3">
      <c r="C1600" s="9">
        <v>45084</v>
      </c>
      <c r="D1600" t="s">
        <v>17</v>
      </c>
      <c r="E1600" t="s">
        <v>35</v>
      </c>
      <c r="F1600" t="s">
        <v>13</v>
      </c>
      <c r="G1600" t="s">
        <v>38</v>
      </c>
      <c r="H1600">
        <v>2400</v>
      </c>
      <c r="I1600">
        <v>46</v>
      </c>
      <c r="J1600" s="6">
        <f t="shared" si="114"/>
        <v>110.4</v>
      </c>
      <c r="K1600" t="s">
        <v>392</v>
      </c>
    </row>
    <row r="1601" spans="3:11" outlineLevel="1" x14ac:dyDescent="0.3">
      <c r="C1601" s="13" t="s">
        <v>172</v>
      </c>
      <c r="J1601" s="6">
        <f>SUBTOTAL(9,J1589:J1600)</f>
        <v>1178.4100000000001</v>
      </c>
      <c r="K1601" t="s">
        <v>392</v>
      </c>
    </row>
    <row r="1602" spans="3:11" outlineLevel="2" x14ac:dyDescent="0.3">
      <c r="C1602" s="9">
        <v>45085</v>
      </c>
      <c r="D1602" t="s">
        <v>45</v>
      </c>
      <c r="E1602" t="s">
        <v>20</v>
      </c>
      <c r="F1602" t="s">
        <v>18</v>
      </c>
      <c r="G1602" t="s">
        <v>19</v>
      </c>
      <c r="H1602">
        <v>325</v>
      </c>
      <c r="I1602">
        <v>61</v>
      </c>
      <c r="J1602" s="6">
        <f t="shared" ref="J1602:J1613" si="115">H1602*I1602/1000</f>
        <v>19.824999999999999</v>
      </c>
      <c r="K1602" t="s">
        <v>392</v>
      </c>
    </row>
    <row r="1603" spans="3:11" outlineLevel="2" x14ac:dyDescent="0.3">
      <c r="C1603" s="9">
        <v>45085</v>
      </c>
      <c r="D1603" t="s">
        <v>8</v>
      </c>
      <c r="E1603" t="s">
        <v>20</v>
      </c>
      <c r="F1603" t="s">
        <v>24</v>
      </c>
      <c r="G1603" t="s">
        <v>34</v>
      </c>
      <c r="H1603">
        <v>1670</v>
      </c>
      <c r="I1603">
        <v>71</v>
      </c>
      <c r="J1603" s="6">
        <f t="shared" si="115"/>
        <v>118.57</v>
      </c>
      <c r="K1603" t="s">
        <v>392</v>
      </c>
    </row>
    <row r="1604" spans="3:11" outlineLevel="2" x14ac:dyDescent="0.3">
      <c r="C1604" s="9">
        <v>45085</v>
      </c>
      <c r="D1604" t="s">
        <v>45</v>
      </c>
      <c r="E1604" t="s">
        <v>20</v>
      </c>
      <c r="F1604" t="s">
        <v>24</v>
      </c>
      <c r="G1604" t="s">
        <v>32</v>
      </c>
      <c r="H1604">
        <v>1505</v>
      </c>
      <c r="I1604">
        <v>41</v>
      </c>
      <c r="J1604" s="6">
        <f t="shared" si="115"/>
        <v>61.704999999999998</v>
      </c>
      <c r="K1604" t="s">
        <v>392</v>
      </c>
    </row>
    <row r="1605" spans="3:11" outlineLevel="2" x14ac:dyDescent="0.3">
      <c r="C1605" s="9">
        <v>45085</v>
      </c>
      <c r="D1605" t="s">
        <v>12</v>
      </c>
      <c r="E1605" t="s">
        <v>9</v>
      </c>
      <c r="F1605" t="s">
        <v>10</v>
      </c>
      <c r="G1605" t="s">
        <v>11</v>
      </c>
      <c r="H1605">
        <v>705</v>
      </c>
      <c r="I1605">
        <v>17</v>
      </c>
      <c r="J1605" s="6">
        <f t="shared" si="115"/>
        <v>11.984999999999999</v>
      </c>
      <c r="K1605" t="s">
        <v>392</v>
      </c>
    </row>
    <row r="1606" spans="3:11" outlineLevel="2" x14ac:dyDescent="0.3">
      <c r="C1606" s="9">
        <v>45085</v>
      </c>
      <c r="D1606" t="s">
        <v>12</v>
      </c>
      <c r="E1606" t="s">
        <v>9</v>
      </c>
      <c r="F1606" t="s">
        <v>13</v>
      </c>
      <c r="G1606" t="s">
        <v>14</v>
      </c>
      <c r="H1606">
        <v>1320</v>
      </c>
      <c r="I1606">
        <v>83</v>
      </c>
      <c r="J1606" s="6">
        <f t="shared" si="115"/>
        <v>109.56</v>
      </c>
      <c r="K1606" t="s">
        <v>392</v>
      </c>
    </row>
    <row r="1607" spans="3:11" outlineLevel="2" x14ac:dyDescent="0.3">
      <c r="C1607" s="9">
        <v>45085</v>
      </c>
      <c r="D1607" t="s">
        <v>45</v>
      </c>
      <c r="E1607" t="s">
        <v>26</v>
      </c>
      <c r="F1607" t="s">
        <v>13</v>
      </c>
      <c r="G1607" t="s">
        <v>29</v>
      </c>
      <c r="H1607">
        <v>1230</v>
      </c>
      <c r="I1607">
        <v>23</v>
      </c>
      <c r="J1607" s="6">
        <f t="shared" si="115"/>
        <v>28.29</v>
      </c>
      <c r="K1607" t="s">
        <v>392</v>
      </c>
    </row>
    <row r="1608" spans="3:11" outlineLevel="2" x14ac:dyDescent="0.3">
      <c r="C1608" s="9">
        <v>45085</v>
      </c>
      <c r="D1608" t="s">
        <v>45</v>
      </c>
      <c r="E1608" t="s">
        <v>26</v>
      </c>
      <c r="F1608" t="s">
        <v>24</v>
      </c>
      <c r="G1608" t="s">
        <v>42</v>
      </c>
      <c r="H1608">
        <v>3205</v>
      </c>
      <c r="I1608">
        <v>18</v>
      </c>
      <c r="J1608" s="6">
        <f t="shared" si="115"/>
        <v>57.69</v>
      </c>
      <c r="K1608" t="s">
        <v>392</v>
      </c>
    </row>
    <row r="1609" spans="3:11" outlineLevel="2" x14ac:dyDescent="0.3">
      <c r="C1609" s="9">
        <v>45085</v>
      </c>
      <c r="D1609" t="s">
        <v>12</v>
      </c>
      <c r="E1609" t="s">
        <v>33</v>
      </c>
      <c r="F1609" t="s">
        <v>10</v>
      </c>
      <c r="G1609" t="s">
        <v>23</v>
      </c>
      <c r="H1609">
        <v>640</v>
      </c>
      <c r="I1609">
        <v>97</v>
      </c>
      <c r="J1609" s="6">
        <f t="shared" si="115"/>
        <v>62.08</v>
      </c>
      <c r="K1609" t="s">
        <v>392</v>
      </c>
    </row>
    <row r="1610" spans="3:11" outlineLevel="2" x14ac:dyDescent="0.3">
      <c r="C1610" s="9">
        <v>45085</v>
      </c>
      <c r="D1610" t="s">
        <v>17</v>
      </c>
      <c r="E1610" t="s">
        <v>33</v>
      </c>
      <c r="F1610" t="s">
        <v>10</v>
      </c>
      <c r="G1610" t="s">
        <v>41</v>
      </c>
      <c r="H1610">
        <v>650</v>
      </c>
      <c r="I1610">
        <v>47</v>
      </c>
      <c r="J1610" s="6">
        <f t="shared" si="115"/>
        <v>30.55</v>
      </c>
      <c r="K1610" t="s">
        <v>392</v>
      </c>
    </row>
    <row r="1611" spans="3:11" outlineLevel="2" x14ac:dyDescent="0.3">
      <c r="C1611" s="9">
        <v>45085</v>
      </c>
      <c r="D1611" t="s">
        <v>45</v>
      </c>
      <c r="E1611" t="s">
        <v>33</v>
      </c>
      <c r="F1611" t="s">
        <v>18</v>
      </c>
      <c r="G1611" t="s">
        <v>19</v>
      </c>
      <c r="H1611">
        <v>325</v>
      </c>
      <c r="I1611">
        <v>35</v>
      </c>
      <c r="J1611" s="6">
        <f t="shared" si="115"/>
        <v>11.375</v>
      </c>
      <c r="K1611" t="s">
        <v>392</v>
      </c>
    </row>
    <row r="1612" spans="3:11" outlineLevel="2" x14ac:dyDescent="0.3">
      <c r="C1612" s="9">
        <v>45085</v>
      </c>
      <c r="D1612" t="s">
        <v>8</v>
      </c>
      <c r="E1612" t="s">
        <v>35</v>
      </c>
      <c r="F1612" t="s">
        <v>10</v>
      </c>
      <c r="G1612" t="s">
        <v>39</v>
      </c>
      <c r="H1612">
        <v>650</v>
      </c>
      <c r="I1612">
        <v>45</v>
      </c>
      <c r="J1612" s="6">
        <f t="shared" si="115"/>
        <v>29.25</v>
      </c>
      <c r="K1612" t="s">
        <v>392</v>
      </c>
    </row>
    <row r="1613" spans="3:11" outlineLevel="2" x14ac:dyDescent="0.3">
      <c r="C1613" s="9">
        <v>45085</v>
      </c>
      <c r="D1613" t="s">
        <v>8</v>
      </c>
      <c r="E1613" t="s">
        <v>35</v>
      </c>
      <c r="F1613" t="s">
        <v>13</v>
      </c>
      <c r="G1613" t="s">
        <v>29</v>
      </c>
      <c r="H1613">
        <v>1230</v>
      </c>
      <c r="I1613">
        <v>92</v>
      </c>
      <c r="J1613" s="6">
        <f t="shared" si="115"/>
        <v>113.16</v>
      </c>
      <c r="K1613" t="s">
        <v>392</v>
      </c>
    </row>
    <row r="1614" spans="3:11" outlineLevel="1" x14ac:dyDescent="0.3">
      <c r="C1614" s="13" t="s">
        <v>173</v>
      </c>
      <c r="J1614" s="6">
        <f>SUBTOTAL(9,J1602:J1613)</f>
        <v>654.04</v>
      </c>
      <c r="K1614" t="s">
        <v>392</v>
      </c>
    </row>
    <row r="1615" spans="3:11" outlineLevel="2" x14ac:dyDescent="0.3">
      <c r="C1615" s="9">
        <v>45086</v>
      </c>
      <c r="D1615" t="s">
        <v>17</v>
      </c>
      <c r="E1615" t="s">
        <v>20</v>
      </c>
      <c r="F1615" t="s">
        <v>18</v>
      </c>
      <c r="G1615" t="s">
        <v>28</v>
      </c>
      <c r="H1615">
        <v>690</v>
      </c>
      <c r="I1615">
        <v>58</v>
      </c>
      <c r="J1615" s="6">
        <f t="shared" ref="J1615:J1623" si="116">H1615*I1615/1000</f>
        <v>40.020000000000003</v>
      </c>
      <c r="K1615" t="s">
        <v>392</v>
      </c>
    </row>
    <row r="1616" spans="3:11" outlineLevel="2" x14ac:dyDescent="0.3">
      <c r="C1616" s="9">
        <v>45086</v>
      </c>
      <c r="D1616" t="s">
        <v>45</v>
      </c>
      <c r="E1616" t="s">
        <v>20</v>
      </c>
      <c r="F1616" t="s">
        <v>13</v>
      </c>
      <c r="G1616" t="s">
        <v>38</v>
      </c>
      <c r="H1616">
        <v>2400</v>
      </c>
      <c r="I1616">
        <v>75</v>
      </c>
      <c r="J1616" s="6">
        <f t="shared" si="116"/>
        <v>180</v>
      </c>
      <c r="K1616" t="s">
        <v>392</v>
      </c>
    </row>
    <row r="1617" spans="3:11" outlineLevel="2" x14ac:dyDescent="0.3">
      <c r="C1617" s="9">
        <v>45086</v>
      </c>
      <c r="D1617" t="s">
        <v>8</v>
      </c>
      <c r="E1617" t="s">
        <v>20</v>
      </c>
      <c r="F1617" t="s">
        <v>13</v>
      </c>
      <c r="G1617" t="s">
        <v>43</v>
      </c>
      <c r="H1617">
        <v>1420</v>
      </c>
      <c r="I1617">
        <v>58</v>
      </c>
      <c r="J1617" s="6">
        <f t="shared" si="116"/>
        <v>82.36</v>
      </c>
      <c r="K1617" t="s">
        <v>392</v>
      </c>
    </row>
    <row r="1618" spans="3:11" outlineLevel="2" x14ac:dyDescent="0.3">
      <c r="C1618" s="9">
        <v>45086</v>
      </c>
      <c r="D1618" t="s">
        <v>45</v>
      </c>
      <c r="E1618" t="s">
        <v>20</v>
      </c>
      <c r="F1618" t="s">
        <v>24</v>
      </c>
      <c r="G1618" t="s">
        <v>30</v>
      </c>
      <c r="H1618">
        <v>2970</v>
      </c>
      <c r="I1618">
        <v>72</v>
      </c>
      <c r="J1618" s="6">
        <f t="shared" si="116"/>
        <v>213.84</v>
      </c>
      <c r="K1618" t="s">
        <v>392</v>
      </c>
    </row>
    <row r="1619" spans="3:11" outlineLevel="2" x14ac:dyDescent="0.3">
      <c r="C1619" s="9">
        <v>45086</v>
      </c>
      <c r="D1619" t="s">
        <v>17</v>
      </c>
      <c r="E1619" t="s">
        <v>26</v>
      </c>
      <c r="F1619" t="s">
        <v>10</v>
      </c>
      <c r="G1619" t="s">
        <v>41</v>
      </c>
      <c r="H1619">
        <v>650</v>
      </c>
      <c r="I1619">
        <v>91</v>
      </c>
      <c r="J1619" s="6">
        <f t="shared" si="116"/>
        <v>59.15</v>
      </c>
      <c r="K1619" t="s">
        <v>392</v>
      </c>
    </row>
    <row r="1620" spans="3:11" outlineLevel="2" x14ac:dyDescent="0.3">
      <c r="C1620" s="9">
        <v>45086</v>
      </c>
      <c r="D1620" t="s">
        <v>8</v>
      </c>
      <c r="E1620" t="s">
        <v>26</v>
      </c>
      <c r="F1620" t="s">
        <v>10</v>
      </c>
      <c r="G1620" t="s">
        <v>40</v>
      </c>
      <c r="H1620">
        <v>540</v>
      </c>
      <c r="I1620">
        <v>77</v>
      </c>
      <c r="J1620" s="6">
        <f t="shared" si="116"/>
        <v>41.58</v>
      </c>
      <c r="K1620" t="s">
        <v>392</v>
      </c>
    </row>
    <row r="1621" spans="3:11" outlineLevel="2" x14ac:dyDescent="0.3">
      <c r="C1621" s="9">
        <v>45086</v>
      </c>
      <c r="D1621" t="s">
        <v>45</v>
      </c>
      <c r="E1621" t="s">
        <v>26</v>
      </c>
      <c r="F1621" t="s">
        <v>24</v>
      </c>
      <c r="G1621" t="s">
        <v>42</v>
      </c>
      <c r="H1621">
        <v>3205</v>
      </c>
      <c r="I1621">
        <v>43</v>
      </c>
      <c r="J1621" s="6">
        <f t="shared" si="116"/>
        <v>137.815</v>
      </c>
      <c r="K1621" t="s">
        <v>392</v>
      </c>
    </row>
    <row r="1622" spans="3:11" outlineLevel="2" x14ac:dyDescent="0.3">
      <c r="C1622" s="9">
        <v>45086</v>
      </c>
      <c r="D1622" t="s">
        <v>45</v>
      </c>
      <c r="E1622" t="s">
        <v>15</v>
      </c>
      <c r="F1622" t="s">
        <v>10</v>
      </c>
      <c r="G1622" t="s">
        <v>40</v>
      </c>
      <c r="H1622">
        <v>540</v>
      </c>
      <c r="I1622">
        <v>98</v>
      </c>
      <c r="J1622" s="6">
        <f t="shared" si="116"/>
        <v>52.92</v>
      </c>
      <c r="K1622" t="s">
        <v>392</v>
      </c>
    </row>
    <row r="1623" spans="3:11" outlineLevel="2" x14ac:dyDescent="0.3">
      <c r="C1623" s="9">
        <v>45086</v>
      </c>
      <c r="D1623" t="s">
        <v>12</v>
      </c>
      <c r="E1623" t="s">
        <v>15</v>
      </c>
      <c r="F1623" t="s">
        <v>24</v>
      </c>
      <c r="G1623" t="s">
        <v>30</v>
      </c>
      <c r="H1623">
        <v>2970</v>
      </c>
      <c r="I1623">
        <v>34</v>
      </c>
      <c r="J1623" s="6">
        <f t="shared" si="116"/>
        <v>100.98</v>
      </c>
      <c r="K1623" t="s">
        <v>392</v>
      </c>
    </row>
    <row r="1624" spans="3:11" outlineLevel="1" x14ac:dyDescent="0.3">
      <c r="C1624" s="13" t="s">
        <v>174</v>
      </c>
      <c r="J1624" s="6">
        <f>SUBTOTAL(9,J1615:J1623)</f>
        <v>908.66500000000008</v>
      </c>
      <c r="K1624" t="s">
        <v>392</v>
      </c>
    </row>
    <row r="1625" spans="3:11" outlineLevel="2" x14ac:dyDescent="0.3">
      <c r="C1625" s="9">
        <v>45087</v>
      </c>
      <c r="D1625" t="s">
        <v>45</v>
      </c>
      <c r="E1625" t="s">
        <v>20</v>
      </c>
      <c r="F1625" t="s">
        <v>18</v>
      </c>
      <c r="G1625" t="s">
        <v>28</v>
      </c>
      <c r="H1625">
        <v>690</v>
      </c>
      <c r="I1625">
        <v>66</v>
      </c>
      <c r="J1625" s="6">
        <f t="shared" ref="J1625:J1636" si="117">H1625*I1625/1000</f>
        <v>45.54</v>
      </c>
      <c r="K1625" t="s">
        <v>392</v>
      </c>
    </row>
    <row r="1626" spans="3:11" outlineLevel="2" x14ac:dyDescent="0.3">
      <c r="C1626" s="9">
        <v>45087</v>
      </c>
      <c r="D1626" t="s">
        <v>12</v>
      </c>
      <c r="E1626" t="s">
        <v>20</v>
      </c>
      <c r="F1626" t="s">
        <v>18</v>
      </c>
      <c r="G1626" t="s">
        <v>21</v>
      </c>
      <c r="H1626">
        <v>450</v>
      </c>
      <c r="I1626">
        <v>39</v>
      </c>
      <c r="J1626" s="6">
        <f t="shared" si="117"/>
        <v>17.55</v>
      </c>
      <c r="K1626" t="s">
        <v>392</v>
      </c>
    </row>
    <row r="1627" spans="3:11" outlineLevel="2" x14ac:dyDescent="0.3">
      <c r="C1627" s="9">
        <v>45087</v>
      </c>
      <c r="D1627" t="s">
        <v>8</v>
      </c>
      <c r="E1627" t="s">
        <v>20</v>
      </c>
      <c r="F1627" t="s">
        <v>18</v>
      </c>
      <c r="G1627" t="s">
        <v>21</v>
      </c>
      <c r="H1627">
        <v>450</v>
      </c>
      <c r="I1627">
        <v>27</v>
      </c>
      <c r="J1627" s="6">
        <f t="shared" si="117"/>
        <v>12.15</v>
      </c>
      <c r="K1627" t="s">
        <v>392</v>
      </c>
    </row>
    <row r="1628" spans="3:11" outlineLevel="2" x14ac:dyDescent="0.3">
      <c r="C1628" s="9">
        <v>45087</v>
      </c>
      <c r="D1628" t="s">
        <v>8</v>
      </c>
      <c r="E1628" t="s">
        <v>20</v>
      </c>
      <c r="F1628" t="s">
        <v>18</v>
      </c>
      <c r="G1628" t="s">
        <v>27</v>
      </c>
      <c r="H1628">
        <v>460</v>
      </c>
      <c r="I1628">
        <v>56</v>
      </c>
      <c r="J1628" s="6">
        <f t="shared" si="117"/>
        <v>25.76</v>
      </c>
      <c r="K1628" t="s">
        <v>392</v>
      </c>
    </row>
    <row r="1629" spans="3:11" outlineLevel="2" x14ac:dyDescent="0.3">
      <c r="C1629" s="9">
        <v>45087</v>
      </c>
      <c r="D1629" t="s">
        <v>17</v>
      </c>
      <c r="E1629" t="s">
        <v>20</v>
      </c>
      <c r="F1629" t="s">
        <v>24</v>
      </c>
      <c r="G1629" t="s">
        <v>32</v>
      </c>
      <c r="H1629">
        <v>1505</v>
      </c>
      <c r="I1629">
        <v>33</v>
      </c>
      <c r="J1629" s="6">
        <f t="shared" si="117"/>
        <v>49.664999999999999</v>
      </c>
      <c r="K1629" t="s">
        <v>392</v>
      </c>
    </row>
    <row r="1630" spans="3:11" outlineLevel="2" x14ac:dyDescent="0.3">
      <c r="C1630" s="9">
        <v>45087</v>
      </c>
      <c r="D1630" t="s">
        <v>45</v>
      </c>
      <c r="E1630" t="s">
        <v>9</v>
      </c>
      <c r="F1630" t="s">
        <v>18</v>
      </c>
      <c r="G1630" t="s">
        <v>28</v>
      </c>
      <c r="H1630">
        <v>690</v>
      </c>
      <c r="I1630">
        <v>71</v>
      </c>
      <c r="J1630" s="6">
        <f t="shared" si="117"/>
        <v>48.99</v>
      </c>
      <c r="K1630" t="s">
        <v>392</v>
      </c>
    </row>
    <row r="1631" spans="3:11" outlineLevel="2" x14ac:dyDescent="0.3">
      <c r="C1631" s="9">
        <v>45087</v>
      </c>
      <c r="D1631" t="s">
        <v>45</v>
      </c>
      <c r="E1631" t="s">
        <v>9</v>
      </c>
      <c r="F1631" t="s">
        <v>24</v>
      </c>
      <c r="G1631" t="s">
        <v>32</v>
      </c>
      <c r="H1631">
        <v>1505</v>
      </c>
      <c r="I1631">
        <v>7</v>
      </c>
      <c r="J1631" s="6">
        <f t="shared" si="117"/>
        <v>10.535</v>
      </c>
      <c r="K1631" t="s">
        <v>392</v>
      </c>
    </row>
    <row r="1632" spans="3:11" outlineLevel="2" x14ac:dyDescent="0.3">
      <c r="C1632" s="9">
        <v>45087</v>
      </c>
      <c r="D1632" t="s">
        <v>17</v>
      </c>
      <c r="E1632" t="s">
        <v>26</v>
      </c>
      <c r="F1632" t="s">
        <v>18</v>
      </c>
      <c r="G1632" t="s">
        <v>28</v>
      </c>
      <c r="H1632">
        <v>690</v>
      </c>
      <c r="I1632">
        <v>20</v>
      </c>
      <c r="J1632" s="6">
        <f t="shared" si="117"/>
        <v>13.8</v>
      </c>
      <c r="K1632" t="s">
        <v>392</v>
      </c>
    </row>
    <row r="1633" spans="3:11" outlineLevel="2" x14ac:dyDescent="0.3">
      <c r="C1633" s="9">
        <v>45087</v>
      </c>
      <c r="D1633" t="s">
        <v>17</v>
      </c>
      <c r="E1633" t="s">
        <v>33</v>
      </c>
      <c r="F1633" t="s">
        <v>10</v>
      </c>
      <c r="G1633" t="s">
        <v>16</v>
      </c>
      <c r="H1633">
        <v>1380</v>
      </c>
      <c r="I1633">
        <v>44</v>
      </c>
      <c r="J1633" s="6">
        <f t="shared" si="117"/>
        <v>60.72</v>
      </c>
      <c r="K1633" t="s">
        <v>392</v>
      </c>
    </row>
    <row r="1634" spans="3:11" outlineLevel="2" x14ac:dyDescent="0.3">
      <c r="C1634" s="9">
        <v>45087</v>
      </c>
      <c r="D1634" t="s">
        <v>45</v>
      </c>
      <c r="E1634" t="s">
        <v>33</v>
      </c>
      <c r="F1634" t="s">
        <v>24</v>
      </c>
      <c r="G1634" t="s">
        <v>32</v>
      </c>
      <c r="H1634">
        <v>1505</v>
      </c>
      <c r="I1634">
        <v>44</v>
      </c>
      <c r="J1634" s="6">
        <f t="shared" si="117"/>
        <v>66.22</v>
      </c>
      <c r="K1634" t="s">
        <v>392</v>
      </c>
    </row>
    <row r="1635" spans="3:11" outlineLevel="2" x14ac:dyDescent="0.3">
      <c r="C1635" s="9">
        <v>45087</v>
      </c>
      <c r="D1635" t="s">
        <v>12</v>
      </c>
      <c r="E1635" t="s">
        <v>35</v>
      </c>
      <c r="F1635" t="s">
        <v>24</v>
      </c>
      <c r="G1635" t="s">
        <v>32</v>
      </c>
      <c r="H1635">
        <v>1505</v>
      </c>
      <c r="I1635">
        <v>42</v>
      </c>
      <c r="J1635" s="6">
        <f t="shared" si="117"/>
        <v>63.21</v>
      </c>
      <c r="K1635" t="s">
        <v>392</v>
      </c>
    </row>
    <row r="1636" spans="3:11" outlineLevel="2" x14ac:dyDescent="0.3">
      <c r="C1636" s="9">
        <v>45087</v>
      </c>
      <c r="D1636" t="s">
        <v>17</v>
      </c>
      <c r="E1636" t="s">
        <v>35</v>
      </c>
      <c r="F1636" t="s">
        <v>24</v>
      </c>
      <c r="G1636" t="s">
        <v>30</v>
      </c>
      <c r="H1636">
        <v>2970</v>
      </c>
      <c r="I1636">
        <v>51</v>
      </c>
      <c r="J1636" s="6">
        <f t="shared" si="117"/>
        <v>151.47</v>
      </c>
      <c r="K1636" t="s">
        <v>392</v>
      </c>
    </row>
    <row r="1637" spans="3:11" outlineLevel="1" x14ac:dyDescent="0.3">
      <c r="C1637" s="13" t="s">
        <v>175</v>
      </c>
      <c r="J1637" s="6">
        <f>SUBTOTAL(9,J1625:J1636)</f>
        <v>565.61</v>
      </c>
      <c r="K1637" t="s">
        <v>392</v>
      </c>
    </row>
    <row r="1638" spans="3:11" outlineLevel="2" x14ac:dyDescent="0.3">
      <c r="C1638" s="9">
        <v>45088</v>
      </c>
      <c r="D1638" t="s">
        <v>12</v>
      </c>
      <c r="E1638" t="s">
        <v>20</v>
      </c>
      <c r="F1638" t="s">
        <v>13</v>
      </c>
      <c r="G1638" t="s">
        <v>38</v>
      </c>
      <c r="H1638">
        <v>2400</v>
      </c>
      <c r="I1638">
        <v>99</v>
      </c>
      <c r="J1638" s="6">
        <f t="shared" ref="J1638:J1646" si="118">H1638*I1638/1000</f>
        <v>237.6</v>
      </c>
      <c r="K1638" t="s">
        <v>392</v>
      </c>
    </row>
    <row r="1639" spans="3:11" outlineLevel="2" x14ac:dyDescent="0.3">
      <c r="C1639" s="9">
        <v>45088</v>
      </c>
      <c r="D1639" t="s">
        <v>8</v>
      </c>
      <c r="E1639" t="s">
        <v>20</v>
      </c>
      <c r="F1639" t="s">
        <v>13</v>
      </c>
      <c r="G1639" t="s">
        <v>43</v>
      </c>
      <c r="H1639">
        <v>1420</v>
      </c>
      <c r="I1639">
        <v>32</v>
      </c>
      <c r="J1639" s="6">
        <f t="shared" si="118"/>
        <v>45.44</v>
      </c>
      <c r="K1639" t="s">
        <v>392</v>
      </c>
    </row>
    <row r="1640" spans="3:11" outlineLevel="2" x14ac:dyDescent="0.3">
      <c r="C1640" s="9">
        <v>45088</v>
      </c>
      <c r="D1640" t="s">
        <v>45</v>
      </c>
      <c r="E1640" t="s">
        <v>26</v>
      </c>
      <c r="F1640" t="s">
        <v>18</v>
      </c>
      <c r="G1640" t="s">
        <v>21</v>
      </c>
      <c r="H1640">
        <v>450</v>
      </c>
      <c r="I1640">
        <v>46</v>
      </c>
      <c r="J1640" s="6">
        <f t="shared" si="118"/>
        <v>20.7</v>
      </c>
      <c r="K1640" t="s">
        <v>392</v>
      </c>
    </row>
    <row r="1641" spans="3:11" outlineLevel="2" x14ac:dyDescent="0.3">
      <c r="C1641" s="9">
        <v>45088</v>
      </c>
      <c r="D1641" t="s">
        <v>12</v>
      </c>
      <c r="E1641" t="s">
        <v>15</v>
      </c>
      <c r="F1641" t="s">
        <v>10</v>
      </c>
      <c r="G1641" t="s">
        <v>23</v>
      </c>
      <c r="H1641">
        <v>640</v>
      </c>
      <c r="I1641">
        <v>24</v>
      </c>
      <c r="J1641" s="6">
        <f t="shared" si="118"/>
        <v>15.36</v>
      </c>
      <c r="K1641" t="s">
        <v>392</v>
      </c>
    </row>
    <row r="1642" spans="3:11" outlineLevel="2" x14ac:dyDescent="0.3">
      <c r="C1642" s="9">
        <v>45088</v>
      </c>
      <c r="D1642" t="s">
        <v>8</v>
      </c>
      <c r="E1642" t="s">
        <v>15</v>
      </c>
      <c r="F1642" t="s">
        <v>24</v>
      </c>
      <c r="G1642" t="s">
        <v>36</v>
      </c>
      <c r="H1642">
        <v>2460</v>
      </c>
      <c r="I1642">
        <v>94</v>
      </c>
      <c r="J1642" s="6">
        <f t="shared" si="118"/>
        <v>231.24</v>
      </c>
      <c r="K1642" t="s">
        <v>392</v>
      </c>
    </row>
    <row r="1643" spans="3:11" outlineLevel="2" x14ac:dyDescent="0.3">
      <c r="C1643" s="9">
        <v>45088</v>
      </c>
      <c r="D1643" t="s">
        <v>12</v>
      </c>
      <c r="E1643" t="s">
        <v>33</v>
      </c>
      <c r="F1643" t="s">
        <v>18</v>
      </c>
      <c r="G1643" t="s">
        <v>31</v>
      </c>
      <c r="H1643">
        <v>715</v>
      </c>
      <c r="I1643">
        <v>77</v>
      </c>
      <c r="J1643" s="6">
        <f t="shared" si="118"/>
        <v>55.055</v>
      </c>
      <c r="K1643" t="s">
        <v>392</v>
      </c>
    </row>
    <row r="1644" spans="3:11" outlineLevel="2" x14ac:dyDescent="0.3">
      <c r="C1644" s="9">
        <v>45088</v>
      </c>
      <c r="D1644" t="s">
        <v>12</v>
      </c>
      <c r="E1644" t="s">
        <v>33</v>
      </c>
      <c r="F1644" t="s">
        <v>18</v>
      </c>
      <c r="G1644" t="s">
        <v>27</v>
      </c>
      <c r="H1644">
        <v>460</v>
      </c>
      <c r="I1644">
        <v>86</v>
      </c>
      <c r="J1644" s="6">
        <f t="shared" si="118"/>
        <v>39.56</v>
      </c>
      <c r="K1644" t="s">
        <v>392</v>
      </c>
    </row>
    <row r="1645" spans="3:11" outlineLevel="2" x14ac:dyDescent="0.3">
      <c r="C1645" s="9">
        <v>45088</v>
      </c>
      <c r="D1645" t="s">
        <v>8</v>
      </c>
      <c r="E1645" t="s">
        <v>33</v>
      </c>
      <c r="F1645" t="s">
        <v>13</v>
      </c>
      <c r="G1645" t="s">
        <v>38</v>
      </c>
      <c r="H1645">
        <v>2400</v>
      </c>
      <c r="I1645">
        <v>64</v>
      </c>
      <c r="J1645" s="6">
        <f t="shared" si="118"/>
        <v>153.6</v>
      </c>
      <c r="K1645" t="s">
        <v>392</v>
      </c>
    </row>
    <row r="1646" spans="3:11" outlineLevel="2" x14ac:dyDescent="0.3">
      <c r="C1646" s="9">
        <v>45088</v>
      </c>
      <c r="D1646" t="s">
        <v>17</v>
      </c>
      <c r="E1646" t="s">
        <v>35</v>
      </c>
      <c r="F1646" t="s">
        <v>10</v>
      </c>
      <c r="G1646" t="s">
        <v>16</v>
      </c>
      <c r="H1646">
        <v>1380</v>
      </c>
      <c r="I1646">
        <v>60</v>
      </c>
      <c r="J1646" s="6">
        <f t="shared" si="118"/>
        <v>82.8</v>
      </c>
      <c r="K1646" t="s">
        <v>392</v>
      </c>
    </row>
    <row r="1647" spans="3:11" outlineLevel="1" x14ac:dyDescent="0.3">
      <c r="C1647" s="13" t="s">
        <v>176</v>
      </c>
      <c r="J1647" s="6">
        <f>SUBTOTAL(9,J1638:J1646)</f>
        <v>881.3549999999999</v>
      </c>
      <c r="K1647" t="s">
        <v>392</v>
      </c>
    </row>
    <row r="1648" spans="3:11" outlineLevel="2" x14ac:dyDescent="0.3">
      <c r="C1648" s="9">
        <v>45089</v>
      </c>
      <c r="D1648" t="s">
        <v>8</v>
      </c>
      <c r="E1648" t="s">
        <v>20</v>
      </c>
      <c r="F1648" t="s">
        <v>24</v>
      </c>
      <c r="G1648" t="s">
        <v>25</v>
      </c>
      <c r="H1648">
        <v>1760</v>
      </c>
      <c r="I1648">
        <v>84</v>
      </c>
      <c r="J1648" s="6">
        <f t="shared" ref="J1648:J1653" si="119">H1648*I1648/1000</f>
        <v>147.84</v>
      </c>
      <c r="K1648" t="s">
        <v>392</v>
      </c>
    </row>
    <row r="1649" spans="3:11" outlineLevel="2" x14ac:dyDescent="0.3">
      <c r="C1649" s="9">
        <v>45089</v>
      </c>
      <c r="D1649" t="s">
        <v>45</v>
      </c>
      <c r="E1649" t="s">
        <v>9</v>
      </c>
      <c r="F1649" t="s">
        <v>18</v>
      </c>
      <c r="G1649" t="s">
        <v>28</v>
      </c>
      <c r="H1649">
        <v>690</v>
      </c>
      <c r="I1649">
        <v>39</v>
      </c>
      <c r="J1649" s="6">
        <f t="shared" si="119"/>
        <v>26.91</v>
      </c>
      <c r="K1649" t="s">
        <v>392</v>
      </c>
    </row>
    <row r="1650" spans="3:11" outlineLevel="2" x14ac:dyDescent="0.3">
      <c r="C1650" s="9">
        <v>45089</v>
      </c>
      <c r="D1650" t="s">
        <v>8</v>
      </c>
      <c r="E1650" t="s">
        <v>26</v>
      </c>
      <c r="F1650" t="s">
        <v>18</v>
      </c>
      <c r="G1650" t="s">
        <v>19</v>
      </c>
      <c r="H1650">
        <v>325</v>
      </c>
      <c r="I1650">
        <v>79</v>
      </c>
      <c r="J1650" s="6">
        <f t="shared" si="119"/>
        <v>25.675000000000001</v>
      </c>
      <c r="K1650" t="s">
        <v>392</v>
      </c>
    </row>
    <row r="1651" spans="3:11" outlineLevel="2" x14ac:dyDescent="0.3">
      <c r="C1651" s="9">
        <v>45089</v>
      </c>
      <c r="D1651" t="s">
        <v>8</v>
      </c>
      <c r="E1651" t="s">
        <v>26</v>
      </c>
      <c r="F1651" t="s">
        <v>24</v>
      </c>
      <c r="G1651" t="s">
        <v>36</v>
      </c>
      <c r="H1651">
        <v>2460</v>
      </c>
      <c r="I1651">
        <v>43</v>
      </c>
      <c r="J1651" s="6">
        <f t="shared" si="119"/>
        <v>105.78</v>
      </c>
      <c r="K1651" t="s">
        <v>392</v>
      </c>
    </row>
    <row r="1652" spans="3:11" outlineLevel="2" x14ac:dyDescent="0.3">
      <c r="C1652" s="9">
        <v>45089</v>
      </c>
      <c r="D1652" t="s">
        <v>17</v>
      </c>
      <c r="E1652" t="s">
        <v>15</v>
      </c>
      <c r="F1652" t="s">
        <v>10</v>
      </c>
      <c r="G1652" t="s">
        <v>41</v>
      </c>
      <c r="H1652">
        <v>650</v>
      </c>
      <c r="I1652">
        <v>71</v>
      </c>
      <c r="J1652" s="6">
        <f t="shared" si="119"/>
        <v>46.15</v>
      </c>
      <c r="K1652" t="s">
        <v>392</v>
      </c>
    </row>
    <row r="1653" spans="3:11" outlineLevel="2" x14ac:dyDescent="0.3">
      <c r="C1653" s="9">
        <v>45089</v>
      </c>
      <c r="D1653" t="s">
        <v>12</v>
      </c>
      <c r="E1653" t="s">
        <v>35</v>
      </c>
      <c r="F1653" t="s">
        <v>10</v>
      </c>
      <c r="G1653" t="s">
        <v>11</v>
      </c>
      <c r="H1653">
        <v>705</v>
      </c>
      <c r="I1653">
        <v>15</v>
      </c>
      <c r="J1653" s="6">
        <f t="shared" si="119"/>
        <v>10.574999999999999</v>
      </c>
      <c r="K1653" t="s">
        <v>392</v>
      </c>
    </row>
    <row r="1654" spans="3:11" outlineLevel="1" x14ac:dyDescent="0.3">
      <c r="C1654" s="13" t="s">
        <v>177</v>
      </c>
      <c r="J1654" s="6">
        <f>SUBTOTAL(9,J1648:J1653)</f>
        <v>362.93</v>
      </c>
      <c r="K1654" t="s">
        <v>392</v>
      </c>
    </row>
    <row r="1655" spans="3:11" outlineLevel="2" x14ac:dyDescent="0.3">
      <c r="C1655" s="9">
        <v>45090</v>
      </c>
      <c r="D1655" t="s">
        <v>12</v>
      </c>
      <c r="E1655" t="s">
        <v>20</v>
      </c>
      <c r="F1655" t="s">
        <v>13</v>
      </c>
      <c r="G1655" t="s">
        <v>38</v>
      </c>
      <c r="H1655">
        <v>2400</v>
      </c>
      <c r="I1655">
        <v>50</v>
      </c>
      <c r="J1655" s="6">
        <f t="shared" ref="J1655:J1664" si="120">H1655*I1655/1000</f>
        <v>120</v>
      </c>
      <c r="K1655" t="s">
        <v>392</v>
      </c>
    </row>
    <row r="1656" spans="3:11" outlineLevel="2" x14ac:dyDescent="0.3">
      <c r="C1656" s="9">
        <v>45090</v>
      </c>
      <c r="D1656" t="s">
        <v>17</v>
      </c>
      <c r="E1656" t="s">
        <v>9</v>
      </c>
      <c r="F1656" t="s">
        <v>10</v>
      </c>
      <c r="G1656" t="s">
        <v>16</v>
      </c>
      <c r="H1656">
        <v>1380</v>
      </c>
      <c r="I1656">
        <v>76</v>
      </c>
      <c r="J1656" s="6">
        <f t="shared" si="120"/>
        <v>104.88</v>
      </c>
      <c r="K1656" t="s">
        <v>392</v>
      </c>
    </row>
    <row r="1657" spans="3:11" outlineLevel="2" x14ac:dyDescent="0.3">
      <c r="C1657" s="9">
        <v>45090</v>
      </c>
      <c r="D1657" t="s">
        <v>8</v>
      </c>
      <c r="E1657" t="s">
        <v>9</v>
      </c>
      <c r="F1657" t="s">
        <v>13</v>
      </c>
      <c r="G1657" t="s">
        <v>14</v>
      </c>
      <c r="H1657">
        <v>1320</v>
      </c>
      <c r="I1657">
        <v>18</v>
      </c>
      <c r="J1657" s="6">
        <f t="shared" si="120"/>
        <v>23.76</v>
      </c>
      <c r="K1657" t="s">
        <v>392</v>
      </c>
    </row>
    <row r="1658" spans="3:11" outlineLevel="2" x14ac:dyDescent="0.3">
      <c r="C1658" s="9">
        <v>45090</v>
      </c>
      <c r="D1658" t="s">
        <v>8</v>
      </c>
      <c r="E1658" t="s">
        <v>26</v>
      </c>
      <c r="F1658" t="s">
        <v>18</v>
      </c>
      <c r="G1658" t="s">
        <v>19</v>
      </c>
      <c r="H1658">
        <v>325</v>
      </c>
      <c r="I1658">
        <v>32</v>
      </c>
      <c r="J1658" s="6">
        <f t="shared" si="120"/>
        <v>10.4</v>
      </c>
      <c r="K1658" t="s">
        <v>392</v>
      </c>
    </row>
    <row r="1659" spans="3:11" outlineLevel="2" x14ac:dyDescent="0.3">
      <c r="C1659" s="9">
        <v>45090</v>
      </c>
      <c r="D1659" t="s">
        <v>45</v>
      </c>
      <c r="E1659" t="s">
        <v>26</v>
      </c>
      <c r="F1659" t="s">
        <v>13</v>
      </c>
      <c r="G1659" t="s">
        <v>22</v>
      </c>
      <c r="H1659">
        <v>930</v>
      </c>
      <c r="I1659">
        <v>45</v>
      </c>
      <c r="J1659" s="6">
        <f t="shared" si="120"/>
        <v>41.85</v>
      </c>
      <c r="K1659" t="s">
        <v>392</v>
      </c>
    </row>
    <row r="1660" spans="3:11" outlineLevel="2" x14ac:dyDescent="0.3">
      <c r="C1660" s="9">
        <v>45090</v>
      </c>
      <c r="D1660" t="s">
        <v>45</v>
      </c>
      <c r="E1660" t="s">
        <v>15</v>
      </c>
      <c r="F1660" t="s">
        <v>10</v>
      </c>
      <c r="G1660" t="s">
        <v>11</v>
      </c>
      <c r="H1660">
        <v>705</v>
      </c>
      <c r="I1660">
        <v>6</v>
      </c>
      <c r="J1660" s="6">
        <f t="shared" si="120"/>
        <v>4.2300000000000004</v>
      </c>
      <c r="K1660" t="s">
        <v>392</v>
      </c>
    </row>
    <row r="1661" spans="3:11" outlineLevel="2" x14ac:dyDescent="0.3">
      <c r="C1661" s="9">
        <v>45090</v>
      </c>
      <c r="D1661" t="s">
        <v>8</v>
      </c>
      <c r="E1661" t="s">
        <v>15</v>
      </c>
      <c r="F1661" t="s">
        <v>18</v>
      </c>
      <c r="G1661" t="s">
        <v>37</v>
      </c>
      <c r="H1661">
        <v>890</v>
      </c>
      <c r="I1661">
        <v>40</v>
      </c>
      <c r="J1661" s="6">
        <f t="shared" si="120"/>
        <v>35.6</v>
      </c>
      <c r="K1661" t="s">
        <v>392</v>
      </c>
    </row>
    <row r="1662" spans="3:11" outlineLevel="2" x14ac:dyDescent="0.3">
      <c r="C1662" s="9">
        <v>45090</v>
      </c>
      <c r="D1662" t="s">
        <v>45</v>
      </c>
      <c r="E1662" t="s">
        <v>15</v>
      </c>
      <c r="F1662" t="s">
        <v>13</v>
      </c>
      <c r="G1662" t="s">
        <v>43</v>
      </c>
      <c r="H1662">
        <v>1420</v>
      </c>
      <c r="I1662">
        <v>66</v>
      </c>
      <c r="J1662" s="6">
        <f t="shared" si="120"/>
        <v>93.72</v>
      </c>
      <c r="K1662" t="s">
        <v>392</v>
      </c>
    </row>
    <row r="1663" spans="3:11" outlineLevel="2" x14ac:dyDescent="0.3">
      <c r="C1663" s="9">
        <v>45090</v>
      </c>
      <c r="D1663" t="s">
        <v>12</v>
      </c>
      <c r="E1663" t="s">
        <v>35</v>
      </c>
      <c r="F1663" t="s">
        <v>10</v>
      </c>
      <c r="G1663" t="s">
        <v>16</v>
      </c>
      <c r="H1663">
        <v>1380</v>
      </c>
      <c r="I1663">
        <v>43</v>
      </c>
      <c r="J1663" s="6">
        <f t="shared" si="120"/>
        <v>59.34</v>
      </c>
      <c r="K1663" t="s">
        <v>392</v>
      </c>
    </row>
    <row r="1664" spans="3:11" outlineLevel="2" x14ac:dyDescent="0.3">
      <c r="C1664" s="9">
        <v>45090</v>
      </c>
      <c r="D1664" t="s">
        <v>17</v>
      </c>
      <c r="E1664" t="s">
        <v>35</v>
      </c>
      <c r="F1664" t="s">
        <v>13</v>
      </c>
      <c r="G1664" t="s">
        <v>44</v>
      </c>
      <c r="H1664">
        <v>2540</v>
      </c>
      <c r="I1664">
        <v>72</v>
      </c>
      <c r="J1664" s="6">
        <f t="shared" si="120"/>
        <v>182.88</v>
      </c>
      <c r="K1664" t="s">
        <v>392</v>
      </c>
    </row>
    <row r="1665" spans="3:11" outlineLevel="1" x14ac:dyDescent="0.3">
      <c r="C1665" s="13" t="s">
        <v>178</v>
      </c>
      <c r="J1665" s="6">
        <f>SUBTOTAL(9,J1655:J1664)</f>
        <v>676.66000000000008</v>
      </c>
      <c r="K1665" t="s">
        <v>392</v>
      </c>
    </row>
    <row r="1666" spans="3:11" outlineLevel="2" x14ac:dyDescent="0.3">
      <c r="C1666" s="9">
        <v>45091</v>
      </c>
      <c r="D1666" t="s">
        <v>17</v>
      </c>
      <c r="E1666" t="s">
        <v>20</v>
      </c>
      <c r="F1666" t="s">
        <v>18</v>
      </c>
      <c r="G1666" t="s">
        <v>19</v>
      </c>
      <c r="H1666">
        <v>325</v>
      </c>
      <c r="I1666">
        <v>33</v>
      </c>
      <c r="J1666" s="6">
        <f t="shared" ref="J1666:J1678" si="121">H1666*I1666/1000</f>
        <v>10.725</v>
      </c>
      <c r="K1666" t="s">
        <v>392</v>
      </c>
    </row>
    <row r="1667" spans="3:11" outlineLevel="2" x14ac:dyDescent="0.3">
      <c r="C1667" s="9">
        <v>45091</v>
      </c>
      <c r="D1667" t="s">
        <v>12</v>
      </c>
      <c r="E1667" t="s">
        <v>20</v>
      </c>
      <c r="F1667" t="s">
        <v>13</v>
      </c>
      <c r="G1667" t="s">
        <v>22</v>
      </c>
      <c r="H1667">
        <v>930</v>
      </c>
      <c r="I1667">
        <v>43</v>
      </c>
      <c r="J1667" s="6">
        <f t="shared" si="121"/>
        <v>39.99</v>
      </c>
      <c r="K1667" t="s">
        <v>392</v>
      </c>
    </row>
    <row r="1668" spans="3:11" outlineLevel="2" x14ac:dyDescent="0.3">
      <c r="C1668" s="9">
        <v>45091</v>
      </c>
      <c r="D1668" t="s">
        <v>8</v>
      </c>
      <c r="E1668" t="s">
        <v>9</v>
      </c>
      <c r="F1668" t="s">
        <v>10</v>
      </c>
      <c r="G1668" t="s">
        <v>11</v>
      </c>
      <c r="H1668">
        <v>705</v>
      </c>
      <c r="I1668">
        <v>40</v>
      </c>
      <c r="J1668" s="6">
        <f t="shared" si="121"/>
        <v>28.2</v>
      </c>
      <c r="K1668" t="s">
        <v>392</v>
      </c>
    </row>
    <row r="1669" spans="3:11" outlineLevel="2" x14ac:dyDescent="0.3">
      <c r="C1669" s="9">
        <v>45091</v>
      </c>
      <c r="D1669" t="s">
        <v>8</v>
      </c>
      <c r="E1669" t="s">
        <v>9</v>
      </c>
      <c r="F1669" t="s">
        <v>13</v>
      </c>
      <c r="G1669" t="s">
        <v>38</v>
      </c>
      <c r="H1669">
        <v>2400</v>
      </c>
      <c r="I1669">
        <v>8</v>
      </c>
      <c r="J1669" s="6">
        <f t="shared" si="121"/>
        <v>19.2</v>
      </c>
      <c r="K1669" t="s">
        <v>392</v>
      </c>
    </row>
    <row r="1670" spans="3:11" outlineLevel="2" x14ac:dyDescent="0.3">
      <c r="C1670" s="9">
        <v>45091</v>
      </c>
      <c r="D1670" t="s">
        <v>45</v>
      </c>
      <c r="E1670" t="s">
        <v>9</v>
      </c>
      <c r="F1670" t="s">
        <v>13</v>
      </c>
      <c r="G1670" t="s">
        <v>43</v>
      </c>
      <c r="H1670">
        <v>1420</v>
      </c>
      <c r="I1670">
        <v>87</v>
      </c>
      <c r="J1670" s="6">
        <f t="shared" si="121"/>
        <v>123.54</v>
      </c>
      <c r="K1670" t="s">
        <v>392</v>
      </c>
    </row>
    <row r="1671" spans="3:11" outlineLevel="2" x14ac:dyDescent="0.3">
      <c r="C1671" s="9">
        <v>45091</v>
      </c>
      <c r="D1671" t="s">
        <v>45</v>
      </c>
      <c r="E1671" t="s">
        <v>26</v>
      </c>
      <c r="F1671" t="s">
        <v>18</v>
      </c>
      <c r="G1671" t="s">
        <v>37</v>
      </c>
      <c r="H1671">
        <v>890</v>
      </c>
      <c r="I1671">
        <v>67</v>
      </c>
      <c r="J1671" s="6">
        <f t="shared" si="121"/>
        <v>59.63</v>
      </c>
      <c r="K1671" t="s">
        <v>392</v>
      </c>
    </row>
    <row r="1672" spans="3:11" outlineLevel="2" x14ac:dyDescent="0.3">
      <c r="C1672" s="9">
        <v>45091</v>
      </c>
      <c r="D1672" t="s">
        <v>12</v>
      </c>
      <c r="E1672" t="s">
        <v>15</v>
      </c>
      <c r="F1672" t="s">
        <v>18</v>
      </c>
      <c r="G1672" t="s">
        <v>19</v>
      </c>
      <c r="H1672">
        <v>325</v>
      </c>
      <c r="I1672">
        <v>100</v>
      </c>
      <c r="J1672" s="6">
        <f t="shared" si="121"/>
        <v>32.5</v>
      </c>
      <c r="K1672" t="s">
        <v>392</v>
      </c>
    </row>
    <row r="1673" spans="3:11" outlineLevel="2" x14ac:dyDescent="0.3">
      <c r="C1673" s="9">
        <v>45091</v>
      </c>
      <c r="D1673" t="s">
        <v>17</v>
      </c>
      <c r="E1673" t="s">
        <v>15</v>
      </c>
      <c r="F1673" t="s">
        <v>13</v>
      </c>
      <c r="G1673" t="s">
        <v>43</v>
      </c>
      <c r="H1673">
        <v>1420</v>
      </c>
      <c r="I1673">
        <v>33</v>
      </c>
      <c r="J1673" s="6">
        <f t="shared" si="121"/>
        <v>46.86</v>
      </c>
      <c r="K1673" t="s">
        <v>392</v>
      </c>
    </row>
    <row r="1674" spans="3:11" outlineLevel="2" x14ac:dyDescent="0.3">
      <c r="C1674" s="9">
        <v>45091</v>
      </c>
      <c r="D1674" t="s">
        <v>45</v>
      </c>
      <c r="E1674" t="s">
        <v>33</v>
      </c>
      <c r="F1674" t="s">
        <v>13</v>
      </c>
      <c r="G1674" t="s">
        <v>22</v>
      </c>
      <c r="H1674">
        <v>930</v>
      </c>
      <c r="I1674">
        <v>67</v>
      </c>
      <c r="J1674" s="6">
        <f t="shared" si="121"/>
        <v>62.31</v>
      </c>
      <c r="K1674" t="s">
        <v>392</v>
      </c>
    </row>
    <row r="1675" spans="3:11" outlineLevel="2" x14ac:dyDescent="0.3">
      <c r="C1675" s="9">
        <v>45091</v>
      </c>
      <c r="D1675" t="s">
        <v>45</v>
      </c>
      <c r="E1675" t="s">
        <v>33</v>
      </c>
      <c r="F1675" t="s">
        <v>24</v>
      </c>
      <c r="G1675" t="s">
        <v>25</v>
      </c>
      <c r="H1675">
        <v>1760</v>
      </c>
      <c r="I1675">
        <v>62</v>
      </c>
      <c r="J1675" s="6">
        <f t="shared" si="121"/>
        <v>109.12</v>
      </c>
      <c r="K1675" t="s">
        <v>392</v>
      </c>
    </row>
    <row r="1676" spans="3:11" outlineLevel="2" x14ac:dyDescent="0.3">
      <c r="C1676" s="9">
        <v>45091</v>
      </c>
      <c r="D1676" t="s">
        <v>12</v>
      </c>
      <c r="E1676" t="s">
        <v>33</v>
      </c>
      <c r="F1676" t="s">
        <v>24</v>
      </c>
      <c r="G1676" t="s">
        <v>25</v>
      </c>
      <c r="H1676">
        <v>1760</v>
      </c>
      <c r="I1676">
        <v>91</v>
      </c>
      <c r="J1676" s="6">
        <f t="shared" si="121"/>
        <v>160.16</v>
      </c>
      <c r="K1676" t="s">
        <v>392</v>
      </c>
    </row>
    <row r="1677" spans="3:11" outlineLevel="2" x14ac:dyDescent="0.3">
      <c r="C1677" s="9">
        <v>45091</v>
      </c>
      <c r="D1677" t="s">
        <v>45</v>
      </c>
      <c r="E1677" t="s">
        <v>35</v>
      </c>
      <c r="F1677" t="s">
        <v>24</v>
      </c>
      <c r="G1677" t="s">
        <v>30</v>
      </c>
      <c r="H1677">
        <v>2970</v>
      </c>
      <c r="I1677">
        <v>66</v>
      </c>
      <c r="J1677" s="6">
        <f t="shared" si="121"/>
        <v>196.02</v>
      </c>
      <c r="K1677" t="s">
        <v>392</v>
      </c>
    </row>
    <row r="1678" spans="3:11" outlineLevel="2" x14ac:dyDescent="0.3">
      <c r="C1678" s="9">
        <v>45091</v>
      </c>
      <c r="D1678" t="s">
        <v>45</v>
      </c>
      <c r="E1678" t="s">
        <v>35</v>
      </c>
      <c r="F1678" t="s">
        <v>24</v>
      </c>
      <c r="G1678" t="s">
        <v>42</v>
      </c>
      <c r="H1678">
        <v>3205</v>
      </c>
      <c r="I1678">
        <v>22</v>
      </c>
      <c r="J1678" s="6">
        <f t="shared" si="121"/>
        <v>70.510000000000005</v>
      </c>
      <c r="K1678" t="s">
        <v>392</v>
      </c>
    </row>
    <row r="1679" spans="3:11" outlineLevel="1" x14ac:dyDescent="0.3">
      <c r="C1679" s="13" t="s">
        <v>179</v>
      </c>
      <c r="J1679" s="6">
        <f>SUBTOTAL(9,J1666:J1678)</f>
        <v>958.76499999999999</v>
      </c>
      <c r="K1679" t="s">
        <v>392</v>
      </c>
    </row>
    <row r="1680" spans="3:11" outlineLevel="2" x14ac:dyDescent="0.3">
      <c r="C1680" s="9">
        <v>45092</v>
      </c>
      <c r="D1680" t="s">
        <v>17</v>
      </c>
      <c r="E1680" t="s">
        <v>20</v>
      </c>
      <c r="F1680" t="s">
        <v>10</v>
      </c>
      <c r="G1680" t="s">
        <v>11</v>
      </c>
      <c r="H1680">
        <v>705</v>
      </c>
      <c r="I1680">
        <v>42</v>
      </c>
      <c r="J1680" s="6">
        <f>H1680*I1680/1000</f>
        <v>29.61</v>
      </c>
      <c r="K1680" t="s">
        <v>392</v>
      </c>
    </row>
    <row r="1681" spans="3:11" outlineLevel="2" x14ac:dyDescent="0.3">
      <c r="C1681" s="9">
        <v>45092</v>
      </c>
      <c r="D1681" t="s">
        <v>12</v>
      </c>
      <c r="E1681" t="s">
        <v>9</v>
      </c>
      <c r="F1681" t="s">
        <v>24</v>
      </c>
      <c r="G1681" t="s">
        <v>42</v>
      </c>
      <c r="H1681">
        <v>3205</v>
      </c>
      <c r="I1681">
        <v>46</v>
      </c>
      <c r="J1681" s="6">
        <f>H1681*I1681/1000</f>
        <v>147.43</v>
      </c>
      <c r="K1681" t="s">
        <v>392</v>
      </c>
    </row>
    <row r="1682" spans="3:11" outlineLevel="2" x14ac:dyDescent="0.3">
      <c r="C1682" s="9">
        <v>45092</v>
      </c>
      <c r="D1682" t="s">
        <v>12</v>
      </c>
      <c r="E1682" t="s">
        <v>26</v>
      </c>
      <c r="F1682" t="s">
        <v>24</v>
      </c>
      <c r="G1682" t="s">
        <v>34</v>
      </c>
      <c r="H1682">
        <v>1670</v>
      </c>
      <c r="I1682">
        <v>96</v>
      </c>
      <c r="J1682" s="6">
        <f>H1682*I1682/1000</f>
        <v>160.32</v>
      </c>
      <c r="K1682" t="s">
        <v>392</v>
      </c>
    </row>
    <row r="1683" spans="3:11" outlineLevel="2" x14ac:dyDescent="0.3">
      <c r="C1683" s="9">
        <v>45092</v>
      </c>
      <c r="D1683" t="s">
        <v>12</v>
      </c>
      <c r="E1683" t="s">
        <v>15</v>
      </c>
      <c r="F1683" t="s">
        <v>24</v>
      </c>
      <c r="G1683" t="s">
        <v>30</v>
      </c>
      <c r="H1683">
        <v>2970</v>
      </c>
      <c r="I1683">
        <v>6</v>
      </c>
      <c r="J1683" s="6">
        <f>H1683*I1683/1000</f>
        <v>17.82</v>
      </c>
      <c r="K1683" t="s">
        <v>392</v>
      </c>
    </row>
    <row r="1684" spans="3:11" outlineLevel="2" x14ac:dyDescent="0.3">
      <c r="C1684" s="9">
        <v>45092</v>
      </c>
      <c r="D1684" t="s">
        <v>8</v>
      </c>
      <c r="E1684" t="s">
        <v>15</v>
      </c>
      <c r="F1684" t="s">
        <v>24</v>
      </c>
      <c r="G1684" t="s">
        <v>36</v>
      </c>
      <c r="H1684">
        <v>2460</v>
      </c>
      <c r="I1684">
        <v>23</v>
      </c>
      <c r="J1684" s="6">
        <f>H1684*I1684/1000</f>
        <v>56.58</v>
      </c>
      <c r="K1684" t="s">
        <v>392</v>
      </c>
    </row>
    <row r="1685" spans="3:11" outlineLevel="1" x14ac:dyDescent="0.3">
      <c r="C1685" s="13" t="s">
        <v>180</v>
      </c>
      <c r="J1685" s="6">
        <f>SUBTOTAL(9,J1680:J1684)</f>
        <v>411.76</v>
      </c>
      <c r="K1685" t="s">
        <v>392</v>
      </c>
    </row>
    <row r="1686" spans="3:11" outlineLevel="2" x14ac:dyDescent="0.3">
      <c r="C1686" s="9">
        <v>45093</v>
      </c>
      <c r="D1686" t="s">
        <v>12</v>
      </c>
      <c r="E1686" t="s">
        <v>20</v>
      </c>
      <c r="F1686" t="s">
        <v>18</v>
      </c>
      <c r="G1686" t="s">
        <v>28</v>
      </c>
      <c r="H1686">
        <v>690</v>
      </c>
      <c r="I1686">
        <v>45</v>
      </c>
      <c r="J1686" s="6">
        <f t="shared" ref="J1686:J1697" si="122">H1686*I1686/1000</f>
        <v>31.05</v>
      </c>
      <c r="K1686" t="s">
        <v>392</v>
      </c>
    </row>
    <row r="1687" spans="3:11" outlineLevel="2" x14ac:dyDescent="0.3">
      <c r="C1687" s="9">
        <v>45093</v>
      </c>
      <c r="D1687" t="s">
        <v>8</v>
      </c>
      <c r="E1687" t="s">
        <v>20</v>
      </c>
      <c r="F1687" t="s">
        <v>24</v>
      </c>
      <c r="G1687" t="s">
        <v>25</v>
      </c>
      <c r="H1687">
        <v>1760</v>
      </c>
      <c r="I1687">
        <v>43</v>
      </c>
      <c r="J1687" s="6">
        <f t="shared" si="122"/>
        <v>75.680000000000007</v>
      </c>
      <c r="K1687" t="s">
        <v>392</v>
      </c>
    </row>
    <row r="1688" spans="3:11" outlineLevel="2" x14ac:dyDescent="0.3">
      <c r="C1688" s="9">
        <v>45093</v>
      </c>
      <c r="D1688" t="s">
        <v>45</v>
      </c>
      <c r="E1688" t="s">
        <v>9</v>
      </c>
      <c r="F1688" t="s">
        <v>24</v>
      </c>
      <c r="G1688" t="s">
        <v>30</v>
      </c>
      <c r="H1688">
        <v>2970</v>
      </c>
      <c r="I1688">
        <v>57</v>
      </c>
      <c r="J1688" s="6">
        <f t="shared" si="122"/>
        <v>169.29</v>
      </c>
      <c r="K1688" t="s">
        <v>392</v>
      </c>
    </row>
    <row r="1689" spans="3:11" outlineLevel="2" x14ac:dyDescent="0.3">
      <c r="C1689" s="9">
        <v>45093</v>
      </c>
      <c r="D1689" t="s">
        <v>8</v>
      </c>
      <c r="E1689" t="s">
        <v>26</v>
      </c>
      <c r="F1689" t="s">
        <v>13</v>
      </c>
      <c r="G1689" t="s">
        <v>38</v>
      </c>
      <c r="H1689">
        <v>2400</v>
      </c>
      <c r="I1689">
        <v>90</v>
      </c>
      <c r="J1689" s="6">
        <f t="shared" si="122"/>
        <v>216</v>
      </c>
      <c r="K1689" t="s">
        <v>392</v>
      </c>
    </row>
    <row r="1690" spans="3:11" outlineLevel="2" x14ac:dyDescent="0.3">
      <c r="C1690" s="9">
        <v>45093</v>
      </c>
      <c r="D1690" t="s">
        <v>8</v>
      </c>
      <c r="E1690" t="s">
        <v>26</v>
      </c>
      <c r="F1690" t="s">
        <v>24</v>
      </c>
      <c r="G1690" t="s">
        <v>30</v>
      </c>
      <c r="H1690">
        <v>2970</v>
      </c>
      <c r="I1690">
        <v>47</v>
      </c>
      <c r="J1690" s="6">
        <f t="shared" si="122"/>
        <v>139.59</v>
      </c>
      <c r="K1690" t="s">
        <v>392</v>
      </c>
    </row>
    <row r="1691" spans="3:11" outlineLevel="2" x14ac:dyDescent="0.3">
      <c r="C1691" s="9">
        <v>45093</v>
      </c>
      <c r="D1691" t="s">
        <v>8</v>
      </c>
      <c r="E1691" t="s">
        <v>15</v>
      </c>
      <c r="F1691" t="s">
        <v>24</v>
      </c>
      <c r="G1691" t="s">
        <v>34</v>
      </c>
      <c r="H1691">
        <v>1670</v>
      </c>
      <c r="I1691">
        <v>7</v>
      </c>
      <c r="J1691" s="6">
        <f t="shared" si="122"/>
        <v>11.69</v>
      </c>
      <c r="K1691" t="s">
        <v>392</v>
      </c>
    </row>
    <row r="1692" spans="3:11" outlineLevel="2" x14ac:dyDescent="0.3">
      <c r="C1692" s="9">
        <v>45093</v>
      </c>
      <c r="D1692" t="s">
        <v>8</v>
      </c>
      <c r="E1692" t="s">
        <v>33</v>
      </c>
      <c r="F1692" t="s">
        <v>10</v>
      </c>
      <c r="G1692" t="s">
        <v>16</v>
      </c>
      <c r="H1692">
        <v>1380</v>
      </c>
      <c r="I1692">
        <v>33</v>
      </c>
      <c r="J1692" s="6">
        <f t="shared" si="122"/>
        <v>45.54</v>
      </c>
      <c r="K1692" t="s">
        <v>392</v>
      </c>
    </row>
    <row r="1693" spans="3:11" outlineLevel="2" x14ac:dyDescent="0.3">
      <c r="C1693" s="9">
        <v>45093</v>
      </c>
      <c r="D1693" t="s">
        <v>17</v>
      </c>
      <c r="E1693" t="s">
        <v>35</v>
      </c>
      <c r="F1693" t="s">
        <v>10</v>
      </c>
      <c r="G1693" t="s">
        <v>39</v>
      </c>
      <c r="H1693">
        <v>650</v>
      </c>
      <c r="I1693">
        <v>43</v>
      </c>
      <c r="J1693" s="6">
        <f t="shared" si="122"/>
        <v>27.95</v>
      </c>
      <c r="K1693" t="s">
        <v>392</v>
      </c>
    </row>
    <row r="1694" spans="3:11" outlineLevel="2" x14ac:dyDescent="0.3">
      <c r="C1694" s="9">
        <v>45093</v>
      </c>
      <c r="D1694" t="s">
        <v>8</v>
      </c>
      <c r="E1694" t="s">
        <v>35</v>
      </c>
      <c r="F1694" t="s">
        <v>10</v>
      </c>
      <c r="G1694" t="s">
        <v>23</v>
      </c>
      <c r="H1694">
        <v>640</v>
      </c>
      <c r="I1694">
        <v>73</v>
      </c>
      <c r="J1694" s="6">
        <f t="shared" si="122"/>
        <v>46.72</v>
      </c>
      <c r="K1694" t="s">
        <v>392</v>
      </c>
    </row>
    <row r="1695" spans="3:11" outlineLevel="2" x14ac:dyDescent="0.3">
      <c r="C1695" s="9">
        <v>45093</v>
      </c>
      <c r="D1695" t="s">
        <v>17</v>
      </c>
      <c r="E1695" t="s">
        <v>35</v>
      </c>
      <c r="F1695" t="s">
        <v>13</v>
      </c>
      <c r="G1695" t="s">
        <v>38</v>
      </c>
      <c r="H1695">
        <v>2400</v>
      </c>
      <c r="I1695">
        <v>18</v>
      </c>
      <c r="J1695" s="6">
        <f t="shared" si="122"/>
        <v>43.2</v>
      </c>
      <c r="K1695" t="s">
        <v>392</v>
      </c>
    </row>
    <row r="1696" spans="3:11" outlineLevel="2" x14ac:dyDescent="0.3">
      <c r="C1696" s="9">
        <v>45093</v>
      </c>
      <c r="D1696" t="s">
        <v>8</v>
      </c>
      <c r="E1696" t="s">
        <v>35</v>
      </c>
      <c r="F1696" t="s">
        <v>13</v>
      </c>
      <c r="G1696" t="s">
        <v>43</v>
      </c>
      <c r="H1696">
        <v>1420</v>
      </c>
      <c r="I1696">
        <v>53</v>
      </c>
      <c r="J1696" s="6">
        <f t="shared" si="122"/>
        <v>75.260000000000005</v>
      </c>
      <c r="K1696" t="s">
        <v>392</v>
      </c>
    </row>
    <row r="1697" spans="3:11" outlineLevel="2" x14ac:dyDescent="0.3">
      <c r="C1697" s="9">
        <v>45093</v>
      </c>
      <c r="D1697" t="s">
        <v>17</v>
      </c>
      <c r="E1697" t="s">
        <v>35</v>
      </c>
      <c r="F1697" t="s">
        <v>24</v>
      </c>
      <c r="G1697" t="s">
        <v>42</v>
      </c>
      <c r="H1697">
        <v>3205</v>
      </c>
      <c r="I1697">
        <v>40</v>
      </c>
      <c r="J1697" s="6">
        <f t="shared" si="122"/>
        <v>128.19999999999999</v>
      </c>
      <c r="K1697" t="s">
        <v>392</v>
      </c>
    </row>
    <row r="1698" spans="3:11" outlineLevel="1" x14ac:dyDescent="0.3">
      <c r="C1698" s="13" t="s">
        <v>181</v>
      </c>
      <c r="J1698" s="6">
        <f>SUBTOTAL(9,J1686:J1697)</f>
        <v>1010.1700000000001</v>
      </c>
      <c r="K1698" t="s">
        <v>392</v>
      </c>
    </row>
    <row r="1699" spans="3:11" outlineLevel="2" x14ac:dyDescent="0.3">
      <c r="C1699" s="9">
        <v>45094</v>
      </c>
      <c r="D1699" t="s">
        <v>12</v>
      </c>
      <c r="E1699" t="s">
        <v>20</v>
      </c>
      <c r="F1699" t="s">
        <v>18</v>
      </c>
      <c r="G1699" t="s">
        <v>27</v>
      </c>
      <c r="H1699">
        <v>460</v>
      </c>
      <c r="I1699">
        <v>41</v>
      </c>
      <c r="J1699" s="6">
        <f t="shared" ref="J1699:J1711" si="123">H1699*I1699/1000</f>
        <v>18.86</v>
      </c>
      <c r="K1699" t="s">
        <v>392</v>
      </c>
    </row>
    <row r="1700" spans="3:11" outlineLevel="2" x14ac:dyDescent="0.3">
      <c r="C1700" s="9">
        <v>45094</v>
      </c>
      <c r="D1700" t="s">
        <v>45</v>
      </c>
      <c r="E1700" t="s">
        <v>20</v>
      </c>
      <c r="F1700" t="s">
        <v>24</v>
      </c>
      <c r="G1700" t="s">
        <v>42</v>
      </c>
      <c r="H1700">
        <v>3205</v>
      </c>
      <c r="I1700">
        <v>13</v>
      </c>
      <c r="J1700" s="6">
        <f t="shared" si="123"/>
        <v>41.664999999999999</v>
      </c>
      <c r="K1700" t="s">
        <v>392</v>
      </c>
    </row>
    <row r="1701" spans="3:11" outlineLevel="2" x14ac:dyDescent="0.3">
      <c r="C1701" s="9">
        <v>45094</v>
      </c>
      <c r="D1701" t="s">
        <v>45</v>
      </c>
      <c r="E1701" t="s">
        <v>9</v>
      </c>
      <c r="F1701" t="s">
        <v>10</v>
      </c>
      <c r="G1701" t="s">
        <v>39</v>
      </c>
      <c r="H1701">
        <v>650</v>
      </c>
      <c r="I1701">
        <v>50</v>
      </c>
      <c r="J1701" s="6">
        <f t="shared" si="123"/>
        <v>32.5</v>
      </c>
      <c r="K1701" t="s">
        <v>392</v>
      </c>
    </row>
    <row r="1702" spans="3:11" outlineLevel="2" x14ac:dyDescent="0.3">
      <c r="C1702" s="9">
        <v>45094</v>
      </c>
      <c r="D1702" t="s">
        <v>12</v>
      </c>
      <c r="E1702" t="s">
        <v>9</v>
      </c>
      <c r="F1702" t="s">
        <v>10</v>
      </c>
      <c r="G1702" t="s">
        <v>16</v>
      </c>
      <c r="H1702">
        <v>1380</v>
      </c>
      <c r="I1702">
        <v>70</v>
      </c>
      <c r="J1702" s="6">
        <f t="shared" si="123"/>
        <v>96.6</v>
      </c>
      <c r="K1702" t="s">
        <v>392</v>
      </c>
    </row>
    <row r="1703" spans="3:11" outlineLevel="2" x14ac:dyDescent="0.3">
      <c r="C1703" s="9">
        <v>45094</v>
      </c>
      <c r="D1703" t="s">
        <v>8</v>
      </c>
      <c r="E1703" t="s">
        <v>9</v>
      </c>
      <c r="F1703" t="s">
        <v>13</v>
      </c>
      <c r="G1703" t="s">
        <v>44</v>
      </c>
      <c r="H1703">
        <v>2540</v>
      </c>
      <c r="I1703">
        <v>76</v>
      </c>
      <c r="J1703" s="6">
        <f t="shared" si="123"/>
        <v>193.04</v>
      </c>
      <c r="K1703" t="s">
        <v>392</v>
      </c>
    </row>
    <row r="1704" spans="3:11" outlineLevel="2" x14ac:dyDescent="0.3">
      <c r="C1704" s="9">
        <v>45094</v>
      </c>
      <c r="D1704" t="s">
        <v>12</v>
      </c>
      <c r="E1704" t="s">
        <v>26</v>
      </c>
      <c r="F1704" t="s">
        <v>13</v>
      </c>
      <c r="G1704" t="s">
        <v>44</v>
      </c>
      <c r="H1704">
        <v>2540</v>
      </c>
      <c r="I1704">
        <v>21</v>
      </c>
      <c r="J1704" s="6">
        <f t="shared" si="123"/>
        <v>53.34</v>
      </c>
      <c r="K1704" t="s">
        <v>392</v>
      </c>
    </row>
    <row r="1705" spans="3:11" outlineLevel="2" x14ac:dyDescent="0.3">
      <c r="C1705" s="9">
        <v>45094</v>
      </c>
      <c r="D1705" t="s">
        <v>45</v>
      </c>
      <c r="E1705" t="s">
        <v>26</v>
      </c>
      <c r="F1705" t="s">
        <v>13</v>
      </c>
      <c r="G1705" t="s">
        <v>29</v>
      </c>
      <c r="H1705">
        <v>1230</v>
      </c>
      <c r="I1705">
        <v>16</v>
      </c>
      <c r="J1705" s="6">
        <f t="shared" si="123"/>
        <v>19.68</v>
      </c>
      <c r="K1705" t="s">
        <v>392</v>
      </c>
    </row>
    <row r="1706" spans="3:11" outlineLevel="2" x14ac:dyDescent="0.3">
      <c r="C1706" s="9">
        <v>45094</v>
      </c>
      <c r="D1706" t="s">
        <v>45</v>
      </c>
      <c r="E1706" t="s">
        <v>15</v>
      </c>
      <c r="F1706" t="s">
        <v>10</v>
      </c>
      <c r="G1706" t="s">
        <v>16</v>
      </c>
      <c r="H1706">
        <v>1380</v>
      </c>
      <c r="I1706">
        <v>39</v>
      </c>
      <c r="J1706" s="6">
        <f t="shared" si="123"/>
        <v>53.82</v>
      </c>
      <c r="K1706" t="s">
        <v>392</v>
      </c>
    </row>
    <row r="1707" spans="3:11" outlineLevel="2" x14ac:dyDescent="0.3">
      <c r="C1707" s="9">
        <v>45094</v>
      </c>
      <c r="D1707" t="s">
        <v>12</v>
      </c>
      <c r="E1707" t="s">
        <v>15</v>
      </c>
      <c r="F1707" t="s">
        <v>18</v>
      </c>
      <c r="G1707" t="s">
        <v>37</v>
      </c>
      <c r="H1707">
        <v>890</v>
      </c>
      <c r="I1707">
        <v>97</v>
      </c>
      <c r="J1707" s="6">
        <f t="shared" si="123"/>
        <v>86.33</v>
      </c>
      <c r="K1707" t="s">
        <v>392</v>
      </c>
    </row>
    <row r="1708" spans="3:11" outlineLevel="2" x14ac:dyDescent="0.3">
      <c r="C1708" s="9">
        <v>45094</v>
      </c>
      <c r="D1708" t="s">
        <v>17</v>
      </c>
      <c r="E1708" t="s">
        <v>15</v>
      </c>
      <c r="F1708" t="s">
        <v>13</v>
      </c>
      <c r="G1708" t="s">
        <v>22</v>
      </c>
      <c r="H1708">
        <v>930</v>
      </c>
      <c r="I1708">
        <v>76</v>
      </c>
      <c r="J1708" s="6">
        <f t="shared" si="123"/>
        <v>70.680000000000007</v>
      </c>
      <c r="K1708" t="s">
        <v>392</v>
      </c>
    </row>
    <row r="1709" spans="3:11" outlineLevel="2" x14ac:dyDescent="0.3">
      <c r="C1709" s="9">
        <v>45094</v>
      </c>
      <c r="D1709" t="s">
        <v>17</v>
      </c>
      <c r="E1709" t="s">
        <v>33</v>
      </c>
      <c r="F1709" t="s">
        <v>13</v>
      </c>
      <c r="G1709" t="s">
        <v>14</v>
      </c>
      <c r="H1709">
        <v>1320</v>
      </c>
      <c r="I1709">
        <v>91</v>
      </c>
      <c r="J1709" s="6">
        <f t="shared" si="123"/>
        <v>120.12</v>
      </c>
      <c r="K1709" t="s">
        <v>392</v>
      </c>
    </row>
    <row r="1710" spans="3:11" outlineLevel="2" x14ac:dyDescent="0.3">
      <c r="C1710" s="9">
        <v>45094</v>
      </c>
      <c r="D1710" t="s">
        <v>17</v>
      </c>
      <c r="E1710" t="s">
        <v>33</v>
      </c>
      <c r="F1710" t="s">
        <v>13</v>
      </c>
      <c r="G1710" t="s">
        <v>22</v>
      </c>
      <c r="H1710">
        <v>930</v>
      </c>
      <c r="I1710">
        <v>69</v>
      </c>
      <c r="J1710" s="6">
        <f t="shared" si="123"/>
        <v>64.17</v>
      </c>
      <c r="K1710" t="s">
        <v>392</v>
      </c>
    </row>
    <row r="1711" spans="3:11" outlineLevel="2" x14ac:dyDescent="0.3">
      <c r="C1711" s="9">
        <v>45094</v>
      </c>
      <c r="D1711" t="s">
        <v>17</v>
      </c>
      <c r="E1711" t="s">
        <v>33</v>
      </c>
      <c r="F1711" t="s">
        <v>24</v>
      </c>
      <c r="G1711" t="s">
        <v>42</v>
      </c>
      <c r="H1711">
        <v>3205</v>
      </c>
      <c r="I1711">
        <v>91</v>
      </c>
      <c r="J1711" s="6">
        <f t="shared" si="123"/>
        <v>291.65499999999997</v>
      </c>
      <c r="K1711" t="s">
        <v>392</v>
      </c>
    </row>
    <row r="1712" spans="3:11" outlineLevel="1" x14ac:dyDescent="0.3">
      <c r="C1712" s="13" t="s">
        <v>182</v>
      </c>
      <c r="J1712" s="6">
        <f>SUBTOTAL(9,J1699:J1711)</f>
        <v>1142.46</v>
      </c>
      <c r="K1712" t="s">
        <v>392</v>
      </c>
    </row>
    <row r="1713" spans="3:11" outlineLevel="2" x14ac:dyDescent="0.3">
      <c r="C1713" s="9">
        <v>45095</v>
      </c>
      <c r="D1713" t="s">
        <v>12</v>
      </c>
      <c r="E1713" t="s">
        <v>20</v>
      </c>
      <c r="F1713" t="s">
        <v>10</v>
      </c>
      <c r="G1713" t="s">
        <v>16</v>
      </c>
      <c r="H1713">
        <v>1380</v>
      </c>
      <c r="I1713">
        <v>15</v>
      </c>
      <c r="J1713" s="6">
        <f t="shared" ref="J1713:J1720" si="124">H1713*I1713/1000</f>
        <v>20.7</v>
      </c>
      <c r="K1713" t="s">
        <v>392</v>
      </c>
    </row>
    <row r="1714" spans="3:11" outlineLevel="2" x14ac:dyDescent="0.3">
      <c r="C1714" s="9">
        <v>45095</v>
      </c>
      <c r="D1714" t="s">
        <v>12</v>
      </c>
      <c r="E1714" t="s">
        <v>9</v>
      </c>
      <c r="F1714" t="s">
        <v>18</v>
      </c>
      <c r="G1714" t="s">
        <v>21</v>
      </c>
      <c r="H1714">
        <v>450</v>
      </c>
      <c r="I1714">
        <v>9</v>
      </c>
      <c r="J1714" s="6">
        <f t="shared" si="124"/>
        <v>4.05</v>
      </c>
      <c r="K1714" t="s">
        <v>392</v>
      </c>
    </row>
    <row r="1715" spans="3:11" outlineLevel="2" x14ac:dyDescent="0.3">
      <c r="C1715" s="9">
        <v>45095</v>
      </c>
      <c r="D1715" t="s">
        <v>17</v>
      </c>
      <c r="E1715" t="s">
        <v>26</v>
      </c>
      <c r="F1715" t="s">
        <v>13</v>
      </c>
      <c r="G1715" t="s">
        <v>14</v>
      </c>
      <c r="H1715">
        <v>1320</v>
      </c>
      <c r="I1715">
        <v>42</v>
      </c>
      <c r="J1715" s="6">
        <f t="shared" si="124"/>
        <v>55.44</v>
      </c>
      <c r="K1715" t="s">
        <v>392</v>
      </c>
    </row>
    <row r="1716" spans="3:11" outlineLevel="2" x14ac:dyDescent="0.3">
      <c r="C1716" s="9">
        <v>45095</v>
      </c>
      <c r="D1716" t="s">
        <v>8</v>
      </c>
      <c r="E1716" t="s">
        <v>15</v>
      </c>
      <c r="F1716" t="s">
        <v>10</v>
      </c>
      <c r="G1716" t="s">
        <v>41</v>
      </c>
      <c r="H1716">
        <v>650</v>
      </c>
      <c r="I1716">
        <v>89</v>
      </c>
      <c r="J1716" s="6">
        <f t="shared" si="124"/>
        <v>57.85</v>
      </c>
      <c r="K1716" t="s">
        <v>392</v>
      </c>
    </row>
    <row r="1717" spans="3:11" outlineLevel="2" x14ac:dyDescent="0.3">
      <c r="C1717" s="9">
        <v>45095</v>
      </c>
      <c r="D1717" t="s">
        <v>17</v>
      </c>
      <c r="E1717" t="s">
        <v>15</v>
      </c>
      <c r="F1717" t="s">
        <v>18</v>
      </c>
      <c r="G1717" t="s">
        <v>37</v>
      </c>
      <c r="H1717">
        <v>890</v>
      </c>
      <c r="I1717">
        <v>71</v>
      </c>
      <c r="J1717" s="6">
        <f t="shared" si="124"/>
        <v>63.19</v>
      </c>
      <c r="K1717" t="s">
        <v>392</v>
      </c>
    </row>
    <row r="1718" spans="3:11" outlineLevel="2" x14ac:dyDescent="0.3">
      <c r="C1718" s="9">
        <v>45095</v>
      </c>
      <c r="D1718" t="s">
        <v>8</v>
      </c>
      <c r="E1718" t="s">
        <v>15</v>
      </c>
      <c r="F1718" t="s">
        <v>13</v>
      </c>
      <c r="G1718" t="s">
        <v>14</v>
      </c>
      <c r="H1718">
        <v>1320</v>
      </c>
      <c r="I1718">
        <v>22</v>
      </c>
      <c r="J1718" s="6">
        <f t="shared" si="124"/>
        <v>29.04</v>
      </c>
      <c r="K1718" t="s">
        <v>392</v>
      </c>
    </row>
    <row r="1719" spans="3:11" outlineLevel="2" x14ac:dyDescent="0.3">
      <c r="C1719" s="9">
        <v>45095</v>
      </c>
      <c r="D1719" t="s">
        <v>17</v>
      </c>
      <c r="E1719" t="s">
        <v>35</v>
      </c>
      <c r="F1719" t="s">
        <v>18</v>
      </c>
      <c r="G1719" t="s">
        <v>27</v>
      </c>
      <c r="H1719">
        <v>460</v>
      </c>
      <c r="I1719">
        <v>82</v>
      </c>
      <c r="J1719" s="6">
        <f t="shared" si="124"/>
        <v>37.72</v>
      </c>
      <c r="K1719" t="s">
        <v>392</v>
      </c>
    </row>
    <row r="1720" spans="3:11" outlineLevel="2" x14ac:dyDescent="0.3">
      <c r="C1720" s="9">
        <v>45095</v>
      </c>
      <c r="D1720" t="s">
        <v>45</v>
      </c>
      <c r="E1720" t="s">
        <v>35</v>
      </c>
      <c r="F1720" t="s">
        <v>13</v>
      </c>
      <c r="G1720" t="s">
        <v>44</v>
      </c>
      <c r="H1720">
        <v>2540</v>
      </c>
      <c r="I1720">
        <v>30</v>
      </c>
      <c r="J1720" s="6">
        <f t="shared" si="124"/>
        <v>76.2</v>
      </c>
      <c r="K1720" t="s">
        <v>392</v>
      </c>
    </row>
    <row r="1721" spans="3:11" outlineLevel="1" x14ac:dyDescent="0.3">
      <c r="C1721" s="13" t="s">
        <v>183</v>
      </c>
      <c r="J1721" s="6">
        <f>SUBTOTAL(9,J1713:J1720)</f>
        <v>344.19</v>
      </c>
      <c r="K1721" t="s">
        <v>392</v>
      </c>
    </row>
    <row r="1722" spans="3:11" outlineLevel="2" x14ac:dyDescent="0.3">
      <c r="C1722" s="9">
        <v>45096</v>
      </c>
      <c r="D1722" t="s">
        <v>45</v>
      </c>
      <c r="E1722" t="s">
        <v>20</v>
      </c>
      <c r="F1722" t="s">
        <v>18</v>
      </c>
      <c r="G1722" t="s">
        <v>28</v>
      </c>
      <c r="H1722">
        <v>690</v>
      </c>
      <c r="I1722">
        <v>67</v>
      </c>
      <c r="J1722" s="6">
        <f t="shared" ref="J1722:J1732" si="125">H1722*I1722/1000</f>
        <v>46.23</v>
      </c>
      <c r="K1722" t="s">
        <v>392</v>
      </c>
    </row>
    <row r="1723" spans="3:11" outlineLevel="2" x14ac:dyDescent="0.3">
      <c r="C1723" s="9">
        <v>45096</v>
      </c>
      <c r="D1723" t="s">
        <v>45</v>
      </c>
      <c r="E1723" t="s">
        <v>9</v>
      </c>
      <c r="F1723" t="s">
        <v>13</v>
      </c>
      <c r="G1723" t="s">
        <v>14</v>
      </c>
      <c r="H1723">
        <v>1320</v>
      </c>
      <c r="I1723">
        <v>9</v>
      </c>
      <c r="J1723" s="6">
        <f t="shared" si="125"/>
        <v>11.88</v>
      </c>
      <c r="K1723" t="s">
        <v>392</v>
      </c>
    </row>
    <row r="1724" spans="3:11" outlineLevel="2" x14ac:dyDescent="0.3">
      <c r="C1724" s="9">
        <v>45096</v>
      </c>
      <c r="D1724" t="s">
        <v>17</v>
      </c>
      <c r="E1724" t="s">
        <v>9</v>
      </c>
      <c r="F1724" t="s">
        <v>24</v>
      </c>
      <c r="G1724" t="s">
        <v>42</v>
      </c>
      <c r="H1724">
        <v>3205</v>
      </c>
      <c r="I1724">
        <v>63</v>
      </c>
      <c r="J1724" s="6">
        <f t="shared" si="125"/>
        <v>201.91499999999999</v>
      </c>
      <c r="K1724" t="s">
        <v>392</v>
      </c>
    </row>
    <row r="1725" spans="3:11" outlineLevel="2" x14ac:dyDescent="0.3">
      <c r="C1725" s="9">
        <v>45096</v>
      </c>
      <c r="D1725" t="s">
        <v>17</v>
      </c>
      <c r="E1725" t="s">
        <v>26</v>
      </c>
      <c r="F1725" t="s">
        <v>18</v>
      </c>
      <c r="G1725" t="s">
        <v>28</v>
      </c>
      <c r="H1725">
        <v>690</v>
      </c>
      <c r="I1725">
        <v>35</v>
      </c>
      <c r="J1725" s="6">
        <f t="shared" si="125"/>
        <v>24.15</v>
      </c>
      <c r="K1725" t="s">
        <v>392</v>
      </c>
    </row>
    <row r="1726" spans="3:11" outlineLevel="2" x14ac:dyDescent="0.3">
      <c r="C1726" s="9">
        <v>45096</v>
      </c>
      <c r="D1726" t="s">
        <v>45</v>
      </c>
      <c r="E1726" t="s">
        <v>15</v>
      </c>
      <c r="F1726" t="s">
        <v>13</v>
      </c>
      <c r="G1726" t="s">
        <v>22</v>
      </c>
      <c r="H1726">
        <v>930</v>
      </c>
      <c r="I1726">
        <v>50</v>
      </c>
      <c r="J1726" s="6">
        <f t="shared" si="125"/>
        <v>46.5</v>
      </c>
      <c r="K1726" t="s">
        <v>392</v>
      </c>
    </row>
    <row r="1727" spans="3:11" outlineLevel="2" x14ac:dyDescent="0.3">
      <c r="C1727" s="9">
        <v>45096</v>
      </c>
      <c r="D1727" t="s">
        <v>45</v>
      </c>
      <c r="E1727" t="s">
        <v>15</v>
      </c>
      <c r="F1727" t="s">
        <v>24</v>
      </c>
      <c r="G1727" t="s">
        <v>25</v>
      </c>
      <c r="H1727">
        <v>1760</v>
      </c>
      <c r="I1727">
        <v>65</v>
      </c>
      <c r="J1727" s="6">
        <f t="shared" si="125"/>
        <v>114.4</v>
      </c>
      <c r="K1727" t="s">
        <v>392</v>
      </c>
    </row>
    <row r="1728" spans="3:11" outlineLevel="2" x14ac:dyDescent="0.3">
      <c r="C1728" s="9">
        <v>45096</v>
      </c>
      <c r="D1728" t="s">
        <v>8</v>
      </c>
      <c r="E1728" t="s">
        <v>33</v>
      </c>
      <c r="F1728" t="s">
        <v>18</v>
      </c>
      <c r="G1728" t="s">
        <v>21</v>
      </c>
      <c r="H1728">
        <v>450</v>
      </c>
      <c r="I1728">
        <v>26</v>
      </c>
      <c r="J1728" s="6">
        <f t="shared" si="125"/>
        <v>11.7</v>
      </c>
      <c r="K1728" t="s">
        <v>392</v>
      </c>
    </row>
    <row r="1729" spans="3:11" outlineLevel="2" x14ac:dyDescent="0.3">
      <c r="C1729" s="9">
        <v>45096</v>
      </c>
      <c r="D1729" t="s">
        <v>8</v>
      </c>
      <c r="E1729" t="s">
        <v>33</v>
      </c>
      <c r="F1729" t="s">
        <v>13</v>
      </c>
      <c r="G1729" t="s">
        <v>14</v>
      </c>
      <c r="H1729">
        <v>1320</v>
      </c>
      <c r="I1729">
        <v>66</v>
      </c>
      <c r="J1729" s="6">
        <f t="shared" si="125"/>
        <v>87.12</v>
      </c>
      <c r="K1729" t="s">
        <v>392</v>
      </c>
    </row>
    <row r="1730" spans="3:11" outlineLevel="2" x14ac:dyDescent="0.3">
      <c r="C1730" s="9">
        <v>45096</v>
      </c>
      <c r="D1730" t="s">
        <v>12</v>
      </c>
      <c r="E1730" t="s">
        <v>33</v>
      </c>
      <c r="F1730" t="s">
        <v>24</v>
      </c>
      <c r="G1730" t="s">
        <v>30</v>
      </c>
      <c r="H1730">
        <v>2970</v>
      </c>
      <c r="I1730">
        <v>75</v>
      </c>
      <c r="J1730" s="6">
        <f t="shared" si="125"/>
        <v>222.75</v>
      </c>
      <c r="K1730" t="s">
        <v>392</v>
      </c>
    </row>
    <row r="1731" spans="3:11" outlineLevel="2" x14ac:dyDescent="0.3">
      <c r="C1731" s="9">
        <v>45096</v>
      </c>
      <c r="D1731" t="s">
        <v>8</v>
      </c>
      <c r="E1731" t="s">
        <v>33</v>
      </c>
      <c r="F1731" t="s">
        <v>24</v>
      </c>
      <c r="G1731" t="s">
        <v>25</v>
      </c>
      <c r="H1731">
        <v>1760</v>
      </c>
      <c r="I1731">
        <v>49</v>
      </c>
      <c r="J1731" s="6">
        <f t="shared" si="125"/>
        <v>86.24</v>
      </c>
      <c r="K1731" t="s">
        <v>392</v>
      </c>
    </row>
    <row r="1732" spans="3:11" outlineLevel="2" x14ac:dyDescent="0.3">
      <c r="C1732" s="9">
        <v>45096</v>
      </c>
      <c r="D1732" t="s">
        <v>45</v>
      </c>
      <c r="E1732" t="s">
        <v>35</v>
      </c>
      <c r="F1732" t="s">
        <v>10</v>
      </c>
      <c r="G1732" t="s">
        <v>40</v>
      </c>
      <c r="H1732">
        <v>540</v>
      </c>
      <c r="I1732">
        <v>71</v>
      </c>
      <c r="J1732" s="6">
        <f t="shared" si="125"/>
        <v>38.340000000000003</v>
      </c>
      <c r="K1732" t="s">
        <v>392</v>
      </c>
    </row>
    <row r="1733" spans="3:11" outlineLevel="1" x14ac:dyDescent="0.3">
      <c r="C1733" s="13" t="s">
        <v>184</v>
      </c>
      <c r="J1733" s="6">
        <f>SUBTOTAL(9,J1722:J1732)</f>
        <v>891.22500000000002</v>
      </c>
      <c r="K1733" t="s">
        <v>392</v>
      </c>
    </row>
    <row r="1734" spans="3:11" outlineLevel="2" x14ac:dyDescent="0.3">
      <c r="C1734" s="9">
        <v>45097</v>
      </c>
      <c r="D1734" t="s">
        <v>8</v>
      </c>
      <c r="E1734" t="s">
        <v>20</v>
      </c>
      <c r="F1734" t="s">
        <v>18</v>
      </c>
      <c r="G1734" t="s">
        <v>27</v>
      </c>
      <c r="H1734">
        <v>460</v>
      </c>
      <c r="I1734">
        <v>14</v>
      </c>
      <c r="J1734" s="6">
        <f t="shared" ref="J1734:J1744" si="126">H1734*I1734/1000</f>
        <v>6.44</v>
      </c>
      <c r="K1734" t="s">
        <v>392</v>
      </c>
    </row>
    <row r="1735" spans="3:11" outlineLevel="2" x14ac:dyDescent="0.3">
      <c r="C1735" s="9">
        <v>45097</v>
      </c>
      <c r="D1735" t="s">
        <v>12</v>
      </c>
      <c r="E1735" t="s">
        <v>9</v>
      </c>
      <c r="F1735" t="s">
        <v>13</v>
      </c>
      <c r="G1735" t="s">
        <v>44</v>
      </c>
      <c r="H1735">
        <v>2540</v>
      </c>
      <c r="I1735">
        <v>29</v>
      </c>
      <c r="J1735" s="6">
        <f t="shared" si="126"/>
        <v>73.66</v>
      </c>
      <c r="K1735" t="s">
        <v>392</v>
      </c>
    </row>
    <row r="1736" spans="3:11" outlineLevel="2" x14ac:dyDescent="0.3">
      <c r="C1736" s="9">
        <v>45097</v>
      </c>
      <c r="D1736" t="s">
        <v>17</v>
      </c>
      <c r="E1736" t="s">
        <v>9</v>
      </c>
      <c r="F1736" t="s">
        <v>13</v>
      </c>
      <c r="G1736" t="s">
        <v>14</v>
      </c>
      <c r="H1736">
        <v>1320</v>
      </c>
      <c r="I1736">
        <v>5</v>
      </c>
      <c r="J1736" s="6">
        <f t="shared" si="126"/>
        <v>6.6</v>
      </c>
      <c r="K1736" t="s">
        <v>392</v>
      </c>
    </row>
    <row r="1737" spans="3:11" outlineLevel="2" x14ac:dyDescent="0.3">
      <c r="C1737" s="9">
        <v>45097</v>
      </c>
      <c r="D1737" t="s">
        <v>45</v>
      </c>
      <c r="E1737" t="s">
        <v>15</v>
      </c>
      <c r="F1737" t="s">
        <v>10</v>
      </c>
      <c r="G1737" t="s">
        <v>23</v>
      </c>
      <c r="H1737">
        <v>640</v>
      </c>
      <c r="I1737">
        <v>91</v>
      </c>
      <c r="J1737" s="6">
        <f t="shared" si="126"/>
        <v>58.24</v>
      </c>
      <c r="K1737" t="s">
        <v>392</v>
      </c>
    </row>
    <row r="1738" spans="3:11" outlineLevel="2" x14ac:dyDescent="0.3">
      <c r="C1738" s="9">
        <v>45097</v>
      </c>
      <c r="D1738" t="s">
        <v>17</v>
      </c>
      <c r="E1738" t="s">
        <v>15</v>
      </c>
      <c r="F1738" t="s">
        <v>10</v>
      </c>
      <c r="G1738" t="s">
        <v>23</v>
      </c>
      <c r="H1738">
        <v>640</v>
      </c>
      <c r="I1738">
        <v>79</v>
      </c>
      <c r="J1738" s="6">
        <f t="shared" si="126"/>
        <v>50.56</v>
      </c>
      <c r="K1738" t="s">
        <v>392</v>
      </c>
    </row>
    <row r="1739" spans="3:11" outlineLevel="2" x14ac:dyDescent="0.3">
      <c r="C1739" s="9">
        <v>45097</v>
      </c>
      <c r="D1739" t="s">
        <v>45</v>
      </c>
      <c r="E1739" t="s">
        <v>15</v>
      </c>
      <c r="F1739" t="s">
        <v>10</v>
      </c>
      <c r="G1739" t="s">
        <v>23</v>
      </c>
      <c r="H1739">
        <v>640</v>
      </c>
      <c r="I1739">
        <v>69</v>
      </c>
      <c r="J1739" s="6">
        <f t="shared" si="126"/>
        <v>44.16</v>
      </c>
      <c r="K1739" t="s">
        <v>392</v>
      </c>
    </row>
    <row r="1740" spans="3:11" outlineLevel="2" x14ac:dyDescent="0.3">
      <c r="C1740" s="9">
        <v>45097</v>
      </c>
      <c r="D1740" t="s">
        <v>8</v>
      </c>
      <c r="E1740" t="s">
        <v>33</v>
      </c>
      <c r="F1740" t="s">
        <v>18</v>
      </c>
      <c r="G1740" t="s">
        <v>21</v>
      </c>
      <c r="H1740">
        <v>450</v>
      </c>
      <c r="I1740">
        <v>42</v>
      </c>
      <c r="J1740" s="6">
        <f t="shared" si="126"/>
        <v>18.899999999999999</v>
      </c>
      <c r="K1740" t="s">
        <v>392</v>
      </c>
    </row>
    <row r="1741" spans="3:11" outlineLevel="2" x14ac:dyDescent="0.3">
      <c r="C1741" s="9">
        <v>45097</v>
      </c>
      <c r="D1741" t="s">
        <v>8</v>
      </c>
      <c r="E1741" t="s">
        <v>33</v>
      </c>
      <c r="F1741" t="s">
        <v>24</v>
      </c>
      <c r="G1741" t="s">
        <v>30</v>
      </c>
      <c r="H1741">
        <v>2970</v>
      </c>
      <c r="I1741">
        <v>53</v>
      </c>
      <c r="J1741" s="6">
        <f t="shared" si="126"/>
        <v>157.41</v>
      </c>
      <c r="K1741" t="s">
        <v>392</v>
      </c>
    </row>
    <row r="1742" spans="3:11" outlineLevel="2" x14ac:dyDescent="0.3">
      <c r="C1742" s="9">
        <v>45097</v>
      </c>
      <c r="D1742" t="s">
        <v>17</v>
      </c>
      <c r="E1742" t="s">
        <v>33</v>
      </c>
      <c r="F1742" t="s">
        <v>24</v>
      </c>
      <c r="G1742" t="s">
        <v>36</v>
      </c>
      <c r="H1742">
        <v>2460</v>
      </c>
      <c r="I1742">
        <v>14</v>
      </c>
      <c r="J1742" s="6">
        <f t="shared" si="126"/>
        <v>34.44</v>
      </c>
      <c r="K1742" t="s">
        <v>392</v>
      </c>
    </row>
    <row r="1743" spans="3:11" outlineLevel="2" x14ac:dyDescent="0.3">
      <c r="C1743" s="9">
        <v>45097</v>
      </c>
      <c r="D1743" t="s">
        <v>12</v>
      </c>
      <c r="E1743" t="s">
        <v>35</v>
      </c>
      <c r="F1743" t="s">
        <v>13</v>
      </c>
      <c r="G1743" t="s">
        <v>43</v>
      </c>
      <c r="H1743">
        <v>1420</v>
      </c>
      <c r="I1743">
        <v>80</v>
      </c>
      <c r="J1743" s="6">
        <f t="shared" si="126"/>
        <v>113.6</v>
      </c>
      <c r="K1743" t="s">
        <v>392</v>
      </c>
    </row>
    <row r="1744" spans="3:11" outlineLevel="2" x14ac:dyDescent="0.3">
      <c r="C1744" s="9">
        <v>45097</v>
      </c>
      <c r="D1744" t="s">
        <v>17</v>
      </c>
      <c r="E1744" t="s">
        <v>35</v>
      </c>
      <c r="F1744" t="s">
        <v>13</v>
      </c>
      <c r="G1744" t="s">
        <v>38</v>
      </c>
      <c r="H1744">
        <v>2400</v>
      </c>
      <c r="I1744">
        <v>59</v>
      </c>
      <c r="J1744" s="6">
        <f t="shared" si="126"/>
        <v>141.6</v>
      </c>
      <c r="K1744" t="s">
        <v>392</v>
      </c>
    </row>
    <row r="1745" spans="3:11" outlineLevel="1" x14ac:dyDescent="0.3">
      <c r="C1745" s="13" t="s">
        <v>185</v>
      </c>
      <c r="J1745" s="6">
        <f>SUBTOTAL(9,J1734:J1744)</f>
        <v>705.61</v>
      </c>
      <c r="K1745" t="s">
        <v>392</v>
      </c>
    </row>
    <row r="1746" spans="3:11" outlineLevel="2" x14ac:dyDescent="0.3">
      <c r="C1746" s="9">
        <v>45098</v>
      </c>
      <c r="D1746" t="s">
        <v>8</v>
      </c>
      <c r="E1746" t="s">
        <v>9</v>
      </c>
      <c r="F1746" t="s">
        <v>10</v>
      </c>
      <c r="G1746" t="s">
        <v>41</v>
      </c>
      <c r="H1746">
        <v>650</v>
      </c>
      <c r="I1746">
        <v>7</v>
      </c>
      <c r="J1746" s="6">
        <f>H1746*I1746/1000</f>
        <v>4.55</v>
      </c>
      <c r="K1746" t="s">
        <v>392</v>
      </c>
    </row>
    <row r="1747" spans="3:11" outlineLevel="2" x14ac:dyDescent="0.3">
      <c r="C1747" s="9">
        <v>45098</v>
      </c>
      <c r="D1747" t="s">
        <v>12</v>
      </c>
      <c r="E1747" t="s">
        <v>26</v>
      </c>
      <c r="F1747" t="s">
        <v>13</v>
      </c>
      <c r="G1747" t="s">
        <v>29</v>
      </c>
      <c r="H1747">
        <v>1230</v>
      </c>
      <c r="I1747">
        <v>8</v>
      </c>
      <c r="J1747" s="6">
        <f>H1747*I1747/1000</f>
        <v>9.84</v>
      </c>
      <c r="K1747" t="s">
        <v>392</v>
      </c>
    </row>
    <row r="1748" spans="3:11" outlineLevel="2" x14ac:dyDescent="0.3">
      <c r="C1748" s="9">
        <v>45098</v>
      </c>
      <c r="D1748" t="s">
        <v>17</v>
      </c>
      <c r="E1748" t="s">
        <v>26</v>
      </c>
      <c r="F1748" t="s">
        <v>24</v>
      </c>
      <c r="G1748" t="s">
        <v>34</v>
      </c>
      <c r="H1748">
        <v>1670</v>
      </c>
      <c r="I1748">
        <v>25</v>
      </c>
      <c r="J1748" s="6">
        <f>H1748*I1748/1000</f>
        <v>41.75</v>
      </c>
      <c r="K1748" t="s">
        <v>392</v>
      </c>
    </row>
    <row r="1749" spans="3:11" outlineLevel="2" x14ac:dyDescent="0.3">
      <c r="C1749" s="9">
        <v>45098</v>
      </c>
      <c r="D1749" t="s">
        <v>8</v>
      </c>
      <c r="E1749" t="s">
        <v>26</v>
      </c>
      <c r="F1749" t="s">
        <v>24</v>
      </c>
      <c r="G1749" t="s">
        <v>34</v>
      </c>
      <c r="H1749">
        <v>1670</v>
      </c>
      <c r="I1749">
        <v>75</v>
      </c>
      <c r="J1749" s="6">
        <f>H1749*I1749/1000</f>
        <v>125.25</v>
      </c>
      <c r="K1749" t="s">
        <v>392</v>
      </c>
    </row>
    <row r="1750" spans="3:11" outlineLevel="2" x14ac:dyDescent="0.3">
      <c r="C1750" s="9">
        <v>45098</v>
      </c>
      <c r="D1750" t="s">
        <v>8</v>
      </c>
      <c r="E1750" t="s">
        <v>35</v>
      </c>
      <c r="F1750" t="s">
        <v>24</v>
      </c>
      <c r="G1750" t="s">
        <v>32</v>
      </c>
      <c r="H1750">
        <v>1505</v>
      </c>
      <c r="I1750">
        <v>49</v>
      </c>
      <c r="J1750" s="6">
        <f>H1750*I1750/1000</f>
        <v>73.745000000000005</v>
      </c>
      <c r="K1750" t="s">
        <v>392</v>
      </c>
    </row>
    <row r="1751" spans="3:11" outlineLevel="1" x14ac:dyDescent="0.3">
      <c r="C1751" s="13" t="s">
        <v>186</v>
      </c>
      <c r="J1751" s="6">
        <f>SUBTOTAL(9,J1746:J1750)</f>
        <v>255.13499999999999</v>
      </c>
      <c r="K1751" t="s">
        <v>392</v>
      </c>
    </row>
    <row r="1752" spans="3:11" outlineLevel="2" x14ac:dyDescent="0.3">
      <c r="C1752" s="9">
        <v>45099</v>
      </c>
      <c r="D1752" t="s">
        <v>17</v>
      </c>
      <c r="E1752" t="s">
        <v>20</v>
      </c>
      <c r="F1752" t="s">
        <v>10</v>
      </c>
      <c r="G1752" t="s">
        <v>11</v>
      </c>
      <c r="H1752">
        <v>705</v>
      </c>
      <c r="I1752">
        <v>48</v>
      </c>
      <c r="J1752" s="6">
        <f t="shared" ref="J1752:J1761" si="127">H1752*I1752/1000</f>
        <v>33.840000000000003</v>
      </c>
      <c r="K1752" t="s">
        <v>392</v>
      </c>
    </row>
    <row r="1753" spans="3:11" outlineLevel="2" x14ac:dyDescent="0.3">
      <c r="C1753" s="9">
        <v>45099</v>
      </c>
      <c r="D1753" t="s">
        <v>45</v>
      </c>
      <c r="E1753" t="s">
        <v>20</v>
      </c>
      <c r="F1753" t="s">
        <v>18</v>
      </c>
      <c r="G1753" t="s">
        <v>37</v>
      </c>
      <c r="H1753">
        <v>890</v>
      </c>
      <c r="I1753">
        <v>21</v>
      </c>
      <c r="J1753" s="6">
        <f t="shared" si="127"/>
        <v>18.690000000000001</v>
      </c>
      <c r="K1753" t="s">
        <v>392</v>
      </c>
    </row>
    <row r="1754" spans="3:11" outlineLevel="2" x14ac:dyDescent="0.3">
      <c r="C1754" s="9">
        <v>45099</v>
      </c>
      <c r="D1754" t="s">
        <v>45</v>
      </c>
      <c r="E1754" t="s">
        <v>20</v>
      </c>
      <c r="F1754" t="s">
        <v>24</v>
      </c>
      <c r="G1754" t="s">
        <v>42</v>
      </c>
      <c r="H1754">
        <v>3205</v>
      </c>
      <c r="I1754">
        <v>82</v>
      </c>
      <c r="J1754" s="6">
        <f t="shared" si="127"/>
        <v>262.81</v>
      </c>
      <c r="K1754" t="s">
        <v>392</v>
      </c>
    </row>
    <row r="1755" spans="3:11" outlineLevel="2" x14ac:dyDescent="0.3">
      <c r="C1755" s="9">
        <v>45099</v>
      </c>
      <c r="D1755" t="s">
        <v>17</v>
      </c>
      <c r="E1755" t="s">
        <v>9</v>
      </c>
      <c r="F1755" t="s">
        <v>24</v>
      </c>
      <c r="G1755" t="s">
        <v>42</v>
      </c>
      <c r="H1755">
        <v>3205</v>
      </c>
      <c r="I1755">
        <v>66</v>
      </c>
      <c r="J1755" s="6">
        <f t="shared" si="127"/>
        <v>211.53</v>
      </c>
      <c r="K1755" t="s">
        <v>392</v>
      </c>
    </row>
    <row r="1756" spans="3:11" outlineLevel="2" x14ac:dyDescent="0.3">
      <c r="C1756" s="9">
        <v>45099</v>
      </c>
      <c r="D1756" t="s">
        <v>8</v>
      </c>
      <c r="E1756" t="s">
        <v>26</v>
      </c>
      <c r="F1756" t="s">
        <v>18</v>
      </c>
      <c r="G1756" t="s">
        <v>19</v>
      </c>
      <c r="H1756">
        <v>325</v>
      </c>
      <c r="I1756">
        <v>62</v>
      </c>
      <c r="J1756" s="6">
        <f t="shared" si="127"/>
        <v>20.149999999999999</v>
      </c>
      <c r="K1756" t="s">
        <v>392</v>
      </c>
    </row>
    <row r="1757" spans="3:11" outlineLevel="2" x14ac:dyDescent="0.3">
      <c r="C1757" s="9">
        <v>45099</v>
      </c>
      <c r="D1757" t="s">
        <v>45</v>
      </c>
      <c r="E1757" t="s">
        <v>26</v>
      </c>
      <c r="F1757" t="s">
        <v>13</v>
      </c>
      <c r="G1757" t="s">
        <v>44</v>
      </c>
      <c r="H1757">
        <v>2540</v>
      </c>
      <c r="I1757">
        <v>36</v>
      </c>
      <c r="J1757" s="6">
        <f t="shared" si="127"/>
        <v>91.44</v>
      </c>
      <c r="K1757" t="s">
        <v>392</v>
      </c>
    </row>
    <row r="1758" spans="3:11" outlineLevel="2" x14ac:dyDescent="0.3">
      <c r="C1758" s="9">
        <v>45099</v>
      </c>
      <c r="D1758" t="s">
        <v>45</v>
      </c>
      <c r="E1758" t="s">
        <v>15</v>
      </c>
      <c r="F1758" t="s">
        <v>18</v>
      </c>
      <c r="G1758" t="s">
        <v>19</v>
      </c>
      <c r="H1758">
        <v>325</v>
      </c>
      <c r="I1758">
        <v>39</v>
      </c>
      <c r="J1758" s="6">
        <f t="shared" si="127"/>
        <v>12.675000000000001</v>
      </c>
      <c r="K1758" t="s">
        <v>392</v>
      </c>
    </row>
    <row r="1759" spans="3:11" outlineLevel="2" x14ac:dyDescent="0.3">
      <c r="C1759" s="9">
        <v>45099</v>
      </c>
      <c r="D1759" t="s">
        <v>8</v>
      </c>
      <c r="E1759" t="s">
        <v>33</v>
      </c>
      <c r="F1759" t="s">
        <v>10</v>
      </c>
      <c r="G1759" t="s">
        <v>23</v>
      </c>
      <c r="H1759">
        <v>640</v>
      </c>
      <c r="I1759">
        <v>30</v>
      </c>
      <c r="J1759" s="6">
        <f t="shared" si="127"/>
        <v>19.2</v>
      </c>
      <c r="K1759" t="s">
        <v>392</v>
      </c>
    </row>
    <row r="1760" spans="3:11" outlineLevel="2" x14ac:dyDescent="0.3">
      <c r="C1760" s="9">
        <v>45099</v>
      </c>
      <c r="D1760" t="s">
        <v>45</v>
      </c>
      <c r="E1760" t="s">
        <v>33</v>
      </c>
      <c r="F1760" t="s">
        <v>18</v>
      </c>
      <c r="G1760" t="s">
        <v>21</v>
      </c>
      <c r="H1760">
        <v>450</v>
      </c>
      <c r="I1760">
        <v>28</v>
      </c>
      <c r="J1760" s="6">
        <f t="shared" si="127"/>
        <v>12.6</v>
      </c>
      <c r="K1760" t="s">
        <v>392</v>
      </c>
    </row>
    <row r="1761" spans="3:11" outlineLevel="2" x14ac:dyDescent="0.3">
      <c r="C1761" s="9">
        <v>45099</v>
      </c>
      <c r="D1761" t="s">
        <v>8</v>
      </c>
      <c r="E1761" t="s">
        <v>35</v>
      </c>
      <c r="F1761" t="s">
        <v>10</v>
      </c>
      <c r="G1761" t="s">
        <v>16</v>
      </c>
      <c r="H1761">
        <v>1380</v>
      </c>
      <c r="I1761">
        <v>78</v>
      </c>
      <c r="J1761" s="6">
        <f t="shared" si="127"/>
        <v>107.64</v>
      </c>
      <c r="K1761" t="s">
        <v>392</v>
      </c>
    </row>
    <row r="1762" spans="3:11" outlineLevel="1" x14ac:dyDescent="0.3">
      <c r="C1762" s="13" t="s">
        <v>187</v>
      </c>
      <c r="J1762" s="6">
        <f>SUBTOTAL(9,J1752:J1761)</f>
        <v>790.57500000000005</v>
      </c>
      <c r="K1762" t="s">
        <v>392</v>
      </c>
    </row>
    <row r="1763" spans="3:11" outlineLevel="2" x14ac:dyDescent="0.3">
      <c r="C1763" s="9">
        <v>45100</v>
      </c>
      <c r="D1763" t="s">
        <v>17</v>
      </c>
      <c r="E1763" t="s">
        <v>20</v>
      </c>
      <c r="F1763" t="s">
        <v>24</v>
      </c>
      <c r="G1763" t="s">
        <v>30</v>
      </c>
      <c r="H1763">
        <v>2970</v>
      </c>
      <c r="I1763">
        <v>70</v>
      </c>
      <c r="J1763" s="6">
        <f t="shared" ref="J1763:J1770" si="128">H1763*I1763/1000</f>
        <v>207.9</v>
      </c>
      <c r="K1763" t="s">
        <v>392</v>
      </c>
    </row>
    <row r="1764" spans="3:11" outlineLevel="2" x14ac:dyDescent="0.3">
      <c r="C1764" s="9">
        <v>45100</v>
      </c>
      <c r="D1764" t="s">
        <v>12</v>
      </c>
      <c r="E1764" t="s">
        <v>20</v>
      </c>
      <c r="F1764" t="s">
        <v>24</v>
      </c>
      <c r="G1764" t="s">
        <v>36</v>
      </c>
      <c r="H1764">
        <v>2460</v>
      </c>
      <c r="I1764">
        <v>11</v>
      </c>
      <c r="J1764" s="6">
        <f t="shared" si="128"/>
        <v>27.06</v>
      </c>
      <c r="K1764" t="s">
        <v>392</v>
      </c>
    </row>
    <row r="1765" spans="3:11" outlineLevel="2" x14ac:dyDescent="0.3">
      <c r="C1765" s="9">
        <v>45100</v>
      </c>
      <c r="D1765" t="s">
        <v>8</v>
      </c>
      <c r="E1765" t="s">
        <v>9</v>
      </c>
      <c r="F1765" t="s">
        <v>13</v>
      </c>
      <c r="G1765" t="s">
        <v>14</v>
      </c>
      <c r="H1765">
        <v>1320</v>
      </c>
      <c r="I1765">
        <v>95</v>
      </c>
      <c r="J1765" s="6">
        <f t="shared" si="128"/>
        <v>125.4</v>
      </c>
      <c r="K1765" t="s">
        <v>392</v>
      </c>
    </row>
    <row r="1766" spans="3:11" outlineLevel="2" x14ac:dyDescent="0.3">
      <c r="C1766" s="9">
        <v>45100</v>
      </c>
      <c r="D1766" t="s">
        <v>8</v>
      </c>
      <c r="E1766" t="s">
        <v>26</v>
      </c>
      <c r="F1766" t="s">
        <v>18</v>
      </c>
      <c r="G1766" t="s">
        <v>31</v>
      </c>
      <c r="H1766">
        <v>715</v>
      </c>
      <c r="I1766">
        <v>67</v>
      </c>
      <c r="J1766" s="6">
        <f t="shared" si="128"/>
        <v>47.905000000000001</v>
      </c>
      <c r="K1766" t="s">
        <v>392</v>
      </c>
    </row>
    <row r="1767" spans="3:11" outlineLevel="2" x14ac:dyDescent="0.3">
      <c r="C1767" s="9">
        <v>45100</v>
      </c>
      <c r="D1767" t="s">
        <v>45</v>
      </c>
      <c r="E1767" t="s">
        <v>26</v>
      </c>
      <c r="F1767" t="s">
        <v>24</v>
      </c>
      <c r="G1767" t="s">
        <v>25</v>
      </c>
      <c r="H1767">
        <v>1760</v>
      </c>
      <c r="I1767">
        <v>31</v>
      </c>
      <c r="J1767" s="6">
        <f t="shared" si="128"/>
        <v>54.56</v>
      </c>
      <c r="K1767" t="s">
        <v>392</v>
      </c>
    </row>
    <row r="1768" spans="3:11" outlineLevel="2" x14ac:dyDescent="0.3">
      <c r="C1768" s="9">
        <v>45100</v>
      </c>
      <c r="D1768" t="s">
        <v>8</v>
      </c>
      <c r="E1768" t="s">
        <v>15</v>
      </c>
      <c r="F1768" t="s">
        <v>10</v>
      </c>
      <c r="G1768" t="s">
        <v>40</v>
      </c>
      <c r="H1768">
        <v>540</v>
      </c>
      <c r="I1768">
        <v>24</v>
      </c>
      <c r="J1768" s="6">
        <f t="shared" si="128"/>
        <v>12.96</v>
      </c>
      <c r="K1768" t="s">
        <v>392</v>
      </c>
    </row>
    <row r="1769" spans="3:11" outlineLevel="2" x14ac:dyDescent="0.3">
      <c r="C1769" s="9">
        <v>45100</v>
      </c>
      <c r="D1769" t="s">
        <v>8</v>
      </c>
      <c r="E1769" t="s">
        <v>33</v>
      </c>
      <c r="F1769" t="s">
        <v>10</v>
      </c>
      <c r="G1769" t="s">
        <v>16</v>
      </c>
      <c r="H1769">
        <v>1380</v>
      </c>
      <c r="I1769">
        <v>42</v>
      </c>
      <c r="J1769" s="6">
        <f t="shared" si="128"/>
        <v>57.96</v>
      </c>
      <c r="K1769" t="s">
        <v>392</v>
      </c>
    </row>
    <row r="1770" spans="3:11" outlineLevel="2" x14ac:dyDescent="0.3">
      <c r="C1770" s="9">
        <v>45100</v>
      </c>
      <c r="D1770" t="s">
        <v>45</v>
      </c>
      <c r="E1770" t="s">
        <v>35</v>
      </c>
      <c r="F1770" t="s">
        <v>24</v>
      </c>
      <c r="G1770" t="s">
        <v>36</v>
      </c>
      <c r="H1770">
        <v>2460</v>
      </c>
      <c r="I1770">
        <v>70</v>
      </c>
      <c r="J1770" s="6">
        <f t="shared" si="128"/>
        <v>172.2</v>
      </c>
      <c r="K1770" t="s">
        <v>392</v>
      </c>
    </row>
    <row r="1771" spans="3:11" outlineLevel="1" x14ac:dyDescent="0.3">
      <c r="C1771" s="13" t="s">
        <v>188</v>
      </c>
      <c r="J1771" s="6">
        <f>SUBTOTAL(9,J1763:J1770)</f>
        <v>705.94499999999994</v>
      </c>
      <c r="K1771" t="s">
        <v>392</v>
      </c>
    </row>
    <row r="1772" spans="3:11" outlineLevel="2" x14ac:dyDescent="0.3">
      <c r="C1772" s="9">
        <v>45101</v>
      </c>
      <c r="D1772" t="s">
        <v>8</v>
      </c>
      <c r="E1772" t="s">
        <v>20</v>
      </c>
      <c r="F1772" t="s">
        <v>10</v>
      </c>
      <c r="G1772" t="s">
        <v>11</v>
      </c>
      <c r="H1772">
        <v>705</v>
      </c>
      <c r="I1772">
        <v>47</v>
      </c>
      <c r="J1772" s="6">
        <f t="shared" ref="J1772:J1779" si="129">H1772*I1772/1000</f>
        <v>33.134999999999998</v>
      </c>
      <c r="K1772" t="s">
        <v>392</v>
      </c>
    </row>
    <row r="1773" spans="3:11" outlineLevel="2" x14ac:dyDescent="0.3">
      <c r="C1773" s="9">
        <v>45101</v>
      </c>
      <c r="D1773" t="s">
        <v>17</v>
      </c>
      <c r="E1773" t="s">
        <v>9</v>
      </c>
      <c r="F1773" t="s">
        <v>13</v>
      </c>
      <c r="G1773" t="s">
        <v>14</v>
      </c>
      <c r="H1773">
        <v>1320</v>
      </c>
      <c r="I1773">
        <v>8</v>
      </c>
      <c r="J1773" s="6">
        <f t="shared" si="129"/>
        <v>10.56</v>
      </c>
      <c r="K1773" t="s">
        <v>392</v>
      </c>
    </row>
    <row r="1774" spans="3:11" outlineLevel="2" x14ac:dyDescent="0.3">
      <c r="C1774" s="9">
        <v>45101</v>
      </c>
      <c r="D1774" t="s">
        <v>45</v>
      </c>
      <c r="E1774" t="s">
        <v>26</v>
      </c>
      <c r="F1774" t="s">
        <v>13</v>
      </c>
      <c r="G1774" t="s">
        <v>43</v>
      </c>
      <c r="H1774">
        <v>1420</v>
      </c>
      <c r="I1774">
        <v>46</v>
      </c>
      <c r="J1774" s="6">
        <f t="shared" si="129"/>
        <v>65.319999999999993</v>
      </c>
      <c r="K1774" t="s">
        <v>392</v>
      </c>
    </row>
    <row r="1775" spans="3:11" outlineLevel="2" x14ac:dyDescent="0.3">
      <c r="C1775" s="9">
        <v>45101</v>
      </c>
      <c r="D1775" t="s">
        <v>8</v>
      </c>
      <c r="E1775" t="s">
        <v>26</v>
      </c>
      <c r="F1775" t="s">
        <v>13</v>
      </c>
      <c r="G1775" t="s">
        <v>29</v>
      </c>
      <c r="H1775">
        <v>1230</v>
      </c>
      <c r="I1775">
        <v>98</v>
      </c>
      <c r="J1775" s="6">
        <f t="shared" si="129"/>
        <v>120.54</v>
      </c>
      <c r="K1775" t="s">
        <v>392</v>
      </c>
    </row>
    <row r="1776" spans="3:11" outlineLevel="2" x14ac:dyDescent="0.3">
      <c r="C1776" s="9">
        <v>45101</v>
      </c>
      <c r="D1776" t="s">
        <v>12</v>
      </c>
      <c r="E1776" t="s">
        <v>15</v>
      </c>
      <c r="F1776" t="s">
        <v>10</v>
      </c>
      <c r="G1776" t="s">
        <v>40</v>
      </c>
      <c r="H1776">
        <v>540</v>
      </c>
      <c r="I1776">
        <v>100</v>
      </c>
      <c r="J1776" s="6">
        <f t="shared" si="129"/>
        <v>54</v>
      </c>
      <c r="K1776" t="s">
        <v>392</v>
      </c>
    </row>
    <row r="1777" spans="3:11" outlineLevel="2" x14ac:dyDescent="0.3">
      <c r="C1777" s="9">
        <v>45101</v>
      </c>
      <c r="D1777" t="s">
        <v>17</v>
      </c>
      <c r="E1777" t="s">
        <v>15</v>
      </c>
      <c r="F1777" t="s">
        <v>18</v>
      </c>
      <c r="G1777" t="s">
        <v>28</v>
      </c>
      <c r="H1777">
        <v>690</v>
      </c>
      <c r="I1777">
        <v>91</v>
      </c>
      <c r="J1777" s="6">
        <f t="shared" si="129"/>
        <v>62.79</v>
      </c>
      <c r="K1777" t="s">
        <v>392</v>
      </c>
    </row>
    <row r="1778" spans="3:11" outlineLevel="2" x14ac:dyDescent="0.3">
      <c r="C1778" s="9">
        <v>45101</v>
      </c>
      <c r="D1778" t="s">
        <v>12</v>
      </c>
      <c r="E1778" t="s">
        <v>33</v>
      </c>
      <c r="F1778" t="s">
        <v>10</v>
      </c>
      <c r="G1778" t="s">
        <v>41</v>
      </c>
      <c r="H1778">
        <v>650</v>
      </c>
      <c r="I1778">
        <v>48</v>
      </c>
      <c r="J1778" s="6">
        <f t="shared" si="129"/>
        <v>31.2</v>
      </c>
      <c r="K1778" t="s">
        <v>392</v>
      </c>
    </row>
    <row r="1779" spans="3:11" outlineLevel="2" x14ac:dyDescent="0.3">
      <c r="C1779" s="9">
        <v>45101</v>
      </c>
      <c r="D1779" t="s">
        <v>17</v>
      </c>
      <c r="E1779" t="s">
        <v>33</v>
      </c>
      <c r="F1779" t="s">
        <v>13</v>
      </c>
      <c r="G1779" t="s">
        <v>38</v>
      </c>
      <c r="H1779">
        <v>2400</v>
      </c>
      <c r="I1779">
        <v>6</v>
      </c>
      <c r="J1779" s="6">
        <f t="shared" si="129"/>
        <v>14.4</v>
      </c>
      <c r="K1779" t="s">
        <v>392</v>
      </c>
    </row>
    <row r="1780" spans="3:11" outlineLevel="1" x14ac:dyDescent="0.3">
      <c r="C1780" s="13" t="s">
        <v>189</v>
      </c>
      <c r="J1780" s="6">
        <f>SUBTOTAL(9,J1772:J1779)</f>
        <v>391.94499999999999</v>
      </c>
      <c r="K1780" t="s">
        <v>392</v>
      </c>
    </row>
    <row r="1781" spans="3:11" outlineLevel="2" x14ac:dyDescent="0.3">
      <c r="C1781" s="9">
        <v>45102</v>
      </c>
      <c r="D1781" t="s">
        <v>45</v>
      </c>
      <c r="E1781" t="s">
        <v>20</v>
      </c>
      <c r="F1781" t="s">
        <v>10</v>
      </c>
      <c r="G1781" t="s">
        <v>16</v>
      </c>
      <c r="H1781">
        <v>1380</v>
      </c>
      <c r="I1781">
        <v>39</v>
      </c>
      <c r="J1781" s="6">
        <f t="shared" ref="J1781:J1787" si="130">H1781*I1781/1000</f>
        <v>53.82</v>
      </c>
      <c r="K1781" t="s">
        <v>392</v>
      </c>
    </row>
    <row r="1782" spans="3:11" outlineLevel="2" x14ac:dyDescent="0.3">
      <c r="C1782" s="9">
        <v>45102</v>
      </c>
      <c r="D1782" t="s">
        <v>8</v>
      </c>
      <c r="E1782" t="s">
        <v>20</v>
      </c>
      <c r="F1782" t="s">
        <v>18</v>
      </c>
      <c r="G1782" t="s">
        <v>27</v>
      </c>
      <c r="H1782">
        <v>460</v>
      </c>
      <c r="I1782">
        <v>25</v>
      </c>
      <c r="J1782" s="6">
        <f t="shared" si="130"/>
        <v>11.5</v>
      </c>
      <c r="K1782" t="s">
        <v>392</v>
      </c>
    </row>
    <row r="1783" spans="3:11" outlineLevel="2" x14ac:dyDescent="0.3">
      <c r="C1783" s="9">
        <v>45102</v>
      </c>
      <c r="D1783" t="s">
        <v>17</v>
      </c>
      <c r="E1783" t="s">
        <v>20</v>
      </c>
      <c r="F1783" t="s">
        <v>13</v>
      </c>
      <c r="G1783" t="s">
        <v>44</v>
      </c>
      <c r="H1783">
        <v>2540</v>
      </c>
      <c r="I1783">
        <v>61</v>
      </c>
      <c r="J1783" s="6">
        <f t="shared" si="130"/>
        <v>154.94</v>
      </c>
      <c r="K1783" t="s">
        <v>392</v>
      </c>
    </row>
    <row r="1784" spans="3:11" outlineLevel="2" x14ac:dyDescent="0.3">
      <c r="C1784" s="9">
        <v>45102</v>
      </c>
      <c r="D1784" t="s">
        <v>8</v>
      </c>
      <c r="E1784" t="s">
        <v>20</v>
      </c>
      <c r="F1784" t="s">
        <v>24</v>
      </c>
      <c r="G1784" t="s">
        <v>30</v>
      </c>
      <c r="H1784">
        <v>2970</v>
      </c>
      <c r="I1784">
        <v>57</v>
      </c>
      <c r="J1784" s="6">
        <f t="shared" si="130"/>
        <v>169.29</v>
      </c>
      <c r="K1784" t="s">
        <v>392</v>
      </c>
    </row>
    <row r="1785" spans="3:11" outlineLevel="2" x14ac:dyDescent="0.3">
      <c r="C1785" s="9">
        <v>45102</v>
      </c>
      <c r="D1785" t="s">
        <v>12</v>
      </c>
      <c r="E1785" t="s">
        <v>20</v>
      </c>
      <c r="F1785" t="s">
        <v>24</v>
      </c>
      <c r="G1785" t="s">
        <v>42</v>
      </c>
      <c r="H1785">
        <v>3205</v>
      </c>
      <c r="I1785">
        <v>88</v>
      </c>
      <c r="J1785" s="6">
        <f t="shared" si="130"/>
        <v>282.04000000000002</v>
      </c>
      <c r="K1785" t="s">
        <v>392</v>
      </c>
    </row>
    <row r="1786" spans="3:11" outlineLevel="2" x14ac:dyDescent="0.3">
      <c r="C1786" s="9">
        <v>45102</v>
      </c>
      <c r="D1786" t="s">
        <v>45</v>
      </c>
      <c r="E1786" t="s">
        <v>15</v>
      </c>
      <c r="F1786" t="s">
        <v>10</v>
      </c>
      <c r="G1786" t="s">
        <v>16</v>
      </c>
      <c r="H1786">
        <v>1380</v>
      </c>
      <c r="I1786">
        <v>50</v>
      </c>
      <c r="J1786" s="6">
        <f t="shared" si="130"/>
        <v>69</v>
      </c>
      <c r="K1786" t="s">
        <v>392</v>
      </c>
    </row>
    <row r="1787" spans="3:11" outlineLevel="2" x14ac:dyDescent="0.3">
      <c r="C1787" s="9">
        <v>45102</v>
      </c>
      <c r="D1787" t="s">
        <v>12</v>
      </c>
      <c r="E1787" t="s">
        <v>35</v>
      </c>
      <c r="F1787" t="s">
        <v>24</v>
      </c>
      <c r="G1787" t="s">
        <v>25</v>
      </c>
      <c r="H1787">
        <v>1760</v>
      </c>
      <c r="I1787">
        <v>47</v>
      </c>
      <c r="J1787" s="6">
        <f t="shared" si="130"/>
        <v>82.72</v>
      </c>
      <c r="K1787" t="s">
        <v>392</v>
      </c>
    </row>
    <row r="1788" spans="3:11" outlineLevel="1" x14ac:dyDescent="0.3">
      <c r="C1788" s="13" t="s">
        <v>190</v>
      </c>
      <c r="J1788" s="6">
        <f>SUBTOTAL(9,J1781:J1787)</f>
        <v>823.31</v>
      </c>
      <c r="K1788" t="s">
        <v>392</v>
      </c>
    </row>
    <row r="1789" spans="3:11" outlineLevel="2" x14ac:dyDescent="0.3">
      <c r="C1789" s="9">
        <v>45103</v>
      </c>
      <c r="D1789" t="s">
        <v>45</v>
      </c>
      <c r="E1789" t="s">
        <v>20</v>
      </c>
      <c r="F1789" t="s">
        <v>10</v>
      </c>
      <c r="G1789" t="s">
        <v>11</v>
      </c>
      <c r="H1789">
        <v>705</v>
      </c>
      <c r="I1789">
        <v>43</v>
      </c>
      <c r="J1789" s="6">
        <f t="shared" ref="J1789:J1798" si="131">H1789*I1789/1000</f>
        <v>30.315000000000001</v>
      </c>
      <c r="K1789" t="s">
        <v>392</v>
      </c>
    </row>
    <row r="1790" spans="3:11" outlineLevel="2" x14ac:dyDescent="0.3">
      <c r="C1790" s="9">
        <v>45103</v>
      </c>
      <c r="D1790" t="s">
        <v>8</v>
      </c>
      <c r="E1790" t="s">
        <v>20</v>
      </c>
      <c r="F1790" t="s">
        <v>18</v>
      </c>
      <c r="G1790" t="s">
        <v>31</v>
      </c>
      <c r="H1790">
        <v>715</v>
      </c>
      <c r="I1790">
        <v>90</v>
      </c>
      <c r="J1790" s="6">
        <f t="shared" si="131"/>
        <v>64.349999999999994</v>
      </c>
      <c r="K1790" t="s">
        <v>392</v>
      </c>
    </row>
    <row r="1791" spans="3:11" outlineLevel="2" x14ac:dyDescent="0.3">
      <c r="C1791" s="9">
        <v>45103</v>
      </c>
      <c r="D1791" t="s">
        <v>17</v>
      </c>
      <c r="E1791" t="s">
        <v>20</v>
      </c>
      <c r="F1791" t="s">
        <v>18</v>
      </c>
      <c r="G1791" t="s">
        <v>27</v>
      </c>
      <c r="H1791">
        <v>460</v>
      </c>
      <c r="I1791">
        <v>65</v>
      </c>
      <c r="J1791" s="6">
        <f t="shared" si="131"/>
        <v>29.9</v>
      </c>
      <c r="K1791" t="s">
        <v>392</v>
      </c>
    </row>
    <row r="1792" spans="3:11" outlineLevel="2" x14ac:dyDescent="0.3">
      <c r="C1792" s="9">
        <v>45103</v>
      </c>
      <c r="D1792" t="s">
        <v>12</v>
      </c>
      <c r="E1792" t="s">
        <v>20</v>
      </c>
      <c r="F1792" t="s">
        <v>13</v>
      </c>
      <c r="G1792" t="s">
        <v>22</v>
      </c>
      <c r="H1792">
        <v>930</v>
      </c>
      <c r="I1792">
        <v>52</v>
      </c>
      <c r="J1792" s="6">
        <f t="shared" si="131"/>
        <v>48.36</v>
      </c>
      <c r="K1792" t="s">
        <v>392</v>
      </c>
    </row>
    <row r="1793" spans="3:11" outlineLevel="2" x14ac:dyDescent="0.3">
      <c r="C1793" s="9">
        <v>45103</v>
      </c>
      <c r="D1793" t="s">
        <v>45</v>
      </c>
      <c r="E1793" t="s">
        <v>20</v>
      </c>
      <c r="F1793" t="s">
        <v>13</v>
      </c>
      <c r="G1793" t="s">
        <v>29</v>
      </c>
      <c r="H1793">
        <v>1230</v>
      </c>
      <c r="I1793">
        <v>36</v>
      </c>
      <c r="J1793" s="6">
        <f t="shared" si="131"/>
        <v>44.28</v>
      </c>
      <c r="K1793" t="s">
        <v>392</v>
      </c>
    </row>
    <row r="1794" spans="3:11" outlineLevel="2" x14ac:dyDescent="0.3">
      <c r="C1794" s="9">
        <v>45103</v>
      </c>
      <c r="D1794" t="s">
        <v>45</v>
      </c>
      <c r="E1794" t="s">
        <v>20</v>
      </c>
      <c r="F1794" t="s">
        <v>24</v>
      </c>
      <c r="G1794" t="s">
        <v>25</v>
      </c>
      <c r="H1794">
        <v>1760</v>
      </c>
      <c r="I1794">
        <v>47</v>
      </c>
      <c r="J1794" s="6">
        <f t="shared" si="131"/>
        <v>82.72</v>
      </c>
      <c r="K1794" t="s">
        <v>392</v>
      </c>
    </row>
    <row r="1795" spans="3:11" outlineLevel="2" x14ac:dyDescent="0.3">
      <c r="C1795" s="9">
        <v>45103</v>
      </c>
      <c r="D1795" t="s">
        <v>8</v>
      </c>
      <c r="E1795" t="s">
        <v>20</v>
      </c>
      <c r="F1795" t="s">
        <v>24</v>
      </c>
      <c r="G1795" t="s">
        <v>32</v>
      </c>
      <c r="H1795">
        <v>1505</v>
      </c>
      <c r="I1795">
        <v>63</v>
      </c>
      <c r="J1795" s="6">
        <f t="shared" si="131"/>
        <v>94.814999999999998</v>
      </c>
      <c r="K1795" t="s">
        <v>392</v>
      </c>
    </row>
    <row r="1796" spans="3:11" outlineLevel="2" x14ac:dyDescent="0.3">
      <c r="C1796" s="9">
        <v>45103</v>
      </c>
      <c r="D1796" t="s">
        <v>8</v>
      </c>
      <c r="E1796" t="s">
        <v>26</v>
      </c>
      <c r="F1796" t="s">
        <v>24</v>
      </c>
      <c r="G1796" t="s">
        <v>32</v>
      </c>
      <c r="H1796">
        <v>1505</v>
      </c>
      <c r="I1796">
        <v>69</v>
      </c>
      <c r="J1796" s="6">
        <f t="shared" si="131"/>
        <v>103.845</v>
      </c>
      <c r="K1796" t="s">
        <v>392</v>
      </c>
    </row>
    <row r="1797" spans="3:11" outlineLevel="2" x14ac:dyDescent="0.3">
      <c r="C1797" s="9">
        <v>45103</v>
      </c>
      <c r="D1797" t="s">
        <v>17</v>
      </c>
      <c r="E1797" t="s">
        <v>33</v>
      </c>
      <c r="F1797" t="s">
        <v>24</v>
      </c>
      <c r="G1797" t="s">
        <v>42</v>
      </c>
      <c r="H1797">
        <v>3205</v>
      </c>
      <c r="I1797">
        <v>74</v>
      </c>
      <c r="J1797" s="6">
        <f t="shared" si="131"/>
        <v>237.17</v>
      </c>
      <c r="K1797" t="s">
        <v>392</v>
      </c>
    </row>
    <row r="1798" spans="3:11" outlineLevel="2" x14ac:dyDescent="0.3">
      <c r="C1798" s="9">
        <v>45103</v>
      </c>
      <c r="D1798" t="s">
        <v>8</v>
      </c>
      <c r="E1798" t="s">
        <v>33</v>
      </c>
      <c r="F1798" t="s">
        <v>24</v>
      </c>
      <c r="G1798" t="s">
        <v>34</v>
      </c>
      <c r="H1798">
        <v>1670</v>
      </c>
      <c r="I1798">
        <v>12</v>
      </c>
      <c r="J1798" s="6">
        <f t="shared" si="131"/>
        <v>20.04</v>
      </c>
      <c r="K1798" t="s">
        <v>392</v>
      </c>
    </row>
    <row r="1799" spans="3:11" outlineLevel="1" x14ac:dyDescent="0.3">
      <c r="C1799" s="13" t="s">
        <v>191</v>
      </c>
      <c r="J1799" s="6">
        <f>SUBTOTAL(9,J1789:J1798)</f>
        <v>755.79499999999996</v>
      </c>
      <c r="K1799" t="s">
        <v>392</v>
      </c>
    </row>
    <row r="1800" spans="3:11" outlineLevel="2" x14ac:dyDescent="0.3">
      <c r="C1800" s="9">
        <v>45104</v>
      </c>
      <c r="D1800" t="s">
        <v>17</v>
      </c>
      <c r="E1800" t="s">
        <v>20</v>
      </c>
      <c r="F1800" t="s">
        <v>18</v>
      </c>
      <c r="G1800" t="s">
        <v>28</v>
      </c>
      <c r="H1800">
        <v>690</v>
      </c>
      <c r="I1800">
        <v>39</v>
      </c>
      <c r="J1800" s="6">
        <f t="shared" ref="J1800:J1809" si="132">H1800*I1800/1000</f>
        <v>26.91</v>
      </c>
      <c r="K1800" t="s">
        <v>392</v>
      </c>
    </row>
    <row r="1801" spans="3:11" outlineLevel="2" x14ac:dyDescent="0.3">
      <c r="C1801" s="9">
        <v>45104</v>
      </c>
      <c r="D1801" t="s">
        <v>17</v>
      </c>
      <c r="E1801" t="s">
        <v>9</v>
      </c>
      <c r="F1801" t="s">
        <v>18</v>
      </c>
      <c r="G1801" t="s">
        <v>27</v>
      </c>
      <c r="H1801">
        <v>460</v>
      </c>
      <c r="I1801">
        <v>43</v>
      </c>
      <c r="J1801" s="6">
        <f t="shared" si="132"/>
        <v>19.78</v>
      </c>
      <c r="K1801" t="s">
        <v>392</v>
      </c>
    </row>
    <row r="1802" spans="3:11" outlineLevel="2" x14ac:dyDescent="0.3">
      <c r="C1802" s="9">
        <v>45104</v>
      </c>
      <c r="D1802" t="s">
        <v>17</v>
      </c>
      <c r="E1802" t="s">
        <v>9</v>
      </c>
      <c r="F1802" t="s">
        <v>13</v>
      </c>
      <c r="G1802" t="s">
        <v>38</v>
      </c>
      <c r="H1802">
        <v>2400</v>
      </c>
      <c r="I1802">
        <v>95</v>
      </c>
      <c r="J1802" s="6">
        <f t="shared" si="132"/>
        <v>228</v>
      </c>
      <c r="K1802" t="s">
        <v>392</v>
      </c>
    </row>
    <row r="1803" spans="3:11" outlineLevel="2" x14ac:dyDescent="0.3">
      <c r="C1803" s="9">
        <v>45104</v>
      </c>
      <c r="D1803" t="s">
        <v>8</v>
      </c>
      <c r="E1803" t="s">
        <v>26</v>
      </c>
      <c r="F1803" t="s">
        <v>10</v>
      </c>
      <c r="G1803" t="s">
        <v>16</v>
      </c>
      <c r="H1803">
        <v>1380</v>
      </c>
      <c r="I1803">
        <v>23</v>
      </c>
      <c r="J1803" s="6">
        <f t="shared" si="132"/>
        <v>31.74</v>
      </c>
      <c r="K1803" t="s">
        <v>392</v>
      </c>
    </row>
    <row r="1804" spans="3:11" outlineLevel="2" x14ac:dyDescent="0.3">
      <c r="C1804" s="9">
        <v>45104</v>
      </c>
      <c r="D1804" t="s">
        <v>17</v>
      </c>
      <c r="E1804" t="s">
        <v>26</v>
      </c>
      <c r="F1804" t="s">
        <v>10</v>
      </c>
      <c r="G1804" t="s">
        <v>23</v>
      </c>
      <c r="H1804">
        <v>640</v>
      </c>
      <c r="I1804">
        <v>95</v>
      </c>
      <c r="J1804" s="6">
        <f t="shared" si="132"/>
        <v>60.8</v>
      </c>
      <c r="K1804" t="s">
        <v>392</v>
      </c>
    </row>
    <row r="1805" spans="3:11" outlineLevel="2" x14ac:dyDescent="0.3">
      <c r="C1805" s="9">
        <v>45104</v>
      </c>
      <c r="D1805" t="s">
        <v>17</v>
      </c>
      <c r="E1805" t="s">
        <v>15</v>
      </c>
      <c r="F1805" t="s">
        <v>10</v>
      </c>
      <c r="G1805" t="s">
        <v>41</v>
      </c>
      <c r="H1805">
        <v>650</v>
      </c>
      <c r="I1805">
        <v>28</v>
      </c>
      <c r="J1805" s="6">
        <f t="shared" si="132"/>
        <v>18.2</v>
      </c>
      <c r="K1805" t="s">
        <v>392</v>
      </c>
    </row>
    <row r="1806" spans="3:11" outlineLevel="2" x14ac:dyDescent="0.3">
      <c r="C1806" s="9">
        <v>45104</v>
      </c>
      <c r="D1806" t="s">
        <v>45</v>
      </c>
      <c r="E1806" t="s">
        <v>33</v>
      </c>
      <c r="F1806" t="s">
        <v>18</v>
      </c>
      <c r="G1806" t="s">
        <v>27</v>
      </c>
      <c r="H1806">
        <v>460</v>
      </c>
      <c r="I1806">
        <v>69</v>
      </c>
      <c r="J1806" s="6">
        <f t="shared" si="132"/>
        <v>31.74</v>
      </c>
      <c r="K1806" t="s">
        <v>392</v>
      </c>
    </row>
    <row r="1807" spans="3:11" outlineLevel="2" x14ac:dyDescent="0.3">
      <c r="C1807" s="9">
        <v>45104</v>
      </c>
      <c r="D1807" t="s">
        <v>8</v>
      </c>
      <c r="E1807" t="s">
        <v>33</v>
      </c>
      <c r="F1807" t="s">
        <v>24</v>
      </c>
      <c r="G1807" t="s">
        <v>42</v>
      </c>
      <c r="H1807">
        <v>3205</v>
      </c>
      <c r="I1807">
        <v>27</v>
      </c>
      <c r="J1807" s="6">
        <f t="shared" si="132"/>
        <v>86.534999999999997</v>
      </c>
      <c r="K1807" t="s">
        <v>392</v>
      </c>
    </row>
    <row r="1808" spans="3:11" outlineLevel="2" x14ac:dyDescent="0.3">
      <c r="C1808" s="9">
        <v>45104</v>
      </c>
      <c r="D1808" t="s">
        <v>8</v>
      </c>
      <c r="E1808" t="s">
        <v>35</v>
      </c>
      <c r="F1808" t="s">
        <v>13</v>
      </c>
      <c r="G1808" t="s">
        <v>29</v>
      </c>
      <c r="H1808">
        <v>1230</v>
      </c>
      <c r="I1808">
        <v>76</v>
      </c>
      <c r="J1808" s="6">
        <f t="shared" si="132"/>
        <v>93.48</v>
      </c>
      <c r="K1808" t="s">
        <v>392</v>
      </c>
    </row>
    <row r="1809" spans="3:11" outlineLevel="2" x14ac:dyDescent="0.3">
      <c r="C1809" s="9">
        <v>45104</v>
      </c>
      <c r="D1809" t="s">
        <v>17</v>
      </c>
      <c r="E1809" t="s">
        <v>35</v>
      </c>
      <c r="F1809" t="s">
        <v>24</v>
      </c>
      <c r="G1809" t="s">
        <v>42</v>
      </c>
      <c r="H1809">
        <v>3205</v>
      </c>
      <c r="I1809">
        <v>86</v>
      </c>
      <c r="J1809" s="6">
        <f t="shared" si="132"/>
        <v>275.63</v>
      </c>
      <c r="K1809" t="s">
        <v>392</v>
      </c>
    </row>
    <row r="1810" spans="3:11" outlineLevel="1" x14ac:dyDescent="0.3">
      <c r="C1810" s="13" t="s">
        <v>192</v>
      </c>
      <c r="J1810" s="6">
        <f>SUBTOTAL(9,J1800:J1809)</f>
        <v>872.81500000000005</v>
      </c>
      <c r="K1810" t="s">
        <v>392</v>
      </c>
    </row>
    <row r="1811" spans="3:11" outlineLevel="2" x14ac:dyDescent="0.3">
      <c r="C1811" s="9">
        <v>45105</v>
      </c>
      <c r="D1811" t="s">
        <v>45</v>
      </c>
      <c r="E1811" t="s">
        <v>20</v>
      </c>
      <c r="F1811" t="s">
        <v>18</v>
      </c>
      <c r="G1811" t="s">
        <v>27</v>
      </c>
      <c r="H1811">
        <v>460</v>
      </c>
      <c r="I1811">
        <v>40</v>
      </c>
      <c r="J1811" s="6">
        <f t="shared" ref="J1811:J1821" si="133">H1811*I1811/1000</f>
        <v>18.399999999999999</v>
      </c>
      <c r="K1811" t="s">
        <v>392</v>
      </c>
    </row>
    <row r="1812" spans="3:11" outlineLevel="2" x14ac:dyDescent="0.3">
      <c r="C1812" s="9">
        <v>45105</v>
      </c>
      <c r="D1812" t="s">
        <v>8</v>
      </c>
      <c r="E1812" t="s">
        <v>20</v>
      </c>
      <c r="F1812" t="s">
        <v>24</v>
      </c>
      <c r="G1812" t="s">
        <v>25</v>
      </c>
      <c r="H1812">
        <v>1760</v>
      </c>
      <c r="I1812">
        <v>49</v>
      </c>
      <c r="J1812" s="6">
        <f t="shared" si="133"/>
        <v>86.24</v>
      </c>
      <c r="K1812" t="s">
        <v>392</v>
      </c>
    </row>
    <row r="1813" spans="3:11" outlineLevel="2" x14ac:dyDescent="0.3">
      <c r="C1813" s="9">
        <v>45105</v>
      </c>
      <c r="D1813" t="s">
        <v>8</v>
      </c>
      <c r="E1813" t="s">
        <v>9</v>
      </c>
      <c r="F1813" t="s">
        <v>13</v>
      </c>
      <c r="G1813" t="s">
        <v>29</v>
      </c>
      <c r="H1813">
        <v>1230</v>
      </c>
      <c r="I1813">
        <v>13</v>
      </c>
      <c r="J1813" s="6">
        <f t="shared" si="133"/>
        <v>15.99</v>
      </c>
      <c r="K1813" t="s">
        <v>392</v>
      </c>
    </row>
    <row r="1814" spans="3:11" outlineLevel="2" x14ac:dyDescent="0.3">
      <c r="C1814" s="9">
        <v>45105</v>
      </c>
      <c r="D1814" t="s">
        <v>8</v>
      </c>
      <c r="E1814" t="s">
        <v>26</v>
      </c>
      <c r="F1814" t="s">
        <v>10</v>
      </c>
      <c r="G1814" t="s">
        <v>39</v>
      </c>
      <c r="H1814">
        <v>650</v>
      </c>
      <c r="I1814">
        <v>13</v>
      </c>
      <c r="J1814" s="6">
        <f t="shared" si="133"/>
        <v>8.4499999999999993</v>
      </c>
      <c r="K1814" t="s">
        <v>392</v>
      </c>
    </row>
    <row r="1815" spans="3:11" outlineLevel="2" x14ac:dyDescent="0.3">
      <c r="C1815" s="9">
        <v>45105</v>
      </c>
      <c r="D1815" t="s">
        <v>8</v>
      </c>
      <c r="E1815" t="s">
        <v>26</v>
      </c>
      <c r="F1815" t="s">
        <v>13</v>
      </c>
      <c r="G1815" t="s">
        <v>38</v>
      </c>
      <c r="H1815">
        <v>2400</v>
      </c>
      <c r="I1815">
        <v>73</v>
      </c>
      <c r="J1815" s="6">
        <f t="shared" si="133"/>
        <v>175.2</v>
      </c>
      <c r="K1815" t="s">
        <v>392</v>
      </c>
    </row>
    <row r="1816" spans="3:11" outlineLevel="2" x14ac:dyDescent="0.3">
      <c r="C1816" s="9">
        <v>45105</v>
      </c>
      <c r="D1816" t="s">
        <v>8</v>
      </c>
      <c r="E1816" t="s">
        <v>26</v>
      </c>
      <c r="F1816" t="s">
        <v>24</v>
      </c>
      <c r="G1816" t="s">
        <v>30</v>
      </c>
      <c r="H1816">
        <v>2970</v>
      </c>
      <c r="I1816">
        <v>95</v>
      </c>
      <c r="J1816" s="6">
        <f t="shared" si="133"/>
        <v>282.14999999999998</v>
      </c>
      <c r="K1816" t="s">
        <v>392</v>
      </c>
    </row>
    <row r="1817" spans="3:11" outlineLevel="2" x14ac:dyDescent="0.3">
      <c r="C1817" s="9">
        <v>45105</v>
      </c>
      <c r="D1817" t="s">
        <v>45</v>
      </c>
      <c r="E1817" t="s">
        <v>15</v>
      </c>
      <c r="F1817" t="s">
        <v>10</v>
      </c>
      <c r="G1817" t="s">
        <v>39</v>
      </c>
      <c r="H1817">
        <v>650</v>
      </c>
      <c r="I1817">
        <v>58</v>
      </c>
      <c r="J1817" s="6">
        <f t="shared" si="133"/>
        <v>37.700000000000003</v>
      </c>
      <c r="K1817" t="s">
        <v>392</v>
      </c>
    </row>
    <row r="1818" spans="3:11" outlineLevel="2" x14ac:dyDescent="0.3">
      <c r="C1818" s="9">
        <v>45105</v>
      </c>
      <c r="D1818" t="s">
        <v>45</v>
      </c>
      <c r="E1818" t="s">
        <v>15</v>
      </c>
      <c r="F1818" t="s">
        <v>18</v>
      </c>
      <c r="G1818" t="s">
        <v>21</v>
      </c>
      <c r="H1818">
        <v>450</v>
      </c>
      <c r="I1818">
        <v>71</v>
      </c>
      <c r="J1818" s="6">
        <f t="shared" si="133"/>
        <v>31.95</v>
      </c>
      <c r="K1818" t="s">
        <v>392</v>
      </c>
    </row>
    <row r="1819" spans="3:11" outlineLevel="2" x14ac:dyDescent="0.3">
      <c r="C1819" s="9">
        <v>45105</v>
      </c>
      <c r="D1819" t="s">
        <v>12</v>
      </c>
      <c r="E1819" t="s">
        <v>33</v>
      </c>
      <c r="F1819" t="s">
        <v>10</v>
      </c>
      <c r="G1819" t="s">
        <v>23</v>
      </c>
      <c r="H1819">
        <v>640</v>
      </c>
      <c r="I1819">
        <v>50</v>
      </c>
      <c r="J1819" s="6">
        <f t="shared" si="133"/>
        <v>32</v>
      </c>
      <c r="K1819" t="s">
        <v>392</v>
      </c>
    </row>
    <row r="1820" spans="3:11" outlineLevel="2" x14ac:dyDescent="0.3">
      <c r="C1820" s="9">
        <v>45105</v>
      </c>
      <c r="D1820" t="s">
        <v>17</v>
      </c>
      <c r="E1820" t="s">
        <v>33</v>
      </c>
      <c r="F1820" t="s">
        <v>18</v>
      </c>
      <c r="G1820" t="s">
        <v>19</v>
      </c>
      <c r="H1820">
        <v>325</v>
      </c>
      <c r="I1820">
        <v>26</v>
      </c>
      <c r="J1820" s="6">
        <f t="shared" si="133"/>
        <v>8.4499999999999993</v>
      </c>
      <c r="K1820" t="s">
        <v>392</v>
      </c>
    </row>
    <row r="1821" spans="3:11" outlineLevel="2" x14ac:dyDescent="0.3">
      <c r="C1821" s="9">
        <v>45105</v>
      </c>
      <c r="D1821" t="s">
        <v>12</v>
      </c>
      <c r="E1821" t="s">
        <v>35</v>
      </c>
      <c r="F1821" t="s">
        <v>18</v>
      </c>
      <c r="G1821" t="s">
        <v>19</v>
      </c>
      <c r="H1821">
        <v>325</v>
      </c>
      <c r="I1821">
        <v>96</v>
      </c>
      <c r="J1821" s="6">
        <f t="shared" si="133"/>
        <v>31.2</v>
      </c>
      <c r="K1821" t="s">
        <v>392</v>
      </c>
    </row>
    <row r="1822" spans="3:11" outlineLevel="1" x14ac:dyDescent="0.3">
      <c r="C1822" s="13" t="s">
        <v>193</v>
      </c>
      <c r="J1822" s="6">
        <f>SUBTOTAL(9,J1811:J1821)</f>
        <v>727.73000000000013</v>
      </c>
      <c r="K1822" t="s">
        <v>392</v>
      </c>
    </row>
    <row r="1823" spans="3:11" outlineLevel="2" x14ac:dyDescent="0.3">
      <c r="C1823" s="9">
        <v>45106</v>
      </c>
      <c r="D1823" t="s">
        <v>8</v>
      </c>
      <c r="E1823" t="s">
        <v>20</v>
      </c>
      <c r="F1823" t="s">
        <v>10</v>
      </c>
      <c r="G1823" t="s">
        <v>11</v>
      </c>
      <c r="H1823">
        <v>705</v>
      </c>
      <c r="I1823">
        <v>30</v>
      </c>
      <c r="J1823" s="6">
        <f>H1823*I1823/1000</f>
        <v>21.15</v>
      </c>
      <c r="K1823" t="s">
        <v>392</v>
      </c>
    </row>
    <row r="1824" spans="3:11" outlineLevel="2" x14ac:dyDescent="0.3">
      <c r="C1824" s="9">
        <v>45106</v>
      </c>
      <c r="D1824" t="s">
        <v>8</v>
      </c>
      <c r="E1824" t="s">
        <v>15</v>
      </c>
      <c r="F1824" t="s">
        <v>13</v>
      </c>
      <c r="G1824" t="s">
        <v>29</v>
      </c>
      <c r="H1824">
        <v>1230</v>
      </c>
      <c r="I1824">
        <v>90</v>
      </c>
      <c r="J1824" s="6">
        <f>H1824*I1824/1000</f>
        <v>110.7</v>
      </c>
      <c r="K1824" t="s">
        <v>392</v>
      </c>
    </row>
    <row r="1825" spans="3:11" outlineLevel="2" x14ac:dyDescent="0.3">
      <c r="C1825" s="9">
        <v>45106</v>
      </c>
      <c r="D1825" t="s">
        <v>45</v>
      </c>
      <c r="E1825" t="s">
        <v>35</v>
      </c>
      <c r="F1825" t="s">
        <v>18</v>
      </c>
      <c r="G1825" t="s">
        <v>28</v>
      </c>
      <c r="H1825">
        <v>690</v>
      </c>
      <c r="I1825">
        <v>90</v>
      </c>
      <c r="J1825" s="6">
        <f>H1825*I1825/1000</f>
        <v>62.1</v>
      </c>
      <c r="K1825" t="s">
        <v>392</v>
      </c>
    </row>
    <row r="1826" spans="3:11" outlineLevel="2" x14ac:dyDescent="0.3">
      <c r="C1826" s="9">
        <v>45106</v>
      </c>
      <c r="D1826" t="s">
        <v>17</v>
      </c>
      <c r="E1826" t="s">
        <v>35</v>
      </c>
      <c r="F1826" t="s">
        <v>24</v>
      </c>
      <c r="G1826" t="s">
        <v>42</v>
      </c>
      <c r="H1826">
        <v>3205</v>
      </c>
      <c r="I1826">
        <v>85</v>
      </c>
      <c r="J1826" s="6">
        <f>H1826*I1826/1000</f>
        <v>272.42500000000001</v>
      </c>
      <c r="K1826" t="s">
        <v>392</v>
      </c>
    </row>
    <row r="1827" spans="3:11" outlineLevel="1" x14ac:dyDescent="0.3">
      <c r="C1827" s="13" t="s">
        <v>194</v>
      </c>
      <c r="J1827" s="6">
        <f>SUBTOTAL(9,J1823:J1826)</f>
        <v>466.375</v>
      </c>
      <c r="K1827" t="s">
        <v>392</v>
      </c>
    </row>
    <row r="1828" spans="3:11" outlineLevel="2" x14ac:dyDescent="0.3">
      <c r="C1828" s="9">
        <v>45107</v>
      </c>
      <c r="D1828" t="s">
        <v>45</v>
      </c>
      <c r="E1828" t="s">
        <v>20</v>
      </c>
      <c r="F1828" t="s">
        <v>10</v>
      </c>
      <c r="G1828" t="s">
        <v>39</v>
      </c>
      <c r="H1828">
        <v>650</v>
      </c>
      <c r="I1828">
        <v>84</v>
      </c>
      <c r="J1828" s="6">
        <f>H1828*I1828/1000</f>
        <v>54.6</v>
      </c>
      <c r="K1828" t="s">
        <v>392</v>
      </c>
    </row>
    <row r="1829" spans="3:11" outlineLevel="2" x14ac:dyDescent="0.3">
      <c r="C1829" s="9">
        <v>45107</v>
      </c>
      <c r="D1829" t="s">
        <v>8</v>
      </c>
      <c r="E1829" t="s">
        <v>9</v>
      </c>
      <c r="F1829" t="s">
        <v>18</v>
      </c>
      <c r="G1829" t="s">
        <v>37</v>
      </c>
      <c r="H1829">
        <v>890</v>
      </c>
      <c r="I1829">
        <v>44</v>
      </c>
      <c r="J1829" s="6">
        <f>H1829*I1829/1000</f>
        <v>39.159999999999997</v>
      </c>
      <c r="K1829" t="s">
        <v>392</v>
      </c>
    </row>
    <row r="1830" spans="3:11" outlineLevel="2" x14ac:dyDescent="0.3">
      <c r="C1830" s="9">
        <v>45107</v>
      </c>
      <c r="D1830" t="s">
        <v>12</v>
      </c>
      <c r="E1830" t="s">
        <v>26</v>
      </c>
      <c r="F1830" t="s">
        <v>18</v>
      </c>
      <c r="G1830" t="s">
        <v>28</v>
      </c>
      <c r="H1830">
        <v>690</v>
      </c>
      <c r="I1830">
        <v>42</v>
      </c>
      <c r="J1830" s="6">
        <f>H1830*I1830/1000</f>
        <v>28.98</v>
      </c>
      <c r="K1830" t="s">
        <v>392</v>
      </c>
    </row>
    <row r="1831" spans="3:11" outlineLevel="2" x14ac:dyDescent="0.3">
      <c r="C1831" s="9">
        <v>45107</v>
      </c>
      <c r="D1831" t="s">
        <v>8</v>
      </c>
      <c r="E1831" t="s">
        <v>33</v>
      </c>
      <c r="F1831" t="s">
        <v>10</v>
      </c>
      <c r="G1831" t="s">
        <v>40</v>
      </c>
      <c r="H1831">
        <v>540</v>
      </c>
      <c r="I1831">
        <v>10</v>
      </c>
      <c r="J1831" s="6">
        <f>H1831*I1831/1000</f>
        <v>5.4</v>
      </c>
      <c r="K1831" t="s">
        <v>392</v>
      </c>
    </row>
    <row r="1832" spans="3:11" outlineLevel="2" x14ac:dyDescent="0.3">
      <c r="C1832" s="9">
        <v>45107</v>
      </c>
      <c r="D1832" t="s">
        <v>45</v>
      </c>
      <c r="E1832" t="s">
        <v>35</v>
      </c>
      <c r="F1832" t="s">
        <v>13</v>
      </c>
      <c r="G1832" t="s">
        <v>38</v>
      </c>
      <c r="H1832">
        <v>2400</v>
      </c>
      <c r="I1832">
        <v>17</v>
      </c>
      <c r="J1832" s="6">
        <f>H1832*I1832/1000</f>
        <v>40.799999999999997</v>
      </c>
      <c r="K1832" t="s">
        <v>392</v>
      </c>
    </row>
    <row r="1833" spans="3:11" outlineLevel="1" x14ac:dyDescent="0.3">
      <c r="C1833" s="13" t="s">
        <v>195</v>
      </c>
      <c r="J1833" s="6">
        <f>SUBTOTAL(9,J1828:J1832)</f>
        <v>168.94</v>
      </c>
    </row>
    <row r="1834" spans="3:11" outlineLevel="2" x14ac:dyDescent="0.3">
      <c r="C1834" s="9">
        <v>45108</v>
      </c>
      <c r="D1834" t="s">
        <v>45</v>
      </c>
      <c r="E1834" t="s">
        <v>20</v>
      </c>
      <c r="F1834" t="s">
        <v>10</v>
      </c>
      <c r="G1834" t="s">
        <v>41</v>
      </c>
      <c r="H1834">
        <v>650</v>
      </c>
      <c r="I1834">
        <v>88</v>
      </c>
      <c r="J1834" s="6">
        <f t="shared" ref="J1834:J1845" si="134">H1834*I1834/1000</f>
        <v>57.2</v>
      </c>
      <c r="K1834" t="s">
        <v>393</v>
      </c>
    </row>
    <row r="1835" spans="3:11" outlineLevel="2" x14ac:dyDescent="0.3">
      <c r="C1835" s="9">
        <v>45108</v>
      </c>
      <c r="D1835" t="s">
        <v>12</v>
      </c>
      <c r="E1835" t="s">
        <v>20</v>
      </c>
      <c r="F1835" t="s">
        <v>13</v>
      </c>
      <c r="G1835" t="s">
        <v>38</v>
      </c>
      <c r="H1835">
        <v>2400</v>
      </c>
      <c r="I1835">
        <v>38</v>
      </c>
      <c r="J1835" s="6">
        <f t="shared" si="134"/>
        <v>91.2</v>
      </c>
      <c r="K1835" t="s">
        <v>393</v>
      </c>
    </row>
    <row r="1836" spans="3:11" outlineLevel="2" x14ac:dyDescent="0.3">
      <c r="C1836" s="9">
        <v>45108</v>
      </c>
      <c r="D1836" t="s">
        <v>17</v>
      </c>
      <c r="E1836" t="s">
        <v>9</v>
      </c>
      <c r="F1836" t="s">
        <v>10</v>
      </c>
      <c r="G1836" t="s">
        <v>39</v>
      </c>
      <c r="H1836">
        <v>650</v>
      </c>
      <c r="I1836">
        <v>68</v>
      </c>
      <c r="J1836" s="6">
        <f t="shared" si="134"/>
        <v>44.2</v>
      </c>
      <c r="K1836" t="s">
        <v>393</v>
      </c>
    </row>
    <row r="1837" spans="3:11" outlineLevel="2" x14ac:dyDescent="0.3">
      <c r="C1837" s="9">
        <v>45108</v>
      </c>
      <c r="D1837" t="s">
        <v>45</v>
      </c>
      <c r="E1837" t="s">
        <v>9</v>
      </c>
      <c r="F1837" t="s">
        <v>10</v>
      </c>
      <c r="G1837" t="s">
        <v>16</v>
      </c>
      <c r="H1837">
        <v>1380</v>
      </c>
      <c r="I1837">
        <v>92</v>
      </c>
      <c r="J1837" s="6">
        <f t="shared" si="134"/>
        <v>126.96</v>
      </c>
      <c r="K1837" t="s">
        <v>393</v>
      </c>
    </row>
    <row r="1838" spans="3:11" outlineLevel="2" x14ac:dyDescent="0.3">
      <c r="C1838" s="9">
        <v>45108</v>
      </c>
      <c r="D1838" t="s">
        <v>12</v>
      </c>
      <c r="E1838" t="s">
        <v>9</v>
      </c>
      <c r="F1838" t="s">
        <v>18</v>
      </c>
      <c r="G1838" t="s">
        <v>37</v>
      </c>
      <c r="H1838">
        <v>890</v>
      </c>
      <c r="I1838">
        <v>61</v>
      </c>
      <c r="J1838" s="6">
        <f t="shared" si="134"/>
        <v>54.29</v>
      </c>
      <c r="K1838" t="s">
        <v>393</v>
      </c>
    </row>
    <row r="1839" spans="3:11" outlineLevel="2" x14ac:dyDescent="0.3">
      <c r="C1839" s="9">
        <v>45108</v>
      </c>
      <c r="D1839" t="s">
        <v>17</v>
      </c>
      <c r="E1839" t="s">
        <v>9</v>
      </c>
      <c r="F1839" t="s">
        <v>24</v>
      </c>
      <c r="G1839" t="s">
        <v>30</v>
      </c>
      <c r="H1839">
        <v>2970</v>
      </c>
      <c r="I1839">
        <v>30</v>
      </c>
      <c r="J1839" s="6">
        <f t="shared" si="134"/>
        <v>89.1</v>
      </c>
      <c r="K1839" t="s">
        <v>393</v>
      </c>
    </row>
    <row r="1840" spans="3:11" outlineLevel="2" x14ac:dyDescent="0.3">
      <c r="C1840" s="9">
        <v>45108</v>
      </c>
      <c r="D1840" t="s">
        <v>8</v>
      </c>
      <c r="E1840" t="s">
        <v>9</v>
      </c>
      <c r="F1840" t="s">
        <v>24</v>
      </c>
      <c r="G1840" t="s">
        <v>32</v>
      </c>
      <c r="H1840">
        <v>1505</v>
      </c>
      <c r="I1840">
        <v>55</v>
      </c>
      <c r="J1840" s="6">
        <f t="shared" si="134"/>
        <v>82.775000000000006</v>
      </c>
      <c r="K1840" t="s">
        <v>393</v>
      </c>
    </row>
    <row r="1841" spans="3:11" outlineLevel="2" x14ac:dyDescent="0.3">
      <c r="C1841" s="9">
        <v>45108</v>
      </c>
      <c r="D1841" t="s">
        <v>17</v>
      </c>
      <c r="E1841" t="s">
        <v>26</v>
      </c>
      <c r="F1841" t="s">
        <v>18</v>
      </c>
      <c r="G1841" t="s">
        <v>37</v>
      </c>
      <c r="H1841">
        <v>890</v>
      </c>
      <c r="I1841">
        <v>46</v>
      </c>
      <c r="J1841" s="6">
        <f t="shared" si="134"/>
        <v>40.94</v>
      </c>
      <c r="K1841" t="s">
        <v>393</v>
      </c>
    </row>
    <row r="1842" spans="3:11" outlineLevel="2" x14ac:dyDescent="0.3">
      <c r="C1842" s="9">
        <v>45108</v>
      </c>
      <c r="D1842" t="s">
        <v>17</v>
      </c>
      <c r="E1842" t="s">
        <v>26</v>
      </c>
      <c r="F1842" t="s">
        <v>13</v>
      </c>
      <c r="G1842" t="s">
        <v>22</v>
      </c>
      <c r="H1842">
        <v>930</v>
      </c>
      <c r="I1842">
        <v>68</v>
      </c>
      <c r="J1842" s="6">
        <f t="shared" si="134"/>
        <v>63.24</v>
      </c>
      <c r="K1842" t="s">
        <v>393</v>
      </c>
    </row>
    <row r="1843" spans="3:11" outlineLevel="2" x14ac:dyDescent="0.3">
      <c r="C1843" s="9">
        <v>45108</v>
      </c>
      <c r="D1843" t="s">
        <v>45</v>
      </c>
      <c r="E1843" t="s">
        <v>33</v>
      </c>
      <c r="F1843" t="s">
        <v>18</v>
      </c>
      <c r="G1843" t="s">
        <v>19</v>
      </c>
      <c r="H1843">
        <v>325</v>
      </c>
      <c r="I1843">
        <v>86</v>
      </c>
      <c r="J1843" s="6">
        <f t="shared" si="134"/>
        <v>27.95</v>
      </c>
      <c r="K1843" t="s">
        <v>393</v>
      </c>
    </row>
    <row r="1844" spans="3:11" outlineLevel="2" x14ac:dyDescent="0.3">
      <c r="C1844" s="9">
        <v>45108</v>
      </c>
      <c r="D1844" t="s">
        <v>8</v>
      </c>
      <c r="E1844" t="s">
        <v>35</v>
      </c>
      <c r="F1844" t="s">
        <v>10</v>
      </c>
      <c r="G1844" t="s">
        <v>41</v>
      </c>
      <c r="H1844">
        <v>650</v>
      </c>
      <c r="I1844">
        <v>84</v>
      </c>
      <c r="J1844" s="6">
        <f t="shared" si="134"/>
        <v>54.6</v>
      </c>
      <c r="K1844" t="s">
        <v>393</v>
      </c>
    </row>
    <row r="1845" spans="3:11" outlineLevel="2" x14ac:dyDescent="0.3">
      <c r="C1845" s="9">
        <v>45108</v>
      </c>
      <c r="D1845" t="s">
        <v>8</v>
      </c>
      <c r="E1845" t="s">
        <v>35</v>
      </c>
      <c r="F1845" t="s">
        <v>24</v>
      </c>
      <c r="G1845" t="s">
        <v>36</v>
      </c>
      <c r="H1845">
        <v>2460</v>
      </c>
      <c r="I1845">
        <v>12</v>
      </c>
      <c r="J1845" s="6">
        <f t="shared" si="134"/>
        <v>29.52</v>
      </c>
      <c r="K1845" t="s">
        <v>393</v>
      </c>
    </row>
    <row r="1846" spans="3:11" outlineLevel="1" x14ac:dyDescent="0.3">
      <c r="C1846" s="13" t="s">
        <v>196</v>
      </c>
      <c r="J1846" s="6">
        <f>SUBTOTAL(9,J1834:J1845)</f>
        <v>761.97500000000002</v>
      </c>
      <c r="K1846" t="s">
        <v>393</v>
      </c>
    </row>
    <row r="1847" spans="3:11" outlineLevel="2" x14ac:dyDescent="0.3">
      <c r="C1847" s="9">
        <v>45109</v>
      </c>
      <c r="D1847" t="s">
        <v>17</v>
      </c>
      <c r="E1847" t="s">
        <v>20</v>
      </c>
      <c r="F1847" t="s">
        <v>10</v>
      </c>
      <c r="G1847" t="s">
        <v>40</v>
      </c>
      <c r="H1847">
        <v>540</v>
      </c>
      <c r="I1847">
        <v>48</v>
      </c>
      <c r="J1847" s="6">
        <f t="shared" ref="J1847:J1857" si="135">H1847*I1847/1000</f>
        <v>25.92</v>
      </c>
      <c r="K1847" t="s">
        <v>393</v>
      </c>
    </row>
    <row r="1848" spans="3:11" outlineLevel="2" x14ac:dyDescent="0.3">
      <c r="C1848" s="9">
        <v>45109</v>
      </c>
      <c r="D1848" t="s">
        <v>8</v>
      </c>
      <c r="E1848" t="s">
        <v>20</v>
      </c>
      <c r="F1848" t="s">
        <v>18</v>
      </c>
      <c r="G1848" t="s">
        <v>27</v>
      </c>
      <c r="H1848">
        <v>460</v>
      </c>
      <c r="I1848">
        <v>57</v>
      </c>
      <c r="J1848" s="6">
        <f t="shared" si="135"/>
        <v>26.22</v>
      </c>
      <c r="K1848" t="s">
        <v>393</v>
      </c>
    </row>
    <row r="1849" spans="3:11" outlineLevel="2" x14ac:dyDescent="0.3">
      <c r="C1849" s="9">
        <v>45109</v>
      </c>
      <c r="D1849" t="s">
        <v>45</v>
      </c>
      <c r="E1849" t="s">
        <v>20</v>
      </c>
      <c r="F1849" t="s">
        <v>18</v>
      </c>
      <c r="G1849" t="s">
        <v>27</v>
      </c>
      <c r="H1849">
        <v>460</v>
      </c>
      <c r="I1849">
        <v>72</v>
      </c>
      <c r="J1849" s="6">
        <f t="shared" si="135"/>
        <v>33.119999999999997</v>
      </c>
      <c r="K1849" t="s">
        <v>393</v>
      </c>
    </row>
    <row r="1850" spans="3:11" outlineLevel="2" x14ac:dyDescent="0.3">
      <c r="C1850" s="9">
        <v>45109</v>
      </c>
      <c r="D1850" t="s">
        <v>45</v>
      </c>
      <c r="E1850" t="s">
        <v>20</v>
      </c>
      <c r="F1850" t="s">
        <v>13</v>
      </c>
      <c r="G1850" t="s">
        <v>29</v>
      </c>
      <c r="H1850">
        <v>1230</v>
      </c>
      <c r="I1850">
        <v>76</v>
      </c>
      <c r="J1850" s="6">
        <f t="shared" si="135"/>
        <v>93.48</v>
      </c>
      <c r="K1850" t="s">
        <v>393</v>
      </c>
    </row>
    <row r="1851" spans="3:11" outlineLevel="2" x14ac:dyDescent="0.3">
      <c r="C1851" s="9">
        <v>45109</v>
      </c>
      <c r="D1851" t="s">
        <v>8</v>
      </c>
      <c r="E1851" t="s">
        <v>20</v>
      </c>
      <c r="F1851" t="s">
        <v>13</v>
      </c>
      <c r="G1851" t="s">
        <v>14</v>
      </c>
      <c r="H1851">
        <v>1320</v>
      </c>
      <c r="I1851">
        <v>42</v>
      </c>
      <c r="J1851" s="6">
        <f t="shared" si="135"/>
        <v>55.44</v>
      </c>
      <c r="K1851" t="s">
        <v>393</v>
      </c>
    </row>
    <row r="1852" spans="3:11" outlineLevel="2" x14ac:dyDescent="0.3">
      <c r="C1852" s="9">
        <v>45109</v>
      </c>
      <c r="D1852" t="s">
        <v>17</v>
      </c>
      <c r="E1852" t="s">
        <v>9</v>
      </c>
      <c r="F1852" t="s">
        <v>13</v>
      </c>
      <c r="G1852" t="s">
        <v>29</v>
      </c>
      <c r="H1852">
        <v>1230</v>
      </c>
      <c r="I1852">
        <v>90</v>
      </c>
      <c r="J1852" s="6">
        <f t="shared" si="135"/>
        <v>110.7</v>
      </c>
      <c r="K1852" t="s">
        <v>393</v>
      </c>
    </row>
    <row r="1853" spans="3:11" outlineLevel="2" x14ac:dyDescent="0.3">
      <c r="C1853" s="9">
        <v>45109</v>
      </c>
      <c r="D1853" t="s">
        <v>17</v>
      </c>
      <c r="E1853" t="s">
        <v>26</v>
      </c>
      <c r="F1853" t="s">
        <v>10</v>
      </c>
      <c r="G1853" t="s">
        <v>16</v>
      </c>
      <c r="H1853">
        <v>1380</v>
      </c>
      <c r="I1853">
        <v>25</v>
      </c>
      <c r="J1853" s="6">
        <f t="shared" si="135"/>
        <v>34.5</v>
      </c>
      <c r="K1853" t="s">
        <v>393</v>
      </c>
    </row>
    <row r="1854" spans="3:11" outlineLevel="2" x14ac:dyDescent="0.3">
      <c r="C1854" s="9">
        <v>45109</v>
      </c>
      <c r="D1854" t="s">
        <v>45</v>
      </c>
      <c r="E1854" t="s">
        <v>15</v>
      </c>
      <c r="F1854" t="s">
        <v>10</v>
      </c>
      <c r="G1854" t="s">
        <v>16</v>
      </c>
      <c r="H1854">
        <v>1380</v>
      </c>
      <c r="I1854">
        <v>54</v>
      </c>
      <c r="J1854" s="6">
        <f t="shared" si="135"/>
        <v>74.52</v>
      </c>
      <c r="K1854" t="s">
        <v>393</v>
      </c>
    </row>
    <row r="1855" spans="3:11" outlineLevel="2" x14ac:dyDescent="0.3">
      <c r="C1855" s="9">
        <v>45109</v>
      </c>
      <c r="D1855" t="s">
        <v>45</v>
      </c>
      <c r="E1855" t="s">
        <v>15</v>
      </c>
      <c r="F1855" t="s">
        <v>18</v>
      </c>
      <c r="G1855" t="s">
        <v>31</v>
      </c>
      <c r="H1855">
        <v>715</v>
      </c>
      <c r="I1855">
        <v>27</v>
      </c>
      <c r="J1855" s="6">
        <f t="shared" si="135"/>
        <v>19.305</v>
      </c>
      <c r="K1855" t="s">
        <v>393</v>
      </c>
    </row>
    <row r="1856" spans="3:11" outlineLevel="2" x14ac:dyDescent="0.3">
      <c r="C1856" s="9">
        <v>45109</v>
      </c>
      <c r="D1856" t="s">
        <v>17</v>
      </c>
      <c r="E1856" t="s">
        <v>15</v>
      </c>
      <c r="F1856" t="s">
        <v>18</v>
      </c>
      <c r="G1856" t="s">
        <v>28</v>
      </c>
      <c r="H1856">
        <v>690</v>
      </c>
      <c r="I1856">
        <v>28</v>
      </c>
      <c r="J1856" s="6">
        <f t="shared" si="135"/>
        <v>19.32</v>
      </c>
      <c r="K1856" t="s">
        <v>393</v>
      </c>
    </row>
    <row r="1857" spans="3:11" outlineLevel="2" x14ac:dyDescent="0.3">
      <c r="C1857" s="9">
        <v>45109</v>
      </c>
      <c r="D1857" t="s">
        <v>45</v>
      </c>
      <c r="E1857" t="s">
        <v>35</v>
      </c>
      <c r="F1857" t="s">
        <v>13</v>
      </c>
      <c r="G1857" t="s">
        <v>38</v>
      </c>
      <c r="H1857">
        <v>2400</v>
      </c>
      <c r="I1857">
        <v>72</v>
      </c>
      <c r="J1857" s="6">
        <f t="shared" si="135"/>
        <v>172.8</v>
      </c>
      <c r="K1857" t="s">
        <v>393</v>
      </c>
    </row>
    <row r="1858" spans="3:11" outlineLevel="1" x14ac:dyDescent="0.3">
      <c r="C1858" s="13" t="s">
        <v>197</v>
      </c>
      <c r="J1858" s="6">
        <f>SUBTOTAL(9,J1847:J1857)</f>
        <v>665.32500000000005</v>
      </c>
      <c r="K1858" t="s">
        <v>393</v>
      </c>
    </row>
    <row r="1859" spans="3:11" outlineLevel="2" x14ac:dyDescent="0.3">
      <c r="C1859" s="9">
        <v>45110</v>
      </c>
      <c r="D1859" t="s">
        <v>12</v>
      </c>
      <c r="E1859" t="s">
        <v>20</v>
      </c>
      <c r="F1859" t="s">
        <v>10</v>
      </c>
      <c r="G1859" t="s">
        <v>41</v>
      </c>
      <c r="H1859">
        <v>650</v>
      </c>
      <c r="I1859">
        <v>67</v>
      </c>
      <c r="J1859" s="6">
        <f t="shared" ref="J1859:J1868" si="136">H1859*I1859/1000</f>
        <v>43.55</v>
      </c>
      <c r="K1859" t="s">
        <v>393</v>
      </c>
    </row>
    <row r="1860" spans="3:11" outlineLevel="2" x14ac:dyDescent="0.3">
      <c r="C1860" s="9">
        <v>45110</v>
      </c>
      <c r="D1860" t="s">
        <v>45</v>
      </c>
      <c r="E1860" t="s">
        <v>20</v>
      </c>
      <c r="F1860" t="s">
        <v>18</v>
      </c>
      <c r="G1860" t="s">
        <v>31</v>
      </c>
      <c r="H1860">
        <v>715</v>
      </c>
      <c r="I1860">
        <v>34</v>
      </c>
      <c r="J1860" s="6">
        <f t="shared" si="136"/>
        <v>24.31</v>
      </c>
      <c r="K1860" t="s">
        <v>393</v>
      </c>
    </row>
    <row r="1861" spans="3:11" outlineLevel="2" x14ac:dyDescent="0.3">
      <c r="C1861" s="9">
        <v>45110</v>
      </c>
      <c r="D1861" t="s">
        <v>12</v>
      </c>
      <c r="E1861" t="s">
        <v>20</v>
      </c>
      <c r="F1861" t="s">
        <v>18</v>
      </c>
      <c r="G1861" t="s">
        <v>19</v>
      </c>
      <c r="H1861">
        <v>325</v>
      </c>
      <c r="I1861">
        <v>57</v>
      </c>
      <c r="J1861" s="6">
        <f t="shared" si="136"/>
        <v>18.524999999999999</v>
      </c>
      <c r="K1861" t="s">
        <v>393</v>
      </c>
    </row>
    <row r="1862" spans="3:11" outlineLevel="2" x14ac:dyDescent="0.3">
      <c r="C1862" s="9">
        <v>45110</v>
      </c>
      <c r="D1862" t="s">
        <v>45</v>
      </c>
      <c r="E1862" t="s">
        <v>9</v>
      </c>
      <c r="F1862" t="s">
        <v>10</v>
      </c>
      <c r="G1862" t="s">
        <v>11</v>
      </c>
      <c r="H1862">
        <v>705</v>
      </c>
      <c r="I1862">
        <v>14</v>
      </c>
      <c r="J1862" s="6">
        <f t="shared" si="136"/>
        <v>9.8699999999999992</v>
      </c>
      <c r="K1862" t="s">
        <v>393</v>
      </c>
    </row>
    <row r="1863" spans="3:11" outlineLevel="2" x14ac:dyDescent="0.3">
      <c r="C1863" s="9">
        <v>45110</v>
      </c>
      <c r="D1863" t="s">
        <v>12</v>
      </c>
      <c r="E1863" t="s">
        <v>9</v>
      </c>
      <c r="F1863" t="s">
        <v>18</v>
      </c>
      <c r="G1863" t="s">
        <v>28</v>
      </c>
      <c r="H1863">
        <v>690</v>
      </c>
      <c r="I1863">
        <v>64</v>
      </c>
      <c r="J1863" s="6">
        <f t="shared" si="136"/>
        <v>44.16</v>
      </c>
      <c r="K1863" t="s">
        <v>393</v>
      </c>
    </row>
    <row r="1864" spans="3:11" outlineLevel="2" x14ac:dyDescent="0.3">
      <c r="C1864" s="9">
        <v>45110</v>
      </c>
      <c r="D1864" t="s">
        <v>45</v>
      </c>
      <c r="E1864" t="s">
        <v>15</v>
      </c>
      <c r="F1864" t="s">
        <v>18</v>
      </c>
      <c r="G1864" t="s">
        <v>21</v>
      </c>
      <c r="H1864">
        <v>450</v>
      </c>
      <c r="I1864">
        <v>87</v>
      </c>
      <c r="J1864" s="6">
        <f t="shared" si="136"/>
        <v>39.15</v>
      </c>
      <c r="K1864" t="s">
        <v>393</v>
      </c>
    </row>
    <row r="1865" spans="3:11" outlineLevel="2" x14ac:dyDescent="0.3">
      <c r="C1865" s="9">
        <v>45110</v>
      </c>
      <c r="D1865" t="s">
        <v>8</v>
      </c>
      <c r="E1865" t="s">
        <v>15</v>
      </c>
      <c r="F1865" t="s">
        <v>13</v>
      </c>
      <c r="G1865" t="s">
        <v>14</v>
      </c>
      <c r="H1865">
        <v>1320</v>
      </c>
      <c r="I1865">
        <v>61</v>
      </c>
      <c r="J1865" s="6">
        <f t="shared" si="136"/>
        <v>80.52</v>
      </c>
      <c r="K1865" t="s">
        <v>393</v>
      </c>
    </row>
    <row r="1866" spans="3:11" outlineLevel="2" x14ac:dyDescent="0.3">
      <c r="C1866" s="9">
        <v>45110</v>
      </c>
      <c r="D1866" t="s">
        <v>8</v>
      </c>
      <c r="E1866" t="s">
        <v>33</v>
      </c>
      <c r="F1866" t="s">
        <v>10</v>
      </c>
      <c r="G1866" t="s">
        <v>39</v>
      </c>
      <c r="H1866">
        <v>650</v>
      </c>
      <c r="I1866">
        <v>70</v>
      </c>
      <c r="J1866" s="6">
        <f t="shared" si="136"/>
        <v>45.5</v>
      </c>
      <c r="K1866" t="s">
        <v>393</v>
      </c>
    </row>
    <row r="1867" spans="3:11" outlineLevel="2" x14ac:dyDescent="0.3">
      <c r="C1867" s="9">
        <v>45110</v>
      </c>
      <c r="D1867" t="s">
        <v>8</v>
      </c>
      <c r="E1867" t="s">
        <v>35</v>
      </c>
      <c r="F1867" t="s">
        <v>18</v>
      </c>
      <c r="G1867" t="s">
        <v>27</v>
      </c>
      <c r="H1867">
        <v>460</v>
      </c>
      <c r="I1867">
        <v>23</v>
      </c>
      <c r="J1867" s="6">
        <f t="shared" si="136"/>
        <v>10.58</v>
      </c>
      <c r="K1867" t="s">
        <v>393</v>
      </c>
    </row>
    <row r="1868" spans="3:11" outlineLevel="2" x14ac:dyDescent="0.3">
      <c r="C1868" s="9">
        <v>45110</v>
      </c>
      <c r="D1868" t="s">
        <v>12</v>
      </c>
      <c r="E1868" t="s">
        <v>35</v>
      </c>
      <c r="F1868" t="s">
        <v>24</v>
      </c>
      <c r="G1868" t="s">
        <v>32</v>
      </c>
      <c r="H1868">
        <v>1505</v>
      </c>
      <c r="I1868">
        <v>44</v>
      </c>
      <c r="J1868" s="6">
        <f t="shared" si="136"/>
        <v>66.22</v>
      </c>
      <c r="K1868" t="s">
        <v>393</v>
      </c>
    </row>
    <row r="1869" spans="3:11" outlineLevel="1" x14ac:dyDescent="0.3">
      <c r="C1869" s="13" t="s">
        <v>198</v>
      </c>
      <c r="J1869" s="6">
        <f>SUBTOTAL(9,J1859:J1868)</f>
        <v>382.38499999999999</v>
      </c>
      <c r="K1869" t="s">
        <v>393</v>
      </c>
    </row>
    <row r="1870" spans="3:11" outlineLevel="2" x14ac:dyDescent="0.3">
      <c r="C1870" s="9">
        <v>45111</v>
      </c>
      <c r="D1870" t="s">
        <v>45</v>
      </c>
      <c r="E1870" t="s">
        <v>20</v>
      </c>
      <c r="F1870" t="s">
        <v>18</v>
      </c>
      <c r="G1870" t="s">
        <v>31</v>
      </c>
      <c r="H1870">
        <v>715</v>
      </c>
      <c r="I1870">
        <v>9</v>
      </c>
      <c r="J1870" s="6">
        <f t="shared" ref="J1870:J1881" si="137">H1870*I1870/1000</f>
        <v>6.4349999999999996</v>
      </c>
      <c r="K1870" t="s">
        <v>393</v>
      </c>
    </row>
    <row r="1871" spans="3:11" outlineLevel="2" x14ac:dyDescent="0.3">
      <c r="C1871" s="9">
        <v>45111</v>
      </c>
      <c r="D1871" t="s">
        <v>12</v>
      </c>
      <c r="E1871" t="s">
        <v>20</v>
      </c>
      <c r="F1871" t="s">
        <v>13</v>
      </c>
      <c r="G1871" t="s">
        <v>14</v>
      </c>
      <c r="H1871">
        <v>1320</v>
      </c>
      <c r="I1871">
        <v>27</v>
      </c>
      <c r="J1871" s="6">
        <f t="shared" si="137"/>
        <v>35.64</v>
      </c>
      <c r="K1871" t="s">
        <v>393</v>
      </c>
    </row>
    <row r="1872" spans="3:11" outlineLevel="2" x14ac:dyDescent="0.3">
      <c r="C1872" s="9">
        <v>45111</v>
      </c>
      <c r="D1872" t="s">
        <v>12</v>
      </c>
      <c r="E1872" t="s">
        <v>20</v>
      </c>
      <c r="F1872" t="s">
        <v>13</v>
      </c>
      <c r="G1872" t="s">
        <v>38</v>
      </c>
      <c r="H1872">
        <v>2400</v>
      </c>
      <c r="I1872">
        <v>81</v>
      </c>
      <c r="J1872" s="6">
        <f t="shared" si="137"/>
        <v>194.4</v>
      </c>
      <c r="K1872" t="s">
        <v>393</v>
      </c>
    </row>
    <row r="1873" spans="3:11" outlineLevel="2" x14ac:dyDescent="0.3">
      <c r="C1873" s="9">
        <v>45111</v>
      </c>
      <c r="D1873" t="s">
        <v>8</v>
      </c>
      <c r="E1873" t="s">
        <v>20</v>
      </c>
      <c r="F1873" t="s">
        <v>24</v>
      </c>
      <c r="G1873" t="s">
        <v>25</v>
      </c>
      <c r="H1873">
        <v>1760</v>
      </c>
      <c r="I1873">
        <v>95</v>
      </c>
      <c r="J1873" s="6">
        <f t="shared" si="137"/>
        <v>167.2</v>
      </c>
      <c r="K1873" t="s">
        <v>393</v>
      </c>
    </row>
    <row r="1874" spans="3:11" outlineLevel="2" x14ac:dyDescent="0.3">
      <c r="C1874" s="9">
        <v>45111</v>
      </c>
      <c r="D1874" t="s">
        <v>8</v>
      </c>
      <c r="E1874" t="s">
        <v>9</v>
      </c>
      <c r="F1874" t="s">
        <v>10</v>
      </c>
      <c r="G1874" t="s">
        <v>16</v>
      </c>
      <c r="H1874">
        <v>1380</v>
      </c>
      <c r="I1874">
        <v>99</v>
      </c>
      <c r="J1874" s="6">
        <f t="shared" si="137"/>
        <v>136.62</v>
      </c>
      <c r="K1874" t="s">
        <v>393</v>
      </c>
    </row>
    <row r="1875" spans="3:11" outlineLevel="2" x14ac:dyDescent="0.3">
      <c r="C1875" s="9">
        <v>45111</v>
      </c>
      <c r="D1875" t="s">
        <v>17</v>
      </c>
      <c r="E1875" t="s">
        <v>26</v>
      </c>
      <c r="F1875" t="s">
        <v>10</v>
      </c>
      <c r="G1875" t="s">
        <v>39</v>
      </c>
      <c r="H1875">
        <v>650</v>
      </c>
      <c r="I1875">
        <v>77</v>
      </c>
      <c r="J1875" s="6">
        <f t="shared" si="137"/>
        <v>50.05</v>
      </c>
      <c r="K1875" t="s">
        <v>393</v>
      </c>
    </row>
    <row r="1876" spans="3:11" outlineLevel="2" x14ac:dyDescent="0.3">
      <c r="C1876" s="9">
        <v>45111</v>
      </c>
      <c r="D1876" t="s">
        <v>12</v>
      </c>
      <c r="E1876" t="s">
        <v>26</v>
      </c>
      <c r="F1876" t="s">
        <v>10</v>
      </c>
      <c r="G1876" t="s">
        <v>40</v>
      </c>
      <c r="H1876">
        <v>540</v>
      </c>
      <c r="I1876">
        <v>33</v>
      </c>
      <c r="J1876" s="6">
        <f t="shared" si="137"/>
        <v>17.82</v>
      </c>
      <c r="K1876" t="s">
        <v>393</v>
      </c>
    </row>
    <row r="1877" spans="3:11" outlineLevel="2" x14ac:dyDescent="0.3">
      <c r="C1877" s="9">
        <v>45111</v>
      </c>
      <c r="D1877" t="s">
        <v>12</v>
      </c>
      <c r="E1877" t="s">
        <v>26</v>
      </c>
      <c r="F1877" t="s">
        <v>18</v>
      </c>
      <c r="G1877" t="s">
        <v>28</v>
      </c>
      <c r="H1877">
        <v>690</v>
      </c>
      <c r="I1877">
        <v>71</v>
      </c>
      <c r="J1877" s="6">
        <f t="shared" si="137"/>
        <v>48.99</v>
      </c>
      <c r="K1877" t="s">
        <v>393</v>
      </c>
    </row>
    <row r="1878" spans="3:11" outlineLevel="2" x14ac:dyDescent="0.3">
      <c r="C1878" s="9">
        <v>45111</v>
      </c>
      <c r="D1878" t="s">
        <v>12</v>
      </c>
      <c r="E1878" t="s">
        <v>15</v>
      </c>
      <c r="F1878" t="s">
        <v>10</v>
      </c>
      <c r="G1878" t="s">
        <v>41</v>
      </c>
      <c r="H1878">
        <v>650</v>
      </c>
      <c r="I1878">
        <v>33</v>
      </c>
      <c r="J1878" s="6">
        <f t="shared" si="137"/>
        <v>21.45</v>
      </c>
      <c r="K1878" t="s">
        <v>393</v>
      </c>
    </row>
    <row r="1879" spans="3:11" outlineLevel="2" x14ac:dyDescent="0.3">
      <c r="C1879" s="9">
        <v>45111</v>
      </c>
      <c r="D1879" t="s">
        <v>8</v>
      </c>
      <c r="E1879" t="s">
        <v>15</v>
      </c>
      <c r="F1879" t="s">
        <v>13</v>
      </c>
      <c r="G1879" t="s">
        <v>29</v>
      </c>
      <c r="H1879">
        <v>1230</v>
      </c>
      <c r="I1879">
        <v>30</v>
      </c>
      <c r="J1879" s="6">
        <f t="shared" si="137"/>
        <v>36.9</v>
      </c>
      <c r="K1879" t="s">
        <v>393</v>
      </c>
    </row>
    <row r="1880" spans="3:11" outlineLevel="2" x14ac:dyDescent="0.3">
      <c r="C1880" s="9">
        <v>45111</v>
      </c>
      <c r="D1880" t="s">
        <v>8</v>
      </c>
      <c r="E1880" t="s">
        <v>35</v>
      </c>
      <c r="F1880" t="s">
        <v>18</v>
      </c>
      <c r="G1880" t="s">
        <v>27</v>
      </c>
      <c r="H1880">
        <v>460</v>
      </c>
      <c r="I1880">
        <v>7</v>
      </c>
      <c r="J1880" s="6">
        <f t="shared" si="137"/>
        <v>3.22</v>
      </c>
      <c r="K1880" t="s">
        <v>393</v>
      </c>
    </row>
    <row r="1881" spans="3:11" outlineLevel="2" x14ac:dyDescent="0.3">
      <c r="C1881" s="9">
        <v>45111</v>
      </c>
      <c r="D1881" t="s">
        <v>45</v>
      </c>
      <c r="E1881" t="s">
        <v>35</v>
      </c>
      <c r="F1881" t="s">
        <v>24</v>
      </c>
      <c r="G1881" t="s">
        <v>36</v>
      </c>
      <c r="H1881">
        <v>2460</v>
      </c>
      <c r="I1881">
        <v>70</v>
      </c>
      <c r="J1881" s="6">
        <f t="shared" si="137"/>
        <v>172.2</v>
      </c>
      <c r="K1881" t="s">
        <v>393</v>
      </c>
    </row>
    <row r="1882" spans="3:11" outlineLevel="1" x14ac:dyDescent="0.3">
      <c r="C1882" s="13" t="s">
        <v>199</v>
      </c>
      <c r="J1882" s="6">
        <f>SUBTOTAL(9,J1870:J1881)</f>
        <v>890.92500000000018</v>
      </c>
      <c r="K1882" t="s">
        <v>393</v>
      </c>
    </row>
    <row r="1883" spans="3:11" outlineLevel="2" x14ac:dyDescent="0.3">
      <c r="C1883" s="9">
        <v>45112</v>
      </c>
      <c r="D1883" t="s">
        <v>8</v>
      </c>
      <c r="E1883" t="s">
        <v>20</v>
      </c>
      <c r="F1883" t="s">
        <v>10</v>
      </c>
      <c r="G1883" t="s">
        <v>39</v>
      </c>
      <c r="H1883">
        <v>650</v>
      </c>
      <c r="I1883">
        <v>53</v>
      </c>
      <c r="J1883" s="6">
        <f t="shared" ref="J1883:J1892" si="138">H1883*I1883/1000</f>
        <v>34.450000000000003</v>
      </c>
      <c r="K1883" t="s">
        <v>393</v>
      </c>
    </row>
    <row r="1884" spans="3:11" outlineLevel="2" x14ac:dyDescent="0.3">
      <c r="C1884" s="9">
        <v>45112</v>
      </c>
      <c r="D1884" t="s">
        <v>45</v>
      </c>
      <c r="E1884" t="s">
        <v>20</v>
      </c>
      <c r="F1884" t="s">
        <v>13</v>
      </c>
      <c r="G1884" t="s">
        <v>22</v>
      </c>
      <c r="H1884">
        <v>930</v>
      </c>
      <c r="I1884">
        <v>43</v>
      </c>
      <c r="J1884" s="6">
        <f t="shared" si="138"/>
        <v>39.99</v>
      </c>
      <c r="K1884" t="s">
        <v>393</v>
      </c>
    </row>
    <row r="1885" spans="3:11" outlineLevel="2" x14ac:dyDescent="0.3">
      <c r="C1885" s="9">
        <v>45112</v>
      </c>
      <c r="D1885" t="s">
        <v>12</v>
      </c>
      <c r="E1885" t="s">
        <v>9</v>
      </c>
      <c r="F1885" t="s">
        <v>10</v>
      </c>
      <c r="G1885" t="s">
        <v>40</v>
      </c>
      <c r="H1885">
        <v>540</v>
      </c>
      <c r="I1885">
        <v>23</v>
      </c>
      <c r="J1885" s="6">
        <f t="shared" si="138"/>
        <v>12.42</v>
      </c>
      <c r="K1885" t="s">
        <v>393</v>
      </c>
    </row>
    <row r="1886" spans="3:11" outlineLevel="2" x14ac:dyDescent="0.3">
      <c r="C1886" s="9">
        <v>45112</v>
      </c>
      <c r="D1886" t="s">
        <v>8</v>
      </c>
      <c r="E1886" t="s">
        <v>9</v>
      </c>
      <c r="F1886" t="s">
        <v>18</v>
      </c>
      <c r="G1886" t="s">
        <v>27</v>
      </c>
      <c r="H1886">
        <v>460</v>
      </c>
      <c r="I1886">
        <v>26</v>
      </c>
      <c r="J1886" s="6">
        <f t="shared" si="138"/>
        <v>11.96</v>
      </c>
      <c r="K1886" t="s">
        <v>393</v>
      </c>
    </row>
    <row r="1887" spans="3:11" outlineLevel="2" x14ac:dyDescent="0.3">
      <c r="C1887" s="9">
        <v>45112</v>
      </c>
      <c r="D1887" t="s">
        <v>8</v>
      </c>
      <c r="E1887" t="s">
        <v>9</v>
      </c>
      <c r="F1887" t="s">
        <v>24</v>
      </c>
      <c r="G1887" t="s">
        <v>32</v>
      </c>
      <c r="H1887">
        <v>1505</v>
      </c>
      <c r="I1887">
        <v>63</v>
      </c>
      <c r="J1887" s="6">
        <f t="shared" si="138"/>
        <v>94.814999999999998</v>
      </c>
      <c r="K1887" t="s">
        <v>393</v>
      </c>
    </row>
    <row r="1888" spans="3:11" outlineLevel="2" x14ac:dyDescent="0.3">
      <c r="C1888" s="9">
        <v>45112</v>
      </c>
      <c r="D1888" t="s">
        <v>45</v>
      </c>
      <c r="E1888" t="s">
        <v>26</v>
      </c>
      <c r="F1888" t="s">
        <v>18</v>
      </c>
      <c r="G1888" t="s">
        <v>28</v>
      </c>
      <c r="H1888">
        <v>690</v>
      </c>
      <c r="I1888">
        <v>88</v>
      </c>
      <c r="J1888" s="6">
        <f t="shared" si="138"/>
        <v>60.72</v>
      </c>
      <c r="K1888" t="s">
        <v>393</v>
      </c>
    </row>
    <row r="1889" spans="3:11" outlineLevel="2" x14ac:dyDescent="0.3">
      <c r="C1889" s="9">
        <v>45112</v>
      </c>
      <c r="D1889" t="s">
        <v>12</v>
      </c>
      <c r="E1889" t="s">
        <v>26</v>
      </c>
      <c r="F1889" t="s">
        <v>13</v>
      </c>
      <c r="G1889" t="s">
        <v>14</v>
      </c>
      <c r="H1889">
        <v>1320</v>
      </c>
      <c r="I1889">
        <v>18</v>
      </c>
      <c r="J1889" s="6">
        <f t="shared" si="138"/>
        <v>23.76</v>
      </c>
      <c r="K1889" t="s">
        <v>393</v>
      </c>
    </row>
    <row r="1890" spans="3:11" outlineLevel="2" x14ac:dyDescent="0.3">
      <c r="C1890" s="9">
        <v>45112</v>
      </c>
      <c r="D1890" t="s">
        <v>17</v>
      </c>
      <c r="E1890" t="s">
        <v>15</v>
      </c>
      <c r="F1890" t="s">
        <v>24</v>
      </c>
      <c r="G1890" t="s">
        <v>30</v>
      </c>
      <c r="H1890">
        <v>2970</v>
      </c>
      <c r="I1890">
        <v>46</v>
      </c>
      <c r="J1890" s="6">
        <f t="shared" si="138"/>
        <v>136.62</v>
      </c>
      <c r="K1890" t="s">
        <v>393</v>
      </c>
    </row>
    <row r="1891" spans="3:11" outlineLevel="2" x14ac:dyDescent="0.3">
      <c r="C1891" s="9">
        <v>45112</v>
      </c>
      <c r="D1891" t="s">
        <v>8</v>
      </c>
      <c r="E1891" t="s">
        <v>33</v>
      </c>
      <c r="F1891" t="s">
        <v>24</v>
      </c>
      <c r="G1891" t="s">
        <v>36</v>
      </c>
      <c r="H1891">
        <v>2460</v>
      </c>
      <c r="I1891">
        <v>25</v>
      </c>
      <c r="J1891" s="6">
        <f t="shared" si="138"/>
        <v>61.5</v>
      </c>
      <c r="K1891" t="s">
        <v>393</v>
      </c>
    </row>
    <row r="1892" spans="3:11" outlineLevel="2" x14ac:dyDescent="0.3">
      <c r="C1892" s="9">
        <v>45112</v>
      </c>
      <c r="D1892" t="s">
        <v>12</v>
      </c>
      <c r="E1892" t="s">
        <v>35</v>
      </c>
      <c r="F1892" t="s">
        <v>13</v>
      </c>
      <c r="G1892" t="s">
        <v>14</v>
      </c>
      <c r="H1892">
        <v>1320</v>
      </c>
      <c r="I1892">
        <v>68</v>
      </c>
      <c r="J1892" s="6">
        <f t="shared" si="138"/>
        <v>89.76</v>
      </c>
      <c r="K1892" t="s">
        <v>393</v>
      </c>
    </row>
    <row r="1893" spans="3:11" outlineLevel="1" x14ac:dyDescent="0.3">
      <c r="C1893" s="13" t="s">
        <v>200</v>
      </c>
      <c r="J1893" s="6">
        <f>SUBTOTAL(9,J1883:J1892)</f>
        <v>565.995</v>
      </c>
      <c r="K1893" t="s">
        <v>393</v>
      </c>
    </row>
    <row r="1894" spans="3:11" outlineLevel="2" x14ac:dyDescent="0.3">
      <c r="C1894" s="9">
        <v>45113</v>
      </c>
      <c r="D1894" t="s">
        <v>12</v>
      </c>
      <c r="E1894" t="s">
        <v>20</v>
      </c>
      <c r="F1894" t="s">
        <v>10</v>
      </c>
      <c r="G1894" t="s">
        <v>23</v>
      </c>
      <c r="H1894">
        <v>640</v>
      </c>
      <c r="I1894">
        <v>17</v>
      </c>
      <c r="J1894" s="6">
        <f t="shared" ref="J1894:J1902" si="139">H1894*I1894/1000</f>
        <v>10.88</v>
      </c>
      <c r="K1894" t="s">
        <v>393</v>
      </c>
    </row>
    <row r="1895" spans="3:11" outlineLevel="2" x14ac:dyDescent="0.3">
      <c r="C1895" s="9">
        <v>45113</v>
      </c>
      <c r="D1895" t="s">
        <v>12</v>
      </c>
      <c r="E1895" t="s">
        <v>20</v>
      </c>
      <c r="F1895" t="s">
        <v>10</v>
      </c>
      <c r="G1895" t="s">
        <v>39</v>
      </c>
      <c r="H1895">
        <v>650</v>
      </c>
      <c r="I1895">
        <v>23</v>
      </c>
      <c r="J1895" s="6">
        <f t="shared" si="139"/>
        <v>14.95</v>
      </c>
      <c r="K1895" t="s">
        <v>393</v>
      </c>
    </row>
    <row r="1896" spans="3:11" outlineLevel="2" x14ac:dyDescent="0.3">
      <c r="C1896" s="9">
        <v>45113</v>
      </c>
      <c r="D1896" t="s">
        <v>17</v>
      </c>
      <c r="E1896" t="s">
        <v>20</v>
      </c>
      <c r="F1896" t="s">
        <v>24</v>
      </c>
      <c r="G1896" t="s">
        <v>25</v>
      </c>
      <c r="H1896">
        <v>1760</v>
      </c>
      <c r="I1896">
        <v>15</v>
      </c>
      <c r="J1896" s="6">
        <f t="shared" si="139"/>
        <v>26.4</v>
      </c>
      <c r="K1896" t="s">
        <v>393</v>
      </c>
    </row>
    <row r="1897" spans="3:11" outlineLevel="2" x14ac:dyDescent="0.3">
      <c r="C1897" s="9">
        <v>45113</v>
      </c>
      <c r="D1897" t="s">
        <v>8</v>
      </c>
      <c r="E1897" t="s">
        <v>9</v>
      </c>
      <c r="F1897" t="s">
        <v>10</v>
      </c>
      <c r="G1897" t="s">
        <v>11</v>
      </c>
      <c r="H1897">
        <v>705</v>
      </c>
      <c r="I1897">
        <v>27</v>
      </c>
      <c r="J1897" s="6">
        <f t="shared" si="139"/>
        <v>19.035</v>
      </c>
      <c r="K1897" t="s">
        <v>393</v>
      </c>
    </row>
    <row r="1898" spans="3:11" outlineLevel="2" x14ac:dyDescent="0.3">
      <c r="C1898" s="9">
        <v>45113</v>
      </c>
      <c r="D1898" t="s">
        <v>12</v>
      </c>
      <c r="E1898" t="s">
        <v>26</v>
      </c>
      <c r="F1898" t="s">
        <v>10</v>
      </c>
      <c r="G1898" t="s">
        <v>16</v>
      </c>
      <c r="H1898">
        <v>1380</v>
      </c>
      <c r="I1898">
        <v>43</v>
      </c>
      <c r="J1898" s="6">
        <f t="shared" si="139"/>
        <v>59.34</v>
      </c>
      <c r="K1898" t="s">
        <v>393</v>
      </c>
    </row>
    <row r="1899" spans="3:11" outlineLevel="2" x14ac:dyDescent="0.3">
      <c r="C1899" s="9">
        <v>45113</v>
      </c>
      <c r="D1899" t="s">
        <v>17</v>
      </c>
      <c r="E1899" t="s">
        <v>33</v>
      </c>
      <c r="F1899" t="s">
        <v>18</v>
      </c>
      <c r="G1899" t="s">
        <v>21</v>
      </c>
      <c r="H1899">
        <v>450</v>
      </c>
      <c r="I1899">
        <v>8</v>
      </c>
      <c r="J1899" s="6">
        <f t="shared" si="139"/>
        <v>3.6</v>
      </c>
      <c r="K1899" t="s">
        <v>393</v>
      </c>
    </row>
    <row r="1900" spans="3:11" outlineLevel="2" x14ac:dyDescent="0.3">
      <c r="C1900" s="9">
        <v>45113</v>
      </c>
      <c r="D1900" t="s">
        <v>17</v>
      </c>
      <c r="E1900" t="s">
        <v>33</v>
      </c>
      <c r="F1900" t="s">
        <v>18</v>
      </c>
      <c r="G1900" t="s">
        <v>27</v>
      </c>
      <c r="H1900">
        <v>460</v>
      </c>
      <c r="I1900">
        <v>15</v>
      </c>
      <c r="J1900" s="6">
        <f t="shared" si="139"/>
        <v>6.9</v>
      </c>
      <c r="K1900" t="s">
        <v>393</v>
      </c>
    </row>
    <row r="1901" spans="3:11" outlineLevel="2" x14ac:dyDescent="0.3">
      <c r="C1901" s="9">
        <v>45113</v>
      </c>
      <c r="D1901" t="s">
        <v>8</v>
      </c>
      <c r="E1901" t="s">
        <v>33</v>
      </c>
      <c r="F1901" t="s">
        <v>13</v>
      </c>
      <c r="G1901" t="s">
        <v>43</v>
      </c>
      <c r="H1901">
        <v>1420</v>
      </c>
      <c r="I1901">
        <v>71</v>
      </c>
      <c r="J1901" s="6">
        <f t="shared" si="139"/>
        <v>100.82</v>
      </c>
      <c r="K1901" t="s">
        <v>393</v>
      </c>
    </row>
    <row r="1902" spans="3:11" outlineLevel="2" x14ac:dyDescent="0.3">
      <c r="C1902" s="9">
        <v>45113</v>
      </c>
      <c r="D1902" t="s">
        <v>17</v>
      </c>
      <c r="E1902" t="s">
        <v>35</v>
      </c>
      <c r="F1902" t="s">
        <v>10</v>
      </c>
      <c r="G1902" t="s">
        <v>11</v>
      </c>
      <c r="H1902">
        <v>705</v>
      </c>
      <c r="I1902">
        <v>83</v>
      </c>
      <c r="J1902" s="6">
        <f t="shared" si="139"/>
        <v>58.515000000000001</v>
      </c>
      <c r="K1902" t="s">
        <v>393</v>
      </c>
    </row>
    <row r="1903" spans="3:11" outlineLevel="1" x14ac:dyDescent="0.3">
      <c r="C1903" s="13" t="s">
        <v>201</v>
      </c>
      <c r="J1903" s="6">
        <f>SUBTOTAL(9,J1894:J1902)</f>
        <v>300.44</v>
      </c>
      <c r="K1903" t="s">
        <v>393</v>
      </c>
    </row>
    <row r="1904" spans="3:11" outlineLevel="2" x14ac:dyDescent="0.3">
      <c r="C1904" s="9">
        <v>45114</v>
      </c>
      <c r="D1904" t="s">
        <v>45</v>
      </c>
      <c r="E1904" t="s">
        <v>9</v>
      </c>
      <c r="F1904" t="s">
        <v>10</v>
      </c>
      <c r="G1904" t="s">
        <v>40</v>
      </c>
      <c r="H1904">
        <v>540</v>
      </c>
      <c r="I1904">
        <v>19</v>
      </c>
      <c r="J1904" s="6">
        <f t="shared" ref="J1904:J1913" si="140">H1904*I1904/1000</f>
        <v>10.26</v>
      </c>
      <c r="K1904" t="s">
        <v>393</v>
      </c>
    </row>
    <row r="1905" spans="3:11" outlineLevel="2" x14ac:dyDescent="0.3">
      <c r="C1905" s="9">
        <v>45114</v>
      </c>
      <c r="D1905" t="s">
        <v>12</v>
      </c>
      <c r="E1905" t="s">
        <v>9</v>
      </c>
      <c r="F1905" t="s">
        <v>24</v>
      </c>
      <c r="G1905" t="s">
        <v>42</v>
      </c>
      <c r="H1905">
        <v>3205</v>
      </c>
      <c r="I1905">
        <v>96</v>
      </c>
      <c r="J1905" s="6">
        <f t="shared" si="140"/>
        <v>307.68</v>
      </c>
      <c r="K1905" t="s">
        <v>393</v>
      </c>
    </row>
    <row r="1906" spans="3:11" outlineLevel="2" x14ac:dyDescent="0.3">
      <c r="C1906" s="9">
        <v>45114</v>
      </c>
      <c r="D1906" t="s">
        <v>17</v>
      </c>
      <c r="E1906" t="s">
        <v>26</v>
      </c>
      <c r="F1906" t="s">
        <v>10</v>
      </c>
      <c r="G1906" t="s">
        <v>11</v>
      </c>
      <c r="H1906">
        <v>705</v>
      </c>
      <c r="I1906">
        <v>83</v>
      </c>
      <c r="J1906" s="6">
        <f t="shared" si="140"/>
        <v>58.515000000000001</v>
      </c>
      <c r="K1906" t="s">
        <v>393</v>
      </c>
    </row>
    <row r="1907" spans="3:11" outlineLevel="2" x14ac:dyDescent="0.3">
      <c r="C1907" s="9">
        <v>45114</v>
      </c>
      <c r="D1907" t="s">
        <v>12</v>
      </c>
      <c r="E1907" t="s">
        <v>15</v>
      </c>
      <c r="F1907" t="s">
        <v>18</v>
      </c>
      <c r="G1907" t="s">
        <v>19</v>
      </c>
      <c r="H1907">
        <v>325</v>
      </c>
      <c r="I1907">
        <v>32</v>
      </c>
      <c r="J1907" s="6">
        <f t="shared" si="140"/>
        <v>10.4</v>
      </c>
      <c r="K1907" t="s">
        <v>393</v>
      </c>
    </row>
    <row r="1908" spans="3:11" outlineLevel="2" x14ac:dyDescent="0.3">
      <c r="C1908" s="9">
        <v>45114</v>
      </c>
      <c r="D1908" t="s">
        <v>8</v>
      </c>
      <c r="E1908" t="s">
        <v>15</v>
      </c>
      <c r="F1908" t="s">
        <v>24</v>
      </c>
      <c r="G1908" t="s">
        <v>42</v>
      </c>
      <c r="H1908">
        <v>3205</v>
      </c>
      <c r="I1908">
        <v>88</v>
      </c>
      <c r="J1908" s="6">
        <f t="shared" si="140"/>
        <v>282.04000000000002</v>
      </c>
      <c r="K1908" t="s">
        <v>393</v>
      </c>
    </row>
    <row r="1909" spans="3:11" outlineLevel="2" x14ac:dyDescent="0.3">
      <c r="C1909" s="9">
        <v>45114</v>
      </c>
      <c r="D1909" t="s">
        <v>45</v>
      </c>
      <c r="E1909" t="s">
        <v>33</v>
      </c>
      <c r="F1909" t="s">
        <v>10</v>
      </c>
      <c r="G1909" t="s">
        <v>16</v>
      </c>
      <c r="H1909">
        <v>1380</v>
      </c>
      <c r="I1909">
        <v>29</v>
      </c>
      <c r="J1909" s="6">
        <f t="shared" si="140"/>
        <v>40.020000000000003</v>
      </c>
      <c r="K1909" t="s">
        <v>393</v>
      </c>
    </row>
    <row r="1910" spans="3:11" outlineLevel="2" x14ac:dyDescent="0.3">
      <c r="C1910" s="9">
        <v>45114</v>
      </c>
      <c r="D1910" t="s">
        <v>45</v>
      </c>
      <c r="E1910" t="s">
        <v>33</v>
      </c>
      <c r="F1910" t="s">
        <v>13</v>
      </c>
      <c r="G1910" t="s">
        <v>22</v>
      </c>
      <c r="H1910">
        <v>930</v>
      </c>
      <c r="I1910">
        <v>18</v>
      </c>
      <c r="J1910" s="6">
        <f t="shared" si="140"/>
        <v>16.739999999999998</v>
      </c>
      <c r="K1910" t="s">
        <v>393</v>
      </c>
    </row>
    <row r="1911" spans="3:11" outlineLevel="2" x14ac:dyDescent="0.3">
      <c r="C1911" s="9">
        <v>45114</v>
      </c>
      <c r="D1911" t="s">
        <v>8</v>
      </c>
      <c r="E1911" t="s">
        <v>35</v>
      </c>
      <c r="F1911" t="s">
        <v>10</v>
      </c>
      <c r="G1911" t="s">
        <v>16</v>
      </c>
      <c r="H1911">
        <v>1380</v>
      </c>
      <c r="I1911">
        <v>63</v>
      </c>
      <c r="J1911" s="6">
        <f t="shared" si="140"/>
        <v>86.94</v>
      </c>
      <c r="K1911" t="s">
        <v>393</v>
      </c>
    </row>
    <row r="1912" spans="3:11" outlineLevel="2" x14ac:dyDescent="0.3">
      <c r="C1912" s="9">
        <v>45114</v>
      </c>
      <c r="D1912" t="s">
        <v>8</v>
      </c>
      <c r="E1912" t="s">
        <v>35</v>
      </c>
      <c r="F1912" t="s">
        <v>10</v>
      </c>
      <c r="G1912" t="s">
        <v>40</v>
      </c>
      <c r="H1912">
        <v>540</v>
      </c>
      <c r="I1912">
        <v>21</v>
      </c>
      <c r="J1912" s="6">
        <f t="shared" si="140"/>
        <v>11.34</v>
      </c>
      <c r="K1912" t="s">
        <v>393</v>
      </c>
    </row>
    <row r="1913" spans="3:11" outlineLevel="2" x14ac:dyDescent="0.3">
      <c r="C1913" s="9">
        <v>45114</v>
      </c>
      <c r="D1913" t="s">
        <v>8</v>
      </c>
      <c r="E1913" t="s">
        <v>35</v>
      </c>
      <c r="F1913" t="s">
        <v>13</v>
      </c>
      <c r="G1913" t="s">
        <v>22</v>
      </c>
      <c r="H1913">
        <v>930</v>
      </c>
      <c r="I1913">
        <v>70</v>
      </c>
      <c r="J1913" s="6">
        <f t="shared" si="140"/>
        <v>65.099999999999994</v>
      </c>
      <c r="K1913" t="s">
        <v>393</v>
      </c>
    </row>
    <row r="1914" spans="3:11" outlineLevel="1" x14ac:dyDescent="0.3">
      <c r="C1914" s="13" t="s">
        <v>202</v>
      </c>
      <c r="J1914" s="6">
        <f>SUBTOTAL(9,J1904:J1913)</f>
        <v>889.03500000000008</v>
      </c>
      <c r="K1914" t="s">
        <v>393</v>
      </c>
    </row>
    <row r="1915" spans="3:11" outlineLevel="2" x14ac:dyDescent="0.3">
      <c r="C1915" s="9">
        <v>45115</v>
      </c>
      <c r="D1915" t="s">
        <v>8</v>
      </c>
      <c r="E1915" t="s">
        <v>20</v>
      </c>
      <c r="F1915" t="s">
        <v>10</v>
      </c>
      <c r="G1915" t="s">
        <v>40</v>
      </c>
      <c r="H1915">
        <v>540</v>
      </c>
      <c r="I1915">
        <v>12</v>
      </c>
      <c r="J1915" s="6">
        <f t="shared" ref="J1915:J1923" si="141">H1915*I1915/1000</f>
        <v>6.48</v>
      </c>
      <c r="K1915" t="s">
        <v>393</v>
      </c>
    </row>
    <row r="1916" spans="3:11" outlineLevel="2" x14ac:dyDescent="0.3">
      <c r="C1916" s="9">
        <v>45115</v>
      </c>
      <c r="D1916" t="s">
        <v>17</v>
      </c>
      <c r="E1916" t="s">
        <v>20</v>
      </c>
      <c r="F1916" t="s">
        <v>24</v>
      </c>
      <c r="G1916" t="s">
        <v>32</v>
      </c>
      <c r="H1916">
        <v>1505</v>
      </c>
      <c r="I1916">
        <v>40</v>
      </c>
      <c r="J1916" s="6">
        <f t="shared" si="141"/>
        <v>60.2</v>
      </c>
      <c r="K1916" t="s">
        <v>393</v>
      </c>
    </row>
    <row r="1917" spans="3:11" outlineLevel="2" x14ac:dyDescent="0.3">
      <c r="C1917" s="9">
        <v>45115</v>
      </c>
      <c r="D1917" t="s">
        <v>8</v>
      </c>
      <c r="E1917" t="s">
        <v>9</v>
      </c>
      <c r="F1917" t="s">
        <v>24</v>
      </c>
      <c r="G1917" t="s">
        <v>30</v>
      </c>
      <c r="H1917">
        <v>2970</v>
      </c>
      <c r="I1917">
        <v>85</v>
      </c>
      <c r="J1917" s="6">
        <f t="shared" si="141"/>
        <v>252.45</v>
      </c>
      <c r="K1917" t="s">
        <v>393</v>
      </c>
    </row>
    <row r="1918" spans="3:11" outlineLevel="2" x14ac:dyDescent="0.3">
      <c r="C1918" s="9">
        <v>45115</v>
      </c>
      <c r="D1918" t="s">
        <v>8</v>
      </c>
      <c r="E1918" t="s">
        <v>26</v>
      </c>
      <c r="F1918" t="s">
        <v>13</v>
      </c>
      <c r="G1918" t="s">
        <v>38</v>
      </c>
      <c r="H1918">
        <v>2400</v>
      </c>
      <c r="I1918">
        <v>47</v>
      </c>
      <c r="J1918" s="6">
        <f t="shared" si="141"/>
        <v>112.8</v>
      </c>
      <c r="K1918" t="s">
        <v>393</v>
      </c>
    </row>
    <row r="1919" spans="3:11" outlineLevel="2" x14ac:dyDescent="0.3">
      <c r="C1919" s="9">
        <v>45115</v>
      </c>
      <c r="D1919" t="s">
        <v>17</v>
      </c>
      <c r="E1919" t="s">
        <v>15</v>
      </c>
      <c r="F1919" t="s">
        <v>13</v>
      </c>
      <c r="G1919" t="s">
        <v>14</v>
      </c>
      <c r="H1919">
        <v>1320</v>
      </c>
      <c r="I1919">
        <v>47</v>
      </c>
      <c r="J1919" s="6">
        <f t="shared" si="141"/>
        <v>62.04</v>
      </c>
      <c r="K1919" t="s">
        <v>393</v>
      </c>
    </row>
    <row r="1920" spans="3:11" outlineLevel="2" x14ac:dyDescent="0.3">
      <c r="C1920" s="9">
        <v>45115</v>
      </c>
      <c r="D1920" t="s">
        <v>45</v>
      </c>
      <c r="E1920" t="s">
        <v>33</v>
      </c>
      <c r="F1920" t="s">
        <v>18</v>
      </c>
      <c r="G1920" t="s">
        <v>28</v>
      </c>
      <c r="H1920">
        <v>690</v>
      </c>
      <c r="I1920">
        <v>12</v>
      </c>
      <c r="J1920" s="6">
        <f t="shared" si="141"/>
        <v>8.2799999999999994</v>
      </c>
      <c r="K1920" t="s">
        <v>393</v>
      </c>
    </row>
    <row r="1921" spans="3:11" outlineLevel="2" x14ac:dyDescent="0.3">
      <c r="C1921" s="9">
        <v>45115</v>
      </c>
      <c r="D1921" t="s">
        <v>8</v>
      </c>
      <c r="E1921" t="s">
        <v>33</v>
      </c>
      <c r="F1921" t="s">
        <v>24</v>
      </c>
      <c r="G1921" t="s">
        <v>42</v>
      </c>
      <c r="H1921">
        <v>3205</v>
      </c>
      <c r="I1921">
        <v>50</v>
      </c>
      <c r="J1921" s="6">
        <f t="shared" si="141"/>
        <v>160.25</v>
      </c>
      <c r="K1921" t="s">
        <v>393</v>
      </c>
    </row>
    <row r="1922" spans="3:11" outlineLevel="2" x14ac:dyDescent="0.3">
      <c r="C1922" s="9">
        <v>45115</v>
      </c>
      <c r="D1922" t="s">
        <v>45</v>
      </c>
      <c r="E1922" t="s">
        <v>35</v>
      </c>
      <c r="F1922" t="s">
        <v>18</v>
      </c>
      <c r="G1922" t="s">
        <v>27</v>
      </c>
      <c r="H1922">
        <v>460</v>
      </c>
      <c r="I1922">
        <v>82</v>
      </c>
      <c r="J1922" s="6">
        <f t="shared" si="141"/>
        <v>37.72</v>
      </c>
      <c r="K1922" t="s">
        <v>393</v>
      </c>
    </row>
    <row r="1923" spans="3:11" outlineLevel="2" x14ac:dyDescent="0.3">
      <c r="C1923" s="9">
        <v>45115</v>
      </c>
      <c r="D1923" t="s">
        <v>17</v>
      </c>
      <c r="E1923" t="s">
        <v>35</v>
      </c>
      <c r="F1923" t="s">
        <v>24</v>
      </c>
      <c r="G1923" t="s">
        <v>30</v>
      </c>
      <c r="H1923">
        <v>2970</v>
      </c>
      <c r="I1923">
        <v>42</v>
      </c>
      <c r="J1923" s="6">
        <f t="shared" si="141"/>
        <v>124.74</v>
      </c>
      <c r="K1923" t="s">
        <v>393</v>
      </c>
    </row>
    <row r="1924" spans="3:11" outlineLevel="1" x14ac:dyDescent="0.3">
      <c r="C1924" s="13" t="s">
        <v>203</v>
      </c>
      <c r="J1924" s="6">
        <f>SUBTOTAL(9,J1915:J1923)</f>
        <v>824.96</v>
      </c>
      <c r="K1924" t="s">
        <v>393</v>
      </c>
    </row>
    <row r="1925" spans="3:11" outlineLevel="2" x14ac:dyDescent="0.3">
      <c r="C1925" s="9">
        <v>45116</v>
      </c>
      <c r="D1925" t="s">
        <v>12</v>
      </c>
      <c r="E1925" t="s">
        <v>20</v>
      </c>
      <c r="F1925" t="s">
        <v>13</v>
      </c>
      <c r="G1925" t="s">
        <v>14</v>
      </c>
      <c r="H1925">
        <v>1320</v>
      </c>
      <c r="I1925">
        <v>93</v>
      </c>
      <c r="J1925" s="6">
        <f t="shared" ref="J1925:J1934" si="142">H1925*I1925/1000</f>
        <v>122.76</v>
      </c>
      <c r="K1925" t="s">
        <v>393</v>
      </c>
    </row>
    <row r="1926" spans="3:11" outlineLevel="2" x14ac:dyDescent="0.3">
      <c r="C1926" s="9">
        <v>45116</v>
      </c>
      <c r="D1926" t="s">
        <v>12</v>
      </c>
      <c r="E1926" t="s">
        <v>20</v>
      </c>
      <c r="F1926" t="s">
        <v>13</v>
      </c>
      <c r="G1926" t="s">
        <v>38</v>
      </c>
      <c r="H1926">
        <v>2400</v>
      </c>
      <c r="I1926">
        <v>100</v>
      </c>
      <c r="J1926" s="6">
        <f t="shared" si="142"/>
        <v>240</v>
      </c>
      <c r="K1926" t="s">
        <v>393</v>
      </c>
    </row>
    <row r="1927" spans="3:11" outlineLevel="2" x14ac:dyDescent="0.3">
      <c r="C1927" s="9">
        <v>45116</v>
      </c>
      <c r="D1927" t="s">
        <v>17</v>
      </c>
      <c r="E1927" t="s">
        <v>9</v>
      </c>
      <c r="F1927" t="s">
        <v>18</v>
      </c>
      <c r="G1927" t="s">
        <v>37</v>
      </c>
      <c r="H1927">
        <v>890</v>
      </c>
      <c r="I1927">
        <v>26</v>
      </c>
      <c r="J1927" s="6">
        <f t="shared" si="142"/>
        <v>23.14</v>
      </c>
      <c r="K1927" t="s">
        <v>393</v>
      </c>
    </row>
    <row r="1928" spans="3:11" outlineLevel="2" x14ac:dyDescent="0.3">
      <c r="C1928" s="9">
        <v>45116</v>
      </c>
      <c r="D1928" t="s">
        <v>8</v>
      </c>
      <c r="E1928" t="s">
        <v>26</v>
      </c>
      <c r="F1928" t="s">
        <v>13</v>
      </c>
      <c r="G1928" t="s">
        <v>44</v>
      </c>
      <c r="H1928">
        <v>2540</v>
      </c>
      <c r="I1928">
        <v>50</v>
      </c>
      <c r="J1928" s="6">
        <f t="shared" si="142"/>
        <v>127</v>
      </c>
      <c r="K1928" t="s">
        <v>393</v>
      </c>
    </row>
    <row r="1929" spans="3:11" outlineLevel="2" x14ac:dyDescent="0.3">
      <c r="C1929" s="9">
        <v>45116</v>
      </c>
      <c r="D1929" t="s">
        <v>17</v>
      </c>
      <c r="E1929" t="s">
        <v>26</v>
      </c>
      <c r="F1929" t="s">
        <v>24</v>
      </c>
      <c r="G1929" t="s">
        <v>32</v>
      </c>
      <c r="H1929">
        <v>1505</v>
      </c>
      <c r="I1929">
        <v>13</v>
      </c>
      <c r="J1929" s="6">
        <f t="shared" si="142"/>
        <v>19.565000000000001</v>
      </c>
      <c r="K1929" t="s">
        <v>393</v>
      </c>
    </row>
    <row r="1930" spans="3:11" outlineLevel="2" x14ac:dyDescent="0.3">
      <c r="C1930" s="9">
        <v>45116</v>
      </c>
      <c r="D1930" t="s">
        <v>17</v>
      </c>
      <c r="E1930" t="s">
        <v>15</v>
      </c>
      <c r="F1930" t="s">
        <v>10</v>
      </c>
      <c r="G1930" t="s">
        <v>41</v>
      </c>
      <c r="H1930">
        <v>650</v>
      </c>
      <c r="I1930">
        <v>79</v>
      </c>
      <c r="J1930" s="6">
        <f t="shared" si="142"/>
        <v>51.35</v>
      </c>
      <c r="K1930" t="s">
        <v>393</v>
      </c>
    </row>
    <row r="1931" spans="3:11" outlineLevel="2" x14ac:dyDescent="0.3">
      <c r="C1931" s="9">
        <v>45116</v>
      </c>
      <c r="D1931" t="s">
        <v>45</v>
      </c>
      <c r="E1931" t="s">
        <v>15</v>
      </c>
      <c r="F1931" t="s">
        <v>13</v>
      </c>
      <c r="G1931" t="s">
        <v>14</v>
      </c>
      <c r="H1931">
        <v>1320</v>
      </c>
      <c r="I1931">
        <v>58</v>
      </c>
      <c r="J1931" s="6">
        <f t="shared" si="142"/>
        <v>76.56</v>
      </c>
      <c r="K1931" t="s">
        <v>393</v>
      </c>
    </row>
    <row r="1932" spans="3:11" outlineLevel="2" x14ac:dyDescent="0.3">
      <c r="C1932" s="9">
        <v>45116</v>
      </c>
      <c r="D1932" t="s">
        <v>45</v>
      </c>
      <c r="E1932" t="s">
        <v>15</v>
      </c>
      <c r="F1932" t="s">
        <v>13</v>
      </c>
      <c r="G1932" t="s">
        <v>22</v>
      </c>
      <c r="H1932">
        <v>930</v>
      </c>
      <c r="I1932">
        <v>42</v>
      </c>
      <c r="J1932" s="6">
        <f t="shared" si="142"/>
        <v>39.06</v>
      </c>
      <c r="K1932" t="s">
        <v>393</v>
      </c>
    </row>
    <row r="1933" spans="3:11" outlineLevel="2" x14ac:dyDescent="0.3">
      <c r="C1933" s="9">
        <v>45116</v>
      </c>
      <c r="D1933" t="s">
        <v>8</v>
      </c>
      <c r="E1933" t="s">
        <v>35</v>
      </c>
      <c r="F1933" t="s">
        <v>10</v>
      </c>
      <c r="G1933" t="s">
        <v>39</v>
      </c>
      <c r="H1933">
        <v>650</v>
      </c>
      <c r="I1933">
        <v>54</v>
      </c>
      <c r="J1933" s="6">
        <f t="shared" si="142"/>
        <v>35.1</v>
      </c>
      <c r="K1933" t="s">
        <v>393</v>
      </c>
    </row>
    <row r="1934" spans="3:11" outlineLevel="2" x14ac:dyDescent="0.3">
      <c r="C1934" s="9">
        <v>45116</v>
      </c>
      <c r="D1934" t="s">
        <v>12</v>
      </c>
      <c r="E1934" t="s">
        <v>35</v>
      </c>
      <c r="F1934" t="s">
        <v>13</v>
      </c>
      <c r="G1934" t="s">
        <v>38</v>
      </c>
      <c r="H1934">
        <v>2400</v>
      </c>
      <c r="I1934">
        <v>81</v>
      </c>
      <c r="J1934" s="6">
        <f t="shared" si="142"/>
        <v>194.4</v>
      </c>
      <c r="K1934" t="s">
        <v>393</v>
      </c>
    </row>
    <row r="1935" spans="3:11" outlineLevel="1" x14ac:dyDescent="0.3">
      <c r="C1935" s="13" t="s">
        <v>204</v>
      </c>
      <c r="J1935" s="6">
        <f>SUBTOTAL(9,J1925:J1934)</f>
        <v>928.93499999999995</v>
      </c>
      <c r="K1935" t="s">
        <v>393</v>
      </c>
    </row>
    <row r="1936" spans="3:11" outlineLevel="2" x14ac:dyDescent="0.3">
      <c r="C1936" s="9">
        <v>45117</v>
      </c>
      <c r="D1936" t="s">
        <v>45</v>
      </c>
      <c r="E1936" t="s">
        <v>20</v>
      </c>
      <c r="F1936" t="s">
        <v>24</v>
      </c>
      <c r="G1936" t="s">
        <v>42</v>
      </c>
      <c r="H1936">
        <v>3205</v>
      </c>
      <c r="I1936">
        <v>35</v>
      </c>
      <c r="J1936" s="6">
        <f t="shared" ref="J1936:J1946" si="143">H1936*I1936/1000</f>
        <v>112.175</v>
      </c>
      <c r="K1936" t="s">
        <v>393</v>
      </c>
    </row>
    <row r="1937" spans="3:11" outlineLevel="2" x14ac:dyDescent="0.3">
      <c r="C1937" s="9">
        <v>45117</v>
      </c>
      <c r="D1937" t="s">
        <v>17</v>
      </c>
      <c r="E1937" t="s">
        <v>26</v>
      </c>
      <c r="F1937" t="s">
        <v>18</v>
      </c>
      <c r="G1937" t="s">
        <v>27</v>
      </c>
      <c r="H1937">
        <v>460</v>
      </c>
      <c r="I1937">
        <v>14</v>
      </c>
      <c r="J1937" s="6">
        <f t="shared" si="143"/>
        <v>6.44</v>
      </c>
      <c r="K1937" t="s">
        <v>393</v>
      </c>
    </row>
    <row r="1938" spans="3:11" outlineLevel="2" x14ac:dyDescent="0.3">
      <c r="C1938" s="9">
        <v>45117</v>
      </c>
      <c r="D1938" t="s">
        <v>12</v>
      </c>
      <c r="E1938" t="s">
        <v>15</v>
      </c>
      <c r="F1938" t="s">
        <v>18</v>
      </c>
      <c r="G1938" t="s">
        <v>21</v>
      </c>
      <c r="H1938">
        <v>450</v>
      </c>
      <c r="I1938">
        <v>87</v>
      </c>
      <c r="J1938" s="6">
        <f t="shared" si="143"/>
        <v>39.15</v>
      </c>
      <c r="K1938" t="s">
        <v>393</v>
      </c>
    </row>
    <row r="1939" spans="3:11" outlineLevel="2" x14ac:dyDescent="0.3">
      <c r="C1939" s="9">
        <v>45117</v>
      </c>
      <c r="D1939" t="s">
        <v>12</v>
      </c>
      <c r="E1939" t="s">
        <v>15</v>
      </c>
      <c r="F1939" t="s">
        <v>13</v>
      </c>
      <c r="G1939" t="s">
        <v>29</v>
      </c>
      <c r="H1939">
        <v>1230</v>
      </c>
      <c r="I1939">
        <v>66</v>
      </c>
      <c r="J1939" s="6">
        <f t="shared" si="143"/>
        <v>81.180000000000007</v>
      </c>
      <c r="K1939" t="s">
        <v>393</v>
      </c>
    </row>
    <row r="1940" spans="3:11" outlineLevel="2" x14ac:dyDescent="0.3">
      <c r="C1940" s="9">
        <v>45117</v>
      </c>
      <c r="D1940" t="s">
        <v>45</v>
      </c>
      <c r="E1940" t="s">
        <v>33</v>
      </c>
      <c r="F1940" t="s">
        <v>18</v>
      </c>
      <c r="G1940" t="s">
        <v>28</v>
      </c>
      <c r="H1940">
        <v>690</v>
      </c>
      <c r="I1940">
        <v>23</v>
      </c>
      <c r="J1940" s="6">
        <f t="shared" si="143"/>
        <v>15.87</v>
      </c>
      <c r="K1940" t="s">
        <v>393</v>
      </c>
    </row>
    <row r="1941" spans="3:11" outlineLevel="2" x14ac:dyDescent="0.3">
      <c r="C1941" s="9">
        <v>45117</v>
      </c>
      <c r="D1941" t="s">
        <v>12</v>
      </c>
      <c r="E1941" t="s">
        <v>33</v>
      </c>
      <c r="F1941" t="s">
        <v>18</v>
      </c>
      <c r="G1941" t="s">
        <v>28</v>
      </c>
      <c r="H1941">
        <v>690</v>
      </c>
      <c r="I1941">
        <v>38</v>
      </c>
      <c r="J1941" s="6">
        <f t="shared" si="143"/>
        <v>26.22</v>
      </c>
      <c r="K1941" t="s">
        <v>393</v>
      </c>
    </row>
    <row r="1942" spans="3:11" outlineLevel="2" x14ac:dyDescent="0.3">
      <c r="C1942" s="9">
        <v>45117</v>
      </c>
      <c r="D1942" t="s">
        <v>17</v>
      </c>
      <c r="E1942" t="s">
        <v>33</v>
      </c>
      <c r="F1942" t="s">
        <v>13</v>
      </c>
      <c r="G1942" t="s">
        <v>14</v>
      </c>
      <c r="H1942">
        <v>1320</v>
      </c>
      <c r="I1942">
        <v>15</v>
      </c>
      <c r="J1942" s="6">
        <f t="shared" si="143"/>
        <v>19.8</v>
      </c>
      <c r="K1942" t="s">
        <v>393</v>
      </c>
    </row>
    <row r="1943" spans="3:11" outlineLevel="2" x14ac:dyDescent="0.3">
      <c r="C1943" s="9">
        <v>45117</v>
      </c>
      <c r="D1943" t="s">
        <v>45</v>
      </c>
      <c r="E1943" t="s">
        <v>35</v>
      </c>
      <c r="F1943" t="s">
        <v>10</v>
      </c>
      <c r="G1943" t="s">
        <v>11</v>
      </c>
      <c r="H1943">
        <v>705</v>
      </c>
      <c r="I1943">
        <v>46</v>
      </c>
      <c r="J1943" s="6">
        <f t="shared" si="143"/>
        <v>32.43</v>
      </c>
      <c r="K1943" t="s">
        <v>393</v>
      </c>
    </row>
    <row r="1944" spans="3:11" outlineLevel="2" x14ac:dyDescent="0.3">
      <c r="C1944" s="9">
        <v>45117</v>
      </c>
      <c r="D1944" t="s">
        <v>12</v>
      </c>
      <c r="E1944" t="s">
        <v>35</v>
      </c>
      <c r="F1944" t="s">
        <v>10</v>
      </c>
      <c r="G1944" t="s">
        <v>41</v>
      </c>
      <c r="H1944">
        <v>650</v>
      </c>
      <c r="I1944">
        <v>36</v>
      </c>
      <c r="J1944" s="6">
        <f t="shared" si="143"/>
        <v>23.4</v>
      </c>
      <c r="K1944" t="s">
        <v>393</v>
      </c>
    </row>
    <row r="1945" spans="3:11" outlineLevel="2" x14ac:dyDescent="0.3">
      <c r="C1945" s="9">
        <v>45117</v>
      </c>
      <c r="D1945" t="s">
        <v>45</v>
      </c>
      <c r="E1945" t="s">
        <v>35</v>
      </c>
      <c r="F1945" t="s">
        <v>18</v>
      </c>
      <c r="G1945" t="s">
        <v>19</v>
      </c>
      <c r="H1945">
        <v>325</v>
      </c>
      <c r="I1945">
        <v>38</v>
      </c>
      <c r="J1945" s="6">
        <f t="shared" si="143"/>
        <v>12.35</v>
      </c>
      <c r="K1945" t="s">
        <v>393</v>
      </c>
    </row>
    <row r="1946" spans="3:11" outlineLevel="2" x14ac:dyDescent="0.3">
      <c r="C1946" s="9">
        <v>45117</v>
      </c>
      <c r="D1946" t="s">
        <v>8</v>
      </c>
      <c r="E1946" t="s">
        <v>35</v>
      </c>
      <c r="F1946" t="s">
        <v>18</v>
      </c>
      <c r="G1946" t="s">
        <v>37</v>
      </c>
      <c r="H1946">
        <v>890</v>
      </c>
      <c r="I1946">
        <v>66</v>
      </c>
      <c r="J1946" s="6">
        <f t="shared" si="143"/>
        <v>58.74</v>
      </c>
      <c r="K1946" t="s">
        <v>393</v>
      </c>
    </row>
    <row r="1947" spans="3:11" outlineLevel="1" x14ac:dyDescent="0.3">
      <c r="C1947" s="13" t="s">
        <v>205</v>
      </c>
      <c r="J1947" s="6">
        <f>SUBTOTAL(9,J1936:J1946)</f>
        <v>427.755</v>
      </c>
      <c r="K1947" t="s">
        <v>393</v>
      </c>
    </row>
    <row r="1948" spans="3:11" outlineLevel="2" x14ac:dyDescent="0.3">
      <c r="C1948" s="9">
        <v>45118</v>
      </c>
      <c r="D1948" t="s">
        <v>45</v>
      </c>
      <c r="E1948" t="s">
        <v>20</v>
      </c>
      <c r="F1948" t="s">
        <v>24</v>
      </c>
      <c r="G1948" t="s">
        <v>30</v>
      </c>
      <c r="H1948">
        <v>2970</v>
      </c>
      <c r="I1948">
        <v>27</v>
      </c>
      <c r="J1948" s="6">
        <f t="shared" ref="J1948:J1954" si="144">H1948*I1948/1000</f>
        <v>80.19</v>
      </c>
      <c r="K1948" t="s">
        <v>393</v>
      </c>
    </row>
    <row r="1949" spans="3:11" outlineLevel="2" x14ac:dyDescent="0.3">
      <c r="C1949" s="9">
        <v>45118</v>
      </c>
      <c r="D1949" t="s">
        <v>45</v>
      </c>
      <c r="E1949" t="s">
        <v>9</v>
      </c>
      <c r="F1949" t="s">
        <v>10</v>
      </c>
      <c r="G1949" t="s">
        <v>39</v>
      </c>
      <c r="H1949">
        <v>650</v>
      </c>
      <c r="I1949">
        <v>68</v>
      </c>
      <c r="J1949" s="6">
        <f t="shared" si="144"/>
        <v>44.2</v>
      </c>
      <c r="K1949" t="s">
        <v>393</v>
      </c>
    </row>
    <row r="1950" spans="3:11" outlineLevel="2" x14ac:dyDescent="0.3">
      <c r="C1950" s="9">
        <v>45118</v>
      </c>
      <c r="D1950" t="s">
        <v>8</v>
      </c>
      <c r="E1950" t="s">
        <v>9</v>
      </c>
      <c r="F1950" t="s">
        <v>18</v>
      </c>
      <c r="G1950" t="s">
        <v>37</v>
      </c>
      <c r="H1950">
        <v>890</v>
      </c>
      <c r="I1950">
        <v>32</v>
      </c>
      <c r="J1950" s="6">
        <f t="shared" si="144"/>
        <v>28.48</v>
      </c>
      <c r="K1950" t="s">
        <v>393</v>
      </c>
    </row>
    <row r="1951" spans="3:11" outlineLevel="2" x14ac:dyDescent="0.3">
      <c r="C1951" s="9">
        <v>45118</v>
      </c>
      <c r="D1951" t="s">
        <v>17</v>
      </c>
      <c r="E1951" t="s">
        <v>15</v>
      </c>
      <c r="F1951" t="s">
        <v>10</v>
      </c>
      <c r="G1951" t="s">
        <v>39</v>
      </c>
      <c r="H1951">
        <v>650</v>
      </c>
      <c r="I1951">
        <v>13</v>
      </c>
      <c r="J1951" s="6">
        <f t="shared" si="144"/>
        <v>8.4499999999999993</v>
      </c>
      <c r="K1951" t="s">
        <v>393</v>
      </c>
    </row>
    <row r="1952" spans="3:11" outlineLevel="2" x14ac:dyDescent="0.3">
      <c r="C1952" s="9">
        <v>45118</v>
      </c>
      <c r="D1952" t="s">
        <v>12</v>
      </c>
      <c r="E1952" t="s">
        <v>15</v>
      </c>
      <c r="F1952" t="s">
        <v>10</v>
      </c>
      <c r="G1952" t="s">
        <v>40</v>
      </c>
      <c r="H1952">
        <v>540</v>
      </c>
      <c r="I1952">
        <v>91</v>
      </c>
      <c r="J1952" s="6">
        <f t="shared" si="144"/>
        <v>49.14</v>
      </c>
      <c r="K1952" t="s">
        <v>393</v>
      </c>
    </row>
    <row r="1953" spans="3:11" outlineLevel="2" x14ac:dyDescent="0.3">
      <c r="C1953" s="9">
        <v>45118</v>
      </c>
      <c r="D1953" t="s">
        <v>45</v>
      </c>
      <c r="E1953" t="s">
        <v>15</v>
      </c>
      <c r="F1953" t="s">
        <v>24</v>
      </c>
      <c r="G1953" t="s">
        <v>25</v>
      </c>
      <c r="H1953">
        <v>1760</v>
      </c>
      <c r="I1953">
        <v>67</v>
      </c>
      <c r="J1953" s="6">
        <f t="shared" si="144"/>
        <v>117.92</v>
      </c>
      <c r="K1953" t="s">
        <v>393</v>
      </c>
    </row>
    <row r="1954" spans="3:11" outlineLevel="2" x14ac:dyDescent="0.3">
      <c r="C1954" s="9">
        <v>45118</v>
      </c>
      <c r="D1954" t="s">
        <v>45</v>
      </c>
      <c r="E1954" t="s">
        <v>33</v>
      </c>
      <c r="F1954" t="s">
        <v>10</v>
      </c>
      <c r="G1954" t="s">
        <v>41</v>
      </c>
      <c r="H1954">
        <v>650</v>
      </c>
      <c r="I1954">
        <v>42</v>
      </c>
      <c r="J1954" s="6">
        <f t="shared" si="144"/>
        <v>27.3</v>
      </c>
      <c r="K1954" t="s">
        <v>393</v>
      </c>
    </row>
    <row r="1955" spans="3:11" outlineLevel="1" x14ac:dyDescent="0.3">
      <c r="C1955" s="13" t="s">
        <v>206</v>
      </c>
      <c r="J1955" s="6">
        <f>SUBTOTAL(9,J1948:J1954)</f>
        <v>355.68</v>
      </c>
      <c r="K1955" t="s">
        <v>393</v>
      </c>
    </row>
    <row r="1956" spans="3:11" outlineLevel="2" x14ac:dyDescent="0.3">
      <c r="C1956" s="9">
        <v>45119</v>
      </c>
      <c r="D1956" t="s">
        <v>17</v>
      </c>
      <c r="E1956" t="s">
        <v>20</v>
      </c>
      <c r="F1956" t="s">
        <v>10</v>
      </c>
      <c r="G1956" t="s">
        <v>39</v>
      </c>
      <c r="H1956">
        <v>650</v>
      </c>
      <c r="I1956">
        <v>90</v>
      </c>
      <c r="J1956" s="6">
        <f t="shared" ref="J1956:J1963" si="145">H1956*I1956/1000</f>
        <v>58.5</v>
      </c>
      <c r="K1956" t="s">
        <v>393</v>
      </c>
    </row>
    <row r="1957" spans="3:11" outlineLevel="2" x14ac:dyDescent="0.3">
      <c r="C1957" s="9">
        <v>45119</v>
      </c>
      <c r="D1957" t="s">
        <v>17</v>
      </c>
      <c r="E1957" t="s">
        <v>9</v>
      </c>
      <c r="F1957" t="s">
        <v>10</v>
      </c>
      <c r="G1957" t="s">
        <v>39</v>
      </c>
      <c r="H1957">
        <v>650</v>
      </c>
      <c r="I1957">
        <v>41</v>
      </c>
      <c r="J1957" s="6">
        <f t="shared" si="145"/>
        <v>26.65</v>
      </c>
      <c r="K1957" t="s">
        <v>393</v>
      </c>
    </row>
    <row r="1958" spans="3:11" outlineLevel="2" x14ac:dyDescent="0.3">
      <c r="C1958" s="9">
        <v>45119</v>
      </c>
      <c r="D1958" t="s">
        <v>12</v>
      </c>
      <c r="E1958" t="s">
        <v>9</v>
      </c>
      <c r="F1958" t="s">
        <v>18</v>
      </c>
      <c r="G1958" t="s">
        <v>28</v>
      </c>
      <c r="H1958">
        <v>690</v>
      </c>
      <c r="I1958">
        <v>51</v>
      </c>
      <c r="J1958" s="6">
        <f t="shared" si="145"/>
        <v>35.19</v>
      </c>
      <c r="K1958" t="s">
        <v>393</v>
      </c>
    </row>
    <row r="1959" spans="3:11" outlineLevel="2" x14ac:dyDescent="0.3">
      <c r="C1959" s="9">
        <v>45119</v>
      </c>
      <c r="D1959" t="s">
        <v>8</v>
      </c>
      <c r="E1959" t="s">
        <v>26</v>
      </c>
      <c r="F1959" t="s">
        <v>24</v>
      </c>
      <c r="G1959" t="s">
        <v>34</v>
      </c>
      <c r="H1959">
        <v>1670</v>
      </c>
      <c r="I1959">
        <v>46</v>
      </c>
      <c r="J1959" s="6">
        <f t="shared" si="145"/>
        <v>76.819999999999993</v>
      </c>
      <c r="K1959" t="s">
        <v>393</v>
      </c>
    </row>
    <row r="1960" spans="3:11" outlineLevel="2" x14ac:dyDescent="0.3">
      <c r="C1960" s="9">
        <v>45119</v>
      </c>
      <c r="D1960" t="s">
        <v>45</v>
      </c>
      <c r="E1960" t="s">
        <v>15</v>
      </c>
      <c r="F1960" t="s">
        <v>13</v>
      </c>
      <c r="G1960" t="s">
        <v>44</v>
      </c>
      <c r="H1960">
        <v>2540</v>
      </c>
      <c r="I1960">
        <v>15</v>
      </c>
      <c r="J1960" s="6">
        <f t="shared" si="145"/>
        <v>38.1</v>
      </c>
      <c r="K1960" t="s">
        <v>393</v>
      </c>
    </row>
    <row r="1961" spans="3:11" outlineLevel="2" x14ac:dyDescent="0.3">
      <c r="C1961" s="9">
        <v>45119</v>
      </c>
      <c r="D1961" t="s">
        <v>45</v>
      </c>
      <c r="E1961" t="s">
        <v>15</v>
      </c>
      <c r="F1961" t="s">
        <v>24</v>
      </c>
      <c r="G1961" t="s">
        <v>34</v>
      </c>
      <c r="H1961">
        <v>1670</v>
      </c>
      <c r="I1961">
        <v>53</v>
      </c>
      <c r="J1961" s="6">
        <f t="shared" si="145"/>
        <v>88.51</v>
      </c>
      <c r="K1961" t="s">
        <v>393</v>
      </c>
    </row>
    <row r="1962" spans="3:11" outlineLevel="2" x14ac:dyDescent="0.3">
      <c r="C1962" s="9">
        <v>45119</v>
      </c>
      <c r="D1962" t="s">
        <v>12</v>
      </c>
      <c r="E1962" t="s">
        <v>35</v>
      </c>
      <c r="F1962" t="s">
        <v>18</v>
      </c>
      <c r="G1962" t="s">
        <v>21</v>
      </c>
      <c r="H1962">
        <v>450</v>
      </c>
      <c r="I1962">
        <v>40</v>
      </c>
      <c r="J1962" s="6">
        <f t="shared" si="145"/>
        <v>18</v>
      </c>
      <c r="K1962" t="s">
        <v>393</v>
      </c>
    </row>
    <row r="1963" spans="3:11" outlineLevel="2" x14ac:dyDescent="0.3">
      <c r="C1963" s="9">
        <v>45119</v>
      </c>
      <c r="D1963" t="s">
        <v>45</v>
      </c>
      <c r="E1963" t="s">
        <v>35</v>
      </c>
      <c r="F1963" t="s">
        <v>24</v>
      </c>
      <c r="G1963" t="s">
        <v>30</v>
      </c>
      <c r="H1963">
        <v>2970</v>
      </c>
      <c r="I1963">
        <v>83</v>
      </c>
      <c r="J1963" s="6">
        <f t="shared" si="145"/>
        <v>246.51</v>
      </c>
      <c r="K1963" t="s">
        <v>393</v>
      </c>
    </row>
    <row r="1964" spans="3:11" outlineLevel="1" x14ac:dyDescent="0.3">
      <c r="C1964" s="13" t="s">
        <v>207</v>
      </c>
      <c r="J1964" s="6">
        <f>SUBTOTAL(9,J1956:J1963)</f>
        <v>588.28</v>
      </c>
      <c r="K1964" t="s">
        <v>393</v>
      </c>
    </row>
    <row r="1965" spans="3:11" outlineLevel="2" x14ac:dyDescent="0.3">
      <c r="C1965" s="9">
        <v>45120</v>
      </c>
      <c r="D1965" t="s">
        <v>12</v>
      </c>
      <c r="E1965" t="s">
        <v>20</v>
      </c>
      <c r="F1965" t="s">
        <v>18</v>
      </c>
      <c r="G1965" t="s">
        <v>37</v>
      </c>
      <c r="H1965">
        <v>890</v>
      </c>
      <c r="I1965">
        <v>74</v>
      </c>
      <c r="J1965" s="6">
        <f t="shared" ref="J1965:J1971" si="146">H1965*I1965/1000</f>
        <v>65.86</v>
      </c>
      <c r="K1965" t="s">
        <v>393</v>
      </c>
    </row>
    <row r="1966" spans="3:11" outlineLevel="2" x14ac:dyDescent="0.3">
      <c r="C1966" s="9">
        <v>45120</v>
      </c>
      <c r="D1966" t="s">
        <v>45</v>
      </c>
      <c r="E1966" t="s">
        <v>20</v>
      </c>
      <c r="F1966" t="s">
        <v>18</v>
      </c>
      <c r="G1966" t="s">
        <v>37</v>
      </c>
      <c r="H1966">
        <v>890</v>
      </c>
      <c r="I1966">
        <v>38</v>
      </c>
      <c r="J1966" s="6">
        <f t="shared" si="146"/>
        <v>33.82</v>
      </c>
      <c r="K1966" t="s">
        <v>393</v>
      </c>
    </row>
    <row r="1967" spans="3:11" outlineLevel="2" x14ac:dyDescent="0.3">
      <c r="C1967" s="9">
        <v>45120</v>
      </c>
      <c r="D1967" t="s">
        <v>17</v>
      </c>
      <c r="E1967" t="s">
        <v>20</v>
      </c>
      <c r="F1967" t="s">
        <v>24</v>
      </c>
      <c r="G1967" t="s">
        <v>42</v>
      </c>
      <c r="H1967">
        <v>3205</v>
      </c>
      <c r="I1967">
        <v>83</v>
      </c>
      <c r="J1967" s="6">
        <f t="shared" si="146"/>
        <v>266.01499999999999</v>
      </c>
      <c r="K1967" t="s">
        <v>393</v>
      </c>
    </row>
    <row r="1968" spans="3:11" outlineLevel="2" x14ac:dyDescent="0.3">
      <c r="C1968" s="9">
        <v>45120</v>
      </c>
      <c r="D1968" t="s">
        <v>8</v>
      </c>
      <c r="E1968" t="s">
        <v>33</v>
      </c>
      <c r="F1968" t="s">
        <v>10</v>
      </c>
      <c r="G1968" t="s">
        <v>23</v>
      </c>
      <c r="H1968">
        <v>640</v>
      </c>
      <c r="I1968">
        <v>42</v>
      </c>
      <c r="J1968" s="6">
        <f t="shared" si="146"/>
        <v>26.88</v>
      </c>
      <c r="K1968" t="s">
        <v>393</v>
      </c>
    </row>
    <row r="1969" spans="3:11" outlineLevel="2" x14ac:dyDescent="0.3">
      <c r="C1969" s="9">
        <v>45120</v>
      </c>
      <c r="D1969" t="s">
        <v>8</v>
      </c>
      <c r="E1969" t="s">
        <v>33</v>
      </c>
      <c r="F1969" t="s">
        <v>18</v>
      </c>
      <c r="G1969" t="s">
        <v>27</v>
      </c>
      <c r="H1969">
        <v>460</v>
      </c>
      <c r="I1969">
        <v>5</v>
      </c>
      <c r="J1969" s="6">
        <f t="shared" si="146"/>
        <v>2.2999999999999998</v>
      </c>
      <c r="K1969" t="s">
        <v>393</v>
      </c>
    </row>
    <row r="1970" spans="3:11" outlineLevel="2" x14ac:dyDescent="0.3">
      <c r="C1970" s="9">
        <v>45120</v>
      </c>
      <c r="D1970" t="s">
        <v>8</v>
      </c>
      <c r="E1970" t="s">
        <v>33</v>
      </c>
      <c r="F1970" t="s">
        <v>24</v>
      </c>
      <c r="G1970" t="s">
        <v>32</v>
      </c>
      <c r="H1970">
        <v>1505</v>
      </c>
      <c r="I1970">
        <v>22</v>
      </c>
      <c r="J1970" s="6">
        <f t="shared" si="146"/>
        <v>33.11</v>
      </c>
      <c r="K1970" t="s">
        <v>393</v>
      </c>
    </row>
    <row r="1971" spans="3:11" outlineLevel="2" x14ac:dyDescent="0.3">
      <c r="C1971" s="9">
        <v>45120</v>
      </c>
      <c r="D1971" t="s">
        <v>8</v>
      </c>
      <c r="E1971" t="s">
        <v>35</v>
      </c>
      <c r="F1971" t="s">
        <v>18</v>
      </c>
      <c r="G1971" t="s">
        <v>19</v>
      </c>
      <c r="H1971">
        <v>325</v>
      </c>
      <c r="I1971">
        <v>72</v>
      </c>
      <c r="J1971" s="6">
        <f t="shared" si="146"/>
        <v>23.4</v>
      </c>
      <c r="K1971" t="s">
        <v>393</v>
      </c>
    </row>
    <row r="1972" spans="3:11" outlineLevel="1" x14ac:dyDescent="0.3">
      <c r="C1972" s="13" t="s">
        <v>208</v>
      </c>
      <c r="J1972" s="6">
        <f>SUBTOTAL(9,J1965:J1971)</f>
        <v>451.38499999999999</v>
      </c>
      <c r="K1972" t="s">
        <v>393</v>
      </c>
    </row>
    <row r="1973" spans="3:11" outlineLevel="2" x14ac:dyDescent="0.3">
      <c r="C1973" s="9">
        <v>45121</v>
      </c>
      <c r="D1973" t="s">
        <v>17</v>
      </c>
      <c r="E1973" t="s">
        <v>20</v>
      </c>
      <c r="F1973" t="s">
        <v>10</v>
      </c>
      <c r="G1973" t="s">
        <v>11</v>
      </c>
      <c r="H1973">
        <v>705</v>
      </c>
      <c r="I1973">
        <v>86</v>
      </c>
      <c r="J1973" s="6">
        <f t="shared" ref="J1973:J1984" si="147">H1973*I1973/1000</f>
        <v>60.63</v>
      </c>
      <c r="K1973" t="s">
        <v>393</v>
      </c>
    </row>
    <row r="1974" spans="3:11" outlineLevel="2" x14ac:dyDescent="0.3">
      <c r="C1974" s="9">
        <v>45121</v>
      </c>
      <c r="D1974" t="s">
        <v>45</v>
      </c>
      <c r="E1974" t="s">
        <v>20</v>
      </c>
      <c r="F1974" t="s">
        <v>18</v>
      </c>
      <c r="G1974" t="s">
        <v>19</v>
      </c>
      <c r="H1974">
        <v>325</v>
      </c>
      <c r="I1974">
        <v>35</v>
      </c>
      <c r="J1974" s="6">
        <f t="shared" si="147"/>
        <v>11.375</v>
      </c>
      <c r="K1974" t="s">
        <v>393</v>
      </c>
    </row>
    <row r="1975" spans="3:11" outlineLevel="2" x14ac:dyDescent="0.3">
      <c r="C1975" s="9">
        <v>45121</v>
      </c>
      <c r="D1975" t="s">
        <v>45</v>
      </c>
      <c r="E1975" t="s">
        <v>20</v>
      </c>
      <c r="F1975" t="s">
        <v>24</v>
      </c>
      <c r="G1975" t="s">
        <v>36</v>
      </c>
      <c r="H1975">
        <v>2460</v>
      </c>
      <c r="I1975">
        <v>67</v>
      </c>
      <c r="J1975" s="6">
        <f t="shared" si="147"/>
        <v>164.82</v>
      </c>
      <c r="K1975" t="s">
        <v>393</v>
      </c>
    </row>
    <row r="1976" spans="3:11" outlineLevel="2" x14ac:dyDescent="0.3">
      <c r="C1976" s="9">
        <v>45121</v>
      </c>
      <c r="D1976" t="s">
        <v>8</v>
      </c>
      <c r="E1976" t="s">
        <v>9</v>
      </c>
      <c r="F1976" t="s">
        <v>24</v>
      </c>
      <c r="G1976" t="s">
        <v>36</v>
      </c>
      <c r="H1976">
        <v>2460</v>
      </c>
      <c r="I1976">
        <v>59</v>
      </c>
      <c r="J1976" s="6">
        <f t="shared" si="147"/>
        <v>145.13999999999999</v>
      </c>
      <c r="K1976" t="s">
        <v>393</v>
      </c>
    </row>
    <row r="1977" spans="3:11" outlineLevel="2" x14ac:dyDescent="0.3">
      <c r="C1977" s="9">
        <v>45121</v>
      </c>
      <c r="D1977" t="s">
        <v>45</v>
      </c>
      <c r="E1977" t="s">
        <v>26</v>
      </c>
      <c r="F1977" t="s">
        <v>10</v>
      </c>
      <c r="G1977" t="s">
        <v>11</v>
      </c>
      <c r="H1977">
        <v>705</v>
      </c>
      <c r="I1977">
        <v>83</v>
      </c>
      <c r="J1977" s="6">
        <f t="shared" si="147"/>
        <v>58.515000000000001</v>
      </c>
      <c r="K1977" t="s">
        <v>393</v>
      </c>
    </row>
    <row r="1978" spans="3:11" outlineLevel="2" x14ac:dyDescent="0.3">
      <c r="C1978" s="9">
        <v>45121</v>
      </c>
      <c r="D1978" t="s">
        <v>8</v>
      </c>
      <c r="E1978" t="s">
        <v>26</v>
      </c>
      <c r="F1978" t="s">
        <v>10</v>
      </c>
      <c r="G1978" t="s">
        <v>39</v>
      </c>
      <c r="H1978">
        <v>650</v>
      </c>
      <c r="I1978">
        <v>74</v>
      </c>
      <c r="J1978" s="6">
        <f t="shared" si="147"/>
        <v>48.1</v>
      </c>
      <c r="K1978" t="s">
        <v>393</v>
      </c>
    </row>
    <row r="1979" spans="3:11" outlineLevel="2" x14ac:dyDescent="0.3">
      <c r="C1979" s="9">
        <v>45121</v>
      </c>
      <c r="D1979" t="s">
        <v>12</v>
      </c>
      <c r="E1979" t="s">
        <v>15</v>
      </c>
      <c r="F1979" t="s">
        <v>10</v>
      </c>
      <c r="G1979" t="s">
        <v>23</v>
      </c>
      <c r="H1979">
        <v>640</v>
      </c>
      <c r="I1979">
        <v>65</v>
      </c>
      <c r="J1979" s="6">
        <f t="shared" si="147"/>
        <v>41.6</v>
      </c>
      <c r="K1979" t="s">
        <v>393</v>
      </c>
    </row>
    <row r="1980" spans="3:11" outlineLevel="2" x14ac:dyDescent="0.3">
      <c r="C1980" s="9">
        <v>45121</v>
      </c>
      <c r="D1980" t="s">
        <v>45</v>
      </c>
      <c r="E1980" t="s">
        <v>15</v>
      </c>
      <c r="F1980" t="s">
        <v>18</v>
      </c>
      <c r="G1980" t="s">
        <v>37</v>
      </c>
      <c r="H1980">
        <v>890</v>
      </c>
      <c r="I1980">
        <v>64</v>
      </c>
      <c r="J1980" s="6">
        <f t="shared" si="147"/>
        <v>56.96</v>
      </c>
      <c r="K1980" t="s">
        <v>393</v>
      </c>
    </row>
    <row r="1981" spans="3:11" outlineLevel="2" x14ac:dyDescent="0.3">
      <c r="C1981" s="9">
        <v>45121</v>
      </c>
      <c r="D1981" t="s">
        <v>12</v>
      </c>
      <c r="E1981" t="s">
        <v>33</v>
      </c>
      <c r="F1981" t="s">
        <v>10</v>
      </c>
      <c r="G1981" t="s">
        <v>39</v>
      </c>
      <c r="H1981">
        <v>650</v>
      </c>
      <c r="I1981">
        <v>29</v>
      </c>
      <c r="J1981" s="6">
        <f t="shared" si="147"/>
        <v>18.850000000000001</v>
      </c>
      <c r="K1981" t="s">
        <v>393</v>
      </c>
    </row>
    <row r="1982" spans="3:11" outlineLevel="2" x14ac:dyDescent="0.3">
      <c r="C1982" s="9">
        <v>45121</v>
      </c>
      <c r="D1982" t="s">
        <v>8</v>
      </c>
      <c r="E1982" t="s">
        <v>35</v>
      </c>
      <c r="F1982" t="s">
        <v>18</v>
      </c>
      <c r="G1982" t="s">
        <v>37</v>
      </c>
      <c r="H1982">
        <v>890</v>
      </c>
      <c r="I1982">
        <v>93</v>
      </c>
      <c r="J1982" s="6">
        <f t="shared" si="147"/>
        <v>82.77</v>
      </c>
      <c r="K1982" t="s">
        <v>393</v>
      </c>
    </row>
    <row r="1983" spans="3:11" outlineLevel="2" x14ac:dyDescent="0.3">
      <c r="C1983" s="9">
        <v>45121</v>
      </c>
      <c r="D1983" t="s">
        <v>12</v>
      </c>
      <c r="E1983" t="s">
        <v>35</v>
      </c>
      <c r="F1983" t="s">
        <v>18</v>
      </c>
      <c r="G1983" t="s">
        <v>21</v>
      </c>
      <c r="H1983">
        <v>450</v>
      </c>
      <c r="I1983">
        <v>53</v>
      </c>
      <c r="J1983" s="6">
        <f t="shared" si="147"/>
        <v>23.85</v>
      </c>
      <c r="K1983" t="s">
        <v>393</v>
      </c>
    </row>
    <row r="1984" spans="3:11" outlineLevel="2" x14ac:dyDescent="0.3">
      <c r="C1984" s="9">
        <v>45121</v>
      </c>
      <c r="D1984" t="s">
        <v>8</v>
      </c>
      <c r="E1984" t="s">
        <v>35</v>
      </c>
      <c r="F1984" t="s">
        <v>24</v>
      </c>
      <c r="G1984" t="s">
        <v>30</v>
      </c>
      <c r="H1984">
        <v>2970</v>
      </c>
      <c r="I1984">
        <v>72</v>
      </c>
      <c r="J1984" s="6">
        <f t="shared" si="147"/>
        <v>213.84</v>
      </c>
      <c r="K1984" t="s">
        <v>393</v>
      </c>
    </row>
    <row r="1985" spans="3:11" outlineLevel="1" x14ac:dyDescent="0.3">
      <c r="C1985" s="13" t="s">
        <v>209</v>
      </c>
      <c r="J1985" s="6">
        <f>SUBTOTAL(9,J1973:J1984)</f>
        <v>926.45</v>
      </c>
      <c r="K1985" t="s">
        <v>393</v>
      </c>
    </row>
    <row r="1986" spans="3:11" outlineLevel="2" x14ac:dyDescent="0.3">
      <c r="C1986" s="9">
        <v>45122</v>
      </c>
      <c r="D1986" t="s">
        <v>45</v>
      </c>
      <c r="E1986" t="s">
        <v>20</v>
      </c>
      <c r="F1986" t="s">
        <v>24</v>
      </c>
      <c r="G1986" t="s">
        <v>25</v>
      </c>
      <c r="H1986">
        <v>1760</v>
      </c>
      <c r="I1986">
        <v>33</v>
      </c>
      <c r="J1986" s="6">
        <f t="shared" ref="J1986:J1993" si="148">H1986*I1986/1000</f>
        <v>58.08</v>
      </c>
      <c r="K1986" t="s">
        <v>393</v>
      </c>
    </row>
    <row r="1987" spans="3:11" outlineLevel="2" x14ac:dyDescent="0.3">
      <c r="C1987" s="9">
        <v>45122</v>
      </c>
      <c r="D1987" t="s">
        <v>8</v>
      </c>
      <c r="E1987" t="s">
        <v>26</v>
      </c>
      <c r="F1987" t="s">
        <v>10</v>
      </c>
      <c r="G1987" t="s">
        <v>41</v>
      </c>
      <c r="H1987">
        <v>650</v>
      </c>
      <c r="I1987">
        <v>44</v>
      </c>
      <c r="J1987" s="6">
        <f t="shared" si="148"/>
        <v>28.6</v>
      </c>
      <c r="K1987" t="s">
        <v>393</v>
      </c>
    </row>
    <row r="1988" spans="3:11" outlineLevel="2" x14ac:dyDescent="0.3">
      <c r="C1988" s="9">
        <v>45122</v>
      </c>
      <c r="D1988" t="s">
        <v>12</v>
      </c>
      <c r="E1988" t="s">
        <v>15</v>
      </c>
      <c r="F1988" t="s">
        <v>18</v>
      </c>
      <c r="G1988" t="s">
        <v>28</v>
      </c>
      <c r="H1988">
        <v>690</v>
      </c>
      <c r="I1988">
        <v>33</v>
      </c>
      <c r="J1988" s="6">
        <f t="shared" si="148"/>
        <v>22.77</v>
      </c>
      <c r="K1988" t="s">
        <v>393</v>
      </c>
    </row>
    <row r="1989" spans="3:11" outlineLevel="2" x14ac:dyDescent="0.3">
      <c r="C1989" s="9">
        <v>45122</v>
      </c>
      <c r="D1989" t="s">
        <v>45</v>
      </c>
      <c r="E1989" t="s">
        <v>15</v>
      </c>
      <c r="F1989" t="s">
        <v>13</v>
      </c>
      <c r="G1989" t="s">
        <v>29</v>
      </c>
      <c r="H1989">
        <v>1230</v>
      </c>
      <c r="I1989">
        <v>51</v>
      </c>
      <c r="J1989" s="6">
        <f t="shared" si="148"/>
        <v>62.73</v>
      </c>
      <c r="K1989" t="s">
        <v>393</v>
      </c>
    </row>
    <row r="1990" spans="3:11" outlineLevel="2" x14ac:dyDescent="0.3">
      <c r="C1990" s="9">
        <v>45122</v>
      </c>
      <c r="D1990" t="s">
        <v>17</v>
      </c>
      <c r="E1990" t="s">
        <v>33</v>
      </c>
      <c r="F1990" t="s">
        <v>10</v>
      </c>
      <c r="G1990" t="s">
        <v>41</v>
      </c>
      <c r="H1990">
        <v>650</v>
      </c>
      <c r="I1990">
        <v>34</v>
      </c>
      <c r="J1990" s="6">
        <f t="shared" si="148"/>
        <v>22.1</v>
      </c>
      <c r="K1990" t="s">
        <v>393</v>
      </c>
    </row>
    <row r="1991" spans="3:11" outlineLevel="2" x14ac:dyDescent="0.3">
      <c r="C1991" s="9">
        <v>45122</v>
      </c>
      <c r="D1991" t="s">
        <v>12</v>
      </c>
      <c r="E1991" t="s">
        <v>33</v>
      </c>
      <c r="F1991" t="s">
        <v>24</v>
      </c>
      <c r="G1991" t="s">
        <v>25</v>
      </c>
      <c r="H1991">
        <v>1760</v>
      </c>
      <c r="I1991">
        <v>57</v>
      </c>
      <c r="J1991" s="6">
        <f t="shared" si="148"/>
        <v>100.32</v>
      </c>
      <c r="K1991" t="s">
        <v>393</v>
      </c>
    </row>
    <row r="1992" spans="3:11" outlineLevel="2" x14ac:dyDescent="0.3">
      <c r="C1992" s="9">
        <v>45122</v>
      </c>
      <c r="D1992" t="s">
        <v>45</v>
      </c>
      <c r="E1992" t="s">
        <v>35</v>
      </c>
      <c r="F1992" t="s">
        <v>10</v>
      </c>
      <c r="G1992" t="s">
        <v>11</v>
      </c>
      <c r="H1992">
        <v>705</v>
      </c>
      <c r="I1992">
        <v>38</v>
      </c>
      <c r="J1992" s="6">
        <f t="shared" si="148"/>
        <v>26.79</v>
      </c>
      <c r="K1992" t="s">
        <v>393</v>
      </c>
    </row>
    <row r="1993" spans="3:11" outlineLevel="2" x14ac:dyDescent="0.3">
      <c r="C1993" s="9">
        <v>45122</v>
      </c>
      <c r="D1993" t="s">
        <v>17</v>
      </c>
      <c r="E1993" t="s">
        <v>35</v>
      </c>
      <c r="F1993" t="s">
        <v>13</v>
      </c>
      <c r="G1993" t="s">
        <v>38</v>
      </c>
      <c r="H1993">
        <v>2400</v>
      </c>
      <c r="I1993">
        <v>10</v>
      </c>
      <c r="J1993" s="6">
        <f t="shared" si="148"/>
        <v>24</v>
      </c>
      <c r="K1993" t="s">
        <v>393</v>
      </c>
    </row>
    <row r="1994" spans="3:11" outlineLevel="1" x14ac:dyDescent="0.3">
      <c r="C1994" s="13" t="s">
        <v>210</v>
      </c>
      <c r="J1994" s="6">
        <f>SUBTOTAL(9,J1986:J1993)</f>
        <v>345.39000000000004</v>
      </c>
      <c r="K1994" t="s">
        <v>393</v>
      </c>
    </row>
    <row r="1995" spans="3:11" outlineLevel="2" x14ac:dyDescent="0.3">
      <c r="C1995" s="9">
        <v>45123</v>
      </c>
      <c r="D1995" t="s">
        <v>17</v>
      </c>
      <c r="E1995" t="s">
        <v>20</v>
      </c>
      <c r="F1995" t="s">
        <v>10</v>
      </c>
      <c r="G1995" t="s">
        <v>41</v>
      </c>
      <c r="H1995">
        <v>650</v>
      </c>
      <c r="I1995">
        <v>7</v>
      </c>
      <c r="J1995" s="6">
        <f t="shared" ref="J1995:J2007" si="149">H1995*I1995/1000</f>
        <v>4.55</v>
      </c>
      <c r="K1995" t="s">
        <v>393</v>
      </c>
    </row>
    <row r="1996" spans="3:11" outlineLevel="2" x14ac:dyDescent="0.3">
      <c r="C1996" s="9">
        <v>45123</v>
      </c>
      <c r="D1996" t="s">
        <v>45</v>
      </c>
      <c r="E1996" t="s">
        <v>20</v>
      </c>
      <c r="F1996" t="s">
        <v>18</v>
      </c>
      <c r="G1996" t="s">
        <v>37</v>
      </c>
      <c r="H1996">
        <v>890</v>
      </c>
      <c r="I1996">
        <v>19</v>
      </c>
      <c r="J1996" s="6">
        <f t="shared" si="149"/>
        <v>16.91</v>
      </c>
      <c r="K1996" t="s">
        <v>393</v>
      </c>
    </row>
    <row r="1997" spans="3:11" outlineLevel="2" x14ac:dyDescent="0.3">
      <c r="C1997" s="9">
        <v>45123</v>
      </c>
      <c r="D1997" t="s">
        <v>8</v>
      </c>
      <c r="E1997" t="s">
        <v>20</v>
      </c>
      <c r="F1997" t="s">
        <v>24</v>
      </c>
      <c r="G1997" t="s">
        <v>25</v>
      </c>
      <c r="H1997">
        <v>1760</v>
      </c>
      <c r="I1997">
        <v>6</v>
      </c>
      <c r="J1997" s="6">
        <f t="shared" si="149"/>
        <v>10.56</v>
      </c>
      <c r="K1997" t="s">
        <v>393</v>
      </c>
    </row>
    <row r="1998" spans="3:11" outlineLevel="2" x14ac:dyDescent="0.3">
      <c r="C1998" s="9">
        <v>45123</v>
      </c>
      <c r="D1998" t="s">
        <v>8</v>
      </c>
      <c r="E1998" t="s">
        <v>9</v>
      </c>
      <c r="F1998" t="s">
        <v>10</v>
      </c>
      <c r="G1998" t="s">
        <v>11</v>
      </c>
      <c r="H1998">
        <v>705</v>
      </c>
      <c r="I1998">
        <v>6</v>
      </c>
      <c r="J1998" s="6">
        <f t="shared" si="149"/>
        <v>4.2300000000000004</v>
      </c>
      <c r="K1998" t="s">
        <v>393</v>
      </c>
    </row>
    <row r="1999" spans="3:11" outlineLevel="2" x14ac:dyDescent="0.3">
      <c r="C1999" s="9">
        <v>45123</v>
      </c>
      <c r="D1999" t="s">
        <v>8</v>
      </c>
      <c r="E1999" t="s">
        <v>9</v>
      </c>
      <c r="F1999" t="s">
        <v>18</v>
      </c>
      <c r="G1999" t="s">
        <v>31</v>
      </c>
      <c r="H1999">
        <v>715</v>
      </c>
      <c r="I1999">
        <v>13</v>
      </c>
      <c r="J1999" s="6">
        <f t="shared" si="149"/>
        <v>9.2949999999999999</v>
      </c>
      <c r="K1999" t="s">
        <v>393</v>
      </c>
    </row>
    <row r="2000" spans="3:11" outlineLevel="2" x14ac:dyDescent="0.3">
      <c r="C2000" s="9">
        <v>45123</v>
      </c>
      <c r="D2000" t="s">
        <v>45</v>
      </c>
      <c r="E2000" t="s">
        <v>26</v>
      </c>
      <c r="F2000" t="s">
        <v>10</v>
      </c>
      <c r="G2000" t="s">
        <v>11</v>
      </c>
      <c r="H2000">
        <v>705</v>
      </c>
      <c r="I2000">
        <v>14</v>
      </c>
      <c r="J2000" s="6">
        <f t="shared" si="149"/>
        <v>9.8699999999999992</v>
      </c>
      <c r="K2000" t="s">
        <v>393</v>
      </c>
    </row>
    <row r="2001" spans="3:11" outlineLevel="2" x14ac:dyDescent="0.3">
      <c r="C2001" s="9">
        <v>45123</v>
      </c>
      <c r="D2001" t="s">
        <v>45</v>
      </c>
      <c r="E2001" t="s">
        <v>26</v>
      </c>
      <c r="F2001" t="s">
        <v>18</v>
      </c>
      <c r="G2001" t="s">
        <v>37</v>
      </c>
      <c r="H2001">
        <v>890</v>
      </c>
      <c r="I2001">
        <v>44</v>
      </c>
      <c r="J2001" s="6">
        <f t="shared" si="149"/>
        <v>39.159999999999997</v>
      </c>
      <c r="K2001" t="s">
        <v>393</v>
      </c>
    </row>
    <row r="2002" spans="3:11" outlineLevel="2" x14ac:dyDescent="0.3">
      <c r="C2002" s="9">
        <v>45123</v>
      </c>
      <c r="D2002" t="s">
        <v>12</v>
      </c>
      <c r="E2002" t="s">
        <v>15</v>
      </c>
      <c r="F2002" t="s">
        <v>13</v>
      </c>
      <c r="G2002" t="s">
        <v>43</v>
      </c>
      <c r="H2002">
        <v>1420</v>
      </c>
      <c r="I2002">
        <v>34</v>
      </c>
      <c r="J2002" s="6">
        <f t="shared" si="149"/>
        <v>48.28</v>
      </c>
      <c r="K2002" t="s">
        <v>393</v>
      </c>
    </row>
    <row r="2003" spans="3:11" outlineLevel="2" x14ac:dyDescent="0.3">
      <c r="C2003" s="9">
        <v>45123</v>
      </c>
      <c r="D2003" t="s">
        <v>45</v>
      </c>
      <c r="E2003" t="s">
        <v>33</v>
      </c>
      <c r="F2003" t="s">
        <v>10</v>
      </c>
      <c r="G2003" t="s">
        <v>23</v>
      </c>
      <c r="H2003">
        <v>640</v>
      </c>
      <c r="I2003">
        <v>85</v>
      </c>
      <c r="J2003" s="6">
        <f t="shared" si="149"/>
        <v>54.4</v>
      </c>
      <c r="K2003" t="s">
        <v>393</v>
      </c>
    </row>
    <row r="2004" spans="3:11" outlineLevel="2" x14ac:dyDescent="0.3">
      <c r="C2004" s="9">
        <v>45123</v>
      </c>
      <c r="D2004" t="s">
        <v>45</v>
      </c>
      <c r="E2004" t="s">
        <v>33</v>
      </c>
      <c r="F2004" t="s">
        <v>18</v>
      </c>
      <c r="G2004" t="s">
        <v>19</v>
      </c>
      <c r="H2004">
        <v>325</v>
      </c>
      <c r="I2004">
        <v>89</v>
      </c>
      <c r="J2004" s="6">
        <f t="shared" si="149"/>
        <v>28.925000000000001</v>
      </c>
      <c r="K2004" t="s">
        <v>393</v>
      </c>
    </row>
    <row r="2005" spans="3:11" outlineLevel="2" x14ac:dyDescent="0.3">
      <c r="C2005" s="9">
        <v>45123</v>
      </c>
      <c r="D2005" t="s">
        <v>17</v>
      </c>
      <c r="E2005" t="s">
        <v>33</v>
      </c>
      <c r="F2005" t="s">
        <v>24</v>
      </c>
      <c r="G2005" t="s">
        <v>32</v>
      </c>
      <c r="H2005">
        <v>1505</v>
      </c>
      <c r="I2005">
        <v>53</v>
      </c>
      <c r="J2005" s="6">
        <f t="shared" si="149"/>
        <v>79.765000000000001</v>
      </c>
      <c r="K2005" t="s">
        <v>393</v>
      </c>
    </row>
    <row r="2006" spans="3:11" outlineLevel="2" x14ac:dyDescent="0.3">
      <c r="C2006" s="9">
        <v>45123</v>
      </c>
      <c r="D2006" t="s">
        <v>8</v>
      </c>
      <c r="E2006" t="s">
        <v>35</v>
      </c>
      <c r="F2006" t="s">
        <v>10</v>
      </c>
      <c r="G2006" t="s">
        <v>23</v>
      </c>
      <c r="H2006">
        <v>640</v>
      </c>
      <c r="I2006">
        <v>66</v>
      </c>
      <c r="J2006" s="6">
        <f t="shared" si="149"/>
        <v>42.24</v>
      </c>
      <c r="K2006" t="s">
        <v>393</v>
      </c>
    </row>
    <row r="2007" spans="3:11" outlineLevel="2" x14ac:dyDescent="0.3">
      <c r="C2007" s="9">
        <v>45123</v>
      </c>
      <c r="D2007" t="s">
        <v>17</v>
      </c>
      <c r="E2007" t="s">
        <v>35</v>
      </c>
      <c r="F2007" t="s">
        <v>24</v>
      </c>
      <c r="G2007" t="s">
        <v>32</v>
      </c>
      <c r="H2007">
        <v>1505</v>
      </c>
      <c r="I2007">
        <v>41</v>
      </c>
      <c r="J2007" s="6">
        <f t="shared" si="149"/>
        <v>61.704999999999998</v>
      </c>
      <c r="K2007" t="s">
        <v>393</v>
      </c>
    </row>
    <row r="2008" spans="3:11" outlineLevel="1" x14ac:dyDescent="0.3">
      <c r="C2008" s="13" t="s">
        <v>211</v>
      </c>
      <c r="J2008" s="6">
        <f>SUBTOTAL(9,J1995:J2007)</f>
        <v>409.89</v>
      </c>
      <c r="K2008" t="s">
        <v>393</v>
      </c>
    </row>
    <row r="2009" spans="3:11" outlineLevel="2" x14ac:dyDescent="0.3">
      <c r="C2009" s="9">
        <v>45124</v>
      </c>
      <c r="D2009" t="s">
        <v>8</v>
      </c>
      <c r="E2009" t="s">
        <v>20</v>
      </c>
      <c r="F2009" t="s">
        <v>10</v>
      </c>
      <c r="G2009" t="s">
        <v>16</v>
      </c>
      <c r="H2009">
        <v>1380</v>
      </c>
      <c r="I2009">
        <v>72</v>
      </c>
      <c r="J2009" s="6">
        <f t="shared" ref="J2009:J2021" si="150">H2009*I2009/1000</f>
        <v>99.36</v>
      </c>
      <c r="K2009" t="s">
        <v>393</v>
      </c>
    </row>
    <row r="2010" spans="3:11" outlineLevel="2" x14ac:dyDescent="0.3">
      <c r="C2010" s="9">
        <v>45124</v>
      </c>
      <c r="D2010" t="s">
        <v>8</v>
      </c>
      <c r="E2010" t="s">
        <v>9</v>
      </c>
      <c r="F2010" t="s">
        <v>24</v>
      </c>
      <c r="G2010" t="s">
        <v>25</v>
      </c>
      <c r="H2010">
        <v>1760</v>
      </c>
      <c r="I2010">
        <v>39</v>
      </c>
      <c r="J2010" s="6">
        <f t="shared" si="150"/>
        <v>68.64</v>
      </c>
      <c r="K2010" t="s">
        <v>393</v>
      </c>
    </row>
    <row r="2011" spans="3:11" outlineLevel="2" x14ac:dyDescent="0.3">
      <c r="C2011" s="9">
        <v>45124</v>
      </c>
      <c r="D2011" t="s">
        <v>45</v>
      </c>
      <c r="E2011" t="s">
        <v>26</v>
      </c>
      <c r="F2011" t="s">
        <v>10</v>
      </c>
      <c r="G2011" t="s">
        <v>16</v>
      </c>
      <c r="H2011">
        <v>1380</v>
      </c>
      <c r="I2011">
        <v>61</v>
      </c>
      <c r="J2011" s="6">
        <f t="shared" si="150"/>
        <v>84.18</v>
      </c>
      <c r="K2011" t="s">
        <v>393</v>
      </c>
    </row>
    <row r="2012" spans="3:11" outlineLevel="2" x14ac:dyDescent="0.3">
      <c r="C2012" s="9">
        <v>45124</v>
      </c>
      <c r="D2012" t="s">
        <v>17</v>
      </c>
      <c r="E2012" t="s">
        <v>26</v>
      </c>
      <c r="F2012" t="s">
        <v>10</v>
      </c>
      <c r="G2012" t="s">
        <v>16</v>
      </c>
      <c r="H2012">
        <v>1380</v>
      </c>
      <c r="I2012">
        <v>55</v>
      </c>
      <c r="J2012" s="6">
        <f t="shared" si="150"/>
        <v>75.900000000000006</v>
      </c>
      <c r="K2012" t="s">
        <v>393</v>
      </c>
    </row>
    <row r="2013" spans="3:11" outlineLevel="2" x14ac:dyDescent="0.3">
      <c r="C2013" s="9">
        <v>45124</v>
      </c>
      <c r="D2013" t="s">
        <v>45</v>
      </c>
      <c r="E2013" t="s">
        <v>26</v>
      </c>
      <c r="F2013" t="s">
        <v>18</v>
      </c>
      <c r="G2013" t="s">
        <v>27</v>
      </c>
      <c r="H2013">
        <v>460</v>
      </c>
      <c r="I2013">
        <v>78</v>
      </c>
      <c r="J2013" s="6">
        <f t="shared" si="150"/>
        <v>35.880000000000003</v>
      </c>
      <c r="K2013" t="s">
        <v>393</v>
      </c>
    </row>
    <row r="2014" spans="3:11" outlineLevel="2" x14ac:dyDescent="0.3">
      <c r="C2014" s="9">
        <v>45124</v>
      </c>
      <c r="D2014" t="s">
        <v>45</v>
      </c>
      <c r="E2014" t="s">
        <v>26</v>
      </c>
      <c r="F2014" t="s">
        <v>13</v>
      </c>
      <c r="G2014" t="s">
        <v>22</v>
      </c>
      <c r="H2014">
        <v>930</v>
      </c>
      <c r="I2014">
        <v>87</v>
      </c>
      <c r="J2014" s="6">
        <f t="shared" si="150"/>
        <v>80.91</v>
      </c>
      <c r="K2014" t="s">
        <v>393</v>
      </c>
    </row>
    <row r="2015" spans="3:11" outlineLevel="2" x14ac:dyDescent="0.3">
      <c r="C2015" s="9">
        <v>45124</v>
      </c>
      <c r="D2015" t="s">
        <v>12</v>
      </c>
      <c r="E2015" t="s">
        <v>26</v>
      </c>
      <c r="F2015" t="s">
        <v>13</v>
      </c>
      <c r="G2015" t="s">
        <v>44</v>
      </c>
      <c r="H2015">
        <v>2540</v>
      </c>
      <c r="I2015">
        <v>69</v>
      </c>
      <c r="J2015" s="6">
        <f t="shared" si="150"/>
        <v>175.26</v>
      </c>
      <c r="K2015" t="s">
        <v>393</v>
      </c>
    </row>
    <row r="2016" spans="3:11" outlineLevel="2" x14ac:dyDescent="0.3">
      <c r="C2016" s="9">
        <v>45124</v>
      </c>
      <c r="D2016" t="s">
        <v>45</v>
      </c>
      <c r="E2016" t="s">
        <v>15</v>
      </c>
      <c r="F2016" t="s">
        <v>18</v>
      </c>
      <c r="G2016" t="s">
        <v>31</v>
      </c>
      <c r="H2016">
        <v>715</v>
      </c>
      <c r="I2016">
        <v>97</v>
      </c>
      <c r="J2016" s="6">
        <f t="shared" si="150"/>
        <v>69.355000000000004</v>
      </c>
      <c r="K2016" t="s">
        <v>393</v>
      </c>
    </row>
    <row r="2017" spans="3:11" outlineLevel="2" x14ac:dyDescent="0.3">
      <c r="C2017" s="9">
        <v>45124</v>
      </c>
      <c r="D2017" t="s">
        <v>17</v>
      </c>
      <c r="E2017" t="s">
        <v>15</v>
      </c>
      <c r="F2017" t="s">
        <v>13</v>
      </c>
      <c r="G2017" t="s">
        <v>43</v>
      </c>
      <c r="H2017">
        <v>1420</v>
      </c>
      <c r="I2017">
        <v>44</v>
      </c>
      <c r="J2017" s="6">
        <f t="shared" si="150"/>
        <v>62.48</v>
      </c>
      <c r="K2017" t="s">
        <v>393</v>
      </c>
    </row>
    <row r="2018" spans="3:11" outlineLevel="2" x14ac:dyDescent="0.3">
      <c r="C2018" s="9">
        <v>45124</v>
      </c>
      <c r="D2018" t="s">
        <v>8</v>
      </c>
      <c r="E2018" t="s">
        <v>15</v>
      </c>
      <c r="F2018" t="s">
        <v>13</v>
      </c>
      <c r="G2018" t="s">
        <v>29</v>
      </c>
      <c r="H2018">
        <v>1230</v>
      </c>
      <c r="I2018">
        <v>48</v>
      </c>
      <c r="J2018" s="6">
        <f t="shared" si="150"/>
        <v>59.04</v>
      </c>
      <c r="K2018" t="s">
        <v>393</v>
      </c>
    </row>
    <row r="2019" spans="3:11" outlineLevel="2" x14ac:dyDescent="0.3">
      <c r="C2019" s="9">
        <v>45124</v>
      </c>
      <c r="D2019" t="s">
        <v>8</v>
      </c>
      <c r="E2019" t="s">
        <v>15</v>
      </c>
      <c r="F2019" t="s">
        <v>24</v>
      </c>
      <c r="G2019" t="s">
        <v>25</v>
      </c>
      <c r="H2019">
        <v>1760</v>
      </c>
      <c r="I2019">
        <v>14</v>
      </c>
      <c r="J2019" s="6">
        <f t="shared" si="150"/>
        <v>24.64</v>
      </c>
      <c r="K2019" t="s">
        <v>393</v>
      </c>
    </row>
    <row r="2020" spans="3:11" outlineLevel="2" x14ac:dyDescent="0.3">
      <c r="C2020" s="9">
        <v>45124</v>
      </c>
      <c r="D2020" t="s">
        <v>12</v>
      </c>
      <c r="E2020" t="s">
        <v>33</v>
      </c>
      <c r="F2020" t="s">
        <v>18</v>
      </c>
      <c r="G2020" t="s">
        <v>31</v>
      </c>
      <c r="H2020">
        <v>715</v>
      </c>
      <c r="I2020">
        <v>76</v>
      </c>
      <c r="J2020" s="6">
        <f t="shared" si="150"/>
        <v>54.34</v>
      </c>
      <c r="K2020" t="s">
        <v>393</v>
      </c>
    </row>
    <row r="2021" spans="3:11" outlineLevel="2" x14ac:dyDescent="0.3">
      <c r="C2021" s="9">
        <v>45124</v>
      </c>
      <c r="D2021" t="s">
        <v>8</v>
      </c>
      <c r="E2021" t="s">
        <v>35</v>
      </c>
      <c r="F2021" t="s">
        <v>18</v>
      </c>
      <c r="G2021" t="s">
        <v>21</v>
      </c>
      <c r="H2021">
        <v>450</v>
      </c>
      <c r="I2021">
        <v>27</v>
      </c>
      <c r="J2021" s="6">
        <f t="shared" si="150"/>
        <v>12.15</v>
      </c>
      <c r="K2021" t="s">
        <v>393</v>
      </c>
    </row>
    <row r="2022" spans="3:11" outlineLevel="1" x14ac:dyDescent="0.3">
      <c r="C2022" s="13" t="s">
        <v>212</v>
      </c>
      <c r="J2022" s="6">
        <f>SUBTOTAL(9,J2009:J2021)</f>
        <v>902.13499999999999</v>
      </c>
      <c r="K2022" t="s">
        <v>393</v>
      </c>
    </row>
    <row r="2023" spans="3:11" outlineLevel="2" x14ac:dyDescent="0.3">
      <c r="C2023" s="9">
        <v>45125</v>
      </c>
      <c r="D2023" t="s">
        <v>12</v>
      </c>
      <c r="E2023" t="s">
        <v>20</v>
      </c>
      <c r="F2023" t="s">
        <v>10</v>
      </c>
      <c r="G2023" t="s">
        <v>16</v>
      </c>
      <c r="H2023">
        <v>1380</v>
      </c>
      <c r="I2023">
        <v>46</v>
      </c>
      <c r="J2023" s="6">
        <f t="shared" ref="J2023:J2033" si="151">H2023*I2023/1000</f>
        <v>63.48</v>
      </c>
      <c r="K2023" t="s">
        <v>393</v>
      </c>
    </row>
    <row r="2024" spans="3:11" outlineLevel="2" x14ac:dyDescent="0.3">
      <c r="C2024" s="9">
        <v>45125</v>
      </c>
      <c r="D2024" t="s">
        <v>45</v>
      </c>
      <c r="E2024" t="s">
        <v>20</v>
      </c>
      <c r="F2024" t="s">
        <v>13</v>
      </c>
      <c r="G2024" t="s">
        <v>43</v>
      </c>
      <c r="H2024">
        <v>1420</v>
      </c>
      <c r="I2024">
        <v>44</v>
      </c>
      <c r="J2024" s="6">
        <f t="shared" si="151"/>
        <v>62.48</v>
      </c>
      <c r="K2024" t="s">
        <v>393</v>
      </c>
    </row>
    <row r="2025" spans="3:11" outlineLevel="2" x14ac:dyDescent="0.3">
      <c r="C2025" s="9">
        <v>45125</v>
      </c>
      <c r="D2025" t="s">
        <v>12</v>
      </c>
      <c r="E2025" t="s">
        <v>9</v>
      </c>
      <c r="F2025" t="s">
        <v>24</v>
      </c>
      <c r="G2025" t="s">
        <v>36</v>
      </c>
      <c r="H2025">
        <v>2460</v>
      </c>
      <c r="I2025">
        <v>78</v>
      </c>
      <c r="J2025" s="6">
        <f t="shared" si="151"/>
        <v>191.88</v>
      </c>
      <c r="K2025" t="s">
        <v>393</v>
      </c>
    </row>
    <row r="2026" spans="3:11" outlineLevel="2" x14ac:dyDescent="0.3">
      <c r="C2026" s="9">
        <v>45125</v>
      </c>
      <c r="D2026" t="s">
        <v>17</v>
      </c>
      <c r="E2026" t="s">
        <v>9</v>
      </c>
      <c r="F2026" t="s">
        <v>24</v>
      </c>
      <c r="G2026" t="s">
        <v>30</v>
      </c>
      <c r="H2026">
        <v>2970</v>
      </c>
      <c r="I2026">
        <v>26</v>
      </c>
      <c r="J2026" s="6">
        <f t="shared" si="151"/>
        <v>77.22</v>
      </c>
      <c r="K2026" t="s">
        <v>393</v>
      </c>
    </row>
    <row r="2027" spans="3:11" outlineLevel="2" x14ac:dyDescent="0.3">
      <c r="C2027" s="9">
        <v>45125</v>
      </c>
      <c r="D2027" t="s">
        <v>45</v>
      </c>
      <c r="E2027" t="s">
        <v>26</v>
      </c>
      <c r="F2027" t="s">
        <v>13</v>
      </c>
      <c r="G2027" t="s">
        <v>14</v>
      </c>
      <c r="H2027">
        <v>1320</v>
      </c>
      <c r="I2027">
        <v>88</v>
      </c>
      <c r="J2027" s="6">
        <f t="shared" si="151"/>
        <v>116.16</v>
      </c>
      <c r="K2027" t="s">
        <v>393</v>
      </c>
    </row>
    <row r="2028" spans="3:11" outlineLevel="2" x14ac:dyDescent="0.3">
      <c r="C2028" s="9">
        <v>45125</v>
      </c>
      <c r="D2028" t="s">
        <v>12</v>
      </c>
      <c r="E2028" t="s">
        <v>26</v>
      </c>
      <c r="F2028" t="s">
        <v>24</v>
      </c>
      <c r="G2028" t="s">
        <v>36</v>
      </c>
      <c r="H2028">
        <v>2460</v>
      </c>
      <c r="I2028">
        <v>41</v>
      </c>
      <c r="J2028" s="6">
        <f t="shared" si="151"/>
        <v>100.86</v>
      </c>
      <c r="K2028" t="s">
        <v>393</v>
      </c>
    </row>
    <row r="2029" spans="3:11" outlineLevel="2" x14ac:dyDescent="0.3">
      <c r="C2029" s="9">
        <v>45125</v>
      </c>
      <c r="D2029" t="s">
        <v>8</v>
      </c>
      <c r="E2029" t="s">
        <v>15</v>
      </c>
      <c r="F2029" t="s">
        <v>10</v>
      </c>
      <c r="G2029" t="s">
        <v>39</v>
      </c>
      <c r="H2029">
        <v>650</v>
      </c>
      <c r="I2029">
        <v>74</v>
      </c>
      <c r="J2029" s="6">
        <f t="shared" si="151"/>
        <v>48.1</v>
      </c>
      <c r="K2029" t="s">
        <v>393</v>
      </c>
    </row>
    <row r="2030" spans="3:11" outlineLevel="2" x14ac:dyDescent="0.3">
      <c r="C2030" s="9">
        <v>45125</v>
      </c>
      <c r="D2030" t="s">
        <v>8</v>
      </c>
      <c r="E2030" t="s">
        <v>15</v>
      </c>
      <c r="F2030" t="s">
        <v>10</v>
      </c>
      <c r="G2030" t="s">
        <v>39</v>
      </c>
      <c r="H2030">
        <v>650</v>
      </c>
      <c r="I2030">
        <v>75</v>
      </c>
      <c r="J2030" s="6">
        <f t="shared" si="151"/>
        <v>48.75</v>
      </c>
      <c r="K2030" t="s">
        <v>393</v>
      </c>
    </row>
    <row r="2031" spans="3:11" outlineLevel="2" x14ac:dyDescent="0.3">
      <c r="C2031" s="9">
        <v>45125</v>
      </c>
      <c r="D2031" t="s">
        <v>12</v>
      </c>
      <c r="E2031" t="s">
        <v>35</v>
      </c>
      <c r="F2031" t="s">
        <v>24</v>
      </c>
      <c r="G2031" t="s">
        <v>32</v>
      </c>
      <c r="H2031">
        <v>1505</v>
      </c>
      <c r="I2031">
        <v>100</v>
      </c>
      <c r="J2031" s="6">
        <f t="shared" si="151"/>
        <v>150.5</v>
      </c>
      <c r="K2031" t="s">
        <v>393</v>
      </c>
    </row>
    <row r="2032" spans="3:11" outlineLevel="2" x14ac:dyDescent="0.3">
      <c r="C2032" s="9">
        <v>45125</v>
      </c>
      <c r="D2032" t="s">
        <v>12</v>
      </c>
      <c r="E2032" t="s">
        <v>35</v>
      </c>
      <c r="F2032" t="s">
        <v>24</v>
      </c>
      <c r="G2032" t="s">
        <v>30</v>
      </c>
      <c r="H2032">
        <v>2970</v>
      </c>
      <c r="I2032">
        <v>47</v>
      </c>
      <c r="J2032" s="6">
        <f t="shared" si="151"/>
        <v>139.59</v>
      </c>
      <c r="K2032" t="s">
        <v>393</v>
      </c>
    </row>
    <row r="2033" spans="3:11" outlineLevel="2" x14ac:dyDescent="0.3">
      <c r="C2033" s="9">
        <v>45125</v>
      </c>
      <c r="D2033" t="s">
        <v>45</v>
      </c>
      <c r="E2033" t="s">
        <v>35</v>
      </c>
      <c r="F2033" t="s">
        <v>24</v>
      </c>
      <c r="G2033" t="s">
        <v>42</v>
      </c>
      <c r="H2033">
        <v>3205</v>
      </c>
      <c r="I2033">
        <v>76</v>
      </c>
      <c r="J2033" s="6">
        <f t="shared" si="151"/>
        <v>243.58</v>
      </c>
      <c r="K2033" t="s">
        <v>393</v>
      </c>
    </row>
    <row r="2034" spans="3:11" outlineLevel="1" x14ac:dyDescent="0.3">
      <c r="C2034" s="13" t="s">
        <v>213</v>
      </c>
      <c r="J2034" s="6">
        <f>SUBTOTAL(9,J2023:J2033)</f>
        <v>1242.5999999999999</v>
      </c>
      <c r="K2034" t="s">
        <v>393</v>
      </c>
    </row>
    <row r="2035" spans="3:11" outlineLevel="2" x14ac:dyDescent="0.3">
      <c r="C2035" s="9">
        <v>45126</v>
      </c>
      <c r="D2035" t="s">
        <v>8</v>
      </c>
      <c r="E2035" t="s">
        <v>20</v>
      </c>
      <c r="F2035" t="s">
        <v>18</v>
      </c>
      <c r="G2035" t="s">
        <v>28</v>
      </c>
      <c r="H2035">
        <v>690</v>
      </c>
      <c r="I2035">
        <v>57</v>
      </c>
      <c r="J2035" s="6">
        <f t="shared" ref="J2035:J2046" si="152">H2035*I2035/1000</f>
        <v>39.33</v>
      </c>
      <c r="K2035" t="s">
        <v>393</v>
      </c>
    </row>
    <row r="2036" spans="3:11" outlineLevel="2" x14ac:dyDescent="0.3">
      <c r="C2036" s="9">
        <v>45126</v>
      </c>
      <c r="D2036" t="s">
        <v>45</v>
      </c>
      <c r="E2036" t="s">
        <v>20</v>
      </c>
      <c r="F2036" t="s">
        <v>18</v>
      </c>
      <c r="G2036" t="s">
        <v>37</v>
      </c>
      <c r="H2036">
        <v>890</v>
      </c>
      <c r="I2036">
        <v>82</v>
      </c>
      <c r="J2036" s="6">
        <f t="shared" si="152"/>
        <v>72.98</v>
      </c>
      <c r="K2036" t="s">
        <v>393</v>
      </c>
    </row>
    <row r="2037" spans="3:11" outlineLevel="2" x14ac:dyDescent="0.3">
      <c r="C2037" s="9">
        <v>45126</v>
      </c>
      <c r="D2037" t="s">
        <v>12</v>
      </c>
      <c r="E2037" t="s">
        <v>20</v>
      </c>
      <c r="F2037" t="s">
        <v>13</v>
      </c>
      <c r="G2037" t="s">
        <v>29</v>
      </c>
      <c r="H2037">
        <v>1230</v>
      </c>
      <c r="I2037">
        <v>92</v>
      </c>
      <c r="J2037" s="6">
        <f t="shared" si="152"/>
        <v>113.16</v>
      </c>
      <c r="K2037" t="s">
        <v>393</v>
      </c>
    </row>
    <row r="2038" spans="3:11" outlineLevel="2" x14ac:dyDescent="0.3">
      <c r="C2038" s="9">
        <v>45126</v>
      </c>
      <c r="D2038" t="s">
        <v>45</v>
      </c>
      <c r="E2038" t="s">
        <v>20</v>
      </c>
      <c r="F2038" t="s">
        <v>13</v>
      </c>
      <c r="G2038" t="s">
        <v>22</v>
      </c>
      <c r="H2038">
        <v>930</v>
      </c>
      <c r="I2038">
        <v>80</v>
      </c>
      <c r="J2038" s="6">
        <f t="shared" si="152"/>
        <v>74.400000000000006</v>
      </c>
      <c r="K2038" t="s">
        <v>393</v>
      </c>
    </row>
    <row r="2039" spans="3:11" outlineLevel="2" x14ac:dyDescent="0.3">
      <c r="C2039" s="9">
        <v>45126</v>
      </c>
      <c r="D2039" t="s">
        <v>45</v>
      </c>
      <c r="E2039" t="s">
        <v>9</v>
      </c>
      <c r="F2039" t="s">
        <v>13</v>
      </c>
      <c r="G2039" t="s">
        <v>14</v>
      </c>
      <c r="H2039">
        <v>1320</v>
      </c>
      <c r="I2039">
        <v>70</v>
      </c>
      <c r="J2039" s="6">
        <f t="shared" si="152"/>
        <v>92.4</v>
      </c>
      <c r="K2039" t="s">
        <v>393</v>
      </c>
    </row>
    <row r="2040" spans="3:11" outlineLevel="2" x14ac:dyDescent="0.3">
      <c r="C2040" s="9">
        <v>45126</v>
      </c>
      <c r="D2040" t="s">
        <v>8</v>
      </c>
      <c r="E2040" t="s">
        <v>26</v>
      </c>
      <c r="F2040" t="s">
        <v>10</v>
      </c>
      <c r="G2040" t="s">
        <v>39</v>
      </c>
      <c r="H2040">
        <v>650</v>
      </c>
      <c r="I2040">
        <v>48</v>
      </c>
      <c r="J2040" s="6">
        <f t="shared" si="152"/>
        <v>31.2</v>
      </c>
      <c r="K2040" t="s">
        <v>393</v>
      </c>
    </row>
    <row r="2041" spans="3:11" outlineLevel="2" x14ac:dyDescent="0.3">
      <c r="C2041" s="9">
        <v>45126</v>
      </c>
      <c r="D2041" t="s">
        <v>17</v>
      </c>
      <c r="E2041" t="s">
        <v>26</v>
      </c>
      <c r="F2041" t="s">
        <v>24</v>
      </c>
      <c r="G2041" t="s">
        <v>42</v>
      </c>
      <c r="H2041">
        <v>3205</v>
      </c>
      <c r="I2041">
        <v>70</v>
      </c>
      <c r="J2041" s="6">
        <f t="shared" si="152"/>
        <v>224.35</v>
      </c>
      <c r="K2041" t="s">
        <v>393</v>
      </c>
    </row>
    <row r="2042" spans="3:11" outlineLevel="2" x14ac:dyDescent="0.3">
      <c r="C2042" s="9">
        <v>45126</v>
      </c>
      <c r="D2042" t="s">
        <v>17</v>
      </c>
      <c r="E2042" t="s">
        <v>26</v>
      </c>
      <c r="F2042" t="s">
        <v>24</v>
      </c>
      <c r="G2042" t="s">
        <v>25</v>
      </c>
      <c r="H2042">
        <v>1760</v>
      </c>
      <c r="I2042">
        <v>29</v>
      </c>
      <c r="J2042" s="6">
        <f t="shared" si="152"/>
        <v>51.04</v>
      </c>
      <c r="K2042" t="s">
        <v>393</v>
      </c>
    </row>
    <row r="2043" spans="3:11" outlineLevel="2" x14ac:dyDescent="0.3">
      <c r="C2043" s="9">
        <v>45126</v>
      </c>
      <c r="D2043" t="s">
        <v>17</v>
      </c>
      <c r="E2043" t="s">
        <v>15</v>
      </c>
      <c r="F2043" t="s">
        <v>18</v>
      </c>
      <c r="G2043" t="s">
        <v>27</v>
      </c>
      <c r="H2043">
        <v>460</v>
      </c>
      <c r="I2043">
        <v>96</v>
      </c>
      <c r="J2043" s="6">
        <f t="shared" si="152"/>
        <v>44.16</v>
      </c>
      <c r="K2043" t="s">
        <v>393</v>
      </c>
    </row>
    <row r="2044" spans="3:11" outlineLevel="2" x14ac:dyDescent="0.3">
      <c r="C2044" s="9">
        <v>45126</v>
      </c>
      <c r="D2044" t="s">
        <v>12</v>
      </c>
      <c r="E2044" t="s">
        <v>15</v>
      </c>
      <c r="F2044" t="s">
        <v>13</v>
      </c>
      <c r="G2044" t="s">
        <v>38</v>
      </c>
      <c r="H2044">
        <v>2400</v>
      </c>
      <c r="I2044">
        <v>96</v>
      </c>
      <c r="J2044" s="6">
        <f t="shared" si="152"/>
        <v>230.4</v>
      </c>
      <c r="K2044" t="s">
        <v>393</v>
      </c>
    </row>
    <row r="2045" spans="3:11" outlineLevel="2" x14ac:dyDescent="0.3">
      <c r="C2045" s="9">
        <v>45126</v>
      </c>
      <c r="D2045" t="s">
        <v>8</v>
      </c>
      <c r="E2045" t="s">
        <v>33</v>
      </c>
      <c r="F2045" t="s">
        <v>18</v>
      </c>
      <c r="G2045" t="s">
        <v>21</v>
      </c>
      <c r="H2045">
        <v>450</v>
      </c>
      <c r="I2045">
        <v>7</v>
      </c>
      <c r="J2045" s="6">
        <f t="shared" si="152"/>
        <v>3.15</v>
      </c>
      <c r="K2045" t="s">
        <v>393</v>
      </c>
    </row>
    <row r="2046" spans="3:11" outlineLevel="2" x14ac:dyDescent="0.3">
      <c r="C2046" s="9">
        <v>45126</v>
      </c>
      <c r="D2046" t="s">
        <v>45</v>
      </c>
      <c r="E2046" t="s">
        <v>35</v>
      </c>
      <c r="F2046" t="s">
        <v>13</v>
      </c>
      <c r="G2046" t="s">
        <v>38</v>
      </c>
      <c r="H2046">
        <v>2400</v>
      </c>
      <c r="I2046">
        <v>32</v>
      </c>
      <c r="J2046" s="6">
        <f t="shared" si="152"/>
        <v>76.8</v>
      </c>
      <c r="K2046" t="s">
        <v>393</v>
      </c>
    </row>
    <row r="2047" spans="3:11" outlineLevel="1" x14ac:dyDescent="0.3">
      <c r="C2047" s="13" t="s">
        <v>214</v>
      </c>
      <c r="J2047" s="6">
        <f>SUBTOTAL(9,J2035:J2046)</f>
        <v>1053.3699999999999</v>
      </c>
      <c r="K2047" t="s">
        <v>393</v>
      </c>
    </row>
    <row r="2048" spans="3:11" outlineLevel="2" x14ac:dyDescent="0.3">
      <c r="C2048" s="9">
        <v>45127</v>
      </c>
      <c r="D2048" t="s">
        <v>8</v>
      </c>
      <c r="E2048" t="s">
        <v>20</v>
      </c>
      <c r="F2048" t="s">
        <v>10</v>
      </c>
      <c r="G2048" t="s">
        <v>11</v>
      </c>
      <c r="H2048">
        <v>705</v>
      </c>
      <c r="I2048">
        <v>26</v>
      </c>
      <c r="J2048" s="6">
        <f t="shared" ref="J2048:J2059" si="153">H2048*I2048/1000</f>
        <v>18.329999999999998</v>
      </c>
      <c r="K2048" t="s">
        <v>393</v>
      </c>
    </row>
    <row r="2049" spans="3:11" outlineLevel="2" x14ac:dyDescent="0.3">
      <c r="C2049" s="9">
        <v>45127</v>
      </c>
      <c r="D2049" t="s">
        <v>8</v>
      </c>
      <c r="E2049" t="s">
        <v>20</v>
      </c>
      <c r="F2049" t="s">
        <v>18</v>
      </c>
      <c r="G2049" t="s">
        <v>28</v>
      </c>
      <c r="H2049">
        <v>690</v>
      </c>
      <c r="I2049">
        <v>21</v>
      </c>
      <c r="J2049" s="6">
        <f t="shared" si="153"/>
        <v>14.49</v>
      </c>
      <c r="K2049" t="s">
        <v>393</v>
      </c>
    </row>
    <row r="2050" spans="3:11" outlineLevel="2" x14ac:dyDescent="0.3">
      <c r="C2050" s="9">
        <v>45127</v>
      </c>
      <c r="D2050" t="s">
        <v>8</v>
      </c>
      <c r="E2050" t="s">
        <v>20</v>
      </c>
      <c r="F2050" t="s">
        <v>13</v>
      </c>
      <c r="G2050" t="s">
        <v>38</v>
      </c>
      <c r="H2050">
        <v>2400</v>
      </c>
      <c r="I2050">
        <v>83</v>
      </c>
      <c r="J2050" s="6">
        <f t="shared" si="153"/>
        <v>199.2</v>
      </c>
      <c r="K2050" t="s">
        <v>393</v>
      </c>
    </row>
    <row r="2051" spans="3:11" outlineLevel="2" x14ac:dyDescent="0.3">
      <c r="C2051" s="9">
        <v>45127</v>
      </c>
      <c r="D2051" t="s">
        <v>12</v>
      </c>
      <c r="E2051" t="s">
        <v>20</v>
      </c>
      <c r="F2051" t="s">
        <v>24</v>
      </c>
      <c r="G2051" t="s">
        <v>42</v>
      </c>
      <c r="H2051">
        <v>3205</v>
      </c>
      <c r="I2051">
        <v>55</v>
      </c>
      <c r="J2051" s="6">
        <f t="shared" si="153"/>
        <v>176.27500000000001</v>
      </c>
      <c r="K2051" t="s">
        <v>393</v>
      </c>
    </row>
    <row r="2052" spans="3:11" outlineLevel="2" x14ac:dyDescent="0.3">
      <c r="C2052" s="9">
        <v>45127</v>
      </c>
      <c r="D2052" t="s">
        <v>12</v>
      </c>
      <c r="E2052" t="s">
        <v>9</v>
      </c>
      <c r="F2052" t="s">
        <v>18</v>
      </c>
      <c r="G2052" t="s">
        <v>19</v>
      </c>
      <c r="H2052">
        <v>325</v>
      </c>
      <c r="I2052">
        <v>85</v>
      </c>
      <c r="J2052" s="6">
        <f t="shared" si="153"/>
        <v>27.625</v>
      </c>
      <c r="K2052" t="s">
        <v>393</v>
      </c>
    </row>
    <row r="2053" spans="3:11" outlineLevel="2" x14ac:dyDescent="0.3">
      <c r="C2053" s="9">
        <v>45127</v>
      </c>
      <c r="D2053" t="s">
        <v>12</v>
      </c>
      <c r="E2053" t="s">
        <v>15</v>
      </c>
      <c r="F2053" t="s">
        <v>13</v>
      </c>
      <c r="G2053" t="s">
        <v>22</v>
      </c>
      <c r="H2053">
        <v>930</v>
      </c>
      <c r="I2053">
        <v>40</v>
      </c>
      <c r="J2053" s="6">
        <f t="shared" si="153"/>
        <v>37.200000000000003</v>
      </c>
      <c r="K2053" t="s">
        <v>393</v>
      </c>
    </row>
    <row r="2054" spans="3:11" outlineLevel="2" x14ac:dyDescent="0.3">
      <c r="C2054" s="9">
        <v>45127</v>
      </c>
      <c r="D2054" t="s">
        <v>45</v>
      </c>
      <c r="E2054" t="s">
        <v>15</v>
      </c>
      <c r="F2054" t="s">
        <v>13</v>
      </c>
      <c r="G2054" t="s">
        <v>38</v>
      </c>
      <c r="H2054">
        <v>2400</v>
      </c>
      <c r="I2054">
        <v>94</v>
      </c>
      <c r="J2054" s="6">
        <f t="shared" si="153"/>
        <v>225.6</v>
      </c>
      <c r="K2054" t="s">
        <v>393</v>
      </c>
    </row>
    <row r="2055" spans="3:11" outlineLevel="2" x14ac:dyDescent="0.3">
      <c r="C2055" s="9">
        <v>45127</v>
      </c>
      <c r="D2055" t="s">
        <v>45</v>
      </c>
      <c r="E2055" t="s">
        <v>33</v>
      </c>
      <c r="F2055" t="s">
        <v>18</v>
      </c>
      <c r="G2055" t="s">
        <v>37</v>
      </c>
      <c r="H2055">
        <v>890</v>
      </c>
      <c r="I2055">
        <v>100</v>
      </c>
      <c r="J2055" s="6">
        <f t="shared" si="153"/>
        <v>89</v>
      </c>
      <c r="K2055" t="s">
        <v>393</v>
      </c>
    </row>
    <row r="2056" spans="3:11" outlineLevel="2" x14ac:dyDescent="0.3">
      <c r="C2056" s="9">
        <v>45127</v>
      </c>
      <c r="D2056" t="s">
        <v>12</v>
      </c>
      <c r="E2056" t="s">
        <v>35</v>
      </c>
      <c r="F2056" t="s">
        <v>10</v>
      </c>
      <c r="G2056" t="s">
        <v>40</v>
      </c>
      <c r="H2056">
        <v>540</v>
      </c>
      <c r="I2056">
        <v>53</v>
      </c>
      <c r="J2056" s="6">
        <f t="shared" si="153"/>
        <v>28.62</v>
      </c>
      <c r="K2056" t="s">
        <v>393</v>
      </c>
    </row>
    <row r="2057" spans="3:11" outlineLevel="2" x14ac:dyDescent="0.3">
      <c r="C2057" s="9">
        <v>45127</v>
      </c>
      <c r="D2057" t="s">
        <v>45</v>
      </c>
      <c r="E2057" t="s">
        <v>35</v>
      </c>
      <c r="F2057" t="s">
        <v>10</v>
      </c>
      <c r="G2057" t="s">
        <v>11</v>
      </c>
      <c r="H2057">
        <v>705</v>
      </c>
      <c r="I2057">
        <v>29</v>
      </c>
      <c r="J2057" s="6">
        <f t="shared" si="153"/>
        <v>20.445</v>
      </c>
      <c r="K2057" t="s">
        <v>393</v>
      </c>
    </row>
    <row r="2058" spans="3:11" outlineLevel="2" x14ac:dyDescent="0.3">
      <c r="C2058" s="9">
        <v>45127</v>
      </c>
      <c r="D2058" t="s">
        <v>8</v>
      </c>
      <c r="E2058" t="s">
        <v>35</v>
      </c>
      <c r="F2058" t="s">
        <v>13</v>
      </c>
      <c r="G2058" t="s">
        <v>14</v>
      </c>
      <c r="H2058">
        <v>1320</v>
      </c>
      <c r="I2058">
        <v>42</v>
      </c>
      <c r="J2058" s="6">
        <f t="shared" si="153"/>
        <v>55.44</v>
      </c>
      <c r="K2058" t="s">
        <v>393</v>
      </c>
    </row>
    <row r="2059" spans="3:11" outlineLevel="2" x14ac:dyDescent="0.3">
      <c r="C2059" s="9">
        <v>45127</v>
      </c>
      <c r="D2059" t="s">
        <v>17</v>
      </c>
      <c r="E2059" t="s">
        <v>35</v>
      </c>
      <c r="F2059" t="s">
        <v>24</v>
      </c>
      <c r="G2059" t="s">
        <v>34</v>
      </c>
      <c r="H2059">
        <v>1670</v>
      </c>
      <c r="I2059">
        <v>76</v>
      </c>
      <c r="J2059" s="6">
        <f t="shared" si="153"/>
        <v>126.92</v>
      </c>
      <c r="K2059" t="s">
        <v>393</v>
      </c>
    </row>
    <row r="2060" spans="3:11" outlineLevel="1" x14ac:dyDescent="0.3">
      <c r="C2060" s="13" t="s">
        <v>215</v>
      </c>
      <c r="J2060" s="6">
        <f>SUBTOTAL(9,J2048:J2059)</f>
        <v>1019.1449999999999</v>
      </c>
      <c r="K2060" t="s">
        <v>393</v>
      </c>
    </row>
    <row r="2061" spans="3:11" outlineLevel="2" x14ac:dyDescent="0.3">
      <c r="C2061" s="9">
        <v>45128</v>
      </c>
      <c r="D2061" t="s">
        <v>45</v>
      </c>
      <c r="E2061" t="s">
        <v>20</v>
      </c>
      <c r="F2061" t="s">
        <v>18</v>
      </c>
      <c r="G2061" t="s">
        <v>37</v>
      </c>
      <c r="H2061">
        <v>890</v>
      </c>
      <c r="I2061">
        <v>28</v>
      </c>
      <c r="J2061" s="6">
        <f t="shared" ref="J2061:J2073" si="154">H2061*I2061/1000</f>
        <v>24.92</v>
      </c>
      <c r="K2061" t="s">
        <v>393</v>
      </c>
    </row>
    <row r="2062" spans="3:11" outlineLevel="2" x14ac:dyDescent="0.3">
      <c r="C2062" s="9">
        <v>45128</v>
      </c>
      <c r="D2062" t="s">
        <v>45</v>
      </c>
      <c r="E2062" t="s">
        <v>20</v>
      </c>
      <c r="F2062" t="s">
        <v>24</v>
      </c>
      <c r="G2062" t="s">
        <v>32</v>
      </c>
      <c r="H2062">
        <v>1505</v>
      </c>
      <c r="I2062">
        <v>75</v>
      </c>
      <c r="J2062" s="6">
        <f t="shared" si="154"/>
        <v>112.875</v>
      </c>
      <c r="K2062" t="s">
        <v>393</v>
      </c>
    </row>
    <row r="2063" spans="3:11" outlineLevel="2" x14ac:dyDescent="0.3">
      <c r="C2063" s="9">
        <v>45128</v>
      </c>
      <c r="D2063" t="s">
        <v>45</v>
      </c>
      <c r="E2063" t="s">
        <v>9</v>
      </c>
      <c r="F2063" t="s">
        <v>18</v>
      </c>
      <c r="G2063" t="s">
        <v>19</v>
      </c>
      <c r="H2063">
        <v>325</v>
      </c>
      <c r="I2063">
        <v>71</v>
      </c>
      <c r="J2063" s="6">
        <f t="shared" si="154"/>
        <v>23.074999999999999</v>
      </c>
      <c r="K2063" t="s">
        <v>393</v>
      </c>
    </row>
    <row r="2064" spans="3:11" outlineLevel="2" x14ac:dyDescent="0.3">
      <c r="C2064" s="9">
        <v>45128</v>
      </c>
      <c r="D2064" t="s">
        <v>12</v>
      </c>
      <c r="E2064" t="s">
        <v>26</v>
      </c>
      <c r="F2064" t="s">
        <v>18</v>
      </c>
      <c r="G2064" t="s">
        <v>37</v>
      </c>
      <c r="H2064">
        <v>890</v>
      </c>
      <c r="I2064">
        <v>26</v>
      </c>
      <c r="J2064" s="6">
        <f t="shared" si="154"/>
        <v>23.14</v>
      </c>
      <c r="K2064" t="s">
        <v>393</v>
      </c>
    </row>
    <row r="2065" spans="3:11" outlineLevel="2" x14ac:dyDescent="0.3">
      <c r="C2065" s="9">
        <v>45128</v>
      </c>
      <c r="D2065" t="s">
        <v>17</v>
      </c>
      <c r="E2065" t="s">
        <v>26</v>
      </c>
      <c r="F2065" t="s">
        <v>24</v>
      </c>
      <c r="G2065" t="s">
        <v>34</v>
      </c>
      <c r="H2065">
        <v>1670</v>
      </c>
      <c r="I2065">
        <v>82</v>
      </c>
      <c r="J2065" s="6">
        <f t="shared" si="154"/>
        <v>136.94</v>
      </c>
      <c r="K2065" t="s">
        <v>393</v>
      </c>
    </row>
    <row r="2066" spans="3:11" outlineLevel="2" x14ac:dyDescent="0.3">
      <c r="C2066" s="9">
        <v>45128</v>
      </c>
      <c r="D2066" t="s">
        <v>8</v>
      </c>
      <c r="E2066" t="s">
        <v>26</v>
      </c>
      <c r="F2066" t="s">
        <v>24</v>
      </c>
      <c r="G2066" t="s">
        <v>36</v>
      </c>
      <c r="H2066">
        <v>2460</v>
      </c>
      <c r="I2066">
        <v>74</v>
      </c>
      <c r="J2066" s="6">
        <f t="shared" si="154"/>
        <v>182.04</v>
      </c>
      <c r="K2066" t="s">
        <v>393</v>
      </c>
    </row>
    <row r="2067" spans="3:11" outlineLevel="2" x14ac:dyDescent="0.3">
      <c r="C2067" s="9">
        <v>45128</v>
      </c>
      <c r="D2067" t="s">
        <v>45</v>
      </c>
      <c r="E2067" t="s">
        <v>15</v>
      </c>
      <c r="F2067" t="s">
        <v>18</v>
      </c>
      <c r="G2067" t="s">
        <v>28</v>
      </c>
      <c r="H2067">
        <v>690</v>
      </c>
      <c r="I2067">
        <v>66</v>
      </c>
      <c r="J2067" s="6">
        <f t="shared" si="154"/>
        <v>45.54</v>
      </c>
      <c r="K2067" t="s">
        <v>393</v>
      </c>
    </row>
    <row r="2068" spans="3:11" outlineLevel="2" x14ac:dyDescent="0.3">
      <c r="C2068" s="9">
        <v>45128</v>
      </c>
      <c r="D2068" t="s">
        <v>12</v>
      </c>
      <c r="E2068" t="s">
        <v>15</v>
      </c>
      <c r="F2068" t="s">
        <v>24</v>
      </c>
      <c r="G2068" t="s">
        <v>30</v>
      </c>
      <c r="H2068">
        <v>2970</v>
      </c>
      <c r="I2068">
        <v>68</v>
      </c>
      <c r="J2068" s="6">
        <f t="shared" si="154"/>
        <v>201.96</v>
      </c>
      <c r="K2068" t="s">
        <v>393</v>
      </c>
    </row>
    <row r="2069" spans="3:11" outlineLevel="2" x14ac:dyDescent="0.3">
      <c r="C2069" s="9">
        <v>45128</v>
      </c>
      <c r="D2069" t="s">
        <v>45</v>
      </c>
      <c r="E2069" t="s">
        <v>33</v>
      </c>
      <c r="F2069" t="s">
        <v>10</v>
      </c>
      <c r="G2069" t="s">
        <v>40</v>
      </c>
      <c r="H2069">
        <v>540</v>
      </c>
      <c r="I2069">
        <v>23</v>
      </c>
      <c r="J2069" s="6">
        <f t="shared" si="154"/>
        <v>12.42</v>
      </c>
      <c r="K2069" t="s">
        <v>393</v>
      </c>
    </row>
    <row r="2070" spans="3:11" outlineLevel="2" x14ac:dyDescent="0.3">
      <c r="C2070" s="9">
        <v>45128</v>
      </c>
      <c r="D2070" t="s">
        <v>17</v>
      </c>
      <c r="E2070" t="s">
        <v>33</v>
      </c>
      <c r="F2070" t="s">
        <v>18</v>
      </c>
      <c r="G2070" t="s">
        <v>21</v>
      </c>
      <c r="H2070">
        <v>450</v>
      </c>
      <c r="I2070">
        <v>62</v>
      </c>
      <c r="J2070" s="6">
        <f t="shared" si="154"/>
        <v>27.9</v>
      </c>
      <c r="K2070" t="s">
        <v>393</v>
      </c>
    </row>
    <row r="2071" spans="3:11" outlineLevel="2" x14ac:dyDescent="0.3">
      <c r="C2071" s="9">
        <v>45128</v>
      </c>
      <c r="D2071" t="s">
        <v>45</v>
      </c>
      <c r="E2071" t="s">
        <v>33</v>
      </c>
      <c r="F2071" t="s">
        <v>13</v>
      </c>
      <c r="G2071" t="s">
        <v>14</v>
      </c>
      <c r="H2071">
        <v>1320</v>
      </c>
      <c r="I2071">
        <v>27</v>
      </c>
      <c r="J2071" s="6">
        <f t="shared" si="154"/>
        <v>35.64</v>
      </c>
      <c r="K2071" t="s">
        <v>393</v>
      </c>
    </row>
    <row r="2072" spans="3:11" outlineLevel="2" x14ac:dyDescent="0.3">
      <c r="C2072" s="9">
        <v>45128</v>
      </c>
      <c r="D2072" t="s">
        <v>12</v>
      </c>
      <c r="E2072" t="s">
        <v>33</v>
      </c>
      <c r="F2072" t="s">
        <v>24</v>
      </c>
      <c r="G2072" t="s">
        <v>32</v>
      </c>
      <c r="H2072">
        <v>1505</v>
      </c>
      <c r="I2072">
        <v>67</v>
      </c>
      <c r="J2072" s="6">
        <f t="shared" si="154"/>
        <v>100.83499999999999</v>
      </c>
      <c r="K2072" t="s">
        <v>393</v>
      </c>
    </row>
    <row r="2073" spans="3:11" outlineLevel="2" x14ac:dyDescent="0.3">
      <c r="C2073" s="9">
        <v>45128</v>
      </c>
      <c r="D2073" t="s">
        <v>17</v>
      </c>
      <c r="E2073" t="s">
        <v>35</v>
      </c>
      <c r="F2073" t="s">
        <v>10</v>
      </c>
      <c r="G2073" t="s">
        <v>39</v>
      </c>
      <c r="H2073">
        <v>650</v>
      </c>
      <c r="I2073">
        <v>51</v>
      </c>
      <c r="J2073" s="6">
        <f t="shared" si="154"/>
        <v>33.15</v>
      </c>
      <c r="K2073" t="s">
        <v>393</v>
      </c>
    </row>
    <row r="2074" spans="3:11" outlineLevel="1" x14ac:dyDescent="0.3">
      <c r="C2074" s="13" t="s">
        <v>216</v>
      </c>
      <c r="J2074" s="6">
        <f>SUBTOTAL(9,J2061:J2073)</f>
        <v>960.43499999999995</v>
      </c>
      <c r="K2074" t="s">
        <v>393</v>
      </c>
    </row>
    <row r="2075" spans="3:11" outlineLevel="2" x14ac:dyDescent="0.3">
      <c r="C2075" s="9">
        <v>45129</v>
      </c>
      <c r="D2075" t="s">
        <v>12</v>
      </c>
      <c r="E2075" t="s">
        <v>20</v>
      </c>
      <c r="F2075" t="s">
        <v>10</v>
      </c>
      <c r="G2075" t="s">
        <v>16</v>
      </c>
      <c r="H2075">
        <v>1380</v>
      </c>
      <c r="I2075">
        <v>32</v>
      </c>
      <c r="J2075" s="6">
        <f t="shared" ref="J2075:J2083" si="155">H2075*I2075/1000</f>
        <v>44.16</v>
      </c>
      <c r="K2075" t="s">
        <v>393</v>
      </c>
    </row>
    <row r="2076" spans="3:11" outlineLevel="2" x14ac:dyDescent="0.3">
      <c r="C2076" s="9">
        <v>45129</v>
      </c>
      <c r="D2076" t="s">
        <v>12</v>
      </c>
      <c r="E2076" t="s">
        <v>20</v>
      </c>
      <c r="F2076" t="s">
        <v>24</v>
      </c>
      <c r="G2076" t="s">
        <v>30</v>
      </c>
      <c r="H2076">
        <v>2970</v>
      </c>
      <c r="I2076">
        <v>95</v>
      </c>
      <c r="J2076" s="6">
        <f t="shared" si="155"/>
        <v>282.14999999999998</v>
      </c>
      <c r="K2076" t="s">
        <v>393</v>
      </c>
    </row>
    <row r="2077" spans="3:11" outlineLevel="2" x14ac:dyDescent="0.3">
      <c r="C2077" s="9">
        <v>45129</v>
      </c>
      <c r="D2077" t="s">
        <v>45</v>
      </c>
      <c r="E2077" t="s">
        <v>9</v>
      </c>
      <c r="F2077" t="s">
        <v>10</v>
      </c>
      <c r="G2077" t="s">
        <v>23</v>
      </c>
      <c r="H2077">
        <v>640</v>
      </c>
      <c r="I2077">
        <v>56</v>
      </c>
      <c r="J2077" s="6">
        <f t="shared" si="155"/>
        <v>35.840000000000003</v>
      </c>
      <c r="K2077" t="s">
        <v>393</v>
      </c>
    </row>
    <row r="2078" spans="3:11" outlineLevel="2" x14ac:dyDescent="0.3">
      <c r="C2078" s="9">
        <v>45129</v>
      </c>
      <c r="D2078" t="s">
        <v>12</v>
      </c>
      <c r="E2078" t="s">
        <v>9</v>
      </c>
      <c r="F2078" t="s">
        <v>10</v>
      </c>
      <c r="G2078" t="s">
        <v>40</v>
      </c>
      <c r="H2078">
        <v>540</v>
      </c>
      <c r="I2078">
        <v>58</v>
      </c>
      <c r="J2078" s="6">
        <f t="shared" si="155"/>
        <v>31.32</v>
      </c>
      <c r="K2078" t="s">
        <v>393</v>
      </c>
    </row>
    <row r="2079" spans="3:11" outlineLevel="2" x14ac:dyDescent="0.3">
      <c r="C2079" s="9">
        <v>45129</v>
      </c>
      <c r="D2079" t="s">
        <v>8</v>
      </c>
      <c r="E2079" t="s">
        <v>9</v>
      </c>
      <c r="F2079" t="s">
        <v>13</v>
      </c>
      <c r="G2079" t="s">
        <v>38</v>
      </c>
      <c r="H2079">
        <v>2400</v>
      </c>
      <c r="I2079">
        <v>17</v>
      </c>
      <c r="J2079" s="6">
        <f t="shared" si="155"/>
        <v>40.799999999999997</v>
      </c>
      <c r="K2079" t="s">
        <v>393</v>
      </c>
    </row>
    <row r="2080" spans="3:11" outlineLevel="2" x14ac:dyDescent="0.3">
      <c r="C2080" s="9">
        <v>45129</v>
      </c>
      <c r="D2080" t="s">
        <v>17</v>
      </c>
      <c r="E2080" t="s">
        <v>15</v>
      </c>
      <c r="F2080" t="s">
        <v>13</v>
      </c>
      <c r="G2080" t="s">
        <v>44</v>
      </c>
      <c r="H2080">
        <v>2540</v>
      </c>
      <c r="I2080">
        <v>66</v>
      </c>
      <c r="J2080" s="6">
        <f t="shared" si="155"/>
        <v>167.64</v>
      </c>
      <c r="K2080" t="s">
        <v>393</v>
      </c>
    </row>
    <row r="2081" spans="3:11" outlineLevel="2" x14ac:dyDescent="0.3">
      <c r="C2081" s="9">
        <v>45129</v>
      </c>
      <c r="D2081" t="s">
        <v>45</v>
      </c>
      <c r="E2081" t="s">
        <v>33</v>
      </c>
      <c r="F2081" t="s">
        <v>18</v>
      </c>
      <c r="G2081" t="s">
        <v>27</v>
      </c>
      <c r="H2081">
        <v>460</v>
      </c>
      <c r="I2081">
        <v>21</v>
      </c>
      <c r="J2081" s="6">
        <f t="shared" si="155"/>
        <v>9.66</v>
      </c>
      <c r="K2081" t="s">
        <v>393</v>
      </c>
    </row>
    <row r="2082" spans="3:11" outlineLevel="2" x14ac:dyDescent="0.3">
      <c r="C2082" s="9">
        <v>45129</v>
      </c>
      <c r="D2082" t="s">
        <v>17</v>
      </c>
      <c r="E2082" t="s">
        <v>33</v>
      </c>
      <c r="F2082" t="s">
        <v>18</v>
      </c>
      <c r="G2082" t="s">
        <v>28</v>
      </c>
      <c r="H2082">
        <v>690</v>
      </c>
      <c r="I2082">
        <v>39</v>
      </c>
      <c r="J2082" s="6">
        <f t="shared" si="155"/>
        <v>26.91</v>
      </c>
      <c r="K2082" t="s">
        <v>393</v>
      </c>
    </row>
    <row r="2083" spans="3:11" outlineLevel="2" x14ac:dyDescent="0.3">
      <c r="C2083" s="9">
        <v>45129</v>
      </c>
      <c r="D2083" t="s">
        <v>17</v>
      </c>
      <c r="E2083" t="s">
        <v>35</v>
      </c>
      <c r="F2083" t="s">
        <v>13</v>
      </c>
      <c r="G2083" t="s">
        <v>44</v>
      </c>
      <c r="H2083">
        <v>2540</v>
      </c>
      <c r="I2083">
        <v>57</v>
      </c>
      <c r="J2083" s="6">
        <f t="shared" si="155"/>
        <v>144.78</v>
      </c>
      <c r="K2083" t="s">
        <v>393</v>
      </c>
    </row>
    <row r="2084" spans="3:11" outlineLevel="1" x14ac:dyDescent="0.3">
      <c r="C2084" s="13" t="s">
        <v>217</v>
      </c>
      <c r="J2084" s="6">
        <f>SUBTOTAL(9,J2075:J2083)</f>
        <v>783.25999999999988</v>
      </c>
      <c r="K2084" t="s">
        <v>393</v>
      </c>
    </row>
    <row r="2085" spans="3:11" outlineLevel="2" x14ac:dyDescent="0.3">
      <c r="C2085" s="9">
        <v>45130</v>
      </c>
      <c r="D2085" t="s">
        <v>8</v>
      </c>
      <c r="E2085" t="s">
        <v>20</v>
      </c>
      <c r="F2085" t="s">
        <v>13</v>
      </c>
      <c r="G2085" t="s">
        <v>38</v>
      </c>
      <c r="H2085">
        <v>2400</v>
      </c>
      <c r="I2085">
        <v>89</v>
      </c>
      <c r="J2085" s="6">
        <f t="shared" ref="J2085:J2095" si="156">H2085*I2085/1000</f>
        <v>213.6</v>
      </c>
      <c r="K2085" t="s">
        <v>393</v>
      </c>
    </row>
    <row r="2086" spans="3:11" outlineLevel="2" x14ac:dyDescent="0.3">
      <c r="C2086" s="9">
        <v>45130</v>
      </c>
      <c r="D2086" t="s">
        <v>45</v>
      </c>
      <c r="E2086" t="s">
        <v>20</v>
      </c>
      <c r="F2086" t="s">
        <v>24</v>
      </c>
      <c r="G2086" t="s">
        <v>32</v>
      </c>
      <c r="H2086">
        <v>1505</v>
      </c>
      <c r="I2086">
        <v>33</v>
      </c>
      <c r="J2086" s="6">
        <f t="shared" si="156"/>
        <v>49.664999999999999</v>
      </c>
      <c r="K2086" t="s">
        <v>393</v>
      </c>
    </row>
    <row r="2087" spans="3:11" outlineLevel="2" x14ac:dyDescent="0.3">
      <c r="C2087" s="9">
        <v>45130</v>
      </c>
      <c r="D2087" t="s">
        <v>17</v>
      </c>
      <c r="E2087" t="s">
        <v>26</v>
      </c>
      <c r="F2087" t="s">
        <v>18</v>
      </c>
      <c r="G2087" t="s">
        <v>27</v>
      </c>
      <c r="H2087">
        <v>460</v>
      </c>
      <c r="I2087">
        <v>88</v>
      </c>
      <c r="J2087" s="6">
        <f t="shared" si="156"/>
        <v>40.479999999999997</v>
      </c>
      <c r="K2087" t="s">
        <v>393</v>
      </c>
    </row>
    <row r="2088" spans="3:11" outlineLevel="2" x14ac:dyDescent="0.3">
      <c r="C2088" s="9">
        <v>45130</v>
      </c>
      <c r="D2088" t="s">
        <v>12</v>
      </c>
      <c r="E2088" t="s">
        <v>26</v>
      </c>
      <c r="F2088" t="s">
        <v>18</v>
      </c>
      <c r="G2088" t="s">
        <v>31</v>
      </c>
      <c r="H2088">
        <v>715</v>
      </c>
      <c r="I2088">
        <v>69</v>
      </c>
      <c r="J2088" s="6">
        <f t="shared" si="156"/>
        <v>49.335000000000001</v>
      </c>
      <c r="K2088" t="s">
        <v>393</v>
      </c>
    </row>
    <row r="2089" spans="3:11" outlineLevel="2" x14ac:dyDescent="0.3">
      <c r="C2089" s="9">
        <v>45130</v>
      </c>
      <c r="D2089" t="s">
        <v>8</v>
      </c>
      <c r="E2089" t="s">
        <v>26</v>
      </c>
      <c r="F2089" t="s">
        <v>13</v>
      </c>
      <c r="G2089" t="s">
        <v>29</v>
      </c>
      <c r="H2089">
        <v>1230</v>
      </c>
      <c r="I2089">
        <v>90</v>
      </c>
      <c r="J2089" s="6">
        <f t="shared" si="156"/>
        <v>110.7</v>
      </c>
      <c r="K2089" t="s">
        <v>393</v>
      </c>
    </row>
    <row r="2090" spans="3:11" outlineLevel="2" x14ac:dyDescent="0.3">
      <c r="C2090" s="9">
        <v>45130</v>
      </c>
      <c r="D2090" t="s">
        <v>45</v>
      </c>
      <c r="E2090" t="s">
        <v>15</v>
      </c>
      <c r="F2090" t="s">
        <v>10</v>
      </c>
      <c r="G2090" t="s">
        <v>16</v>
      </c>
      <c r="H2090">
        <v>1380</v>
      </c>
      <c r="I2090">
        <v>58</v>
      </c>
      <c r="J2090" s="6">
        <f t="shared" si="156"/>
        <v>80.040000000000006</v>
      </c>
      <c r="K2090" t="s">
        <v>393</v>
      </c>
    </row>
    <row r="2091" spans="3:11" outlineLevel="2" x14ac:dyDescent="0.3">
      <c r="C2091" s="9">
        <v>45130</v>
      </c>
      <c r="D2091" t="s">
        <v>45</v>
      </c>
      <c r="E2091" t="s">
        <v>15</v>
      </c>
      <c r="F2091" t="s">
        <v>10</v>
      </c>
      <c r="G2091" t="s">
        <v>16</v>
      </c>
      <c r="H2091">
        <v>1380</v>
      </c>
      <c r="I2091">
        <v>66</v>
      </c>
      <c r="J2091" s="6">
        <f t="shared" si="156"/>
        <v>91.08</v>
      </c>
      <c r="K2091" t="s">
        <v>393</v>
      </c>
    </row>
    <row r="2092" spans="3:11" outlineLevel="2" x14ac:dyDescent="0.3">
      <c r="C2092" s="9">
        <v>45130</v>
      </c>
      <c r="D2092" t="s">
        <v>12</v>
      </c>
      <c r="E2092" t="s">
        <v>15</v>
      </c>
      <c r="F2092" t="s">
        <v>10</v>
      </c>
      <c r="G2092" t="s">
        <v>39</v>
      </c>
      <c r="H2092">
        <v>650</v>
      </c>
      <c r="I2092">
        <v>8</v>
      </c>
      <c r="J2092" s="6">
        <f t="shared" si="156"/>
        <v>5.2</v>
      </c>
      <c r="K2092" t="s">
        <v>393</v>
      </c>
    </row>
    <row r="2093" spans="3:11" outlineLevel="2" x14ac:dyDescent="0.3">
      <c r="C2093" s="9">
        <v>45130</v>
      </c>
      <c r="D2093" t="s">
        <v>8</v>
      </c>
      <c r="E2093" t="s">
        <v>15</v>
      </c>
      <c r="F2093" t="s">
        <v>24</v>
      </c>
      <c r="G2093" t="s">
        <v>42</v>
      </c>
      <c r="H2093">
        <v>3205</v>
      </c>
      <c r="I2093">
        <v>85</v>
      </c>
      <c r="J2093" s="6">
        <f t="shared" si="156"/>
        <v>272.42500000000001</v>
      </c>
      <c r="K2093" t="s">
        <v>393</v>
      </c>
    </row>
    <row r="2094" spans="3:11" outlineLevel="2" x14ac:dyDescent="0.3">
      <c r="C2094" s="9">
        <v>45130</v>
      </c>
      <c r="D2094" t="s">
        <v>8</v>
      </c>
      <c r="E2094" t="s">
        <v>33</v>
      </c>
      <c r="F2094" t="s">
        <v>10</v>
      </c>
      <c r="G2094" t="s">
        <v>39</v>
      </c>
      <c r="H2094">
        <v>650</v>
      </c>
      <c r="I2094">
        <v>31</v>
      </c>
      <c r="J2094" s="6">
        <f t="shared" si="156"/>
        <v>20.149999999999999</v>
      </c>
      <c r="K2094" t="s">
        <v>393</v>
      </c>
    </row>
    <row r="2095" spans="3:11" outlineLevel="2" x14ac:dyDescent="0.3">
      <c r="C2095" s="9">
        <v>45130</v>
      </c>
      <c r="D2095" t="s">
        <v>12</v>
      </c>
      <c r="E2095" t="s">
        <v>35</v>
      </c>
      <c r="F2095" t="s">
        <v>24</v>
      </c>
      <c r="G2095" t="s">
        <v>30</v>
      </c>
      <c r="H2095">
        <v>2970</v>
      </c>
      <c r="I2095">
        <v>47</v>
      </c>
      <c r="J2095" s="6">
        <f t="shared" si="156"/>
        <v>139.59</v>
      </c>
      <c r="K2095" t="s">
        <v>393</v>
      </c>
    </row>
    <row r="2096" spans="3:11" outlineLevel="1" x14ac:dyDescent="0.3">
      <c r="C2096" s="13" t="s">
        <v>218</v>
      </c>
      <c r="J2096" s="6">
        <f>SUBTOTAL(9,J2085:J2095)</f>
        <v>1072.2650000000001</v>
      </c>
      <c r="K2096" t="s">
        <v>393</v>
      </c>
    </row>
    <row r="2097" spans="3:11" outlineLevel="2" x14ac:dyDescent="0.3">
      <c r="C2097" s="9">
        <v>45131</v>
      </c>
      <c r="D2097" t="s">
        <v>8</v>
      </c>
      <c r="E2097" t="s">
        <v>20</v>
      </c>
      <c r="F2097" t="s">
        <v>18</v>
      </c>
      <c r="G2097" t="s">
        <v>28</v>
      </c>
      <c r="H2097">
        <v>690</v>
      </c>
      <c r="I2097">
        <v>21</v>
      </c>
      <c r="J2097" s="6">
        <f t="shared" ref="J2097:J2107" si="157">H2097*I2097/1000</f>
        <v>14.49</v>
      </c>
      <c r="K2097" t="s">
        <v>393</v>
      </c>
    </row>
    <row r="2098" spans="3:11" outlineLevel="2" x14ac:dyDescent="0.3">
      <c r="C2098" s="9">
        <v>45131</v>
      </c>
      <c r="D2098" t="s">
        <v>8</v>
      </c>
      <c r="E2098" t="s">
        <v>20</v>
      </c>
      <c r="F2098" t="s">
        <v>13</v>
      </c>
      <c r="G2098" t="s">
        <v>43</v>
      </c>
      <c r="H2098">
        <v>1420</v>
      </c>
      <c r="I2098">
        <v>51</v>
      </c>
      <c r="J2098" s="6">
        <f t="shared" si="157"/>
        <v>72.42</v>
      </c>
      <c r="K2098" t="s">
        <v>393</v>
      </c>
    </row>
    <row r="2099" spans="3:11" outlineLevel="2" x14ac:dyDescent="0.3">
      <c r="C2099" s="9">
        <v>45131</v>
      </c>
      <c r="D2099" t="s">
        <v>12</v>
      </c>
      <c r="E2099" t="s">
        <v>20</v>
      </c>
      <c r="F2099" t="s">
        <v>13</v>
      </c>
      <c r="G2099" t="s">
        <v>38</v>
      </c>
      <c r="H2099">
        <v>2400</v>
      </c>
      <c r="I2099">
        <v>40</v>
      </c>
      <c r="J2099" s="6">
        <f t="shared" si="157"/>
        <v>96</v>
      </c>
      <c r="K2099" t="s">
        <v>393</v>
      </c>
    </row>
    <row r="2100" spans="3:11" outlineLevel="2" x14ac:dyDescent="0.3">
      <c r="C2100" s="9">
        <v>45131</v>
      </c>
      <c r="D2100" t="s">
        <v>17</v>
      </c>
      <c r="E2100" t="s">
        <v>20</v>
      </c>
      <c r="F2100" t="s">
        <v>13</v>
      </c>
      <c r="G2100" t="s">
        <v>43</v>
      </c>
      <c r="H2100">
        <v>1420</v>
      </c>
      <c r="I2100">
        <v>76</v>
      </c>
      <c r="J2100" s="6">
        <f t="shared" si="157"/>
        <v>107.92</v>
      </c>
      <c r="K2100" t="s">
        <v>393</v>
      </c>
    </row>
    <row r="2101" spans="3:11" outlineLevel="2" x14ac:dyDescent="0.3">
      <c r="C2101" s="9">
        <v>45131</v>
      </c>
      <c r="D2101" t="s">
        <v>17</v>
      </c>
      <c r="E2101" t="s">
        <v>26</v>
      </c>
      <c r="F2101" t="s">
        <v>18</v>
      </c>
      <c r="G2101" t="s">
        <v>31</v>
      </c>
      <c r="H2101">
        <v>715</v>
      </c>
      <c r="I2101">
        <v>7</v>
      </c>
      <c r="J2101" s="6">
        <f t="shared" si="157"/>
        <v>5.0049999999999999</v>
      </c>
      <c r="K2101" t="s">
        <v>393</v>
      </c>
    </row>
    <row r="2102" spans="3:11" outlineLevel="2" x14ac:dyDescent="0.3">
      <c r="C2102" s="9">
        <v>45131</v>
      </c>
      <c r="D2102" t="s">
        <v>45</v>
      </c>
      <c r="E2102" t="s">
        <v>15</v>
      </c>
      <c r="F2102" t="s">
        <v>10</v>
      </c>
      <c r="G2102" t="s">
        <v>41</v>
      </c>
      <c r="H2102">
        <v>650</v>
      </c>
      <c r="I2102">
        <v>75</v>
      </c>
      <c r="J2102" s="6">
        <f t="shared" si="157"/>
        <v>48.75</v>
      </c>
      <c r="K2102" t="s">
        <v>393</v>
      </c>
    </row>
    <row r="2103" spans="3:11" outlineLevel="2" x14ac:dyDescent="0.3">
      <c r="C2103" s="9">
        <v>45131</v>
      </c>
      <c r="D2103" t="s">
        <v>17</v>
      </c>
      <c r="E2103" t="s">
        <v>15</v>
      </c>
      <c r="F2103" t="s">
        <v>10</v>
      </c>
      <c r="G2103" t="s">
        <v>40</v>
      </c>
      <c r="H2103">
        <v>540</v>
      </c>
      <c r="I2103">
        <v>5</v>
      </c>
      <c r="J2103" s="6">
        <f t="shared" si="157"/>
        <v>2.7</v>
      </c>
      <c r="K2103" t="s">
        <v>393</v>
      </c>
    </row>
    <row r="2104" spans="3:11" outlineLevel="2" x14ac:dyDescent="0.3">
      <c r="C2104" s="9">
        <v>45131</v>
      </c>
      <c r="D2104" t="s">
        <v>12</v>
      </c>
      <c r="E2104" t="s">
        <v>15</v>
      </c>
      <c r="F2104" t="s">
        <v>18</v>
      </c>
      <c r="G2104" t="s">
        <v>21</v>
      </c>
      <c r="H2104">
        <v>450</v>
      </c>
      <c r="I2104">
        <v>56</v>
      </c>
      <c r="J2104" s="6">
        <f t="shared" si="157"/>
        <v>25.2</v>
      </c>
      <c r="K2104" t="s">
        <v>393</v>
      </c>
    </row>
    <row r="2105" spans="3:11" outlineLevel="2" x14ac:dyDescent="0.3">
      <c r="C2105" s="9">
        <v>45131</v>
      </c>
      <c r="D2105" t="s">
        <v>8</v>
      </c>
      <c r="E2105" t="s">
        <v>33</v>
      </c>
      <c r="F2105" t="s">
        <v>10</v>
      </c>
      <c r="G2105" t="s">
        <v>39</v>
      </c>
      <c r="H2105">
        <v>650</v>
      </c>
      <c r="I2105">
        <v>23</v>
      </c>
      <c r="J2105" s="6">
        <f t="shared" si="157"/>
        <v>14.95</v>
      </c>
      <c r="K2105" t="s">
        <v>393</v>
      </c>
    </row>
    <row r="2106" spans="3:11" outlineLevel="2" x14ac:dyDescent="0.3">
      <c r="C2106" s="9">
        <v>45131</v>
      </c>
      <c r="D2106" t="s">
        <v>8</v>
      </c>
      <c r="E2106" t="s">
        <v>33</v>
      </c>
      <c r="F2106" t="s">
        <v>13</v>
      </c>
      <c r="G2106" t="s">
        <v>43</v>
      </c>
      <c r="H2106">
        <v>1420</v>
      </c>
      <c r="I2106">
        <v>7</v>
      </c>
      <c r="J2106" s="6">
        <f t="shared" si="157"/>
        <v>9.94</v>
      </c>
      <c r="K2106" t="s">
        <v>393</v>
      </c>
    </row>
    <row r="2107" spans="3:11" outlineLevel="2" x14ac:dyDescent="0.3">
      <c r="C2107" s="9">
        <v>45131</v>
      </c>
      <c r="D2107" t="s">
        <v>12</v>
      </c>
      <c r="E2107" t="s">
        <v>35</v>
      </c>
      <c r="F2107" t="s">
        <v>18</v>
      </c>
      <c r="G2107" t="s">
        <v>19</v>
      </c>
      <c r="H2107">
        <v>325</v>
      </c>
      <c r="I2107">
        <v>61</v>
      </c>
      <c r="J2107" s="6">
        <f t="shared" si="157"/>
        <v>19.824999999999999</v>
      </c>
      <c r="K2107" t="s">
        <v>393</v>
      </c>
    </row>
    <row r="2108" spans="3:11" outlineLevel="1" x14ac:dyDescent="0.3">
      <c r="C2108" s="13" t="s">
        <v>219</v>
      </c>
      <c r="J2108" s="6">
        <f>SUBTOTAL(9,J2097:J2107)</f>
        <v>417.19999999999993</v>
      </c>
      <c r="K2108" t="s">
        <v>393</v>
      </c>
    </row>
    <row r="2109" spans="3:11" outlineLevel="2" x14ac:dyDescent="0.3">
      <c r="C2109" s="9">
        <v>45132</v>
      </c>
      <c r="D2109" t="s">
        <v>8</v>
      </c>
      <c r="E2109" t="s">
        <v>20</v>
      </c>
      <c r="F2109" t="s">
        <v>10</v>
      </c>
      <c r="G2109" t="s">
        <v>23</v>
      </c>
      <c r="H2109">
        <v>640</v>
      </c>
      <c r="I2109">
        <v>17</v>
      </c>
      <c r="J2109" s="6">
        <f t="shared" ref="J2109:J2116" si="158">H2109*I2109/1000</f>
        <v>10.88</v>
      </c>
      <c r="K2109" t="s">
        <v>393</v>
      </c>
    </row>
    <row r="2110" spans="3:11" outlineLevel="2" x14ac:dyDescent="0.3">
      <c r="C2110" s="9">
        <v>45132</v>
      </c>
      <c r="D2110" t="s">
        <v>12</v>
      </c>
      <c r="E2110" t="s">
        <v>20</v>
      </c>
      <c r="F2110" t="s">
        <v>10</v>
      </c>
      <c r="G2110" t="s">
        <v>11</v>
      </c>
      <c r="H2110">
        <v>705</v>
      </c>
      <c r="I2110">
        <v>40</v>
      </c>
      <c r="J2110" s="6">
        <f t="shared" si="158"/>
        <v>28.2</v>
      </c>
      <c r="K2110" t="s">
        <v>393</v>
      </c>
    </row>
    <row r="2111" spans="3:11" outlineLevel="2" x14ac:dyDescent="0.3">
      <c r="C2111" s="9">
        <v>45132</v>
      </c>
      <c r="D2111" t="s">
        <v>45</v>
      </c>
      <c r="E2111" t="s">
        <v>20</v>
      </c>
      <c r="F2111" t="s">
        <v>18</v>
      </c>
      <c r="G2111" t="s">
        <v>31</v>
      </c>
      <c r="H2111">
        <v>715</v>
      </c>
      <c r="I2111">
        <v>58</v>
      </c>
      <c r="J2111" s="6">
        <f t="shared" si="158"/>
        <v>41.47</v>
      </c>
      <c r="K2111" t="s">
        <v>393</v>
      </c>
    </row>
    <row r="2112" spans="3:11" outlineLevel="2" x14ac:dyDescent="0.3">
      <c r="C2112" s="9">
        <v>45132</v>
      </c>
      <c r="D2112" t="s">
        <v>12</v>
      </c>
      <c r="E2112" t="s">
        <v>9</v>
      </c>
      <c r="F2112" t="s">
        <v>10</v>
      </c>
      <c r="G2112" t="s">
        <v>40</v>
      </c>
      <c r="H2112">
        <v>540</v>
      </c>
      <c r="I2112">
        <v>11</v>
      </c>
      <c r="J2112" s="6">
        <f t="shared" si="158"/>
        <v>5.94</v>
      </c>
      <c r="K2112" t="s">
        <v>393</v>
      </c>
    </row>
    <row r="2113" spans="3:11" outlineLevel="2" x14ac:dyDescent="0.3">
      <c r="C2113" s="9">
        <v>45132</v>
      </c>
      <c r="D2113" t="s">
        <v>12</v>
      </c>
      <c r="E2113" t="s">
        <v>9</v>
      </c>
      <c r="F2113" t="s">
        <v>13</v>
      </c>
      <c r="G2113" t="s">
        <v>44</v>
      </c>
      <c r="H2113">
        <v>2540</v>
      </c>
      <c r="I2113">
        <v>21</v>
      </c>
      <c r="J2113" s="6">
        <f t="shared" si="158"/>
        <v>53.34</v>
      </c>
      <c r="K2113" t="s">
        <v>393</v>
      </c>
    </row>
    <row r="2114" spans="3:11" outlineLevel="2" x14ac:dyDescent="0.3">
      <c r="C2114" s="9">
        <v>45132</v>
      </c>
      <c r="D2114" t="s">
        <v>12</v>
      </c>
      <c r="E2114" t="s">
        <v>15</v>
      </c>
      <c r="F2114" t="s">
        <v>18</v>
      </c>
      <c r="G2114" t="s">
        <v>21</v>
      </c>
      <c r="H2114">
        <v>450</v>
      </c>
      <c r="I2114">
        <v>66</v>
      </c>
      <c r="J2114" s="6">
        <f t="shared" si="158"/>
        <v>29.7</v>
      </c>
      <c r="K2114" t="s">
        <v>393</v>
      </c>
    </row>
    <row r="2115" spans="3:11" outlineLevel="2" x14ac:dyDescent="0.3">
      <c r="C2115" s="9">
        <v>45132</v>
      </c>
      <c r="D2115" t="s">
        <v>17</v>
      </c>
      <c r="E2115" t="s">
        <v>15</v>
      </c>
      <c r="F2115" t="s">
        <v>13</v>
      </c>
      <c r="G2115" t="s">
        <v>22</v>
      </c>
      <c r="H2115">
        <v>930</v>
      </c>
      <c r="I2115">
        <v>96</v>
      </c>
      <c r="J2115" s="6">
        <f t="shared" si="158"/>
        <v>89.28</v>
      </c>
      <c r="K2115" t="s">
        <v>393</v>
      </c>
    </row>
    <row r="2116" spans="3:11" outlineLevel="2" x14ac:dyDescent="0.3">
      <c r="C2116" s="9">
        <v>45132</v>
      </c>
      <c r="D2116" t="s">
        <v>17</v>
      </c>
      <c r="E2116" t="s">
        <v>35</v>
      </c>
      <c r="F2116" t="s">
        <v>18</v>
      </c>
      <c r="G2116" t="s">
        <v>21</v>
      </c>
      <c r="H2116">
        <v>450</v>
      </c>
      <c r="I2116">
        <v>48</v>
      </c>
      <c r="J2116" s="6">
        <f t="shared" si="158"/>
        <v>21.6</v>
      </c>
      <c r="K2116" t="s">
        <v>393</v>
      </c>
    </row>
    <row r="2117" spans="3:11" outlineLevel="1" x14ac:dyDescent="0.3">
      <c r="C2117" s="13" t="s">
        <v>220</v>
      </c>
      <c r="J2117" s="6">
        <f>SUBTOTAL(9,J2109:J2116)</f>
        <v>280.40999999999997</v>
      </c>
      <c r="K2117" t="s">
        <v>393</v>
      </c>
    </row>
    <row r="2118" spans="3:11" outlineLevel="2" x14ac:dyDescent="0.3">
      <c r="C2118" s="9">
        <v>45133</v>
      </c>
      <c r="D2118" t="s">
        <v>8</v>
      </c>
      <c r="E2118" t="s">
        <v>20</v>
      </c>
      <c r="F2118" t="s">
        <v>10</v>
      </c>
      <c r="G2118" t="s">
        <v>23</v>
      </c>
      <c r="H2118">
        <v>640</v>
      </c>
      <c r="I2118">
        <v>72</v>
      </c>
      <c r="J2118" s="6">
        <f t="shared" ref="J2118:J2125" si="159">H2118*I2118/1000</f>
        <v>46.08</v>
      </c>
      <c r="K2118" t="s">
        <v>393</v>
      </c>
    </row>
    <row r="2119" spans="3:11" outlineLevel="2" x14ac:dyDescent="0.3">
      <c r="C2119" s="9">
        <v>45133</v>
      </c>
      <c r="D2119" t="s">
        <v>8</v>
      </c>
      <c r="E2119" t="s">
        <v>20</v>
      </c>
      <c r="F2119" t="s">
        <v>10</v>
      </c>
      <c r="G2119" t="s">
        <v>40</v>
      </c>
      <c r="H2119">
        <v>540</v>
      </c>
      <c r="I2119">
        <v>51</v>
      </c>
      <c r="J2119" s="6">
        <f t="shared" si="159"/>
        <v>27.54</v>
      </c>
      <c r="K2119" t="s">
        <v>393</v>
      </c>
    </row>
    <row r="2120" spans="3:11" outlineLevel="2" x14ac:dyDescent="0.3">
      <c r="C2120" s="9">
        <v>45133</v>
      </c>
      <c r="D2120" t="s">
        <v>17</v>
      </c>
      <c r="E2120" t="s">
        <v>9</v>
      </c>
      <c r="F2120" t="s">
        <v>18</v>
      </c>
      <c r="G2120" t="s">
        <v>37</v>
      </c>
      <c r="H2120">
        <v>890</v>
      </c>
      <c r="I2120">
        <v>38</v>
      </c>
      <c r="J2120" s="6">
        <f t="shared" si="159"/>
        <v>33.82</v>
      </c>
      <c r="K2120" t="s">
        <v>393</v>
      </c>
    </row>
    <row r="2121" spans="3:11" outlineLevel="2" x14ac:dyDescent="0.3">
      <c r="C2121" s="9">
        <v>45133</v>
      </c>
      <c r="D2121" t="s">
        <v>12</v>
      </c>
      <c r="E2121" t="s">
        <v>26</v>
      </c>
      <c r="F2121" t="s">
        <v>13</v>
      </c>
      <c r="G2121" t="s">
        <v>43</v>
      </c>
      <c r="H2121">
        <v>1420</v>
      </c>
      <c r="I2121">
        <v>91</v>
      </c>
      <c r="J2121" s="6">
        <f t="shared" si="159"/>
        <v>129.22</v>
      </c>
      <c r="K2121" t="s">
        <v>393</v>
      </c>
    </row>
    <row r="2122" spans="3:11" outlineLevel="2" x14ac:dyDescent="0.3">
      <c r="C2122" s="9">
        <v>45133</v>
      </c>
      <c r="D2122" t="s">
        <v>12</v>
      </c>
      <c r="E2122" t="s">
        <v>35</v>
      </c>
      <c r="F2122" t="s">
        <v>10</v>
      </c>
      <c r="G2122" t="s">
        <v>40</v>
      </c>
      <c r="H2122">
        <v>540</v>
      </c>
      <c r="I2122">
        <v>56</v>
      </c>
      <c r="J2122" s="6">
        <f t="shared" si="159"/>
        <v>30.24</v>
      </c>
      <c r="K2122" t="s">
        <v>393</v>
      </c>
    </row>
    <row r="2123" spans="3:11" outlineLevel="2" x14ac:dyDescent="0.3">
      <c r="C2123" s="9">
        <v>45133</v>
      </c>
      <c r="D2123" t="s">
        <v>8</v>
      </c>
      <c r="E2123" t="s">
        <v>35</v>
      </c>
      <c r="F2123" t="s">
        <v>10</v>
      </c>
      <c r="G2123" t="s">
        <v>16</v>
      </c>
      <c r="H2123">
        <v>1380</v>
      </c>
      <c r="I2123">
        <v>53</v>
      </c>
      <c r="J2123" s="6">
        <f t="shared" si="159"/>
        <v>73.14</v>
      </c>
      <c r="K2123" t="s">
        <v>393</v>
      </c>
    </row>
    <row r="2124" spans="3:11" outlineLevel="2" x14ac:dyDescent="0.3">
      <c r="C2124" s="9">
        <v>45133</v>
      </c>
      <c r="D2124" t="s">
        <v>8</v>
      </c>
      <c r="E2124" t="s">
        <v>35</v>
      </c>
      <c r="F2124" t="s">
        <v>18</v>
      </c>
      <c r="G2124" t="s">
        <v>37</v>
      </c>
      <c r="H2124">
        <v>890</v>
      </c>
      <c r="I2124">
        <v>67</v>
      </c>
      <c r="J2124" s="6">
        <f t="shared" si="159"/>
        <v>59.63</v>
      </c>
      <c r="K2124" t="s">
        <v>393</v>
      </c>
    </row>
    <row r="2125" spans="3:11" outlineLevel="2" x14ac:dyDescent="0.3">
      <c r="C2125" s="9">
        <v>45133</v>
      </c>
      <c r="D2125" t="s">
        <v>12</v>
      </c>
      <c r="E2125" t="s">
        <v>35</v>
      </c>
      <c r="F2125" t="s">
        <v>24</v>
      </c>
      <c r="G2125" t="s">
        <v>30</v>
      </c>
      <c r="H2125">
        <v>2970</v>
      </c>
      <c r="I2125">
        <v>29</v>
      </c>
      <c r="J2125" s="6">
        <f t="shared" si="159"/>
        <v>86.13</v>
      </c>
      <c r="K2125" t="s">
        <v>393</v>
      </c>
    </row>
    <row r="2126" spans="3:11" outlineLevel="1" x14ac:dyDescent="0.3">
      <c r="C2126" s="13" t="s">
        <v>221</v>
      </c>
      <c r="J2126" s="6">
        <f>SUBTOTAL(9,J2118:J2125)</f>
        <v>485.79999999999995</v>
      </c>
      <c r="K2126" t="s">
        <v>393</v>
      </c>
    </row>
    <row r="2127" spans="3:11" outlineLevel="2" x14ac:dyDescent="0.3">
      <c r="C2127" s="9">
        <v>45134</v>
      </c>
      <c r="D2127" t="s">
        <v>45</v>
      </c>
      <c r="E2127" t="s">
        <v>9</v>
      </c>
      <c r="F2127" t="s">
        <v>13</v>
      </c>
      <c r="G2127" t="s">
        <v>29</v>
      </c>
      <c r="H2127">
        <v>1230</v>
      </c>
      <c r="I2127">
        <v>93</v>
      </c>
      <c r="J2127" s="6">
        <f t="shared" ref="J2127:J2132" si="160">H2127*I2127/1000</f>
        <v>114.39</v>
      </c>
      <c r="K2127" t="s">
        <v>393</v>
      </c>
    </row>
    <row r="2128" spans="3:11" outlineLevel="2" x14ac:dyDescent="0.3">
      <c r="C2128" s="9">
        <v>45134</v>
      </c>
      <c r="D2128" t="s">
        <v>8</v>
      </c>
      <c r="E2128" t="s">
        <v>15</v>
      </c>
      <c r="F2128" t="s">
        <v>18</v>
      </c>
      <c r="G2128" t="s">
        <v>37</v>
      </c>
      <c r="H2128">
        <v>890</v>
      </c>
      <c r="I2128">
        <v>26</v>
      </c>
      <c r="J2128" s="6">
        <f t="shared" si="160"/>
        <v>23.14</v>
      </c>
      <c r="K2128" t="s">
        <v>393</v>
      </c>
    </row>
    <row r="2129" spans="3:11" outlineLevel="2" x14ac:dyDescent="0.3">
      <c r="C2129" s="9">
        <v>45134</v>
      </c>
      <c r="D2129" t="s">
        <v>45</v>
      </c>
      <c r="E2129" t="s">
        <v>15</v>
      </c>
      <c r="F2129" t="s">
        <v>13</v>
      </c>
      <c r="G2129" t="s">
        <v>44</v>
      </c>
      <c r="H2129">
        <v>2540</v>
      </c>
      <c r="I2129">
        <v>97</v>
      </c>
      <c r="J2129" s="6">
        <f t="shared" si="160"/>
        <v>246.38</v>
      </c>
      <c r="K2129" t="s">
        <v>393</v>
      </c>
    </row>
    <row r="2130" spans="3:11" outlineLevel="2" x14ac:dyDescent="0.3">
      <c r="C2130" s="9">
        <v>45134</v>
      </c>
      <c r="D2130" t="s">
        <v>17</v>
      </c>
      <c r="E2130" t="s">
        <v>15</v>
      </c>
      <c r="F2130" t="s">
        <v>13</v>
      </c>
      <c r="G2130" t="s">
        <v>43</v>
      </c>
      <c r="H2130">
        <v>1420</v>
      </c>
      <c r="I2130">
        <v>45</v>
      </c>
      <c r="J2130" s="6">
        <f t="shared" si="160"/>
        <v>63.9</v>
      </c>
      <c r="K2130" t="s">
        <v>393</v>
      </c>
    </row>
    <row r="2131" spans="3:11" outlineLevel="2" x14ac:dyDescent="0.3">
      <c r="C2131" s="9">
        <v>45134</v>
      </c>
      <c r="D2131" t="s">
        <v>17</v>
      </c>
      <c r="E2131" t="s">
        <v>33</v>
      </c>
      <c r="F2131" t="s">
        <v>10</v>
      </c>
      <c r="G2131" t="s">
        <v>39</v>
      </c>
      <c r="H2131">
        <v>650</v>
      </c>
      <c r="I2131">
        <v>30</v>
      </c>
      <c r="J2131" s="6">
        <f t="shared" si="160"/>
        <v>19.5</v>
      </c>
      <c r="K2131" t="s">
        <v>393</v>
      </c>
    </row>
    <row r="2132" spans="3:11" outlineLevel="2" x14ac:dyDescent="0.3">
      <c r="C2132" s="9">
        <v>45134</v>
      </c>
      <c r="D2132" t="s">
        <v>45</v>
      </c>
      <c r="E2132" t="s">
        <v>35</v>
      </c>
      <c r="F2132" t="s">
        <v>24</v>
      </c>
      <c r="G2132" t="s">
        <v>36</v>
      </c>
      <c r="H2132">
        <v>2460</v>
      </c>
      <c r="I2132">
        <v>84</v>
      </c>
      <c r="J2132" s="6">
        <f t="shared" si="160"/>
        <v>206.64</v>
      </c>
      <c r="K2132" t="s">
        <v>393</v>
      </c>
    </row>
    <row r="2133" spans="3:11" outlineLevel="1" x14ac:dyDescent="0.3">
      <c r="C2133" s="13" t="s">
        <v>222</v>
      </c>
      <c r="J2133" s="6">
        <f>SUBTOTAL(9,J2127:J2132)</f>
        <v>673.94999999999993</v>
      </c>
      <c r="K2133" t="s">
        <v>393</v>
      </c>
    </row>
    <row r="2134" spans="3:11" outlineLevel="2" x14ac:dyDescent="0.3">
      <c r="C2134" s="9">
        <v>45135</v>
      </c>
      <c r="D2134" t="s">
        <v>12</v>
      </c>
      <c r="E2134" t="s">
        <v>20</v>
      </c>
      <c r="F2134" t="s">
        <v>24</v>
      </c>
      <c r="G2134" t="s">
        <v>42</v>
      </c>
      <c r="H2134">
        <v>3205</v>
      </c>
      <c r="I2134">
        <v>82</v>
      </c>
      <c r="J2134" s="6">
        <f t="shared" ref="J2134:J2139" si="161">H2134*I2134/1000</f>
        <v>262.81</v>
      </c>
      <c r="K2134" t="s">
        <v>393</v>
      </c>
    </row>
    <row r="2135" spans="3:11" outlineLevel="2" x14ac:dyDescent="0.3">
      <c r="C2135" s="9">
        <v>45135</v>
      </c>
      <c r="D2135" t="s">
        <v>12</v>
      </c>
      <c r="E2135" t="s">
        <v>26</v>
      </c>
      <c r="F2135" t="s">
        <v>10</v>
      </c>
      <c r="G2135" t="s">
        <v>39</v>
      </c>
      <c r="H2135">
        <v>650</v>
      </c>
      <c r="I2135">
        <v>9</v>
      </c>
      <c r="J2135" s="6">
        <f t="shared" si="161"/>
        <v>5.85</v>
      </c>
      <c r="K2135" t="s">
        <v>393</v>
      </c>
    </row>
    <row r="2136" spans="3:11" outlineLevel="2" x14ac:dyDescent="0.3">
      <c r="C2136" s="9">
        <v>45135</v>
      </c>
      <c r="D2136" t="s">
        <v>8</v>
      </c>
      <c r="E2136" t="s">
        <v>15</v>
      </c>
      <c r="F2136" t="s">
        <v>13</v>
      </c>
      <c r="G2136" t="s">
        <v>29</v>
      </c>
      <c r="H2136">
        <v>1230</v>
      </c>
      <c r="I2136">
        <v>36</v>
      </c>
      <c r="J2136" s="6">
        <f t="shared" si="161"/>
        <v>44.28</v>
      </c>
      <c r="K2136" t="s">
        <v>393</v>
      </c>
    </row>
    <row r="2137" spans="3:11" outlineLevel="2" x14ac:dyDescent="0.3">
      <c r="C2137" s="9">
        <v>45135</v>
      </c>
      <c r="D2137" t="s">
        <v>17</v>
      </c>
      <c r="E2137" t="s">
        <v>33</v>
      </c>
      <c r="F2137" t="s">
        <v>10</v>
      </c>
      <c r="G2137" t="s">
        <v>41</v>
      </c>
      <c r="H2137">
        <v>650</v>
      </c>
      <c r="I2137">
        <v>15</v>
      </c>
      <c r="J2137" s="6">
        <f t="shared" si="161"/>
        <v>9.75</v>
      </c>
      <c r="K2137" t="s">
        <v>393</v>
      </c>
    </row>
    <row r="2138" spans="3:11" outlineLevel="2" x14ac:dyDescent="0.3">
      <c r="C2138" s="9">
        <v>45135</v>
      </c>
      <c r="D2138" t="s">
        <v>8</v>
      </c>
      <c r="E2138" t="s">
        <v>33</v>
      </c>
      <c r="F2138" t="s">
        <v>13</v>
      </c>
      <c r="G2138" t="s">
        <v>43</v>
      </c>
      <c r="H2138">
        <v>1420</v>
      </c>
      <c r="I2138">
        <v>54</v>
      </c>
      <c r="J2138" s="6">
        <f t="shared" si="161"/>
        <v>76.680000000000007</v>
      </c>
      <c r="K2138" t="s">
        <v>393</v>
      </c>
    </row>
    <row r="2139" spans="3:11" outlineLevel="2" x14ac:dyDescent="0.3">
      <c r="C2139" s="9">
        <v>45135</v>
      </c>
      <c r="D2139" t="s">
        <v>45</v>
      </c>
      <c r="E2139" t="s">
        <v>35</v>
      </c>
      <c r="F2139" t="s">
        <v>18</v>
      </c>
      <c r="G2139" t="s">
        <v>27</v>
      </c>
      <c r="H2139">
        <v>460</v>
      </c>
      <c r="I2139">
        <v>8</v>
      </c>
      <c r="J2139" s="6">
        <f t="shared" si="161"/>
        <v>3.68</v>
      </c>
      <c r="K2139" t="s">
        <v>393</v>
      </c>
    </row>
    <row r="2140" spans="3:11" outlineLevel="1" x14ac:dyDescent="0.3">
      <c r="C2140" s="13" t="s">
        <v>223</v>
      </c>
      <c r="J2140" s="6">
        <f>SUBTOTAL(9,J2134:J2139)</f>
        <v>403.05000000000007</v>
      </c>
      <c r="K2140" t="s">
        <v>393</v>
      </c>
    </row>
    <row r="2141" spans="3:11" outlineLevel="2" x14ac:dyDescent="0.3">
      <c r="C2141" s="9">
        <v>45136</v>
      </c>
      <c r="D2141" t="s">
        <v>45</v>
      </c>
      <c r="E2141" t="s">
        <v>20</v>
      </c>
      <c r="F2141" t="s">
        <v>18</v>
      </c>
      <c r="G2141" t="s">
        <v>28</v>
      </c>
      <c r="H2141">
        <v>690</v>
      </c>
      <c r="I2141">
        <v>68</v>
      </c>
      <c r="J2141" s="6">
        <f t="shared" ref="J2141:J2149" si="162">H2141*I2141/1000</f>
        <v>46.92</v>
      </c>
      <c r="K2141" t="s">
        <v>393</v>
      </c>
    </row>
    <row r="2142" spans="3:11" outlineLevel="2" x14ac:dyDescent="0.3">
      <c r="C2142" s="9">
        <v>45136</v>
      </c>
      <c r="D2142" t="s">
        <v>17</v>
      </c>
      <c r="E2142" t="s">
        <v>20</v>
      </c>
      <c r="F2142" t="s">
        <v>13</v>
      </c>
      <c r="G2142" t="s">
        <v>44</v>
      </c>
      <c r="H2142">
        <v>2540</v>
      </c>
      <c r="I2142">
        <v>81</v>
      </c>
      <c r="J2142" s="6">
        <f t="shared" si="162"/>
        <v>205.74</v>
      </c>
      <c r="K2142" t="s">
        <v>393</v>
      </c>
    </row>
    <row r="2143" spans="3:11" outlineLevel="2" x14ac:dyDescent="0.3">
      <c r="C2143" s="9">
        <v>45136</v>
      </c>
      <c r="D2143" t="s">
        <v>45</v>
      </c>
      <c r="E2143" t="s">
        <v>26</v>
      </c>
      <c r="F2143" t="s">
        <v>10</v>
      </c>
      <c r="G2143" t="s">
        <v>41</v>
      </c>
      <c r="H2143">
        <v>650</v>
      </c>
      <c r="I2143">
        <v>84</v>
      </c>
      <c r="J2143" s="6">
        <f t="shared" si="162"/>
        <v>54.6</v>
      </c>
      <c r="K2143" t="s">
        <v>393</v>
      </c>
    </row>
    <row r="2144" spans="3:11" outlineLevel="2" x14ac:dyDescent="0.3">
      <c r="C2144" s="9">
        <v>45136</v>
      </c>
      <c r="D2144" t="s">
        <v>45</v>
      </c>
      <c r="E2144" t="s">
        <v>26</v>
      </c>
      <c r="F2144" t="s">
        <v>13</v>
      </c>
      <c r="G2144" t="s">
        <v>38</v>
      </c>
      <c r="H2144">
        <v>2400</v>
      </c>
      <c r="I2144">
        <v>54</v>
      </c>
      <c r="J2144" s="6">
        <f t="shared" si="162"/>
        <v>129.6</v>
      </c>
      <c r="K2144" t="s">
        <v>393</v>
      </c>
    </row>
    <row r="2145" spans="3:11" outlineLevel="2" x14ac:dyDescent="0.3">
      <c r="C2145" s="9">
        <v>45136</v>
      </c>
      <c r="D2145" t="s">
        <v>17</v>
      </c>
      <c r="E2145" t="s">
        <v>26</v>
      </c>
      <c r="F2145" t="s">
        <v>13</v>
      </c>
      <c r="G2145" t="s">
        <v>29</v>
      </c>
      <c r="H2145">
        <v>1230</v>
      </c>
      <c r="I2145">
        <v>27</v>
      </c>
      <c r="J2145" s="6">
        <f t="shared" si="162"/>
        <v>33.21</v>
      </c>
      <c r="K2145" t="s">
        <v>393</v>
      </c>
    </row>
    <row r="2146" spans="3:11" outlineLevel="2" x14ac:dyDescent="0.3">
      <c r="C2146" s="9">
        <v>45136</v>
      </c>
      <c r="D2146" t="s">
        <v>12</v>
      </c>
      <c r="E2146" t="s">
        <v>15</v>
      </c>
      <c r="F2146" t="s">
        <v>10</v>
      </c>
      <c r="G2146" t="s">
        <v>11</v>
      </c>
      <c r="H2146">
        <v>705</v>
      </c>
      <c r="I2146">
        <v>85</v>
      </c>
      <c r="J2146" s="6">
        <f t="shared" si="162"/>
        <v>59.924999999999997</v>
      </c>
      <c r="K2146" t="s">
        <v>393</v>
      </c>
    </row>
    <row r="2147" spans="3:11" outlineLevel="2" x14ac:dyDescent="0.3">
      <c r="C2147" s="9">
        <v>45136</v>
      </c>
      <c r="D2147" t="s">
        <v>12</v>
      </c>
      <c r="E2147" t="s">
        <v>15</v>
      </c>
      <c r="F2147" t="s">
        <v>24</v>
      </c>
      <c r="G2147" t="s">
        <v>42</v>
      </c>
      <c r="H2147">
        <v>3205</v>
      </c>
      <c r="I2147">
        <v>41</v>
      </c>
      <c r="J2147" s="6">
        <f t="shared" si="162"/>
        <v>131.405</v>
      </c>
      <c r="K2147" t="s">
        <v>393</v>
      </c>
    </row>
    <row r="2148" spans="3:11" outlineLevel="2" x14ac:dyDescent="0.3">
      <c r="C2148" s="9">
        <v>45136</v>
      </c>
      <c r="D2148" t="s">
        <v>45</v>
      </c>
      <c r="E2148" t="s">
        <v>15</v>
      </c>
      <c r="F2148" t="s">
        <v>24</v>
      </c>
      <c r="G2148" t="s">
        <v>30</v>
      </c>
      <c r="H2148">
        <v>2970</v>
      </c>
      <c r="I2148">
        <v>8</v>
      </c>
      <c r="J2148" s="6">
        <f t="shared" si="162"/>
        <v>23.76</v>
      </c>
      <c r="K2148" t="s">
        <v>393</v>
      </c>
    </row>
    <row r="2149" spans="3:11" outlineLevel="2" x14ac:dyDescent="0.3">
      <c r="C2149" s="9">
        <v>45136</v>
      </c>
      <c r="D2149" t="s">
        <v>45</v>
      </c>
      <c r="E2149" t="s">
        <v>33</v>
      </c>
      <c r="F2149" t="s">
        <v>18</v>
      </c>
      <c r="G2149" t="s">
        <v>21</v>
      </c>
      <c r="H2149">
        <v>450</v>
      </c>
      <c r="I2149">
        <v>86</v>
      </c>
      <c r="J2149" s="6">
        <f t="shared" si="162"/>
        <v>38.700000000000003</v>
      </c>
      <c r="K2149" t="s">
        <v>393</v>
      </c>
    </row>
    <row r="2150" spans="3:11" outlineLevel="1" x14ac:dyDescent="0.3">
      <c r="C2150" s="13" t="s">
        <v>224</v>
      </c>
      <c r="J2150" s="6">
        <f>SUBTOTAL(9,J2141:J2149)</f>
        <v>723.86</v>
      </c>
      <c r="K2150" t="s">
        <v>393</v>
      </c>
    </row>
    <row r="2151" spans="3:11" outlineLevel="2" x14ac:dyDescent="0.3">
      <c r="C2151" s="9">
        <v>45137</v>
      </c>
      <c r="D2151" t="s">
        <v>12</v>
      </c>
      <c r="E2151" t="s">
        <v>20</v>
      </c>
      <c r="F2151" t="s">
        <v>18</v>
      </c>
      <c r="G2151" t="s">
        <v>19</v>
      </c>
      <c r="H2151">
        <v>325</v>
      </c>
      <c r="I2151">
        <v>99</v>
      </c>
      <c r="J2151" s="6">
        <f t="shared" ref="J2151:J2161" si="163">H2151*I2151/1000</f>
        <v>32.174999999999997</v>
      </c>
      <c r="K2151" t="s">
        <v>393</v>
      </c>
    </row>
    <row r="2152" spans="3:11" outlineLevel="2" x14ac:dyDescent="0.3">
      <c r="C2152" s="9">
        <v>45137</v>
      </c>
      <c r="D2152" t="s">
        <v>12</v>
      </c>
      <c r="E2152" t="s">
        <v>9</v>
      </c>
      <c r="F2152" t="s">
        <v>13</v>
      </c>
      <c r="G2152" t="s">
        <v>38</v>
      </c>
      <c r="H2152">
        <v>2400</v>
      </c>
      <c r="I2152">
        <v>91</v>
      </c>
      <c r="J2152" s="6">
        <f t="shared" si="163"/>
        <v>218.4</v>
      </c>
      <c r="K2152" t="s">
        <v>393</v>
      </c>
    </row>
    <row r="2153" spans="3:11" outlineLevel="2" x14ac:dyDescent="0.3">
      <c r="C2153" s="9">
        <v>45137</v>
      </c>
      <c r="D2153" t="s">
        <v>17</v>
      </c>
      <c r="E2153" t="s">
        <v>9</v>
      </c>
      <c r="F2153" t="s">
        <v>24</v>
      </c>
      <c r="G2153" t="s">
        <v>32</v>
      </c>
      <c r="H2153">
        <v>1505</v>
      </c>
      <c r="I2153">
        <v>86</v>
      </c>
      <c r="J2153" s="6">
        <f t="shared" si="163"/>
        <v>129.43</v>
      </c>
      <c r="K2153" t="s">
        <v>393</v>
      </c>
    </row>
    <row r="2154" spans="3:11" outlineLevel="2" x14ac:dyDescent="0.3">
      <c r="C2154" s="9">
        <v>45137</v>
      </c>
      <c r="D2154" t="s">
        <v>17</v>
      </c>
      <c r="E2154" t="s">
        <v>26</v>
      </c>
      <c r="F2154" t="s">
        <v>10</v>
      </c>
      <c r="G2154" t="s">
        <v>11</v>
      </c>
      <c r="H2154">
        <v>705</v>
      </c>
      <c r="I2154">
        <v>25</v>
      </c>
      <c r="J2154" s="6">
        <f t="shared" si="163"/>
        <v>17.625</v>
      </c>
      <c r="K2154" t="s">
        <v>393</v>
      </c>
    </row>
    <row r="2155" spans="3:11" outlineLevel="2" x14ac:dyDescent="0.3">
      <c r="C2155" s="9">
        <v>45137</v>
      </c>
      <c r="D2155" t="s">
        <v>12</v>
      </c>
      <c r="E2155" t="s">
        <v>26</v>
      </c>
      <c r="F2155" t="s">
        <v>18</v>
      </c>
      <c r="G2155" t="s">
        <v>37</v>
      </c>
      <c r="H2155">
        <v>890</v>
      </c>
      <c r="I2155">
        <v>63</v>
      </c>
      <c r="J2155" s="6">
        <f t="shared" si="163"/>
        <v>56.07</v>
      </c>
      <c r="K2155" t="s">
        <v>393</v>
      </c>
    </row>
    <row r="2156" spans="3:11" outlineLevel="2" x14ac:dyDescent="0.3">
      <c r="C2156" s="9">
        <v>45137</v>
      </c>
      <c r="D2156" t="s">
        <v>45</v>
      </c>
      <c r="E2156" t="s">
        <v>15</v>
      </c>
      <c r="F2156" t="s">
        <v>18</v>
      </c>
      <c r="G2156" t="s">
        <v>19</v>
      </c>
      <c r="H2156">
        <v>325</v>
      </c>
      <c r="I2156">
        <v>18</v>
      </c>
      <c r="J2156" s="6">
        <f t="shared" si="163"/>
        <v>5.85</v>
      </c>
      <c r="K2156" t="s">
        <v>393</v>
      </c>
    </row>
    <row r="2157" spans="3:11" outlineLevel="2" x14ac:dyDescent="0.3">
      <c r="C2157" s="9">
        <v>45137</v>
      </c>
      <c r="D2157" t="s">
        <v>12</v>
      </c>
      <c r="E2157" t="s">
        <v>15</v>
      </c>
      <c r="F2157" t="s">
        <v>18</v>
      </c>
      <c r="G2157" t="s">
        <v>21</v>
      </c>
      <c r="H2157">
        <v>450</v>
      </c>
      <c r="I2157">
        <v>56</v>
      </c>
      <c r="J2157" s="6">
        <f t="shared" si="163"/>
        <v>25.2</v>
      </c>
      <c r="K2157" t="s">
        <v>393</v>
      </c>
    </row>
    <row r="2158" spans="3:11" outlineLevel="2" x14ac:dyDescent="0.3">
      <c r="C2158" s="9">
        <v>45137</v>
      </c>
      <c r="D2158" t="s">
        <v>12</v>
      </c>
      <c r="E2158" t="s">
        <v>15</v>
      </c>
      <c r="F2158" t="s">
        <v>13</v>
      </c>
      <c r="G2158" t="s">
        <v>22</v>
      </c>
      <c r="H2158">
        <v>930</v>
      </c>
      <c r="I2158">
        <v>30</v>
      </c>
      <c r="J2158" s="6">
        <f t="shared" si="163"/>
        <v>27.9</v>
      </c>
      <c r="K2158" t="s">
        <v>393</v>
      </c>
    </row>
    <row r="2159" spans="3:11" outlineLevel="2" x14ac:dyDescent="0.3">
      <c r="C2159" s="9">
        <v>45137</v>
      </c>
      <c r="D2159" t="s">
        <v>12</v>
      </c>
      <c r="E2159" t="s">
        <v>15</v>
      </c>
      <c r="F2159" t="s">
        <v>24</v>
      </c>
      <c r="G2159" t="s">
        <v>25</v>
      </c>
      <c r="H2159">
        <v>1760</v>
      </c>
      <c r="I2159">
        <v>25</v>
      </c>
      <c r="J2159" s="6">
        <f t="shared" si="163"/>
        <v>44</v>
      </c>
      <c r="K2159" t="s">
        <v>393</v>
      </c>
    </row>
    <row r="2160" spans="3:11" outlineLevel="2" x14ac:dyDescent="0.3">
      <c r="C2160" s="9">
        <v>45137</v>
      </c>
      <c r="D2160" t="s">
        <v>8</v>
      </c>
      <c r="E2160" t="s">
        <v>33</v>
      </c>
      <c r="F2160" t="s">
        <v>18</v>
      </c>
      <c r="G2160" t="s">
        <v>19</v>
      </c>
      <c r="H2160">
        <v>325</v>
      </c>
      <c r="I2160">
        <v>26</v>
      </c>
      <c r="J2160" s="6">
        <f t="shared" si="163"/>
        <v>8.4499999999999993</v>
      </c>
      <c r="K2160" t="s">
        <v>393</v>
      </c>
    </row>
    <row r="2161" spans="3:11" outlineLevel="2" x14ac:dyDescent="0.3">
      <c r="C2161" s="9">
        <v>45137</v>
      </c>
      <c r="D2161" t="s">
        <v>8</v>
      </c>
      <c r="E2161" t="s">
        <v>35</v>
      </c>
      <c r="F2161" t="s">
        <v>24</v>
      </c>
      <c r="G2161" t="s">
        <v>36</v>
      </c>
      <c r="H2161">
        <v>2460</v>
      </c>
      <c r="I2161">
        <v>22</v>
      </c>
      <c r="J2161" s="6">
        <f t="shared" si="163"/>
        <v>54.12</v>
      </c>
      <c r="K2161" t="s">
        <v>393</v>
      </c>
    </row>
    <row r="2162" spans="3:11" outlineLevel="1" x14ac:dyDescent="0.3">
      <c r="C2162" s="13" t="s">
        <v>225</v>
      </c>
      <c r="J2162" s="6">
        <f>SUBTOTAL(9,J2151:J2161)</f>
        <v>619.22</v>
      </c>
      <c r="K2162" t="s">
        <v>393</v>
      </c>
    </row>
    <row r="2163" spans="3:11" outlineLevel="2" x14ac:dyDescent="0.3">
      <c r="C2163" s="9">
        <v>45138</v>
      </c>
      <c r="D2163" t="s">
        <v>12</v>
      </c>
      <c r="E2163" t="s">
        <v>20</v>
      </c>
      <c r="F2163" t="s">
        <v>10</v>
      </c>
      <c r="G2163" t="s">
        <v>41</v>
      </c>
      <c r="H2163">
        <v>650</v>
      </c>
      <c r="I2163">
        <v>33</v>
      </c>
      <c r="J2163" s="6">
        <f>H2163*I2163/1000</f>
        <v>21.45</v>
      </c>
      <c r="K2163" t="s">
        <v>393</v>
      </c>
    </row>
    <row r="2164" spans="3:11" outlineLevel="2" x14ac:dyDescent="0.3">
      <c r="C2164" s="9">
        <v>45138</v>
      </c>
      <c r="D2164" t="s">
        <v>45</v>
      </c>
      <c r="E2164" t="s">
        <v>20</v>
      </c>
      <c r="F2164" t="s">
        <v>18</v>
      </c>
      <c r="G2164" t="s">
        <v>19</v>
      </c>
      <c r="H2164">
        <v>325</v>
      </c>
      <c r="I2164">
        <v>31</v>
      </c>
      <c r="J2164" s="6">
        <f>H2164*I2164/1000</f>
        <v>10.074999999999999</v>
      </c>
      <c r="K2164" t="s">
        <v>393</v>
      </c>
    </row>
    <row r="2165" spans="3:11" outlineLevel="2" x14ac:dyDescent="0.3">
      <c r="C2165" s="9">
        <v>45138</v>
      </c>
      <c r="D2165" t="s">
        <v>45</v>
      </c>
      <c r="E2165" t="s">
        <v>20</v>
      </c>
      <c r="F2165" t="s">
        <v>13</v>
      </c>
      <c r="G2165" t="s">
        <v>43</v>
      </c>
      <c r="H2165">
        <v>1420</v>
      </c>
      <c r="I2165">
        <v>19</v>
      </c>
      <c r="J2165" s="6">
        <f>H2165*I2165/1000</f>
        <v>26.98</v>
      </c>
      <c r="K2165" t="s">
        <v>393</v>
      </c>
    </row>
    <row r="2166" spans="3:11" outlineLevel="2" x14ac:dyDescent="0.3">
      <c r="C2166" s="9">
        <v>45138</v>
      </c>
      <c r="D2166" t="s">
        <v>12</v>
      </c>
      <c r="E2166" t="s">
        <v>26</v>
      </c>
      <c r="F2166" t="s">
        <v>13</v>
      </c>
      <c r="G2166" t="s">
        <v>43</v>
      </c>
      <c r="H2166">
        <v>1420</v>
      </c>
      <c r="I2166">
        <v>40</v>
      </c>
      <c r="J2166" s="6">
        <f>H2166*I2166/1000</f>
        <v>56.8</v>
      </c>
      <c r="K2166" t="s">
        <v>393</v>
      </c>
    </row>
    <row r="2167" spans="3:11" outlineLevel="2" x14ac:dyDescent="0.3">
      <c r="C2167" s="9">
        <v>45138</v>
      </c>
      <c r="D2167" t="s">
        <v>8</v>
      </c>
      <c r="E2167" t="s">
        <v>33</v>
      </c>
      <c r="F2167" t="s">
        <v>18</v>
      </c>
      <c r="G2167" t="s">
        <v>27</v>
      </c>
      <c r="H2167">
        <v>460</v>
      </c>
      <c r="I2167">
        <v>36</v>
      </c>
      <c r="J2167" s="6">
        <f>H2167*I2167/1000</f>
        <v>16.559999999999999</v>
      </c>
      <c r="K2167" t="s">
        <v>393</v>
      </c>
    </row>
    <row r="2168" spans="3:11" outlineLevel="1" x14ac:dyDescent="0.3">
      <c r="C2168" s="13" t="s">
        <v>226</v>
      </c>
      <c r="J2168" s="6">
        <f>SUBTOTAL(9,J2163:J2167)</f>
        <v>131.86499999999998</v>
      </c>
    </row>
    <row r="2169" spans="3:11" outlineLevel="2" x14ac:dyDescent="0.3">
      <c r="C2169" s="9">
        <v>45139</v>
      </c>
      <c r="D2169" t="s">
        <v>12</v>
      </c>
      <c r="E2169" t="s">
        <v>20</v>
      </c>
      <c r="F2169" t="s">
        <v>18</v>
      </c>
      <c r="G2169" t="s">
        <v>27</v>
      </c>
      <c r="H2169">
        <v>460</v>
      </c>
      <c r="I2169">
        <v>70</v>
      </c>
      <c r="J2169" s="6">
        <f t="shared" ref="J2169:J2177" si="164">H2169*I2169/1000</f>
        <v>32.200000000000003</v>
      </c>
      <c r="K2169" t="s">
        <v>394</v>
      </c>
    </row>
    <row r="2170" spans="3:11" outlineLevel="2" x14ac:dyDescent="0.3">
      <c r="C2170" s="9">
        <v>45139</v>
      </c>
      <c r="D2170" t="s">
        <v>17</v>
      </c>
      <c r="E2170" t="s">
        <v>20</v>
      </c>
      <c r="F2170" t="s">
        <v>13</v>
      </c>
      <c r="G2170" t="s">
        <v>29</v>
      </c>
      <c r="H2170">
        <v>1230</v>
      </c>
      <c r="I2170">
        <v>94</v>
      </c>
      <c r="J2170" s="6">
        <f t="shared" si="164"/>
        <v>115.62</v>
      </c>
      <c r="K2170" t="s">
        <v>394</v>
      </c>
    </row>
    <row r="2171" spans="3:11" outlineLevel="2" x14ac:dyDescent="0.3">
      <c r="C2171" s="9">
        <v>45139</v>
      </c>
      <c r="D2171" t="s">
        <v>17</v>
      </c>
      <c r="E2171" t="s">
        <v>26</v>
      </c>
      <c r="F2171" t="s">
        <v>24</v>
      </c>
      <c r="G2171" t="s">
        <v>34</v>
      </c>
      <c r="H2171">
        <v>1670</v>
      </c>
      <c r="I2171">
        <v>73</v>
      </c>
      <c r="J2171" s="6">
        <f t="shared" si="164"/>
        <v>121.91</v>
      </c>
      <c r="K2171" t="s">
        <v>394</v>
      </c>
    </row>
    <row r="2172" spans="3:11" outlineLevel="2" x14ac:dyDescent="0.3">
      <c r="C2172" s="9">
        <v>45139</v>
      </c>
      <c r="D2172" t="s">
        <v>12</v>
      </c>
      <c r="E2172" t="s">
        <v>15</v>
      </c>
      <c r="F2172" t="s">
        <v>13</v>
      </c>
      <c r="G2172" t="s">
        <v>44</v>
      </c>
      <c r="H2172">
        <v>2540</v>
      </c>
      <c r="I2172">
        <v>92</v>
      </c>
      <c r="J2172" s="6">
        <f t="shared" si="164"/>
        <v>233.68</v>
      </c>
      <c r="K2172" t="s">
        <v>394</v>
      </c>
    </row>
    <row r="2173" spans="3:11" outlineLevel="2" x14ac:dyDescent="0.3">
      <c r="C2173" s="9">
        <v>45139</v>
      </c>
      <c r="D2173" t="s">
        <v>17</v>
      </c>
      <c r="E2173" t="s">
        <v>15</v>
      </c>
      <c r="F2173" t="s">
        <v>24</v>
      </c>
      <c r="G2173" t="s">
        <v>42</v>
      </c>
      <c r="H2173">
        <v>3205</v>
      </c>
      <c r="I2173">
        <v>57</v>
      </c>
      <c r="J2173" s="6">
        <f t="shared" si="164"/>
        <v>182.685</v>
      </c>
      <c r="K2173" t="s">
        <v>394</v>
      </c>
    </row>
    <row r="2174" spans="3:11" outlineLevel="2" x14ac:dyDescent="0.3">
      <c r="C2174" s="9">
        <v>45139</v>
      </c>
      <c r="D2174" t="s">
        <v>17</v>
      </c>
      <c r="E2174" t="s">
        <v>33</v>
      </c>
      <c r="F2174" t="s">
        <v>10</v>
      </c>
      <c r="G2174" t="s">
        <v>41</v>
      </c>
      <c r="H2174">
        <v>650</v>
      </c>
      <c r="I2174">
        <v>31</v>
      </c>
      <c r="J2174" s="6">
        <f t="shared" si="164"/>
        <v>20.149999999999999</v>
      </c>
      <c r="K2174" t="s">
        <v>394</v>
      </c>
    </row>
    <row r="2175" spans="3:11" outlineLevel="2" x14ac:dyDescent="0.3">
      <c r="C2175" s="9">
        <v>45139</v>
      </c>
      <c r="D2175" t="s">
        <v>17</v>
      </c>
      <c r="E2175" t="s">
        <v>33</v>
      </c>
      <c r="F2175" t="s">
        <v>13</v>
      </c>
      <c r="G2175" t="s">
        <v>22</v>
      </c>
      <c r="H2175">
        <v>930</v>
      </c>
      <c r="I2175">
        <v>47</v>
      </c>
      <c r="J2175" s="6">
        <f t="shared" si="164"/>
        <v>43.71</v>
      </c>
      <c r="K2175" t="s">
        <v>394</v>
      </c>
    </row>
    <row r="2176" spans="3:11" outlineLevel="2" x14ac:dyDescent="0.3">
      <c r="C2176" s="9">
        <v>45139</v>
      </c>
      <c r="D2176" t="s">
        <v>8</v>
      </c>
      <c r="E2176" t="s">
        <v>33</v>
      </c>
      <c r="F2176" t="s">
        <v>13</v>
      </c>
      <c r="G2176" t="s">
        <v>29</v>
      </c>
      <c r="H2176">
        <v>1230</v>
      </c>
      <c r="I2176">
        <v>17</v>
      </c>
      <c r="J2176" s="6">
        <f t="shared" si="164"/>
        <v>20.91</v>
      </c>
      <c r="K2176" t="s">
        <v>394</v>
      </c>
    </row>
    <row r="2177" spans="3:11" outlineLevel="2" x14ac:dyDescent="0.3">
      <c r="C2177" s="9">
        <v>45139</v>
      </c>
      <c r="D2177" t="s">
        <v>8</v>
      </c>
      <c r="E2177" t="s">
        <v>35</v>
      </c>
      <c r="F2177" t="s">
        <v>18</v>
      </c>
      <c r="G2177" t="s">
        <v>19</v>
      </c>
      <c r="H2177">
        <v>325</v>
      </c>
      <c r="I2177">
        <v>15</v>
      </c>
      <c r="J2177" s="6">
        <f t="shared" si="164"/>
        <v>4.875</v>
      </c>
      <c r="K2177" t="s">
        <v>394</v>
      </c>
    </row>
    <row r="2178" spans="3:11" outlineLevel="1" x14ac:dyDescent="0.3">
      <c r="C2178" s="13" t="s">
        <v>227</v>
      </c>
      <c r="J2178" s="6">
        <f>SUBTOTAL(9,J2169:J2177)</f>
        <v>775.74</v>
      </c>
      <c r="K2178" t="s">
        <v>394</v>
      </c>
    </row>
    <row r="2179" spans="3:11" outlineLevel="2" x14ac:dyDescent="0.3">
      <c r="C2179" s="9">
        <v>45140</v>
      </c>
      <c r="D2179" t="s">
        <v>12</v>
      </c>
      <c r="E2179" t="s">
        <v>20</v>
      </c>
      <c r="F2179" t="s">
        <v>10</v>
      </c>
      <c r="G2179" t="s">
        <v>16</v>
      </c>
      <c r="H2179">
        <v>1380</v>
      </c>
      <c r="I2179">
        <v>68</v>
      </c>
      <c r="J2179" s="6">
        <f t="shared" ref="J2179:J2188" si="165">H2179*I2179/1000</f>
        <v>93.84</v>
      </c>
      <c r="K2179" t="s">
        <v>394</v>
      </c>
    </row>
    <row r="2180" spans="3:11" outlineLevel="2" x14ac:dyDescent="0.3">
      <c r="C2180" s="9">
        <v>45140</v>
      </c>
      <c r="D2180" t="s">
        <v>12</v>
      </c>
      <c r="E2180" t="s">
        <v>20</v>
      </c>
      <c r="F2180" t="s">
        <v>18</v>
      </c>
      <c r="G2180" t="s">
        <v>37</v>
      </c>
      <c r="H2180">
        <v>890</v>
      </c>
      <c r="I2180">
        <v>26</v>
      </c>
      <c r="J2180" s="6">
        <f t="shared" si="165"/>
        <v>23.14</v>
      </c>
      <c r="K2180" t="s">
        <v>394</v>
      </c>
    </row>
    <row r="2181" spans="3:11" outlineLevel="2" x14ac:dyDescent="0.3">
      <c r="C2181" s="9">
        <v>45140</v>
      </c>
      <c r="D2181" t="s">
        <v>17</v>
      </c>
      <c r="E2181" t="s">
        <v>20</v>
      </c>
      <c r="F2181" t="s">
        <v>13</v>
      </c>
      <c r="G2181" t="s">
        <v>29</v>
      </c>
      <c r="H2181">
        <v>1230</v>
      </c>
      <c r="I2181">
        <v>37</v>
      </c>
      <c r="J2181" s="6">
        <f t="shared" si="165"/>
        <v>45.51</v>
      </c>
      <c r="K2181" t="s">
        <v>394</v>
      </c>
    </row>
    <row r="2182" spans="3:11" outlineLevel="2" x14ac:dyDescent="0.3">
      <c r="C2182" s="9">
        <v>45140</v>
      </c>
      <c r="D2182" t="s">
        <v>45</v>
      </c>
      <c r="E2182" t="s">
        <v>20</v>
      </c>
      <c r="F2182" t="s">
        <v>24</v>
      </c>
      <c r="G2182" t="s">
        <v>30</v>
      </c>
      <c r="H2182">
        <v>2970</v>
      </c>
      <c r="I2182">
        <v>16</v>
      </c>
      <c r="J2182" s="6">
        <f t="shared" si="165"/>
        <v>47.52</v>
      </c>
      <c r="K2182" t="s">
        <v>394</v>
      </c>
    </row>
    <row r="2183" spans="3:11" outlineLevel="2" x14ac:dyDescent="0.3">
      <c r="C2183" s="9">
        <v>45140</v>
      </c>
      <c r="D2183" t="s">
        <v>17</v>
      </c>
      <c r="E2183" t="s">
        <v>20</v>
      </c>
      <c r="F2183" t="s">
        <v>24</v>
      </c>
      <c r="G2183" t="s">
        <v>32</v>
      </c>
      <c r="H2183">
        <v>1505</v>
      </c>
      <c r="I2183">
        <v>78</v>
      </c>
      <c r="J2183" s="6">
        <f t="shared" si="165"/>
        <v>117.39</v>
      </c>
      <c r="K2183" t="s">
        <v>394</v>
      </c>
    </row>
    <row r="2184" spans="3:11" outlineLevel="2" x14ac:dyDescent="0.3">
      <c r="C2184" s="9">
        <v>45140</v>
      </c>
      <c r="D2184" t="s">
        <v>17</v>
      </c>
      <c r="E2184" t="s">
        <v>9</v>
      </c>
      <c r="F2184" t="s">
        <v>18</v>
      </c>
      <c r="G2184" t="s">
        <v>37</v>
      </c>
      <c r="H2184">
        <v>890</v>
      </c>
      <c r="I2184">
        <v>86</v>
      </c>
      <c r="J2184" s="6">
        <f t="shared" si="165"/>
        <v>76.540000000000006</v>
      </c>
      <c r="K2184" t="s">
        <v>394</v>
      </c>
    </row>
    <row r="2185" spans="3:11" outlineLevel="2" x14ac:dyDescent="0.3">
      <c r="C2185" s="9">
        <v>45140</v>
      </c>
      <c r="D2185" t="s">
        <v>45</v>
      </c>
      <c r="E2185" t="s">
        <v>9</v>
      </c>
      <c r="F2185" t="s">
        <v>24</v>
      </c>
      <c r="G2185" t="s">
        <v>30</v>
      </c>
      <c r="H2185">
        <v>2970</v>
      </c>
      <c r="I2185">
        <v>97</v>
      </c>
      <c r="J2185" s="6">
        <f t="shared" si="165"/>
        <v>288.08999999999997</v>
      </c>
      <c r="K2185" t="s">
        <v>394</v>
      </c>
    </row>
    <row r="2186" spans="3:11" outlineLevel="2" x14ac:dyDescent="0.3">
      <c r="C2186" s="9">
        <v>45140</v>
      </c>
      <c r="D2186" t="s">
        <v>12</v>
      </c>
      <c r="E2186" t="s">
        <v>9</v>
      </c>
      <c r="F2186" t="s">
        <v>24</v>
      </c>
      <c r="G2186" t="s">
        <v>30</v>
      </c>
      <c r="H2186">
        <v>2970</v>
      </c>
      <c r="I2186">
        <v>87</v>
      </c>
      <c r="J2186" s="6">
        <f t="shared" si="165"/>
        <v>258.39</v>
      </c>
      <c r="K2186" t="s">
        <v>394</v>
      </c>
    </row>
    <row r="2187" spans="3:11" outlineLevel="2" x14ac:dyDescent="0.3">
      <c r="C2187" s="9">
        <v>45140</v>
      </c>
      <c r="D2187" t="s">
        <v>12</v>
      </c>
      <c r="E2187" t="s">
        <v>26</v>
      </c>
      <c r="F2187" t="s">
        <v>24</v>
      </c>
      <c r="G2187" t="s">
        <v>30</v>
      </c>
      <c r="H2187">
        <v>2970</v>
      </c>
      <c r="I2187">
        <v>86</v>
      </c>
      <c r="J2187" s="6">
        <f t="shared" si="165"/>
        <v>255.42</v>
      </c>
      <c r="K2187" t="s">
        <v>394</v>
      </c>
    </row>
    <row r="2188" spans="3:11" outlineLevel="2" x14ac:dyDescent="0.3">
      <c r="C2188" s="9">
        <v>45140</v>
      </c>
      <c r="D2188" t="s">
        <v>17</v>
      </c>
      <c r="E2188" t="s">
        <v>33</v>
      </c>
      <c r="F2188" t="s">
        <v>10</v>
      </c>
      <c r="G2188" t="s">
        <v>23</v>
      </c>
      <c r="H2188">
        <v>640</v>
      </c>
      <c r="I2188">
        <v>48</v>
      </c>
      <c r="J2188" s="6">
        <f t="shared" si="165"/>
        <v>30.72</v>
      </c>
      <c r="K2188" t="s">
        <v>394</v>
      </c>
    </row>
    <row r="2189" spans="3:11" outlineLevel="1" x14ac:dyDescent="0.3">
      <c r="C2189" s="13" t="s">
        <v>228</v>
      </c>
      <c r="J2189" s="6">
        <f>SUBTOTAL(9,J2179:J2188)</f>
        <v>1236.56</v>
      </c>
      <c r="K2189" t="s">
        <v>394</v>
      </c>
    </row>
    <row r="2190" spans="3:11" outlineLevel="2" x14ac:dyDescent="0.3">
      <c r="C2190" s="9">
        <v>45141</v>
      </c>
      <c r="D2190" t="s">
        <v>12</v>
      </c>
      <c r="E2190" t="s">
        <v>20</v>
      </c>
      <c r="F2190" t="s">
        <v>18</v>
      </c>
      <c r="G2190" t="s">
        <v>28</v>
      </c>
      <c r="H2190">
        <v>690</v>
      </c>
      <c r="I2190">
        <v>61</v>
      </c>
      <c r="J2190" s="6">
        <f t="shared" ref="J2190:J2199" si="166">H2190*I2190/1000</f>
        <v>42.09</v>
      </c>
      <c r="K2190" t="s">
        <v>394</v>
      </c>
    </row>
    <row r="2191" spans="3:11" outlineLevel="2" x14ac:dyDescent="0.3">
      <c r="C2191" s="9">
        <v>45141</v>
      </c>
      <c r="D2191" t="s">
        <v>45</v>
      </c>
      <c r="E2191" t="s">
        <v>20</v>
      </c>
      <c r="F2191" t="s">
        <v>13</v>
      </c>
      <c r="G2191" t="s">
        <v>44</v>
      </c>
      <c r="H2191">
        <v>2540</v>
      </c>
      <c r="I2191">
        <v>56</v>
      </c>
      <c r="J2191" s="6">
        <f t="shared" si="166"/>
        <v>142.24</v>
      </c>
      <c r="K2191" t="s">
        <v>394</v>
      </c>
    </row>
    <row r="2192" spans="3:11" outlineLevel="2" x14ac:dyDescent="0.3">
      <c r="C2192" s="9">
        <v>45141</v>
      </c>
      <c r="D2192" t="s">
        <v>8</v>
      </c>
      <c r="E2192" t="s">
        <v>20</v>
      </c>
      <c r="F2192" t="s">
        <v>13</v>
      </c>
      <c r="G2192" t="s">
        <v>29</v>
      </c>
      <c r="H2192">
        <v>1230</v>
      </c>
      <c r="I2192">
        <v>20</v>
      </c>
      <c r="J2192" s="6">
        <f t="shared" si="166"/>
        <v>24.6</v>
      </c>
      <c r="K2192" t="s">
        <v>394</v>
      </c>
    </row>
    <row r="2193" spans="3:11" outlineLevel="2" x14ac:dyDescent="0.3">
      <c r="C2193" s="9">
        <v>45141</v>
      </c>
      <c r="D2193" t="s">
        <v>17</v>
      </c>
      <c r="E2193" t="s">
        <v>9</v>
      </c>
      <c r="F2193" t="s">
        <v>18</v>
      </c>
      <c r="G2193" t="s">
        <v>31</v>
      </c>
      <c r="H2193">
        <v>715</v>
      </c>
      <c r="I2193">
        <v>70</v>
      </c>
      <c r="J2193" s="6">
        <f t="shared" si="166"/>
        <v>50.05</v>
      </c>
      <c r="K2193" t="s">
        <v>394</v>
      </c>
    </row>
    <row r="2194" spans="3:11" outlineLevel="2" x14ac:dyDescent="0.3">
      <c r="C2194" s="9">
        <v>45141</v>
      </c>
      <c r="D2194" t="s">
        <v>8</v>
      </c>
      <c r="E2194" t="s">
        <v>9</v>
      </c>
      <c r="F2194" t="s">
        <v>18</v>
      </c>
      <c r="G2194" t="s">
        <v>27</v>
      </c>
      <c r="H2194">
        <v>460</v>
      </c>
      <c r="I2194">
        <v>90</v>
      </c>
      <c r="J2194" s="6">
        <f t="shared" si="166"/>
        <v>41.4</v>
      </c>
      <c r="K2194" t="s">
        <v>394</v>
      </c>
    </row>
    <row r="2195" spans="3:11" outlineLevel="2" x14ac:dyDescent="0.3">
      <c r="C2195" s="9">
        <v>45141</v>
      </c>
      <c r="D2195" t="s">
        <v>8</v>
      </c>
      <c r="E2195" t="s">
        <v>9</v>
      </c>
      <c r="F2195" t="s">
        <v>13</v>
      </c>
      <c r="G2195" t="s">
        <v>22</v>
      </c>
      <c r="H2195">
        <v>930</v>
      </c>
      <c r="I2195">
        <v>11</v>
      </c>
      <c r="J2195" s="6">
        <f t="shared" si="166"/>
        <v>10.23</v>
      </c>
      <c r="K2195" t="s">
        <v>394</v>
      </c>
    </row>
    <row r="2196" spans="3:11" outlineLevel="2" x14ac:dyDescent="0.3">
      <c r="C2196" s="9">
        <v>45141</v>
      </c>
      <c r="D2196" t="s">
        <v>12</v>
      </c>
      <c r="E2196" t="s">
        <v>9</v>
      </c>
      <c r="F2196" t="s">
        <v>24</v>
      </c>
      <c r="G2196" t="s">
        <v>32</v>
      </c>
      <c r="H2196">
        <v>1505</v>
      </c>
      <c r="I2196">
        <v>52</v>
      </c>
      <c r="J2196" s="6">
        <f t="shared" si="166"/>
        <v>78.260000000000005</v>
      </c>
      <c r="K2196" t="s">
        <v>394</v>
      </c>
    </row>
    <row r="2197" spans="3:11" outlineLevel="2" x14ac:dyDescent="0.3">
      <c r="C2197" s="9">
        <v>45141</v>
      </c>
      <c r="D2197" t="s">
        <v>45</v>
      </c>
      <c r="E2197" t="s">
        <v>15</v>
      </c>
      <c r="F2197" t="s">
        <v>18</v>
      </c>
      <c r="G2197" t="s">
        <v>19</v>
      </c>
      <c r="H2197">
        <v>325</v>
      </c>
      <c r="I2197">
        <v>87</v>
      </c>
      <c r="J2197" s="6">
        <f t="shared" si="166"/>
        <v>28.274999999999999</v>
      </c>
      <c r="K2197" t="s">
        <v>394</v>
      </c>
    </row>
    <row r="2198" spans="3:11" outlineLevel="2" x14ac:dyDescent="0.3">
      <c r="C2198" s="9">
        <v>45141</v>
      </c>
      <c r="D2198" t="s">
        <v>45</v>
      </c>
      <c r="E2198" t="s">
        <v>33</v>
      </c>
      <c r="F2198" t="s">
        <v>18</v>
      </c>
      <c r="G2198" t="s">
        <v>31</v>
      </c>
      <c r="H2198">
        <v>715</v>
      </c>
      <c r="I2198">
        <v>82</v>
      </c>
      <c r="J2198" s="6">
        <f t="shared" si="166"/>
        <v>58.63</v>
      </c>
      <c r="K2198" t="s">
        <v>394</v>
      </c>
    </row>
    <row r="2199" spans="3:11" outlineLevel="2" x14ac:dyDescent="0.3">
      <c r="C2199" s="9">
        <v>45141</v>
      </c>
      <c r="D2199" t="s">
        <v>45</v>
      </c>
      <c r="E2199" t="s">
        <v>35</v>
      </c>
      <c r="F2199" t="s">
        <v>13</v>
      </c>
      <c r="G2199" t="s">
        <v>29</v>
      </c>
      <c r="H2199">
        <v>1230</v>
      </c>
      <c r="I2199">
        <v>81</v>
      </c>
      <c r="J2199" s="6">
        <f t="shared" si="166"/>
        <v>99.63</v>
      </c>
      <c r="K2199" t="s">
        <v>394</v>
      </c>
    </row>
    <row r="2200" spans="3:11" outlineLevel="1" x14ac:dyDescent="0.3">
      <c r="C2200" s="13" t="s">
        <v>229</v>
      </c>
      <c r="J2200" s="6">
        <f>SUBTOTAL(9,J2190:J2199)</f>
        <v>575.40499999999997</v>
      </c>
      <c r="K2200" t="s">
        <v>394</v>
      </c>
    </row>
    <row r="2201" spans="3:11" outlineLevel="2" x14ac:dyDescent="0.3">
      <c r="C2201" s="9">
        <v>45142</v>
      </c>
      <c r="D2201" t="s">
        <v>17</v>
      </c>
      <c r="E2201" t="s">
        <v>20</v>
      </c>
      <c r="F2201" t="s">
        <v>10</v>
      </c>
      <c r="G2201" t="s">
        <v>40</v>
      </c>
      <c r="H2201">
        <v>540</v>
      </c>
      <c r="I2201">
        <v>56</v>
      </c>
      <c r="J2201" s="6">
        <f t="shared" ref="J2201:J2211" si="167">H2201*I2201/1000</f>
        <v>30.24</v>
      </c>
      <c r="K2201" t="s">
        <v>394</v>
      </c>
    </row>
    <row r="2202" spans="3:11" outlineLevel="2" x14ac:dyDescent="0.3">
      <c r="C2202" s="9">
        <v>45142</v>
      </c>
      <c r="D2202" t="s">
        <v>8</v>
      </c>
      <c r="E2202" t="s">
        <v>20</v>
      </c>
      <c r="F2202" t="s">
        <v>13</v>
      </c>
      <c r="G2202" t="s">
        <v>43</v>
      </c>
      <c r="H2202">
        <v>1420</v>
      </c>
      <c r="I2202">
        <v>52</v>
      </c>
      <c r="J2202" s="6">
        <f t="shared" si="167"/>
        <v>73.84</v>
      </c>
      <c r="K2202" t="s">
        <v>394</v>
      </c>
    </row>
    <row r="2203" spans="3:11" outlineLevel="2" x14ac:dyDescent="0.3">
      <c r="C2203" s="9">
        <v>45142</v>
      </c>
      <c r="D2203" t="s">
        <v>8</v>
      </c>
      <c r="E2203" t="s">
        <v>20</v>
      </c>
      <c r="F2203" t="s">
        <v>24</v>
      </c>
      <c r="G2203" t="s">
        <v>32</v>
      </c>
      <c r="H2203">
        <v>1505</v>
      </c>
      <c r="I2203">
        <v>7</v>
      </c>
      <c r="J2203" s="6">
        <f t="shared" si="167"/>
        <v>10.535</v>
      </c>
      <c r="K2203" t="s">
        <v>394</v>
      </c>
    </row>
    <row r="2204" spans="3:11" outlineLevel="2" x14ac:dyDescent="0.3">
      <c r="C2204" s="9">
        <v>45142</v>
      </c>
      <c r="D2204" t="s">
        <v>17</v>
      </c>
      <c r="E2204" t="s">
        <v>20</v>
      </c>
      <c r="F2204" t="s">
        <v>24</v>
      </c>
      <c r="G2204" t="s">
        <v>25</v>
      </c>
      <c r="H2204">
        <v>1760</v>
      </c>
      <c r="I2204">
        <v>94</v>
      </c>
      <c r="J2204" s="6">
        <f t="shared" si="167"/>
        <v>165.44</v>
      </c>
      <c r="K2204" t="s">
        <v>394</v>
      </c>
    </row>
    <row r="2205" spans="3:11" outlineLevel="2" x14ac:dyDescent="0.3">
      <c r="C2205" s="9">
        <v>45142</v>
      </c>
      <c r="D2205" t="s">
        <v>45</v>
      </c>
      <c r="E2205" t="s">
        <v>9</v>
      </c>
      <c r="F2205" t="s">
        <v>10</v>
      </c>
      <c r="G2205" t="s">
        <v>11</v>
      </c>
      <c r="H2205">
        <v>705</v>
      </c>
      <c r="I2205">
        <v>97</v>
      </c>
      <c r="J2205" s="6">
        <f t="shared" si="167"/>
        <v>68.385000000000005</v>
      </c>
      <c r="K2205" t="s">
        <v>394</v>
      </c>
    </row>
    <row r="2206" spans="3:11" outlineLevel="2" x14ac:dyDescent="0.3">
      <c r="C2206" s="9">
        <v>45142</v>
      </c>
      <c r="D2206" t="s">
        <v>12</v>
      </c>
      <c r="E2206" t="s">
        <v>9</v>
      </c>
      <c r="F2206" t="s">
        <v>24</v>
      </c>
      <c r="G2206" t="s">
        <v>32</v>
      </c>
      <c r="H2206">
        <v>1505</v>
      </c>
      <c r="I2206">
        <v>45</v>
      </c>
      <c r="J2206" s="6">
        <f t="shared" si="167"/>
        <v>67.724999999999994</v>
      </c>
      <c r="K2206" t="s">
        <v>394</v>
      </c>
    </row>
    <row r="2207" spans="3:11" outlineLevel="2" x14ac:dyDescent="0.3">
      <c r="C2207" s="9">
        <v>45142</v>
      </c>
      <c r="D2207" t="s">
        <v>8</v>
      </c>
      <c r="E2207" t="s">
        <v>9</v>
      </c>
      <c r="F2207" t="s">
        <v>24</v>
      </c>
      <c r="G2207" t="s">
        <v>36</v>
      </c>
      <c r="H2207">
        <v>2460</v>
      </c>
      <c r="I2207">
        <v>73</v>
      </c>
      <c r="J2207" s="6">
        <f t="shared" si="167"/>
        <v>179.58</v>
      </c>
      <c r="K2207" t="s">
        <v>394</v>
      </c>
    </row>
    <row r="2208" spans="3:11" outlineLevel="2" x14ac:dyDescent="0.3">
      <c r="C2208" s="9">
        <v>45142</v>
      </c>
      <c r="D2208" t="s">
        <v>45</v>
      </c>
      <c r="E2208" t="s">
        <v>15</v>
      </c>
      <c r="F2208" t="s">
        <v>18</v>
      </c>
      <c r="G2208" t="s">
        <v>31</v>
      </c>
      <c r="H2208">
        <v>715</v>
      </c>
      <c r="I2208">
        <v>47</v>
      </c>
      <c r="J2208" s="6">
        <f t="shared" si="167"/>
        <v>33.604999999999997</v>
      </c>
      <c r="K2208" t="s">
        <v>394</v>
      </c>
    </row>
    <row r="2209" spans="3:11" outlineLevel="2" x14ac:dyDescent="0.3">
      <c r="C2209" s="9">
        <v>45142</v>
      </c>
      <c r="D2209" t="s">
        <v>12</v>
      </c>
      <c r="E2209" t="s">
        <v>15</v>
      </c>
      <c r="F2209" t="s">
        <v>13</v>
      </c>
      <c r="G2209" t="s">
        <v>44</v>
      </c>
      <c r="H2209">
        <v>2540</v>
      </c>
      <c r="I2209">
        <v>32</v>
      </c>
      <c r="J2209" s="6">
        <f t="shared" si="167"/>
        <v>81.28</v>
      </c>
      <c r="K2209" t="s">
        <v>394</v>
      </c>
    </row>
    <row r="2210" spans="3:11" outlineLevel="2" x14ac:dyDescent="0.3">
      <c r="C2210" s="9">
        <v>45142</v>
      </c>
      <c r="D2210" t="s">
        <v>12</v>
      </c>
      <c r="E2210" t="s">
        <v>33</v>
      </c>
      <c r="F2210" t="s">
        <v>10</v>
      </c>
      <c r="G2210" t="s">
        <v>16</v>
      </c>
      <c r="H2210">
        <v>1380</v>
      </c>
      <c r="I2210">
        <v>54</v>
      </c>
      <c r="J2210" s="6">
        <f t="shared" si="167"/>
        <v>74.52</v>
      </c>
      <c r="K2210" t="s">
        <v>394</v>
      </c>
    </row>
    <row r="2211" spans="3:11" outlineLevel="2" x14ac:dyDescent="0.3">
      <c r="C2211" s="9">
        <v>45142</v>
      </c>
      <c r="D2211" t="s">
        <v>8</v>
      </c>
      <c r="E2211" t="s">
        <v>35</v>
      </c>
      <c r="F2211" t="s">
        <v>18</v>
      </c>
      <c r="G2211" t="s">
        <v>31</v>
      </c>
      <c r="H2211">
        <v>715</v>
      </c>
      <c r="I2211">
        <v>69</v>
      </c>
      <c r="J2211" s="6">
        <f t="shared" si="167"/>
        <v>49.335000000000001</v>
      </c>
      <c r="K2211" t="s">
        <v>394</v>
      </c>
    </row>
    <row r="2212" spans="3:11" outlineLevel="1" x14ac:dyDescent="0.3">
      <c r="C2212" s="13" t="s">
        <v>230</v>
      </c>
      <c r="J2212" s="6">
        <f>SUBTOTAL(9,J2201:J2211)</f>
        <v>834.48500000000001</v>
      </c>
      <c r="K2212" t="s">
        <v>394</v>
      </c>
    </row>
    <row r="2213" spans="3:11" outlineLevel="2" x14ac:dyDescent="0.3">
      <c r="C2213" s="9">
        <v>45143</v>
      </c>
      <c r="D2213" t="s">
        <v>45</v>
      </c>
      <c r="E2213" t="s">
        <v>15</v>
      </c>
      <c r="F2213" t="s">
        <v>10</v>
      </c>
      <c r="G2213" t="s">
        <v>23</v>
      </c>
      <c r="H2213">
        <v>640</v>
      </c>
      <c r="I2213">
        <v>34</v>
      </c>
      <c r="J2213" s="6">
        <f>H2213*I2213/1000</f>
        <v>21.76</v>
      </c>
      <c r="K2213" t="s">
        <v>394</v>
      </c>
    </row>
    <row r="2214" spans="3:11" outlineLevel="2" x14ac:dyDescent="0.3">
      <c r="C2214" s="9">
        <v>45143</v>
      </c>
      <c r="D2214" t="s">
        <v>17</v>
      </c>
      <c r="E2214" t="s">
        <v>35</v>
      </c>
      <c r="F2214" t="s">
        <v>13</v>
      </c>
      <c r="G2214" t="s">
        <v>22</v>
      </c>
      <c r="H2214">
        <v>930</v>
      </c>
      <c r="I2214">
        <v>63</v>
      </c>
      <c r="J2214" s="6">
        <f>H2214*I2214/1000</f>
        <v>58.59</v>
      </c>
      <c r="K2214" t="s">
        <v>394</v>
      </c>
    </row>
    <row r="2215" spans="3:11" outlineLevel="1" x14ac:dyDescent="0.3">
      <c r="C2215" s="13" t="s">
        <v>231</v>
      </c>
      <c r="J2215" s="6">
        <f>SUBTOTAL(9,J2213:J2214)</f>
        <v>80.350000000000009</v>
      </c>
      <c r="K2215" t="s">
        <v>394</v>
      </c>
    </row>
    <row r="2216" spans="3:11" outlineLevel="2" x14ac:dyDescent="0.3">
      <c r="C2216" s="9">
        <v>45144</v>
      </c>
      <c r="D2216" t="s">
        <v>45</v>
      </c>
      <c r="E2216" t="s">
        <v>9</v>
      </c>
      <c r="F2216" t="s">
        <v>10</v>
      </c>
      <c r="G2216" t="s">
        <v>11</v>
      </c>
      <c r="H2216">
        <v>705</v>
      </c>
      <c r="I2216">
        <v>65</v>
      </c>
      <c r="J2216" s="6">
        <f t="shared" ref="J2216:J2223" si="168">H2216*I2216/1000</f>
        <v>45.825000000000003</v>
      </c>
      <c r="K2216" t="s">
        <v>394</v>
      </c>
    </row>
    <row r="2217" spans="3:11" outlineLevel="2" x14ac:dyDescent="0.3">
      <c r="C2217" s="9">
        <v>45144</v>
      </c>
      <c r="D2217" t="s">
        <v>45</v>
      </c>
      <c r="E2217" t="s">
        <v>9</v>
      </c>
      <c r="F2217" t="s">
        <v>18</v>
      </c>
      <c r="G2217" t="s">
        <v>19</v>
      </c>
      <c r="H2217">
        <v>325</v>
      </c>
      <c r="I2217">
        <v>46</v>
      </c>
      <c r="J2217" s="6">
        <f t="shared" si="168"/>
        <v>14.95</v>
      </c>
      <c r="K2217" t="s">
        <v>394</v>
      </c>
    </row>
    <row r="2218" spans="3:11" outlineLevel="2" x14ac:dyDescent="0.3">
      <c r="C2218" s="9">
        <v>45144</v>
      </c>
      <c r="D2218" t="s">
        <v>45</v>
      </c>
      <c r="E2218" t="s">
        <v>26</v>
      </c>
      <c r="F2218" t="s">
        <v>18</v>
      </c>
      <c r="G2218" t="s">
        <v>37</v>
      </c>
      <c r="H2218">
        <v>890</v>
      </c>
      <c r="I2218">
        <v>68</v>
      </c>
      <c r="J2218" s="6">
        <f t="shared" si="168"/>
        <v>60.52</v>
      </c>
      <c r="K2218" t="s">
        <v>394</v>
      </c>
    </row>
    <row r="2219" spans="3:11" outlineLevel="2" x14ac:dyDescent="0.3">
      <c r="C2219" s="9">
        <v>45144</v>
      </c>
      <c r="D2219" t="s">
        <v>12</v>
      </c>
      <c r="E2219" t="s">
        <v>15</v>
      </c>
      <c r="F2219" t="s">
        <v>10</v>
      </c>
      <c r="G2219" t="s">
        <v>11</v>
      </c>
      <c r="H2219">
        <v>705</v>
      </c>
      <c r="I2219">
        <v>36</v>
      </c>
      <c r="J2219" s="6">
        <f t="shared" si="168"/>
        <v>25.38</v>
      </c>
      <c r="K2219" t="s">
        <v>394</v>
      </c>
    </row>
    <row r="2220" spans="3:11" outlineLevel="2" x14ac:dyDescent="0.3">
      <c r="C2220" s="9">
        <v>45144</v>
      </c>
      <c r="D2220" t="s">
        <v>12</v>
      </c>
      <c r="E2220" t="s">
        <v>15</v>
      </c>
      <c r="F2220" t="s">
        <v>24</v>
      </c>
      <c r="G2220" t="s">
        <v>25</v>
      </c>
      <c r="H2220">
        <v>1760</v>
      </c>
      <c r="I2220">
        <v>36</v>
      </c>
      <c r="J2220" s="6">
        <f t="shared" si="168"/>
        <v>63.36</v>
      </c>
      <c r="K2220" t="s">
        <v>394</v>
      </c>
    </row>
    <row r="2221" spans="3:11" outlineLevel="2" x14ac:dyDescent="0.3">
      <c r="C2221" s="9">
        <v>45144</v>
      </c>
      <c r="D2221" t="s">
        <v>12</v>
      </c>
      <c r="E2221" t="s">
        <v>15</v>
      </c>
      <c r="F2221" t="s">
        <v>24</v>
      </c>
      <c r="G2221" t="s">
        <v>30</v>
      </c>
      <c r="H2221">
        <v>2970</v>
      </c>
      <c r="I2221">
        <v>76</v>
      </c>
      <c r="J2221" s="6">
        <f t="shared" si="168"/>
        <v>225.72</v>
      </c>
      <c r="K2221" t="s">
        <v>394</v>
      </c>
    </row>
    <row r="2222" spans="3:11" outlineLevel="2" x14ac:dyDescent="0.3">
      <c r="C2222" s="9">
        <v>45144</v>
      </c>
      <c r="D2222" t="s">
        <v>17</v>
      </c>
      <c r="E2222" t="s">
        <v>33</v>
      </c>
      <c r="F2222" t="s">
        <v>10</v>
      </c>
      <c r="G2222" t="s">
        <v>40</v>
      </c>
      <c r="H2222">
        <v>540</v>
      </c>
      <c r="I2222">
        <v>100</v>
      </c>
      <c r="J2222" s="6">
        <f t="shared" si="168"/>
        <v>54</v>
      </c>
      <c r="K2222" t="s">
        <v>394</v>
      </c>
    </row>
    <row r="2223" spans="3:11" outlineLevel="2" x14ac:dyDescent="0.3">
      <c r="C2223" s="9">
        <v>45144</v>
      </c>
      <c r="D2223" t="s">
        <v>12</v>
      </c>
      <c r="E2223" t="s">
        <v>33</v>
      </c>
      <c r="F2223" t="s">
        <v>13</v>
      </c>
      <c r="G2223" t="s">
        <v>22</v>
      </c>
      <c r="H2223">
        <v>930</v>
      </c>
      <c r="I2223">
        <v>58</v>
      </c>
      <c r="J2223" s="6">
        <f t="shared" si="168"/>
        <v>53.94</v>
      </c>
      <c r="K2223" t="s">
        <v>394</v>
      </c>
    </row>
    <row r="2224" spans="3:11" outlineLevel="1" x14ac:dyDescent="0.3">
      <c r="C2224" s="13" t="s">
        <v>232</v>
      </c>
      <c r="J2224" s="6">
        <f>SUBTOTAL(9,J2216:J2223)</f>
        <v>543.69499999999994</v>
      </c>
      <c r="K2224" t="s">
        <v>394</v>
      </c>
    </row>
    <row r="2225" spans="3:11" outlineLevel="2" x14ac:dyDescent="0.3">
      <c r="C2225" s="9">
        <v>45145</v>
      </c>
      <c r="D2225" t="s">
        <v>45</v>
      </c>
      <c r="E2225" t="s">
        <v>20</v>
      </c>
      <c r="F2225" t="s">
        <v>18</v>
      </c>
      <c r="G2225" t="s">
        <v>28</v>
      </c>
      <c r="H2225">
        <v>690</v>
      </c>
      <c r="I2225">
        <v>30</v>
      </c>
      <c r="J2225" s="6">
        <f t="shared" ref="J2225:J2234" si="169">H2225*I2225/1000</f>
        <v>20.7</v>
      </c>
      <c r="K2225" t="s">
        <v>394</v>
      </c>
    </row>
    <row r="2226" spans="3:11" outlineLevel="2" x14ac:dyDescent="0.3">
      <c r="C2226" s="9">
        <v>45145</v>
      </c>
      <c r="D2226" t="s">
        <v>17</v>
      </c>
      <c r="E2226" t="s">
        <v>20</v>
      </c>
      <c r="F2226" t="s">
        <v>18</v>
      </c>
      <c r="G2226" t="s">
        <v>21</v>
      </c>
      <c r="H2226">
        <v>450</v>
      </c>
      <c r="I2226">
        <v>43</v>
      </c>
      <c r="J2226" s="6">
        <f t="shared" si="169"/>
        <v>19.350000000000001</v>
      </c>
      <c r="K2226" t="s">
        <v>394</v>
      </c>
    </row>
    <row r="2227" spans="3:11" outlineLevel="2" x14ac:dyDescent="0.3">
      <c r="C2227" s="9">
        <v>45145</v>
      </c>
      <c r="D2227" t="s">
        <v>12</v>
      </c>
      <c r="E2227" t="s">
        <v>20</v>
      </c>
      <c r="F2227" t="s">
        <v>13</v>
      </c>
      <c r="G2227" t="s">
        <v>38</v>
      </c>
      <c r="H2227">
        <v>2400</v>
      </c>
      <c r="I2227">
        <v>69</v>
      </c>
      <c r="J2227" s="6">
        <f t="shared" si="169"/>
        <v>165.6</v>
      </c>
      <c r="K2227" t="s">
        <v>394</v>
      </c>
    </row>
    <row r="2228" spans="3:11" outlineLevel="2" x14ac:dyDescent="0.3">
      <c r="C2228" s="9">
        <v>45145</v>
      </c>
      <c r="D2228" t="s">
        <v>45</v>
      </c>
      <c r="E2228" t="s">
        <v>9</v>
      </c>
      <c r="F2228" t="s">
        <v>10</v>
      </c>
      <c r="G2228" t="s">
        <v>16</v>
      </c>
      <c r="H2228">
        <v>1380</v>
      </c>
      <c r="I2228">
        <v>57</v>
      </c>
      <c r="J2228" s="6">
        <f t="shared" si="169"/>
        <v>78.66</v>
      </c>
      <c r="K2228" t="s">
        <v>394</v>
      </c>
    </row>
    <row r="2229" spans="3:11" outlineLevel="2" x14ac:dyDescent="0.3">
      <c r="C2229" s="9">
        <v>45145</v>
      </c>
      <c r="D2229" t="s">
        <v>45</v>
      </c>
      <c r="E2229" t="s">
        <v>9</v>
      </c>
      <c r="F2229" t="s">
        <v>18</v>
      </c>
      <c r="G2229" t="s">
        <v>21</v>
      </c>
      <c r="H2229">
        <v>450</v>
      </c>
      <c r="I2229">
        <v>80</v>
      </c>
      <c r="J2229" s="6">
        <f t="shared" si="169"/>
        <v>36</v>
      </c>
      <c r="K2229" t="s">
        <v>394</v>
      </c>
    </row>
    <row r="2230" spans="3:11" outlineLevel="2" x14ac:dyDescent="0.3">
      <c r="C2230" s="9">
        <v>45145</v>
      </c>
      <c r="D2230" t="s">
        <v>12</v>
      </c>
      <c r="E2230" t="s">
        <v>26</v>
      </c>
      <c r="F2230" t="s">
        <v>13</v>
      </c>
      <c r="G2230" t="s">
        <v>38</v>
      </c>
      <c r="H2230">
        <v>2400</v>
      </c>
      <c r="I2230">
        <v>45</v>
      </c>
      <c r="J2230" s="6">
        <f t="shared" si="169"/>
        <v>108</v>
      </c>
      <c r="K2230" t="s">
        <v>394</v>
      </c>
    </row>
    <row r="2231" spans="3:11" outlineLevel="2" x14ac:dyDescent="0.3">
      <c r="C2231" s="9">
        <v>45145</v>
      </c>
      <c r="D2231" t="s">
        <v>17</v>
      </c>
      <c r="E2231" t="s">
        <v>15</v>
      </c>
      <c r="F2231" t="s">
        <v>18</v>
      </c>
      <c r="G2231" t="s">
        <v>31</v>
      </c>
      <c r="H2231">
        <v>715</v>
      </c>
      <c r="I2231">
        <v>73</v>
      </c>
      <c r="J2231" s="6">
        <f t="shared" si="169"/>
        <v>52.195</v>
      </c>
      <c r="K2231" t="s">
        <v>394</v>
      </c>
    </row>
    <row r="2232" spans="3:11" outlineLevel="2" x14ac:dyDescent="0.3">
      <c r="C2232" s="9">
        <v>45145</v>
      </c>
      <c r="D2232" t="s">
        <v>45</v>
      </c>
      <c r="E2232" t="s">
        <v>15</v>
      </c>
      <c r="F2232" t="s">
        <v>13</v>
      </c>
      <c r="G2232" t="s">
        <v>38</v>
      </c>
      <c r="H2232">
        <v>2400</v>
      </c>
      <c r="I2232">
        <v>43</v>
      </c>
      <c r="J2232" s="6">
        <f t="shared" si="169"/>
        <v>103.2</v>
      </c>
      <c r="K2232" t="s">
        <v>394</v>
      </c>
    </row>
    <row r="2233" spans="3:11" outlineLevel="2" x14ac:dyDescent="0.3">
      <c r="C2233" s="9">
        <v>45145</v>
      </c>
      <c r="D2233" t="s">
        <v>12</v>
      </c>
      <c r="E2233" t="s">
        <v>33</v>
      </c>
      <c r="F2233" t="s">
        <v>18</v>
      </c>
      <c r="G2233" t="s">
        <v>37</v>
      </c>
      <c r="H2233">
        <v>890</v>
      </c>
      <c r="I2233">
        <v>50</v>
      </c>
      <c r="J2233" s="6">
        <f t="shared" si="169"/>
        <v>44.5</v>
      </c>
      <c r="K2233" t="s">
        <v>394</v>
      </c>
    </row>
    <row r="2234" spans="3:11" outlineLevel="2" x14ac:dyDescent="0.3">
      <c r="C2234" s="9">
        <v>45145</v>
      </c>
      <c r="D2234" t="s">
        <v>45</v>
      </c>
      <c r="E2234" t="s">
        <v>33</v>
      </c>
      <c r="F2234" t="s">
        <v>24</v>
      </c>
      <c r="G2234" t="s">
        <v>30</v>
      </c>
      <c r="H2234">
        <v>2970</v>
      </c>
      <c r="I2234">
        <v>95</v>
      </c>
      <c r="J2234" s="6">
        <f t="shared" si="169"/>
        <v>282.14999999999998</v>
      </c>
      <c r="K2234" t="s">
        <v>394</v>
      </c>
    </row>
    <row r="2235" spans="3:11" outlineLevel="1" x14ac:dyDescent="0.3">
      <c r="C2235" s="13" t="s">
        <v>233</v>
      </c>
      <c r="J2235" s="6">
        <f>SUBTOTAL(9,J2225:J2234)</f>
        <v>910.3549999999999</v>
      </c>
      <c r="K2235" t="s">
        <v>394</v>
      </c>
    </row>
    <row r="2236" spans="3:11" outlineLevel="2" x14ac:dyDescent="0.3">
      <c r="C2236" s="9">
        <v>45146</v>
      </c>
      <c r="D2236" t="s">
        <v>8</v>
      </c>
      <c r="E2236" t="s">
        <v>20</v>
      </c>
      <c r="F2236" t="s">
        <v>10</v>
      </c>
      <c r="G2236" t="s">
        <v>40</v>
      </c>
      <c r="H2236">
        <v>540</v>
      </c>
      <c r="I2236">
        <v>68</v>
      </c>
      <c r="J2236" s="6">
        <f t="shared" ref="J2236:J2247" si="170">H2236*I2236/1000</f>
        <v>36.72</v>
      </c>
      <c r="K2236" t="s">
        <v>394</v>
      </c>
    </row>
    <row r="2237" spans="3:11" outlineLevel="2" x14ac:dyDescent="0.3">
      <c r="C2237" s="9">
        <v>45146</v>
      </c>
      <c r="D2237" t="s">
        <v>8</v>
      </c>
      <c r="E2237" t="s">
        <v>20</v>
      </c>
      <c r="F2237" t="s">
        <v>24</v>
      </c>
      <c r="G2237" t="s">
        <v>36</v>
      </c>
      <c r="H2237">
        <v>2460</v>
      </c>
      <c r="I2237">
        <v>21</v>
      </c>
      <c r="J2237" s="6">
        <f t="shared" si="170"/>
        <v>51.66</v>
      </c>
      <c r="K2237" t="s">
        <v>394</v>
      </c>
    </row>
    <row r="2238" spans="3:11" outlineLevel="2" x14ac:dyDescent="0.3">
      <c r="C2238" s="9">
        <v>45146</v>
      </c>
      <c r="D2238" t="s">
        <v>12</v>
      </c>
      <c r="E2238" t="s">
        <v>26</v>
      </c>
      <c r="F2238" t="s">
        <v>10</v>
      </c>
      <c r="G2238" t="s">
        <v>40</v>
      </c>
      <c r="H2238">
        <v>540</v>
      </c>
      <c r="I2238">
        <v>21</v>
      </c>
      <c r="J2238" s="6">
        <f t="shared" si="170"/>
        <v>11.34</v>
      </c>
      <c r="K2238" t="s">
        <v>394</v>
      </c>
    </row>
    <row r="2239" spans="3:11" outlineLevel="2" x14ac:dyDescent="0.3">
      <c r="C2239" s="9">
        <v>45146</v>
      </c>
      <c r="D2239" t="s">
        <v>17</v>
      </c>
      <c r="E2239" t="s">
        <v>26</v>
      </c>
      <c r="F2239" t="s">
        <v>10</v>
      </c>
      <c r="G2239" t="s">
        <v>16</v>
      </c>
      <c r="H2239">
        <v>1380</v>
      </c>
      <c r="I2239">
        <v>96</v>
      </c>
      <c r="J2239" s="6">
        <f t="shared" si="170"/>
        <v>132.47999999999999</v>
      </c>
      <c r="K2239" t="s">
        <v>394</v>
      </c>
    </row>
    <row r="2240" spans="3:11" outlineLevel="2" x14ac:dyDescent="0.3">
      <c r="C2240" s="9">
        <v>45146</v>
      </c>
      <c r="D2240" t="s">
        <v>8</v>
      </c>
      <c r="E2240" t="s">
        <v>26</v>
      </c>
      <c r="F2240" t="s">
        <v>13</v>
      </c>
      <c r="G2240" t="s">
        <v>43</v>
      </c>
      <c r="H2240">
        <v>1420</v>
      </c>
      <c r="I2240">
        <v>66</v>
      </c>
      <c r="J2240" s="6">
        <f t="shared" si="170"/>
        <v>93.72</v>
      </c>
      <c r="K2240" t="s">
        <v>394</v>
      </c>
    </row>
    <row r="2241" spans="3:11" outlineLevel="2" x14ac:dyDescent="0.3">
      <c r="C2241" s="9">
        <v>45146</v>
      </c>
      <c r="D2241" t="s">
        <v>8</v>
      </c>
      <c r="E2241" t="s">
        <v>26</v>
      </c>
      <c r="F2241" t="s">
        <v>24</v>
      </c>
      <c r="G2241" t="s">
        <v>36</v>
      </c>
      <c r="H2241">
        <v>2460</v>
      </c>
      <c r="I2241">
        <v>38</v>
      </c>
      <c r="J2241" s="6">
        <f t="shared" si="170"/>
        <v>93.48</v>
      </c>
      <c r="K2241" t="s">
        <v>394</v>
      </c>
    </row>
    <row r="2242" spans="3:11" outlineLevel="2" x14ac:dyDescent="0.3">
      <c r="C2242" s="9">
        <v>45146</v>
      </c>
      <c r="D2242" t="s">
        <v>45</v>
      </c>
      <c r="E2242" t="s">
        <v>15</v>
      </c>
      <c r="F2242" t="s">
        <v>13</v>
      </c>
      <c r="G2242" t="s">
        <v>29</v>
      </c>
      <c r="H2242">
        <v>1230</v>
      </c>
      <c r="I2242">
        <v>35</v>
      </c>
      <c r="J2242" s="6">
        <f t="shared" si="170"/>
        <v>43.05</v>
      </c>
      <c r="K2242" t="s">
        <v>394</v>
      </c>
    </row>
    <row r="2243" spans="3:11" outlineLevel="2" x14ac:dyDescent="0.3">
      <c r="C2243" s="9">
        <v>45146</v>
      </c>
      <c r="D2243" t="s">
        <v>45</v>
      </c>
      <c r="E2243" t="s">
        <v>15</v>
      </c>
      <c r="F2243" t="s">
        <v>24</v>
      </c>
      <c r="G2243" t="s">
        <v>42</v>
      </c>
      <c r="H2243">
        <v>3205</v>
      </c>
      <c r="I2243">
        <v>38</v>
      </c>
      <c r="J2243" s="6">
        <f t="shared" si="170"/>
        <v>121.79</v>
      </c>
      <c r="K2243" t="s">
        <v>394</v>
      </c>
    </row>
    <row r="2244" spans="3:11" outlineLevel="2" x14ac:dyDescent="0.3">
      <c r="C2244" s="9">
        <v>45146</v>
      </c>
      <c r="D2244" t="s">
        <v>17</v>
      </c>
      <c r="E2244" t="s">
        <v>33</v>
      </c>
      <c r="F2244" t="s">
        <v>13</v>
      </c>
      <c r="G2244" t="s">
        <v>38</v>
      </c>
      <c r="H2244">
        <v>2400</v>
      </c>
      <c r="I2244">
        <v>88</v>
      </c>
      <c r="J2244" s="6">
        <f t="shared" si="170"/>
        <v>211.2</v>
      </c>
      <c r="K2244" t="s">
        <v>394</v>
      </c>
    </row>
    <row r="2245" spans="3:11" outlineLevel="2" x14ac:dyDescent="0.3">
      <c r="C2245" s="9">
        <v>45146</v>
      </c>
      <c r="D2245" t="s">
        <v>12</v>
      </c>
      <c r="E2245" t="s">
        <v>33</v>
      </c>
      <c r="F2245" t="s">
        <v>24</v>
      </c>
      <c r="G2245" t="s">
        <v>25</v>
      </c>
      <c r="H2245">
        <v>1760</v>
      </c>
      <c r="I2245">
        <v>39</v>
      </c>
      <c r="J2245" s="6">
        <f t="shared" si="170"/>
        <v>68.64</v>
      </c>
      <c r="K2245" t="s">
        <v>394</v>
      </c>
    </row>
    <row r="2246" spans="3:11" outlineLevel="2" x14ac:dyDescent="0.3">
      <c r="C2246" s="9">
        <v>45146</v>
      </c>
      <c r="D2246" t="s">
        <v>17</v>
      </c>
      <c r="E2246" t="s">
        <v>35</v>
      </c>
      <c r="F2246" t="s">
        <v>13</v>
      </c>
      <c r="G2246" t="s">
        <v>22</v>
      </c>
      <c r="H2246">
        <v>930</v>
      </c>
      <c r="I2246">
        <v>76</v>
      </c>
      <c r="J2246" s="6">
        <f t="shared" si="170"/>
        <v>70.680000000000007</v>
      </c>
      <c r="K2246" t="s">
        <v>394</v>
      </c>
    </row>
    <row r="2247" spans="3:11" outlineLevel="2" x14ac:dyDescent="0.3">
      <c r="C2247" s="9">
        <v>45146</v>
      </c>
      <c r="D2247" t="s">
        <v>8</v>
      </c>
      <c r="E2247" t="s">
        <v>35</v>
      </c>
      <c r="F2247" t="s">
        <v>13</v>
      </c>
      <c r="G2247" t="s">
        <v>38</v>
      </c>
      <c r="H2247">
        <v>2400</v>
      </c>
      <c r="I2247">
        <v>65</v>
      </c>
      <c r="J2247" s="6">
        <f t="shared" si="170"/>
        <v>156</v>
      </c>
      <c r="K2247" t="s">
        <v>394</v>
      </c>
    </row>
    <row r="2248" spans="3:11" outlineLevel="1" x14ac:dyDescent="0.3">
      <c r="C2248" s="13" t="s">
        <v>234</v>
      </c>
      <c r="J2248" s="6">
        <f>SUBTOTAL(9,J2236:J2247)</f>
        <v>1090.76</v>
      </c>
      <c r="K2248" t="s">
        <v>394</v>
      </c>
    </row>
    <row r="2249" spans="3:11" outlineLevel="2" x14ac:dyDescent="0.3">
      <c r="C2249" s="9">
        <v>45147</v>
      </c>
      <c r="D2249" t="s">
        <v>12</v>
      </c>
      <c r="E2249" t="s">
        <v>20</v>
      </c>
      <c r="F2249" t="s">
        <v>18</v>
      </c>
      <c r="G2249" t="s">
        <v>21</v>
      </c>
      <c r="H2249">
        <v>450</v>
      </c>
      <c r="I2249">
        <v>43</v>
      </c>
      <c r="J2249" s="6">
        <f t="shared" ref="J2249:J2262" si="171">H2249*I2249/1000</f>
        <v>19.350000000000001</v>
      </c>
      <c r="K2249" t="s">
        <v>394</v>
      </c>
    </row>
    <row r="2250" spans="3:11" outlineLevel="2" x14ac:dyDescent="0.3">
      <c r="C2250" s="9">
        <v>45147</v>
      </c>
      <c r="D2250" t="s">
        <v>17</v>
      </c>
      <c r="E2250" t="s">
        <v>9</v>
      </c>
      <c r="F2250" t="s">
        <v>10</v>
      </c>
      <c r="G2250" t="s">
        <v>11</v>
      </c>
      <c r="H2250">
        <v>705</v>
      </c>
      <c r="I2250">
        <v>80</v>
      </c>
      <c r="J2250" s="6">
        <f t="shared" si="171"/>
        <v>56.4</v>
      </c>
      <c r="K2250" t="s">
        <v>394</v>
      </c>
    </row>
    <row r="2251" spans="3:11" outlineLevel="2" x14ac:dyDescent="0.3">
      <c r="C2251" s="9">
        <v>45147</v>
      </c>
      <c r="D2251" t="s">
        <v>45</v>
      </c>
      <c r="E2251" t="s">
        <v>9</v>
      </c>
      <c r="F2251" t="s">
        <v>10</v>
      </c>
      <c r="G2251" t="s">
        <v>39</v>
      </c>
      <c r="H2251">
        <v>650</v>
      </c>
      <c r="I2251">
        <v>69</v>
      </c>
      <c r="J2251" s="6">
        <f t="shared" si="171"/>
        <v>44.85</v>
      </c>
      <c r="K2251" t="s">
        <v>394</v>
      </c>
    </row>
    <row r="2252" spans="3:11" outlineLevel="2" x14ac:dyDescent="0.3">
      <c r="C2252" s="9">
        <v>45147</v>
      </c>
      <c r="D2252" t="s">
        <v>8</v>
      </c>
      <c r="E2252" t="s">
        <v>9</v>
      </c>
      <c r="F2252" t="s">
        <v>10</v>
      </c>
      <c r="G2252" t="s">
        <v>23</v>
      </c>
      <c r="H2252">
        <v>640</v>
      </c>
      <c r="I2252">
        <v>81</v>
      </c>
      <c r="J2252" s="6">
        <f t="shared" si="171"/>
        <v>51.84</v>
      </c>
      <c r="K2252" t="s">
        <v>394</v>
      </c>
    </row>
    <row r="2253" spans="3:11" outlineLevel="2" x14ac:dyDescent="0.3">
      <c r="C2253" s="9">
        <v>45147</v>
      </c>
      <c r="D2253" t="s">
        <v>8</v>
      </c>
      <c r="E2253" t="s">
        <v>9</v>
      </c>
      <c r="F2253" t="s">
        <v>18</v>
      </c>
      <c r="G2253" t="s">
        <v>19</v>
      </c>
      <c r="H2253">
        <v>325</v>
      </c>
      <c r="I2253">
        <v>64</v>
      </c>
      <c r="J2253" s="6">
        <f t="shared" si="171"/>
        <v>20.8</v>
      </c>
      <c r="K2253" t="s">
        <v>394</v>
      </c>
    </row>
    <row r="2254" spans="3:11" outlineLevel="2" x14ac:dyDescent="0.3">
      <c r="C2254" s="9">
        <v>45147</v>
      </c>
      <c r="D2254" t="s">
        <v>17</v>
      </c>
      <c r="E2254" t="s">
        <v>9</v>
      </c>
      <c r="F2254" t="s">
        <v>24</v>
      </c>
      <c r="G2254" t="s">
        <v>34</v>
      </c>
      <c r="H2254">
        <v>1670</v>
      </c>
      <c r="I2254">
        <v>100</v>
      </c>
      <c r="J2254" s="6">
        <f t="shared" si="171"/>
        <v>167</v>
      </c>
      <c r="K2254" t="s">
        <v>394</v>
      </c>
    </row>
    <row r="2255" spans="3:11" outlineLevel="2" x14ac:dyDescent="0.3">
      <c r="C2255" s="9">
        <v>45147</v>
      </c>
      <c r="D2255" t="s">
        <v>17</v>
      </c>
      <c r="E2255" t="s">
        <v>9</v>
      </c>
      <c r="F2255" t="s">
        <v>24</v>
      </c>
      <c r="G2255" t="s">
        <v>30</v>
      </c>
      <c r="H2255">
        <v>2970</v>
      </c>
      <c r="I2255">
        <v>12</v>
      </c>
      <c r="J2255" s="6">
        <f t="shared" si="171"/>
        <v>35.64</v>
      </c>
      <c r="K2255" t="s">
        <v>394</v>
      </c>
    </row>
    <row r="2256" spans="3:11" outlineLevel="2" x14ac:dyDescent="0.3">
      <c r="C2256" s="9">
        <v>45147</v>
      </c>
      <c r="D2256" t="s">
        <v>12</v>
      </c>
      <c r="E2256" t="s">
        <v>9</v>
      </c>
      <c r="F2256" t="s">
        <v>24</v>
      </c>
      <c r="G2256" t="s">
        <v>36</v>
      </c>
      <c r="H2256">
        <v>2460</v>
      </c>
      <c r="I2256">
        <v>23</v>
      </c>
      <c r="J2256" s="6">
        <f t="shared" si="171"/>
        <v>56.58</v>
      </c>
      <c r="K2256" t="s">
        <v>394</v>
      </c>
    </row>
    <row r="2257" spans="3:11" outlineLevel="2" x14ac:dyDescent="0.3">
      <c r="C2257" s="9">
        <v>45147</v>
      </c>
      <c r="D2257" t="s">
        <v>12</v>
      </c>
      <c r="E2257" t="s">
        <v>26</v>
      </c>
      <c r="F2257" t="s">
        <v>18</v>
      </c>
      <c r="G2257" t="s">
        <v>31</v>
      </c>
      <c r="H2257">
        <v>715</v>
      </c>
      <c r="I2257">
        <v>80</v>
      </c>
      <c r="J2257" s="6">
        <f t="shared" si="171"/>
        <v>57.2</v>
      </c>
      <c r="K2257" t="s">
        <v>394</v>
      </c>
    </row>
    <row r="2258" spans="3:11" outlineLevel="2" x14ac:dyDescent="0.3">
      <c r="C2258" s="9">
        <v>45147</v>
      </c>
      <c r="D2258" t="s">
        <v>17</v>
      </c>
      <c r="E2258" t="s">
        <v>26</v>
      </c>
      <c r="F2258" t="s">
        <v>24</v>
      </c>
      <c r="G2258" t="s">
        <v>30</v>
      </c>
      <c r="H2258">
        <v>2970</v>
      </c>
      <c r="I2258">
        <v>47</v>
      </c>
      <c r="J2258" s="6">
        <f t="shared" si="171"/>
        <v>139.59</v>
      </c>
      <c r="K2258" t="s">
        <v>394</v>
      </c>
    </row>
    <row r="2259" spans="3:11" outlineLevel="2" x14ac:dyDescent="0.3">
      <c r="C2259" s="9">
        <v>45147</v>
      </c>
      <c r="D2259" t="s">
        <v>12</v>
      </c>
      <c r="E2259" t="s">
        <v>15</v>
      </c>
      <c r="F2259" t="s">
        <v>24</v>
      </c>
      <c r="G2259" t="s">
        <v>36</v>
      </c>
      <c r="H2259">
        <v>2460</v>
      </c>
      <c r="I2259">
        <v>54</v>
      </c>
      <c r="J2259" s="6">
        <f t="shared" si="171"/>
        <v>132.84</v>
      </c>
      <c r="K2259" t="s">
        <v>394</v>
      </c>
    </row>
    <row r="2260" spans="3:11" outlineLevel="2" x14ac:dyDescent="0.3">
      <c r="C2260" s="9">
        <v>45147</v>
      </c>
      <c r="D2260" t="s">
        <v>17</v>
      </c>
      <c r="E2260" t="s">
        <v>33</v>
      </c>
      <c r="F2260" t="s">
        <v>24</v>
      </c>
      <c r="G2260" t="s">
        <v>32</v>
      </c>
      <c r="H2260">
        <v>1505</v>
      </c>
      <c r="I2260">
        <v>31</v>
      </c>
      <c r="J2260" s="6">
        <f t="shared" si="171"/>
        <v>46.655000000000001</v>
      </c>
      <c r="K2260" t="s">
        <v>394</v>
      </c>
    </row>
    <row r="2261" spans="3:11" outlineLevel="2" x14ac:dyDescent="0.3">
      <c r="C2261" s="9">
        <v>45147</v>
      </c>
      <c r="D2261" t="s">
        <v>17</v>
      </c>
      <c r="E2261" t="s">
        <v>33</v>
      </c>
      <c r="F2261" t="s">
        <v>24</v>
      </c>
      <c r="G2261" t="s">
        <v>32</v>
      </c>
      <c r="H2261">
        <v>1505</v>
      </c>
      <c r="I2261">
        <v>22</v>
      </c>
      <c r="J2261" s="6">
        <f t="shared" si="171"/>
        <v>33.11</v>
      </c>
      <c r="K2261" t="s">
        <v>394</v>
      </c>
    </row>
    <row r="2262" spans="3:11" outlineLevel="2" x14ac:dyDescent="0.3">
      <c r="C2262" s="9">
        <v>45147</v>
      </c>
      <c r="D2262" t="s">
        <v>8</v>
      </c>
      <c r="E2262" t="s">
        <v>35</v>
      </c>
      <c r="F2262" t="s">
        <v>18</v>
      </c>
      <c r="G2262" t="s">
        <v>19</v>
      </c>
      <c r="H2262">
        <v>325</v>
      </c>
      <c r="I2262">
        <v>77</v>
      </c>
      <c r="J2262" s="6">
        <f t="shared" si="171"/>
        <v>25.024999999999999</v>
      </c>
      <c r="K2262" t="s">
        <v>394</v>
      </c>
    </row>
    <row r="2263" spans="3:11" outlineLevel="1" x14ac:dyDescent="0.3">
      <c r="C2263" s="13" t="s">
        <v>235</v>
      </c>
      <c r="J2263" s="6">
        <f>SUBTOTAL(9,J2249:J2262)</f>
        <v>886.88</v>
      </c>
      <c r="K2263" t="s">
        <v>394</v>
      </c>
    </row>
    <row r="2264" spans="3:11" outlineLevel="2" x14ac:dyDescent="0.3">
      <c r="C2264" s="9">
        <v>45148</v>
      </c>
      <c r="D2264" t="s">
        <v>8</v>
      </c>
      <c r="E2264" t="s">
        <v>20</v>
      </c>
      <c r="F2264" t="s">
        <v>13</v>
      </c>
      <c r="G2264" t="s">
        <v>14</v>
      </c>
      <c r="H2264">
        <v>1320</v>
      </c>
      <c r="I2264">
        <v>31</v>
      </c>
      <c r="J2264" s="6">
        <f t="shared" ref="J2264:J2274" si="172">H2264*I2264/1000</f>
        <v>40.92</v>
      </c>
      <c r="K2264" t="s">
        <v>394</v>
      </c>
    </row>
    <row r="2265" spans="3:11" outlineLevel="2" x14ac:dyDescent="0.3">
      <c r="C2265" s="9">
        <v>45148</v>
      </c>
      <c r="D2265" t="s">
        <v>45</v>
      </c>
      <c r="E2265" t="s">
        <v>20</v>
      </c>
      <c r="F2265" t="s">
        <v>13</v>
      </c>
      <c r="G2265" t="s">
        <v>14</v>
      </c>
      <c r="H2265">
        <v>1320</v>
      </c>
      <c r="I2265">
        <v>46</v>
      </c>
      <c r="J2265" s="6">
        <f t="shared" si="172"/>
        <v>60.72</v>
      </c>
      <c r="K2265" t="s">
        <v>394</v>
      </c>
    </row>
    <row r="2266" spans="3:11" outlineLevel="2" x14ac:dyDescent="0.3">
      <c r="C2266" s="9">
        <v>45148</v>
      </c>
      <c r="D2266" t="s">
        <v>17</v>
      </c>
      <c r="E2266" t="s">
        <v>9</v>
      </c>
      <c r="F2266" t="s">
        <v>10</v>
      </c>
      <c r="G2266" t="s">
        <v>23</v>
      </c>
      <c r="H2266">
        <v>640</v>
      </c>
      <c r="I2266">
        <v>23</v>
      </c>
      <c r="J2266" s="6">
        <f t="shared" si="172"/>
        <v>14.72</v>
      </c>
      <c r="K2266" t="s">
        <v>394</v>
      </c>
    </row>
    <row r="2267" spans="3:11" outlineLevel="2" x14ac:dyDescent="0.3">
      <c r="C2267" s="9">
        <v>45148</v>
      </c>
      <c r="D2267" t="s">
        <v>12</v>
      </c>
      <c r="E2267" t="s">
        <v>26</v>
      </c>
      <c r="F2267" t="s">
        <v>10</v>
      </c>
      <c r="G2267" t="s">
        <v>39</v>
      </c>
      <c r="H2267">
        <v>650</v>
      </c>
      <c r="I2267">
        <v>15</v>
      </c>
      <c r="J2267" s="6">
        <f t="shared" si="172"/>
        <v>9.75</v>
      </c>
      <c r="K2267" t="s">
        <v>394</v>
      </c>
    </row>
    <row r="2268" spans="3:11" outlineLevel="2" x14ac:dyDescent="0.3">
      <c r="C2268" s="9">
        <v>45148</v>
      </c>
      <c r="D2268" t="s">
        <v>17</v>
      </c>
      <c r="E2268" t="s">
        <v>26</v>
      </c>
      <c r="F2268" t="s">
        <v>13</v>
      </c>
      <c r="G2268" t="s">
        <v>14</v>
      </c>
      <c r="H2268">
        <v>1320</v>
      </c>
      <c r="I2268">
        <v>82</v>
      </c>
      <c r="J2268" s="6">
        <f t="shared" si="172"/>
        <v>108.24</v>
      </c>
      <c r="K2268" t="s">
        <v>394</v>
      </c>
    </row>
    <row r="2269" spans="3:11" outlineLevel="2" x14ac:dyDescent="0.3">
      <c r="C2269" s="9">
        <v>45148</v>
      </c>
      <c r="D2269" t="s">
        <v>45</v>
      </c>
      <c r="E2269" t="s">
        <v>15</v>
      </c>
      <c r="F2269" t="s">
        <v>13</v>
      </c>
      <c r="G2269" t="s">
        <v>38</v>
      </c>
      <c r="H2269">
        <v>2400</v>
      </c>
      <c r="I2269">
        <v>45</v>
      </c>
      <c r="J2269" s="6">
        <f t="shared" si="172"/>
        <v>108</v>
      </c>
      <c r="K2269" t="s">
        <v>394</v>
      </c>
    </row>
    <row r="2270" spans="3:11" outlineLevel="2" x14ac:dyDescent="0.3">
      <c r="C2270" s="9">
        <v>45148</v>
      </c>
      <c r="D2270" t="s">
        <v>17</v>
      </c>
      <c r="E2270" t="s">
        <v>15</v>
      </c>
      <c r="F2270" t="s">
        <v>13</v>
      </c>
      <c r="G2270" t="s">
        <v>38</v>
      </c>
      <c r="H2270">
        <v>2400</v>
      </c>
      <c r="I2270">
        <v>35</v>
      </c>
      <c r="J2270" s="6">
        <f t="shared" si="172"/>
        <v>84</v>
      </c>
      <c r="K2270" t="s">
        <v>394</v>
      </c>
    </row>
    <row r="2271" spans="3:11" outlineLevel="2" x14ac:dyDescent="0.3">
      <c r="C2271" s="9">
        <v>45148</v>
      </c>
      <c r="D2271" t="s">
        <v>17</v>
      </c>
      <c r="E2271" t="s">
        <v>15</v>
      </c>
      <c r="F2271" t="s">
        <v>24</v>
      </c>
      <c r="G2271" t="s">
        <v>42</v>
      </c>
      <c r="H2271">
        <v>3205</v>
      </c>
      <c r="I2271">
        <v>28</v>
      </c>
      <c r="J2271" s="6">
        <f t="shared" si="172"/>
        <v>89.74</v>
      </c>
      <c r="K2271" t="s">
        <v>394</v>
      </c>
    </row>
    <row r="2272" spans="3:11" outlineLevel="2" x14ac:dyDescent="0.3">
      <c r="C2272" s="9">
        <v>45148</v>
      </c>
      <c r="D2272" t="s">
        <v>8</v>
      </c>
      <c r="E2272" t="s">
        <v>33</v>
      </c>
      <c r="F2272" t="s">
        <v>10</v>
      </c>
      <c r="G2272" t="s">
        <v>23</v>
      </c>
      <c r="H2272">
        <v>640</v>
      </c>
      <c r="I2272">
        <v>68</v>
      </c>
      <c r="J2272" s="6">
        <f t="shared" si="172"/>
        <v>43.52</v>
      </c>
      <c r="K2272" t="s">
        <v>394</v>
      </c>
    </row>
    <row r="2273" spans="3:11" outlineLevel="2" x14ac:dyDescent="0.3">
      <c r="C2273" s="9">
        <v>45148</v>
      </c>
      <c r="D2273" t="s">
        <v>8</v>
      </c>
      <c r="E2273" t="s">
        <v>33</v>
      </c>
      <c r="F2273" t="s">
        <v>10</v>
      </c>
      <c r="G2273" t="s">
        <v>16</v>
      </c>
      <c r="H2273">
        <v>1380</v>
      </c>
      <c r="I2273">
        <v>89</v>
      </c>
      <c r="J2273" s="6">
        <f t="shared" si="172"/>
        <v>122.82</v>
      </c>
      <c r="K2273" t="s">
        <v>394</v>
      </c>
    </row>
    <row r="2274" spans="3:11" outlineLevel="2" x14ac:dyDescent="0.3">
      <c r="C2274" s="9">
        <v>45148</v>
      </c>
      <c r="D2274" t="s">
        <v>45</v>
      </c>
      <c r="E2274" t="s">
        <v>35</v>
      </c>
      <c r="F2274" t="s">
        <v>18</v>
      </c>
      <c r="G2274" t="s">
        <v>31</v>
      </c>
      <c r="H2274">
        <v>715</v>
      </c>
      <c r="I2274">
        <v>42</v>
      </c>
      <c r="J2274" s="6">
        <f t="shared" si="172"/>
        <v>30.03</v>
      </c>
      <c r="K2274" t="s">
        <v>394</v>
      </c>
    </row>
    <row r="2275" spans="3:11" outlineLevel="1" x14ac:dyDescent="0.3">
      <c r="C2275" s="13" t="s">
        <v>236</v>
      </c>
      <c r="J2275" s="6">
        <f>SUBTOTAL(9,J2264:J2274)</f>
        <v>712.46</v>
      </c>
      <c r="K2275" t="s">
        <v>394</v>
      </c>
    </row>
    <row r="2276" spans="3:11" outlineLevel="2" x14ac:dyDescent="0.3">
      <c r="C2276" s="9">
        <v>45149</v>
      </c>
      <c r="D2276" t="s">
        <v>17</v>
      </c>
      <c r="E2276" t="s">
        <v>20</v>
      </c>
      <c r="F2276" t="s">
        <v>13</v>
      </c>
      <c r="G2276" t="s">
        <v>22</v>
      </c>
      <c r="H2276">
        <v>930</v>
      </c>
      <c r="I2276">
        <v>67</v>
      </c>
      <c r="J2276" s="6">
        <f t="shared" ref="J2276:J2288" si="173">H2276*I2276/1000</f>
        <v>62.31</v>
      </c>
      <c r="K2276" t="s">
        <v>394</v>
      </c>
    </row>
    <row r="2277" spans="3:11" outlineLevel="2" x14ac:dyDescent="0.3">
      <c r="C2277" s="9">
        <v>45149</v>
      </c>
      <c r="D2277" t="s">
        <v>17</v>
      </c>
      <c r="E2277" t="s">
        <v>20</v>
      </c>
      <c r="F2277" t="s">
        <v>24</v>
      </c>
      <c r="G2277" t="s">
        <v>32</v>
      </c>
      <c r="H2277">
        <v>1505</v>
      </c>
      <c r="I2277">
        <v>80</v>
      </c>
      <c r="J2277" s="6">
        <f t="shared" si="173"/>
        <v>120.4</v>
      </c>
      <c r="K2277" t="s">
        <v>394</v>
      </c>
    </row>
    <row r="2278" spans="3:11" outlineLevel="2" x14ac:dyDescent="0.3">
      <c r="C2278" s="9">
        <v>45149</v>
      </c>
      <c r="D2278" t="s">
        <v>12</v>
      </c>
      <c r="E2278" t="s">
        <v>9</v>
      </c>
      <c r="F2278" t="s">
        <v>10</v>
      </c>
      <c r="G2278" t="s">
        <v>11</v>
      </c>
      <c r="H2278">
        <v>705</v>
      </c>
      <c r="I2278">
        <v>88</v>
      </c>
      <c r="J2278" s="6">
        <f t="shared" si="173"/>
        <v>62.04</v>
      </c>
      <c r="K2278" t="s">
        <v>394</v>
      </c>
    </row>
    <row r="2279" spans="3:11" outlineLevel="2" x14ac:dyDescent="0.3">
      <c r="C2279" s="9">
        <v>45149</v>
      </c>
      <c r="D2279" t="s">
        <v>17</v>
      </c>
      <c r="E2279" t="s">
        <v>9</v>
      </c>
      <c r="F2279" t="s">
        <v>10</v>
      </c>
      <c r="G2279" t="s">
        <v>11</v>
      </c>
      <c r="H2279">
        <v>705</v>
      </c>
      <c r="I2279">
        <v>46</v>
      </c>
      <c r="J2279" s="6">
        <f t="shared" si="173"/>
        <v>32.43</v>
      </c>
      <c r="K2279" t="s">
        <v>394</v>
      </c>
    </row>
    <row r="2280" spans="3:11" outlineLevel="2" x14ac:dyDescent="0.3">
      <c r="C2280" s="9">
        <v>45149</v>
      </c>
      <c r="D2280" t="s">
        <v>45</v>
      </c>
      <c r="E2280" t="s">
        <v>26</v>
      </c>
      <c r="F2280" t="s">
        <v>18</v>
      </c>
      <c r="G2280" t="s">
        <v>28</v>
      </c>
      <c r="H2280">
        <v>690</v>
      </c>
      <c r="I2280">
        <v>93</v>
      </c>
      <c r="J2280" s="6">
        <f t="shared" si="173"/>
        <v>64.17</v>
      </c>
      <c r="K2280" t="s">
        <v>394</v>
      </c>
    </row>
    <row r="2281" spans="3:11" outlineLevel="2" x14ac:dyDescent="0.3">
      <c r="C2281" s="9">
        <v>45149</v>
      </c>
      <c r="D2281" t="s">
        <v>45</v>
      </c>
      <c r="E2281" t="s">
        <v>15</v>
      </c>
      <c r="F2281" t="s">
        <v>13</v>
      </c>
      <c r="G2281" t="s">
        <v>44</v>
      </c>
      <c r="H2281">
        <v>2540</v>
      </c>
      <c r="I2281">
        <v>29</v>
      </c>
      <c r="J2281" s="6">
        <f t="shared" si="173"/>
        <v>73.66</v>
      </c>
      <c r="K2281" t="s">
        <v>394</v>
      </c>
    </row>
    <row r="2282" spans="3:11" outlineLevel="2" x14ac:dyDescent="0.3">
      <c r="C2282" s="9">
        <v>45149</v>
      </c>
      <c r="D2282" t="s">
        <v>45</v>
      </c>
      <c r="E2282" t="s">
        <v>15</v>
      </c>
      <c r="F2282" t="s">
        <v>13</v>
      </c>
      <c r="G2282" t="s">
        <v>38</v>
      </c>
      <c r="H2282">
        <v>2400</v>
      </c>
      <c r="I2282">
        <v>99</v>
      </c>
      <c r="J2282" s="6">
        <f t="shared" si="173"/>
        <v>237.6</v>
      </c>
      <c r="K2282" t="s">
        <v>394</v>
      </c>
    </row>
    <row r="2283" spans="3:11" outlineLevel="2" x14ac:dyDescent="0.3">
      <c r="C2283" s="9">
        <v>45149</v>
      </c>
      <c r="D2283" t="s">
        <v>8</v>
      </c>
      <c r="E2283" t="s">
        <v>15</v>
      </c>
      <c r="F2283" t="s">
        <v>13</v>
      </c>
      <c r="G2283" t="s">
        <v>38</v>
      </c>
      <c r="H2283">
        <v>2400</v>
      </c>
      <c r="I2283">
        <v>68</v>
      </c>
      <c r="J2283" s="6">
        <f t="shared" si="173"/>
        <v>163.19999999999999</v>
      </c>
      <c r="K2283" t="s">
        <v>394</v>
      </c>
    </row>
    <row r="2284" spans="3:11" outlineLevel="2" x14ac:dyDescent="0.3">
      <c r="C2284" s="9">
        <v>45149</v>
      </c>
      <c r="D2284" t="s">
        <v>8</v>
      </c>
      <c r="E2284" t="s">
        <v>33</v>
      </c>
      <c r="F2284" t="s">
        <v>10</v>
      </c>
      <c r="G2284" t="s">
        <v>39</v>
      </c>
      <c r="H2284">
        <v>650</v>
      </c>
      <c r="I2284">
        <v>79</v>
      </c>
      <c r="J2284" s="6">
        <f t="shared" si="173"/>
        <v>51.35</v>
      </c>
      <c r="K2284" t="s">
        <v>394</v>
      </c>
    </row>
    <row r="2285" spans="3:11" outlineLevel="2" x14ac:dyDescent="0.3">
      <c r="C2285" s="9">
        <v>45149</v>
      </c>
      <c r="D2285" t="s">
        <v>17</v>
      </c>
      <c r="E2285" t="s">
        <v>33</v>
      </c>
      <c r="F2285" t="s">
        <v>18</v>
      </c>
      <c r="G2285" t="s">
        <v>28</v>
      </c>
      <c r="H2285">
        <v>690</v>
      </c>
      <c r="I2285">
        <v>78</v>
      </c>
      <c r="J2285" s="6">
        <f t="shared" si="173"/>
        <v>53.82</v>
      </c>
      <c r="K2285" t="s">
        <v>394</v>
      </c>
    </row>
    <row r="2286" spans="3:11" outlineLevel="2" x14ac:dyDescent="0.3">
      <c r="C2286" s="9">
        <v>45149</v>
      </c>
      <c r="D2286" t="s">
        <v>12</v>
      </c>
      <c r="E2286" t="s">
        <v>33</v>
      </c>
      <c r="F2286" t="s">
        <v>13</v>
      </c>
      <c r="G2286" t="s">
        <v>29</v>
      </c>
      <c r="H2286">
        <v>1230</v>
      </c>
      <c r="I2286">
        <v>34</v>
      </c>
      <c r="J2286" s="6">
        <f t="shared" si="173"/>
        <v>41.82</v>
      </c>
      <c r="K2286" t="s">
        <v>394</v>
      </c>
    </row>
    <row r="2287" spans="3:11" outlineLevel="2" x14ac:dyDescent="0.3">
      <c r="C2287" s="9">
        <v>45149</v>
      </c>
      <c r="D2287" t="s">
        <v>45</v>
      </c>
      <c r="E2287" t="s">
        <v>33</v>
      </c>
      <c r="F2287" t="s">
        <v>13</v>
      </c>
      <c r="G2287" t="s">
        <v>22</v>
      </c>
      <c r="H2287">
        <v>930</v>
      </c>
      <c r="I2287">
        <v>32</v>
      </c>
      <c r="J2287" s="6">
        <f t="shared" si="173"/>
        <v>29.76</v>
      </c>
      <c r="K2287" t="s">
        <v>394</v>
      </c>
    </row>
    <row r="2288" spans="3:11" outlineLevel="2" x14ac:dyDescent="0.3">
      <c r="C2288" s="9">
        <v>45149</v>
      </c>
      <c r="D2288" t="s">
        <v>17</v>
      </c>
      <c r="E2288" t="s">
        <v>35</v>
      </c>
      <c r="F2288" t="s">
        <v>13</v>
      </c>
      <c r="G2288" t="s">
        <v>43</v>
      </c>
      <c r="H2288">
        <v>1420</v>
      </c>
      <c r="I2288">
        <v>12</v>
      </c>
      <c r="J2288" s="6">
        <f t="shared" si="173"/>
        <v>17.04</v>
      </c>
      <c r="K2288" t="s">
        <v>394</v>
      </c>
    </row>
    <row r="2289" spans="3:11" outlineLevel="1" x14ac:dyDescent="0.3">
      <c r="C2289" s="13" t="s">
        <v>237</v>
      </c>
      <c r="J2289" s="6">
        <f>SUBTOTAL(9,J2276:J2288)</f>
        <v>1009.6</v>
      </c>
      <c r="K2289" t="s">
        <v>394</v>
      </c>
    </row>
    <row r="2290" spans="3:11" outlineLevel="2" x14ac:dyDescent="0.3">
      <c r="C2290" s="9">
        <v>45150</v>
      </c>
      <c r="D2290" t="s">
        <v>12</v>
      </c>
      <c r="E2290" t="s">
        <v>20</v>
      </c>
      <c r="F2290" t="s">
        <v>18</v>
      </c>
      <c r="G2290" t="s">
        <v>19</v>
      </c>
      <c r="H2290">
        <v>325</v>
      </c>
      <c r="I2290">
        <v>60</v>
      </c>
      <c r="J2290" s="6">
        <f t="shared" ref="J2290:J2305" si="174">H2290*I2290/1000</f>
        <v>19.5</v>
      </c>
      <c r="K2290" t="s">
        <v>394</v>
      </c>
    </row>
    <row r="2291" spans="3:11" outlineLevel="2" x14ac:dyDescent="0.3">
      <c r="C2291" s="9">
        <v>45150</v>
      </c>
      <c r="D2291" t="s">
        <v>12</v>
      </c>
      <c r="E2291" t="s">
        <v>20</v>
      </c>
      <c r="F2291" t="s">
        <v>13</v>
      </c>
      <c r="G2291" t="s">
        <v>22</v>
      </c>
      <c r="H2291">
        <v>930</v>
      </c>
      <c r="I2291">
        <v>12</v>
      </c>
      <c r="J2291" s="6">
        <f t="shared" si="174"/>
        <v>11.16</v>
      </c>
      <c r="K2291" t="s">
        <v>394</v>
      </c>
    </row>
    <row r="2292" spans="3:11" outlineLevel="2" x14ac:dyDescent="0.3">
      <c r="C2292" s="9">
        <v>45150</v>
      </c>
      <c r="D2292" t="s">
        <v>8</v>
      </c>
      <c r="E2292" t="s">
        <v>20</v>
      </c>
      <c r="F2292" t="s">
        <v>24</v>
      </c>
      <c r="G2292" t="s">
        <v>32</v>
      </c>
      <c r="H2292">
        <v>1505</v>
      </c>
      <c r="I2292">
        <v>52</v>
      </c>
      <c r="J2292" s="6">
        <f t="shared" si="174"/>
        <v>78.260000000000005</v>
      </c>
      <c r="K2292" t="s">
        <v>394</v>
      </c>
    </row>
    <row r="2293" spans="3:11" outlineLevel="2" x14ac:dyDescent="0.3">
      <c r="C2293" s="9">
        <v>45150</v>
      </c>
      <c r="D2293" t="s">
        <v>45</v>
      </c>
      <c r="E2293" t="s">
        <v>9</v>
      </c>
      <c r="F2293" t="s">
        <v>13</v>
      </c>
      <c r="G2293" t="s">
        <v>22</v>
      </c>
      <c r="H2293">
        <v>930</v>
      </c>
      <c r="I2293">
        <v>12</v>
      </c>
      <c r="J2293" s="6">
        <f t="shared" si="174"/>
        <v>11.16</v>
      </c>
      <c r="K2293" t="s">
        <v>394</v>
      </c>
    </row>
    <row r="2294" spans="3:11" outlineLevel="2" x14ac:dyDescent="0.3">
      <c r="C2294" s="9">
        <v>45150</v>
      </c>
      <c r="D2294" t="s">
        <v>17</v>
      </c>
      <c r="E2294" t="s">
        <v>9</v>
      </c>
      <c r="F2294" t="s">
        <v>13</v>
      </c>
      <c r="G2294" t="s">
        <v>22</v>
      </c>
      <c r="H2294">
        <v>930</v>
      </c>
      <c r="I2294">
        <v>81</v>
      </c>
      <c r="J2294" s="6">
        <f t="shared" si="174"/>
        <v>75.33</v>
      </c>
      <c r="K2294" t="s">
        <v>394</v>
      </c>
    </row>
    <row r="2295" spans="3:11" outlineLevel="2" x14ac:dyDescent="0.3">
      <c r="C2295" s="9">
        <v>45150</v>
      </c>
      <c r="D2295" t="s">
        <v>45</v>
      </c>
      <c r="E2295" t="s">
        <v>26</v>
      </c>
      <c r="F2295" t="s">
        <v>13</v>
      </c>
      <c r="G2295" t="s">
        <v>14</v>
      </c>
      <c r="H2295">
        <v>1320</v>
      </c>
      <c r="I2295">
        <v>80</v>
      </c>
      <c r="J2295" s="6">
        <f t="shared" si="174"/>
        <v>105.6</v>
      </c>
      <c r="K2295" t="s">
        <v>394</v>
      </c>
    </row>
    <row r="2296" spans="3:11" outlineLevel="2" x14ac:dyDescent="0.3">
      <c r="C2296" s="9">
        <v>45150</v>
      </c>
      <c r="D2296" t="s">
        <v>17</v>
      </c>
      <c r="E2296" t="s">
        <v>26</v>
      </c>
      <c r="F2296" t="s">
        <v>13</v>
      </c>
      <c r="G2296" t="s">
        <v>29</v>
      </c>
      <c r="H2296">
        <v>1230</v>
      </c>
      <c r="I2296">
        <v>40</v>
      </c>
      <c r="J2296" s="6">
        <f t="shared" si="174"/>
        <v>49.2</v>
      </c>
      <c r="K2296" t="s">
        <v>394</v>
      </c>
    </row>
    <row r="2297" spans="3:11" outlineLevel="2" x14ac:dyDescent="0.3">
      <c r="C2297" s="9">
        <v>45150</v>
      </c>
      <c r="D2297" t="s">
        <v>12</v>
      </c>
      <c r="E2297" t="s">
        <v>15</v>
      </c>
      <c r="F2297" t="s">
        <v>10</v>
      </c>
      <c r="G2297" t="s">
        <v>39</v>
      </c>
      <c r="H2297">
        <v>650</v>
      </c>
      <c r="I2297">
        <v>37</v>
      </c>
      <c r="J2297" s="6">
        <f t="shared" si="174"/>
        <v>24.05</v>
      </c>
      <c r="K2297" t="s">
        <v>394</v>
      </c>
    </row>
    <row r="2298" spans="3:11" outlineLevel="2" x14ac:dyDescent="0.3">
      <c r="C2298" s="9">
        <v>45150</v>
      </c>
      <c r="D2298" t="s">
        <v>45</v>
      </c>
      <c r="E2298" t="s">
        <v>15</v>
      </c>
      <c r="F2298" t="s">
        <v>18</v>
      </c>
      <c r="G2298" t="s">
        <v>31</v>
      </c>
      <c r="H2298">
        <v>715</v>
      </c>
      <c r="I2298">
        <v>68</v>
      </c>
      <c r="J2298" s="6">
        <f t="shared" si="174"/>
        <v>48.62</v>
      </c>
      <c r="K2298" t="s">
        <v>394</v>
      </c>
    </row>
    <row r="2299" spans="3:11" outlineLevel="2" x14ac:dyDescent="0.3">
      <c r="C2299" s="9">
        <v>45150</v>
      </c>
      <c r="D2299" t="s">
        <v>17</v>
      </c>
      <c r="E2299" t="s">
        <v>15</v>
      </c>
      <c r="F2299" t="s">
        <v>18</v>
      </c>
      <c r="G2299" t="s">
        <v>37</v>
      </c>
      <c r="H2299">
        <v>890</v>
      </c>
      <c r="I2299">
        <v>62</v>
      </c>
      <c r="J2299" s="6">
        <f t="shared" si="174"/>
        <v>55.18</v>
      </c>
      <c r="K2299" t="s">
        <v>394</v>
      </c>
    </row>
    <row r="2300" spans="3:11" outlineLevel="2" x14ac:dyDescent="0.3">
      <c r="C2300" s="9">
        <v>45150</v>
      </c>
      <c r="D2300" t="s">
        <v>8</v>
      </c>
      <c r="E2300" t="s">
        <v>33</v>
      </c>
      <c r="F2300" t="s">
        <v>10</v>
      </c>
      <c r="G2300" t="s">
        <v>16</v>
      </c>
      <c r="H2300">
        <v>1380</v>
      </c>
      <c r="I2300">
        <v>88</v>
      </c>
      <c r="J2300" s="6">
        <f t="shared" si="174"/>
        <v>121.44</v>
      </c>
      <c r="K2300" t="s">
        <v>394</v>
      </c>
    </row>
    <row r="2301" spans="3:11" outlineLevel="2" x14ac:dyDescent="0.3">
      <c r="C2301" s="9">
        <v>45150</v>
      </c>
      <c r="D2301" t="s">
        <v>17</v>
      </c>
      <c r="E2301" t="s">
        <v>33</v>
      </c>
      <c r="F2301" t="s">
        <v>24</v>
      </c>
      <c r="G2301" t="s">
        <v>34</v>
      </c>
      <c r="H2301">
        <v>1670</v>
      </c>
      <c r="I2301">
        <v>88</v>
      </c>
      <c r="J2301" s="6">
        <f t="shared" si="174"/>
        <v>146.96</v>
      </c>
      <c r="K2301" t="s">
        <v>394</v>
      </c>
    </row>
    <row r="2302" spans="3:11" outlineLevel="2" x14ac:dyDescent="0.3">
      <c r="C2302" s="9">
        <v>45150</v>
      </c>
      <c r="D2302" t="s">
        <v>12</v>
      </c>
      <c r="E2302" t="s">
        <v>33</v>
      </c>
      <c r="F2302" t="s">
        <v>24</v>
      </c>
      <c r="G2302" t="s">
        <v>42</v>
      </c>
      <c r="H2302">
        <v>3205</v>
      </c>
      <c r="I2302">
        <v>12</v>
      </c>
      <c r="J2302" s="6">
        <f t="shared" si="174"/>
        <v>38.46</v>
      </c>
      <c r="K2302" t="s">
        <v>394</v>
      </c>
    </row>
    <row r="2303" spans="3:11" outlineLevel="2" x14ac:dyDescent="0.3">
      <c r="C2303" s="9">
        <v>45150</v>
      </c>
      <c r="D2303" t="s">
        <v>17</v>
      </c>
      <c r="E2303" t="s">
        <v>35</v>
      </c>
      <c r="F2303" t="s">
        <v>10</v>
      </c>
      <c r="G2303" t="s">
        <v>11</v>
      </c>
      <c r="H2303">
        <v>705</v>
      </c>
      <c r="I2303">
        <v>61</v>
      </c>
      <c r="J2303" s="6">
        <f t="shared" si="174"/>
        <v>43.005000000000003</v>
      </c>
      <c r="K2303" t="s">
        <v>394</v>
      </c>
    </row>
    <row r="2304" spans="3:11" outlineLevel="2" x14ac:dyDescent="0.3">
      <c r="C2304" s="9">
        <v>45150</v>
      </c>
      <c r="D2304" t="s">
        <v>12</v>
      </c>
      <c r="E2304" t="s">
        <v>35</v>
      </c>
      <c r="F2304" t="s">
        <v>18</v>
      </c>
      <c r="G2304" t="s">
        <v>28</v>
      </c>
      <c r="H2304">
        <v>690</v>
      </c>
      <c r="I2304">
        <v>42</v>
      </c>
      <c r="J2304" s="6">
        <f t="shared" si="174"/>
        <v>28.98</v>
      </c>
      <c r="K2304" t="s">
        <v>394</v>
      </c>
    </row>
    <row r="2305" spans="3:11" outlineLevel="2" x14ac:dyDescent="0.3">
      <c r="C2305" s="9">
        <v>45150</v>
      </c>
      <c r="D2305" t="s">
        <v>45</v>
      </c>
      <c r="E2305" t="s">
        <v>35</v>
      </c>
      <c r="F2305" t="s">
        <v>18</v>
      </c>
      <c r="G2305" t="s">
        <v>28</v>
      </c>
      <c r="H2305">
        <v>690</v>
      </c>
      <c r="I2305">
        <v>68</v>
      </c>
      <c r="J2305" s="6">
        <f t="shared" si="174"/>
        <v>46.92</v>
      </c>
      <c r="K2305" t="s">
        <v>394</v>
      </c>
    </row>
    <row r="2306" spans="3:11" outlineLevel="1" x14ac:dyDescent="0.3">
      <c r="C2306" s="13" t="s">
        <v>238</v>
      </c>
      <c r="J2306" s="6">
        <f>SUBTOTAL(9,J2290:J2305)</f>
        <v>903.82500000000005</v>
      </c>
      <c r="K2306" t="s">
        <v>394</v>
      </c>
    </row>
    <row r="2307" spans="3:11" outlineLevel="2" x14ac:dyDescent="0.3">
      <c r="C2307" s="9">
        <v>45151</v>
      </c>
      <c r="D2307" t="s">
        <v>45</v>
      </c>
      <c r="E2307" t="s">
        <v>20</v>
      </c>
      <c r="F2307" t="s">
        <v>13</v>
      </c>
      <c r="G2307" t="s">
        <v>43</v>
      </c>
      <c r="H2307">
        <v>1420</v>
      </c>
      <c r="I2307">
        <v>67</v>
      </c>
      <c r="J2307" s="6">
        <f t="shared" ref="J2307:J2314" si="175">H2307*I2307/1000</f>
        <v>95.14</v>
      </c>
      <c r="K2307" t="s">
        <v>394</v>
      </c>
    </row>
    <row r="2308" spans="3:11" outlineLevel="2" x14ac:dyDescent="0.3">
      <c r="C2308" s="9">
        <v>45151</v>
      </c>
      <c r="D2308" t="s">
        <v>12</v>
      </c>
      <c r="E2308" t="s">
        <v>26</v>
      </c>
      <c r="F2308" t="s">
        <v>18</v>
      </c>
      <c r="G2308" t="s">
        <v>31</v>
      </c>
      <c r="H2308">
        <v>715</v>
      </c>
      <c r="I2308">
        <v>39</v>
      </c>
      <c r="J2308" s="6">
        <f t="shared" si="175"/>
        <v>27.885000000000002</v>
      </c>
      <c r="K2308" t="s">
        <v>394</v>
      </c>
    </row>
    <row r="2309" spans="3:11" outlineLevel="2" x14ac:dyDescent="0.3">
      <c r="C2309" s="9">
        <v>45151</v>
      </c>
      <c r="D2309" t="s">
        <v>45</v>
      </c>
      <c r="E2309" t="s">
        <v>15</v>
      </c>
      <c r="F2309" t="s">
        <v>18</v>
      </c>
      <c r="G2309" t="s">
        <v>31</v>
      </c>
      <c r="H2309">
        <v>715</v>
      </c>
      <c r="I2309">
        <v>25</v>
      </c>
      <c r="J2309" s="6">
        <f t="shared" si="175"/>
        <v>17.875</v>
      </c>
      <c r="K2309" t="s">
        <v>394</v>
      </c>
    </row>
    <row r="2310" spans="3:11" outlineLevel="2" x14ac:dyDescent="0.3">
      <c r="C2310" s="9">
        <v>45151</v>
      </c>
      <c r="D2310" t="s">
        <v>17</v>
      </c>
      <c r="E2310" t="s">
        <v>15</v>
      </c>
      <c r="F2310" t="s">
        <v>24</v>
      </c>
      <c r="G2310" t="s">
        <v>32</v>
      </c>
      <c r="H2310">
        <v>1505</v>
      </c>
      <c r="I2310">
        <v>12</v>
      </c>
      <c r="J2310" s="6">
        <f t="shared" si="175"/>
        <v>18.059999999999999</v>
      </c>
      <c r="K2310" t="s">
        <v>394</v>
      </c>
    </row>
    <row r="2311" spans="3:11" outlineLevel="2" x14ac:dyDescent="0.3">
      <c r="C2311" s="9">
        <v>45151</v>
      </c>
      <c r="D2311" t="s">
        <v>45</v>
      </c>
      <c r="E2311" t="s">
        <v>15</v>
      </c>
      <c r="F2311" t="s">
        <v>24</v>
      </c>
      <c r="G2311" t="s">
        <v>25</v>
      </c>
      <c r="H2311">
        <v>1760</v>
      </c>
      <c r="I2311">
        <v>92</v>
      </c>
      <c r="J2311" s="6">
        <f t="shared" si="175"/>
        <v>161.91999999999999</v>
      </c>
      <c r="K2311" t="s">
        <v>394</v>
      </c>
    </row>
    <row r="2312" spans="3:11" outlineLevel="2" x14ac:dyDescent="0.3">
      <c r="C2312" s="9">
        <v>45151</v>
      </c>
      <c r="D2312" t="s">
        <v>12</v>
      </c>
      <c r="E2312" t="s">
        <v>33</v>
      </c>
      <c r="F2312" t="s">
        <v>13</v>
      </c>
      <c r="G2312" t="s">
        <v>22</v>
      </c>
      <c r="H2312">
        <v>930</v>
      </c>
      <c r="I2312">
        <v>7</v>
      </c>
      <c r="J2312" s="6">
        <f t="shared" si="175"/>
        <v>6.51</v>
      </c>
      <c r="K2312" t="s">
        <v>394</v>
      </c>
    </row>
    <row r="2313" spans="3:11" outlineLevel="2" x14ac:dyDescent="0.3">
      <c r="C2313" s="9">
        <v>45151</v>
      </c>
      <c r="D2313" t="s">
        <v>17</v>
      </c>
      <c r="E2313" t="s">
        <v>33</v>
      </c>
      <c r="F2313" t="s">
        <v>13</v>
      </c>
      <c r="G2313" t="s">
        <v>38</v>
      </c>
      <c r="H2313">
        <v>2400</v>
      </c>
      <c r="I2313">
        <v>12</v>
      </c>
      <c r="J2313" s="6">
        <f t="shared" si="175"/>
        <v>28.8</v>
      </c>
      <c r="K2313" t="s">
        <v>394</v>
      </c>
    </row>
    <row r="2314" spans="3:11" outlineLevel="2" x14ac:dyDescent="0.3">
      <c r="C2314" s="9">
        <v>45151</v>
      </c>
      <c r="D2314" t="s">
        <v>17</v>
      </c>
      <c r="E2314" t="s">
        <v>35</v>
      </c>
      <c r="F2314" t="s">
        <v>24</v>
      </c>
      <c r="G2314" t="s">
        <v>36</v>
      </c>
      <c r="H2314">
        <v>2460</v>
      </c>
      <c r="I2314">
        <v>61</v>
      </c>
      <c r="J2314" s="6">
        <f t="shared" si="175"/>
        <v>150.06</v>
      </c>
      <c r="K2314" t="s">
        <v>394</v>
      </c>
    </row>
    <row r="2315" spans="3:11" outlineLevel="1" x14ac:dyDescent="0.3">
      <c r="C2315" s="13" t="s">
        <v>239</v>
      </c>
      <c r="J2315" s="6">
        <f>SUBTOTAL(9,J2307:J2314)</f>
        <v>506.25</v>
      </c>
      <c r="K2315" t="s">
        <v>394</v>
      </c>
    </row>
    <row r="2316" spans="3:11" outlineLevel="2" x14ac:dyDescent="0.3">
      <c r="C2316" s="9">
        <v>45152</v>
      </c>
      <c r="D2316" t="s">
        <v>8</v>
      </c>
      <c r="E2316" t="s">
        <v>20</v>
      </c>
      <c r="F2316" t="s">
        <v>10</v>
      </c>
      <c r="G2316" t="s">
        <v>11</v>
      </c>
      <c r="H2316">
        <v>705</v>
      </c>
      <c r="I2316">
        <v>62</v>
      </c>
      <c r="J2316" s="6">
        <f t="shared" ref="J2316:J2323" si="176">H2316*I2316/1000</f>
        <v>43.71</v>
      </c>
      <c r="K2316" t="s">
        <v>394</v>
      </c>
    </row>
    <row r="2317" spans="3:11" outlineLevel="2" x14ac:dyDescent="0.3">
      <c r="C2317" s="9">
        <v>45152</v>
      </c>
      <c r="D2317" t="s">
        <v>45</v>
      </c>
      <c r="E2317" t="s">
        <v>26</v>
      </c>
      <c r="F2317" t="s">
        <v>24</v>
      </c>
      <c r="G2317" t="s">
        <v>30</v>
      </c>
      <c r="H2317">
        <v>2970</v>
      </c>
      <c r="I2317">
        <v>39</v>
      </c>
      <c r="J2317" s="6">
        <f t="shared" si="176"/>
        <v>115.83</v>
      </c>
      <c r="K2317" t="s">
        <v>394</v>
      </c>
    </row>
    <row r="2318" spans="3:11" outlineLevel="2" x14ac:dyDescent="0.3">
      <c r="C2318" s="9">
        <v>45152</v>
      </c>
      <c r="D2318" t="s">
        <v>45</v>
      </c>
      <c r="E2318" t="s">
        <v>15</v>
      </c>
      <c r="F2318" t="s">
        <v>10</v>
      </c>
      <c r="G2318" t="s">
        <v>40</v>
      </c>
      <c r="H2318">
        <v>540</v>
      </c>
      <c r="I2318">
        <v>49</v>
      </c>
      <c r="J2318" s="6">
        <f t="shared" si="176"/>
        <v>26.46</v>
      </c>
      <c r="K2318" t="s">
        <v>394</v>
      </c>
    </row>
    <row r="2319" spans="3:11" outlineLevel="2" x14ac:dyDescent="0.3">
      <c r="C2319" s="9">
        <v>45152</v>
      </c>
      <c r="D2319" t="s">
        <v>45</v>
      </c>
      <c r="E2319" t="s">
        <v>15</v>
      </c>
      <c r="F2319" t="s">
        <v>18</v>
      </c>
      <c r="G2319" t="s">
        <v>28</v>
      </c>
      <c r="H2319">
        <v>690</v>
      </c>
      <c r="I2319">
        <v>25</v>
      </c>
      <c r="J2319" s="6">
        <f t="shared" si="176"/>
        <v>17.25</v>
      </c>
      <c r="K2319" t="s">
        <v>394</v>
      </c>
    </row>
    <row r="2320" spans="3:11" outlineLevel="2" x14ac:dyDescent="0.3">
      <c r="C2320" s="9">
        <v>45152</v>
      </c>
      <c r="D2320" t="s">
        <v>45</v>
      </c>
      <c r="E2320" t="s">
        <v>33</v>
      </c>
      <c r="F2320" t="s">
        <v>24</v>
      </c>
      <c r="G2320" t="s">
        <v>36</v>
      </c>
      <c r="H2320">
        <v>2460</v>
      </c>
      <c r="I2320">
        <v>75</v>
      </c>
      <c r="J2320" s="6">
        <f t="shared" si="176"/>
        <v>184.5</v>
      </c>
      <c r="K2320" t="s">
        <v>394</v>
      </c>
    </row>
    <row r="2321" spans="3:11" outlineLevel="2" x14ac:dyDescent="0.3">
      <c r="C2321" s="9">
        <v>45152</v>
      </c>
      <c r="D2321" t="s">
        <v>45</v>
      </c>
      <c r="E2321" t="s">
        <v>33</v>
      </c>
      <c r="F2321" t="s">
        <v>24</v>
      </c>
      <c r="G2321" t="s">
        <v>32</v>
      </c>
      <c r="H2321">
        <v>1505</v>
      </c>
      <c r="I2321">
        <v>90</v>
      </c>
      <c r="J2321" s="6">
        <f t="shared" si="176"/>
        <v>135.44999999999999</v>
      </c>
      <c r="K2321" t="s">
        <v>394</v>
      </c>
    </row>
    <row r="2322" spans="3:11" outlineLevel="2" x14ac:dyDescent="0.3">
      <c r="C2322" s="9">
        <v>45152</v>
      </c>
      <c r="D2322" t="s">
        <v>12</v>
      </c>
      <c r="E2322" t="s">
        <v>35</v>
      </c>
      <c r="F2322" t="s">
        <v>13</v>
      </c>
      <c r="G2322" t="s">
        <v>22</v>
      </c>
      <c r="H2322">
        <v>930</v>
      </c>
      <c r="I2322">
        <v>7</v>
      </c>
      <c r="J2322" s="6">
        <f t="shared" si="176"/>
        <v>6.51</v>
      </c>
      <c r="K2322" t="s">
        <v>394</v>
      </c>
    </row>
    <row r="2323" spans="3:11" outlineLevel="2" x14ac:dyDescent="0.3">
      <c r="C2323" s="9">
        <v>45152</v>
      </c>
      <c r="D2323" t="s">
        <v>8</v>
      </c>
      <c r="E2323" t="s">
        <v>35</v>
      </c>
      <c r="F2323" t="s">
        <v>24</v>
      </c>
      <c r="G2323" t="s">
        <v>32</v>
      </c>
      <c r="H2323">
        <v>1505</v>
      </c>
      <c r="I2323">
        <v>56</v>
      </c>
      <c r="J2323" s="6">
        <f t="shared" si="176"/>
        <v>84.28</v>
      </c>
      <c r="K2323" t="s">
        <v>394</v>
      </c>
    </row>
    <row r="2324" spans="3:11" outlineLevel="1" x14ac:dyDescent="0.3">
      <c r="C2324" s="13" t="s">
        <v>240</v>
      </c>
      <c r="J2324" s="6">
        <f>SUBTOTAL(9,J2316:J2323)</f>
        <v>613.99</v>
      </c>
      <c r="K2324" t="s">
        <v>394</v>
      </c>
    </row>
    <row r="2325" spans="3:11" outlineLevel="2" x14ac:dyDescent="0.3">
      <c r="C2325" s="9">
        <v>45153</v>
      </c>
      <c r="D2325" t="s">
        <v>8</v>
      </c>
      <c r="E2325" t="s">
        <v>20</v>
      </c>
      <c r="F2325" t="s">
        <v>18</v>
      </c>
      <c r="G2325" t="s">
        <v>21</v>
      </c>
      <c r="H2325">
        <v>450</v>
      </c>
      <c r="I2325">
        <v>6</v>
      </c>
      <c r="J2325" s="6">
        <f t="shared" ref="J2325:J2336" si="177">H2325*I2325/1000</f>
        <v>2.7</v>
      </c>
      <c r="K2325" t="s">
        <v>394</v>
      </c>
    </row>
    <row r="2326" spans="3:11" outlineLevel="2" x14ac:dyDescent="0.3">
      <c r="C2326" s="9">
        <v>45153</v>
      </c>
      <c r="D2326" t="s">
        <v>45</v>
      </c>
      <c r="E2326" t="s">
        <v>20</v>
      </c>
      <c r="F2326" t="s">
        <v>18</v>
      </c>
      <c r="G2326" t="s">
        <v>21</v>
      </c>
      <c r="H2326">
        <v>450</v>
      </c>
      <c r="I2326">
        <v>7</v>
      </c>
      <c r="J2326" s="6">
        <f t="shared" si="177"/>
        <v>3.15</v>
      </c>
      <c r="K2326" t="s">
        <v>394</v>
      </c>
    </row>
    <row r="2327" spans="3:11" outlineLevel="2" x14ac:dyDescent="0.3">
      <c r="C2327" s="9">
        <v>45153</v>
      </c>
      <c r="D2327" t="s">
        <v>12</v>
      </c>
      <c r="E2327" t="s">
        <v>20</v>
      </c>
      <c r="F2327" t="s">
        <v>18</v>
      </c>
      <c r="G2327" t="s">
        <v>19</v>
      </c>
      <c r="H2327">
        <v>325</v>
      </c>
      <c r="I2327">
        <v>66</v>
      </c>
      <c r="J2327" s="6">
        <f t="shared" si="177"/>
        <v>21.45</v>
      </c>
      <c r="K2327" t="s">
        <v>394</v>
      </c>
    </row>
    <row r="2328" spans="3:11" outlineLevel="2" x14ac:dyDescent="0.3">
      <c r="C2328" s="9">
        <v>45153</v>
      </c>
      <c r="D2328" t="s">
        <v>45</v>
      </c>
      <c r="E2328" t="s">
        <v>20</v>
      </c>
      <c r="F2328" t="s">
        <v>13</v>
      </c>
      <c r="G2328" t="s">
        <v>29</v>
      </c>
      <c r="H2328">
        <v>1230</v>
      </c>
      <c r="I2328">
        <v>70</v>
      </c>
      <c r="J2328" s="6">
        <f t="shared" si="177"/>
        <v>86.1</v>
      </c>
      <c r="K2328" t="s">
        <v>394</v>
      </c>
    </row>
    <row r="2329" spans="3:11" outlineLevel="2" x14ac:dyDescent="0.3">
      <c r="C2329" s="9">
        <v>45153</v>
      </c>
      <c r="D2329" t="s">
        <v>8</v>
      </c>
      <c r="E2329" t="s">
        <v>9</v>
      </c>
      <c r="F2329" t="s">
        <v>13</v>
      </c>
      <c r="G2329" t="s">
        <v>22</v>
      </c>
      <c r="H2329">
        <v>930</v>
      </c>
      <c r="I2329">
        <v>64</v>
      </c>
      <c r="J2329" s="6">
        <f t="shared" si="177"/>
        <v>59.52</v>
      </c>
      <c r="K2329" t="s">
        <v>394</v>
      </c>
    </row>
    <row r="2330" spans="3:11" outlineLevel="2" x14ac:dyDescent="0.3">
      <c r="C2330" s="9">
        <v>45153</v>
      </c>
      <c r="D2330" t="s">
        <v>12</v>
      </c>
      <c r="E2330" t="s">
        <v>26</v>
      </c>
      <c r="F2330" t="s">
        <v>18</v>
      </c>
      <c r="G2330" t="s">
        <v>21</v>
      </c>
      <c r="H2330">
        <v>450</v>
      </c>
      <c r="I2330">
        <v>52</v>
      </c>
      <c r="J2330" s="6">
        <f t="shared" si="177"/>
        <v>23.4</v>
      </c>
      <c r="K2330" t="s">
        <v>394</v>
      </c>
    </row>
    <row r="2331" spans="3:11" outlineLevel="2" x14ac:dyDescent="0.3">
      <c r="C2331" s="9">
        <v>45153</v>
      </c>
      <c r="D2331" t="s">
        <v>8</v>
      </c>
      <c r="E2331" t="s">
        <v>26</v>
      </c>
      <c r="F2331" t="s">
        <v>24</v>
      </c>
      <c r="G2331" t="s">
        <v>42</v>
      </c>
      <c r="H2331">
        <v>3205</v>
      </c>
      <c r="I2331">
        <v>42</v>
      </c>
      <c r="J2331" s="6">
        <f t="shared" si="177"/>
        <v>134.61000000000001</v>
      </c>
      <c r="K2331" t="s">
        <v>394</v>
      </c>
    </row>
    <row r="2332" spans="3:11" outlineLevel="2" x14ac:dyDescent="0.3">
      <c r="C2332" s="9">
        <v>45153</v>
      </c>
      <c r="D2332" t="s">
        <v>8</v>
      </c>
      <c r="E2332" t="s">
        <v>26</v>
      </c>
      <c r="F2332" t="s">
        <v>24</v>
      </c>
      <c r="G2332" t="s">
        <v>34</v>
      </c>
      <c r="H2332">
        <v>1670</v>
      </c>
      <c r="I2332">
        <v>88</v>
      </c>
      <c r="J2332" s="6">
        <f t="shared" si="177"/>
        <v>146.96</v>
      </c>
      <c r="K2332" t="s">
        <v>394</v>
      </c>
    </row>
    <row r="2333" spans="3:11" outlineLevel="2" x14ac:dyDescent="0.3">
      <c r="C2333" s="9">
        <v>45153</v>
      </c>
      <c r="D2333" t="s">
        <v>17</v>
      </c>
      <c r="E2333" t="s">
        <v>15</v>
      </c>
      <c r="F2333" t="s">
        <v>10</v>
      </c>
      <c r="G2333" t="s">
        <v>11</v>
      </c>
      <c r="H2333">
        <v>705</v>
      </c>
      <c r="I2333">
        <v>63</v>
      </c>
      <c r="J2333" s="6">
        <f t="shared" si="177"/>
        <v>44.414999999999999</v>
      </c>
      <c r="K2333" t="s">
        <v>394</v>
      </c>
    </row>
    <row r="2334" spans="3:11" outlineLevel="2" x14ac:dyDescent="0.3">
      <c r="C2334" s="9">
        <v>45153</v>
      </c>
      <c r="D2334" t="s">
        <v>8</v>
      </c>
      <c r="E2334" t="s">
        <v>15</v>
      </c>
      <c r="F2334" t="s">
        <v>10</v>
      </c>
      <c r="G2334" t="s">
        <v>23</v>
      </c>
      <c r="H2334">
        <v>640</v>
      </c>
      <c r="I2334">
        <v>23</v>
      </c>
      <c r="J2334" s="6">
        <f t="shared" si="177"/>
        <v>14.72</v>
      </c>
      <c r="K2334" t="s">
        <v>394</v>
      </c>
    </row>
    <row r="2335" spans="3:11" outlineLevel="2" x14ac:dyDescent="0.3">
      <c r="C2335" s="9">
        <v>45153</v>
      </c>
      <c r="D2335" t="s">
        <v>45</v>
      </c>
      <c r="E2335" t="s">
        <v>15</v>
      </c>
      <c r="F2335" t="s">
        <v>24</v>
      </c>
      <c r="G2335" t="s">
        <v>36</v>
      </c>
      <c r="H2335">
        <v>2460</v>
      </c>
      <c r="I2335">
        <v>64</v>
      </c>
      <c r="J2335" s="6">
        <f t="shared" si="177"/>
        <v>157.44</v>
      </c>
      <c r="K2335" t="s">
        <v>394</v>
      </c>
    </row>
    <row r="2336" spans="3:11" outlineLevel="2" x14ac:dyDescent="0.3">
      <c r="C2336" s="9">
        <v>45153</v>
      </c>
      <c r="D2336" t="s">
        <v>45</v>
      </c>
      <c r="E2336" t="s">
        <v>33</v>
      </c>
      <c r="F2336" t="s">
        <v>24</v>
      </c>
      <c r="G2336" t="s">
        <v>25</v>
      </c>
      <c r="H2336">
        <v>1760</v>
      </c>
      <c r="I2336">
        <v>81</v>
      </c>
      <c r="J2336" s="6">
        <f t="shared" si="177"/>
        <v>142.56</v>
      </c>
      <c r="K2336" t="s">
        <v>394</v>
      </c>
    </row>
    <row r="2337" spans="3:11" outlineLevel="1" x14ac:dyDescent="0.3">
      <c r="C2337" s="13" t="s">
        <v>241</v>
      </c>
      <c r="J2337" s="6">
        <f>SUBTOTAL(9,J2325:J2336)</f>
        <v>837.02499999999986</v>
      </c>
      <c r="K2337" t="s">
        <v>394</v>
      </c>
    </row>
    <row r="2338" spans="3:11" outlineLevel="2" x14ac:dyDescent="0.3">
      <c r="C2338" s="9">
        <v>45154</v>
      </c>
      <c r="D2338" t="s">
        <v>45</v>
      </c>
      <c r="E2338" t="s">
        <v>20</v>
      </c>
      <c r="F2338" t="s">
        <v>10</v>
      </c>
      <c r="G2338" t="s">
        <v>23</v>
      </c>
      <c r="H2338">
        <v>640</v>
      </c>
      <c r="I2338">
        <v>36</v>
      </c>
      <c r="J2338" s="6">
        <f t="shared" ref="J2338:J2344" si="178">H2338*I2338/1000</f>
        <v>23.04</v>
      </c>
      <c r="K2338" t="s">
        <v>394</v>
      </c>
    </row>
    <row r="2339" spans="3:11" outlineLevel="2" x14ac:dyDescent="0.3">
      <c r="C2339" s="9">
        <v>45154</v>
      </c>
      <c r="D2339" t="s">
        <v>45</v>
      </c>
      <c r="E2339" t="s">
        <v>20</v>
      </c>
      <c r="F2339" t="s">
        <v>13</v>
      </c>
      <c r="G2339" t="s">
        <v>29</v>
      </c>
      <c r="H2339">
        <v>1230</v>
      </c>
      <c r="I2339">
        <v>11</v>
      </c>
      <c r="J2339" s="6">
        <f t="shared" si="178"/>
        <v>13.53</v>
      </c>
      <c r="K2339" t="s">
        <v>394</v>
      </c>
    </row>
    <row r="2340" spans="3:11" outlineLevel="2" x14ac:dyDescent="0.3">
      <c r="C2340" s="9">
        <v>45154</v>
      </c>
      <c r="D2340" t="s">
        <v>12</v>
      </c>
      <c r="E2340" t="s">
        <v>26</v>
      </c>
      <c r="F2340" t="s">
        <v>13</v>
      </c>
      <c r="G2340" t="s">
        <v>38</v>
      </c>
      <c r="H2340">
        <v>2400</v>
      </c>
      <c r="I2340">
        <v>6</v>
      </c>
      <c r="J2340" s="6">
        <f t="shared" si="178"/>
        <v>14.4</v>
      </c>
      <c r="K2340" t="s">
        <v>394</v>
      </c>
    </row>
    <row r="2341" spans="3:11" outlineLevel="2" x14ac:dyDescent="0.3">
      <c r="C2341" s="9">
        <v>45154</v>
      </c>
      <c r="D2341" t="s">
        <v>8</v>
      </c>
      <c r="E2341" t="s">
        <v>15</v>
      </c>
      <c r="F2341" t="s">
        <v>24</v>
      </c>
      <c r="G2341" t="s">
        <v>30</v>
      </c>
      <c r="H2341">
        <v>2970</v>
      </c>
      <c r="I2341">
        <v>43</v>
      </c>
      <c r="J2341" s="6">
        <f t="shared" si="178"/>
        <v>127.71</v>
      </c>
      <c r="K2341" t="s">
        <v>394</v>
      </c>
    </row>
    <row r="2342" spans="3:11" outlineLevel="2" x14ac:dyDescent="0.3">
      <c r="C2342" s="9">
        <v>45154</v>
      </c>
      <c r="D2342" t="s">
        <v>8</v>
      </c>
      <c r="E2342" t="s">
        <v>33</v>
      </c>
      <c r="F2342" t="s">
        <v>10</v>
      </c>
      <c r="G2342" t="s">
        <v>23</v>
      </c>
      <c r="H2342">
        <v>640</v>
      </c>
      <c r="I2342">
        <v>36</v>
      </c>
      <c r="J2342" s="6">
        <f t="shared" si="178"/>
        <v>23.04</v>
      </c>
      <c r="K2342" t="s">
        <v>394</v>
      </c>
    </row>
    <row r="2343" spans="3:11" outlineLevel="2" x14ac:dyDescent="0.3">
      <c r="C2343" s="9">
        <v>45154</v>
      </c>
      <c r="D2343" t="s">
        <v>12</v>
      </c>
      <c r="E2343" t="s">
        <v>33</v>
      </c>
      <c r="F2343" t="s">
        <v>18</v>
      </c>
      <c r="G2343" t="s">
        <v>27</v>
      </c>
      <c r="H2343">
        <v>460</v>
      </c>
      <c r="I2343">
        <v>43</v>
      </c>
      <c r="J2343" s="6">
        <f t="shared" si="178"/>
        <v>19.78</v>
      </c>
      <c r="K2343" t="s">
        <v>394</v>
      </c>
    </row>
    <row r="2344" spans="3:11" outlineLevel="2" x14ac:dyDescent="0.3">
      <c r="C2344" s="9">
        <v>45154</v>
      </c>
      <c r="D2344" t="s">
        <v>45</v>
      </c>
      <c r="E2344" t="s">
        <v>35</v>
      </c>
      <c r="F2344" t="s">
        <v>24</v>
      </c>
      <c r="G2344" t="s">
        <v>32</v>
      </c>
      <c r="H2344">
        <v>1505</v>
      </c>
      <c r="I2344">
        <v>90</v>
      </c>
      <c r="J2344" s="6">
        <f t="shared" si="178"/>
        <v>135.44999999999999</v>
      </c>
      <c r="K2344" t="s">
        <v>394</v>
      </c>
    </row>
    <row r="2345" spans="3:11" outlineLevel="1" x14ac:dyDescent="0.3">
      <c r="C2345" s="13" t="s">
        <v>242</v>
      </c>
      <c r="J2345" s="6">
        <f>SUBTOTAL(9,J2338:J2344)</f>
        <v>356.95</v>
      </c>
      <c r="K2345" t="s">
        <v>394</v>
      </c>
    </row>
    <row r="2346" spans="3:11" outlineLevel="2" x14ac:dyDescent="0.3">
      <c r="C2346" s="9">
        <v>45155</v>
      </c>
      <c r="D2346" t="s">
        <v>45</v>
      </c>
      <c r="E2346" t="s">
        <v>20</v>
      </c>
      <c r="F2346" t="s">
        <v>10</v>
      </c>
      <c r="G2346" t="s">
        <v>11</v>
      </c>
      <c r="H2346">
        <v>705</v>
      </c>
      <c r="I2346">
        <v>40</v>
      </c>
      <c r="J2346" s="6">
        <f t="shared" ref="J2346:J2356" si="179">H2346*I2346/1000</f>
        <v>28.2</v>
      </c>
      <c r="K2346" t="s">
        <v>394</v>
      </c>
    </row>
    <row r="2347" spans="3:11" outlineLevel="2" x14ac:dyDescent="0.3">
      <c r="C2347" s="9">
        <v>45155</v>
      </c>
      <c r="D2347" t="s">
        <v>45</v>
      </c>
      <c r="E2347" t="s">
        <v>20</v>
      </c>
      <c r="F2347" t="s">
        <v>18</v>
      </c>
      <c r="G2347" t="s">
        <v>21</v>
      </c>
      <c r="H2347">
        <v>450</v>
      </c>
      <c r="I2347">
        <v>91</v>
      </c>
      <c r="J2347" s="6">
        <f t="shared" si="179"/>
        <v>40.950000000000003</v>
      </c>
      <c r="K2347" t="s">
        <v>394</v>
      </c>
    </row>
    <row r="2348" spans="3:11" outlineLevel="2" x14ac:dyDescent="0.3">
      <c r="C2348" s="9">
        <v>45155</v>
      </c>
      <c r="D2348" t="s">
        <v>17</v>
      </c>
      <c r="E2348" t="s">
        <v>20</v>
      </c>
      <c r="F2348" t="s">
        <v>13</v>
      </c>
      <c r="G2348" t="s">
        <v>22</v>
      </c>
      <c r="H2348">
        <v>930</v>
      </c>
      <c r="I2348">
        <v>34</v>
      </c>
      <c r="J2348" s="6">
        <f t="shared" si="179"/>
        <v>31.62</v>
      </c>
      <c r="K2348" t="s">
        <v>394</v>
      </c>
    </row>
    <row r="2349" spans="3:11" outlineLevel="2" x14ac:dyDescent="0.3">
      <c r="C2349" s="9">
        <v>45155</v>
      </c>
      <c r="D2349" t="s">
        <v>8</v>
      </c>
      <c r="E2349" t="s">
        <v>9</v>
      </c>
      <c r="F2349" t="s">
        <v>18</v>
      </c>
      <c r="G2349" t="s">
        <v>19</v>
      </c>
      <c r="H2349">
        <v>325</v>
      </c>
      <c r="I2349">
        <v>83</v>
      </c>
      <c r="J2349" s="6">
        <f t="shared" si="179"/>
        <v>26.975000000000001</v>
      </c>
      <c r="K2349" t="s">
        <v>394</v>
      </c>
    </row>
    <row r="2350" spans="3:11" outlineLevel="2" x14ac:dyDescent="0.3">
      <c r="C2350" s="9">
        <v>45155</v>
      </c>
      <c r="D2350" t="s">
        <v>17</v>
      </c>
      <c r="E2350" t="s">
        <v>9</v>
      </c>
      <c r="F2350" t="s">
        <v>24</v>
      </c>
      <c r="G2350" t="s">
        <v>32</v>
      </c>
      <c r="H2350">
        <v>1505</v>
      </c>
      <c r="I2350">
        <v>32</v>
      </c>
      <c r="J2350" s="6">
        <f t="shared" si="179"/>
        <v>48.16</v>
      </c>
      <c r="K2350" t="s">
        <v>394</v>
      </c>
    </row>
    <row r="2351" spans="3:11" outlineLevel="2" x14ac:dyDescent="0.3">
      <c r="C2351" s="9">
        <v>45155</v>
      </c>
      <c r="D2351" t="s">
        <v>17</v>
      </c>
      <c r="E2351" t="s">
        <v>15</v>
      </c>
      <c r="F2351" t="s">
        <v>10</v>
      </c>
      <c r="G2351" t="s">
        <v>11</v>
      </c>
      <c r="H2351">
        <v>705</v>
      </c>
      <c r="I2351">
        <v>8</v>
      </c>
      <c r="J2351" s="6">
        <f t="shared" si="179"/>
        <v>5.64</v>
      </c>
      <c r="K2351" t="s">
        <v>394</v>
      </c>
    </row>
    <row r="2352" spans="3:11" outlineLevel="2" x14ac:dyDescent="0.3">
      <c r="C2352" s="9">
        <v>45155</v>
      </c>
      <c r="D2352" t="s">
        <v>17</v>
      </c>
      <c r="E2352" t="s">
        <v>35</v>
      </c>
      <c r="F2352" t="s">
        <v>18</v>
      </c>
      <c r="G2352" t="s">
        <v>19</v>
      </c>
      <c r="H2352">
        <v>325</v>
      </c>
      <c r="I2352">
        <v>67</v>
      </c>
      <c r="J2352" s="6">
        <f t="shared" si="179"/>
        <v>21.774999999999999</v>
      </c>
      <c r="K2352" t="s">
        <v>394</v>
      </c>
    </row>
    <row r="2353" spans="3:11" outlineLevel="2" x14ac:dyDescent="0.3">
      <c r="C2353" s="9">
        <v>45155</v>
      </c>
      <c r="D2353" t="s">
        <v>8</v>
      </c>
      <c r="E2353" t="s">
        <v>35</v>
      </c>
      <c r="F2353" t="s">
        <v>13</v>
      </c>
      <c r="G2353" t="s">
        <v>22</v>
      </c>
      <c r="H2353">
        <v>930</v>
      </c>
      <c r="I2353">
        <v>85</v>
      </c>
      <c r="J2353" s="6">
        <f t="shared" si="179"/>
        <v>79.05</v>
      </c>
      <c r="K2353" t="s">
        <v>394</v>
      </c>
    </row>
    <row r="2354" spans="3:11" outlineLevel="2" x14ac:dyDescent="0.3">
      <c r="C2354" s="9">
        <v>45155</v>
      </c>
      <c r="D2354" t="s">
        <v>8</v>
      </c>
      <c r="E2354" t="s">
        <v>35</v>
      </c>
      <c r="F2354" t="s">
        <v>13</v>
      </c>
      <c r="G2354" t="s">
        <v>29</v>
      </c>
      <c r="H2354">
        <v>1230</v>
      </c>
      <c r="I2354">
        <v>100</v>
      </c>
      <c r="J2354" s="6">
        <f t="shared" si="179"/>
        <v>123</v>
      </c>
      <c r="K2354" t="s">
        <v>394</v>
      </c>
    </row>
    <row r="2355" spans="3:11" outlineLevel="2" x14ac:dyDescent="0.3">
      <c r="C2355" s="9">
        <v>45155</v>
      </c>
      <c r="D2355" t="s">
        <v>12</v>
      </c>
      <c r="E2355" t="s">
        <v>35</v>
      </c>
      <c r="F2355" t="s">
        <v>24</v>
      </c>
      <c r="G2355" t="s">
        <v>34</v>
      </c>
      <c r="H2355">
        <v>1670</v>
      </c>
      <c r="I2355">
        <v>66</v>
      </c>
      <c r="J2355" s="6">
        <f t="shared" si="179"/>
        <v>110.22</v>
      </c>
      <c r="K2355" t="s">
        <v>394</v>
      </c>
    </row>
    <row r="2356" spans="3:11" outlineLevel="2" x14ac:dyDescent="0.3">
      <c r="C2356" s="9">
        <v>45155</v>
      </c>
      <c r="D2356" t="s">
        <v>8</v>
      </c>
      <c r="E2356" t="s">
        <v>35</v>
      </c>
      <c r="F2356" t="s">
        <v>24</v>
      </c>
      <c r="G2356" t="s">
        <v>42</v>
      </c>
      <c r="H2356">
        <v>3205</v>
      </c>
      <c r="I2356">
        <v>69</v>
      </c>
      <c r="J2356" s="6">
        <f t="shared" si="179"/>
        <v>221.14500000000001</v>
      </c>
      <c r="K2356" t="s">
        <v>394</v>
      </c>
    </row>
    <row r="2357" spans="3:11" outlineLevel="1" x14ac:dyDescent="0.3">
      <c r="C2357" s="13" t="s">
        <v>243</v>
      </c>
      <c r="J2357" s="6">
        <f>SUBTOTAL(9,J2346:J2356)</f>
        <v>736.73500000000001</v>
      </c>
      <c r="K2357" t="s">
        <v>394</v>
      </c>
    </row>
    <row r="2358" spans="3:11" outlineLevel="2" x14ac:dyDescent="0.3">
      <c r="C2358" s="9">
        <v>45156</v>
      </c>
      <c r="D2358" t="s">
        <v>8</v>
      </c>
      <c r="E2358" t="s">
        <v>20</v>
      </c>
      <c r="F2358" t="s">
        <v>18</v>
      </c>
      <c r="G2358" t="s">
        <v>19</v>
      </c>
      <c r="H2358">
        <v>325</v>
      </c>
      <c r="I2358">
        <v>97</v>
      </c>
      <c r="J2358" s="6">
        <f t="shared" ref="J2358:J2363" si="180">H2358*I2358/1000</f>
        <v>31.524999999999999</v>
      </c>
      <c r="K2358" t="s">
        <v>394</v>
      </c>
    </row>
    <row r="2359" spans="3:11" outlineLevel="2" x14ac:dyDescent="0.3">
      <c r="C2359" s="9">
        <v>45156</v>
      </c>
      <c r="D2359" t="s">
        <v>8</v>
      </c>
      <c r="E2359" t="s">
        <v>20</v>
      </c>
      <c r="F2359" t="s">
        <v>24</v>
      </c>
      <c r="G2359" t="s">
        <v>25</v>
      </c>
      <c r="H2359">
        <v>1760</v>
      </c>
      <c r="I2359">
        <v>16</v>
      </c>
      <c r="J2359" s="6">
        <f t="shared" si="180"/>
        <v>28.16</v>
      </c>
      <c r="K2359" t="s">
        <v>394</v>
      </c>
    </row>
    <row r="2360" spans="3:11" outlineLevel="2" x14ac:dyDescent="0.3">
      <c r="C2360" s="9">
        <v>45156</v>
      </c>
      <c r="D2360" t="s">
        <v>45</v>
      </c>
      <c r="E2360" t="s">
        <v>20</v>
      </c>
      <c r="F2360" t="s">
        <v>24</v>
      </c>
      <c r="G2360" t="s">
        <v>32</v>
      </c>
      <c r="H2360">
        <v>1505</v>
      </c>
      <c r="I2360">
        <v>92</v>
      </c>
      <c r="J2360" s="6">
        <f t="shared" si="180"/>
        <v>138.46</v>
      </c>
      <c r="K2360" t="s">
        <v>394</v>
      </c>
    </row>
    <row r="2361" spans="3:11" outlineLevel="2" x14ac:dyDescent="0.3">
      <c r="C2361" s="9">
        <v>45156</v>
      </c>
      <c r="D2361" t="s">
        <v>12</v>
      </c>
      <c r="E2361" t="s">
        <v>20</v>
      </c>
      <c r="F2361" t="s">
        <v>24</v>
      </c>
      <c r="G2361" t="s">
        <v>42</v>
      </c>
      <c r="H2361">
        <v>3205</v>
      </c>
      <c r="I2361">
        <v>44</v>
      </c>
      <c r="J2361" s="6">
        <f t="shared" si="180"/>
        <v>141.02000000000001</v>
      </c>
      <c r="K2361" t="s">
        <v>394</v>
      </c>
    </row>
    <row r="2362" spans="3:11" outlineLevel="2" x14ac:dyDescent="0.3">
      <c r="C2362" s="9">
        <v>45156</v>
      </c>
      <c r="D2362" t="s">
        <v>8</v>
      </c>
      <c r="E2362" t="s">
        <v>9</v>
      </c>
      <c r="F2362" t="s">
        <v>13</v>
      </c>
      <c r="G2362" t="s">
        <v>44</v>
      </c>
      <c r="H2362">
        <v>2540</v>
      </c>
      <c r="I2362">
        <v>53</v>
      </c>
      <c r="J2362" s="6">
        <f t="shared" si="180"/>
        <v>134.62</v>
      </c>
      <c r="K2362" t="s">
        <v>394</v>
      </c>
    </row>
    <row r="2363" spans="3:11" outlineLevel="2" x14ac:dyDescent="0.3">
      <c r="C2363" s="9">
        <v>45156</v>
      </c>
      <c r="D2363" t="s">
        <v>17</v>
      </c>
      <c r="E2363" t="s">
        <v>35</v>
      </c>
      <c r="F2363" t="s">
        <v>13</v>
      </c>
      <c r="G2363" t="s">
        <v>44</v>
      </c>
      <c r="H2363">
        <v>2540</v>
      </c>
      <c r="I2363">
        <v>43</v>
      </c>
      <c r="J2363" s="6">
        <f t="shared" si="180"/>
        <v>109.22</v>
      </c>
      <c r="K2363" t="s">
        <v>394</v>
      </c>
    </row>
    <row r="2364" spans="3:11" outlineLevel="1" x14ac:dyDescent="0.3">
      <c r="C2364" s="13" t="s">
        <v>244</v>
      </c>
      <c r="J2364" s="6">
        <f>SUBTOTAL(9,J2358:J2363)</f>
        <v>583.005</v>
      </c>
      <c r="K2364" t="s">
        <v>394</v>
      </c>
    </row>
    <row r="2365" spans="3:11" outlineLevel="2" x14ac:dyDescent="0.3">
      <c r="C2365" s="9">
        <v>45157</v>
      </c>
      <c r="D2365" t="s">
        <v>12</v>
      </c>
      <c r="E2365" t="s">
        <v>9</v>
      </c>
      <c r="F2365" t="s">
        <v>10</v>
      </c>
      <c r="G2365" t="s">
        <v>16</v>
      </c>
      <c r="H2365">
        <v>1380</v>
      </c>
      <c r="I2365">
        <v>29</v>
      </c>
      <c r="J2365" s="6">
        <f t="shared" ref="J2365:J2372" si="181">H2365*I2365/1000</f>
        <v>40.020000000000003</v>
      </c>
      <c r="K2365" t="s">
        <v>394</v>
      </c>
    </row>
    <row r="2366" spans="3:11" outlineLevel="2" x14ac:dyDescent="0.3">
      <c r="C2366" s="9">
        <v>45157</v>
      </c>
      <c r="D2366" t="s">
        <v>17</v>
      </c>
      <c r="E2366" t="s">
        <v>9</v>
      </c>
      <c r="F2366" t="s">
        <v>13</v>
      </c>
      <c r="G2366" t="s">
        <v>29</v>
      </c>
      <c r="H2366">
        <v>1230</v>
      </c>
      <c r="I2366">
        <v>56</v>
      </c>
      <c r="J2366" s="6">
        <f t="shared" si="181"/>
        <v>68.88</v>
      </c>
      <c r="K2366" t="s">
        <v>394</v>
      </c>
    </row>
    <row r="2367" spans="3:11" outlineLevel="2" x14ac:dyDescent="0.3">
      <c r="C2367" s="9">
        <v>45157</v>
      </c>
      <c r="D2367" t="s">
        <v>45</v>
      </c>
      <c r="E2367" t="s">
        <v>9</v>
      </c>
      <c r="F2367" t="s">
        <v>13</v>
      </c>
      <c r="G2367" t="s">
        <v>29</v>
      </c>
      <c r="H2367">
        <v>1230</v>
      </c>
      <c r="I2367">
        <v>100</v>
      </c>
      <c r="J2367" s="6">
        <f t="shared" si="181"/>
        <v>123</v>
      </c>
      <c r="K2367" t="s">
        <v>394</v>
      </c>
    </row>
    <row r="2368" spans="3:11" outlineLevel="2" x14ac:dyDescent="0.3">
      <c r="C2368" s="9">
        <v>45157</v>
      </c>
      <c r="D2368" t="s">
        <v>8</v>
      </c>
      <c r="E2368" t="s">
        <v>26</v>
      </c>
      <c r="F2368" t="s">
        <v>24</v>
      </c>
      <c r="G2368" t="s">
        <v>30</v>
      </c>
      <c r="H2368">
        <v>2970</v>
      </c>
      <c r="I2368">
        <v>77</v>
      </c>
      <c r="J2368" s="6">
        <f t="shared" si="181"/>
        <v>228.69</v>
      </c>
      <c r="K2368" t="s">
        <v>394</v>
      </c>
    </row>
    <row r="2369" spans="3:11" outlineLevel="2" x14ac:dyDescent="0.3">
      <c r="C2369" s="9">
        <v>45157</v>
      </c>
      <c r="D2369" t="s">
        <v>45</v>
      </c>
      <c r="E2369" t="s">
        <v>15</v>
      </c>
      <c r="F2369" t="s">
        <v>10</v>
      </c>
      <c r="G2369" t="s">
        <v>41</v>
      </c>
      <c r="H2369">
        <v>650</v>
      </c>
      <c r="I2369">
        <v>34</v>
      </c>
      <c r="J2369" s="6">
        <f t="shared" si="181"/>
        <v>22.1</v>
      </c>
      <c r="K2369" t="s">
        <v>394</v>
      </c>
    </row>
    <row r="2370" spans="3:11" outlineLevel="2" x14ac:dyDescent="0.3">
      <c r="C2370" s="9">
        <v>45157</v>
      </c>
      <c r="D2370" t="s">
        <v>8</v>
      </c>
      <c r="E2370" t="s">
        <v>33</v>
      </c>
      <c r="F2370" t="s">
        <v>10</v>
      </c>
      <c r="G2370" t="s">
        <v>40</v>
      </c>
      <c r="H2370">
        <v>540</v>
      </c>
      <c r="I2370">
        <v>56</v>
      </c>
      <c r="J2370" s="6">
        <f t="shared" si="181"/>
        <v>30.24</v>
      </c>
      <c r="K2370" t="s">
        <v>394</v>
      </c>
    </row>
    <row r="2371" spans="3:11" outlineLevel="2" x14ac:dyDescent="0.3">
      <c r="C2371" s="9">
        <v>45157</v>
      </c>
      <c r="D2371" t="s">
        <v>12</v>
      </c>
      <c r="E2371" t="s">
        <v>33</v>
      </c>
      <c r="F2371" t="s">
        <v>13</v>
      </c>
      <c r="G2371" t="s">
        <v>38</v>
      </c>
      <c r="H2371">
        <v>2400</v>
      </c>
      <c r="I2371">
        <v>66</v>
      </c>
      <c r="J2371" s="6">
        <f t="shared" si="181"/>
        <v>158.4</v>
      </c>
      <c r="K2371" t="s">
        <v>394</v>
      </c>
    </row>
    <row r="2372" spans="3:11" outlineLevel="2" x14ac:dyDescent="0.3">
      <c r="C2372" s="9">
        <v>45157</v>
      </c>
      <c r="D2372" t="s">
        <v>17</v>
      </c>
      <c r="E2372" t="s">
        <v>33</v>
      </c>
      <c r="F2372" t="s">
        <v>24</v>
      </c>
      <c r="G2372" t="s">
        <v>25</v>
      </c>
      <c r="H2372">
        <v>1760</v>
      </c>
      <c r="I2372">
        <v>51</v>
      </c>
      <c r="J2372" s="6">
        <f t="shared" si="181"/>
        <v>89.76</v>
      </c>
      <c r="K2372" t="s">
        <v>394</v>
      </c>
    </row>
    <row r="2373" spans="3:11" outlineLevel="1" x14ac:dyDescent="0.3">
      <c r="C2373" s="13" t="s">
        <v>245</v>
      </c>
      <c r="J2373" s="6">
        <f>SUBTOTAL(9,J2365:J2372)</f>
        <v>761.09</v>
      </c>
      <c r="K2373" t="s">
        <v>394</v>
      </c>
    </row>
    <row r="2374" spans="3:11" outlineLevel="2" x14ac:dyDescent="0.3">
      <c r="C2374" s="9">
        <v>45158</v>
      </c>
      <c r="D2374" t="s">
        <v>45</v>
      </c>
      <c r="E2374" t="s">
        <v>9</v>
      </c>
      <c r="F2374" t="s">
        <v>10</v>
      </c>
      <c r="G2374" t="s">
        <v>23</v>
      </c>
      <c r="H2374">
        <v>640</v>
      </c>
      <c r="I2374">
        <v>65</v>
      </c>
      <c r="J2374" s="6">
        <f t="shared" ref="J2374:J2380" si="182">H2374*I2374/1000</f>
        <v>41.6</v>
      </c>
      <c r="K2374" t="s">
        <v>394</v>
      </c>
    </row>
    <row r="2375" spans="3:11" outlineLevel="2" x14ac:dyDescent="0.3">
      <c r="C2375" s="9">
        <v>45158</v>
      </c>
      <c r="D2375" t="s">
        <v>45</v>
      </c>
      <c r="E2375" t="s">
        <v>26</v>
      </c>
      <c r="F2375" t="s">
        <v>18</v>
      </c>
      <c r="G2375" t="s">
        <v>31</v>
      </c>
      <c r="H2375">
        <v>715</v>
      </c>
      <c r="I2375">
        <v>59</v>
      </c>
      <c r="J2375" s="6">
        <f t="shared" si="182"/>
        <v>42.185000000000002</v>
      </c>
      <c r="K2375" t="s">
        <v>394</v>
      </c>
    </row>
    <row r="2376" spans="3:11" outlineLevel="2" x14ac:dyDescent="0.3">
      <c r="C2376" s="9">
        <v>45158</v>
      </c>
      <c r="D2376" t="s">
        <v>12</v>
      </c>
      <c r="E2376" t="s">
        <v>33</v>
      </c>
      <c r="F2376" t="s">
        <v>10</v>
      </c>
      <c r="G2376" t="s">
        <v>41</v>
      </c>
      <c r="H2376">
        <v>650</v>
      </c>
      <c r="I2376">
        <v>48</v>
      </c>
      <c r="J2376" s="6">
        <f t="shared" si="182"/>
        <v>31.2</v>
      </c>
      <c r="K2376" t="s">
        <v>394</v>
      </c>
    </row>
    <row r="2377" spans="3:11" outlineLevel="2" x14ac:dyDescent="0.3">
      <c r="C2377" s="9">
        <v>45158</v>
      </c>
      <c r="D2377" t="s">
        <v>17</v>
      </c>
      <c r="E2377" t="s">
        <v>33</v>
      </c>
      <c r="F2377" t="s">
        <v>24</v>
      </c>
      <c r="G2377" t="s">
        <v>42</v>
      </c>
      <c r="H2377">
        <v>3205</v>
      </c>
      <c r="I2377">
        <v>65</v>
      </c>
      <c r="J2377" s="6">
        <f t="shared" si="182"/>
        <v>208.32499999999999</v>
      </c>
      <c r="K2377" t="s">
        <v>394</v>
      </c>
    </row>
    <row r="2378" spans="3:11" outlineLevel="2" x14ac:dyDescent="0.3">
      <c r="C2378" s="9">
        <v>45158</v>
      </c>
      <c r="D2378" t="s">
        <v>12</v>
      </c>
      <c r="E2378" t="s">
        <v>35</v>
      </c>
      <c r="F2378" t="s">
        <v>18</v>
      </c>
      <c r="G2378" t="s">
        <v>28</v>
      </c>
      <c r="H2378">
        <v>690</v>
      </c>
      <c r="I2378">
        <v>45</v>
      </c>
      <c r="J2378" s="6">
        <f t="shared" si="182"/>
        <v>31.05</v>
      </c>
      <c r="K2378" t="s">
        <v>394</v>
      </c>
    </row>
    <row r="2379" spans="3:11" outlineLevel="2" x14ac:dyDescent="0.3">
      <c r="C2379" s="9">
        <v>45158</v>
      </c>
      <c r="D2379" t="s">
        <v>45</v>
      </c>
      <c r="E2379" t="s">
        <v>35</v>
      </c>
      <c r="F2379" t="s">
        <v>13</v>
      </c>
      <c r="G2379" t="s">
        <v>14</v>
      </c>
      <c r="H2379">
        <v>1320</v>
      </c>
      <c r="I2379">
        <v>12</v>
      </c>
      <c r="J2379" s="6">
        <f t="shared" si="182"/>
        <v>15.84</v>
      </c>
      <c r="K2379" t="s">
        <v>394</v>
      </c>
    </row>
    <row r="2380" spans="3:11" outlineLevel="2" x14ac:dyDescent="0.3">
      <c r="C2380" s="9">
        <v>45158</v>
      </c>
      <c r="D2380" t="s">
        <v>17</v>
      </c>
      <c r="E2380" t="s">
        <v>35</v>
      </c>
      <c r="F2380" t="s">
        <v>24</v>
      </c>
      <c r="G2380" t="s">
        <v>32</v>
      </c>
      <c r="H2380">
        <v>1505</v>
      </c>
      <c r="I2380">
        <v>32</v>
      </c>
      <c r="J2380" s="6">
        <f t="shared" si="182"/>
        <v>48.16</v>
      </c>
      <c r="K2380" t="s">
        <v>394</v>
      </c>
    </row>
    <row r="2381" spans="3:11" outlineLevel="1" x14ac:dyDescent="0.3">
      <c r="C2381" s="13" t="s">
        <v>246</v>
      </c>
      <c r="J2381" s="6">
        <f>SUBTOTAL(9,J2374:J2380)</f>
        <v>418.36</v>
      </c>
      <c r="K2381" t="s">
        <v>394</v>
      </c>
    </row>
    <row r="2382" spans="3:11" outlineLevel="2" x14ac:dyDescent="0.3">
      <c r="C2382" s="9">
        <v>45159</v>
      </c>
      <c r="D2382" t="s">
        <v>17</v>
      </c>
      <c r="E2382" t="s">
        <v>20</v>
      </c>
      <c r="F2382" t="s">
        <v>10</v>
      </c>
      <c r="G2382" t="s">
        <v>39</v>
      </c>
      <c r="H2382">
        <v>650</v>
      </c>
      <c r="I2382">
        <v>21</v>
      </c>
      <c r="J2382" s="6">
        <f t="shared" ref="J2382:J2389" si="183">H2382*I2382/1000</f>
        <v>13.65</v>
      </c>
      <c r="K2382" t="s">
        <v>394</v>
      </c>
    </row>
    <row r="2383" spans="3:11" outlineLevel="2" x14ac:dyDescent="0.3">
      <c r="C2383" s="9">
        <v>45159</v>
      </c>
      <c r="D2383" t="s">
        <v>8</v>
      </c>
      <c r="E2383" t="s">
        <v>9</v>
      </c>
      <c r="F2383" t="s">
        <v>18</v>
      </c>
      <c r="G2383" t="s">
        <v>31</v>
      </c>
      <c r="H2383">
        <v>715</v>
      </c>
      <c r="I2383">
        <v>22</v>
      </c>
      <c r="J2383" s="6">
        <f t="shared" si="183"/>
        <v>15.73</v>
      </c>
      <c r="K2383" t="s">
        <v>394</v>
      </c>
    </row>
    <row r="2384" spans="3:11" outlineLevel="2" x14ac:dyDescent="0.3">
      <c r="C2384" s="9">
        <v>45159</v>
      </c>
      <c r="D2384" t="s">
        <v>17</v>
      </c>
      <c r="E2384" t="s">
        <v>9</v>
      </c>
      <c r="F2384" t="s">
        <v>13</v>
      </c>
      <c r="G2384" t="s">
        <v>44</v>
      </c>
      <c r="H2384">
        <v>2540</v>
      </c>
      <c r="I2384">
        <v>40</v>
      </c>
      <c r="J2384" s="6">
        <f t="shared" si="183"/>
        <v>101.6</v>
      </c>
      <c r="K2384" t="s">
        <v>394</v>
      </c>
    </row>
    <row r="2385" spans="3:11" outlineLevel="2" x14ac:dyDescent="0.3">
      <c r="C2385" s="9">
        <v>45159</v>
      </c>
      <c r="D2385" t="s">
        <v>12</v>
      </c>
      <c r="E2385" t="s">
        <v>26</v>
      </c>
      <c r="F2385" t="s">
        <v>24</v>
      </c>
      <c r="G2385" t="s">
        <v>34</v>
      </c>
      <c r="H2385">
        <v>1670</v>
      </c>
      <c r="I2385">
        <v>68</v>
      </c>
      <c r="J2385" s="6">
        <f t="shared" si="183"/>
        <v>113.56</v>
      </c>
      <c r="K2385" t="s">
        <v>394</v>
      </c>
    </row>
    <row r="2386" spans="3:11" outlineLevel="2" x14ac:dyDescent="0.3">
      <c r="C2386" s="9">
        <v>45159</v>
      </c>
      <c r="D2386" t="s">
        <v>12</v>
      </c>
      <c r="E2386" t="s">
        <v>15</v>
      </c>
      <c r="F2386" t="s">
        <v>24</v>
      </c>
      <c r="G2386" t="s">
        <v>42</v>
      </c>
      <c r="H2386">
        <v>3205</v>
      </c>
      <c r="I2386">
        <v>10</v>
      </c>
      <c r="J2386" s="6">
        <f t="shared" si="183"/>
        <v>32.049999999999997</v>
      </c>
      <c r="K2386" t="s">
        <v>394</v>
      </c>
    </row>
    <row r="2387" spans="3:11" outlineLevel="2" x14ac:dyDescent="0.3">
      <c r="C2387" s="9">
        <v>45159</v>
      </c>
      <c r="D2387" t="s">
        <v>17</v>
      </c>
      <c r="E2387" t="s">
        <v>33</v>
      </c>
      <c r="F2387" t="s">
        <v>10</v>
      </c>
      <c r="G2387" t="s">
        <v>11</v>
      </c>
      <c r="H2387">
        <v>705</v>
      </c>
      <c r="I2387">
        <v>18</v>
      </c>
      <c r="J2387" s="6">
        <f t="shared" si="183"/>
        <v>12.69</v>
      </c>
      <c r="K2387" t="s">
        <v>394</v>
      </c>
    </row>
    <row r="2388" spans="3:11" outlineLevel="2" x14ac:dyDescent="0.3">
      <c r="C2388" s="9">
        <v>45159</v>
      </c>
      <c r="D2388" t="s">
        <v>12</v>
      </c>
      <c r="E2388" t="s">
        <v>33</v>
      </c>
      <c r="F2388" t="s">
        <v>24</v>
      </c>
      <c r="G2388" t="s">
        <v>36</v>
      </c>
      <c r="H2388">
        <v>2460</v>
      </c>
      <c r="I2388">
        <v>84</v>
      </c>
      <c r="J2388" s="6">
        <f t="shared" si="183"/>
        <v>206.64</v>
      </c>
      <c r="K2388" t="s">
        <v>394</v>
      </c>
    </row>
    <row r="2389" spans="3:11" outlineLevel="2" x14ac:dyDescent="0.3">
      <c r="C2389" s="9">
        <v>45159</v>
      </c>
      <c r="D2389" t="s">
        <v>17</v>
      </c>
      <c r="E2389" t="s">
        <v>35</v>
      </c>
      <c r="F2389" t="s">
        <v>10</v>
      </c>
      <c r="G2389" t="s">
        <v>23</v>
      </c>
      <c r="H2389">
        <v>640</v>
      </c>
      <c r="I2389">
        <v>9</v>
      </c>
      <c r="J2389" s="6">
        <f t="shared" si="183"/>
        <v>5.76</v>
      </c>
      <c r="K2389" t="s">
        <v>394</v>
      </c>
    </row>
    <row r="2390" spans="3:11" outlineLevel="1" x14ac:dyDescent="0.3">
      <c r="C2390" s="13" t="s">
        <v>247</v>
      </c>
      <c r="J2390" s="6">
        <f>SUBTOTAL(9,J2382:J2389)</f>
        <v>501.67999999999995</v>
      </c>
      <c r="K2390" t="s">
        <v>394</v>
      </c>
    </row>
    <row r="2391" spans="3:11" outlineLevel="2" x14ac:dyDescent="0.3">
      <c r="C2391" s="9">
        <v>45160</v>
      </c>
      <c r="D2391" t="s">
        <v>17</v>
      </c>
      <c r="E2391" t="s">
        <v>20</v>
      </c>
      <c r="F2391" t="s">
        <v>10</v>
      </c>
      <c r="G2391" t="s">
        <v>40</v>
      </c>
      <c r="H2391">
        <v>540</v>
      </c>
      <c r="I2391">
        <v>60</v>
      </c>
      <c r="J2391" s="6">
        <f>H2391*I2391/1000</f>
        <v>32.4</v>
      </c>
      <c r="K2391" t="s">
        <v>394</v>
      </c>
    </row>
    <row r="2392" spans="3:11" outlineLevel="2" x14ac:dyDescent="0.3">
      <c r="C2392" s="9">
        <v>45160</v>
      </c>
      <c r="D2392" t="s">
        <v>12</v>
      </c>
      <c r="E2392" t="s">
        <v>26</v>
      </c>
      <c r="F2392" t="s">
        <v>10</v>
      </c>
      <c r="G2392" t="s">
        <v>23</v>
      </c>
      <c r="H2392">
        <v>640</v>
      </c>
      <c r="I2392">
        <v>62</v>
      </c>
      <c r="J2392" s="6">
        <f>H2392*I2392/1000</f>
        <v>39.68</v>
      </c>
      <c r="K2392" t="s">
        <v>394</v>
      </c>
    </row>
    <row r="2393" spans="3:11" outlineLevel="2" x14ac:dyDescent="0.3">
      <c r="C2393" s="9">
        <v>45160</v>
      </c>
      <c r="D2393" t="s">
        <v>17</v>
      </c>
      <c r="E2393" t="s">
        <v>26</v>
      </c>
      <c r="F2393" t="s">
        <v>10</v>
      </c>
      <c r="G2393" t="s">
        <v>23</v>
      </c>
      <c r="H2393">
        <v>640</v>
      </c>
      <c r="I2393">
        <v>76</v>
      </c>
      <c r="J2393" s="6">
        <f>H2393*I2393/1000</f>
        <v>48.64</v>
      </c>
      <c r="K2393" t="s">
        <v>394</v>
      </c>
    </row>
    <row r="2394" spans="3:11" outlineLevel="2" x14ac:dyDescent="0.3">
      <c r="C2394" s="9">
        <v>45160</v>
      </c>
      <c r="D2394" t="s">
        <v>17</v>
      </c>
      <c r="E2394" t="s">
        <v>15</v>
      </c>
      <c r="F2394" t="s">
        <v>13</v>
      </c>
      <c r="G2394" t="s">
        <v>44</v>
      </c>
      <c r="H2394">
        <v>2540</v>
      </c>
      <c r="I2394">
        <v>75</v>
      </c>
      <c r="J2394" s="6">
        <f>H2394*I2394/1000</f>
        <v>190.5</v>
      </c>
      <c r="K2394" t="s">
        <v>394</v>
      </c>
    </row>
    <row r="2395" spans="3:11" outlineLevel="2" x14ac:dyDescent="0.3">
      <c r="C2395" s="9">
        <v>45160</v>
      </c>
      <c r="D2395" t="s">
        <v>8</v>
      </c>
      <c r="E2395" t="s">
        <v>35</v>
      </c>
      <c r="F2395" t="s">
        <v>18</v>
      </c>
      <c r="G2395" t="s">
        <v>27</v>
      </c>
      <c r="H2395">
        <v>460</v>
      </c>
      <c r="I2395">
        <v>74</v>
      </c>
      <c r="J2395" s="6">
        <f>H2395*I2395/1000</f>
        <v>34.04</v>
      </c>
      <c r="K2395" t="s">
        <v>394</v>
      </c>
    </row>
    <row r="2396" spans="3:11" outlineLevel="1" x14ac:dyDescent="0.3">
      <c r="C2396" s="13" t="s">
        <v>248</v>
      </c>
      <c r="J2396" s="6">
        <f>SUBTOTAL(9,J2391:J2395)</f>
        <v>345.26000000000005</v>
      </c>
      <c r="K2396" t="s">
        <v>394</v>
      </c>
    </row>
    <row r="2397" spans="3:11" outlineLevel="2" x14ac:dyDescent="0.3">
      <c r="C2397" s="9">
        <v>45161</v>
      </c>
      <c r="D2397" t="s">
        <v>8</v>
      </c>
      <c r="E2397" t="s">
        <v>9</v>
      </c>
      <c r="F2397" t="s">
        <v>18</v>
      </c>
      <c r="G2397" t="s">
        <v>31</v>
      </c>
      <c r="H2397">
        <v>715</v>
      </c>
      <c r="I2397">
        <v>6</v>
      </c>
      <c r="J2397" s="6">
        <f>H2397*I2397/1000</f>
        <v>4.29</v>
      </c>
      <c r="K2397" t="s">
        <v>394</v>
      </c>
    </row>
    <row r="2398" spans="3:11" outlineLevel="2" x14ac:dyDescent="0.3">
      <c r="C2398" s="9">
        <v>45161</v>
      </c>
      <c r="D2398" t="s">
        <v>17</v>
      </c>
      <c r="E2398" t="s">
        <v>26</v>
      </c>
      <c r="F2398" t="s">
        <v>10</v>
      </c>
      <c r="G2398" t="s">
        <v>39</v>
      </c>
      <c r="H2398">
        <v>650</v>
      </c>
      <c r="I2398">
        <v>11</v>
      </c>
      <c r="J2398" s="6">
        <f>H2398*I2398/1000</f>
        <v>7.15</v>
      </c>
      <c r="K2398" t="s">
        <v>394</v>
      </c>
    </row>
    <row r="2399" spans="3:11" outlineLevel="2" x14ac:dyDescent="0.3">
      <c r="C2399" s="9">
        <v>45161</v>
      </c>
      <c r="D2399" t="s">
        <v>17</v>
      </c>
      <c r="E2399" t="s">
        <v>26</v>
      </c>
      <c r="F2399" t="s">
        <v>13</v>
      </c>
      <c r="G2399" t="s">
        <v>43</v>
      </c>
      <c r="H2399">
        <v>1420</v>
      </c>
      <c r="I2399">
        <v>8</v>
      </c>
      <c r="J2399" s="6">
        <f>H2399*I2399/1000</f>
        <v>11.36</v>
      </c>
      <c r="K2399" t="s">
        <v>394</v>
      </c>
    </row>
    <row r="2400" spans="3:11" outlineLevel="2" x14ac:dyDescent="0.3">
      <c r="C2400" s="9">
        <v>45161</v>
      </c>
      <c r="D2400" t="s">
        <v>8</v>
      </c>
      <c r="E2400" t="s">
        <v>33</v>
      </c>
      <c r="F2400" t="s">
        <v>24</v>
      </c>
      <c r="G2400" t="s">
        <v>34</v>
      </c>
      <c r="H2400">
        <v>1670</v>
      </c>
      <c r="I2400">
        <v>52</v>
      </c>
      <c r="J2400" s="6">
        <f>H2400*I2400/1000</f>
        <v>86.84</v>
      </c>
      <c r="K2400" t="s">
        <v>394</v>
      </c>
    </row>
    <row r="2401" spans="3:11" outlineLevel="1" x14ac:dyDescent="0.3">
      <c r="C2401" s="13" t="s">
        <v>249</v>
      </c>
      <c r="J2401" s="6">
        <f>SUBTOTAL(9,J2397:J2400)</f>
        <v>109.64</v>
      </c>
      <c r="K2401" t="s">
        <v>394</v>
      </c>
    </row>
    <row r="2402" spans="3:11" outlineLevel="2" x14ac:dyDescent="0.3">
      <c r="C2402" s="9">
        <v>45162</v>
      </c>
      <c r="D2402" t="s">
        <v>8</v>
      </c>
      <c r="E2402" t="s">
        <v>20</v>
      </c>
      <c r="F2402" t="s">
        <v>18</v>
      </c>
      <c r="G2402" t="s">
        <v>28</v>
      </c>
      <c r="H2402">
        <v>690</v>
      </c>
      <c r="I2402">
        <v>46</v>
      </c>
      <c r="J2402" s="6">
        <f t="shared" ref="J2402:J2409" si="184">H2402*I2402/1000</f>
        <v>31.74</v>
      </c>
      <c r="K2402" t="s">
        <v>394</v>
      </c>
    </row>
    <row r="2403" spans="3:11" outlineLevel="2" x14ac:dyDescent="0.3">
      <c r="C2403" s="9">
        <v>45162</v>
      </c>
      <c r="D2403" t="s">
        <v>45</v>
      </c>
      <c r="E2403" t="s">
        <v>20</v>
      </c>
      <c r="F2403" t="s">
        <v>24</v>
      </c>
      <c r="G2403" t="s">
        <v>36</v>
      </c>
      <c r="H2403">
        <v>2460</v>
      </c>
      <c r="I2403">
        <v>26</v>
      </c>
      <c r="J2403" s="6">
        <f t="shared" si="184"/>
        <v>63.96</v>
      </c>
      <c r="K2403" t="s">
        <v>394</v>
      </c>
    </row>
    <row r="2404" spans="3:11" outlineLevel="2" x14ac:dyDescent="0.3">
      <c r="C2404" s="9">
        <v>45162</v>
      </c>
      <c r="D2404" t="s">
        <v>45</v>
      </c>
      <c r="E2404" t="s">
        <v>9</v>
      </c>
      <c r="F2404" t="s">
        <v>18</v>
      </c>
      <c r="G2404" t="s">
        <v>37</v>
      </c>
      <c r="H2404">
        <v>890</v>
      </c>
      <c r="I2404">
        <v>19</v>
      </c>
      <c r="J2404" s="6">
        <f t="shared" si="184"/>
        <v>16.91</v>
      </c>
      <c r="K2404" t="s">
        <v>394</v>
      </c>
    </row>
    <row r="2405" spans="3:11" outlineLevel="2" x14ac:dyDescent="0.3">
      <c r="C2405" s="9">
        <v>45162</v>
      </c>
      <c r="D2405" t="s">
        <v>12</v>
      </c>
      <c r="E2405" t="s">
        <v>9</v>
      </c>
      <c r="F2405" t="s">
        <v>13</v>
      </c>
      <c r="G2405" t="s">
        <v>14</v>
      </c>
      <c r="H2405">
        <v>1320</v>
      </c>
      <c r="I2405">
        <v>89</v>
      </c>
      <c r="J2405" s="6">
        <f t="shared" si="184"/>
        <v>117.48</v>
      </c>
      <c r="K2405" t="s">
        <v>394</v>
      </c>
    </row>
    <row r="2406" spans="3:11" outlineLevel="2" x14ac:dyDescent="0.3">
      <c r="C2406" s="9">
        <v>45162</v>
      </c>
      <c r="D2406" t="s">
        <v>17</v>
      </c>
      <c r="E2406" t="s">
        <v>26</v>
      </c>
      <c r="F2406" t="s">
        <v>24</v>
      </c>
      <c r="G2406" t="s">
        <v>25</v>
      </c>
      <c r="H2406">
        <v>1760</v>
      </c>
      <c r="I2406">
        <v>30</v>
      </c>
      <c r="J2406" s="6">
        <f t="shared" si="184"/>
        <v>52.8</v>
      </c>
      <c r="K2406" t="s">
        <v>394</v>
      </c>
    </row>
    <row r="2407" spans="3:11" outlineLevel="2" x14ac:dyDescent="0.3">
      <c r="C2407" s="9">
        <v>45162</v>
      </c>
      <c r="D2407" t="s">
        <v>8</v>
      </c>
      <c r="E2407" t="s">
        <v>33</v>
      </c>
      <c r="F2407" t="s">
        <v>24</v>
      </c>
      <c r="G2407" t="s">
        <v>34</v>
      </c>
      <c r="H2407">
        <v>1670</v>
      </c>
      <c r="I2407">
        <v>92</v>
      </c>
      <c r="J2407" s="6">
        <f t="shared" si="184"/>
        <v>153.63999999999999</v>
      </c>
      <c r="K2407" t="s">
        <v>394</v>
      </c>
    </row>
    <row r="2408" spans="3:11" outlineLevel="2" x14ac:dyDescent="0.3">
      <c r="C2408" s="9">
        <v>45162</v>
      </c>
      <c r="D2408" t="s">
        <v>45</v>
      </c>
      <c r="E2408" t="s">
        <v>35</v>
      </c>
      <c r="F2408" t="s">
        <v>13</v>
      </c>
      <c r="G2408" t="s">
        <v>43</v>
      </c>
      <c r="H2408">
        <v>1420</v>
      </c>
      <c r="I2408">
        <v>41</v>
      </c>
      <c r="J2408" s="6">
        <f t="shared" si="184"/>
        <v>58.22</v>
      </c>
      <c r="K2408" t="s">
        <v>394</v>
      </c>
    </row>
    <row r="2409" spans="3:11" outlineLevel="2" x14ac:dyDescent="0.3">
      <c r="C2409" s="9">
        <v>45162</v>
      </c>
      <c r="D2409" t="s">
        <v>12</v>
      </c>
      <c r="E2409" t="s">
        <v>35</v>
      </c>
      <c r="F2409" t="s">
        <v>13</v>
      </c>
      <c r="G2409" t="s">
        <v>22</v>
      </c>
      <c r="H2409">
        <v>930</v>
      </c>
      <c r="I2409">
        <v>45</v>
      </c>
      <c r="J2409" s="6">
        <f t="shared" si="184"/>
        <v>41.85</v>
      </c>
      <c r="K2409" t="s">
        <v>394</v>
      </c>
    </row>
    <row r="2410" spans="3:11" outlineLevel="1" x14ac:dyDescent="0.3">
      <c r="C2410" s="13" t="s">
        <v>250</v>
      </c>
      <c r="J2410" s="6">
        <f>SUBTOTAL(9,J2402:J2409)</f>
        <v>536.6</v>
      </c>
      <c r="K2410" t="s">
        <v>394</v>
      </c>
    </row>
    <row r="2411" spans="3:11" outlineLevel="2" x14ac:dyDescent="0.3">
      <c r="C2411" s="9">
        <v>45163</v>
      </c>
      <c r="D2411" t="s">
        <v>17</v>
      </c>
      <c r="E2411" t="s">
        <v>20</v>
      </c>
      <c r="F2411" t="s">
        <v>24</v>
      </c>
      <c r="G2411" t="s">
        <v>42</v>
      </c>
      <c r="H2411">
        <v>3205</v>
      </c>
      <c r="I2411">
        <v>17</v>
      </c>
      <c r="J2411" s="6">
        <f t="shared" ref="J2411:J2420" si="185">H2411*I2411/1000</f>
        <v>54.484999999999999</v>
      </c>
      <c r="K2411" t="s">
        <v>394</v>
      </c>
    </row>
    <row r="2412" spans="3:11" outlineLevel="2" x14ac:dyDescent="0.3">
      <c r="C2412" s="9">
        <v>45163</v>
      </c>
      <c r="D2412" t="s">
        <v>45</v>
      </c>
      <c r="E2412" t="s">
        <v>26</v>
      </c>
      <c r="F2412" t="s">
        <v>13</v>
      </c>
      <c r="G2412" t="s">
        <v>29</v>
      </c>
      <c r="H2412">
        <v>1230</v>
      </c>
      <c r="I2412">
        <v>39</v>
      </c>
      <c r="J2412" s="6">
        <f t="shared" si="185"/>
        <v>47.97</v>
      </c>
      <c r="K2412" t="s">
        <v>394</v>
      </c>
    </row>
    <row r="2413" spans="3:11" outlineLevel="2" x14ac:dyDescent="0.3">
      <c r="C2413" s="9">
        <v>45163</v>
      </c>
      <c r="D2413" t="s">
        <v>45</v>
      </c>
      <c r="E2413" t="s">
        <v>26</v>
      </c>
      <c r="F2413" t="s">
        <v>24</v>
      </c>
      <c r="G2413" t="s">
        <v>34</v>
      </c>
      <c r="H2413">
        <v>1670</v>
      </c>
      <c r="I2413">
        <v>76</v>
      </c>
      <c r="J2413" s="6">
        <f t="shared" si="185"/>
        <v>126.92</v>
      </c>
      <c r="K2413" t="s">
        <v>394</v>
      </c>
    </row>
    <row r="2414" spans="3:11" outlineLevel="2" x14ac:dyDescent="0.3">
      <c r="C2414" s="9">
        <v>45163</v>
      </c>
      <c r="D2414" t="s">
        <v>12</v>
      </c>
      <c r="E2414" t="s">
        <v>26</v>
      </c>
      <c r="F2414" t="s">
        <v>24</v>
      </c>
      <c r="G2414" t="s">
        <v>32</v>
      </c>
      <c r="H2414">
        <v>1505</v>
      </c>
      <c r="I2414">
        <v>58</v>
      </c>
      <c r="J2414" s="6">
        <f t="shared" si="185"/>
        <v>87.29</v>
      </c>
      <c r="K2414" t="s">
        <v>394</v>
      </c>
    </row>
    <row r="2415" spans="3:11" outlineLevel="2" x14ac:dyDescent="0.3">
      <c r="C2415" s="9">
        <v>45163</v>
      </c>
      <c r="D2415" t="s">
        <v>12</v>
      </c>
      <c r="E2415" t="s">
        <v>33</v>
      </c>
      <c r="F2415" t="s">
        <v>13</v>
      </c>
      <c r="G2415" t="s">
        <v>22</v>
      </c>
      <c r="H2415">
        <v>930</v>
      </c>
      <c r="I2415">
        <v>60</v>
      </c>
      <c r="J2415" s="6">
        <f t="shared" si="185"/>
        <v>55.8</v>
      </c>
      <c r="K2415" t="s">
        <v>394</v>
      </c>
    </row>
    <row r="2416" spans="3:11" outlineLevel="2" x14ac:dyDescent="0.3">
      <c r="C2416" s="9">
        <v>45163</v>
      </c>
      <c r="D2416" t="s">
        <v>17</v>
      </c>
      <c r="E2416" t="s">
        <v>35</v>
      </c>
      <c r="F2416" t="s">
        <v>10</v>
      </c>
      <c r="G2416" t="s">
        <v>16</v>
      </c>
      <c r="H2416">
        <v>1380</v>
      </c>
      <c r="I2416">
        <v>40</v>
      </c>
      <c r="J2416" s="6">
        <f t="shared" si="185"/>
        <v>55.2</v>
      </c>
      <c r="K2416" t="s">
        <v>394</v>
      </c>
    </row>
    <row r="2417" spans="3:11" outlineLevel="2" x14ac:dyDescent="0.3">
      <c r="C2417" s="9">
        <v>45163</v>
      </c>
      <c r="D2417" t="s">
        <v>17</v>
      </c>
      <c r="E2417" t="s">
        <v>35</v>
      </c>
      <c r="F2417" t="s">
        <v>18</v>
      </c>
      <c r="G2417" t="s">
        <v>21</v>
      </c>
      <c r="H2417">
        <v>450</v>
      </c>
      <c r="I2417">
        <v>67</v>
      </c>
      <c r="J2417" s="6">
        <f t="shared" si="185"/>
        <v>30.15</v>
      </c>
      <c r="K2417" t="s">
        <v>394</v>
      </c>
    </row>
    <row r="2418" spans="3:11" outlineLevel="2" x14ac:dyDescent="0.3">
      <c r="C2418" s="9">
        <v>45163</v>
      </c>
      <c r="D2418" t="s">
        <v>12</v>
      </c>
      <c r="E2418" t="s">
        <v>35</v>
      </c>
      <c r="F2418" t="s">
        <v>18</v>
      </c>
      <c r="G2418" t="s">
        <v>37</v>
      </c>
      <c r="H2418">
        <v>890</v>
      </c>
      <c r="I2418">
        <v>30</v>
      </c>
      <c r="J2418" s="6">
        <f t="shared" si="185"/>
        <v>26.7</v>
      </c>
      <c r="K2418" t="s">
        <v>394</v>
      </c>
    </row>
    <row r="2419" spans="3:11" outlineLevel="2" x14ac:dyDescent="0.3">
      <c r="C2419" s="9">
        <v>45163</v>
      </c>
      <c r="D2419" t="s">
        <v>17</v>
      </c>
      <c r="E2419" t="s">
        <v>35</v>
      </c>
      <c r="F2419" t="s">
        <v>13</v>
      </c>
      <c r="G2419" t="s">
        <v>29</v>
      </c>
      <c r="H2419">
        <v>1230</v>
      </c>
      <c r="I2419">
        <v>34</v>
      </c>
      <c r="J2419" s="6">
        <f t="shared" si="185"/>
        <v>41.82</v>
      </c>
      <c r="K2419" t="s">
        <v>394</v>
      </c>
    </row>
    <row r="2420" spans="3:11" outlineLevel="2" x14ac:dyDescent="0.3">
      <c r="C2420" s="9">
        <v>45163</v>
      </c>
      <c r="D2420" t="s">
        <v>8</v>
      </c>
      <c r="E2420" t="s">
        <v>35</v>
      </c>
      <c r="F2420" t="s">
        <v>24</v>
      </c>
      <c r="G2420" t="s">
        <v>36</v>
      </c>
      <c r="H2420">
        <v>2460</v>
      </c>
      <c r="I2420">
        <v>75</v>
      </c>
      <c r="J2420" s="6">
        <f t="shared" si="185"/>
        <v>184.5</v>
      </c>
      <c r="K2420" t="s">
        <v>394</v>
      </c>
    </row>
    <row r="2421" spans="3:11" outlineLevel="1" x14ac:dyDescent="0.3">
      <c r="C2421" s="13" t="s">
        <v>251</v>
      </c>
      <c r="J2421" s="6">
        <f>SUBTOTAL(9,J2411:J2420)</f>
        <v>710.83500000000004</v>
      </c>
      <c r="K2421" t="s">
        <v>394</v>
      </c>
    </row>
    <row r="2422" spans="3:11" outlineLevel="2" x14ac:dyDescent="0.3">
      <c r="C2422" s="9">
        <v>45164</v>
      </c>
      <c r="D2422" t="s">
        <v>8</v>
      </c>
      <c r="E2422" t="s">
        <v>20</v>
      </c>
      <c r="F2422" t="s">
        <v>10</v>
      </c>
      <c r="G2422" t="s">
        <v>41</v>
      </c>
      <c r="H2422">
        <v>650</v>
      </c>
      <c r="I2422">
        <v>36</v>
      </c>
      <c r="J2422" s="6">
        <f t="shared" ref="J2422:J2434" si="186">H2422*I2422/1000</f>
        <v>23.4</v>
      </c>
      <c r="K2422" t="s">
        <v>394</v>
      </c>
    </row>
    <row r="2423" spans="3:11" outlineLevel="2" x14ac:dyDescent="0.3">
      <c r="C2423" s="9">
        <v>45164</v>
      </c>
      <c r="D2423" t="s">
        <v>17</v>
      </c>
      <c r="E2423" t="s">
        <v>20</v>
      </c>
      <c r="F2423" t="s">
        <v>24</v>
      </c>
      <c r="G2423" t="s">
        <v>36</v>
      </c>
      <c r="H2423">
        <v>2460</v>
      </c>
      <c r="I2423">
        <v>31</v>
      </c>
      <c r="J2423" s="6">
        <f t="shared" si="186"/>
        <v>76.260000000000005</v>
      </c>
      <c r="K2423" t="s">
        <v>394</v>
      </c>
    </row>
    <row r="2424" spans="3:11" outlineLevel="2" x14ac:dyDescent="0.3">
      <c r="C2424" s="9">
        <v>45164</v>
      </c>
      <c r="D2424" t="s">
        <v>12</v>
      </c>
      <c r="E2424" t="s">
        <v>9</v>
      </c>
      <c r="F2424" t="s">
        <v>24</v>
      </c>
      <c r="G2424" t="s">
        <v>25</v>
      </c>
      <c r="H2424">
        <v>1760</v>
      </c>
      <c r="I2424">
        <v>62</v>
      </c>
      <c r="J2424" s="6">
        <f t="shared" si="186"/>
        <v>109.12</v>
      </c>
      <c r="K2424" t="s">
        <v>394</v>
      </c>
    </row>
    <row r="2425" spans="3:11" outlineLevel="2" x14ac:dyDescent="0.3">
      <c r="C2425" s="9">
        <v>45164</v>
      </c>
      <c r="D2425" t="s">
        <v>17</v>
      </c>
      <c r="E2425" t="s">
        <v>26</v>
      </c>
      <c r="F2425" t="s">
        <v>10</v>
      </c>
      <c r="G2425" t="s">
        <v>16</v>
      </c>
      <c r="H2425">
        <v>1380</v>
      </c>
      <c r="I2425">
        <v>45</v>
      </c>
      <c r="J2425" s="6">
        <f t="shared" si="186"/>
        <v>62.1</v>
      </c>
      <c r="K2425" t="s">
        <v>394</v>
      </c>
    </row>
    <row r="2426" spans="3:11" outlineLevel="2" x14ac:dyDescent="0.3">
      <c r="C2426" s="9">
        <v>45164</v>
      </c>
      <c r="D2426" t="s">
        <v>45</v>
      </c>
      <c r="E2426" t="s">
        <v>26</v>
      </c>
      <c r="F2426" t="s">
        <v>13</v>
      </c>
      <c r="G2426" t="s">
        <v>22</v>
      </c>
      <c r="H2426">
        <v>930</v>
      </c>
      <c r="I2426">
        <v>31</v>
      </c>
      <c r="J2426" s="6">
        <f t="shared" si="186"/>
        <v>28.83</v>
      </c>
      <c r="K2426" t="s">
        <v>394</v>
      </c>
    </row>
    <row r="2427" spans="3:11" outlineLevel="2" x14ac:dyDescent="0.3">
      <c r="C2427" s="9">
        <v>45164</v>
      </c>
      <c r="D2427" t="s">
        <v>12</v>
      </c>
      <c r="E2427" t="s">
        <v>26</v>
      </c>
      <c r="F2427" t="s">
        <v>13</v>
      </c>
      <c r="G2427" t="s">
        <v>38</v>
      </c>
      <c r="H2427">
        <v>2400</v>
      </c>
      <c r="I2427">
        <v>82</v>
      </c>
      <c r="J2427" s="6">
        <f t="shared" si="186"/>
        <v>196.8</v>
      </c>
      <c r="K2427" t="s">
        <v>394</v>
      </c>
    </row>
    <row r="2428" spans="3:11" outlineLevel="2" x14ac:dyDescent="0.3">
      <c r="C2428" s="9">
        <v>45164</v>
      </c>
      <c r="D2428" t="s">
        <v>17</v>
      </c>
      <c r="E2428" t="s">
        <v>26</v>
      </c>
      <c r="F2428" t="s">
        <v>24</v>
      </c>
      <c r="G2428" t="s">
        <v>25</v>
      </c>
      <c r="H2428">
        <v>1760</v>
      </c>
      <c r="I2428">
        <v>39</v>
      </c>
      <c r="J2428" s="6">
        <f t="shared" si="186"/>
        <v>68.64</v>
      </c>
      <c r="K2428" t="s">
        <v>394</v>
      </c>
    </row>
    <row r="2429" spans="3:11" outlineLevel="2" x14ac:dyDescent="0.3">
      <c r="C2429" s="9">
        <v>45164</v>
      </c>
      <c r="D2429" t="s">
        <v>45</v>
      </c>
      <c r="E2429" t="s">
        <v>15</v>
      </c>
      <c r="F2429" t="s">
        <v>24</v>
      </c>
      <c r="G2429" t="s">
        <v>36</v>
      </c>
      <c r="H2429">
        <v>2460</v>
      </c>
      <c r="I2429">
        <v>57</v>
      </c>
      <c r="J2429" s="6">
        <f t="shared" si="186"/>
        <v>140.22</v>
      </c>
      <c r="K2429" t="s">
        <v>394</v>
      </c>
    </row>
    <row r="2430" spans="3:11" outlineLevel="2" x14ac:dyDescent="0.3">
      <c r="C2430" s="9">
        <v>45164</v>
      </c>
      <c r="D2430" t="s">
        <v>8</v>
      </c>
      <c r="E2430" t="s">
        <v>33</v>
      </c>
      <c r="F2430" t="s">
        <v>18</v>
      </c>
      <c r="G2430" t="s">
        <v>21</v>
      </c>
      <c r="H2430">
        <v>450</v>
      </c>
      <c r="I2430">
        <v>20</v>
      </c>
      <c r="J2430" s="6">
        <f t="shared" si="186"/>
        <v>9</v>
      </c>
      <c r="K2430" t="s">
        <v>394</v>
      </c>
    </row>
    <row r="2431" spans="3:11" outlineLevel="2" x14ac:dyDescent="0.3">
      <c r="C2431" s="9">
        <v>45164</v>
      </c>
      <c r="D2431" t="s">
        <v>45</v>
      </c>
      <c r="E2431" t="s">
        <v>33</v>
      </c>
      <c r="F2431" t="s">
        <v>24</v>
      </c>
      <c r="G2431" t="s">
        <v>42</v>
      </c>
      <c r="H2431">
        <v>3205</v>
      </c>
      <c r="I2431">
        <v>87</v>
      </c>
      <c r="J2431" s="6">
        <f t="shared" si="186"/>
        <v>278.83499999999998</v>
      </c>
      <c r="K2431" t="s">
        <v>394</v>
      </c>
    </row>
    <row r="2432" spans="3:11" outlineLevel="2" x14ac:dyDescent="0.3">
      <c r="C2432" s="9">
        <v>45164</v>
      </c>
      <c r="D2432" t="s">
        <v>8</v>
      </c>
      <c r="E2432" t="s">
        <v>35</v>
      </c>
      <c r="F2432" t="s">
        <v>18</v>
      </c>
      <c r="G2432" t="s">
        <v>31</v>
      </c>
      <c r="H2432">
        <v>715</v>
      </c>
      <c r="I2432">
        <v>92</v>
      </c>
      <c r="J2432" s="6">
        <f t="shared" si="186"/>
        <v>65.78</v>
      </c>
      <c r="K2432" t="s">
        <v>394</v>
      </c>
    </row>
    <row r="2433" spans="3:11" outlineLevel="2" x14ac:dyDescent="0.3">
      <c r="C2433" s="9">
        <v>45164</v>
      </c>
      <c r="D2433" t="s">
        <v>12</v>
      </c>
      <c r="E2433" t="s">
        <v>35</v>
      </c>
      <c r="F2433" t="s">
        <v>13</v>
      </c>
      <c r="G2433" t="s">
        <v>22</v>
      </c>
      <c r="H2433">
        <v>930</v>
      </c>
      <c r="I2433">
        <v>56</v>
      </c>
      <c r="J2433" s="6">
        <f t="shared" si="186"/>
        <v>52.08</v>
      </c>
      <c r="K2433" t="s">
        <v>394</v>
      </c>
    </row>
    <row r="2434" spans="3:11" outlineLevel="2" x14ac:dyDescent="0.3">
      <c r="C2434" s="9">
        <v>45164</v>
      </c>
      <c r="D2434" t="s">
        <v>8</v>
      </c>
      <c r="E2434" t="s">
        <v>35</v>
      </c>
      <c r="F2434" t="s">
        <v>24</v>
      </c>
      <c r="G2434" t="s">
        <v>42</v>
      </c>
      <c r="H2434">
        <v>3205</v>
      </c>
      <c r="I2434">
        <v>51</v>
      </c>
      <c r="J2434" s="6">
        <f t="shared" si="186"/>
        <v>163.45500000000001</v>
      </c>
      <c r="K2434" t="s">
        <v>394</v>
      </c>
    </row>
    <row r="2435" spans="3:11" outlineLevel="1" x14ac:dyDescent="0.3">
      <c r="C2435" s="13" t="s">
        <v>252</v>
      </c>
      <c r="J2435" s="6">
        <f>SUBTOTAL(9,J2422:J2434)</f>
        <v>1274.5199999999998</v>
      </c>
      <c r="K2435" t="s">
        <v>394</v>
      </c>
    </row>
    <row r="2436" spans="3:11" outlineLevel="2" x14ac:dyDescent="0.3">
      <c r="C2436" s="9">
        <v>45165</v>
      </c>
      <c r="D2436" t="s">
        <v>45</v>
      </c>
      <c r="E2436" t="s">
        <v>20</v>
      </c>
      <c r="F2436" t="s">
        <v>24</v>
      </c>
      <c r="G2436" t="s">
        <v>32</v>
      </c>
      <c r="H2436">
        <v>1505</v>
      </c>
      <c r="I2436">
        <v>80</v>
      </c>
      <c r="J2436" s="6">
        <f t="shared" ref="J2436:J2445" si="187">H2436*I2436/1000</f>
        <v>120.4</v>
      </c>
      <c r="K2436" t="s">
        <v>394</v>
      </c>
    </row>
    <row r="2437" spans="3:11" outlineLevel="2" x14ac:dyDescent="0.3">
      <c r="C2437" s="9">
        <v>45165</v>
      </c>
      <c r="D2437" t="s">
        <v>17</v>
      </c>
      <c r="E2437" t="s">
        <v>9</v>
      </c>
      <c r="F2437" t="s">
        <v>10</v>
      </c>
      <c r="G2437" t="s">
        <v>40</v>
      </c>
      <c r="H2437">
        <v>540</v>
      </c>
      <c r="I2437">
        <v>62</v>
      </c>
      <c r="J2437" s="6">
        <f t="shared" si="187"/>
        <v>33.479999999999997</v>
      </c>
      <c r="K2437" t="s">
        <v>394</v>
      </c>
    </row>
    <row r="2438" spans="3:11" outlineLevel="2" x14ac:dyDescent="0.3">
      <c r="C2438" s="9">
        <v>45165</v>
      </c>
      <c r="D2438" t="s">
        <v>45</v>
      </c>
      <c r="E2438" t="s">
        <v>15</v>
      </c>
      <c r="F2438" t="s">
        <v>18</v>
      </c>
      <c r="G2438" t="s">
        <v>28</v>
      </c>
      <c r="H2438">
        <v>690</v>
      </c>
      <c r="I2438">
        <v>7</v>
      </c>
      <c r="J2438" s="6">
        <f t="shared" si="187"/>
        <v>4.83</v>
      </c>
      <c r="K2438" t="s">
        <v>394</v>
      </c>
    </row>
    <row r="2439" spans="3:11" outlineLevel="2" x14ac:dyDescent="0.3">
      <c r="C2439" s="9">
        <v>45165</v>
      </c>
      <c r="D2439" t="s">
        <v>8</v>
      </c>
      <c r="E2439" t="s">
        <v>15</v>
      </c>
      <c r="F2439" t="s">
        <v>13</v>
      </c>
      <c r="G2439" t="s">
        <v>38</v>
      </c>
      <c r="H2439">
        <v>2400</v>
      </c>
      <c r="I2439">
        <v>11</v>
      </c>
      <c r="J2439" s="6">
        <f t="shared" si="187"/>
        <v>26.4</v>
      </c>
      <c r="K2439" t="s">
        <v>394</v>
      </c>
    </row>
    <row r="2440" spans="3:11" outlineLevel="2" x14ac:dyDescent="0.3">
      <c r="C2440" s="9">
        <v>45165</v>
      </c>
      <c r="D2440" t="s">
        <v>17</v>
      </c>
      <c r="E2440" t="s">
        <v>33</v>
      </c>
      <c r="F2440" t="s">
        <v>24</v>
      </c>
      <c r="G2440" t="s">
        <v>42</v>
      </c>
      <c r="H2440">
        <v>3205</v>
      </c>
      <c r="I2440">
        <v>23</v>
      </c>
      <c r="J2440" s="6">
        <f t="shared" si="187"/>
        <v>73.715000000000003</v>
      </c>
      <c r="K2440" t="s">
        <v>394</v>
      </c>
    </row>
    <row r="2441" spans="3:11" outlineLevel="2" x14ac:dyDescent="0.3">
      <c r="C2441" s="9">
        <v>45165</v>
      </c>
      <c r="D2441" t="s">
        <v>12</v>
      </c>
      <c r="E2441" t="s">
        <v>35</v>
      </c>
      <c r="F2441" t="s">
        <v>18</v>
      </c>
      <c r="G2441" t="s">
        <v>19</v>
      </c>
      <c r="H2441">
        <v>325</v>
      </c>
      <c r="I2441">
        <v>63</v>
      </c>
      <c r="J2441" s="6">
        <f t="shared" si="187"/>
        <v>20.475000000000001</v>
      </c>
      <c r="K2441" t="s">
        <v>394</v>
      </c>
    </row>
    <row r="2442" spans="3:11" outlineLevel="2" x14ac:dyDescent="0.3">
      <c r="C2442" s="9">
        <v>45165</v>
      </c>
      <c r="D2442" t="s">
        <v>8</v>
      </c>
      <c r="E2442" t="s">
        <v>35</v>
      </c>
      <c r="F2442" t="s">
        <v>18</v>
      </c>
      <c r="G2442" t="s">
        <v>27</v>
      </c>
      <c r="H2442">
        <v>460</v>
      </c>
      <c r="I2442">
        <v>80</v>
      </c>
      <c r="J2442" s="6">
        <f t="shared" si="187"/>
        <v>36.799999999999997</v>
      </c>
      <c r="K2442" t="s">
        <v>394</v>
      </c>
    </row>
    <row r="2443" spans="3:11" outlineLevel="2" x14ac:dyDescent="0.3">
      <c r="C2443" s="9">
        <v>45165</v>
      </c>
      <c r="D2443" t="s">
        <v>17</v>
      </c>
      <c r="E2443" t="s">
        <v>35</v>
      </c>
      <c r="F2443" t="s">
        <v>13</v>
      </c>
      <c r="G2443" t="s">
        <v>43</v>
      </c>
      <c r="H2443">
        <v>1420</v>
      </c>
      <c r="I2443">
        <v>22</v>
      </c>
      <c r="J2443" s="6">
        <f t="shared" si="187"/>
        <v>31.24</v>
      </c>
      <c r="K2443" t="s">
        <v>394</v>
      </c>
    </row>
    <row r="2444" spans="3:11" outlineLevel="2" x14ac:dyDescent="0.3">
      <c r="C2444" s="9">
        <v>45165</v>
      </c>
      <c r="D2444" t="s">
        <v>8</v>
      </c>
      <c r="E2444" t="s">
        <v>35</v>
      </c>
      <c r="F2444" t="s">
        <v>13</v>
      </c>
      <c r="G2444" t="s">
        <v>29</v>
      </c>
      <c r="H2444">
        <v>1230</v>
      </c>
      <c r="I2444">
        <v>69</v>
      </c>
      <c r="J2444" s="6">
        <f t="shared" si="187"/>
        <v>84.87</v>
      </c>
      <c r="K2444" t="s">
        <v>394</v>
      </c>
    </row>
    <row r="2445" spans="3:11" outlineLevel="2" x14ac:dyDescent="0.3">
      <c r="C2445" s="9">
        <v>45165</v>
      </c>
      <c r="D2445" t="s">
        <v>45</v>
      </c>
      <c r="E2445" t="s">
        <v>35</v>
      </c>
      <c r="F2445" t="s">
        <v>24</v>
      </c>
      <c r="G2445" t="s">
        <v>42</v>
      </c>
      <c r="H2445">
        <v>3205</v>
      </c>
      <c r="I2445">
        <v>84</v>
      </c>
      <c r="J2445" s="6">
        <f t="shared" si="187"/>
        <v>269.22000000000003</v>
      </c>
      <c r="K2445" t="s">
        <v>394</v>
      </c>
    </row>
    <row r="2446" spans="3:11" outlineLevel="1" x14ac:dyDescent="0.3">
      <c r="C2446" s="13" t="s">
        <v>253</v>
      </c>
      <c r="J2446" s="6">
        <f>SUBTOTAL(9,J2436:J2445)</f>
        <v>701.43000000000006</v>
      </c>
      <c r="K2446" t="s">
        <v>394</v>
      </c>
    </row>
    <row r="2447" spans="3:11" outlineLevel="2" x14ac:dyDescent="0.3">
      <c r="C2447" s="9">
        <v>45166</v>
      </c>
      <c r="D2447" t="s">
        <v>12</v>
      </c>
      <c r="E2447" t="s">
        <v>20</v>
      </c>
      <c r="F2447" t="s">
        <v>18</v>
      </c>
      <c r="G2447" t="s">
        <v>21</v>
      </c>
      <c r="H2447">
        <v>450</v>
      </c>
      <c r="I2447">
        <v>26</v>
      </c>
      <c r="J2447" s="6">
        <f t="shared" ref="J2447:J2456" si="188">H2447*I2447/1000</f>
        <v>11.7</v>
      </c>
      <c r="K2447" t="s">
        <v>394</v>
      </c>
    </row>
    <row r="2448" spans="3:11" outlineLevel="2" x14ac:dyDescent="0.3">
      <c r="C2448" s="9">
        <v>45166</v>
      </c>
      <c r="D2448" t="s">
        <v>17</v>
      </c>
      <c r="E2448" t="s">
        <v>9</v>
      </c>
      <c r="F2448" t="s">
        <v>18</v>
      </c>
      <c r="G2448" t="s">
        <v>28</v>
      </c>
      <c r="H2448">
        <v>690</v>
      </c>
      <c r="I2448">
        <v>92</v>
      </c>
      <c r="J2448" s="6">
        <f t="shared" si="188"/>
        <v>63.48</v>
      </c>
      <c r="K2448" t="s">
        <v>394</v>
      </c>
    </row>
    <row r="2449" spans="3:11" outlineLevel="2" x14ac:dyDescent="0.3">
      <c r="C2449" s="9">
        <v>45166</v>
      </c>
      <c r="D2449" t="s">
        <v>8</v>
      </c>
      <c r="E2449" t="s">
        <v>9</v>
      </c>
      <c r="F2449" t="s">
        <v>24</v>
      </c>
      <c r="G2449" t="s">
        <v>42</v>
      </c>
      <c r="H2449">
        <v>3205</v>
      </c>
      <c r="I2449">
        <v>63</v>
      </c>
      <c r="J2449" s="6">
        <f t="shared" si="188"/>
        <v>201.91499999999999</v>
      </c>
      <c r="K2449" t="s">
        <v>394</v>
      </c>
    </row>
    <row r="2450" spans="3:11" outlineLevel="2" x14ac:dyDescent="0.3">
      <c r="C2450" s="9">
        <v>45166</v>
      </c>
      <c r="D2450" t="s">
        <v>17</v>
      </c>
      <c r="E2450" t="s">
        <v>9</v>
      </c>
      <c r="F2450" t="s">
        <v>24</v>
      </c>
      <c r="G2450" t="s">
        <v>34</v>
      </c>
      <c r="H2450">
        <v>1670</v>
      </c>
      <c r="I2450">
        <v>19</v>
      </c>
      <c r="J2450" s="6">
        <f t="shared" si="188"/>
        <v>31.73</v>
      </c>
      <c r="K2450" t="s">
        <v>394</v>
      </c>
    </row>
    <row r="2451" spans="3:11" outlineLevel="2" x14ac:dyDescent="0.3">
      <c r="C2451" s="9">
        <v>45166</v>
      </c>
      <c r="D2451" t="s">
        <v>45</v>
      </c>
      <c r="E2451" t="s">
        <v>26</v>
      </c>
      <c r="F2451" t="s">
        <v>10</v>
      </c>
      <c r="G2451" t="s">
        <v>11</v>
      </c>
      <c r="H2451">
        <v>705</v>
      </c>
      <c r="I2451">
        <v>71</v>
      </c>
      <c r="J2451" s="6">
        <f t="shared" si="188"/>
        <v>50.055</v>
      </c>
      <c r="K2451" t="s">
        <v>394</v>
      </c>
    </row>
    <row r="2452" spans="3:11" outlineLevel="2" x14ac:dyDescent="0.3">
      <c r="C2452" s="9">
        <v>45166</v>
      </c>
      <c r="D2452" t="s">
        <v>12</v>
      </c>
      <c r="E2452" t="s">
        <v>26</v>
      </c>
      <c r="F2452" t="s">
        <v>18</v>
      </c>
      <c r="G2452" t="s">
        <v>19</v>
      </c>
      <c r="H2452">
        <v>325</v>
      </c>
      <c r="I2452">
        <v>50</v>
      </c>
      <c r="J2452" s="6">
        <f t="shared" si="188"/>
        <v>16.25</v>
      </c>
      <c r="K2452" t="s">
        <v>394</v>
      </c>
    </row>
    <row r="2453" spans="3:11" outlineLevel="2" x14ac:dyDescent="0.3">
      <c r="C2453" s="9">
        <v>45166</v>
      </c>
      <c r="D2453" t="s">
        <v>8</v>
      </c>
      <c r="E2453" t="s">
        <v>26</v>
      </c>
      <c r="F2453" t="s">
        <v>13</v>
      </c>
      <c r="G2453" t="s">
        <v>22</v>
      </c>
      <c r="H2453">
        <v>930</v>
      </c>
      <c r="I2453">
        <v>96</v>
      </c>
      <c r="J2453" s="6">
        <f t="shared" si="188"/>
        <v>89.28</v>
      </c>
      <c r="K2453" t="s">
        <v>394</v>
      </c>
    </row>
    <row r="2454" spans="3:11" outlineLevel="2" x14ac:dyDescent="0.3">
      <c r="C2454" s="9">
        <v>45166</v>
      </c>
      <c r="D2454" t="s">
        <v>17</v>
      </c>
      <c r="E2454" t="s">
        <v>26</v>
      </c>
      <c r="F2454" t="s">
        <v>24</v>
      </c>
      <c r="G2454" t="s">
        <v>32</v>
      </c>
      <c r="H2454">
        <v>1505</v>
      </c>
      <c r="I2454">
        <v>92</v>
      </c>
      <c r="J2454" s="6">
        <f t="shared" si="188"/>
        <v>138.46</v>
      </c>
      <c r="K2454" t="s">
        <v>394</v>
      </c>
    </row>
    <row r="2455" spans="3:11" outlineLevel="2" x14ac:dyDescent="0.3">
      <c r="C2455" s="9">
        <v>45166</v>
      </c>
      <c r="D2455" t="s">
        <v>12</v>
      </c>
      <c r="E2455" t="s">
        <v>15</v>
      </c>
      <c r="F2455" t="s">
        <v>10</v>
      </c>
      <c r="G2455" t="s">
        <v>41</v>
      </c>
      <c r="H2455">
        <v>650</v>
      </c>
      <c r="I2455">
        <v>47</v>
      </c>
      <c r="J2455" s="6">
        <f t="shared" si="188"/>
        <v>30.55</v>
      </c>
      <c r="K2455" t="s">
        <v>394</v>
      </c>
    </row>
    <row r="2456" spans="3:11" outlineLevel="2" x14ac:dyDescent="0.3">
      <c r="C2456" s="9">
        <v>45166</v>
      </c>
      <c r="D2456" t="s">
        <v>12</v>
      </c>
      <c r="E2456" t="s">
        <v>33</v>
      </c>
      <c r="F2456" t="s">
        <v>18</v>
      </c>
      <c r="G2456" t="s">
        <v>19</v>
      </c>
      <c r="H2456">
        <v>325</v>
      </c>
      <c r="I2456">
        <v>59</v>
      </c>
      <c r="J2456" s="6">
        <f t="shared" si="188"/>
        <v>19.175000000000001</v>
      </c>
      <c r="K2456" t="s">
        <v>394</v>
      </c>
    </row>
    <row r="2457" spans="3:11" outlineLevel="1" x14ac:dyDescent="0.3">
      <c r="C2457" s="13" t="s">
        <v>254</v>
      </c>
      <c r="J2457" s="6">
        <f>SUBTOTAL(9,J2447:J2456)</f>
        <v>652.59499999999991</v>
      </c>
      <c r="K2457" t="s">
        <v>394</v>
      </c>
    </row>
    <row r="2458" spans="3:11" outlineLevel="2" x14ac:dyDescent="0.3">
      <c r="C2458" s="9">
        <v>45167</v>
      </c>
      <c r="D2458" t="s">
        <v>12</v>
      </c>
      <c r="E2458" t="s">
        <v>20</v>
      </c>
      <c r="F2458" t="s">
        <v>24</v>
      </c>
      <c r="G2458" t="s">
        <v>32</v>
      </c>
      <c r="H2458">
        <v>1505</v>
      </c>
      <c r="I2458">
        <v>13</v>
      </c>
      <c r="J2458" s="6">
        <f t="shared" ref="J2458:J2468" si="189">H2458*I2458/1000</f>
        <v>19.565000000000001</v>
      </c>
      <c r="K2458" t="s">
        <v>394</v>
      </c>
    </row>
    <row r="2459" spans="3:11" outlineLevel="2" x14ac:dyDescent="0.3">
      <c r="C2459" s="9">
        <v>45167</v>
      </c>
      <c r="D2459" t="s">
        <v>17</v>
      </c>
      <c r="E2459" t="s">
        <v>9</v>
      </c>
      <c r="F2459" t="s">
        <v>10</v>
      </c>
      <c r="G2459" t="s">
        <v>16</v>
      </c>
      <c r="H2459">
        <v>1380</v>
      </c>
      <c r="I2459">
        <v>28</v>
      </c>
      <c r="J2459" s="6">
        <f t="shared" si="189"/>
        <v>38.64</v>
      </c>
      <c r="K2459" t="s">
        <v>394</v>
      </c>
    </row>
    <row r="2460" spans="3:11" outlineLevel="2" x14ac:dyDescent="0.3">
      <c r="C2460" s="9">
        <v>45167</v>
      </c>
      <c r="D2460" t="s">
        <v>17</v>
      </c>
      <c r="E2460" t="s">
        <v>9</v>
      </c>
      <c r="F2460" t="s">
        <v>13</v>
      </c>
      <c r="G2460" t="s">
        <v>43</v>
      </c>
      <c r="H2460">
        <v>1420</v>
      </c>
      <c r="I2460">
        <v>58</v>
      </c>
      <c r="J2460" s="6">
        <f t="shared" si="189"/>
        <v>82.36</v>
      </c>
      <c r="K2460" t="s">
        <v>394</v>
      </c>
    </row>
    <row r="2461" spans="3:11" outlineLevel="2" x14ac:dyDescent="0.3">
      <c r="C2461" s="9">
        <v>45167</v>
      </c>
      <c r="D2461" t="s">
        <v>12</v>
      </c>
      <c r="E2461" t="s">
        <v>9</v>
      </c>
      <c r="F2461" t="s">
        <v>24</v>
      </c>
      <c r="G2461" t="s">
        <v>34</v>
      </c>
      <c r="H2461">
        <v>1670</v>
      </c>
      <c r="I2461">
        <v>75</v>
      </c>
      <c r="J2461" s="6">
        <f t="shared" si="189"/>
        <v>125.25</v>
      </c>
      <c r="K2461" t="s">
        <v>394</v>
      </c>
    </row>
    <row r="2462" spans="3:11" outlineLevel="2" x14ac:dyDescent="0.3">
      <c r="C2462" s="9">
        <v>45167</v>
      </c>
      <c r="D2462" t="s">
        <v>8</v>
      </c>
      <c r="E2462" t="s">
        <v>9</v>
      </c>
      <c r="F2462" t="s">
        <v>24</v>
      </c>
      <c r="G2462" t="s">
        <v>25</v>
      </c>
      <c r="H2462">
        <v>1760</v>
      </c>
      <c r="I2462">
        <v>51</v>
      </c>
      <c r="J2462" s="6">
        <f t="shared" si="189"/>
        <v>89.76</v>
      </c>
      <c r="K2462" t="s">
        <v>394</v>
      </c>
    </row>
    <row r="2463" spans="3:11" outlineLevel="2" x14ac:dyDescent="0.3">
      <c r="C2463" s="9">
        <v>45167</v>
      </c>
      <c r="D2463" t="s">
        <v>17</v>
      </c>
      <c r="E2463" t="s">
        <v>26</v>
      </c>
      <c r="F2463" t="s">
        <v>18</v>
      </c>
      <c r="G2463" t="s">
        <v>27</v>
      </c>
      <c r="H2463">
        <v>460</v>
      </c>
      <c r="I2463">
        <v>54</v>
      </c>
      <c r="J2463" s="6">
        <f t="shared" si="189"/>
        <v>24.84</v>
      </c>
      <c r="K2463" t="s">
        <v>394</v>
      </c>
    </row>
    <row r="2464" spans="3:11" outlineLevel="2" x14ac:dyDescent="0.3">
      <c r="C2464" s="9">
        <v>45167</v>
      </c>
      <c r="D2464" t="s">
        <v>45</v>
      </c>
      <c r="E2464" t="s">
        <v>26</v>
      </c>
      <c r="F2464" t="s">
        <v>13</v>
      </c>
      <c r="G2464" t="s">
        <v>38</v>
      </c>
      <c r="H2464">
        <v>2400</v>
      </c>
      <c r="I2464">
        <v>86</v>
      </c>
      <c r="J2464" s="6">
        <f t="shared" si="189"/>
        <v>206.4</v>
      </c>
      <c r="K2464" t="s">
        <v>394</v>
      </c>
    </row>
    <row r="2465" spans="3:11" outlineLevel="2" x14ac:dyDescent="0.3">
      <c r="C2465" s="9">
        <v>45167</v>
      </c>
      <c r="D2465" t="s">
        <v>8</v>
      </c>
      <c r="E2465" t="s">
        <v>15</v>
      </c>
      <c r="F2465" t="s">
        <v>24</v>
      </c>
      <c r="G2465" t="s">
        <v>25</v>
      </c>
      <c r="H2465">
        <v>1760</v>
      </c>
      <c r="I2465">
        <v>21</v>
      </c>
      <c r="J2465" s="6">
        <f t="shared" si="189"/>
        <v>36.96</v>
      </c>
      <c r="K2465" t="s">
        <v>394</v>
      </c>
    </row>
    <row r="2466" spans="3:11" outlineLevel="2" x14ac:dyDescent="0.3">
      <c r="C2466" s="9">
        <v>45167</v>
      </c>
      <c r="D2466" t="s">
        <v>8</v>
      </c>
      <c r="E2466" t="s">
        <v>35</v>
      </c>
      <c r="F2466" t="s">
        <v>10</v>
      </c>
      <c r="G2466" t="s">
        <v>41</v>
      </c>
      <c r="H2466">
        <v>650</v>
      </c>
      <c r="I2466">
        <v>70</v>
      </c>
      <c r="J2466" s="6">
        <f t="shared" si="189"/>
        <v>45.5</v>
      </c>
      <c r="K2466" t="s">
        <v>394</v>
      </c>
    </row>
    <row r="2467" spans="3:11" outlineLevel="2" x14ac:dyDescent="0.3">
      <c r="C2467" s="9">
        <v>45167</v>
      </c>
      <c r="D2467" t="s">
        <v>45</v>
      </c>
      <c r="E2467" t="s">
        <v>35</v>
      </c>
      <c r="F2467" t="s">
        <v>18</v>
      </c>
      <c r="G2467" t="s">
        <v>19</v>
      </c>
      <c r="H2467">
        <v>325</v>
      </c>
      <c r="I2467">
        <v>24</v>
      </c>
      <c r="J2467" s="6">
        <f t="shared" si="189"/>
        <v>7.8</v>
      </c>
      <c r="K2467" t="s">
        <v>394</v>
      </c>
    </row>
    <row r="2468" spans="3:11" outlineLevel="2" x14ac:dyDescent="0.3">
      <c r="C2468" s="9">
        <v>45167</v>
      </c>
      <c r="D2468" t="s">
        <v>12</v>
      </c>
      <c r="E2468" t="s">
        <v>35</v>
      </c>
      <c r="F2468" t="s">
        <v>24</v>
      </c>
      <c r="G2468" t="s">
        <v>25</v>
      </c>
      <c r="H2468">
        <v>1760</v>
      </c>
      <c r="I2468">
        <v>15</v>
      </c>
      <c r="J2468" s="6">
        <f t="shared" si="189"/>
        <v>26.4</v>
      </c>
      <c r="K2468" t="s">
        <v>394</v>
      </c>
    </row>
    <row r="2469" spans="3:11" outlineLevel="1" x14ac:dyDescent="0.3">
      <c r="C2469" s="13" t="s">
        <v>255</v>
      </c>
      <c r="J2469" s="6">
        <f>SUBTOTAL(9,J2458:J2468)</f>
        <v>703.47499999999991</v>
      </c>
      <c r="K2469" t="s">
        <v>394</v>
      </c>
    </row>
    <row r="2470" spans="3:11" outlineLevel="2" x14ac:dyDescent="0.3">
      <c r="C2470" s="9">
        <v>45168</v>
      </c>
      <c r="D2470" t="s">
        <v>45</v>
      </c>
      <c r="E2470" t="s">
        <v>20</v>
      </c>
      <c r="F2470" t="s">
        <v>24</v>
      </c>
      <c r="G2470" t="s">
        <v>36</v>
      </c>
      <c r="H2470">
        <v>2460</v>
      </c>
      <c r="I2470">
        <v>78</v>
      </c>
      <c r="J2470" s="6">
        <f t="shared" ref="J2470:J2479" si="190">H2470*I2470/1000</f>
        <v>191.88</v>
      </c>
      <c r="K2470" t="s">
        <v>394</v>
      </c>
    </row>
    <row r="2471" spans="3:11" outlineLevel="2" x14ac:dyDescent="0.3">
      <c r="C2471" s="9">
        <v>45168</v>
      </c>
      <c r="D2471" t="s">
        <v>8</v>
      </c>
      <c r="E2471" t="s">
        <v>20</v>
      </c>
      <c r="F2471" t="s">
        <v>24</v>
      </c>
      <c r="G2471" t="s">
        <v>42</v>
      </c>
      <c r="H2471">
        <v>3205</v>
      </c>
      <c r="I2471">
        <v>21</v>
      </c>
      <c r="J2471" s="6">
        <f t="shared" si="190"/>
        <v>67.305000000000007</v>
      </c>
      <c r="K2471" t="s">
        <v>394</v>
      </c>
    </row>
    <row r="2472" spans="3:11" outlineLevel="2" x14ac:dyDescent="0.3">
      <c r="C2472" s="9">
        <v>45168</v>
      </c>
      <c r="D2472" t="s">
        <v>17</v>
      </c>
      <c r="E2472" t="s">
        <v>26</v>
      </c>
      <c r="F2472" t="s">
        <v>18</v>
      </c>
      <c r="G2472" t="s">
        <v>27</v>
      </c>
      <c r="H2472">
        <v>460</v>
      </c>
      <c r="I2472">
        <v>49</v>
      </c>
      <c r="J2472" s="6">
        <f t="shared" si="190"/>
        <v>22.54</v>
      </c>
      <c r="K2472" t="s">
        <v>394</v>
      </c>
    </row>
    <row r="2473" spans="3:11" outlineLevel="2" x14ac:dyDescent="0.3">
      <c r="C2473" s="9">
        <v>45168</v>
      </c>
      <c r="D2473" t="s">
        <v>8</v>
      </c>
      <c r="E2473" t="s">
        <v>26</v>
      </c>
      <c r="F2473" t="s">
        <v>13</v>
      </c>
      <c r="G2473" t="s">
        <v>22</v>
      </c>
      <c r="H2473">
        <v>930</v>
      </c>
      <c r="I2473">
        <v>74</v>
      </c>
      <c r="J2473" s="6">
        <f t="shared" si="190"/>
        <v>68.819999999999993</v>
      </c>
      <c r="K2473" t="s">
        <v>394</v>
      </c>
    </row>
    <row r="2474" spans="3:11" outlineLevel="2" x14ac:dyDescent="0.3">
      <c r="C2474" s="9">
        <v>45168</v>
      </c>
      <c r="D2474" t="s">
        <v>17</v>
      </c>
      <c r="E2474" t="s">
        <v>15</v>
      </c>
      <c r="F2474" t="s">
        <v>18</v>
      </c>
      <c r="G2474" t="s">
        <v>31</v>
      </c>
      <c r="H2474">
        <v>715</v>
      </c>
      <c r="I2474">
        <v>45</v>
      </c>
      <c r="J2474" s="6">
        <f t="shared" si="190"/>
        <v>32.174999999999997</v>
      </c>
      <c r="K2474" t="s">
        <v>394</v>
      </c>
    </row>
    <row r="2475" spans="3:11" outlineLevel="2" x14ac:dyDescent="0.3">
      <c r="C2475" s="9">
        <v>45168</v>
      </c>
      <c r="D2475" t="s">
        <v>17</v>
      </c>
      <c r="E2475" t="s">
        <v>33</v>
      </c>
      <c r="F2475" t="s">
        <v>18</v>
      </c>
      <c r="G2475" t="s">
        <v>28</v>
      </c>
      <c r="H2475">
        <v>690</v>
      </c>
      <c r="I2475">
        <v>70</v>
      </c>
      <c r="J2475" s="6">
        <f t="shared" si="190"/>
        <v>48.3</v>
      </c>
      <c r="K2475" t="s">
        <v>394</v>
      </c>
    </row>
    <row r="2476" spans="3:11" outlineLevel="2" x14ac:dyDescent="0.3">
      <c r="C2476" s="9">
        <v>45168</v>
      </c>
      <c r="D2476" t="s">
        <v>17</v>
      </c>
      <c r="E2476" t="s">
        <v>33</v>
      </c>
      <c r="F2476" t="s">
        <v>24</v>
      </c>
      <c r="G2476" t="s">
        <v>34</v>
      </c>
      <c r="H2476">
        <v>1670</v>
      </c>
      <c r="I2476">
        <v>70</v>
      </c>
      <c r="J2476" s="6">
        <f t="shared" si="190"/>
        <v>116.9</v>
      </c>
      <c r="K2476" t="s">
        <v>394</v>
      </c>
    </row>
    <row r="2477" spans="3:11" outlineLevel="2" x14ac:dyDescent="0.3">
      <c r="C2477" s="9">
        <v>45168</v>
      </c>
      <c r="D2477" t="s">
        <v>17</v>
      </c>
      <c r="E2477" t="s">
        <v>33</v>
      </c>
      <c r="F2477" t="s">
        <v>24</v>
      </c>
      <c r="G2477" t="s">
        <v>34</v>
      </c>
      <c r="H2477">
        <v>1670</v>
      </c>
      <c r="I2477">
        <v>14</v>
      </c>
      <c r="J2477" s="6">
        <f t="shared" si="190"/>
        <v>23.38</v>
      </c>
      <c r="K2477" t="s">
        <v>394</v>
      </c>
    </row>
    <row r="2478" spans="3:11" outlineLevel="2" x14ac:dyDescent="0.3">
      <c r="C2478" s="9">
        <v>45168</v>
      </c>
      <c r="D2478" t="s">
        <v>17</v>
      </c>
      <c r="E2478" t="s">
        <v>35</v>
      </c>
      <c r="F2478" t="s">
        <v>10</v>
      </c>
      <c r="G2478" t="s">
        <v>41</v>
      </c>
      <c r="H2478">
        <v>650</v>
      </c>
      <c r="I2478">
        <v>23</v>
      </c>
      <c r="J2478" s="6">
        <f t="shared" si="190"/>
        <v>14.95</v>
      </c>
      <c r="K2478" t="s">
        <v>394</v>
      </c>
    </row>
    <row r="2479" spans="3:11" outlineLevel="2" x14ac:dyDescent="0.3">
      <c r="C2479" s="9">
        <v>45168</v>
      </c>
      <c r="D2479" t="s">
        <v>45</v>
      </c>
      <c r="E2479" t="s">
        <v>35</v>
      </c>
      <c r="F2479" t="s">
        <v>13</v>
      </c>
      <c r="G2479" t="s">
        <v>14</v>
      </c>
      <c r="H2479">
        <v>1320</v>
      </c>
      <c r="I2479">
        <v>60</v>
      </c>
      <c r="J2479" s="6">
        <f t="shared" si="190"/>
        <v>79.2</v>
      </c>
      <c r="K2479" t="s">
        <v>394</v>
      </c>
    </row>
    <row r="2480" spans="3:11" outlineLevel="1" x14ac:dyDescent="0.3">
      <c r="C2480" s="13" t="s">
        <v>256</v>
      </c>
      <c r="J2480" s="6">
        <f>SUBTOTAL(9,J2470:J2479)</f>
        <v>665.45000000000016</v>
      </c>
      <c r="K2480" t="s">
        <v>394</v>
      </c>
    </row>
    <row r="2481" spans="3:11" outlineLevel="2" x14ac:dyDescent="0.3">
      <c r="C2481" s="9">
        <v>45169</v>
      </c>
      <c r="D2481" t="s">
        <v>45</v>
      </c>
      <c r="E2481" t="s">
        <v>20</v>
      </c>
      <c r="F2481" t="s">
        <v>10</v>
      </c>
      <c r="G2481" t="s">
        <v>40</v>
      </c>
      <c r="H2481">
        <v>540</v>
      </c>
      <c r="I2481">
        <v>69</v>
      </c>
      <c r="J2481" s="6">
        <f>H2481*I2481/1000</f>
        <v>37.26</v>
      </c>
      <c r="K2481" t="s">
        <v>394</v>
      </c>
    </row>
    <row r="2482" spans="3:11" outlineLevel="2" x14ac:dyDescent="0.3">
      <c r="C2482" s="9">
        <v>45169</v>
      </c>
      <c r="D2482" t="s">
        <v>17</v>
      </c>
      <c r="E2482" t="s">
        <v>20</v>
      </c>
      <c r="F2482" t="s">
        <v>24</v>
      </c>
      <c r="G2482" t="s">
        <v>34</v>
      </c>
      <c r="H2482">
        <v>1670</v>
      </c>
      <c r="I2482">
        <v>87</v>
      </c>
      <c r="J2482" s="6">
        <f>H2482*I2482/1000</f>
        <v>145.29</v>
      </c>
      <c r="K2482" t="s">
        <v>394</v>
      </c>
    </row>
    <row r="2483" spans="3:11" outlineLevel="2" x14ac:dyDescent="0.3">
      <c r="C2483" s="9">
        <v>45169</v>
      </c>
      <c r="D2483" t="s">
        <v>17</v>
      </c>
      <c r="E2483" t="s">
        <v>9</v>
      </c>
      <c r="F2483" t="s">
        <v>13</v>
      </c>
      <c r="G2483" t="s">
        <v>14</v>
      </c>
      <c r="H2483">
        <v>1320</v>
      </c>
      <c r="I2483">
        <v>10</v>
      </c>
      <c r="J2483" s="6">
        <f>H2483*I2483/1000</f>
        <v>13.2</v>
      </c>
      <c r="K2483" t="s">
        <v>394</v>
      </c>
    </row>
    <row r="2484" spans="3:11" outlineLevel="2" x14ac:dyDescent="0.3">
      <c r="C2484" s="9">
        <v>45169</v>
      </c>
      <c r="D2484" t="s">
        <v>45</v>
      </c>
      <c r="E2484" t="s">
        <v>9</v>
      </c>
      <c r="F2484" t="s">
        <v>24</v>
      </c>
      <c r="G2484" t="s">
        <v>30</v>
      </c>
      <c r="H2484">
        <v>2970</v>
      </c>
      <c r="I2484">
        <v>74</v>
      </c>
      <c r="J2484" s="6">
        <f>H2484*I2484/1000</f>
        <v>219.78</v>
      </c>
      <c r="K2484" t="s">
        <v>394</v>
      </c>
    </row>
    <row r="2485" spans="3:11" outlineLevel="2" x14ac:dyDescent="0.3">
      <c r="C2485" s="9">
        <v>45169</v>
      </c>
      <c r="D2485" t="s">
        <v>12</v>
      </c>
      <c r="E2485" t="s">
        <v>26</v>
      </c>
      <c r="F2485" t="s">
        <v>13</v>
      </c>
      <c r="G2485" t="s">
        <v>29</v>
      </c>
      <c r="H2485">
        <v>1230</v>
      </c>
      <c r="I2485">
        <v>70</v>
      </c>
      <c r="J2485" s="6">
        <f>H2485*I2485/1000</f>
        <v>86.1</v>
      </c>
      <c r="K2485" t="s">
        <v>394</v>
      </c>
    </row>
    <row r="2486" spans="3:11" outlineLevel="1" x14ac:dyDescent="0.3">
      <c r="C2486" s="13" t="s">
        <v>257</v>
      </c>
      <c r="J2486" s="6">
        <f>SUBTOTAL(9,J2481:J2485)</f>
        <v>501.63</v>
      </c>
    </row>
    <row r="2487" spans="3:11" outlineLevel="2" x14ac:dyDescent="0.3">
      <c r="C2487" s="9">
        <v>45170</v>
      </c>
      <c r="D2487" t="s">
        <v>45</v>
      </c>
      <c r="E2487" t="s">
        <v>20</v>
      </c>
      <c r="F2487" t="s">
        <v>10</v>
      </c>
      <c r="G2487" t="s">
        <v>39</v>
      </c>
      <c r="H2487">
        <v>650</v>
      </c>
      <c r="I2487">
        <v>30</v>
      </c>
      <c r="J2487" s="6">
        <f t="shared" ref="J2487:J2494" si="191">H2487*I2487/1000</f>
        <v>19.5</v>
      </c>
      <c r="K2487" t="s">
        <v>395</v>
      </c>
    </row>
    <row r="2488" spans="3:11" outlineLevel="2" x14ac:dyDescent="0.3">
      <c r="C2488" s="9">
        <v>45170</v>
      </c>
      <c r="D2488" t="s">
        <v>8</v>
      </c>
      <c r="E2488" t="s">
        <v>9</v>
      </c>
      <c r="F2488" t="s">
        <v>13</v>
      </c>
      <c r="G2488" t="s">
        <v>43</v>
      </c>
      <c r="H2488">
        <v>1420</v>
      </c>
      <c r="I2488">
        <v>7</v>
      </c>
      <c r="J2488" s="6">
        <f t="shared" si="191"/>
        <v>9.94</v>
      </c>
      <c r="K2488" t="s">
        <v>395</v>
      </c>
    </row>
    <row r="2489" spans="3:11" outlineLevel="2" x14ac:dyDescent="0.3">
      <c r="C2489" s="9">
        <v>45170</v>
      </c>
      <c r="D2489" t="s">
        <v>8</v>
      </c>
      <c r="E2489" t="s">
        <v>9</v>
      </c>
      <c r="F2489" t="s">
        <v>24</v>
      </c>
      <c r="G2489" t="s">
        <v>30</v>
      </c>
      <c r="H2489">
        <v>2970</v>
      </c>
      <c r="I2489">
        <v>8</v>
      </c>
      <c r="J2489" s="6">
        <f t="shared" si="191"/>
        <v>23.76</v>
      </c>
      <c r="K2489" t="s">
        <v>395</v>
      </c>
    </row>
    <row r="2490" spans="3:11" outlineLevel="2" x14ac:dyDescent="0.3">
      <c r="C2490" s="9">
        <v>45170</v>
      </c>
      <c r="D2490" t="s">
        <v>17</v>
      </c>
      <c r="E2490" t="s">
        <v>9</v>
      </c>
      <c r="F2490" t="s">
        <v>24</v>
      </c>
      <c r="G2490" t="s">
        <v>32</v>
      </c>
      <c r="H2490">
        <v>1505</v>
      </c>
      <c r="I2490">
        <v>93</v>
      </c>
      <c r="J2490" s="6">
        <f t="shared" si="191"/>
        <v>139.965</v>
      </c>
      <c r="K2490" t="s">
        <v>395</v>
      </c>
    </row>
    <row r="2491" spans="3:11" outlineLevel="2" x14ac:dyDescent="0.3">
      <c r="C2491" s="9">
        <v>45170</v>
      </c>
      <c r="D2491" t="s">
        <v>45</v>
      </c>
      <c r="E2491" t="s">
        <v>26</v>
      </c>
      <c r="F2491" t="s">
        <v>10</v>
      </c>
      <c r="G2491" t="s">
        <v>39</v>
      </c>
      <c r="H2491">
        <v>650</v>
      </c>
      <c r="I2491">
        <v>74</v>
      </c>
      <c r="J2491" s="6">
        <f t="shared" si="191"/>
        <v>48.1</v>
      </c>
      <c r="K2491" t="s">
        <v>395</v>
      </c>
    </row>
    <row r="2492" spans="3:11" outlineLevel="2" x14ac:dyDescent="0.3">
      <c r="C2492" s="9">
        <v>45170</v>
      </c>
      <c r="D2492" t="s">
        <v>8</v>
      </c>
      <c r="E2492" t="s">
        <v>33</v>
      </c>
      <c r="F2492" t="s">
        <v>10</v>
      </c>
      <c r="G2492" t="s">
        <v>39</v>
      </c>
      <c r="H2492">
        <v>650</v>
      </c>
      <c r="I2492">
        <v>24</v>
      </c>
      <c r="J2492" s="6">
        <f t="shared" si="191"/>
        <v>15.6</v>
      </c>
      <c r="K2492" t="s">
        <v>395</v>
      </c>
    </row>
    <row r="2493" spans="3:11" outlineLevel="2" x14ac:dyDescent="0.3">
      <c r="C2493" s="9">
        <v>45170</v>
      </c>
      <c r="D2493" t="s">
        <v>45</v>
      </c>
      <c r="E2493" t="s">
        <v>35</v>
      </c>
      <c r="F2493" t="s">
        <v>10</v>
      </c>
      <c r="G2493" t="s">
        <v>40</v>
      </c>
      <c r="H2493">
        <v>540</v>
      </c>
      <c r="I2493">
        <v>28</v>
      </c>
      <c r="J2493" s="6">
        <f t="shared" si="191"/>
        <v>15.12</v>
      </c>
      <c r="K2493" t="s">
        <v>395</v>
      </c>
    </row>
    <row r="2494" spans="3:11" outlineLevel="2" x14ac:dyDescent="0.3">
      <c r="C2494" s="9">
        <v>45170</v>
      </c>
      <c r="D2494" t="s">
        <v>12</v>
      </c>
      <c r="E2494" t="s">
        <v>35</v>
      </c>
      <c r="F2494" t="s">
        <v>13</v>
      </c>
      <c r="G2494" t="s">
        <v>43</v>
      </c>
      <c r="H2494">
        <v>1420</v>
      </c>
      <c r="I2494">
        <v>20</v>
      </c>
      <c r="J2494" s="6">
        <f t="shared" si="191"/>
        <v>28.4</v>
      </c>
      <c r="K2494" t="s">
        <v>395</v>
      </c>
    </row>
    <row r="2495" spans="3:11" outlineLevel="1" x14ac:dyDescent="0.3">
      <c r="C2495" s="13" t="s">
        <v>258</v>
      </c>
      <c r="J2495" s="6">
        <f>SUBTOTAL(9,J2487:J2494)</f>
        <v>300.38499999999999</v>
      </c>
      <c r="K2495" t="s">
        <v>395</v>
      </c>
    </row>
    <row r="2496" spans="3:11" outlineLevel="2" x14ac:dyDescent="0.3">
      <c r="C2496" s="9">
        <v>45171</v>
      </c>
      <c r="D2496" t="s">
        <v>45</v>
      </c>
      <c r="E2496" t="s">
        <v>20</v>
      </c>
      <c r="F2496" t="s">
        <v>10</v>
      </c>
      <c r="G2496" t="s">
        <v>23</v>
      </c>
      <c r="H2496">
        <v>640</v>
      </c>
      <c r="I2496">
        <v>52</v>
      </c>
      <c r="J2496" s="6">
        <f t="shared" ref="J2496:J2503" si="192">H2496*I2496/1000</f>
        <v>33.28</v>
      </c>
      <c r="K2496" t="s">
        <v>395</v>
      </c>
    </row>
    <row r="2497" spans="3:11" outlineLevel="2" x14ac:dyDescent="0.3">
      <c r="C2497" s="9">
        <v>45171</v>
      </c>
      <c r="D2497" t="s">
        <v>17</v>
      </c>
      <c r="E2497" t="s">
        <v>20</v>
      </c>
      <c r="F2497" t="s">
        <v>24</v>
      </c>
      <c r="G2497" t="s">
        <v>32</v>
      </c>
      <c r="H2497">
        <v>1505</v>
      </c>
      <c r="I2497">
        <v>76</v>
      </c>
      <c r="J2497" s="6">
        <f t="shared" si="192"/>
        <v>114.38</v>
      </c>
      <c r="K2497" t="s">
        <v>395</v>
      </c>
    </row>
    <row r="2498" spans="3:11" outlineLevel="2" x14ac:dyDescent="0.3">
      <c r="C2498" s="9">
        <v>45171</v>
      </c>
      <c r="D2498" t="s">
        <v>8</v>
      </c>
      <c r="E2498" t="s">
        <v>9</v>
      </c>
      <c r="F2498" t="s">
        <v>18</v>
      </c>
      <c r="G2498" t="s">
        <v>21</v>
      </c>
      <c r="H2498">
        <v>450</v>
      </c>
      <c r="I2498">
        <v>71</v>
      </c>
      <c r="J2498" s="6">
        <f t="shared" si="192"/>
        <v>31.95</v>
      </c>
      <c r="K2498" t="s">
        <v>395</v>
      </c>
    </row>
    <row r="2499" spans="3:11" outlineLevel="2" x14ac:dyDescent="0.3">
      <c r="C2499" s="9">
        <v>45171</v>
      </c>
      <c r="D2499" t="s">
        <v>45</v>
      </c>
      <c r="E2499" t="s">
        <v>9</v>
      </c>
      <c r="F2499" t="s">
        <v>24</v>
      </c>
      <c r="G2499" t="s">
        <v>32</v>
      </c>
      <c r="H2499">
        <v>1505</v>
      </c>
      <c r="I2499">
        <v>8</v>
      </c>
      <c r="J2499" s="6">
        <f t="shared" si="192"/>
        <v>12.04</v>
      </c>
      <c r="K2499" t="s">
        <v>395</v>
      </c>
    </row>
    <row r="2500" spans="3:11" outlineLevel="2" x14ac:dyDescent="0.3">
      <c r="C2500" s="9">
        <v>45171</v>
      </c>
      <c r="D2500" t="s">
        <v>8</v>
      </c>
      <c r="E2500" t="s">
        <v>15</v>
      </c>
      <c r="F2500" t="s">
        <v>18</v>
      </c>
      <c r="G2500" t="s">
        <v>21</v>
      </c>
      <c r="H2500">
        <v>450</v>
      </c>
      <c r="I2500">
        <v>51</v>
      </c>
      <c r="J2500" s="6">
        <f t="shared" si="192"/>
        <v>22.95</v>
      </c>
      <c r="K2500" t="s">
        <v>395</v>
      </c>
    </row>
    <row r="2501" spans="3:11" outlineLevel="2" x14ac:dyDescent="0.3">
      <c r="C2501" s="9">
        <v>45171</v>
      </c>
      <c r="D2501" t="s">
        <v>17</v>
      </c>
      <c r="E2501" t="s">
        <v>33</v>
      </c>
      <c r="F2501" t="s">
        <v>18</v>
      </c>
      <c r="G2501" t="s">
        <v>19</v>
      </c>
      <c r="H2501">
        <v>325</v>
      </c>
      <c r="I2501">
        <v>19</v>
      </c>
      <c r="J2501" s="6">
        <f t="shared" si="192"/>
        <v>6.1749999999999998</v>
      </c>
      <c r="K2501" t="s">
        <v>395</v>
      </c>
    </row>
    <row r="2502" spans="3:11" outlineLevel="2" x14ac:dyDescent="0.3">
      <c r="C2502" s="9">
        <v>45171</v>
      </c>
      <c r="D2502" t="s">
        <v>8</v>
      </c>
      <c r="E2502" t="s">
        <v>35</v>
      </c>
      <c r="F2502" t="s">
        <v>18</v>
      </c>
      <c r="G2502" t="s">
        <v>27</v>
      </c>
      <c r="H2502">
        <v>460</v>
      </c>
      <c r="I2502">
        <v>75</v>
      </c>
      <c r="J2502" s="6">
        <f t="shared" si="192"/>
        <v>34.5</v>
      </c>
      <c r="K2502" t="s">
        <v>395</v>
      </c>
    </row>
    <row r="2503" spans="3:11" outlineLevel="2" x14ac:dyDescent="0.3">
      <c r="C2503" s="9">
        <v>45171</v>
      </c>
      <c r="D2503" t="s">
        <v>12</v>
      </c>
      <c r="E2503" t="s">
        <v>35</v>
      </c>
      <c r="F2503" t="s">
        <v>13</v>
      </c>
      <c r="G2503" t="s">
        <v>38</v>
      </c>
      <c r="H2503">
        <v>2400</v>
      </c>
      <c r="I2503">
        <v>68</v>
      </c>
      <c r="J2503" s="6">
        <f t="shared" si="192"/>
        <v>163.19999999999999</v>
      </c>
      <c r="K2503" t="s">
        <v>395</v>
      </c>
    </row>
    <row r="2504" spans="3:11" outlineLevel="1" x14ac:dyDescent="0.3">
      <c r="C2504" s="13" t="s">
        <v>259</v>
      </c>
      <c r="J2504" s="6">
        <f>SUBTOTAL(9,J2496:J2503)</f>
        <v>418.47499999999997</v>
      </c>
      <c r="K2504" t="s">
        <v>395</v>
      </c>
    </row>
    <row r="2505" spans="3:11" outlineLevel="2" x14ac:dyDescent="0.3">
      <c r="C2505" s="9">
        <v>45172</v>
      </c>
      <c r="D2505" t="s">
        <v>8</v>
      </c>
      <c r="E2505" t="s">
        <v>9</v>
      </c>
      <c r="F2505" t="s">
        <v>24</v>
      </c>
      <c r="G2505" t="s">
        <v>25</v>
      </c>
      <c r="H2505">
        <v>1760</v>
      </c>
      <c r="I2505">
        <v>57</v>
      </c>
      <c r="J2505" s="6">
        <f t="shared" ref="J2505:J2511" si="193">H2505*I2505/1000</f>
        <v>100.32</v>
      </c>
      <c r="K2505" t="s">
        <v>395</v>
      </c>
    </row>
    <row r="2506" spans="3:11" outlineLevel="2" x14ac:dyDescent="0.3">
      <c r="C2506" s="9">
        <v>45172</v>
      </c>
      <c r="D2506" t="s">
        <v>12</v>
      </c>
      <c r="E2506" t="s">
        <v>15</v>
      </c>
      <c r="F2506" t="s">
        <v>18</v>
      </c>
      <c r="G2506" t="s">
        <v>21</v>
      </c>
      <c r="H2506">
        <v>450</v>
      </c>
      <c r="I2506">
        <v>37</v>
      </c>
      <c r="J2506" s="6">
        <f t="shared" si="193"/>
        <v>16.649999999999999</v>
      </c>
      <c r="K2506" t="s">
        <v>395</v>
      </c>
    </row>
    <row r="2507" spans="3:11" outlineLevel="2" x14ac:dyDescent="0.3">
      <c r="C2507" s="9">
        <v>45172</v>
      </c>
      <c r="D2507" t="s">
        <v>45</v>
      </c>
      <c r="E2507" t="s">
        <v>15</v>
      </c>
      <c r="F2507" t="s">
        <v>18</v>
      </c>
      <c r="G2507" t="s">
        <v>27</v>
      </c>
      <c r="H2507">
        <v>460</v>
      </c>
      <c r="I2507">
        <v>39</v>
      </c>
      <c r="J2507" s="6">
        <f t="shared" si="193"/>
        <v>17.940000000000001</v>
      </c>
      <c r="K2507" t="s">
        <v>395</v>
      </c>
    </row>
    <row r="2508" spans="3:11" outlineLevel="2" x14ac:dyDescent="0.3">
      <c r="C2508" s="9">
        <v>45172</v>
      </c>
      <c r="D2508" t="s">
        <v>12</v>
      </c>
      <c r="E2508" t="s">
        <v>15</v>
      </c>
      <c r="F2508" t="s">
        <v>13</v>
      </c>
      <c r="G2508" t="s">
        <v>22</v>
      </c>
      <c r="H2508">
        <v>930</v>
      </c>
      <c r="I2508">
        <v>35</v>
      </c>
      <c r="J2508" s="6">
        <f t="shared" si="193"/>
        <v>32.549999999999997</v>
      </c>
      <c r="K2508" t="s">
        <v>395</v>
      </c>
    </row>
    <row r="2509" spans="3:11" outlineLevel="2" x14ac:dyDescent="0.3">
      <c r="C2509" s="9">
        <v>45172</v>
      </c>
      <c r="D2509" t="s">
        <v>17</v>
      </c>
      <c r="E2509" t="s">
        <v>15</v>
      </c>
      <c r="F2509" t="s">
        <v>13</v>
      </c>
      <c r="G2509" t="s">
        <v>44</v>
      </c>
      <c r="H2509">
        <v>2540</v>
      </c>
      <c r="I2509">
        <v>49</v>
      </c>
      <c r="J2509" s="6">
        <f t="shared" si="193"/>
        <v>124.46</v>
      </c>
      <c r="K2509" t="s">
        <v>395</v>
      </c>
    </row>
    <row r="2510" spans="3:11" outlineLevel="2" x14ac:dyDescent="0.3">
      <c r="C2510" s="9">
        <v>45172</v>
      </c>
      <c r="D2510" t="s">
        <v>17</v>
      </c>
      <c r="E2510" t="s">
        <v>33</v>
      </c>
      <c r="F2510" t="s">
        <v>18</v>
      </c>
      <c r="G2510" t="s">
        <v>37</v>
      </c>
      <c r="H2510">
        <v>890</v>
      </c>
      <c r="I2510">
        <v>10</v>
      </c>
      <c r="J2510" s="6">
        <f t="shared" si="193"/>
        <v>8.9</v>
      </c>
      <c r="K2510" t="s">
        <v>395</v>
      </c>
    </row>
    <row r="2511" spans="3:11" outlineLevel="2" x14ac:dyDescent="0.3">
      <c r="C2511" s="9">
        <v>45172</v>
      </c>
      <c r="D2511" t="s">
        <v>12</v>
      </c>
      <c r="E2511" t="s">
        <v>35</v>
      </c>
      <c r="F2511" t="s">
        <v>24</v>
      </c>
      <c r="G2511" t="s">
        <v>42</v>
      </c>
      <c r="H2511">
        <v>3205</v>
      </c>
      <c r="I2511">
        <v>32</v>
      </c>
      <c r="J2511" s="6">
        <f t="shared" si="193"/>
        <v>102.56</v>
      </c>
      <c r="K2511" t="s">
        <v>395</v>
      </c>
    </row>
    <row r="2512" spans="3:11" outlineLevel="1" x14ac:dyDescent="0.3">
      <c r="C2512" s="13" t="s">
        <v>260</v>
      </c>
      <c r="J2512" s="6">
        <f>SUBTOTAL(9,J2505:J2511)</f>
        <v>403.37999999999994</v>
      </c>
      <c r="K2512" t="s">
        <v>395</v>
      </c>
    </row>
    <row r="2513" spans="3:11" outlineLevel="2" x14ac:dyDescent="0.3">
      <c r="C2513" s="9">
        <v>45173</v>
      </c>
      <c r="D2513" t="s">
        <v>8</v>
      </c>
      <c r="E2513" t="s">
        <v>20</v>
      </c>
      <c r="F2513" t="s">
        <v>10</v>
      </c>
      <c r="G2513" t="s">
        <v>40</v>
      </c>
      <c r="H2513">
        <v>540</v>
      </c>
      <c r="I2513">
        <v>69</v>
      </c>
      <c r="J2513" s="6">
        <f t="shared" ref="J2513:J2523" si="194">H2513*I2513/1000</f>
        <v>37.26</v>
      </c>
      <c r="K2513" t="s">
        <v>395</v>
      </c>
    </row>
    <row r="2514" spans="3:11" outlineLevel="2" x14ac:dyDescent="0.3">
      <c r="C2514" s="9">
        <v>45173</v>
      </c>
      <c r="D2514" t="s">
        <v>17</v>
      </c>
      <c r="E2514" t="s">
        <v>20</v>
      </c>
      <c r="F2514" t="s">
        <v>18</v>
      </c>
      <c r="G2514" t="s">
        <v>19</v>
      </c>
      <c r="H2514">
        <v>325</v>
      </c>
      <c r="I2514">
        <v>40</v>
      </c>
      <c r="J2514" s="6">
        <f t="shared" si="194"/>
        <v>13</v>
      </c>
      <c r="K2514" t="s">
        <v>395</v>
      </c>
    </row>
    <row r="2515" spans="3:11" outlineLevel="2" x14ac:dyDescent="0.3">
      <c r="C2515" s="9">
        <v>45173</v>
      </c>
      <c r="D2515" t="s">
        <v>45</v>
      </c>
      <c r="E2515" t="s">
        <v>20</v>
      </c>
      <c r="F2515" t="s">
        <v>24</v>
      </c>
      <c r="G2515" t="s">
        <v>30</v>
      </c>
      <c r="H2515">
        <v>2970</v>
      </c>
      <c r="I2515">
        <v>46</v>
      </c>
      <c r="J2515" s="6">
        <f t="shared" si="194"/>
        <v>136.62</v>
      </c>
      <c r="K2515" t="s">
        <v>395</v>
      </c>
    </row>
    <row r="2516" spans="3:11" outlineLevel="2" x14ac:dyDescent="0.3">
      <c r="C2516" s="9">
        <v>45173</v>
      </c>
      <c r="D2516" t="s">
        <v>17</v>
      </c>
      <c r="E2516" t="s">
        <v>20</v>
      </c>
      <c r="F2516" t="s">
        <v>24</v>
      </c>
      <c r="G2516" t="s">
        <v>25</v>
      </c>
      <c r="H2516">
        <v>1760</v>
      </c>
      <c r="I2516">
        <v>98</v>
      </c>
      <c r="J2516" s="6">
        <f t="shared" si="194"/>
        <v>172.48</v>
      </c>
      <c r="K2516" t="s">
        <v>395</v>
      </c>
    </row>
    <row r="2517" spans="3:11" outlineLevel="2" x14ac:dyDescent="0.3">
      <c r="C2517" s="9">
        <v>45173</v>
      </c>
      <c r="D2517" t="s">
        <v>45</v>
      </c>
      <c r="E2517" t="s">
        <v>9</v>
      </c>
      <c r="F2517" t="s">
        <v>18</v>
      </c>
      <c r="G2517" t="s">
        <v>37</v>
      </c>
      <c r="H2517">
        <v>890</v>
      </c>
      <c r="I2517">
        <v>53</v>
      </c>
      <c r="J2517" s="6">
        <f t="shared" si="194"/>
        <v>47.17</v>
      </c>
      <c r="K2517" t="s">
        <v>395</v>
      </c>
    </row>
    <row r="2518" spans="3:11" outlineLevel="2" x14ac:dyDescent="0.3">
      <c r="C2518" s="9">
        <v>45173</v>
      </c>
      <c r="D2518" t="s">
        <v>17</v>
      </c>
      <c r="E2518" t="s">
        <v>26</v>
      </c>
      <c r="F2518" t="s">
        <v>10</v>
      </c>
      <c r="G2518" t="s">
        <v>23</v>
      </c>
      <c r="H2518">
        <v>640</v>
      </c>
      <c r="I2518">
        <v>24</v>
      </c>
      <c r="J2518" s="6">
        <f t="shared" si="194"/>
        <v>15.36</v>
      </c>
      <c r="K2518" t="s">
        <v>395</v>
      </c>
    </row>
    <row r="2519" spans="3:11" outlineLevel="2" x14ac:dyDescent="0.3">
      <c r="C2519" s="9">
        <v>45173</v>
      </c>
      <c r="D2519" t="s">
        <v>17</v>
      </c>
      <c r="E2519" t="s">
        <v>15</v>
      </c>
      <c r="F2519" t="s">
        <v>10</v>
      </c>
      <c r="G2519" t="s">
        <v>40</v>
      </c>
      <c r="H2519">
        <v>540</v>
      </c>
      <c r="I2519">
        <v>88</v>
      </c>
      <c r="J2519" s="6">
        <f t="shared" si="194"/>
        <v>47.52</v>
      </c>
      <c r="K2519" t="s">
        <v>395</v>
      </c>
    </row>
    <row r="2520" spans="3:11" outlineLevel="2" x14ac:dyDescent="0.3">
      <c r="C2520" s="9">
        <v>45173</v>
      </c>
      <c r="D2520" t="s">
        <v>17</v>
      </c>
      <c r="E2520" t="s">
        <v>15</v>
      </c>
      <c r="F2520" t="s">
        <v>24</v>
      </c>
      <c r="G2520" t="s">
        <v>42</v>
      </c>
      <c r="H2520">
        <v>3205</v>
      </c>
      <c r="I2520">
        <v>11</v>
      </c>
      <c r="J2520" s="6">
        <f t="shared" si="194"/>
        <v>35.255000000000003</v>
      </c>
      <c r="K2520" t="s">
        <v>395</v>
      </c>
    </row>
    <row r="2521" spans="3:11" outlineLevel="2" x14ac:dyDescent="0.3">
      <c r="C2521" s="9">
        <v>45173</v>
      </c>
      <c r="D2521" t="s">
        <v>45</v>
      </c>
      <c r="E2521" t="s">
        <v>33</v>
      </c>
      <c r="F2521" t="s">
        <v>10</v>
      </c>
      <c r="G2521" t="s">
        <v>23</v>
      </c>
      <c r="H2521">
        <v>640</v>
      </c>
      <c r="I2521">
        <v>81</v>
      </c>
      <c r="J2521" s="6">
        <f t="shared" si="194"/>
        <v>51.84</v>
      </c>
      <c r="K2521" t="s">
        <v>395</v>
      </c>
    </row>
    <row r="2522" spans="3:11" outlineLevel="2" x14ac:dyDescent="0.3">
      <c r="C2522" s="9">
        <v>45173</v>
      </c>
      <c r="D2522" t="s">
        <v>8</v>
      </c>
      <c r="E2522" t="s">
        <v>33</v>
      </c>
      <c r="F2522" t="s">
        <v>24</v>
      </c>
      <c r="G2522" t="s">
        <v>32</v>
      </c>
      <c r="H2522">
        <v>1505</v>
      </c>
      <c r="I2522">
        <v>41</v>
      </c>
      <c r="J2522" s="6">
        <f t="shared" si="194"/>
        <v>61.704999999999998</v>
      </c>
      <c r="K2522" t="s">
        <v>395</v>
      </c>
    </row>
    <row r="2523" spans="3:11" outlineLevel="2" x14ac:dyDescent="0.3">
      <c r="C2523" s="9">
        <v>45173</v>
      </c>
      <c r="D2523" t="s">
        <v>45</v>
      </c>
      <c r="E2523" t="s">
        <v>35</v>
      </c>
      <c r="F2523" t="s">
        <v>13</v>
      </c>
      <c r="G2523" t="s">
        <v>43</v>
      </c>
      <c r="H2523">
        <v>1420</v>
      </c>
      <c r="I2523">
        <v>74</v>
      </c>
      <c r="J2523" s="6">
        <f t="shared" si="194"/>
        <v>105.08</v>
      </c>
      <c r="K2523" t="s">
        <v>395</v>
      </c>
    </row>
    <row r="2524" spans="3:11" outlineLevel="1" x14ac:dyDescent="0.3">
      <c r="C2524" s="13" t="s">
        <v>261</v>
      </c>
      <c r="J2524" s="6">
        <f>SUBTOTAL(9,J2513:J2523)</f>
        <v>723.29000000000008</v>
      </c>
      <c r="K2524" t="s">
        <v>395</v>
      </c>
    </row>
    <row r="2525" spans="3:11" outlineLevel="2" x14ac:dyDescent="0.3">
      <c r="C2525" s="9">
        <v>45174</v>
      </c>
      <c r="D2525" t="s">
        <v>8</v>
      </c>
      <c r="E2525" t="s">
        <v>20</v>
      </c>
      <c r="F2525" t="s">
        <v>10</v>
      </c>
      <c r="G2525" t="s">
        <v>16</v>
      </c>
      <c r="H2525">
        <v>1380</v>
      </c>
      <c r="I2525">
        <v>93</v>
      </c>
      <c r="J2525" s="6">
        <f t="shared" ref="J2525:J2533" si="195">H2525*I2525/1000</f>
        <v>128.34</v>
      </c>
      <c r="K2525" t="s">
        <v>395</v>
      </c>
    </row>
    <row r="2526" spans="3:11" outlineLevel="2" x14ac:dyDescent="0.3">
      <c r="C2526" s="9">
        <v>45174</v>
      </c>
      <c r="D2526" t="s">
        <v>45</v>
      </c>
      <c r="E2526" t="s">
        <v>20</v>
      </c>
      <c r="F2526" t="s">
        <v>18</v>
      </c>
      <c r="G2526" t="s">
        <v>19</v>
      </c>
      <c r="H2526">
        <v>325</v>
      </c>
      <c r="I2526">
        <v>58</v>
      </c>
      <c r="J2526" s="6">
        <f t="shared" si="195"/>
        <v>18.850000000000001</v>
      </c>
      <c r="K2526" t="s">
        <v>395</v>
      </c>
    </row>
    <row r="2527" spans="3:11" outlineLevel="2" x14ac:dyDescent="0.3">
      <c r="C2527" s="9">
        <v>45174</v>
      </c>
      <c r="D2527" t="s">
        <v>45</v>
      </c>
      <c r="E2527" t="s">
        <v>20</v>
      </c>
      <c r="F2527" t="s">
        <v>13</v>
      </c>
      <c r="G2527" t="s">
        <v>44</v>
      </c>
      <c r="H2527">
        <v>2540</v>
      </c>
      <c r="I2527">
        <v>21</v>
      </c>
      <c r="J2527" s="6">
        <f t="shared" si="195"/>
        <v>53.34</v>
      </c>
      <c r="K2527" t="s">
        <v>395</v>
      </c>
    </row>
    <row r="2528" spans="3:11" outlineLevel="2" x14ac:dyDescent="0.3">
      <c r="C2528" s="9">
        <v>45174</v>
      </c>
      <c r="D2528" t="s">
        <v>45</v>
      </c>
      <c r="E2528" t="s">
        <v>26</v>
      </c>
      <c r="F2528" t="s">
        <v>24</v>
      </c>
      <c r="G2528" t="s">
        <v>30</v>
      </c>
      <c r="H2528">
        <v>2970</v>
      </c>
      <c r="I2528">
        <v>36</v>
      </c>
      <c r="J2528" s="6">
        <f t="shared" si="195"/>
        <v>106.92</v>
      </c>
      <c r="K2528" t="s">
        <v>395</v>
      </c>
    </row>
    <row r="2529" spans="3:11" outlineLevel="2" x14ac:dyDescent="0.3">
      <c r="C2529" s="9">
        <v>45174</v>
      </c>
      <c r="D2529" t="s">
        <v>45</v>
      </c>
      <c r="E2529" t="s">
        <v>26</v>
      </c>
      <c r="F2529" t="s">
        <v>24</v>
      </c>
      <c r="G2529" t="s">
        <v>34</v>
      </c>
      <c r="H2529">
        <v>1670</v>
      </c>
      <c r="I2529">
        <v>53</v>
      </c>
      <c r="J2529" s="6">
        <f t="shared" si="195"/>
        <v>88.51</v>
      </c>
      <c r="K2529" t="s">
        <v>395</v>
      </c>
    </row>
    <row r="2530" spans="3:11" outlineLevel="2" x14ac:dyDescent="0.3">
      <c r="C2530" s="9">
        <v>45174</v>
      </c>
      <c r="D2530" t="s">
        <v>8</v>
      </c>
      <c r="E2530" t="s">
        <v>15</v>
      </c>
      <c r="F2530" t="s">
        <v>18</v>
      </c>
      <c r="G2530" t="s">
        <v>37</v>
      </c>
      <c r="H2530">
        <v>890</v>
      </c>
      <c r="I2530">
        <v>79</v>
      </c>
      <c r="J2530" s="6">
        <f t="shared" si="195"/>
        <v>70.31</v>
      </c>
      <c r="K2530" t="s">
        <v>395</v>
      </c>
    </row>
    <row r="2531" spans="3:11" outlineLevel="2" x14ac:dyDescent="0.3">
      <c r="C2531" s="9">
        <v>45174</v>
      </c>
      <c r="D2531" t="s">
        <v>17</v>
      </c>
      <c r="E2531" t="s">
        <v>33</v>
      </c>
      <c r="F2531" t="s">
        <v>10</v>
      </c>
      <c r="G2531" t="s">
        <v>40</v>
      </c>
      <c r="H2531">
        <v>540</v>
      </c>
      <c r="I2531">
        <v>43</v>
      </c>
      <c r="J2531" s="6">
        <f t="shared" si="195"/>
        <v>23.22</v>
      </c>
      <c r="K2531" t="s">
        <v>395</v>
      </c>
    </row>
    <row r="2532" spans="3:11" outlineLevel="2" x14ac:dyDescent="0.3">
      <c r="C2532" s="9">
        <v>45174</v>
      </c>
      <c r="D2532" t="s">
        <v>45</v>
      </c>
      <c r="E2532" t="s">
        <v>33</v>
      </c>
      <c r="F2532" t="s">
        <v>10</v>
      </c>
      <c r="G2532" t="s">
        <v>40</v>
      </c>
      <c r="H2532">
        <v>540</v>
      </c>
      <c r="I2532">
        <v>39</v>
      </c>
      <c r="J2532" s="6">
        <f t="shared" si="195"/>
        <v>21.06</v>
      </c>
      <c r="K2532" t="s">
        <v>395</v>
      </c>
    </row>
    <row r="2533" spans="3:11" outlineLevel="2" x14ac:dyDescent="0.3">
      <c r="C2533" s="9">
        <v>45174</v>
      </c>
      <c r="D2533" t="s">
        <v>8</v>
      </c>
      <c r="E2533" t="s">
        <v>35</v>
      </c>
      <c r="F2533" t="s">
        <v>24</v>
      </c>
      <c r="G2533" t="s">
        <v>25</v>
      </c>
      <c r="H2533">
        <v>1760</v>
      </c>
      <c r="I2533">
        <v>18</v>
      </c>
      <c r="J2533" s="6">
        <f t="shared" si="195"/>
        <v>31.68</v>
      </c>
      <c r="K2533" t="s">
        <v>395</v>
      </c>
    </row>
    <row r="2534" spans="3:11" outlineLevel="1" x14ac:dyDescent="0.3">
      <c r="C2534" s="13" t="s">
        <v>262</v>
      </c>
      <c r="J2534" s="6">
        <f>SUBTOTAL(9,J2525:J2533)</f>
        <v>542.23</v>
      </c>
      <c r="K2534" t="s">
        <v>395</v>
      </c>
    </row>
    <row r="2535" spans="3:11" outlineLevel="2" x14ac:dyDescent="0.3">
      <c r="C2535" s="9">
        <v>45175</v>
      </c>
      <c r="D2535" t="s">
        <v>45</v>
      </c>
      <c r="E2535" t="s">
        <v>9</v>
      </c>
      <c r="F2535" t="s">
        <v>24</v>
      </c>
      <c r="G2535" t="s">
        <v>25</v>
      </c>
      <c r="H2535">
        <v>1760</v>
      </c>
      <c r="I2535">
        <v>99</v>
      </c>
      <c r="J2535" s="6">
        <f>H2535*I2535/1000</f>
        <v>174.24</v>
      </c>
      <c r="K2535" t="s">
        <v>395</v>
      </c>
    </row>
    <row r="2536" spans="3:11" outlineLevel="2" x14ac:dyDescent="0.3">
      <c r="C2536" s="9">
        <v>45175</v>
      </c>
      <c r="D2536" t="s">
        <v>12</v>
      </c>
      <c r="E2536" t="s">
        <v>26</v>
      </c>
      <c r="F2536" t="s">
        <v>18</v>
      </c>
      <c r="G2536" t="s">
        <v>28</v>
      </c>
      <c r="H2536">
        <v>690</v>
      </c>
      <c r="I2536">
        <v>6</v>
      </c>
      <c r="J2536" s="6">
        <f>H2536*I2536/1000</f>
        <v>4.1399999999999997</v>
      </c>
      <c r="K2536" t="s">
        <v>395</v>
      </c>
    </row>
    <row r="2537" spans="3:11" outlineLevel="2" x14ac:dyDescent="0.3">
      <c r="C2537" s="9">
        <v>45175</v>
      </c>
      <c r="D2537" t="s">
        <v>8</v>
      </c>
      <c r="E2537" t="s">
        <v>26</v>
      </c>
      <c r="F2537" t="s">
        <v>18</v>
      </c>
      <c r="G2537" t="s">
        <v>37</v>
      </c>
      <c r="H2537">
        <v>890</v>
      </c>
      <c r="I2537">
        <v>80</v>
      </c>
      <c r="J2537" s="6">
        <f>H2537*I2537/1000</f>
        <v>71.2</v>
      </c>
      <c r="K2537" t="s">
        <v>395</v>
      </c>
    </row>
    <row r="2538" spans="3:11" outlineLevel="2" x14ac:dyDescent="0.3">
      <c r="C2538" s="9">
        <v>45175</v>
      </c>
      <c r="D2538" t="s">
        <v>45</v>
      </c>
      <c r="E2538" t="s">
        <v>26</v>
      </c>
      <c r="F2538" t="s">
        <v>13</v>
      </c>
      <c r="G2538" t="s">
        <v>43</v>
      </c>
      <c r="H2538">
        <v>1420</v>
      </c>
      <c r="I2538">
        <v>12</v>
      </c>
      <c r="J2538" s="6">
        <f>H2538*I2538/1000</f>
        <v>17.04</v>
      </c>
      <c r="K2538" t="s">
        <v>395</v>
      </c>
    </row>
    <row r="2539" spans="3:11" outlineLevel="2" x14ac:dyDescent="0.3">
      <c r="C2539" s="9">
        <v>45175</v>
      </c>
      <c r="D2539" t="s">
        <v>17</v>
      </c>
      <c r="E2539" t="s">
        <v>26</v>
      </c>
      <c r="F2539" t="s">
        <v>24</v>
      </c>
      <c r="G2539" t="s">
        <v>34</v>
      </c>
      <c r="H2539">
        <v>1670</v>
      </c>
      <c r="I2539">
        <v>94</v>
      </c>
      <c r="J2539" s="6">
        <f>H2539*I2539/1000</f>
        <v>156.97999999999999</v>
      </c>
      <c r="K2539" t="s">
        <v>395</v>
      </c>
    </row>
    <row r="2540" spans="3:11" outlineLevel="1" x14ac:dyDescent="0.3">
      <c r="C2540" s="13" t="s">
        <v>263</v>
      </c>
      <c r="J2540" s="6">
        <f>SUBTOTAL(9,J2535:J2539)</f>
        <v>423.6</v>
      </c>
      <c r="K2540" t="s">
        <v>395</v>
      </c>
    </row>
    <row r="2541" spans="3:11" outlineLevel="2" x14ac:dyDescent="0.3">
      <c r="C2541" s="9">
        <v>45176</v>
      </c>
      <c r="D2541" t="s">
        <v>12</v>
      </c>
      <c r="E2541" t="s">
        <v>20</v>
      </c>
      <c r="F2541" t="s">
        <v>24</v>
      </c>
      <c r="G2541" t="s">
        <v>36</v>
      </c>
      <c r="H2541">
        <v>2460</v>
      </c>
      <c r="I2541">
        <v>52</v>
      </c>
      <c r="J2541" s="6">
        <f t="shared" ref="J2541:J2548" si="196">H2541*I2541/1000</f>
        <v>127.92</v>
      </c>
      <c r="K2541" t="s">
        <v>395</v>
      </c>
    </row>
    <row r="2542" spans="3:11" outlineLevel="2" x14ac:dyDescent="0.3">
      <c r="C2542" s="9">
        <v>45176</v>
      </c>
      <c r="D2542" t="s">
        <v>45</v>
      </c>
      <c r="E2542" t="s">
        <v>9</v>
      </c>
      <c r="F2542" t="s">
        <v>10</v>
      </c>
      <c r="G2542" t="s">
        <v>16</v>
      </c>
      <c r="H2542">
        <v>1380</v>
      </c>
      <c r="I2542">
        <v>14</v>
      </c>
      <c r="J2542" s="6">
        <f t="shared" si="196"/>
        <v>19.32</v>
      </c>
      <c r="K2542" t="s">
        <v>395</v>
      </c>
    </row>
    <row r="2543" spans="3:11" outlineLevel="2" x14ac:dyDescent="0.3">
      <c r="C2543" s="9">
        <v>45176</v>
      </c>
      <c r="D2543" t="s">
        <v>12</v>
      </c>
      <c r="E2543" t="s">
        <v>9</v>
      </c>
      <c r="F2543" t="s">
        <v>10</v>
      </c>
      <c r="G2543" t="s">
        <v>23</v>
      </c>
      <c r="H2543">
        <v>640</v>
      </c>
      <c r="I2543">
        <v>54</v>
      </c>
      <c r="J2543" s="6">
        <f t="shared" si="196"/>
        <v>34.56</v>
      </c>
      <c r="K2543" t="s">
        <v>395</v>
      </c>
    </row>
    <row r="2544" spans="3:11" outlineLevel="2" x14ac:dyDescent="0.3">
      <c r="C2544" s="9">
        <v>45176</v>
      </c>
      <c r="D2544" t="s">
        <v>8</v>
      </c>
      <c r="E2544" t="s">
        <v>9</v>
      </c>
      <c r="F2544" t="s">
        <v>24</v>
      </c>
      <c r="G2544" t="s">
        <v>36</v>
      </c>
      <c r="H2544">
        <v>2460</v>
      </c>
      <c r="I2544">
        <v>73</v>
      </c>
      <c r="J2544" s="6">
        <f t="shared" si="196"/>
        <v>179.58</v>
      </c>
      <c r="K2544" t="s">
        <v>395</v>
      </c>
    </row>
    <row r="2545" spans="3:11" outlineLevel="2" x14ac:dyDescent="0.3">
      <c r="C2545" s="9">
        <v>45176</v>
      </c>
      <c r="D2545" t="s">
        <v>45</v>
      </c>
      <c r="E2545" t="s">
        <v>26</v>
      </c>
      <c r="F2545" t="s">
        <v>18</v>
      </c>
      <c r="G2545" t="s">
        <v>27</v>
      </c>
      <c r="H2545">
        <v>460</v>
      </c>
      <c r="I2545">
        <v>59</v>
      </c>
      <c r="J2545" s="6">
        <f t="shared" si="196"/>
        <v>27.14</v>
      </c>
      <c r="K2545" t="s">
        <v>395</v>
      </c>
    </row>
    <row r="2546" spans="3:11" outlineLevel="2" x14ac:dyDescent="0.3">
      <c r="C2546" s="9">
        <v>45176</v>
      </c>
      <c r="D2546" t="s">
        <v>8</v>
      </c>
      <c r="E2546" t="s">
        <v>33</v>
      </c>
      <c r="F2546" t="s">
        <v>18</v>
      </c>
      <c r="G2546" t="s">
        <v>28</v>
      </c>
      <c r="H2546">
        <v>690</v>
      </c>
      <c r="I2546">
        <v>28</v>
      </c>
      <c r="J2546" s="6">
        <f t="shared" si="196"/>
        <v>19.32</v>
      </c>
      <c r="K2546" t="s">
        <v>395</v>
      </c>
    </row>
    <row r="2547" spans="3:11" outlineLevel="2" x14ac:dyDescent="0.3">
      <c r="C2547" s="9">
        <v>45176</v>
      </c>
      <c r="D2547" t="s">
        <v>45</v>
      </c>
      <c r="E2547" t="s">
        <v>33</v>
      </c>
      <c r="F2547" t="s">
        <v>24</v>
      </c>
      <c r="G2547" t="s">
        <v>32</v>
      </c>
      <c r="H2547">
        <v>1505</v>
      </c>
      <c r="I2547">
        <v>76</v>
      </c>
      <c r="J2547" s="6">
        <f t="shared" si="196"/>
        <v>114.38</v>
      </c>
      <c r="K2547" t="s">
        <v>395</v>
      </c>
    </row>
    <row r="2548" spans="3:11" outlineLevel="2" x14ac:dyDescent="0.3">
      <c r="C2548" s="9">
        <v>45176</v>
      </c>
      <c r="D2548" t="s">
        <v>8</v>
      </c>
      <c r="E2548" t="s">
        <v>35</v>
      </c>
      <c r="F2548" t="s">
        <v>24</v>
      </c>
      <c r="G2548" t="s">
        <v>36</v>
      </c>
      <c r="H2548">
        <v>2460</v>
      </c>
      <c r="I2548">
        <v>78</v>
      </c>
      <c r="J2548" s="6">
        <f t="shared" si="196"/>
        <v>191.88</v>
      </c>
      <c r="K2548" t="s">
        <v>395</v>
      </c>
    </row>
    <row r="2549" spans="3:11" outlineLevel="1" x14ac:dyDescent="0.3">
      <c r="C2549" s="13" t="s">
        <v>264</v>
      </c>
      <c r="J2549" s="6">
        <f>SUBTOTAL(9,J2541:J2548)</f>
        <v>714.1</v>
      </c>
      <c r="K2549" t="s">
        <v>395</v>
      </c>
    </row>
    <row r="2550" spans="3:11" outlineLevel="2" x14ac:dyDescent="0.3">
      <c r="C2550" s="9">
        <v>45177</v>
      </c>
      <c r="D2550" t="s">
        <v>45</v>
      </c>
      <c r="E2550" t="s">
        <v>20</v>
      </c>
      <c r="F2550" t="s">
        <v>13</v>
      </c>
      <c r="G2550" t="s">
        <v>44</v>
      </c>
      <c r="H2550">
        <v>2540</v>
      </c>
      <c r="I2550">
        <v>82</v>
      </c>
      <c r="J2550" s="6">
        <f>H2550*I2550/1000</f>
        <v>208.28</v>
      </c>
      <c r="K2550" t="s">
        <v>395</v>
      </c>
    </row>
    <row r="2551" spans="3:11" outlineLevel="2" x14ac:dyDescent="0.3">
      <c r="C2551" s="9">
        <v>45177</v>
      </c>
      <c r="D2551" t="s">
        <v>45</v>
      </c>
      <c r="E2551" t="s">
        <v>9</v>
      </c>
      <c r="F2551" t="s">
        <v>13</v>
      </c>
      <c r="G2551" t="s">
        <v>22</v>
      </c>
      <c r="H2551">
        <v>930</v>
      </c>
      <c r="I2551">
        <v>34</v>
      </c>
      <c r="J2551" s="6">
        <f>H2551*I2551/1000</f>
        <v>31.62</v>
      </c>
      <c r="K2551" t="s">
        <v>395</v>
      </c>
    </row>
    <row r="2552" spans="3:11" outlineLevel="2" x14ac:dyDescent="0.3">
      <c r="C2552" s="9">
        <v>45177</v>
      </c>
      <c r="D2552" t="s">
        <v>8</v>
      </c>
      <c r="E2552" t="s">
        <v>26</v>
      </c>
      <c r="F2552" t="s">
        <v>10</v>
      </c>
      <c r="G2552" t="s">
        <v>41</v>
      </c>
      <c r="H2552">
        <v>650</v>
      </c>
      <c r="I2552">
        <v>32</v>
      </c>
      <c r="J2552" s="6">
        <f>H2552*I2552/1000</f>
        <v>20.8</v>
      </c>
      <c r="K2552" t="s">
        <v>395</v>
      </c>
    </row>
    <row r="2553" spans="3:11" outlineLevel="1" x14ac:dyDescent="0.3">
      <c r="C2553" s="13" t="s">
        <v>265</v>
      </c>
      <c r="J2553" s="6">
        <f>SUBTOTAL(9,J2550:J2552)</f>
        <v>260.7</v>
      </c>
      <c r="K2553" t="s">
        <v>395</v>
      </c>
    </row>
    <row r="2554" spans="3:11" outlineLevel="2" x14ac:dyDescent="0.3">
      <c r="C2554" s="9">
        <v>45178</v>
      </c>
      <c r="D2554" t="s">
        <v>17</v>
      </c>
      <c r="E2554" t="s">
        <v>20</v>
      </c>
      <c r="F2554" t="s">
        <v>10</v>
      </c>
      <c r="G2554" t="s">
        <v>11</v>
      </c>
      <c r="H2554">
        <v>705</v>
      </c>
      <c r="I2554">
        <v>41</v>
      </c>
      <c r="J2554" s="6">
        <f t="shared" ref="J2554:J2564" si="197">H2554*I2554/1000</f>
        <v>28.905000000000001</v>
      </c>
      <c r="K2554" t="s">
        <v>395</v>
      </c>
    </row>
    <row r="2555" spans="3:11" outlineLevel="2" x14ac:dyDescent="0.3">
      <c r="C2555" s="9">
        <v>45178</v>
      </c>
      <c r="D2555" t="s">
        <v>12</v>
      </c>
      <c r="E2555" t="s">
        <v>20</v>
      </c>
      <c r="F2555" t="s">
        <v>18</v>
      </c>
      <c r="G2555" t="s">
        <v>27</v>
      </c>
      <c r="H2555">
        <v>460</v>
      </c>
      <c r="I2555">
        <v>69</v>
      </c>
      <c r="J2555" s="6">
        <f t="shared" si="197"/>
        <v>31.74</v>
      </c>
      <c r="K2555" t="s">
        <v>395</v>
      </c>
    </row>
    <row r="2556" spans="3:11" outlineLevel="2" x14ac:dyDescent="0.3">
      <c r="C2556" s="9">
        <v>45178</v>
      </c>
      <c r="D2556" t="s">
        <v>17</v>
      </c>
      <c r="E2556" t="s">
        <v>9</v>
      </c>
      <c r="F2556" t="s">
        <v>18</v>
      </c>
      <c r="G2556" t="s">
        <v>27</v>
      </c>
      <c r="H2556">
        <v>460</v>
      </c>
      <c r="I2556">
        <v>50</v>
      </c>
      <c r="J2556" s="6">
        <f t="shared" si="197"/>
        <v>23</v>
      </c>
      <c r="K2556" t="s">
        <v>395</v>
      </c>
    </row>
    <row r="2557" spans="3:11" outlineLevel="2" x14ac:dyDescent="0.3">
      <c r="C2557" s="9">
        <v>45178</v>
      </c>
      <c r="D2557" t="s">
        <v>12</v>
      </c>
      <c r="E2557" t="s">
        <v>9</v>
      </c>
      <c r="F2557" t="s">
        <v>18</v>
      </c>
      <c r="G2557" t="s">
        <v>21</v>
      </c>
      <c r="H2557">
        <v>450</v>
      </c>
      <c r="I2557">
        <v>10</v>
      </c>
      <c r="J2557" s="6">
        <f t="shared" si="197"/>
        <v>4.5</v>
      </c>
      <c r="K2557" t="s">
        <v>395</v>
      </c>
    </row>
    <row r="2558" spans="3:11" outlineLevel="2" x14ac:dyDescent="0.3">
      <c r="C2558" s="9">
        <v>45178</v>
      </c>
      <c r="D2558" t="s">
        <v>8</v>
      </c>
      <c r="E2558" t="s">
        <v>9</v>
      </c>
      <c r="F2558" t="s">
        <v>13</v>
      </c>
      <c r="G2558" t="s">
        <v>43</v>
      </c>
      <c r="H2558">
        <v>1420</v>
      </c>
      <c r="I2558">
        <v>43</v>
      </c>
      <c r="J2558" s="6">
        <f t="shared" si="197"/>
        <v>61.06</v>
      </c>
      <c r="K2558" t="s">
        <v>395</v>
      </c>
    </row>
    <row r="2559" spans="3:11" outlineLevel="2" x14ac:dyDescent="0.3">
      <c r="C2559" s="9">
        <v>45178</v>
      </c>
      <c r="D2559" t="s">
        <v>8</v>
      </c>
      <c r="E2559" t="s">
        <v>26</v>
      </c>
      <c r="F2559" t="s">
        <v>10</v>
      </c>
      <c r="G2559" t="s">
        <v>39</v>
      </c>
      <c r="H2559">
        <v>650</v>
      </c>
      <c r="I2559">
        <v>10</v>
      </c>
      <c r="J2559" s="6">
        <f t="shared" si="197"/>
        <v>6.5</v>
      </c>
      <c r="K2559" t="s">
        <v>395</v>
      </c>
    </row>
    <row r="2560" spans="3:11" outlineLevel="2" x14ac:dyDescent="0.3">
      <c r="C2560" s="9">
        <v>45178</v>
      </c>
      <c r="D2560" t="s">
        <v>45</v>
      </c>
      <c r="E2560" t="s">
        <v>26</v>
      </c>
      <c r="F2560" t="s">
        <v>18</v>
      </c>
      <c r="G2560" t="s">
        <v>28</v>
      </c>
      <c r="H2560">
        <v>690</v>
      </c>
      <c r="I2560">
        <v>94</v>
      </c>
      <c r="J2560" s="6">
        <f t="shared" si="197"/>
        <v>64.86</v>
      </c>
      <c r="K2560" t="s">
        <v>395</v>
      </c>
    </row>
    <row r="2561" spans="3:11" outlineLevel="2" x14ac:dyDescent="0.3">
      <c r="C2561" s="9">
        <v>45178</v>
      </c>
      <c r="D2561" t="s">
        <v>12</v>
      </c>
      <c r="E2561" t="s">
        <v>15</v>
      </c>
      <c r="F2561" t="s">
        <v>24</v>
      </c>
      <c r="G2561" t="s">
        <v>25</v>
      </c>
      <c r="H2561">
        <v>1760</v>
      </c>
      <c r="I2561">
        <v>86</v>
      </c>
      <c r="J2561" s="6">
        <f t="shared" si="197"/>
        <v>151.36000000000001</v>
      </c>
      <c r="K2561" t="s">
        <v>395</v>
      </c>
    </row>
    <row r="2562" spans="3:11" outlineLevel="2" x14ac:dyDescent="0.3">
      <c r="C2562" s="9">
        <v>45178</v>
      </c>
      <c r="D2562" t="s">
        <v>8</v>
      </c>
      <c r="E2562" t="s">
        <v>35</v>
      </c>
      <c r="F2562" t="s">
        <v>10</v>
      </c>
      <c r="G2562" t="s">
        <v>23</v>
      </c>
      <c r="H2562">
        <v>640</v>
      </c>
      <c r="I2562">
        <v>46</v>
      </c>
      <c r="J2562" s="6">
        <f t="shared" si="197"/>
        <v>29.44</v>
      </c>
      <c r="K2562" t="s">
        <v>395</v>
      </c>
    </row>
    <row r="2563" spans="3:11" outlineLevel="2" x14ac:dyDescent="0.3">
      <c r="C2563" s="9">
        <v>45178</v>
      </c>
      <c r="D2563" t="s">
        <v>12</v>
      </c>
      <c r="E2563" t="s">
        <v>35</v>
      </c>
      <c r="F2563" t="s">
        <v>10</v>
      </c>
      <c r="G2563" t="s">
        <v>11</v>
      </c>
      <c r="H2563">
        <v>705</v>
      </c>
      <c r="I2563">
        <v>84</v>
      </c>
      <c r="J2563" s="6">
        <f t="shared" si="197"/>
        <v>59.22</v>
      </c>
      <c r="K2563" t="s">
        <v>395</v>
      </c>
    </row>
    <row r="2564" spans="3:11" outlineLevel="2" x14ac:dyDescent="0.3">
      <c r="C2564" s="9">
        <v>45178</v>
      </c>
      <c r="D2564" t="s">
        <v>17</v>
      </c>
      <c r="E2564" t="s">
        <v>35</v>
      </c>
      <c r="F2564" t="s">
        <v>18</v>
      </c>
      <c r="G2564" t="s">
        <v>31</v>
      </c>
      <c r="H2564">
        <v>715</v>
      </c>
      <c r="I2564">
        <v>14</v>
      </c>
      <c r="J2564" s="6">
        <f t="shared" si="197"/>
        <v>10.01</v>
      </c>
      <c r="K2564" t="s">
        <v>395</v>
      </c>
    </row>
    <row r="2565" spans="3:11" outlineLevel="1" x14ac:dyDescent="0.3">
      <c r="C2565" s="13" t="s">
        <v>266</v>
      </c>
      <c r="J2565" s="6">
        <f>SUBTOTAL(9,J2554:J2564)</f>
        <v>470.59500000000003</v>
      </c>
      <c r="K2565" t="s">
        <v>395</v>
      </c>
    </row>
    <row r="2566" spans="3:11" outlineLevel="2" x14ac:dyDescent="0.3">
      <c r="C2566" s="9">
        <v>45179</v>
      </c>
      <c r="D2566" t="s">
        <v>8</v>
      </c>
      <c r="E2566" t="s">
        <v>20</v>
      </c>
      <c r="F2566" t="s">
        <v>13</v>
      </c>
      <c r="G2566" t="s">
        <v>38</v>
      </c>
      <c r="H2566">
        <v>2400</v>
      </c>
      <c r="I2566">
        <v>12</v>
      </c>
      <c r="J2566" s="6">
        <f>H2566*I2566/1000</f>
        <v>28.8</v>
      </c>
      <c r="K2566" t="s">
        <v>395</v>
      </c>
    </row>
    <row r="2567" spans="3:11" outlineLevel="2" x14ac:dyDescent="0.3">
      <c r="C2567" s="9">
        <v>45179</v>
      </c>
      <c r="D2567" t="s">
        <v>8</v>
      </c>
      <c r="E2567" t="s">
        <v>9</v>
      </c>
      <c r="F2567" t="s">
        <v>13</v>
      </c>
      <c r="G2567" t="s">
        <v>38</v>
      </c>
      <c r="H2567">
        <v>2400</v>
      </c>
      <c r="I2567">
        <v>51</v>
      </c>
      <c r="J2567" s="6">
        <f>H2567*I2567/1000</f>
        <v>122.4</v>
      </c>
      <c r="K2567" t="s">
        <v>395</v>
      </c>
    </row>
    <row r="2568" spans="3:11" outlineLevel="2" x14ac:dyDescent="0.3">
      <c r="C2568" s="9">
        <v>45179</v>
      </c>
      <c r="D2568" t="s">
        <v>17</v>
      </c>
      <c r="E2568" t="s">
        <v>15</v>
      </c>
      <c r="F2568" t="s">
        <v>13</v>
      </c>
      <c r="G2568" t="s">
        <v>14</v>
      </c>
      <c r="H2568">
        <v>1320</v>
      </c>
      <c r="I2568">
        <v>21</v>
      </c>
      <c r="J2568" s="6">
        <f>H2568*I2568/1000</f>
        <v>27.72</v>
      </c>
      <c r="K2568" t="s">
        <v>395</v>
      </c>
    </row>
    <row r="2569" spans="3:11" outlineLevel="2" x14ac:dyDescent="0.3">
      <c r="C2569" s="9">
        <v>45179</v>
      </c>
      <c r="D2569" t="s">
        <v>17</v>
      </c>
      <c r="E2569" t="s">
        <v>15</v>
      </c>
      <c r="F2569" t="s">
        <v>24</v>
      </c>
      <c r="G2569" t="s">
        <v>30</v>
      </c>
      <c r="H2569">
        <v>2970</v>
      </c>
      <c r="I2569">
        <v>45</v>
      </c>
      <c r="J2569" s="6">
        <f>H2569*I2569/1000</f>
        <v>133.65</v>
      </c>
      <c r="K2569" t="s">
        <v>395</v>
      </c>
    </row>
    <row r="2570" spans="3:11" outlineLevel="2" x14ac:dyDescent="0.3">
      <c r="C2570" s="9">
        <v>45179</v>
      </c>
      <c r="D2570" t="s">
        <v>17</v>
      </c>
      <c r="E2570" t="s">
        <v>33</v>
      </c>
      <c r="F2570" t="s">
        <v>18</v>
      </c>
      <c r="G2570" t="s">
        <v>31</v>
      </c>
      <c r="H2570">
        <v>715</v>
      </c>
      <c r="I2570">
        <v>82</v>
      </c>
      <c r="J2570" s="6">
        <f>H2570*I2570/1000</f>
        <v>58.63</v>
      </c>
      <c r="K2570" t="s">
        <v>395</v>
      </c>
    </row>
    <row r="2571" spans="3:11" outlineLevel="1" x14ac:dyDescent="0.3">
      <c r="C2571" s="13" t="s">
        <v>267</v>
      </c>
      <c r="J2571" s="6">
        <f>SUBTOTAL(9,J2566:J2570)</f>
        <v>371.20000000000005</v>
      </c>
      <c r="K2571" t="s">
        <v>395</v>
      </c>
    </row>
    <row r="2572" spans="3:11" outlineLevel="2" x14ac:dyDescent="0.3">
      <c r="C2572" s="9">
        <v>45180</v>
      </c>
      <c r="D2572" t="s">
        <v>17</v>
      </c>
      <c r="E2572" t="s">
        <v>26</v>
      </c>
      <c r="F2572" t="s">
        <v>18</v>
      </c>
      <c r="G2572" t="s">
        <v>21</v>
      </c>
      <c r="H2572">
        <v>450</v>
      </c>
      <c r="I2572">
        <v>92</v>
      </c>
      <c r="J2572" s="6">
        <f>H2572*I2572/1000</f>
        <v>41.4</v>
      </c>
      <c r="K2572" t="s">
        <v>395</v>
      </c>
    </row>
    <row r="2573" spans="3:11" outlineLevel="2" x14ac:dyDescent="0.3">
      <c r="C2573" s="9">
        <v>45180</v>
      </c>
      <c r="D2573" t="s">
        <v>45</v>
      </c>
      <c r="E2573" t="s">
        <v>15</v>
      </c>
      <c r="F2573" t="s">
        <v>10</v>
      </c>
      <c r="G2573" t="s">
        <v>39</v>
      </c>
      <c r="H2573">
        <v>650</v>
      </c>
      <c r="I2573">
        <v>7</v>
      </c>
      <c r="J2573" s="6">
        <f>H2573*I2573/1000</f>
        <v>4.55</v>
      </c>
      <c r="K2573" t="s">
        <v>395</v>
      </c>
    </row>
    <row r="2574" spans="3:11" outlineLevel="2" x14ac:dyDescent="0.3">
      <c r="C2574" s="9">
        <v>45180</v>
      </c>
      <c r="D2574" t="s">
        <v>8</v>
      </c>
      <c r="E2574" t="s">
        <v>15</v>
      </c>
      <c r="F2574" t="s">
        <v>18</v>
      </c>
      <c r="G2574" t="s">
        <v>27</v>
      </c>
      <c r="H2574">
        <v>460</v>
      </c>
      <c r="I2574">
        <v>78</v>
      </c>
      <c r="J2574" s="6">
        <f>H2574*I2574/1000</f>
        <v>35.880000000000003</v>
      </c>
      <c r="K2574" t="s">
        <v>395</v>
      </c>
    </row>
    <row r="2575" spans="3:11" outlineLevel="2" x14ac:dyDescent="0.3">
      <c r="C2575" s="9">
        <v>45180</v>
      </c>
      <c r="D2575" t="s">
        <v>12</v>
      </c>
      <c r="E2575" t="s">
        <v>15</v>
      </c>
      <c r="F2575" t="s">
        <v>13</v>
      </c>
      <c r="G2575" t="s">
        <v>29</v>
      </c>
      <c r="H2575">
        <v>1230</v>
      </c>
      <c r="I2575">
        <v>72</v>
      </c>
      <c r="J2575" s="6">
        <f>H2575*I2575/1000</f>
        <v>88.56</v>
      </c>
      <c r="K2575" t="s">
        <v>395</v>
      </c>
    </row>
    <row r="2576" spans="3:11" outlineLevel="2" x14ac:dyDescent="0.3">
      <c r="C2576" s="9">
        <v>45180</v>
      </c>
      <c r="D2576" t="s">
        <v>8</v>
      </c>
      <c r="E2576" t="s">
        <v>35</v>
      </c>
      <c r="F2576" t="s">
        <v>24</v>
      </c>
      <c r="G2576" t="s">
        <v>42</v>
      </c>
      <c r="H2576">
        <v>3205</v>
      </c>
      <c r="I2576">
        <v>89</v>
      </c>
      <c r="J2576" s="6">
        <f>H2576*I2576/1000</f>
        <v>285.245</v>
      </c>
      <c r="K2576" t="s">
        <v>395</v>
      </c>
    </row>
    <row r="2577" spans="3:11" outlineLevel="1" x14ac:dyDescent="0.3">
      <c r="C2577" s="13" t="s">
        <v>268</v>
      </c>
      <c r="J2577" s="6">
        <f>SUBTOTAL(9,J2572:J2576)</f>
        <v>455.63499999999999</v>
      </c>
      <c r="K2577" t="s">
        <v>395</v>
      </c>
    </row>
    <row r="2578" spans="3:11" outlineLevel="2" x14ac:dyDescent="0.3">
      <c r="C2578" s="9">
        <v>45181</v>
      </c>
      <c r="D2578" t="s">
        <v>12</v>
      </c>
      <c r="E2578" t="s">
        <v>20</v>
      </c>
      <c r="F2578" t="s">
        <v>13</v>
      </c>
      <c r="G2578" t="s">
        <v>44</v>
      </c>
      <c r="H2578">
        <v>2540</v>
      </c>
      <c r="I2578">
        <v>37</v>
      </c>
      <c r="J2578" s="6">
        <f t="shared" ref="J2578:J2586" si="198">H2578*I2578/1000</f>
        <v>93.98</v>
      </c>
      <c r="K2578" t="s">
        <v>395</v>
      </c>
    </row>
    <row r="2579" spans="3:11" outlineLevel="2" x14ac:dyDescent="0.3">
      <c r="C2579" s="9">
        <v>45181</v>
      </c>
      <c r="D2579" t="s">
        <v>12</v>
      </c>
      <c r="E2579" t="s">
        <v>20</v>
      </c>
      <c r="F2579" t="s">
        <v>24</v>
      </c>
      <c r="G2579" t="s">
        <v>36</v>
      </c>
      <c r="H2579">
        <v>2460</v>
      </c>
      <c r="I2579">
        <v>48</v>
      </c>
      <c r="J2579" s="6">
        <f t="shared" si="198"/>
        <v>118.08</v>
      </c>
      <c r="K2579" t="s">
        <v>395</v>
      </c>
    </row>
    <row r="2580" spans="3:11" outlineLevel="2" x14ac:dyDescent="0.3">
      <c r="C2580" s="9">
        <v>45181</v>
      </c>
      <c r="D2580" t="s">
        <v>8</v>
      </c>
      <c r="E2580" t="s">
        <v>15</v>
      </c>
      <c r="F2580" t="s">
        <v>18</v>
      </c>
      <c r="G2580" t="s">
        <v>21</v>
      </c>
      <c r="H2580">
        <v>450</v>
      </c>
      <c r="I2580">
        <v>55</v>
      </c>
      <c r="J2580" s="6">
        <f t="shared" si="198"/>
        <v>24.75</v>
      </c>
      <c r="K2580" t="s">
        <v>395</v>
      </c>
    </row>
    <row r="2581" spans="3:11" outlineLevel="2" x14ac:dyDescent="0.3">
      <c r="C2581" s="9">
        <v>45181</v>
      </c>
      <c r="D2581" t="s">
        <v>8</v>
      </c>
      <c r="E2581" t="s">
        <v>15</v>
      </c>
      <c r="F2581" t="s">
        <v>24</v>
      </c>
      <c r="G2581" t="s">
        <v>36</v>
      </c>
      <c r="H2581">
        <v>2460</v>
      </c>
      <c r="I2581">
        <v>50</v>
      </c>
      <c r="J2581" s="6">
        <f t="shared" si="198"/>
        <v>123</v>
      </c>
      <c r="K2581" t="s">
        <v>395</v>
      </c>
    </row>
    <row r="2582" spans="3:11" outlineLevel="2" x14ac:dyDescent="0.3">
      <c r="C2582" s="9">
        <v>45181</v>
      </c>
      <c r="D2582" t="s">
        <v>17</v>
      </c>
      <c r="E2582" t="s">
        <v>33</v>
      </c>
      <c r="F2582" t="s">
        <v>18</v>
      </c>
      <c r="G2582" t="s">
        <v>37</v>
      </c>
      <c r="H2582">
        <v>890</v>
      </c>
      <c r="I2582">
        <v>9</v>
      </c>
      <c r="J2582" s="6">
        <f t="shared" si="198"/>
        <v>8.01</v>
      </c>
      <c r="K2582" t="s">
        <v>395</v>
      </c>
    </row>
    <row r="2583" spans="3:11" outlineLevel="2" x14ac:dyDescent="0.3">
      <c r="C2583" s="9">
        <v>45181</v>
      </c>
      <c r="D2583" t="s">
        <v>8</v>
      </c>
      <c r="E2583" t="s">
        <v>35</v>
      </c>
      <c r="F2583" t="s">
        <v>10</v>
      </c>
      <c r="G2583" t="s">
        <v>11</v>
      </c>
      <c r="H2583">
        <v>705</v>
      </c>
      <c r="I2583">
        <v>21</v>
      </c>
      <c r="J2583" s="6">
        <f t="shared" si="198"/>
        <v>14.805</v>
      </c>
      <c r="K2583" t="s">
        <v>395</v>
      </c>
    </row>
    <row r="2584" spans="3:11" outlineLevel="2" x14ac:dyDescent="0.3">
      <c r="C2584" s="9">
        <v>45181</v>
      </c>
      <c r="D2584" t="s">
        <v>45</v>
      </c>
      <c r="E2584" t="s">
        <v>35</v>
      </c>
      <c r="F2584" t="s">
        <v>18</v>
      </c>
      <c r="G2584" t="s">
        <v>27</v>
      </c>
      <c r="H2584">
        <v>460</v>
      </c>
      <c r="I2584">
        <v>7</v>
      </c>
      <c r="J2584" s="6">
        <f t="shared" si="198"/>
        <v>3.22</v>
      </c>
      <c r="K2584" t="s">
        <v>395</v>
      </c>
    </row>
    <row r="2585" spans="3:11" outlineLevel="2" x14ac:dyDescent="0.3">
      <c r="C2585" s="9">
        <v>45181</v>
      </c>
      <c r="D2585" t="s">
        <v>17</v>
      </c>
      <c r="E2585" t="s">
        <v>35</v>
      </c>
      <c r="F2585" t="s">
        <v>18</v>
      </c>
      <c r="G2585" t="s">
        <v>19</v>
      </c>
      <c r="H2585">
        <v>325</v>
      </c>
      <c r="I2585">
        <v>76</v>
      </c>
      <c r="J2585" s="6">
        <f t="shared" si="198"/>
        <v>24.7</v>
      </c>
      <c r="K2585" t="s">
        <v>395</v>
      </c>
    </row>
    <row r="2586" spans="3:11" outlineLevel="2" x14ac:dyDescent="0.3">
      <c r="C2586" s="9">
        <v>45181</v>
      </c>
      <c r="D2586" t="s">
        <v>8</v>
      </c>
      <c r="E2586" t="s">
        <v>35</v>
      </c>
      <c r="F2586" t="s">
        <v>13</v>
      </c>
      <c r="G2586" t="s">
        <v>14</v>
      </c>
      <c r="H2586">
        <v>1320</v>
      </c>
      <c r="I2586">
        <v>60</v>
      </c>
      <c r="J2586" s="6">
        <f t="shared" si="198"/>
        <v>79.2</v>
      </c>
      <c r="K2586" t="s">
        <v>395</v>
      </c>
    </row>
    <row r="2587" spans="3:11" outlineLevel="1" x14ac:dyDescent="0.3">
      <c r="C2587" s="13" t="s">
        <v>269</v>
      </c>
      <c r="J2587" s="6">
        <f>SUBTOTAL(9,J2578:J2586)</f>
        <v>489.745</v>
      </c>
      <c r="K2587" t="s">
        <v>395</v>
      </c>
    </row>
    <row r="2588" spans="3:11" outlineLevel="2" x14ac:dyDescent="0.3">
      <c r="C2588" s="9">
        <v>45182</v>
      </c>
      <c r="D2588" t="s">
        <v>45</v>
      </c>
      <c r="E2588" t="s">
        <v>20</v>
      </c>
      <c r="F2588" t="s">
        <v>10</v>
      </c>
      <c r="G2588" t="s">
        <v>11</v>
      </c>
      <c r="H2588">
        <v>705</v>
      </c>
      <c r="I2588">
        <v>35</v>
      </c>
      <c r="J2588" s="6">
        <f t="shared" ref="J2588:J2597" si="199">H2588*I2588/1000</f>
        <v>24.675000000000001</v>
      </c>
      <c r="K2588" t="s">
        <v>395</v>
      </c>
    </row>
    <row r="2589" spans="3:11" outlineLevel="2" x14ac:dyDescent="0.3">
      <c r="C2589" s="9">
        <v>45182</v>
      </c>
      <c r="D2589" t="s">
        <v>8</v>
      </c>
      <c r="E2589" t="s">
        <v>20</v>
      </c>
      <c r="F2589" t="s">
        <v>13</v>
      </c>
      <c r="G2589" t="s">
        <v>22</v>
      </c>
      <c r="H2589">
        <v>930</v>
      </c>
      <c r="I2589">
        <v>93</v>
      </c>
      <c r="J2589" s="6">
        <f t="shared" si="199"/>
        <v>86.49</v>
      </c>
      <c r="K2589" t="s">
        <v>395</v>
      </c>
    </row>
    <row r="2590" spans="3:11" outlineLevel="2" x14ac:dyDescent="0.3">
      <c r="C2590" s="9">
        <v>45182</v>
      </c>
      <c r="D2590" t="s">
        <v>8</v>
      </c>
      <c r="E2590" t="s">
        <v>9</v>
      </c>
      <c r="F2590" t="s">
        <v>24</v>
      </c>
      <c r="G2590" t="s">
        <v>32</v>
      </c>
      <c r="H2590">
        <v>1505</v>
      </c>
      <c r="I2590">
        <v>74</v>
      </c>
      <c r="J2590" s="6">
        <f t="shared" si="199"/>
        <v>111.37</v>
      </c>
      <c r="K2590" t="s">
        <v>395</v>
      </c>
    </row>
    <row r="2591" spans="3:11" outlineLevel="2" x14ac:dyDescent="0.3">
      <c r="C2591" s="9">
        <v>45182</v>
      </c>
      <c r="D2591" t="s">
        <v>17</v>
      </c>
      <c r="E2591" t="s">
        <v>26</v>
      </c>
      <c r="F2591" t="s">
        <v>18</v>
      </c>
      <c r="G2591" t="s">
        <v>37</v>
      </c>
      <c r="H2591">
        <v>890</v>
      </c>
      <c r="I2591">
        <v>46</v>
      </c>
      <c r="J2591" s="6">
        <f t="shared" si="199"/>
        <v>40.94</v>
      </c>
      <c r="K2591" t="s">
        <v>395</v>
      </c>
    </row>
    <row r="2592" spans="3:11" outlineLevel="2" x14ac:dyDescent="0.3">
      <c r="C2592" s="9">
        <v>45182</v>
      </c>
      <c r="D2592" t="s">
        <v>17</v>
      </c>
      <c r="E2592" t="s">
        <v>26</v>
      </c>
      <c r="F2592" t="s">
        <v>24</v>
      </c>
      <c r="G2592" t="s">
        <v>32</v>
      </c>
      <c r="H2592">
        <v>1505</v>
      </c>
      <c r="I2592">
        <v>76</v>
      </c>
      <c r="J2592" s="6">
        <f t="shared" si="199"/>
        <v>114.38</v>
      </c>
      <c r="K2592" t="s">
        <v>395</v>
      </c>
    </row>
    <row r="2593" spans="3:11" outlineLevel="2" x14ac:dyDescent="0.3">
      <c r="C2593" s="9">
        <v>45182</v>
      </c>
      <c r="D2593" t="s">
        <v>12</v>
      </c>
      <c r="E2593" t="s">
        <v>26</v>
      </c>
      <c r="F2593" t="s">
        <v>24</v>
      </c>
      <c r="G2593" t="s">
        <v>34</v>
      </c>
      <c r="H2593">
        <v>1670</v>
      </c>
      <c r="I2593">
        <v>83</v>
      </c>
      <c r="J2593" s="6">
        <f t="shared" si="199"/>
        <v>138.61000000000001</v>
      </c>
      <c r="K2593" t="s">
        <v>395</v>
      </c>
    </row>
    <row r="2594" spans="3:11" outlineLevel="2" x14ac:dyDescent="0.3">
      <c r="C2594" s="9">
        <v>45182</v>
      </c>
      <c r="D2594" t="s">
        <v>45</v>
      </c>
      <c r="E2594" t="s">
        <v>15</v>
      </c>
      <c r="F2594" t="s">
        <v>13</v>
      </c>
      <c r="G2594" t="s">
        <v>43</v>
      </c>
      <c r="H2594">
        <v>1420</v>
      </c>
      <c r="I2594">
        <v>11</v>
      </c>
      <c r="J2594" s="6">
        <f t="shared" si="199"/>
        <v>15.62</v>
      </c>
      <c r="K2594" t="s">
        <v>395</v>
      </c>
    </row>
    <row r="2595" spans="3:11" outlineLevel="2" x14ac:dyDescent="0.3">
      <c r="C2595" s="9">
        <v>45182</v>
      </c>
      <c r="D2595" t="s">
        <v>8</v>
      </c>
      <c r="E2595" t="s">
        <v>15</v>
      </c>
      <c r="F2595" t="s">
        <v>13</v>
      </c>
      <c r="G2595" t="s">
        <v>22</v>
      </c>
      <c r="H2595">
        <v>930</v>
      </c>
      <c r="I2595">
        <v>47</v>
      </c>
      <c r="J2595" s="6">
        <f t="shared" si="199"/>
        <v>43.71</v>
      </c>
      <c r="K2595" t="s">
        <v>395</v>
      </c>
    </row>
    <row r="2596" spans="3:11" outlineLevel="2" x14ac:dyDescent="0.3">
      <c r="C2596" s="9">
        <v>45182</v>
      </c>
      <c r="D2596" t="s">
        <v>8</v>
      </c>
      <c r="E2596" t="s">
        <v>15</v>
      </c>
      <c r="F2596" t="s">
        <v>13</v>
      </c>
      <c r="G2596" t="s">
        <v>29</v>
      </c>
      <c r="H2596">
        <v>1230</v>
      </c>
      <c r="I2596">
        <v>32</v>
      </c>
      <c r="J2596" s="6">
        <f t="shared" si="199"/>
        <v>39.36</v>
      </c>
      <c r="K2596" t="s">
        <v>395</v>
      </c>
    </row>
    <row r="2597" spans="3:11" outlineLevel="2" x14ac:dyDescent="0.3">
      <c r="C2597" s="9">
        <v>45182</v>
      </c>
      <c r="D2597" t="s">
        <v>12</v>
      </c>
      <c r="E2597" t="s">
        <v>15</v>
      </c>
      <c r="F2597" t="s">
        <v>24</v>
      </c>
      <c r="G2597" t="s">
        <v>25</v>
      </c>
      <c r="H2597">
        <v>1760</v>
      </c>
      <c r="I2597">
        <v>33</v>
      </c>
      <c r="J2597" s="6">
        <f t="shared" si="199"/>
        <v>58.08</v>
      </c>
      <c r="K2597" t="s">
        <v>395</v>
      </c>
    </row>
    <row r="2598" spans="3:11" outlineLevel="1" x14ac:dyDescent="0.3">
      <c r="C2598" s="13" t="s">
        <v>270</v>
      </c>
      <c r="J2598" s="6">
        <f>SUBTOTAL(9,J2588:J2597)</f>
        <v>673.23500000000013</v>
      </c>
      <c r="K2598" t="s">
        <v>395</v>
      </c>
    </row>
    <row r="2599" spans="3:11" outlineLevel="2" x14ac:dyDescent="0.3">
      <c r="C2599" s="9">
        <v>45183</v>
      </c>
      <c r="D2599" t="s">
        <v>12</v>
      </c>
      <c r="E2599" t="s">
        <v>9</v>
      </c>
      <c r="F2599" t="s">
        <v>18</v>
      </c>
      <c r="G2599" t="s">
        <v>21</v>
      </c>
      <c r="H2599">
        <v>450</v>
      </c>
      <c r="I2599">
        <v>97</v>
      </c>
      <c r="J2599" s="6">
        <f t="shared" ref="J2599:J2611" si="200">H2599*I2599/1000</f>
        <v>43.65</v>
      </c>
      <c r="K2599" t="s">
        <v>395</v>
      </c>
    </row>
    <row r="2600" spans="3:11" outlineLevel="2" x14ac:dyDescent="0.3">
      <c r="C2600" s="9">
        <v>45183</v>
      </c>
      <c r="D2600" t="s">
        <v>45</v>
      </c>
      <c r="E2600" t="s">
        <v>9</v>
      </c>
      <c r="F2600" t="s">
        <v>18</v>
      </c>
      <c r="G2600" t="s">
        <v>27</v>
      </c>
      <c r="H2600">
        <v>460</v>
      </c>
      <c r="I2600">
        <v>88</v>
      </c>
      <c r="J2600" s="6">
        <f t="shared" si="200"/>
        <v>40.479999999999997</v>
      </c>
      <c r="K2600" t="s">
        <v>395</v>
      </c>
    </row>
    <row r="2601" spans="3:11" outlineLevel="2" x14ac:dyDescent="0.3">
      <c r="C2601" s="9">
        <v>45183</v>
      </c>
      <c r="D2601" t="s">
        <v>17</v>
      </c>
      <c r="E2601" t="s">
        <v>9</v>
      </c>
      <c r="F2601" t="s">
        <v>13</v>
      </c>
      <c r="G2601" t="s">
        <v>29</v>
      </c>
      <c r="H2601">
        <v>1230</v>
      </c>
      <c r="I2601">
        <v>97</v>
      </c>
      <c r="J2601" s="6">
        <f t="shared" si="200"/>
        <v>119.31</v>
      </c>
      <c r="K2601" t="s">
        <v>395</v>
      </c>
    </row>
    <row r="2602" spans="3:11" outlineLevel="2" x14ac:dyDescent="0.3">
      <c r="C2602" s="9">
        <v>45183</v>
      </c>
      <c r="D2602" t="s">
        <v>45</v>
      </c>
      <c r="E2602" t="s">
        <v>9</v>
      </c>
      <c r="F2602" t="s">
        <v>13</v>
      </c>
      <c r="G2602" t="s">
        <v>14</v>
      </c>
      <c r="H2602">
        <v>1320</v>
      </c>
      <c r="I2602">
        <v>74</v>
      </c>
      <c r="J2602" s="6">
        <f t="shared" si="200"/>
        <v>97.68</v>
      </c>
      <c r="K2602" t="s">
        <v>395</v>
      </c>
    </row>
    <row r="2603" spans="3:11" outlineLevel="2" x14ac:dyDescent="0.3">
      <c r="C2603" s="9">
        <v>45183</v>
      </c>
      <c r="D2603" t="s">
        <v>12</v>
      </c>
      <c r="E2603" t="s">
        <v>26</v>
      </c>
      <c r="F2603" t="s">
        <v>10</v>
      </c>
      <c r="G2603" t="s">
        <v>39</v>
      </c>
      <c r="H2603">
        <v>650</v>
      </c>
      <c r="I2603">
        <v>54</v>
      </c>
      <c r="J2603" s="6">
        <f t="shared" si="200"/>
        <v>35.1</v>
      </c>
      <c r="K2603" t="s">
        <v>395</v>
      </c>
    </row>
    <row r="2604" spans="3:11" outlineLevel="2" x14ac:dyDescent="0.3">
      <c r="C2604" s="9">
        <v>45183</v>
      </c>
      <c r="D2604" t="s">
        <v>8</v>
      </c>
      <c r="E2604" t="s">
        <v>26</v>
      </c>
      <c r="F2604" t="s">
        <v>13</v>
      </c>
      <c r="G2604" t="s">
        <v>44</v>
      </c>
      <c r="H2604">
        <v>2540</v>
      </c>
      <c r="I2604">
        <v>9</v>
      </c>
      <c r="J2604" s="6">
        <f t="shared" si="200"/>
        <v>22.86</v>
      </c>
      <c r="K2604" t="s">
        <v>395</v>
      </c>
    </row>
    <row r="2605" spans="3:11" outlineLevel="2" x14ac:dyDescent="0.3">
      <c r="C2605" s="9">
        <v>45183</v>
      </c>
      <c r="D2605" t="s">
        <v>45</v>
      </c>
      <c r="E2605" t="s">
        <v>15</v>
      </c>
      <c r="F2605" t="s">
        <v>13</v>
      </c>
      <c r="G2605" t="s">
        <v>38</v>
      </c>
      <c r="H2605">
        <v>2400</v>
      </c>
      <c r="I2605">
        <v>45</v>
      </c>
      <c r="J2605" s="6">
        <f t="shared" si="200"/>
        <v>108</v>
      </c>
      <c r="K2605" t="s">
        <v>395</v>
      </c>
    </row>
    <row r="2606" spans="3:11" outlineLevel="2" x14ac:dyDescent="0.3">
      <c r="C2606" s="9">
        <v>45183</v>
      </c>
      <c r="D2606" t="s">
        <v>12</v>
      </c>
      <c r="E2606" t="s">
        <v>33</v>
      </c>
      <c r="F2606" t="s">
        <v>10</v>
      </c>
      <c r="G2606" t="s">
        <v>39</v>
      </c>
      <c r="H2606">
        <v>650</v>
      </c>
      <c r="I2606">
        <v>86</v>
      </c>
      <c r="J2606" s="6">
        <f t="shared" si="200"/>
        <v>55.9</v>
      </c>
      <c r="K2606" t="s">
        <v>395</v>
      </c>
    </row>
    <row r="2607" spans="3:11" outlineLevel="2" x14ac:dyDescent="0.3">
      <c r="C2607" s="9">
        <v>45183</v>
      </c>
      <c r="D2607" t="s">
        <v>17</v>
      </c>
      <c r="E2607" t="s">
        <v>33</v>
      </c>
      <c r="F2607" t="s">
        <v>10</v>
      </c>
      <c r="G2607" t="s">
        <v>11</v>
      </c>
      <c r="H2607">
        <v>705</v>
      </c>
      <c r="I2607">
        <v>21</v>
      </c>
      <c r="J2607" s="6">
        <f t="shared" si="200"/>
        <v>14.805</v>
      </c>
      <c r="K2607" t="s">
        <v>395</v>
      </c>
    </row>
    <row r="2608" spans="3:11" outlineLevel="2" x14ac:dyDescent="0.3">
      <c r="C2608" s="9">
        <v>45183</v>
      </c>
      <c r="D2608" t="s">
        <v>8</v>
      </c>
      <c r="E2608" t="s">
        <v>33</v>
      </c>
      <c r="F2608" t="s">
        <v>10</v>
      </c>
      <c r="G2608" t="s">
        <v>40</v>
      </c>
      <c r="H2608">
        <v>540</v>
      </c>
      <c r="I2608">
        <v>98</v>
      </c>
      <c r="J2608" s="6">
        <f t="shared" si="200"/>
        <v>52.92</v>
      </c>
      <c r="K2608" t="s">
        <v>395</v>
      </c>
    </row>
    <row r="2609" spans="3:11" outlineLevel="2" x14ac:dyDescent="0.3">
      <c r="C2609" s="9">
        <v>45183</v>
      </c>
      <c r="D2609" t="s">
        <v>12</v>
      </c>
      <c r="E2609" t="s">
        <v>33</v>
      </c>
      <c r="F2609" t="s">
        <v>24</v>
      </c>
      <c r="G2609" t="s">
        <v>42</v>
      </c>
      <c r="H2609">
        <v>3205</v>
      </c>
      <c r="I2609">
        <v>21</v>
      </c>
      <c r="J2609" s="6">
        <f t="shared" si="200"/>
        <v>67.305000000000007</v>
      </c>
      <c r="K2609" t="s">
        <v>395</v>
      </c>
    </row>
    <row r="2610" spans="3:11" outlineLevel="2" x14ac:dyDescent="0.3">
      <c r="C2610" s="9">
        <v>45183</v>
      </c>
      <c r="D2610" t="s">
        <v>8</v>
      </c>
      <c r="E2610" t="s">
        <v>35</v>
      </c>
      <c r="F2610" t="s">
        <v>24</v>
      </c>
      <c r="G2610" t="s">
        <v>32</v>
      </c>
      <c r="H2610">
        <v>1505</v>
      </c>
      <c r="I2610">
        <v>65</v>
      </c>
      <c r="J2610" s="6">
        <f t="shared" si="200"/>
        <v>97.825000000000003</v>
      </c>
      <c r="K2610" t="s">
        <v>395</v>
      </c>
    </row>
    <row r="2611" spans="3:11" outlineLevel="2" x14ac:dyDescent="0.3">
      <c r="C2611" s="9">
        <v>45183</v>
      </c>
      <c r="D2611" t="s">
        <v>8</v>
      </c>
      <c r="E2611" t="s">
        <v>35</v>
      </c>
      <c r="F2611" t="s">
        <v>24</v>
      </c>
      <c r="G2611" t="s">
        <v>30</v>
      </c>
      <c r="H2611">
        <v>2970</v>
      </c>
      <c r="I2611">
        <v>17</v>
      </c>
      <c r="J2611" s="6">
        <f t="shared" si="200"/>
        <v>50.49</v>
      </c>
      <c r="K2611" t="s">
        <v>395</v>
      </c>
    </row>
    <row r="2612" spans="3:11" outlineLevel="1" x14ac:dyDescent="0.3">
      <c r="C2612" s="13" t="s">
        <v>271</v>
      </c>
      <c r="J2612" s="6">
        <f>SUBTOTAL(9,J2599:J2611)</f>
        <v>806.32500000000005</v>
      </c>
      <c r="K2612" t="s">
        <v>395</v>
      </c>
    </row>
    <row r="2613" spans="3:11" outlineLevel="2" x14ac:dyDescent="0.3">
      <c r="C2613" s="9">
        <v>45184</v>
      </c>
      <c r="D2613" t="s">
        <v>45</v>
      </c>
      <c r="E2613" t="s">
        <v>20</v>
      </c>
      <c r="F2613" t="s">
        <v>24</v>
      </c>
      <c r="G2613" t="s">
        <v>30</v>
      </c>
      <c r="H2613">
        <v>2970</v>
      </c>
      <c r="I2613">
        <v>69</v>
      </c>
      <c r="J2613" s="6">
        <f t="shared" ref="J2613:J2620" si="201">H2613*I2613/1000</f>
        <v>204.93</v>
      </c>
      <c r="K2613" t="s">
        <v>395</v>
      </c>
    </row>
    <row r="2614" spans="3:11" outlineLevel="2" x14ac:dyDescent="0.3">
      <c r="C2614" s="9">
        <v>45184</v>
      </c>
      <c r="D2614" t="s">
        <v>45</v>
      </c>
      <c r="E2614" t="s">
        <v>26</v>
      </c>
      <c r="F2614" t="s">
        <v>10</v>
      </c>
      <c r="G2614" t="s">
        <v>11</v>
      </c>
      <c r="H2614">
        <v>705</v>
      </c>
      <c r="I2614">
        <v>32</v>
      </c>
      <c r="J2614" s="6">
        <f t="shared" si="201"/>
        <v>22.56</v>
      </c>
      <c r="K2614" t="s">
        <v>395</v>
      </c>
    </row>
    <row r="2615" spans="3:11" outlineLevel="2" x14ac:dyDescent="0.3">
      <c r="C2615" s="9">
        <v>45184</v>
      </c>
      <c r="D2615" t="s">
        <v>45</v>
      </c>
      <c r="E2615" t="s">
        <v>26</v>
      </c>
      <c r="F2615" t="s">
        <v>13</v>
      </c>
      <c r="G2615" t="s">
        <v>14</v>
      </c>
      <c r="H2615">
        <v>1320</v>
      </c>
      <c r="I2615">
        <v>87</v>
      </c>
      <c r="J2615" s="6">
        <f t="shared" si="201"/>
        <v>114.84</v>
      </c>
      <c r="K2615" t="s">
        <v>395</v>
      </c>
    </row>
    <row r="2616" spans="3:11" outlineLevel="2" x14ac:dyDescent="0.3">
      <c r="C2616" s="9">
        <v>45184</v>
      </c>
      <c r="D2616" t="s">
        <v>45</v>
      </c>
      <c r="E2616" t="s">
        <v>26</v>
      </c>
      <c r="F2616" t="s">
        <v>13</v>
      </c>
      <c r="G2616" t="s">
        <v>22</v>
      </c>
      <c r="H2616">
        <v>930</v>
      </c>
      <c r="I2616">
        <v>27</v>
      </c>
      <c r="J2616" s="6">
        <f t="shared" si="201"/>
        <v>25.11</v>
      </c>
      <c r="K2616" t="s">
        <v>395</v>
      </c>
    </row>
    <row r="2617" spans="3:11" outlineLevel="2" x14ac:dyDescent="0.3">
      <c r="C2617" s="9">
        <v>45184</v>
      </c>
      <c r="D2617" t="s">
        <v>45</v>
      </c>
      <c r="E2617" t="s">
        <v>26</v>
      </c>
      <c r="F2617" t="s">
        <v>13</v>
      </c>
      <c r="G2617" t="s">
        <v>14</v>
      </c>
      <c r="H2617">
        <v>1320</v>
      </c>
      <c r="I2617">
        <v>98</v>
      </c>
      <c r="J2617" s="6">
        <f t="shared" si="201"/>
        <v>129.36000000000001</v>
      </c>
      <c r="K2617" t="s">
        <v>395</v>
      </c>
    </row>
    <row r="2618" spans="3:11" outlineLevel="2" x14ac:dyDescent="0.3">
      <c r="C2618" s="9">
        <v>45184</v>
      </c>
      <c r="D2618" t="s">
        <v>12</v>
      </c>
      <c r="E2618" t="s">
        <v>15</v>
      </c>
      <c r="F2618" t="s">
        <v>24</v>
      </c>
      <c r="G2618" t="s">
        <v>36</v>
      </c>
      <c r="H2618">
        <v>2460</v>
      </c>
      <c r="I2618">
        <v>57</v>
      </c>
      <c r="J2618" s="6">
        <f t="shared" si="201"/>
        <v>140.22</v>
      </c>
      <c r="K2618" t="s">
        <v>395</v>
      </c>
    </row>
    <row r="2619" spans="3:11" outlineLevel="2" x14ac:dyDescent="0.3">
      <c r="C2619" s="9">
        <v>45184</v>
      </c>
      <c r="D2619" t="s">
        <v>17</v>
      </c>
      <c r="E2619" t="s">
        <v>35</v>
      </c>
      <c r="F2619" t="s">
        <v>10</v>
      </c>
      <c r="G2619" t="s">
        <v>16</v>
      </c>
      <c r="H2619">
        <v>1380</v>
      </c>
      <c r="I2619">
        <v>57</v>
      </c>
      <c r="J2619" s="6">
        <f t="shared" si="201"/>
        <v>78.66</v>
      </c>
      <c r="K2619" t="s">
        <v>395</v>
      </c>
    </row>
    <row r="2620" spans="3:11" outlineLevel="2" x14ac:dyDescent="0.3">
      <c r="C2620" s="9">
        <v>45184</v>
      </c>
      <c r="D2620" t="s">
        <v>8</v>
      </c>
      <c r="E2620" t="s">
        <v>35</v>
      </c>
      <c r="F2620" t="s">
        <v>24</v>
      </c>
      <c r="G2620" t="s">
        <v>42</v>
      </c>
      <c r="H2620">
        <v>3205</v>
      </c>
      <c r="I2620">
        <v>24</v>
      </c>
      <c r="J2620" s="6">
        <f t="shared" si="201"/>
        <v>76.92</v>
      </c>
      <c r="K2620" t="s">
        <v>395</v>
      </c>
    </row>
    <row r="2621" spans="3:11" outlineLevel="1" x14ac:dyDescent="0.3">
      <c r="C2621" s="13" t="s">
        <v>272</v>
      </c>
      <c r="J2621" s="6">
        <f>SUBTOTAL(9,J2613:J2620)</f>
        <v>792.6</v>
      </c>
      <c r="K2621" t="s">
        <v>395</v>
      </c>
    </row>
    <row r="2622" spans="3:11" outlineLevel="2" x14ac:dyDescent="0.3">
      <c r="C2622" s="9">
        <v>45185</v>
      </c>
      <c r="D2622" t="s">
        <v>8</v>
      </c>
      <c r="E2622" t="s">
        <v>20</v>
      </c>
      <c r="F2622" t="s">
        <v>10</v>
      </c>
      <c r="G2622" t="s">
        <v>16</v>
      </c>
      <c r="H2622">
        <v>1380</v>
      </c>
      <c r="I2622">
        <v>40</v>
      </c>
      <c r="J2622" s="6">
        <f t="shared" ref="J2622:J2629" si="202">H2622*I2622/1000</f>
        <v>55.2</v>
      </c>
      <c r="K2622" t="s">
        <v>395</v>
      </c>
    </row>
    <row r="2623" spans="3:11" outlineLevel="2" x14ac:dyDescent="0.3">
      <c r="C2623" s="9">
        <v>45185</v>
      </c>
      <c r="D2623" t="s">
        <v>12</v>
      </c>
      <c r="E2623" t="s">
        <v>20</v>
      </c>
      <c r="F2623" t="s">
        <v>18</v>
      </c>
      <c r="G2623" t="s">
        <v>19</v>
      </c>
      <c r="H2623">
        <v>325</v>
      </c>
      <c r="I2623">
        <v>72</v>
      </c>
      <c r="J2623" s="6">
        <f t="shared" si="202"/>
        <v>23.4</v>
      </c>
      <c r="K2623" t="s">
        <v>395</v>
      </c>
    </row>
    <row r="2624" spans="3:11" outlineLevel="2" x14ac:dyDescent="0.3">
      <c r="C2624" s="9">
        <v>45185</v>
      </c>
      <c r="D2624" t="s">
        <v>45</v>
      </c>
      <c r="E2624" t="s">
        <v>26</v>
      </c>
      <c r="F2624" t="s">
        <v>10</v>
      </c>
      <c r="G2624" t="s">
        <v>11</v>
      </c>
      <c r="H2624">
        <v>705</v>
      </c>
      <c r="I2624">
        <v>42</v>
      </c>
      <c r="J2624" s="6">
        <f t="shared" si="202"/>
        <v>29.61</v>
      </c>
      <c r="K2624" t="s">
        <v>395</v>
      </c>
    </row>
    <row r="2625" spans="3:11" outlineLevel="2" x14ac:dyDescent="0.3">
      <c r="C2625" s="9">
        <v>45185</v>
      </c>
      <c r="D2625" t="s">
        <v>8</v>
      </c>
      <c r="E2625" t="s">
        <v>26</v>
      </c>
      <c r="F2625" t="s">
        <v>10</v>
      </c>
      <c r="G2625" t="s">
        <v>41</v>
      </c>
      <c r="H2625">
        <v>650</v>
      </c>
      <c r="I2625">
        <v>16</v>
      </c>
      <c r="J2625" s="6">
        <f t="shared" si="202"/>
        <v>10.4</v>
      </c>
      <c r="K2625" t="s">
        <v>395</v>
      </c>
    </row>
    <row r="2626" spans="3:11" outlineLevel="2" x14ac:dyDescent="0.3">
      <c r="C2626" s="9">
        <v>45185</v>
      </c>
      <c r="D2626" t="s">
        <v>12</v>
      </c>
      <c r="E2626" t="s">
        <v>15</v>
      </c>
      <c r="F2626" t="s">
        <v>13</v>
      </c>
      <c r="G2626" t="s">
        <v>29</v>
      </c>
      <c r="H2626">
        <v>1230</v>
      </c>
      <c r="I2626">
        <v>38</v>
      </c>
      <c r="J2626" s="6">
        <f t="shared" si="202"/>
        <v>46.74</v>
      </c>
      <c r="K2626" t="s">
        <v>395</v>
      </c>
    </row>
    <row r="2627" spans="3:11" outlineLevel="2" x14ac:dyDescent="0.3">
      <c r="C2627" s="9">
        <v>45185</v>
      </c>
      <c r="D2627" t="s">
        <v>17</v>
      </c>
      <c r="E2627" t="s">
        <v>33</v>
      </c>
      <c r="F2627" t="s">
        <v>24</v>
      </c>
      <c r="G2627" t="s">
        <v>32</v>
      </c>
      <c r="H2627">
        <v>1505</v>
      </c>
      <c r="I2627">
        <v>88</v>
      </c>
      <c r="J2627" s="6">
        <f t="shared" si="202"/>
        <v>132.44</v>
      </c>
      <c r="K2627" t="s">
        <v>395</v>
      </c>
    </row>
    <row r="2628" spans="3:11" outlineLevel="2" x14ac:dyDescent="0.3">
      <c r="C2628" s="9">
        <v>45185</v>
      </c>
      <c r="D2628" t="s">
        <v>12</v>
      </c>
      <c r="E2628" t="s">
        <v>35</v>
      </c>
      <c r="F2628" t="s">
        <v>10</v>
      </c>
      <c r="G2628" t="s">
        <v>39</v>
      </c>
      <c r="H2628">
        <v>650</v>
      </c>
      <c r="I2628">
        <v>31</v>
      </c>
      <c r="J2628" s="6">
        <f t="shared" si="202"/>
        <v>20.149999999999999</v>
      </c>
      <c r="K2628" t="s">
        <v>395</v>
      </c>
    </row>
    <row r="2629" spans="3:11" outlineLevel="2" x14ac:dyDescent="0.3">
      <c r="C2629" s="9">
        <v>45185</v>
      </c>
      <c r="D2629" t="s">
        <v>45</v>
      </c>
      <c r="E2629" t="s">
        <v>35</v>
      </c>
      <c r="F2629" t="s">
        <v>24</v>
      </c>
      <c r="G2629" t="s">
        <v>25</v>
      </c>
      <c r="H2629">
        <v>1760</v>
      </c>
      <c r="I2629">
        <v>71</v>
      </c>
      <c r="J2629" s="6">
        <f t="shared" si="202"/>
        <v>124.96</v>
      </c>
      <c r="K2629" t="s">
        <v>395</v>
      </c>
    </row>
    <row r="2630" spans="3:11" outlineLevel="1" x14ac:dyDescent="0.3">
      <c r="C2630" s="13" t="s">
        <v>273</v>
      </c>
      <c r="J2630" s="6">
        <f>SUBTOTAL(9,J2622:J2629)</f>
        <v>442.89999999999992</v>
      </c>
      <c r="K2630" t="s">
        <v>395</v>
      </c>
    </row>
    <row r="2631" spans="3:11" outlineLevel="2" x14ac:dyDescent="0.3">
      <c r="C2631" s="9">
        <v>45186</v>
      </c>
      <c r="D2631" t="s">
        <v>8</v>
      </c>
      <c r="E2631" t="s">
        <v>20</v>
      </c>
      <c r="F2631" t="s">
        <v>10</v>
      </c>
      <c r="G2631" t="s">
        <v>40</v>
      </c>
      <c r="H2631">
        <v>540</v>
      </c>
      <c r="I2631">
        <v>54</v>
      </c>
      <c r="J2631" s="6">
        <f t="shared" ref="J2631:J2637" si="203">H2631*I2631/1000</f>
        <v>29.16</v>
      </c>
      <c r="K2631" t="s">
        <v>395</v>
      </c>
    </row>
    <row r="2632" spans="3:11" outlineLevel="2" x14ac:dyDescent="0.3">
      <c r="C2632" s="9">
        <v>45186</v>
      </c>
      <c r="D2632" t="s">
        <v>45</v>
      </c>
      <c r="E2632" t="s">
        <v>20</v>
      </c>
      <c r="F2632" t="s">
        <v>18</v>
      </c>
      <c r="G2632" t="s">
        <v>37</v>
      </c>
      <c r="H2632">
        <v>890</v>
      </c>
      <c r="I2632">
        <v>92</v>
      </c>
      <c r="J2632" s="6">
        <f t="shared" si="203"/>
        <v>81.88</v>
      </c>
      <c r="K2632" t="s">
        <v>395</v>
      </c>
    </row>
    <row r="2633" spans="3:11" outlineLevel="2" x14ac:dyDescent="0.3">
      <c r="C2633" s="9">
        <v>45186</v>
      </c>
      <c r="D2633" t="s">
        <v>12</v>
      </c>
      <c r="E2633" t="s">
        <v>20</v>
      </c>
      <c r="F2633" t="s">
        <v>24</v>
      </c>
      <c r="G2633" t="s">
        <v>42</v>
      </c>
      <c r="H2633">
        <v>3205</v>
      </c>
      <c r="I2633">
        <v>59</v>
      </c>
      <c r="J2633" s="6">
        <f t="shared" si="203"/>
        <v>189.095</v>
      </c>
      <c r="K2633" t="s">
        <v>395</v>
      </c>
    </row>
    <row r="2634" spans="3:11" outlineLevel="2" x14ac:dyDescent="0.3">
      <c r="C2634" s="9">
        <v>45186</v>
      </c>
      <c r="D2634" t="s">
        <v>17</v>
      </c>
      <c r="E2634" t="s">
        <v>26</v>
      </c>
      <c r="F2634" t="s">
        <v>18</v>
      </c>
      <c r="G2634" t="s">
        <v>28</v>
      </c>
      <c r="H2634">
        <v>690</v>
      </c>
      <c r="I2634">
        <v>50</v>
      </c>
      <c r="J2634" s="6">
        <f t="shared" si="203"/>
        <v>34.5</v>
      </c>
      <c r="K2634" t="s">
        <v>395</v>
      </c>
    </row>
    <row r="2635" spans="3:11" outlineLevel="2" x14ac:dyDescent="0.3">
      <c r="C2635" s="9">
        <v>45186</v>
      </c>
      <c r="D2635" t="s">
        <v>45</v>
      </c>
      <c r="E2635" t="s">
        <v>26</v>
      </c>
      <c r="F2635" t="s">
        <v>13</v>
      </c>
      <c r="G2635" t="s">
        <v>38</v>
      </c>
      <c r="H2635">
        <v>2400</v>
      </c>
      <c r="I2635">
        <v>96</v>
      </c>
      <c r="J2635" s="6">
        <f t="shared" si="203"/>
        <v>230.4</v>
      </c>
      <c r="K2635" t="s">
        <v>395</v>
      </c>
    </row>
    <row r="2636" spans="3:11" outlineLevel="2" x14ac:dyDescent="0.3">
      <c r="C2636" s="9">
        <v>45186</v>
      </c>
      <c r="D2636" t="s">
        <v>17</v>
      </c>
      <c r="E2636" t="s">
        <v>15</v>
      </c>
      <c r="F2636" t="s">
        <v>10</v>
      </c>
      <c r="G2636" t="s">
        <v>40</v>
      </c>
      <c r="H2636">
        <v>540</v>
      </c>
      <c r="I2636">
        <v>99</v>
      </c>
      <c r="J2636" s="6">
        <f t="shared" si="203"/>
        <v>53.46</v>
      </c>
      <c r="K2636" t="s">
        <v>395</v>
      </c>
    </row>
    <row r="2637" spans="3:11" outlineLevel="2" x14ac:dyDescent="0.3">
      <c r="C2637" s="9">
        <v>45186</v>
      </c>
      <c r="D2637" t="s">
        <v>8</v>
      </c>
      <c r="E2637" t="s">
        <v>33</v>
      </c>
      <c r="F2637" t="s">
        <v>13</v>
      </c>
      <c r="G2637" t="s">
        <v>22</v>
      </c>
      <c r="H2637">
        <v>930</v>
      </c>
      <c r="I2637">
        <v>21</v>
      </c>
      <c r="J2637" s="6">
        <f t="shared" si="203"/>
        <v>19.53</v>
      </c>
      <c r="K2637" t="s">
        <v>395</v>
      </c>
    </row>
    <row r="2638" spans="3:11" outlineLevel="1" x14ac:dyDescent="0.3">
      <c r="C2638" s="13" t="s">
        <v>274</v>
      </c>
      <c r="J2638" s="6">
        <f>SUBTOTAL(9,J2631:J2637)</f>
        <v>638.02499999999998</v>
      </c>
      <c r="K2638" t="s">
        <v>395</v>
      </c>
    </row>
    <row r="2639" spans="3:11" outlineLevel="2" x14ac:dyDescent="0.3">
      <c r="C2639" s="9">
        <v>45187</v>
      </c>
      <c r="D2639" t="s">
        <v>17</v>
      </c>
      <c r="E2639" t="s">
        <v>20</v>
      </c>
      <c r="F2639" t="s">
        <v>18</v>
      </c>
      <c r="G2639" t="s">
        <v>37</v>
      </c>
      <c r="H2639">
        <v>890</v>
      </c>
      <c r="I2639">
        <v>76</v>
      </c>
      <c r="J2639" s="6">
        <f t="shared" ref="J2639:J2653" si="204">H2639*I2639/1000</f>
        <v>67.64</v>
      </c>
      <c r="K2639" t="s">
        <v>395</v>
      </c>
    </row>
    <row r="2640" spans="3:11" outlineLevel="2" x14ac:dyDescent="0.3">
      <c r="C2640" s="9">
        <v>45187</v>
      </c>
      <c r="D2640" t="s">
        <v>12</v>
      </c>
      <c r="E2640" t="s">
        <v>20</v>
      </c>
      <c r="F2640" t="s">
        <v>24</v>
      </c>
      <c r="G2640" t="s">
        <v>30</v>
      </c>
      <c r="H2640">
        <v>2970</v>
      </c>
      <c r="I2640">
        <v>19</v>
      </c>
      <c r="J2640" s="6">
        <f t="shared" si="204"/>
        <v>56.43</v>
      </c>
      <c r="K2640" t="s">
        <v>395</v>
      </c>
    </row>
    <row r="2641" spans="3:11" outlineLevel="2" x14ac:dyDescent="0.3">
      <c r="C2641" s="9">
        <v>45187</v>
      </c>
      <c r="D2641" t="s">
        <v>17</v>
      </c>
      <c r="E2641" t="s">
        <v>9</v>
      </c>
      <c r="F2641" t="s">
        <v>10</v>
      </c>
      <c r="G2641" t="s">
        <v>41</v>
      </c>
      <c r="H2641">
        <v>650</v>
      </c>
      <c r="I2641">
        <v>20</v>
      </c>
      <c r="J2641" s="6">
        <f t="shared" si="204"/>
        <v>13</v>
      </c>
      <c r="K2641" t="s">
        <v>395</v>
      </c>
    </row>
    <row r="2642" spans="3:11" outlineLevel="2" x14ac:dyDescent="0.3">
      <c r="C2642" s="9">
        <v>45187</v>
      </c>
      <c r="D2642" t="s">
        <v>17</v>
      </c>
      <c r="E2642" t="s">
        <v>9</v>
      </c>
      <c r="F2642" t="s">
        <v>13</v>
      </c>
      <c r="G2642" t="s">
        <v>29</v>
      </c>
      <c r="H2642">
        <v>1230</v>
      </c>
      <c r="I2642">
        <v>79</v>
      </c>
      <c r="J2642" s="6">
        <f t="shared" si="204"/>
        <v>97.17</v>
      </c>
      <c r="K2642" t="s">
        <v>395</v>
      </c>
    </row>
    <row r="2643" spans="3:11" outlineLevel="2" x14ac:dyDescent="0.3">
      <c r="C2643" s="9">
        <v>45187</v>
      </c>
      <c r="D2643" t="s">
        <v>12</v>
      </c>
      <c r="E2643" t="s">
        <v>9</v>
      </c>
      <c r="F2643" t="s">
        <v>24</v>
      </c>
      <c r="G2643" t="s">
        <v>30</v>
      </c>
      <c r="H2643">
        <v>2970</v>
      </c>
      <c r="I2643">
        <v>25</v>
      </c>
      <c r="J2643" s="6">
        <f t="shared" si="204"/>
        <v>74.25</v>
      </c>
      <c r="K2643" t="s">
        <v>395</v>
      </c>
    </row>
    <row r="2644" spans="3:11" outlineLevel="2" x14ac:dyDescent="0.3">
      <c r="C2644" s="9">
        <v>45187</v>
      </c>
      <c r="D2644" t="s">
        <v>12</v>
      </c>
      <c r="E2644" t="s">
        <v>26</v>
      </c>
      <c r="F2644" t="s">
        <v>18</v>
      </c>
      <c r="G2644" t="s">
        <v>37</v>
      </c>
      <c r="H2644">
        <v>890</v>
      </c>
      <c r="I2644">
        <v>91</v>
      </c>
      <c r="J2644" s="6">
        <f t="shared" si="204"/>
        <v>80.989999999999995</v>
      </c>
      <c r="K2644" t="s">
        <v>395</v>
      </c>
    </row>
    <row r="2645" spans="3:11" outlineLevel="2" x14ac:dyDescent="0.3">
      <c r="C2645" s="9">
        <v>45187</v>
      </c>
      <c r="D2645" t="s">
        <v>12</v>
      </c>
      <c r="E2645" t="s">
        <v>26</v>
      </c>
      <c r="F2645" t="s">
        <v>18</v>
      </c>
      <c r="G2645" t="s">
        <v>28</v>
      </c>
      <c r="H2645">
        <v>690</v>
      </c>
      <c r="I2645">
        <v>91</v>
      </c>
      <c r="J2645" s="6">
        <f t="shared" si="204"/>
        <v>62.79</v>
      </c>
      <c r="K2645" t="s">
        <v>395</v>
      </c>
    </row>
    <row r="2646" spans="3:11" outlineLevel="2" x14ac:dyDescent="0.3">
      <c r="C2646" s="9">
        <v>45187</v>
      </c>
      <c r="D2646" t="s">
        <v>17</v>
      </c>
      <c r="E2646" t="s">
        <v>26</v>
      </c>
      <c r="F2646" t="s">
        <v>24</v>
      </c>
      <c r="G2646" t="s">
        <v>32</v>
      </c>
      <c r="H2646">
        <v>1505</v>
      </c>
      <c r="I2646">
        <v>19</v>
      </c>
      <c r="J2646" s="6">
        <f t="shared" si="204"/>
        <v>28.594999999999999</v>
      </c>
      <c r="K2646" t="s">
        <v>395</v>
      </c>
    </row>
    <row r="2647" spans="3:11" outlineLevel="2" x14ac:dyDescent="0.3">
      <c r="C2647" s="9">
        <v>45187</v>
      </c>
      <c r="D2647" t="s">
        <v>45</v>
      </c>
      <c r="E2647" t="s">
        <v>33</v>
      </c>
      <c r="F2647" t="s">
        <v>10</v>
      </c>
      <c r="G2647" t="s">
        <v>16</v>
      </c>
      <c r="H2647">
        <v>1380</v>
      </c>
      <c r="I2647">
        <v>10</v>
      </c>
      <c r="J2647" s="6">
        <f t="shared" si="204"/>
        <v>13.8</v>
      </c>
      <c r="K2647" t="s">
        <v>395</v>
      </c>
    </row>
    <row r="2648" spans="3:11" outlineLevel="2" x14ac:dyDescent="0.3">
      <c r="C2648" s="9">
        <v>45187</v>
      </c>
      <c r="D2648" t="s">
        <v>12</v>
      </c>
      <c r="E2648" t="s">
        <v>33</v>
      </c>
      <c r="F2648" t="s">
        <v>10</v>
      </c>
      <c r="G2648" t="s">
        <v>40</v>
      </c>
      <c r="H2648">
        <v>540</v>
      </c>
      <c r="I2648">
        <v>48</v>
      </c>
      <c r="J2648" s="6">
        <f t="shared" si="204"/>
        <v>25.92</v>
      </c>
      <c r="K2648" t="s">
        <v>395</v>
      </c>
    </row>
    <row r="2649" spans="3:11" outlineLevel="2" x14ac:dyDescent="0.3">
      <c r="C2649" s="9">
        <v>45187</v>
      </c>
      <c r="D2649" t="s">
        <v>8</v>
      </c>
      <c r="E2649" t="s">
        <v>33</v>
      </c>
      <c r="F2649" t="s">
        <v>24</v>
      </c>
      <c r="G2649" t="s">
        <v>30</v>
      </c>
      <c r="H2649">
        <v>2970</v>
      </c>
      <c r="I2649">
        <v>72</v>
      </c>
      <c r="J2649" s="6">
        <f t="shared" si="204"/>
        <v>213.84</v>
      </c>
      <c r="K2649" t="s">
        <v>395</v>
      </c>
    </row>
    <row r="2650" spans="3:11" outlineLevel="2" x14ac:dyDescent="0.3">
      <c r="C2650" s="9">
        <v>45187</v>
      </c>
      <c r="D2650" t="s">
        <v>12</v>
      </c>
      <c r="E2650" t="s">
        <v>33</v>
      </c>
      <c r="F2650" t="s">
        <v>24</v>
      </c>
      <c r="G2650" t="s">
        <v>32</v>
      </c>
      <c r="H2650">
        <v>1505</v>
      </c>
      <c r="I2650">
        <v>7</v>
      </c>
      <c r="J2650" s="6">
        <f t="shared" si="204"/>
        <v>10.535</v>
      </c>
      <c r="K2650" t="s">
        <v>395</v>
      </c>
    </row>
    <row r="2651" spans="3:11" outlineLevel="2" x14ac:dyDescent="0.3">
      <c r="C2651" s="9">
        <v>45187</v>
      </c>
      <c r="D2651" t="s">
        <v>45</v>
      </c>
      <c r="E2651" t="s">
        <v>35</v>
      </c>
      <c r="F2651" t="s">
        <v>10</v>
      </c>
      <c r="G2651" t="s">
        <v>41</v>
      </c>
      <c r="H2651">
        <v>650</v>
      </c>
      <c r="I2651">
        <v>24</v>
      </c>
      <c r="J2651" s="6">
        <f t="shared" si="204"/>
        <v>15.6</v>
      </c>
      <c r="K2651" t="s">
        <v>395</v>
      </c>
    </row>
    <row r="2652" spans="3:11" outlineLevel="2" x14ac:dyDescent="0.3">
      <c r="C2652" s="9">
        <v>45187</v>
      </c>
      <c r="D2652" t="s">
        <v>17</v>
      </c>
      <c r="E2652" t="s">
        <v>35</v>
      </c>
      <c r="F2652" t="s">
        <v>24</v>
      </c>
      <c r="G2652" t="s">
        <v>30</v>
      </c>
      <c r="H2652">
        <v>2970</v>
      </c>
      <c r="I2652">
        <v>74</v>
      </c>
      <c r="J2652" s="6">
        <f t="shared" si="204"/>
        <v>219.78</v>
      </c>
      <c r="K2652" t="s">
        <v>395</v>
      </c>
    </row>
    <row r="2653" spans="3:11" outlineLevel="2" x14ac:dyDescent="0.3">
      <c r="C2653" s="9">
        <v>45187</v>
      </c>
      <c r="D2653" t="s">
        <v>45</v>
      </c>
      <c r="E2653" t="s">
        <v>35</v>
      </c>
      <c r="F2653" t="s">
        <v>24</v>
      </c>
      <c r="G2653" t="s">
        <v>34</v>
      </c>
      <c r="H2653">
        <v>1670</v>
      </c>
      <c r="I2653">
        <v>36</v>
      </c>
      <c r="J2653" s="6">
        <f t="shared" si="204"/>
        <v>60.12</v>
      </c>
      <c r="K2653" t="s">
        <v>395</v>
      </c>
    </row>
    <row r="2654" spans="3:11" outlineLevel="1" x14ac:dyDescent="0.3">
      <c r="C2654" s="13" t="s">
        <v>275</v>
      </c>
      <c r="J2654" s="6">
        <f>SUBTOTAL(9,J2639:J2653)</f>
        <v>1040.46</v>
      </c>
      <c r="K2654" t="s">
        <v>395</v>
      </c>
    </row>
    <row r="2655" spans="3:11" outlineLevel="2" x14ac:dyDescent="0.3">
      <c r="C2655" s="9">
        <v>45188</v>
      </c>
      <c r="D2655" t="s">
        <v>12</v>
      </c>
      <c r="E2655" t="s">
        <v>9</v>
      </c>
      <c r="F2655" t="s">
        <v>24</v>
      </c>
      <c r="G2655" t="s">
        <v>25</v>
      </c>
      <c r="H2655">
        <v>1760</v>
      </c>
      <c r="I2655">
        <v>45</v>
      </c>
      <c r="J2655" s="6">
        <f t="shared" ref="J2655:J2661" si="205">H2655*I2655/1000</f>
        <v>79.2</v>
      </c>
      <c r="K2655" t="s">
        <v>395</v>
      </c>
    </row>
    <row r="2656" spans="3:11" outlineLevel="2" x14ac:dyDescent="0.3">
      <c r="C2656" s="9">
        <v>45188</v>
      </c>
      <c r="D2656" t="s">
        <v>12</v>
      </c>
      <c r="E2656" t="s">
        <v>9</v>
      </c>
      <c r="F2656" t="s">
        <v>24</v>
      </c>
      <c r="G2656" t="s">
        <v>34</v>
      </c>
      <c r="H2656">
        <v>1670</v>
      </c>
      <c r="I2656">
        <v>100</v>
      </c>
      <c r="J2656" s="6">
        <f t="shared" si="205"/>
        <v>167</v>
      </c>
      <c r="K2656" t="s">
        <v>395</v>
      </c>
    </row>
    <row r="2657" spans="3:11" outlineLevel="2" x14ac:dyDescent="0.3">
      <c r="C2657" s="9">
        <v>45188</v>
      </c>
      <c r="D2657" t="s">
        <v>8</v>
      </c>
      <c r="E2657" t="s">
        <v>15</v>
      </c>
      <c r="F2657" t="s">
        <v>18</v>
      </c>
      <c r="G2657" t="s">
        <v>31</v>
      </c>
      <c r="H2657">
        <v>715</v>
      </c>
      <c r="I2657">
        <v>95</v>
      </c>
      <c r="J2657" s="6">
        <f t="shared" si="205"/>
        <v>67.924999999999997</v>
      </c>
      <c r="K2657" t="s">
        <v>395</v>
      </c>
    </row>
    <row r="2658" spans="3:11" outlineLevel="2" x14ac:dyDescent="0.3">
      <c r="C2658" s="9">
        <v>45188</v>
      </c>
      <c r="D2658" t="s">
        <v>12</v>
      </c>
      <c r="E2658" t="s">
        <v>15</v>
      </c>
      <c r="F2658" t="s">
        <v>24</v>
      </c>
      <c r="G2658" t="s">
        <v>34</v>
      </c>
      <c r="H2658">
        <v>1670</v>
      </c>
      <c r="I2658">
        <v>68</v>
      </c>
      <c r="J2658" s="6">
        <f t="shared" si="205"/>
        <v>113.56</v>
      </c>
      <c r="K2658" t="s">
        <v>395</v>
      </c>
    </row>
    <row r="2659" spans="3:11" outlineLevel="2" x14ac:dyDescent="0.3">
      <c r="C2659" s="9">
        <v>45188</v>
      </c>
      <c r="D2659" t="s">
        <v>12</v>
      </c>
      <c r="E2659" t="s">
        <v>33</v>
      </c>
      <c r="F2659" t="s">
        <v>10</v>
      </c>
      <c r="G2659" t="s">
        <v>11</v>
      </c>
      <c r="H2659">
        <v>705</v>
      </c>
      <c r="I2659">
        <v>18</v>
      </c>
      <c r="J2659" s="6">
        <f t="shared" si="205"/>
        <v>12.69</v>
      </c>
      <c r="K2659" t="s">
        <v>395</v>
      </c>
    </row>
    <row r="2660" spans="3:11" outlineLevel="2" x14ac:dyDescent="0.3">
      <c r="C2660" s="9">
        <v>45188</v>
      </c>
      <c r="D2660" t="s">
        <v>17</v>
      </c>
      <c r="E2660" t="s">
        <v>35</v>
      </c>
      <c r="F2660" t="s">
        <v>13</v>
      </c>
      <c r="G2660" t="s">
        <v>38</v>
      </c>
      <c r="H2660">
        <v>2400</v>
      </c>
      <c r="I2660">
        <v>81</v>
      </c>
      <c r="J2660" s="6">
        <f t="shared" si="205"/>
        <v>194.4</v>
      </c>
      <c r="K2660" t="s">
        <v>395</v>
      </c>
    </row>
    <row r="2661" spans="3:11" outlineLevel="2" x14ac:dyDescent="0.3">
      <c r="C2661" s="9">
        <v>45188</v>
      </c>
      <c r="D2661" t="s">
        <v>8</v>
      </c>
      <c r="E2661" t="s">
        <v>35</v>
      </c>
      <c r="F2661" t="s">
        <v>24</v>
      </c>
      <c r="G2661" t="s">
        <v>36</v>
      </c>
      <c r="H2661">
        <v>2460</v>
      </c>
      <c r="I2661">
        <v>6</v>
      </c>
      <c r="J2661" s="6">
        <f t="shared" si="205"/>
        <v>14.76</v>
      </c>
      <c r="K2661" t="s">
        <v>395</v>
      </c>
    </row>
    <row r="2662" spans="3:11" outlineLevel="1" x14ac:dyDescent="0.3">
      <c r="C2662" s="13" t="s">
        <v>276</v>
      </c>
      <c r="J2662" s="6">
        <f>SUBTOTAL(9,J2655:J2661)</f>
        <v>649.53499999999997</v>
      </c>
      <c r="K2662" t="s">
        <v>395</v>
      </c>
    </row>
    <row r="2663" spans="3:11" outlineLevel="2" x14ac:dyDescent="0.3">
      <c r="C2663" s="9">
        <v>45189</v>
      </c>
      <c r="D2663" t="s">
        <v>45</v>
      </c>
      <c r="E2663" t="s">
        <v>20</v>
      </c>
      <c r="F2663" t="s">
        <v>10</v>
      </c>
      <c r="G2663" t="s">
        <v>23</v>
      </c>
      <c r="H2663">
        <v>640</v>
      </c>
      <c r="I2663">
        <v>34</v>
      </c>
      <c r="J2663" s="6">
        <f t="shared" ref="J2663:J2674" si="206">H2663*I2663/1000</f>
        <v>21.76</v>
      </c>
      <c r="K2663" t="s">
        <v>395</v>
      </c>
    </row>
    <row r="2664" spans="3:11" outlineLevel="2" x14ac:dyDescent="0.3">
      <c r="C2664" s="9">
        <v>45189</v>
      </c>
      <c r="D2664" t="s">
        <v>8</v>
      </c>
      <c r="E2664" t="s">
        <v>20</v>
      </c>
      <c r="F2664" t="s">
        <v>24</v>
      </c>
      <c r="G2664" t="s">
        <v>30</v>
      </c>
      <c r="H2664">
        <v>2970</v>
      </c>
      <c r="I2664">
        <v>5</v>
      </c>
      <c r="J2664" s="6">
        <f t="shared" si="206"/>
        <v>14.85</v>
      </c>
      <c r="K2664" t="s">
        <v>395</v>
      </c>
    </row>
    <row r="2665" spans="3:11" outlineLevel="2" x14ac:dyDescent="0.3">
      <c r="C2665" s="9">
        <v>45189</v>
      </c>
      <c r="D2665" t="s">
        <v>17</v>
      </c>
      <c r="E2665" t="s">
        <v>9</v>
      </c>
      <c r="F2665" t="s">
        <v>10</v>
      </c>
      <c r="G2665" t="s">
        <v>16</v>
      </c>
      <c r="H2665">
        <v>1380</v>
      </c>
      <c r="I2665">
        <v>85</v>
      </c>
      <c r="J2665" s="6">
        <f t="shared" si="206"/>
        <v>117.3</v>
      </c>
      <c r="K2665" t="s">
        <v>395</v>
      </c>
    </row>
    <row r="2666" spans="3:11" outlineLevel="2" x14ac:dyDescent="0.3">
      <c r="C2666" s="9">
        <v>45189</v>
      </c>
      <c r="D2666" t="s">
        <v>12</v>
      </c>
      <c r="E2666" t="s">
        <v>9</v>
      </c>
      <c r="F2666" t="s">
        <v>10</v>
      </c>
      <c r="G2666" t="s">
        <v>16</v>
      </c>
      <c r="H2666">
        <v>1380</v>
      </c>
      <c r="I2666">
        <v>96</v>
      </c>
      <c r="J2666" s="6">
        <f t="shared" si="206"/>
        <v>132.47999999999999</v>
      </c>
      <c r="K2666" t="s">
        <v>395</v>
      </c>
    </row>
    <row r="2667" spans="3:11" outlineLevel="2" x14ac:dyDescent="0.3">
      <c r="C2667" s="9">
        <v>45189</v>
      </c>
      <c r="D2667" t="s">
        <v>8</v>
      </c>
      <c r="E2667" t="s">
        <v>9</v>
      </c>
      <c r="F2667" t="s">
        <v>13</v>
      </c>
      <c r="G2667" t="s">
        <v>22</v>
      </c>
      <c r="H2667">
        <v>930</v>
      </c>
      <c r="I2667">
        <v>41</v>
      </c>
      <c r="J2667" s="6">
        <f t="shared" si="206"/>
        <v>38.130000000000003</v>
      </c>
      <c r="K2667" t="s">
        <v>395</v>
      </c>
    </row>
    <row r="2668" spans="3:11" outlineLevel="2" x14ac:dyDescent="0.3">
      <c r="C2668" s="9">
        <v>45189</v>
      </c>
      <c r="D2668" t="s">
        <v>17</v>
      </c>
      <c r="E2668" t="s">
        <v>26</v>
      </c>
      <c r="F2668" t="s">
        <v>24</v>
      </c>
      <c r="G2668" t="s">
        <v>42</v>
      </c>
      <c r="H2668">
        <v>3205</v>
      </c>
      <c r="I2668">
        <v>23</v>
      </c>
      <c r="J2668" s="6">
        <f t="shared" si="206"/>
        <v>73.715000000000003</v>
      </c>
      <c r="K2668" t="s">
        <v>395</v>
      </c>
    </row>
    <row r="2669" spans="3:11" outlineLevel="2" x14ac:dyDescent="0.3">
      <c r="C2669" s="9">
        <v>45189</v>
      </c>
      <c r="D2669" t="s">
        <v>12</v>
      </c>
      <c r="E2669" t="s">
        <v>15</v>
      </c>
      <c r="F2669" t="s">
        <v>10</v>
      </c>
      <c r="G2669" t="s">
        <v>41</v>
      </c>
      <c r="H2669">
        <v>650</v>
      </c>
      <c r="I2669">
        <v>51</v>
      </c>
      <c r="J2669" s="6">
        <f t="shared" si="206"/>
        <v>33.15</v>
      </c>
      <c r="K2669" t="s">
        <v>395</v>
      </c>
    </row>
    <row r="2670" spans="3:11" outlineLevel="2" x14ac:dyDescent="0.3">
      <c r="C2670" s="9">
        <v>45189</v>
      </c>
      <c r="D2670" t="s">
        <v>17</v>
      </c>
      <c r="E2670" t="s">
        <v>15</v>
      </c>
      <c r="F2670" t="s">
        <v>10</v>
      </c>
      <c r="G2670" t="s">
        <v>41</v>
      </c>
      <c r="H2670">
        <v>650</v>
      </c>
      <c r="I2670">
        <v>88</v>
      </c>
      <c r="J2670" s="6">
        <f t="shared" si="206"/>
        <v>57.2</v>
      </c>
      <c r="K2670" t="s">
        <v>395</v>
      </c>
    </row>
    <row r="2671" spans="3:11" outlineLevel="2" x14ac:dyDescent="0.3">
      <c r="C2671" s="9">
        <v>45189</v>
      </c>
      <c r="D2671" t="s">
        <v>8</v>
      </c>
      <c r="E2671" t="s">
        <v>15</v>
      </c>
      <c r="F2671" t="s">
        <v>13</v>
      </c>
      <c r="G2671" t="s">
        <v>38</v>
      </c>
      <c r="H2671">
        <v>2400</v>
      </c>
      <c r="I2671">
        <v>11</v>
      </c>
      <c r="J2671" s="6">
        <f t="shared" si="206"/>
        <v>26.4</v>
      </c>
      <c r="K2671" t="s">
        <v>395</v>
      </c>
    </row>
    <row r="2672" spans="3:11" outlineLevel="2" x14ac:dyDescent="0.3">
      <c r="C2672" s="9">
        <v>45189</v>
      </c>
      <c r="D2672" t="s">
        <v>45</v>
      </c>
      <c r="E2672" t="s">
        <v>33</v>
      </c>
      <c r="F2672" t="s">
        <v>18</v>
      </c>
      <c r="G2672" t="s">
        <v>31</v>
      </c>
      <c r="H2672">
        <v>715</v>
      </c>
      <c r="I2672">
        <v>79</v>
      </c>
      <c r="J2672" s="6">
        <f t="shared" si="206"/>
        <v>56.484999999999999</v>
      </c>
      <c r="K2672" t="s">
        <v>395</v>
      </c>
    </row>
    <row r="2673" spans="3:11" outlineLevel="2" x14ac:dyDescent="0.3">
      <c r="C2673" s="9">
        <v>45189</v>
      </c>
      <c r="D2673" t="s">
        <v>12</v>
      </c>
      <c r="E2673" t="s">
        <v>33</v>
      </c>
      <c r="F2673" t="s">
        <v>13</v>
      </c>
      <c r="G2673" t="s">
        <v>29</v>
      </c>
      <c r="H2673">
        <v>1230</v>
      </c>
      <c r="I2673">
        <v>50</v>
      </c>
      <c r="J2673" s="6">
        <f t="shared" si="206"/>
        <v>61.5</v>
      </c>
      <c r="K2673" t="s">
        <v>395</v>
      </c>
    </row>
    <row r="2674" spans="3:11" outlineLevel="2" x14ac:dyDescent="0.3">
      <c r="C2674" s="9">
        <v>45189</v>
      </c>
      <c r="D2674" t="s">
        <v>17</v>
      </c>
      <c r="E2674" t="s">
        <v>35</v>
      </c>
      <c r="F2674" t="s">
        <v>13</v>
      </c>
      <c r="G2674" t="s">
        <v>44</v>
      </c>
      <c r="H2674">
        <v>2540</v>
      </c>
      <c r="I2674">
        <v>55</v>
      </c>
      <c r="J2674" s="6">
        <f t="shared" si="206"/>
        <v>139.69999999999999</v>
      </c>
      <c r="K2674" t="s">
        <v>395</v>
      </c>
    </row>
    <row r="2675" spans="3:11" outlineLevel="1" x14ac:dyDescent="0.3">
      <c r="C2675" s="13" t="s">
        <v>277</v>
      </c>
      <c r="J2675" s="6">
        <f>SUBTOTAL(9,J2663:J2674)</f>
        <v>772.67000000000007</v>
      </c>
      <c r="K2675" t="s">
        <v>395</v>
      </c>
    </row>
    <row r="2676" spans="3:11" outlineLevel="2" x14ac:dyDescent="0.3">
      <c r="C2676" s="9">
        <v>45190</v>
      </c>
      <c r="D2676" t="s">
        <v>12</v>
      </c>
      <c r="E2676" t="s">
        <v>20</v>
      </c>
      <c r="F2676" t="s">
        <v>10</v>
      </c>
      <c r="G2676" t="s">
        <v>16</v>
      </c>
      <c r="H2676">
        <v>1380</v>
      </c>
      <c r="I2676">
        <v>43</v>
      </c>
      <c r="J2676" s="6">
        <f t="shared" ref="J2676:J2690" si="207">H2676*I2676/1000</f>
        <v>59.34</v>
      </c>
      <c r="K2676" t="s">
        <v>395</v>
      </c>
    </row>
    <row r="2677" spans="3:11" outlineLevel="2" x14ac:dyDescent="0.3">
      <c r="C2677" s="9">
        <v>45190</v>
      </c>
      <c r="D2677" t="s">
        <v>17</v>
      </c>
      <c r="E2677" t="s">
        <v>20</v>
      </c>
      <c r="F2677" t="s">
        <v>18</v>
      </c>
      <c r="G2677" t="s">
        <v>19</v>
      </c>
      <c r="H2677">
        <v>325</v>
      </c>
      <c r="I2677">
        <v>45</v>
      </c>
      <c r="J2677" s="6">
        <f t="shared" si="207"/>
        <v>14.625</v>
      </c>
      <c r="K2677" t="s">
        <v>395</v>
      </c>
    </row>
    <row r="2678" spans="3:11" outlineLevel="2" x14ac:dyDescent="0.3">
      <c r="C2678" s="9">
        <v>45190</v>
      </c>
      <c r="D2678" t="s">
        <v>12</v>
      </c>
      <c r="E2678" t="s">
        <v>20</v>
      </c>
      <c r="F2678" t="s">
        <v>13</v>
      </c>
      <c r="G2678" t="s">
        <v>14</v>
      </c>
      <c r="H2678">
        <v>1320</v>
      </c>
      <c r="I2678">
        <v>17</v>
      </c>
      <c r="J2678" s="6">
        <f t="shared" si="207"/>
        <v>22.44</v>
      </c>
      <c r="K2678" t="s">
        <v>395</v>
      </c>
    </row>
    <row r="2679" spans="3:11" outlineLevel="2" x14ac:dyDescent="0.3">
      <c r="C2679" s="9">
        <v>45190</v>
      </c>
      <c r="D2679" t="s">
        <v>12</v>
      </c>
      <c r="E2679" t="s">
        <v>20</v>
      </c>
      <c r="F2679" t="s">
        <v>13</v>
      </c>
      <c r="G2679" t="s">
        <v>44</v>
      </c>
      <c r="H2679">
        <v>2540</v>
      </c>
      <c r="I2679">
        <v>52</v>
      </c>
      <c r="J2679" s="6">
        <f t="shared" si="207"/>
        <v>132.08000000000001</v>
      </c>
      <c r="K2679" t="s">
        <v>395</v>
      </c>
    </row>
    <row r="2680" spans="3:11" outlineLevel="2" x14ac:dyDescent="0.3">
      <c r="C2680" s="9">
        <v>45190</v>
      </c>
      <c r="D2680" t="s">
        <v>17</v>
      </c>
      <c r="E2680" t="s">
        <v>9</v>
      </c>
      <c r="F2680" t="s">
        <v>10</v>
      </c>
      <c r="G2680" t="s">
        <v>11</v>
      </c>
      <c r="H2680">
        <v>705</v>
      </c>
      <c r="I2680">
        <v>40</v>
      </c>
      <c r="J2680" s="6">
        <f t="shared" si="207"/>
        <v>28.2</v>
      </c>
      <c r="K2680" t="s">
        <v>395</v>
      </c>
    </row>
    <row r="2681" spans="3:11" outlineLevel="2" x14ac:dyDescent="0.3">
      <c r="C2681" s="9">
        <v>45190</v>
      </c>
      <c r="D2681" t="s">
        <v>45</v>
      </c>
      <c r="E2681" t="s">
        <v>9</v>
      </c>
      <c r="F2681" t="s">
        <v>13</v>
      </c>
      <c r="G2681" t="s">
        <v>44</v>
      </c>
      <c r="H2681">
        <v>2540</v>
      </c>
      <c r="I2681">
        <v>56</v>
      </c>
      <c r="J2681" s="6">
        <f t="shared" si="207"/>
        <v>142.24</v>
      </c>
      <c r="K2681" t="s">
        <v>395</v>
      </c>
    </row>
    <row r="2682" spans="3:11" outlineLevel="2" x14ac:dyDescent="0.3">
      <c r="C2682" s="9">
        <v>45190</v>
      </c>
      <c r="D2682" t="s">
        <v>17</v>
      </c>
      <c r="E2682" t="s">
        <v>9</v>
      </c>
      <c r="F2682" t="s">
        <v>13</v>
      </c>
      <c r="G2682" t="s">
        <v>43</v>
      </c>
      <c r="H2682">
        <v>1420</v>
      </c>
      <c r="I2682">
        <v>92</v>
      </c>
      <c r="J2682" s="6">
        <f t="shared" si="207"/>
        <v>130.63999999999999</v>
      </c>
      <c r="K2682" t="s">
        <v>395</v>
      </c>
    </row>
    <row r="2683" spans="3:11" outlineLevel="2" x14ac:dyDescent="0.3">
      <c r="C2683" s="9">
        <v>45190</v>
      </c>
      <c r="D2683" t="s">
        <v>17</v>
      </c>
      <c r="E2683" t="s">
        <v>9</v>
      </c>
      <c r="F2683" t="s">
        <v>13</v>
      </c>
      <c r="G2683" t="s">
        <v>38</v>
      </c>
      <c r="H2683">
        <v>2400</v>
      </c>
      <c r="I2683">
        <v>99</v>
      </c>
      <c r="J2683" s="6">
        <f t="shared" si="207"/>
        <v>237.6</v>
      </c>
      <c r="K2683" t="s">
        <v>395</v>
      </c>
    </row>
    <row r="2684" spans="3:11" outlineLevel="2" x14ac:dyDescent="0.3">
      <c r="C2684" s="9">
        <v>45190</v>
      </c>
      <c r="D2684" t="s">
        <v>17</v>
      </c>
      <c r="E2684" t="s">
        <v>15</v>
      </c>
      <c r="F2684" t="s">
        <v>10</v>
      </c>
      <c r="G2684" t="s">
        <v>23</v>
      </c>
      <c r="H2684">
        <v>640</v>
      </c>
      <c r="I2684">
        <v>84</v>
      </c>
      <c r="J2684" s="6">
        <f t="shared" si="207"/>
        <v>53.76</v>
      </c>
      <c r="K2684" t="s">
        <v>395</v>
      </c>
    </row>
    <row r="2685" spans="3:11" outlineLevel="2" x14ac:dyDescent="0.3">
      <c r="C2685" s="9">
        <v>45190</v>
      </c>
      <c r="D2685" t="s">
        <v>8</v>
      </c>
      <c r="E2685" t="s">
        <v>15</v>
      </c>
      <c r="F2685" t="s">
        <v>13</v>
      </c>
      <c r="G2685" t="s">
        <v>22</v>
      </c>
      <c r="H2685">
        <v>930</v>
      </c>
      <c r="I2685">
        <v>83</v>
      </c>
      <c r="J2685" s="6">
        <f t="shared" si="207"/>
        <v>77.19</v>
      </c>
      <c r="K2685" t="s">
        <v>395</v>
      </c>
    </row>
    <row r="2686" spans="3:11" outlineLevel="2" x14ac:dyDescent="0.3">
      <c r="C2686" s="9">
        <v>45190</v>
      </c>
      <c r="D2686" t="s">
        <v>8</v>
      </c>
      <c r="E2686" t="s">
        <v>15</v>
      </c>
      <c r="F2686" t="s">
        <v>24</v>
      </c>
      <c r="G2686" t="s">
        <v>25</v>
      </c>
      <c r="H2686">
        <v>1760</v>
      </c>
      <c r="I2686">
        <v>30</v>
      </c>
      <c r="J2686" s="6">
        <f t="shared" si="207"/>
        <v>52.8</v>
      </c>
      <c r="K2686" t="s">
        <v>395</v>
      </c>
    </row>
    <row r="2687" spans="3:11" outlineLevel="2" x14ac:dyDescent="0.3">
      <c r="C2687" s="9">
        <v>45190</v>
      </c>
      <c r="D2687" t="s">
        <v>17</v>
      </c>
      <c r="E2687" t="s">
        <v>33</v>
      </c>
      <c r="F2687" t="s">
        <v>18</v>
      </c>
      <c r="G2687" t="s">
        <v>28</v>
      </c>
      <c r="H2687">
        <v>690</v>
      </c>
      <c r="I2687">
        <v>9</v>
      </c>
      <c r="J2687" s="6">
        <f t="shared" si="207"/>
        <v>6.21</v>
      </c>
      <c r="K2687" t="s">
        <v>395</v>
      </c>
    </row>
    <row r="2688" spans="3:11" outlineLevel="2" x14ac:dyDescent="0.3">
      <c r="C2688" s="9">
        <v>45190</v>
      </c>
      <c r="D2688" t="s">
        <v>12</v>
      </c>
      <c r="E2688" t="s">
        <v>33</v>
      </c>
      <c r="F2688" t="s">
        <v>24</v>
      </c>
      <c r="G2688" t="s">
        <v>32</v>
      </c>
      <c r="H2688">
        <v>1505</v>
      </c>
      <c r="I2688">
        <v>47</v>
      </c>
      <c r="J2688" s="6">
        <f t="shared" si="207"/>
        <v>70.734999999999999</v>
      </c>
      <c r="K2688" t="s">
        <v>395</v>
      </c>
    </row>
    <row r="2689" spans="3:11" outlineLevel="2" x14ac:dyDescent="0.3">
      <c r="C2689" s="9">
        <v>45190</v>
      </c>
      <c r="D2689" t="s">
        <v>17</v>
      </c>
      <c r="E2689" t="s">
        <v>35</v>
      </c>
      <c r="F2689" t="s">
        <v>10</v>
      </c>
      <c r="G2689" t="s">
        <v>40</v>
      </c>
      <c r="H2689">
        <v>540</v>
      </c>
      <c r="I2689">
        <v>16</v>
      </c>
      <c r="J2689" s="6">
        <f t="shared" si="207"/>
        <v>8.64</v>
      </c>
      <c r="K2689" t="s">
        <v>395</v>
      </c>
    </row>
    <row r="2690" spans="3:11" outlineLevel="2" x14ac:dyDescent="0.3">
      <c r="C2690" s="9">
        <v>45190</v>
      </c>
      <c r="D2690" t="s">
        <v>45</v>
      </c>
      <c r="E2690" t="s">
        <v>35</v>
      </c>
      <c r="F2690" t="s">
        <v>24</v>
      </c>
      <c r="G2690" t="s">
        <v>34</v>
      </c>
      <c r="H2690">
        <v>1670</v>
      </c>
      <c r="I2690">
        <v>29</v>
      </c>
      <c r="J2690" s="6">
        <f t="shared" si="207"/>
        <v>48.43</v>
      </c>
      <c r="K2690" t="s">
        <v>395</v>
      </c>
    </row>
    <row r="2691" spans="3:11" outlineLevel="1" x14ac:dyDescent="0.3">
      <c r="C2691" s="13" t="s">
        <v>278</v>
      </c>
      <c r="J2691" s="6">
        <f>SUBTOTAL(9,J2676:J2690)</f>
        <v>1084.93</v>
      </c>
      <c r="K2691" t="s">
        <v>395</v>
      </c>
    </row>
    <row r="2692" spans="3:11" outlineLevel="2" x14ac:dyDescent="0.3">
      <c r="C2692" s="9">
        <v>45191</v>
      </c>
      <c r="D2692" t="s">
        <v>12</v>
      </c>
      <c r="E2692" t="s">
        <v>20</v>
      </c>
      <c r="F2692" t="s">
        <v>24</v>
      </c>
      <c r="G2692" t="s">
        <v>32</v>
      </c>
      <c r="H2692">
        <v>1505</v>
      </c>
      <c r="I2692">
        <v>77</v>
      </c>
      <c r="J2692" s="6">
        <f t="shared" ref="J2692:J2704" si="208">H2692*I2692/1000</f>
        <v>115.88500000000001</v>
      </c>
      <c r="K2692" t="s">
        <v>395</v>
      </c>
    </row>
    <row r="2693" spans="3:11" outlineLevel="2" x14ac:dyDescent="0.3">
      <c r="C2693" s="9">
        <v>45191</v>
      </c>
      <c r="D2693" t="s">
        <v>17</v>
      </c>
      <c r="E2693" t="s">
        <v>9</v>
      </c>
      <c r="F2693" t="s">
        <v>10</v>
      </c>
      <c r="G2693" t="s">
        <v>40</v>
      </c>
      <c r="H2693">
        <v>540</v>
      </c>
      <c r="I2693">
        <v>76</v>
      </c>
      <c r="J2693" s="6">
        <f t="shared" si="208"/>
        <v>41.04</v>
      </c>
      <c r="K2693" t="s">
        <v>395</v>
      </c>
    </row>
    <row r="2694" spans="3:11" outlineLevel="2" x14ac:dyDescent="0.3">
      <c r="C2694" s="9">
        <v>45191</v>
      </c>
      <c r="D2694" t="s">
        <v>17</v>
      </c>
      <c r="E2694" t="s">
        <v>9</v>
      </c>
      <c r="F2694" t="s">
        <v>10</v>
      </c>
      <c r="G2694" t="s">
        <v>11</v>
      </c>
      <c r="H2694">
        <v>705</v>
      </c>
      <c r="I2694">
        <v>60</v>
      </c>
      <c r="J2694" s="6">
        <f t="shared" si="208"/>
        <v>42.3</v>
      </c>
      <c r="K2694" t="s">
        <v>395</v>
      </c>
    </row>
    <row r="2695" spans="3:11" outlineLevel="2" x14ac:dyDescent="0.3">
      <c r="C2695" s="9">
        <v>45191</v>
      </c>
      <c r="D2695" t="s">
        <v>45</v>
      </c>
      <c r="E2695" t="s">
        <v>9</v>
      </c>
      <c r="F2695" t="s">
        <v>13</v>
      </c>
      <c r="G2695" t="s">
        <v>38</v>
      </c>
      <c r="H2695">
        <v>2400</v>
      </c>
      <c r="I2695">
        <v>93</v>
      </c>
      <c r="J2695" s="6">
        <f t="shared" si="208"/>
        <v>223.2</v>
      </c>
      <c r="K2695" t="s">
        <v>395</v>
      </c>
    </row>
    <row r="2696" spans="3:11" outlineLevel="2" x14ac:dyDescent="0.3">
      <c r="C2696" s="9">
        <v>45191</v>
      </c>
      <c r="D2696" t="s">
        <v>17</v>
      </c>
      <c r="E2696" t="s">
        <v>26</v>
      </c>
      <c r="F2696" t="s">
        <v>13</v>
      </c>
      <c r="G2696" t="s">
        <v>22</v>
      </c>
      <c r="H2696">
        <v>930</v>
      </c>
      <c r="I2696">
        <v>17</v>
      </c>
      <c r="J2696" s="6">
        <f t="shared" si="208"/>
        <v>15.81</v>
      </c>
      <c r="K2696" t="s">
        <v>395</v>
      </c>
    </row>
    <row r="2697" spans="3:11" outlineLevel="2" x14ac:dyDescent="0.3">
      <c r="C2697" s="9">
        <v>45191</v>
      </c>
      <c r="D2697" t="s">
        <v>12</v>
      </c>
      <c r="E2697" t="s">
        <v>26</v>
      </c>
      <c r="F2697" t="s">
        <v>13</v>
      </c>
      <c r="G2697" t="s">
        <v>44</v>
      </c>
      <c r="H2697">
        <v>2540</v>
      </c>
      <c r="I2697">
        <v>14</v>
      </c>
      <c r="J2697" s="6">
        <f t="shared" si="208"/>
        <v>35.56</v>
      </c>
      <c r="K2697" t="s">
        <v>395</v>
      </c>
    </row>
    <row r="2698" spans="3:11" outlineLevel="2" x14ac:dyDescent="0.3">
      <c r="C2698" s="9">
        <v>45191</v>
      </c>
      <c r="D2698" t="s">
        <v>12</v>
      </c>
      <c r="E2698" t="s">
        <v>33</v>
      </c>
      <c r="F2698" t="s">
        <v>13</v>
      </c>
      <c r="G2698" t="s">
        <v>43</v>
      </c>
      <c r="H2698">
        <v>1420</v>
      </c>
      <c r="I2698">
        <v>25</v>
      </c>
      <c r="J2698" s="6">
        <f t="shared" si="208"/>
        <v>35.5</v>
      </c>
      <c r="K2698" t="s">
        <v>395</v>
      </c>
    </row>
    <row r="2699" spans="3:11" outlineLevel="2" x14ac:dyDescent="0.3">
      <c r="C2699" s="9">
        <v>45191</v>
      </c>
      <c r="D2699" t="s">
        <v>17</v>
      </c>
      <c r="E2699" t="s">
        <v>33</v>
      </c>
      <c r="F2699" t="s">
        <v>13</v>
      </c>
      <c r="G2699" t="s">
        <v>43</v>
      </c>
      <c r="H2699">
        <v>1420</v>
      </c>
      <c r="I2699">
        <v>15</v>
      </c>
      <c r="J2699" s="6">
        <f t="shared" si="208"/>
        <v>21.3</v>
      </c>
      <c r="K2699" t="s">
        <v>395</v>
      </c>
    </row>
    <row r="2700" spans="3:11" outlineLevel="2" x14ac:dyDescent="0.3">
      <c r="C2700" s="9">
        <v>45191</v>
      </c>
      <c r="D2700" t="s">
        <v>17</v>
      </c>
      <c r="E2700" t="s">
        <v>33</v>
      </c>
      <c r="F2700" t="s">
        <v>24</v>
      </c>
      <c r="G2700" t="s">
        <v>30</v>
      </c>
      <c r="H2700">
        <v>2970</v>
      </c>
      <c r="I2700">
        <v>72</v>
      </c>
      <c r="J2700" s="6">
        <f t="shared" si="208"/>
        <v>213.84</v>
      </c>
      <c r="K2700" t="s">
        <v>395</v>
      </c>
    </row>
    <row r="2701" spans="3:11" outlineLevel="2" x14ac:dyDescent="0.3">
      <c r="C2701" s="9">
        <v>45191</v>
      </c>
      <c r="D2701" t="s">
        <v>8</v>
      </c>
      <c r="E2701" t="s">
        <v>35</v>
      </c>
      <c r="F2701" t="s">
        <v>10</v>
      </c>
      <c r="G2701" t="s">
        <v>41</v>
      </c>
      <c r="H2701">
        <v>650</v>
      </c>
      <c r="I2701">
        <v>35</v>
      </c>
      <c r="J2701" s="6">
        <f t="shared" si="208"/>
        <v>22.75</v>
      </c>
      <c r="K2701" t="s">
        <v>395</v>
      </c>
    </row>
    <row r="2702" spans="3:11" outlineLevel="2" x14ac:dyDescent="0.3">
      <c r="C2702" s="9">
        <v>45191</v>
      </c>
      <c r="D2702" t="s">
        <v>45</v>
      </c>
      <c r="E2702" t="s">
        <v>35</v>
      </c>
      <c r="F2702" t="s">
        <v>18</v>
      </c>
      <c r="G2702" t="s">
        <v>28</v>
      </c>
      <c r="H2702">
        <v>690</v>
      </c>
      <c r="I2702">
        <v>57</v>
      </c>
      <c r="J2702" s="6">
        <f t="shared" si="208"/>
        <v>39.33</v>
      </c>
      <c r="K2702" t="s">
        <v>395</v>
      </c>
    </row>
    <row r="2703" spans="3:11" outlineLevel="2" x14ac:dyDescent="0.3">
      <c r="C2703" s="9">
        <v>45191</v>
      </c>
      <c r="D2703" t="s">
        <v>45</v>
      </c>
      <c r="E2703" t="s">
        <v>35</v>
      </c>
      <c r="F2703" t="s">
        <v>18</v>
      </c>
      <c r="G2703" t="s">
        <v>19</v>
      </c>
      <c r="H2703">
        <v>325</v>
      </c>
      <c r="I2703">
        <v>42</v>
      </c>
      <c r="J2703" s="6">
        <f t="shared" si="208"/>
        <v>13.65</v>
      </c>
      <c r="K2703" t="s">
        <v>395</v>
      </c>
    </row>
    <row r="2704" spans="3:11" outlineLevel="2" x14ac:dyDescent="0.3">
      <c r="C2704" s="9">
        <v>45191</v>
      </c>
      <c r="D2704" t="s">
        <v>45</v>
      </c>
      <c r="E2704" t="s">
        <v>35</v>
      </c>
      <c r="F2704" t="s">
        <v>13</v>
      </c>
      <c r="G2704" t="s">
        <v>14</v>
      </c>
      <c r="H2704">
        <v>1320</v>
      </c>
      <c r="I2704">
        <v>72</v>
      </c>
      <c r="J2704" s="6">
        <f t="shared" si="208"/>
        <v>95.04</v>
      </c>
      <c r="K2704" t="s">
        <v>395</v>
      </c>
    </row>
    <row r="2705" spans="3:11" outlineLevel="1" x14ac:dyDescent="0.3">
      <c r="C2705" s="13" t="s">
        <v>279</v>
      </c>
      <c r="J2705" s="6">
        <f>SUBTOTAL(9,J2692:J2704)</f>
        <v>915.20500000000004</v>
      </c>
      <c r="K2705" t="s">
        <v>395</v>
      </c>
    </row>
    <row r="2706" spans="3:11" outlineLevel="2" x14ac:dyDescent="0.3">
      <c r="C2706" s="9">
        <v>45192</v>
      </c>
      <c r="D2706" t="s">
        <v>8</v>
      </c>
      <c r="E2706" t="s">
        <v>20</v>
      </c>
      <c r="F2706" t="s">
        <v>10</v>
      </c>
      <c r="G2706" t="s">
        <v>16</v>
      </c>
      <c r="H2706">
        <v>1380</v>
      </c>
      <c r="I2706">
        <v>83</v>
      </c>
      <c r="J2706" s="6">
        <f t="shared" ref="J2706:J2716" si="209">H2706*I2706/1000</f>
        <v>114.54</v>
      </c>
      <c r="K2706" t="s">
        <v>395</v>
      </c>
    </row>
    <row r="2707" spans="3:11" outlineLevel="2" x14ac:dyDescent="0.3">
      <c r="C2707" s="9">
        <v>45192</v>
      </c>
      <c r="D2707" t="s">
        <v>8</v>
      </c>
      <c r="E2707" t="s">
        <v>20</v>
      </c>
      <c r="F2707" t="s">
        <v>18</v>
      </c>
      <c r="G2707" t="s">
        <v>37</v>
      </c>
      <c r="H2707">
        <v>890</v>
      </c>
      <c r="I2707">
        <v>30</v>
      </c>
      <c r="J2707" s="6">
        <f t="shared" si="209"/>
        <v>26.7</v>
      </c>
      <c r="K2707" t="s">
        <v>395</v>
      </c>
    </row>
    <row r="2708" spans="3:11" outlineLevel="2" x14ac:dyDescent="0.3">
      <c r="C2708" s="9">
        <v>45192</v>
      </c>
      <c r="D2708" t="s">
        <v>17</v>
      </c>
      <c r="E2708" t="s">
        <v>20</v>
      </c>
      <c r="F2708" t="s">
        <v>24</v>
      </c>
      <c r="G2708" t="s">
        <v>42</v>
      </c>
      <c r="H2708">
        <v>3205</v>
      </c>
      <c r="I2708">
        <v>43</v>
      </c>
      <c r="J2708" s="6">
        <f t="shared" si="209"/>
        <v>137.815</v>
      </c>
      <c r="K2708" t="s">
        <v>395</v>
      </c>
    </row>
    <row r="2709" spans="3:11" outlineLevel="2" x14ac:dyDescent="0.3">
      <c r="C2709" s="9">
        <v>45192</v>
      </c>
      <c r="D2709" t="s">
        <v>8</v>
      </c>
      <c r="E2709" t="s">
        <v>20</v>
      </c>
      <c r="F2709" t="s">
        <v>24</v>
      </c>
      <c r="G2709" t="s">
        <v>42</v>
      </c>
      <c r="H2709">
        <v>3205</v>
      </c>
      <c r="I2709">
        <v>17</v>
      </c>
      <c r="J2709" s="6">
        <f t="shared" si="209"/>
        <v>54.484999999999999</v>
      </c>
      <c r="K2709" t="s">
        <v>395</v>
      </c>
    </row>
    <row r="2710" spans="3:11" outlineLevel="2" x14ac:dyDescent="0.3">
      <c r="C2710" s="9">
        <v>45192</v>
      </c>
      <c r="D2710" t="s">
        <v>45</v>
      </c>
      <c r="E2710" t="s">
        <v>9</v>
      </c>
      <c r="F2710" t="s">
        <v>24</v>
      </c>
      <c r="G2710" t="s">
        <v>36</v>
      </c>
      <c r="H2710">
        <v>2460</v>
      </c>
      <c r="I2710">
        <v>8</v>
      </c>
      <c r="J2710" s="6">
        <f t="shared" si="209"/>
        <v>19.68</v>
      </c>
      <c r="K2710" t="s">
        <v>395</v>
      </c>
    </row>
    <row r="2711" spans="3:11" outlineLevel="2" x14ac:dyDescent="0.3">
      <c r="C2711" s="9">
        <v>45192</v>
      </c>
      <c r="D2711" t="s">
        <v>12</v>
      </c>
      <c r="E2711" t="s">
        <v>26</v>
      </c>
      <c r="F2711" t="s">
        <v>10</v>
      </c>
      <c r="G2711" t="s">
        <v>39</v>
      </c>
      <c r="H2711">
        <v>650</v>
      </c>
      <c r="I2711">
        <v>71</v>
      </c>
      <c r="J2711" s="6">
        <f t="shared" si="209"/>
        <v>46.15</v>
      </c>
      <c r="K2711" t="s">
        <v>395</v>
      </c>
    </row>
    <row r="2712" spans="3:11" outlineLevel="2" x14ac:dyDescent="0.3">
      <c r="C2712" s="9">
        <v>45192</v>
      </c>
      <c r="D2712" t="s">
        <v>12</v>
      </c>
      <c r="E2712" t="s">
        <v>26</v>
      </c>
      <c r="F2712" t="s">
        <v>18</v>
      </c>
      <c r="G2712" t="s">
        <v>31</v>
      </c>
      <c r="H2712">
        <v>715</v>
      </c>
      <c r="I2712">
        <v>88</v>
      </c>
      <c r="J2712" s="6">
        <f t="shared" si="209"/>
        <v>62.92</v>
      </c>
      <c r="K2712" t="s">
        <v>395</v>
      </c>
    </row>
    <row r="2713" spans="3:11" outlineLevel="2" x14ac:dyDescent="0.3">
      <c r="C2713" s="9">
        <v>45192</v>
      </c>
      <c r="D2713" t="s">
        <v>45</v>
      </c>
      <c r="E2713" t="s">
        <v>15</v>
      </c>
      <c r="F2713" t="s">
        <v>10</v>
      </c>
      <c r="G2713" t="s">
        <v>40</v>
      </c>
      <c r="H2713">
        <v>540</v>
      </c>
      <c r="I2713">
        <v>65</v>
      </c>
      <c r="J2713" s="6">
        <f t="shared" si="209"/>
        <v>35.1</v>
      </c>
      <c r="K2713" t="s">
        <v>395</v>
      </c>
    </row>
    <row r="2714" spans="3:11" outlineLevel="2" x14ac:dyDescent="0.3">
      <c r="C2714" s="9">
        <v>45192</v>
      </c>
      <c r="D2714" t="s">
        <v>17</v>
      </c>
      <c r="E2714" t="s">
        <v>15</v>
      </c>
      <c r="F2714" t="s">
        <v>18</v>
      </c>
      <c r="G2714" t="s">
        <v>27</v>
      </c>
      <c r="H2714">
        <v>460</v>
      </c>
      <c r="I2714">
        <v>13</v>
      </c>
      <c r="J2714" s="6">
        <f t="shared" si="209"/>
        <v>5.98</v>
      </c>
      <c r="K2714" t="s">
        <v>395</v>
      </c>
    </row>
    <row r="2715" spans="3:11" outlineLevel="2" x14ac:dyDescent="0.3">
      <c r="C2715" s="9">
        <v>45192</v>
      </c>
      <c r="D2715" t="s">
        <v>45</v>
      </c>
      <c r="E2715" t="s">
        <v>15</v>
      </c>
      <c r="F2715" t="s">
        <v>13</v>
      </c>
      <c r="G2715" t="s">
        <v>44</v>
      </c>
      <c r="H2715">
        <v>2540</v>
      </c>
      <c r="I2715">
        <v>97</v>
      </c>
      <c r="J2715" s="6">
        <f t="shared" si="209"/>
        <v>246.38</v>
      </c>
      <c r="K2715" t="s">
        <v>395</v>
      </c>
    </row>
    <row r="2716" spans="3:11" outlineLevel="2" x14ac:dyDescent="0.3">
      <c r="C2716" s="9">
        <v>45192</v>
      </c>
      <c r="D2716" t="s">
        <v>45</v>
      </c>
      <c r="E2716" t="s">
        <v>33</v>
      </c>
      <c r="F2716" t="s">
        <v>24</v>
      </c>
      <c r="G2716" t="s">
        <v>25</v>
      </c>
      <c r="H2716">
        <v>1760</v>
      </c>
      <c r="I2716">
        <v>41</v>
      </c>
      <c r="J2716" s="6">
        <f t="shared" si="209"/>
        <v>72.16</v>
      </c>
      <c r="K2716" t="s">
        <v>395</v>
      </c>
    </row>
    <row r="2717" spans="3:11" outlineLevel="1" x14ac:dyDescent="0.3">
      <c r="C2717" s="13" t="s">
        <v>280</v>
      </c>
      <c r="J2717" s="6">
        <f>SUBTOTAL(9,J2706:J2716)</f>
        <v>821.91</v>
      </c>
      <c r="K2717" t="s">
        <v>395</v>
      </c>
    </row>
    <row r="2718" spans="3:11" outlineLevel="2" x14ac:dyDescent="0.3">
      <c r="C2718" s="9">
        <v>45193</v>
      </c>
      <c r="D2718" t="s">
        <v>12</v>
      </c>
      <c r="E2718" t="s">
        <v>20</v>
      </c>
      <c r="F2718" t="s">
        <v>10</v>
      </c>
      <c r="G2718" t="s">
        <v>23</v>
      </c>
      <c r="H2718">
        <v>640</v>
      </c>
      <c r="I2718">
        <v>57</v>
      </c>
      <c r="J2718" s="6">
        <f t="shared" ref="J2718:J2728" si="210">H2718*I2718/1000</f>
        <v>36.479999999999997</v>
      </c>
      <c r="K2718" t="s">
        <v>395</v>
      </c>
    </row>
    <row r="2719" spans="3:11" outlineLevel="2" x14ac:dyDescent="0.3">
      <c r="C2719" s="9">
        <v>45193</v>
      </c>
      <c r="D2719" t="s">
        <v>12</v>
      </c>
      <c r="E2719" t="s">
        <v>9</v>
      </c>
      <c r="F2719" t="s">
        <v>10</v>
      </c>
      <c r="G2719" t="s">
        <v>11</v>
      </c>
      <c r="H2719">
        <v>705</v>
      </c>
      <c r="I2719">
        <v>28</v>
      </c>
      <c r="J2719" s="6">
        <f t="shared" si="210"/>
        <v>19.739999999999998</v>
      </c>
      <c r="K2719" t="s">
        <v>395</v>
      </c>
    </row>
    <row r="2720" spans="3:11" outlineLevel="2" x14ac:dyDescent="0.3">
      <c r="C2720" s="9">
        <v>45193</v>
      </c>
      <c r="D2720" t="s">
        <v>45</v>
      </c>
      <c r="E2720" t="s">
        <v>9</v>
      </c>
      <c r="F2720" t="s">
        <v>18</v>
      </c>
      <c r="G2720" t="s">
        <v>19</v>
      </c>
      <c r="H2720">
        <v>325</v>
      </c>
      <c r="I2720">
        <v>17</v>
      </c>
      <c r="J2720" s="6">
        <f t="shared" si="210"/>
        <v>5.5250000000000004</v>
      </c>
      <c r="K2720" t="s">
        <v>395</v>
      </c>
    </row>
    <row r="2721" spans="3:11" outlineLevel="2" x14ac:dyDescent="0.3">
      <c r="C2721" s="9">
        <v>45193</v>
      </c>
      <c r="D2721" t="s">
        <v>8</v>
      </c>
      <c r="E2721" t="s">
        <v>15</v>
      </c>
      <c r="F2721" t="s">
        <v>10</v>
      </c>
      <c r="G2721" t="s">
        <v>41</v>
      </c>
      <c r="H2721">
        <v>650</v>
      </c>
      <c r="I2721">
        <v>26</v>
      </c>
      <c r="J2721" s="6">
        <f t="shared" si="210"/>
        <v>16.899999999999999</v>
      </c>
      <c r="K2721" t="s">
        <v>395</v>
      </c>
    </row>
    <row r="2722" spans="3:11" outlineLevel="2" x14ac:dyDescent="0.3">
      <c r="C2722" s="9">
        <v>45193</v>
      </c>
      <c r="D2722" t="s">
        <v>17</v>
      </c>
      <c r="E2722" t="s">
        <v>15</v>
      </c>
      <c r="F2722" t="s">
        <v>24</v>
      </c>
      <c r="G2722" t="s">
        <v>25</v>
      </c>
      <c r="H2722">
        <v>1760</v>
      </c>
      <c r="I2722">
        <v>45</v>
      </c>
      <c r="J2722" s="6">
        <f t="shared" si="210"/>
        <v>79.2</v>
      </c>
      <c r="K2722" t="s">
        <v>395</v>
      </c>
    </row>
    <row r="2723" spans="3:11" outlineLevel="2" x14ac:dyDescent="0.3">
      <c r="C2723" s="9">
        <v>45193</v>
      </c>
      <c r="D2723" t="s">
        <v>8</v>
      </c>
      <c r="E2723" t="s">
        <v>33</v>
      </c>
      <c r="F2723" t="s">
        <v>10</v>
      </c>
      <c r="G2723" t="s">
        <v>11</v>
      </c>
      <c r="H2723">
        <v>705</v>
      </c>
      <c r="I2723">
        <v>35</v>
      </c>
      <c r="J2723" s="6">
        <f t="shared" si="210"/>
        <v>24.675000000000001</v>
      </c>
      <c r="K2723" t="s">
        <v>395</v>
      </c>
    </row>
    <row r="2724" spans="3:11" outlineLevel="2" x14ac:dyDescent="0.3">
      <c r="C2724" s="9">
        <v>45193</v>
      </c>
      <c r="D2724" t="s">
        <v>12</v>
      </c>
      <c r="E2724" t="s">
        <v>33</v>
      </c>
      <c r="F2724" t="s">
        <v>18</v>
      </c>
      <c r="G2724" t="s">
        <v>28</v>
      </c>
      <c r="H2724">
        <v>690</v>
      </c>
      <c r="I2724">
        <v>25</v>
      </c>
      <c r="J2724" s="6">
        <f t="shared" si="210"/>
        <v>17.25</v>
      </c>
      <c r="K2724" t="s">
        <v>395</v>
      </c>
    </row>
    <row r="2725" spans="3:11" outlineLevel="2" x14ac:dyDescent="0.3">
      <c r="C2725" s="9">
        <v>45193</v>
      </c>
      <c r="D2725" t="s">
        <v>12</v>
      </c>
      <c r="E2725" t="s">
        <v>35</v>
      </c>
      <c r="F2725" t="s">
        <v>10</v>
      </c>
      <c r="G2725" t="s">
        <v>41</v>
      </c>
      <c r="H2725">
        <v>650</v>
      </c>
      <c r="I2725">
        <v>28</v>
      </c>
      <c r="J2725" s="6">
        <f t="shared" si="210"/>
        <v>18.2</v>
      </c>
      <c r="K2725" t="s">
        <v>395</v>
      </c>
    </row>
    <row r="2726" spans="3:11" outlineLevel="2" x14ac:dyDescent="0.3">
      <c r="C2726" s="9">
        <v>45193</v>
      </c>
      <c r="D2726" t="s">
        <v>12</v>
      </c>
      <c r="E2726" t="s">
        <v>35</v>
      </c>
      <c r="F2726" t="s">
        <v>18</v>
      </c>
      <c r="G2726" t="s">
        <v>19</v>
      </c>
      <c r="H2726">
        <v>325</v>
      </c>
      <c r="I2726">
        <v>48</v>
      </c>
      <c r="J2726" s="6">
        <f t="shared" si="210"/>
        <v>15.6</v>
      </c>
      <c r="K2726" t="s">
        <v>395</v>
      </c>
    </row>
    <row r="2727" spans="3:11" outlineLevel="2" x14ac:dyDescent="0.3">
      <c r="C2727" s="9">
        <v>45193</v>
      </c>
      <c r="D2727" t="s">
        <v>45</v>
      </c>
      <c r="E2727" t="s">
        <v>35</v>
      </c>
      <c r="F2727" t="s">
        <v>18</v>
      </c>
      <c r="G2727" t="s">
        <v>19</v>
      </c>
      <c r="H2727">
        <v>325</v>
      </c>
      <c r="I2727">
        <v>32</v>
      </c>
      <c r="J2727" s="6">
        <f t="shared" si="210"/>
        <v>10.4</v>
      </c>
      <c r="K2727" t="s">
        <v>395</v>
      </c>
    </row>
    <row r="2728" spans="3:11" outlineLevel="2" x14ac:dyDescent="0.3">
      <c r="C2728" s="9">
        <v>45193</v>
      </c>
      <c r="D2728" t="s">
        <v>8</v>
      </c>
      <c r="E2728" t="s">
        <v>35</v>
      </c>
      <c r="F2728" t="s">
        <v>24</v>
      </c>
      <c r="G2728" t="s">
        <v>32</v>
      </c>
      <c r="H2728">
        <v>1505</v>
      </c>
      <c r="I2728">
        <v>93</v>
      </c>
      <c r="J2728" s="6">
        <f t="shared" si="210"/>
        <v>139.965</v>
      </c>
      <c r="K2728" t="s">
        <v>395</v>
      </c>
    </row>
    <row r="2729" spans="3:11" outlineLevel="1" x14ac:dyDescent="0.3">
      <c r="C2729" s="13" t="s">
        <v>281</v>
      </c>
      <c r="J2729" s="6">
        <f>SUBTOTAL(9,J2718:J2728)</f>
        <v>383.935</v>
      </c>
      <c r="K2729" t="s">
        <v>395</v>
      </c>
    </row>
    <row r="2730" spans="3:11" outlineLevel="2" x14ac:dyDescent="0.3">
      <c r="C2730" s="9">
        <v>45194</v>
      </c>
      <c r="D2730" t="s">
        <v>8</v>
      </c>
      <c r="E2730" t="s">
        <v>15</v>
      </c>
      <c r="F2730" t="s">
        <v>10</v>
      </c>
      <c r="G2730" t="s">
        <v>41</v>
      </c>
      <c r="H2730">
        <v>650</v>
      </c>
      <c r="I2730">
        <v>26</v>
      </c>
      <c r="J2730" s="6">
        <f>H2730*I2730/1000</f>
        <v>16.899999999999999</v>
      </c>
      <c r="K2730" t="s">
        <v>395</v>
      </c>
    </row>
    <row r="2731" spans="3:11" outlineLevel="2" x14ac:dyDescent="0.3">
      <c r="C2731" s="9">
        <v>45194</v>
      </c>
      <c r="D2731" t="s">
        <v>12</v>
      </c>
      <c r="E2731" t="s">
        <v>15</v>
      </c>
      <c r="F2731" t="s">
        <v>13</v>
      </c>
      <c r="G2731" t="s">
        <v>29</v>
      </c>
      <c r="H2731">
        <v>1230</v>
      </c>
      <c r="I2731">
        <v>40</v>
      </c>
      <c r="J2731" s="6">
        <f>H2731*I2731/1000</f>
        <v>49.2</v>
      </c>
      <c r="K2731" t="s">
        <v>395</v>
      </c>
    </row>
    <row r="2732" spans="3:11" outlineLevel="2" x14ac:dyDescent="0.3">
      <c r="C2732" s="9">
        <v>45194</v>
      </c>
      <c r="D2732" t="s">
        <v>12</v>
      </c>
      <c r="E2732" t="s">
        <v>15</v>
      </c>
      <c r="F2732" t="s">
        <v>24</v>
      </c>
      <c r="G2732" t="s">
        <v>36</v>
      </c>
      <c r="H2732">
        <v>2460</v>
      </c>
      <c r="I2732">
        <v>92</v>
      </c>
      <c r="J2732" s="6">
        <f>H2732*I2732/1000</f>
        <v>226.32</v>
      </c>
      <c r="K2732" t="s">
        <v>395</v>
      </c>
    </row>
    <row r="2733" spans="3:11" outlineLevel="1" x14ac:dyDescent="0.3">
      <c r="C2733" s="13" t="s">
        <v>282</v>
      </c>
      <c r="J2733" s="6">
        <f>SUBTOTAL(9,J2730:J2732)</f>
        <v>292.41999999999996</v>
      </c>
      <c r="K2733" t="s">
        <v>395</v>
      </c>
    </row>
    <row r="2734" spans="3:11" outlineLevel="2" x14ac:dyDescent="0.3">
      <c r="C2734" s="9">
        <v>45195</v>
      </c>
      <c r="D2734" t="s">
        <v>17</v>
      </c>
      <c r="E2734" t="s">
        <v>20</v>
      </c>
      <c r="F2734" t="s">
        <v>24</v>
      </c>
      <c r="G2734" t="s">
        <v>34</v>
      </c>
      <c r="H2734">
        <v>1670</v>
      </c>
      <c r="I2734">
        <v>9</v>
      </c>
      <c r="J2734" s="6">
        <f t="shared" ref="J2734:J2740" si="211">H2734*I2734/1000</f>
        <v>15.03</v>
      </c>
      <c r="K2734" t="s">
        <v>395</v>
      </c>
    </row>
    <row r="2735" spans="3:11" outlineLevel="2" x14ac:dyDescent="0.3">
      <c r="C2735" s="9">
        <v>45195</v>
      </c>
      <c r="D2735" t="s">
        <v>8</v>
      </c>
      <c r="E2735" t="s">
        <v>15</v>
      </c>
      <c r="F2735" t="s">
        <v>24</v>
      </c>
      <c r="G2735" t="s">
        <v>36</v>
      </c>
      <c r="H2735">
        <v>2460</v>
      </c>
      <c r="I2735">
        <v>53</v>
      </c>
      <c r="J2735" s="6">
        <f t="shared" si="211"/>
        <v>130.38</v>
      </c>
      <c r="K2735" t="s">
        <v>395</v>
      </c>
    </row>
    <row r="2736" spans="3:11" outlineLevel="2" x14ac:dyDescent="0.3">
      <c r="C2736" s="9">
        <v>45195</v>
      </c>
      <c r="D2736" t="s">
        <v>45</v>
      </c>
      <c r="E2736" t="s">
        <v>33</v>
      </c>
      <c r="F2736" t="s">
        <v>10</v>
      </c>
      <c r="G2736" t="s">
        <v>41</v>
      </c>
      <c r="H2736">
        <v>650</v>
      </c>
      <c r="I2736">
        <v>82</v>
      </c>
      <c r="J2736" s="6">
        <f t="shared" si="211"/>
        <v>53.3</v>
      </c>
      <c r="K2736" t="s">
        <v>395</v>
      </c>
    </row>
    <row r="2737" spans="3:11" outlineLevel="2" x14ac:dyDescent="0.3">
      <c r="C2737" s="9">
        <v>45195</v>
      </c>
      <c r="D2737" t="s">
        <v>45</v>
      </c>
      <c r="E2737" t="s">
        <v>33</v>
      </c>
      <c r="F2737" t="s">
        <v>13</v>
      </c>
      <c r="G2737" t="s">
        <v>38</v>
      </c>
      <c r="H2737">
        <v>2400</v>
      </c>
      <c r="I2737">
        <v>43</v>
      </c>
      <c r="J2737" s="6">
        <f t="shared" si="211"/>
        <v>103.2</v>
      </c>
      <c r="K2737" t="s">
        <v>395</v>
      </c>
    </row>
    <row r="2738" spans="3:11" outlineLevel="2" x14ac:dyDescent="0.3">
      <c r="C2738" s="9">
        <v>45195</v>
      </c>
      <c r="D2738" t="s">
        <v>12</v>
      </c>
      <c r="E2738" t="s">
        <v>33</v>
      </c>
      <c r="F2738" t="s">
        <v>24</v>
      </c>
      <c r="G2738" t="s">
        <v>36</v>
      </c>
      <c r="H2738">
        <v>2460</v>
      </c>
      <c r="I2738">
        <v>94</v>
      </c>
      <c r="J2738" s="6">
        <f t="shared" si="211"/>
        <v>231.24</v>
      </c>
      <c r="K2738" t="s">
        <v>395</v>
      </c>
    </row>
    <row r="2739" spans="3:11" outlineLevel="2" x14ac:dyDescent="0.3">
      <c r="C2739" s="9">
        <v>45195</v>
      </c>
      <c r="D2739" t="s">
        <v>12</v>
      </c>
      <c r="E2739" t="s">
        <v>35</v>
      </c>
      <c r="F2739" t="s">
        <v>13</v>
      </c>
      <c r="G2739" t="s">
        <v>44</v>
      </c>
      <c r="H2739">
        <v>2540</v>
      </c>
      <c r="I2739">
        <v>8</v>
      </c>
      <c r="J2739" s="6">
        <f t="shared" si="211"/>
        <v>20.32</v>
      </c>
      <c r="K2739" t="s">
        <v>395</v>
      </c>
    </row>
    <row r="2740" spans="3:11" outlineLevel="2" x14ac:dyDescent="0.3">
      <c r="C2740" s="9">
        <v>45195</v>
      </c>
      <c r="D2740" t="s">
        <v>12</v>
      </c>
      <c r="E2740" t="s">
        <v>35</v>
      </c>
      <c r="F2740" t="s">
        <v>24</v>
      </c>
      <c r="G2740" t="s">
        <v>30</v>
      </c>
      <c r="H2740">
        <v>2970</v>
      </c>
      <c r="I2740">
        <v>74</v>
      </c>
      <c r="J2740" s="6">
        <f t="shared" si="211"/>
        <v>219.78</v>
      </c>
      <c r="K2740" t="s">
        <v>395</v>
      </c>
    </row>
    <row r="2741" spans="3:11" outlineLevel="1" x14ac:dyDescent="0.3">
      <c r="C2741" s="13" t="s">
        <v>283</v>
      </c>
      <c r="J2741" s="6">
        <f>SUBTOTAL(9,J2734:J2740)</f>
        <v>773.25</v>
      </c>
      <c r="K2741" t="s">
        <v>395</v>
      </c>
    </row>
    <row r="2742" spans="3:11" outlineLevel="2" x14ac:dyDescent="0.3">
      <c r="C2742" s="9">
        <v>45196</v>
      </c>
      <c r="D2742" t="s">
        <v>12</v>
      </c>
      <c r="E2742" t="s">
        <v>20</v>
      </c>
      <c r="F2742" t="s">
        <v>10</v>
      </c>
      <c r="G2742" t="s">
        <v>39</v>
      </c>
      <c r="H2742">
        <v>650</v>
      </c>
      <c r="I2742">
        <v>60</v>
      </c>
      <c r="J2742" s="6">
        <f t="shared" ref="J2742:J2748" si="212">H2742*I2742/1000</f>
        <v>39</v>
      </c>
      <c r="K2742" t="s">
        <v>395</v>
      </c>
    </row>
    <row r="2743" spans="3:11" outlineLevel="2" x14ac:dyDescent="0.3">
      <c r="C2743" s="9">
        <v>45196</v>
      </c>
      <c r="D2743" t="s">
        <v>12</v>
      </c>
      <c r="E2743" t="s">
        <v>26</v>
      </c>
      <c r="F2743" t="s">
        <v>18</v>
      </c>
      <c r="G2743" t="s">
        <v>27</v>
      </c>
      <c r="H2743">
        <v>460</v>
      </c>
      <c r="I2743">
        <v>39</v>
      </c>
      <c r="J2743" s="6">
        <f t="shared" si="212"/>
        <v>17.940000000000001</v>
      </c>
      <c r="K2743" t="s">
        <v>395</v>
      </c>
    </row>
    <row r="2744" spans="3:11" outlineLevel="2" x14ac:dyDescent="0.3">
      <c r="C2744" s="9">
        <v>45196</v>
      </c>
      <c r="D2744" t="s">
        <v>12</v>
      </c>
      <c r="E2744" t="s">
        <v>26</v>
      </c>
      <c r="F2744" t="s">
        <v>13</v>
      </c>
      <c r="G2744" t="s">
        <v>14</v>
      </c>
      <c r="H2744">
        <v>1320</v>
      </c>
      <c r="I2744">
        <v>82</v>
      </c>
      <c r="J2744" s="6">
        <f t="shared" si="212"/>
        <v>108.24</v>
      </c>
      <c r="K2744" t="s">
        <v>395</v>
      </c>
    </row>
    <row r="2745" spans="3:11" outlineLevel="2" x14ac:dyDescent="0.3">
      <c r="C2745" s="9">
        <v>45196</v>
      </c>
      <c r="D2745" t="s">
        <v>8</v>
      </c>
      <c r="E2745" t="s">
        <v>15</v>
      </c>
      <c r="F2745" t="s">
        <v>10</v>
      </c>
      <c r="G2745" t="s">
        <v>11</v>
      </c>
      <c r="H2745">
        <v>705</v>
      </c>
      <c r="I2745">
        <v>48</v>
      </c>
      <c r="J2745" s="6">
        <f t="shared" si="212"/>
        <v>33.840000000000003</v>
      </c>
      <c r="K2745" t="s">
        <v>395</v>
      </c>
    </row>
    <row r="2746" spans="3:11" outlineLevel="2" x14ac:dyDescent="0.3">
      <c r="C2746" s="9">
        <v>45196</v>
      </c>
      <c r="D2746" t="s">
        <v>17</v>
      </c>
      <c r="E2746" t="s">
        <v>15</v>
      </c>
      <c r="F2746" t="s">
        <v>18</v>
      </c>
      <c r="G2746" t="s">
        <v>31</v>
      </c>
      <c r="H2746">
        <v>715</v>
      </c>
      <c r="I2746">
        <v>46</v>
      </c>
      <c r="J2746" s="6">
        <f t="shared" si="212"/>
        <v>32.89</v>
      </c>
      <c r="K2746" t="s">
        <v>395</v>
      </c>
    </row>
    <row r="2747" spans="3:11" outlineLevel="2" x14ac:dyDescent="0.3">
      <c r="C2747" s="9">
        <v>45196</v>
      </c>
      <c r="D2747" t="s">
        <v>12</v>
      </c>
      <c r="E2747" t="s">
        <v>33</v>
      </c>
      <c r="F2747" t="s">
        <v>24</v>
      </c>
      <c r="G2747" t="s">
        <v>42</v>
      </c>
      <c r="H2747">
        <v>3205</v>
      </c>
      <c r="I2747">
        <v>97</v>
      </c>
      <c r="J2747" s="6">
        <f t="shared" si="212"/>
        <v>310.88499999999999</v>
      </c>
      <c r="K2747" t="s">
        <v>395</v>
      </c>
    </row>
    <row r="2748" spans="3:11" outlineLevel="2" x14ac:dyDescent="0.3">
      <c r="C2748" s="9">
        <v>45196</v>
      </c>
      <c r="D2748" t="s">
        <v>45</v>
      </c>
      <c r="E2748" t="s">
        <v>35</v>
      </c>
      <c r="F2748" t="s">
        <v>13</v>
      </c>
      <c r="G2748" t="s">
        <v>38</v>
      </c>
      <c r="H2748">
        <v>2400</v>
      </c>
      <c r="I2748">
        <v>96</v>
      </c>
      <c r="J2748" s="6">
        <f t="shared" si="212"/>
        <v>230.4</v>
      </c>
      <c r="K2748" t="s">
        <v>395</v>
      </c>
    </row>
    <row r="2749" spans="3:11" outlineLevel="1" x14ac:dyDescent="0.3">
      <c r="C2749" s="13" t="s">
        <v>284</v>
      </c>
      <c r="J2749" s="6">
        <f>SUBTOTAL(9,J2742:J2748)</f>
        <v>773.19500000000005</v>
      </c>
      <c r="K2749" t="s">
        <v>395</v>
      </c>
    </row>
    <row r="2750" spans="3:11" outlineLevel="2" x14ac:dyDescent="0.3">
      <c r="C2750" s="9">
        <v>45197</v>
      </c>
      <c r="D2750" t="s">
        <v>17</v>
      </c>
      <c r="E2750" t="s">
        <v>20</v>
      </c>
      <c r="F2750" t="s">
        <v>10</v>
      </c>
      <c r="G2750" t="s">
        <v>40</v>
      </c>
      <c r="H2750">
        <v>540</v>
      </c>
      <c r="I2750">
        <v>17</v>
      </c>
      <c r="J2750" s="6">
        <f t="shared" ref="J2750:J2759" si="213">H2750*I2750/1000</f>
        <v>9.18</v>
      </c>
      <c r="K2750" t="s">
        <v>395</v>
      </c>
    </row>
    <row r="2751" spans="3:11" outlineLevel="2" x14ac:dyDescent="0.3">
      <c r="C2751" s="9">
        <v>45197</v>
      </c>
      <c r="D2751" t="s">
        <v>17</v>
      </c>
      <c r="E2751" t="s">
        <v>20</v>
      </c>
      <c r="F2751" t="s">
        <v>10</v>
      </c>
      <c r="G2751" t="s">
        <v>40</v>
      </c>
      <c r="H2751">
        <v>540</v>
      </c>
      <c r="I2751">
        <v>83</v>
      </c>
      <c r="J2751" s="6">
        <f t="shared" si="213"/>
        <v>44.82</v>
      </c>
      <c r="K2751" t="s">
        <v>395</v>
      </c>
    </row>
    <row r="2752" spans="3:11" outlineLevel="2" x14ac:dyDescent="0.3">
      <c r="C2752" s="9">
        <v>45197</v>
      </c>
      <c r="D2752" t="s">
        <v>17</v>
      </c>
      <c r="E2752" t="s">
        <v>20</v>
      </c>
      <c r="F2752" t="s">
        <v>18</v>
      </c>
      <c r="G2752" t="s">
        <v>21</v>
      </c>
      <c r="H2752">
        <v>450</v>
      </c>
      <c r="I2752">
        <v>74</v>
      </c>
      <c r="J2752" s="6">
        <f t="shared" si="213"/>
        <v>33.299999999999997</v>
      </c>
      <c r="K2752" t="s">
        <v>395</v>
      </c>
    </row>
    <row r="2753" spans="3:11" outlineLevel="2" x14ac:dyDescent="0.3">
      <c r="C2753" s="9">
        <v>45197</v>
      </c>
      <c r="D2753" t="s">
        <v>45</v>
      </c>
      <c r="E2753" t="s">
        <v>9</v>
      </c>
      <c r="F2753" t="s">
        <v>18</v>
      </c>
      <c r="G2753" t="s">
        <v>19</v>
      </c>
      <c r="H2753">
        <v>325</v>
      </c>
      <c r="I2753">
        <v>97</v>
      </c>
      <c r="J2753" s="6">
        <f t="shared" si="213"/>
        <v>31.524999999999999</v>
      </c>
      <c r="K2753" t="s">
        <v>395</v>
      </c>
    </row>
    <row r="2754" spans="3:11" outlineLevel="2" x14ac:dyDescent="0.3">
      <c r="C2754" s="9">
        <v>45197</v>
      </c>
      <c r="D2754" t="s">
        <v>12</v>
      </c>
      <c r="E2754" t="s">
        <v>26</v>
      </c>
      <c r="F2754" t="s">
        <v>10</v>
      </c>
      <c r="G2754" t="s">
        <v>11</v>
      </c>
      <c r="H2754">
        <v>705</v>
      </c>
      <c r="I2754">
        <v>29</v>
      </c>
      <c r="J2754" s="6">
        <f t="shared" si="213"/>
        <v>20.445</v>
      </c>
      <c r="K2754" t="s">
        <v>395</v>
      </c>
    </row>
    <row r="2755" spans="3:11" outlineLevel="2" x14ac:dyDescent="0.3">
      <c r="C2755" s="9">
        <v>45197</v>
      </c>
      <c r="D2755" t="s">
        <v>12</v>
      </c>
      <c r="E2755" t="s">
        <v>26</v>
      </c>
      <c r="F2755" t="s">
        <v>13</v>
      </c>
      <c r="G2755" t="s">
        <v>43</v>
      </c>
      <c r="H2755">
        <v>1420</v>
      </c>
      <c r="I2755">
        <v>30</v>
      </c>
      <c r="J2755" s="6">
        <f t="shared" si="213"/>
        <v>42.6</v>
      </c>
      <c r="K2755" t="s">
        <v>395</v>
      </c>
    </row>
    <row r="2756" spans="3:11" outlineLevel="2" x14ac:dyDescent="0.3">
      <c r="C2756" s="9">
        <v>45197</v>
      </c>
      <c r="D2756" t="s">
        <v>8</v>
      </c>
      <c r="E2756" t="s">
        <v>15</v>
      </c>
      <c r="F2756" t="s">
        <v>13</v>
      </c>
      <c r="G2756" t="s">
        <v>22</v>
      </c>
      <c r="H2756">
        <v>930</v>
      </c>
      <c r="I2756">
        <v>40</v>
      </c>
      <c r="J2756" s="6">
        <f t="shared" si="213"/>
        <v>37.200000000000003</v>
      </c>
      <c r="K2756" t="s">
        <v>395</v>
      </c>
    </row>
    <row r="2757" spans="3:11" outlineLevel="2" x14ac:dyDescent="0.3">
      <c r="C2757" s="9">
        <v>45197</v>
      </c>
      <c r="D2757" t="s">
        <v>12</v>
      </c>
      <c r="E2757" t="s">
        <v>33</v>
      </c>
      <c r="F2757" t="s">
        <v>18</v>
      </c>
      <c r="G2757" t="s">
        <v>37</v>
      </c>
      <c r="H2757">
        <v>890</v>
      </c>
      <c r="I2757">
        <v>36</v>
      </c>
      <c r="J2757" s="6">
        <f t="shared" si="213"/>
        <v>32.04</v>
      </c>
      <c r="K2757" t="s">
        <v>395</v>
      </c>
    </row>
    <row r="2758" spans="3:11" outlineLevel="2" x14ac:dyDescent="0.3">
      <c r="C2758" s="9">
        <v>45197</v>
      </c>
      <c r="D2758" t="s">
        <v>12</v>
      </c>
      <c r="E2758" t="s">
        <v>33</v>
      </c>
      <c r="F2758" t="s">
        <v>24</v>
      </c>
      <c r="G2758" t="s">
        <v>34</v>
      </c>
      <c r="H2758">
        <v>1670</v>
      </c>
      <c r="I2758">
        <v>22</v>
      </c>
      <c r="J2758" s="6">
        <f t="shared" si="213"/>
        <v>36.74</v>
      </c>
      <c r="K2758" t="s">
        <v>395</v>
      </c>
    </row>
    <row r="2759" spans="3:11" outlineLevel="2" x14ac:dyDescent="0.3">
      <c r="C2759" s="9">
        <v>45197</v>
      </c>
      <c r="D2759" t="s">
        <v>17</v>
      </c>
      <c r="E2759" t="s">
        <v>35</v>
      </c>
      <c r="F2759" t="s">
        <v>10</v>
      </c>
      <c r="G2759" t="s">
        <v>39</v>
      </c>
      <c r="H2759">
        <v>650</v>
      </c>
      <c r="I2759">
        <v>67</v>
      </c>
      <c r="J2759" s="6">
        <f t="shared" si="213"/>
        <v>43.55</v>
      </c>
      <c r="K2759" t="s">
        <v>395</v>
      </c>
    </row>
    <row r="2760" spans="3:11" outlineLevel="1" x14ac:dyDescent="0.3">
      <c r="C2760" s="13" t="s">
        <v>285</v>
      </c>
      <c r="J2760" s="6">
        <f>SUBTOTAL(9,J2750:J2759)</f>
        <v>331.4</v>
      </c>
      <c r="K2760" t="s">
        <v>395</v>
      </c>
    </row>
    <row r="2761" spans="3:11" outlineLevel="2" x14ac:dyDescent="0.3">
      <c r="C2761" s="9">
        <v>45198</v>
      </c>
      <c r="D2761" t="s">
        <v>8</v>
      </c>
      <c r="E2761" t="s">
        <v>20</v>
      </c>
      <c r="F2761" t="s">
        <v>10</v>
      </c>
      <c r="G2761" t="s">
        <v>16</v>
      </c>
      <c r="H2761">
        <v>1380</v>
      </c>
      <c r="I2761">
        <v>58</v>
      </c>
      <c r="J2761" s="6">
        <f t="shared" ref="J2761:J2768" si="214">H2761*I2761/1000</f>
        <v>80.040000000000006</v>
      </c>
      <c r="K2761" t="s">
        <v>395</v>
      </c>
    </row>
    <row r="2762" spans="3:11" outlineLevel="2" x14ac:dyDescent="0.3">
      <c r="C2762" s="9">
        <v>45198</v>
      </c>
      <c r="D2762" t="s">
        <v>12</v>
      </c>
      <c r="E2762" t="s">
        <v>20</v>
      </c>
      <c r="F2762" t="s">
        <v>13</v>
      </c>
      <c r="G2762" t="s">
        <v>29</v>
      </c>
      <c r="H2762">
        <v>1230</v>
      </c>
      <c r="I2762">
        <v>20</v>
      </c>
      <c r="J2762" s="6">
        <f t="shared" si="214"/>
        <v>24.6</v>
      </c>
      <c r="K2762" t="s">
        <v>395</v>
      </c>
    </row>
    <row r="2763" spans="3:11" outlineLevel="2" x14ac:dyDescent="0.3">
      <c r="C2763" s="9">
        <v>45198</v>
      </c>
      <c r="D2763" t="s">
        <v>8</v>
      </c>
      <c r="E2763" t="s">
        <v>26</v>
      </c>
      <c r="F2763" t="s">
        <v>24</v>
      </c>
      <c r="G2763" t="s">
        <v>34</v>
      </c>
      <c r="H2763">
        <v>1670</v>
      </c>
      <c r="I2763">
        <v>67</v>
      </c>
      <c r="J2763" s="6">
        <f t="shared" si="214"/>
        <v>111.89</v>
      </c>
      <c r="K2763" t="s">
        <v>395</v>
      </c>
    </row>
    <row r="2764" spans="3:11" outlineLevel="2" x14ac:dyDescent="0.3">
      <c r="C2764" s="9">
        <v>45198</v>
      </c>
      <c r="D2764" t="s">
        <v>45</v>
      </c>
      <c r="E2764" t="s">
        <v>15</v>
      </c>
      <c r="F2764" t="s">
        <v>10</v>
      </c>
      <c r="G2764" t="s">
        <v>11</v>
      </c>
      <c r="H2764">
        <v>705</v>
      </c>
      <c r="I2764">
        <v>59</v>
      </c>
      <c r="J2764" s="6">
        <f t="shared" si="214"/>
        <v>41.594999999999999</v>
      </c>
      <c r="K2764" t="s">
        <v>395</v>
      </c>
    </row>
    <row r="2765" spans="3:11" outlineLevel="2" x14ac:dyDescent="0.3">
      <c r="C2765" s="9">
        <v>45198</v>
      </c>
      <c r="D2765" t="s">
        <v>12</v>
      </c>
      <c r="E2765" t="s">
        <v>33</v>
      </c>
      <c r="F2765" t="s">
        <v>18</v>
      </c>
      <c r="G2765" t="s">
        <v>19</v>
      </c>
      <c r="H2765">
        <v>325</v>
      </c>
      <c r="I2765">
        <v>52</v>
      </c>
      <c r="J2765" s="6">
        <f t="shared" si="214"/>
        <v>16.899999999999999</v>
      </c>
      <c r="K2765" t="s">
        <v>395</v>
      </c>
    </row>
    <row r="2766" spans="3:11" outlineLevel="2" x14ac:dyDescent="0.3">
      <c r="C2766" s="9">
        <v>45198</v>
      </c>
      <c r="D2766" t="s">
        <v>45</v>
      </c>
      <c r="E2766" t="s">
        <v>33</v>
      </c>
      <c r="F2766" t="s">
        <v>13</v>
      </c>
      <c r="G2766" t="s">
        <v>29</v>
      </c>
      <c r="H2766">
        <v>1230</v>
      </c>
      <c r="I2766">
        <v>22</v>
      </c>
      <c r="J2766" s="6">
        <f t="shared" si="214"/>
        <v>27.06</v>
      </c>
      <c r="K2766" t="s">
        <v>395</v>
      </c>
    </row>
    <row r="2767" spans="3:11" outlineLevel="2" x14ac:dyDescent="0.3">
      <c r="C2767" s="9">
        <v>45198</v>
      </c>
      <c r="D2767" t="s">
        <v>17</v>
      </c>
      <c r="E2767" t="s">
        <v>33</v>
      </c>
      <c r="F2767" t="s">
        <v>13</v>
      </c>
      <c r="G2767" t="s">
        <v>14</v>
      </c>
      <c r="H2767">
        <v>1320</v>
      </c>
      <c r="I2767">
        <v>5</v>
      </c>
      <c r="J2767" s="6">
        <f t="shared" si="214"/>
        <v>6.6</v>
      </c>
      <c r="K2767" t="s">
        <v>395</v>
      </c>
    </row>
    <row r="2768" spans="3:11" outlineLevel="2" x14ac:dyDescent="0.3">
      <c r="C2768" s="9">
        <v>45198</v>
      </c>
      <c r="D2768" t="s">
        <v>45</v>
      </c>
      <c r="E2768" t="s">
        <v>35</v>
      </c>
      <c r="F2768" t="s">
        <v>10</v>
      </c>
      <c r="G2768" t="s">
        <v>41</v>
      </c>
      <c r="H2768">
        <v>650</v>
      </c>
      <c r="I2768">
        <v>25</v>
      </c>
      <c r="J2768" s="6">
        <f t="shared" si="214"/>
        <v>16.25</v>
      </c>
      <c r="K2768" t="s">
        <v>395</v>
      </c>
    </row>
    <row r="2769" spans="3:11" outlineLevel="1" x14ac:dyDescent="0.3">
      <c r="C2769" s="13" t="s">
        <v>286</v>
      </c>
      <c r="J2769" s="6">
        <f>SUBTOTAL(9,J2761:J2768)</f>
        <v>324.935</v>
      </c>
      <c r="K2769" t="s">
        <v>395</v>
      </c>
    </row>
    <row r="2770" spans="3:11" outlineLevel="2" x14ac:dyDescent="0.3">
      <c r="C2770" s="9">
        <v>45199</v>
      </c>
      <c r="D2770" t="s">
        <v>17</v>
      </c>
      <c r="E2770" t="s">
        <v>20</v>
      </c>
      <c r="F2770" t="s">
        <v>13</v>
      </c>
      <c r="G2770" t="s">
        <v>14</v>
      </c>
      <c r="H2770">
        <v>1320</v>
      </c>
      <c r="I2770">
        <v>11</v>
      </c>
      <c r="J2770" s="6">
        <f t="shared" ref="J2770:J2783" si="215">H2770*I2770/1000</f>
        <v>14.52</v>
      </c>
      <c r="K2770" t="s">
        <v>395</v>
      </c>
    </row>
    <row r="2771" spans="3:11" outlineLevel="2" x14ac:dyDescent="0.3">
      <c r="C2771" s="9">
        <v>45199</v>
      </c>
      <c r="D2771" t="s">
        <v>12</v>
      </c>
      <c r="E2771" t="s">
        <v>20</v>
      </c>
      <c r="F2771" t="s">
        <v>13</v>
      </c>
      <c r="G2771" t="s">
        <v>44</v>
      </c>
      <c r="H2771">
        <v>2540</v>
      </c>
      <c r="I2771">
        <v>86</v>
      </c>
      <c r="J2771" s="6">
        <f t="shared" si="215"/>
        <v>218.44</v>
      </c>
      <c r="K2771" t="s">
        <v>395</v>
      </c>
    </row>
    <row r="2772" spans="3:11" outlineLevel="2" x14ac:dyDescent="0.3">
      <c r="C2772" s="9">
        <v>45199</v>
      </c>
      <c r="D2772" t="s">
        <v>17</v>
      </c>
      <c r="E2772" t="s">
        <v>20</v>
      </c>
      <c r="F2772" t="s">
        <v>13</v>
      </c>
      <c r="G2772" t="s">
        <v>29</v>
      </c>
      <c r="H2772">
        <v>1230</v>
      </c>
      <c r="I2772">
        <v>42</v>
      </c>
      <c r="J2772" s="6">
        <f t="shared" si="215"/>
        <v>51.66</v>
      </c>
      <c r="K2772" t="s">
        <v>395</v>
      </c>
    </row>
    <row r="2773" spans="3:11" outlineLevel="2" x14ac:dyDescent="0.3">
      <c r="C2773" s="9">
        <v>45199</v>
      </c>
      <c r="D2773" t="s">
        <v>17</v>
      </c>
      <c r="E2773" t="s">
        <v>20</v>
      </c>
      <c r="F2773" t="s">
        <v>24</v>
      </c>
      <c r="G2773" t="s">
        <v>34</v>
      </c>
      <c r="H2773">
        <v>1670</v>
      </c>
      <c r="I2773">
        <v>73</v>
      </c>
      <c r="J2773" s="6">
        <f t="shared" si="215"/>
        <v>121.91</v>
      </c>
      <c r="K2773" t="s">
        <v>395</v>
      </c>
    </row>
    <row r="2774" spans="3:11" outlineLevel="2" x14ac:dyDescent="0.3">
      <c r="C2774" s="9">
        <v>45199</v>
      </c>
      <c r="D2774" t="s">
        <v>17</v>
      </c>
      <c r="E2774" t="s">
        <v>9</v>
      </c>
      <c r="F2774" t="s">
        <v>10</v>
      </c>
      <c r="G2774" t="s">
        <v>41</v>
      </c>
      <c r="H2774">
        <v>650</v>
      </c>
      <c r="I2774">
        <v>12</v>
      </c>
      <c r="J2774" s="6">
        <f t="shared" si="215"/>
        <v>7.8</v>
      </c>
      <c r="K2774" t="s">
        <v>395</v>
      </c>
    </row>
    <row r="2775" spans="3:11" outlineLevel="2" x14ac:dyDescent="0.3">
      <c r="C2775" s="9">
        <v>45199</v>
      </c>
      <c r="D2775" t="s">
        <v>8</v>
      </c>
      <c r="E2775" t="s">
        <v>9</v>
      </c>
      <c r="F2775" t="s">
        <v>18</v>
      </c>
      <c r="G2775" t="s">
        <v>31</v>
      </c>
      <c r="H2775">
        <v>715</v>
      </c>
      <c r="I2775">
        <v>36</v>
      </c>
      <c r="J2775" s="6">
        <f t="shared" si="215"/>
        <v>25.74</v>
      </c>
      <c r="K2775" t="s">
        <v>395</v>
      </c>
    </row>
    <row r="2776" spans="3:11" outlineLevel="2" x14ac:dyDescent="0.3">
      <c r="C2776" s="9">
        <v>45199</v>
      </c>
      <c r="D2776" t="s">
        <v>8</v>
      </c>
      <c r="E2776" t="s">
        <v>9</v>
      </c>
      <c r="F2776" t="s">
        <v>18</v>
      </c>
      <c r="G2776" t="s">
        <v>37</v>
      </c>
      <c r="H2776">
        <v>890</v>
      </c>
      <c r="I2776">
        <v>75</v>
      </c>
      <c r="J2776" s="6">
        <f t="shared" si="215"/>
        <v>66.75</v>
      </c>
      <c r="K2776" t="s">
        <v>395</v>
      </c>
    </row>
    <row r="2777" spans="3:11" outlineLevel="2" x14ac:dyDescent="0.3">
      <c r="C2777" s="9">
        <v>45199</v>
      </c>
      <c r="D2777" t="s">
        <v>17</v>
      </c>
      <c r="E2777" t="s">
        <v>9</v>
      </c>
      <c r="F2777" t="s">
        <v>24</v>
      </c>
      <c r="G2777" t="s">
        <v>32</v>
      </c>
      <c r="H2777">
        <v>1505</v>
      </c>
      <c r="I2777">
        <v>8</v>
      </c>
      <c r="J2777" s="6">
        <f t="shared" si="215"/>
        <v>12.04</v>
      </c>
      <c r="K2777" t="s">
        <v>395</v>
      </c>
    </row>
    <row r="2778" spans="3:11" outlineLevel="2" x14ac:dyDescent="0.3">
      <c r="C2778" s="9">
        <v>45199</v>
      </c>
      <c r="D2778" t="s">
        <v>45</v>
      </c>
      <c r="E2778" t="s">
        <v>26</v>
      </c>
      <c r="F2778" t="s">
        <v>10</v>
      </c>
      <c r="G2778" t="s">
        <v>41</v>
      </c>
      <c r="H2778">
        <v>650</v>
      </c>
      <c r="I2778">
        <v>45</v>
      </c>
      <c r="J2778" s="6">
        <f t="shared" si="215"/>
        <v>29.25</v>
      </c>
      <c r="K2778" t="s">
        <v>395</v>
      </c>
    </row>
    <row r="2779" spans="3:11" outlineLevel="2" x14ac:dyDescent="0.3">
      <c r="C2779" s="9">
        <v>45199</v>
      </c>
      <c r="D2779" t="s">
        <v>12</v>
      </c>
      <c r="E2779" t="s">
        <v>26</v>
      </c>
      <c r="F2779" t="s">
        <v>13</v>
      </c>
      <c r="G2779" t="s">
        <v>29</v>
      </c>
      <c r="H2779">
        <v>1230</v>
      </c>
      <c r="I2779">
        <v>28</v>
      </c>
      <c r="J2779" s="6">
        <f t="shared" si="215"/>
        <v>34.44</v>
      </c>
      <c r="K2779" t="s">
        <v>395</v>
      </c>
    </row>
    <row r="2780" spans="3:11" outlineLevel="2" x14ac:dyDescent="0.3">
      <c r="C2780" s="9">
        <v>45199</v>
      </c>
      <c r="D2780" t="s">
        <v>17</v>
      </c>
      <c r="E2780" t="s">
        <v>26</v>
      </c>
      <c r="F2780" t="s">
        <v>24</v>
      </c>
      <c r="G2780" t="s">
        <v>36</v>
      </c>
      <c r="H2780">
        <v>2460</v>
      </c>
      <c r="I2780">
        <v>32</v>
      </c>
      <c r="J2780" s="6">
        <f t="shared" si="215"/>
        <v>78.72</v>
      </c>
      <c r="K2780" t="s">
        <v>395</v>
      </c>
    </row>
    <row r="2781" spans="3:11" outlineLevel="2" x14ac:dyDescent="0.3">
      <c r="C2781" s="9">
        <v>45199</v>
      </c>
      <c r="D2781" t="s">
        <v>45</v>
      </c>
      <c r="E2781" t="s">
        <v>15</v>
      </c>
      <c r="F2781" t="s">
        <v>10</v>
      </c>
      <c r="G2781" t="s">
        <v>11</v>
      </c>
      <c r="H2781">
        <v>705</v>
      </c>
      <c r="I2781">
        <v>44</v>
      </c>
      <c r="J2781" s="6">
        <f t="shared" si="215"/>
        <v>31.02</v>
      </c>
      <c r="K2781" t="s">
        <v>395</v>
      </c>
    </row>
    <row r="2782" spans="3:11" outlineLevel="2" x14ac:dyDescent="0.3">
      <c r="C2782" s="9">
        <v>45199</v>
      </c>
      <c r="D2782" t="s">
        <v>8</v>
      </c>
      <c r="E2782" t="s">
        <v>33</v>
      </c>
      <c r="F2782" t="s">
        <v>18</v>
      </c>
      <c r="G2782" t="s">
        <v>19</v>
      </c>
      <c r="H2782">
        <v>325</v>
      </c>
      <c r="I2782">
        <v>43</v>
      </c>
      <c r="J2782" s="6">
        <f t="shared" si="215"/>
        <v>13.975</v>
      </c>
      <c r="K2782" t="s">
        <v>395</v>
      </c>
    </row>
    <row r="2783" spans="3:11" outlineLevel="2" x14ac:dyDescent="0.3">
      <c r="C2783" s="9">
        <v>45199</v>
      </c>
      <c r="D2783" t="s">
        <v>12</v>
      </c>
      <c r="E2783" t="s">
        <v>33</v>
      </c>
      <c r="F2783" t="s">
        <v>18</v>
      </c>
      <c r="G2783" t="s">
        <v>21</v>
      </c>
      <c r="H2783">
        <v>450</v>
      </c>
      <c r="I2783">
        <v>17</v>
      </c>
      <c r="J2783" s="6">
        <f t="shared" si="215"/>
        <v>7.65</v>
      </c>
      <c r="K2783" t="s">
        <v>395</v>
      </c>
    </row>
    <row r="2784" spans="3:11" outlineLevel="1" x14ac:dyDescent="0.3">
      <c r="C2784" s="13" t="s">
        <v>287</v>
      </c>
      <c r="J2784" s="6">
        <f>SUBTOTAL(9,J2770:J2783)</f>
        <v>713.91499999999996</v>
      </c>
    </row>
    <row r="2785" spans="3:11" outlineLevel="2" x14ac:dyDescent="0.3">
      <c r="C2785" s="9">
        <v>45200</v>
      </c>
      <c r="D2785" t="s">
        <v>17</v>
      </c>
      <c r="E2785" t="s">
        <v>20</v>
      </c>
      <c r="F2785" t="s">
        <v>18</v>
      </c>
      <c r="G2785" t="s">
        <v>28</v>
      </c>
      <c r="H2785">
        <v>690</v>
      </c>
      <c r="I2785">
        <v>13</v>
      </c>
      <c r="J2785" s="6">
        <f t="shared" ref="J2785:J2796" si="216">H2785*I2785/1000</f>
        <v>8.9700000000000006</v>
      </c>
      <c r="K2785" t="s">
        <v>396</v>
      </c>
    </row>
    <row r="2786" spans="3:11" outlineLevel="2" x14ac:dyDescent="0.3">
      <c r="C2786" s="9">
        <v>45200</v>
      </c>
      <c r="D2786" t="s">
        <v>17</v>
      </c>
      <c r="E2786" t="s">
        <v>20</v>
      </c>
      <c r="F2786" t="s">
        <v>13</v>
      </c>
      <c r="G2786" t="s">
        <v>29</v>
      </c>
      <c r="H2786">
        <v>1230</v>
      </c>
      <c r="I2786">
        <v>76</v>
      </c>
      <c r="J2786" s="6">
        <f t="shared" si="216"/>
        <v>93.48</v>
      </c>
      <c r="K2786" t="s">
        <v>396</v>
      </c>
    </row>
    <row r="2787" spans="3:11" outlineLevel="2" x14ac:dyDescent="0.3">
      <c r="C2787" s="9">
        <v>45200</v>
      </c>
      <c r="D2787" t="s">
        <v>12</v>
      </c>
      <c r="E2787" t="s">
        <v>20</v>
      </c>
      <c r="F2787" t="s">
        <v>13</v>
      </c>
      <c r="G2787" t="s">
        <v>14</v>
      </c>
      <c r="H2787">
        <v>1320</v>
      </c>
      <c r="I2787">
        <v>39</v>
      </c>
      <c r="J2787" s="6">
        <f t="shared" si="216"/>
        <v>51.48</v>
      </c>
      <c r="K2787" t="s">
        <v>396</v>
      </c>
    </row>
    <row r="2788" spans="3:11" outlineLevel="2" x14ac:dyDescent="0.3">
      <c r="C2788" s="9">
        <v>45200</v>
      </c>
      <c r="D2788" t="s">
        <v>45</v>
      </c>
      <c r="E2788" t="s">
        <v>9</v>
      </c>
      <c r="F2788" t="s">
        <v>18</v>
      </c>
      <c r="G2788" t="s">
        <v>31</v>
      </c>
      <c r="H2788">
        <v>715</v>
      </c>
      <c r="I2788">
        <v>36</v>
      </c>
      <c r="J2788" s="6">
        <f t="shared" si="216"/>
        <v>25.74</v>
      </c>
      <c r="K2788" t="s">
        <v>396</v>
      </c>
    </row>
    <row r="2789" spans="3:11" outlineLevel="2" x14ac:dyDescent="0.3">
      <c r="C2789" s="9">
        <v>45200</v>
      </c>
      <c r="D2789" t="s">
        <v>12</v>
      </c>
      <c r="E2789" t="s">
        <v>9</v>
      </c>
      <c r="F2789" t="s">
        <v>13</v>
      </c>
      <c r="G2789" t="s">
        <v>22</v>
      </c>
      <c r="H2789">
        <v>930</v>
      </c>
      <c r="I2789">
        <v>25</v>
      </c>
      <c r="J2789" s="6">
        <f t="shared" si="216"/>
        <v>23.25</v>
      </c>
      <c r="K2789" t="s">
        <v>396</v>
      </c>
    </row>
    <row r="2790" spans="3:11" outlineLevel="2" x14ac:dyDescent="0.3">
      <c r="C2790" s="9">
        <v>45200</v>
      </c>
      <c r="D2790" t="s">
        <v>12</v>
      </c>
      <c r="E2790" t="s">
        <v>9</v>
      </c>
      <c r="F2790" t="s">
        <v>24</v>
      </c>
      <c r="G2790" t="s">
        <v>32</v>
      </c>
      <c r="H2790">
        <v>1505</v>
      </c>
      <c r="I2790">
        <v>87</v>
      </c>
      <c r="J2790" s="6">
        <f t="shared" si="216"/>
        <v>130.935</v>
      </c>
      <c r="K2790" t="s">
        <v>396</v>
      </c>
    </row>
    <row r="2791" spans="3:11" outlineLevel="2" x14ac:dyDescent="0.3">
      <c r="C2791" s="9">
        <v>45200</v>
      </c>
      <c r="D2791" t="s">
        <v>8</v>
      </c>
      <c r="E2791" t="s">
        <v>9</v>
      </c>
      <c r="F2791" t="s">
        <v>24</v>
      </c>
      <c r="G2791" t="s">
        <v>32</v>
      </c>
      <c r="H2791">
        <v>1505</v>
      </c>
      <c r="I2791">
        <v>11</v>
      </c>
      <c r="J2791" s="6">
        <f t="shared" si="216"/>
        <v>16.555</v>
      </c>
      <c r="K2791" t="s">
        <v>396</v>
      </c>
    </row>
    <row r="2792" spans="3:11" outlineLevel="2" x14ac:dyDescent="0.3">
      <c r="C2792" s="9">
        <v>45200</v>
      </c>
      <c r="D2792" t="s">
        <v>8</v>
      </c>
      <c r="E2792" t="s">
        <v>26</v>
      </c>
      <c r="F2792" t="s">
        <v>13</v>
      </c>
      <c r="G2792" t="s">
        <v>29</v>
      </c>
      <c r="H2792">
        <v>1230</v>
      </c>
      <c r="I2792">
        <v>7</v>
      </c>
      <c r="J2792" s="6">
        <f t="shared" si="216"/>
        <v>8.61</v>
      </c>
      <c r="K2792" t="s">
        <v>396</v>
      </c>
    </row>
    <row r="2793" spans="3:11" outlineLevel="2" x14ac:dyDescent="0.3">
      <c r="C2793" s="9">
        <v>45200</v>
      </c>
      <c r="D2793" t="s">
        <v>8</v>
      </c>
      <c r="E2793" t="s">
        <v>26</v>
      </c>
      <c r="F2793" t="s">
        <v>13</v>
      </c>
      <c r="G2793" t="s">
        <v>22</v>
      </c>
      <c r="H2793">
        <v>930</v>
      </c>
      <c r="I2793">
        <v>49</v>
      </c>
      <c r="J2793" s="6">
        <f t="shared" si="216"/>
        <v>45.57</v>
      </c>
      <c r="K2793" t="s">
        <v>396</v>
      </c>
    </row>
    <row r="2794" spans="3:11" outlineLevel="2" x14ac:dyDescent="0.3">
      <c r="C2794" s="9">
        <v>45200</v>
      </c>
      <c r="D2794" t="s">
        <v>12</v>
      </c>
      <c r="E2794" t="s">
        <v>15</v>
      </c>
      <c r="F2794" t="s">
        <v>10</v>
      </c>
      <c r="G2794" t="s">
        <v>41</v>
      </c>
      <c r="H2794">
        <v>650</v>
      </c>
      <c r="I2794">
        <v>89</v>
      </c>
      <c r="J2794" s="6">
        <f t="shared" si="216"/>
        <v>57.85</v>
      </c>
      <c r="K2794" t="s">
        <v>396</v>
      </c>
    </row>
    <row r="2795" spans="3:11" outlineLevel="2" x14ac:dyDescent="0.3">
      <c r="C2795" s="9">
        <v>45200</v>
      </c>
      <c r="D2795" t="s">
        <v>45</v>
      </c>
      <c r="E2795" t="s">
        <v>35</v>
      </c>
      <c r="F2795" t="s">
        <v>18</v>
      </c>
      <c r="G2795" t="s">
        <v>21</v>
      </c>
      <c r="H2795">
        <v>450</v>
      </c>
      <c r="I2795">
        <v>28</v>
      </c>
      <c r="J2795" s="6">
        <f t="shared" si="216"/>
        <v>12.6</v>
      </c>
      <c r="K2795" t="s">
        <v>396</v>
      </c>
    </row>
    <row r="2796" spans="3:11" outlineLevel="2" x14ac:dyDescent="0.3">
      <c r="C2796" s="9">
        <v>45200</v>
      </c>
      <c r="D2796" t="s">
        <v>45</v>
      </c>
      <c r="E2796" t="s">
        <v>35</v>
      </c>
      <c r="F2796" t="s">
        <v>24</v>
      </c>
      <c r="G2796" t="s">
        <v>34</v>
      </c>
      <c r="H2796">
        <v>1670</v>
      </c>
      <c r="I2796">
        <v>99</v>
      </c>
      <c r="J2796" s="6">
        <f t="shared" si="216"/>
        <v>165.33</v>
      </c>
      <c r="K2796" t="s">
        <v>396</v>
      </c>
    </row>
    <row r="2797" spans="3:11" outlineLevel="1" x14ac:dyDescent="0.3">
      <c r="C2797" s="13" t="s">
        <v>288</v>
      </c>
      <c r="J2797" s="6">
        <f>SUBTOTAL(9,J2785:J2796)</f>
        <v>640.37000000000012</v>
      </c>
      <c r="K2797" t="s">
        <v>396</v>
      </c>
    </row>
    <row r="2798" spans="3:11" outlineLevel="2" x14ac:dyDescent="0.3">
      <c r="C2798" s="9">
        <v>45201</v>
      </c>
      <c r="D2798" t="s">
        <v>17</v>
      </c>
      <c r="E2798" t="s">
        <v>20</v>
      </c>
      <c r="F2798" t="s">
        <v>18</v>
      </c>
      <c r="G2798" t="s">
        <v>19</v>
      </c>
      <c r="H2798">
        <v>325</v>
      </c>
      <c r="I2798">
        <v>99</v>
      </c>
      <c r="J2798" s="6">
        <f t="shared" ref="J2798:J2805" si="217">H2798*I2798/1000</f>
        <v>32.174999999999997</v>
      </c>
      <c r="K2798" t="s">
        <v>396</v>
      </c>
    </row>
    <row r="2799" spans="3:11" outlineLevel="2" x14ac:dyDescent="0.3">
      <c r="C2799" s="9">
        <v>45201</v>
      </c>
      <c r="D2799" t="s">
        <v>8</v>
      </c>
      <c r="E2799" t="s">
        <v>20</v>
      </c>
      <c r="F2799" t="s">
        <v>13</v>
      </c>
      <c r="G2799" t="s">
        <v>14</v>
      </c>
      <c r="H2799">
        <v>1320</v>
      </c>
      <c r="I2799">
        <v>60</v>
      </c>
      <c r="J2799" s="6">
        <f t="shared" si="217"/>
        <v>79.2</v>
      </c>
      <c r="K2799" t="s">
        <v>396</v>
      </c>
    </row>
    <row r="2800" spans="3:11" outlineLevel="2" x14ac:dyDescent="0.3">
      <c r="C2800" s="9">
        <v>45201</v>
      </c>
      <c r="D2800" t="s">
        <v>45</v>
      </c>
      <c r="E2800" t="s">
        <v>9</v>
      </c>
      <c r="F2800" t="s">
        <v>18</v>
      </c>
      <c r="G2800" t="s">
        <v>19</v>
      </c>
      <c r="H2800">
        <v>325</v>
      </c>
      <c r="I2800">
        <v>91</v>
      </c>
      <c r="J2800" s="6">
        <f t="shared" si="217"/>
        <v>29.574999999999999</v>
      </c>
      <c r="K2800" t="s">
        <v>396</v>
      </c>
    </row>
    <row r="2801" spans="3:11" outlineLevel="2" x14ac:dyDescent="0.3">
      <c r="C2801" s="9">
        <v>45201</v>
      </c>
      <c r="D2801" t="s">
        <v>12</v>
      </c>
      <c r="E2801" t="s">
        <v>9</v>
      </c>
      <c r="F2801" t="s">
        <v>24</v>
      </c>
      <c r="G2801" t="s">
        <v>30</v>
      </c>
      <c r="H2801">
        <v>2970</v>
      </c>
      <c r="I2801">
        <v>52</v>
      </c>
      <c r="J2801" s="6">
        <f t="shared" si="217"/>
        <v>154.44</v>
      </c>
      <c r="K2801" t="s">
        <v>396</v>
      </c>
    </row>
    <row r="2802" spans="3:11" outlineLevel="2" x14ac:dyDescent="0.3">
      <c r="C2802" s="9">
        <v>45201</v>
      </c>
      <c r="D2802" t="s">
        <v>8</v>
      </c>
      <c r="E2802" t="s">
        <v>26</v>
      </c>
      <c r="F2802" t="s">
        <v>13</v>
      </c>
      <c r="G2802" t="s">
        <v>43</v>
      </c>
      <c r="H2802">
        <v>1420</v>
      </c>
      <c r="I2802">
        <v>53</v>
      </c>
      <c r="J2802" s="6">
        <f t="shared" si="217"/>
        <v>75.260000000000005</v>
      </c>
      <c r="K2802" t="s">
        <v>396</v>
      </c>
    </row>
    <row r="2803" spans="3:11" outlineLevel="2" x14ac:dyDescent="0.3">
      <c r="C2803" s="9">
        <v>45201</v>
      </c>
      <c r="D2803" t="s">
        <v>8</v>
      </c>
      <c r="E2803" t="s">
        <v>15</v>
      </c>
      <c r="F2803" t="s">
        <v>24</v>
      </c>
      <c r="G2803" t="s">
        <v>42</v>
      </c>
      <c r="H2803">
        <v>3205</v>
      </c>
      <c r="I2803">
        <v>82</v>
      </c>
      <c r="J2803" s="6">
        <f t="shared" si="217"/>
        <v>262.81</v>
      </c>
      <c r="K2803" t="s">
        <v>396</v>
      </c>
    </row>
    <row r="2804" spans="3:11" outlineLevel="2" x14ac:dyDescent="0.3">
      <c r="C2804" s="9">
        <v>45201</v>
      </c>
      <c r="D2804" t="s">
        <v>12</v>
      </c>
      <c r="E2804" t="s">
        <v>33</v>
      </c>
      <c r="F2804" t="s">
        <v>13</v>
      </c>
      <c r="G2804" t="s">
        <v>44</v>
      </c>
      <c r="H2804">
        <v>2540</v>
      </c>
      <c r="I2804">
        <v>29</v>
      </c>
      <c r="J2804" s="6">
        <f t="shared" si="217"/>
        <v>73.66</v>
      </c>
      <c r="K2804" t="s">
        <v>396</v>
      </c>
    </row>
    <row r="2805" spans="3:11" outlineLevel="2" x14ac:dyDescent="0.3">
      <c r="C2805" s="9">
        <v>45201</v>
      </c>
      <c r="D2805" t="s">
        <v>8</v>
      </c>
      <c r="E2805" t="s">
        <v>35</v>
      </c>
      <c r="F2805" t="s">
        <v>13</v>
      </c>
      <c r="G2805" t="s">
        <v>38</v>
      </c>
      <c r="H2805">
        <v>2400</v>
      </c>
      <c r="I2805">
        <v>38</v>
      </c>
      <c r="J2805" s="6">
        <f t="shared" si="217"/>
        <v>91.2</v>
      </c>
      <c r="K2805" t="s">
        <v>396</v>
      </c>
    </row>
    <row r="2806" spans="3:11" outlineLevel="1" x14ac:dyDescent="0.3">
      <c r="C2806" s="13" t="s">
        <v>289</v>
      </c>
      <c r="J2806" s="6">
        <f>SUBTOTAL(9,J2798:J2805)</f>
        <v>798.32</v>
      </c>
      <c r="K2806" t="s">
        <v>396</v>
      </c>
    </row>
    <row r="2807" spans="3:11" outlineLevel="2" x14ac:dyDescent="0.3">
      <c r="C2807" s="9">
        <v>45202</v>
      </c>
      <c r="D2807" t="s">
        <v>17</v>
      </c>
      <c r="E2807" t="s">
        <v>20</v>
      </c>
      <c r="F2807" t="s">
        <v>10</v>
      </c>
      <c r="G2807" t="s">
        <v>23</v>
      </c>
      <c r="H2807">
        <v>640</v>
      </c>
      <c r="I2807">
        <v>22</v>
      </c>
      <c r="J2807" s="6">
        <f t="shared" ref="J2807:J2817" si="218">H2807*I2807/1000</f>
        <v>14.08</v>
      </c>
      <c r="K2807" t="s">
        <v>396</v>
      </c>
    </row>
    <row r="2808" spans="3:11" outlineLevel="2" x14ac:dyDescent="0.3">
      <c r="C2808" s="9">
        <v>45202</v>
      </c>
      <c r="D2808" t="s">
        <v>12</v>
      </c>
      <c r="E2808" t="s">
        <v>20</v>
      </c>
      <c r="F2808" t="s">
        <v>13</v>
      </c>
      <c r="G2808" t="s">
        <v>38</v>
      </c>
      <c r="H2808">
        <v>2400</v>
      </c>
      <c r="I2808">
        <v>77</v>
      </c>
      <c r="J2808" s="6">
        <f t="shared" si="218"/>
        <v>184.8</v>
      </c>
      <c r="K2808" t="s">
        <v>396</v>
      </c>
    </row>
    <row r="2809" spans="3:11" outlineLevel="2" x14ac:dyDescent="0.3">
      <c r="C2809" s="9">
        <v>45202</v>
      </c>
      <c r="D2809" t="s">
        <v>8</v>
      </c>
      <c r="E2809" t="s">
        <v>20</v>
      </c>
      <c r="F2809" t="s">
        <v>13</v>
      </c>
      <c r="G2809" t="s">
        <v>22</v>
      </c>
      <c r="H2809">
        <v>930</v>
      </c>
      <c r="I2809">
        <v>41</v>
      </c>
      <c r="J2809" s="6">
        <f t="shared" si="218"/>
        <v>38.130000000000003</v>
      </c>
      <c r="K2809" t="s">
        <v>396</v>
      </c>
    </row>
    <row r="2810" spans="3:11" outlineLevel="2" x14ac:dyDescent="0.3">
      <c r="C2810" s="9">
        <v>45202</v>
      </c>
      <c r="D2810" t="s">
        <v>8</v>
      </c>
      <c r="E2810" t="s">
        <v>20</v>
      </c>
      <c r="F2810" t="s">
        <v>24</v>
      </c>
      <c r="G2810" t="s">
        <v>42</v>
      </c>
      <c r="H2810">
        <v>3205</v>
      </c>
      <c r="I2810">
        <v>57</v>
      </c>
      <c r="J2810" s="6">
        <f t="shared" si="218"/>
        <v>182.685</v>
      </c>
      <c r="K2810" t="s">
        <v>396</v>
      </c>
    </row>
    <row r="2811" spans="3:11" outlineLevel="2" x14ac:dyDescent="0.3">
      <c r="C2811" s="9">
        <v>45202</v>
      </c>
      <c r="D2811" t="s">
        <v>8</v>
      </c>
      <c r="E2811" t="s">
        <v>26</v>
      </c>
      <c r="F2811" t="s">
        <v>13</v>
      </c>
      <c r="G2811" t="s">
        <v>14</v>
      </c>
      <c r="H2811">
        <v>1320</v>
      </c>
      <c r="I2811">
        <v>29</v>
      </c>
      <c r="J2811" s="6">
        <f t="shared" si="218"/>
        <v>38.28</v>
      </c>
      <c r="K2811" t="s">
        <v>396</v>
      </c>
    </row>
    <row r="2812" spans="3:11" outlineLevel="2" x14ac:dyDescent="0.3">
      <c r="C2812" s="9">
        <v>45202</v>
      </c>
      <c r="D2812" t="s">
        <v>12</v>
      </c>
      <c r="E2812" t="s">
        <v>26</v>
      </c>
      <c r="F2812" t="s">
        <v>13</v>
      </c>
      <c r="G2812" t="s">
        <v>43</v>
      </c>
      <c r="H2812">
        <v>1420</v>
      </c>
      <c r="I2812">
        <v>88</v>
      </c>
      <c r="J2812" s="6">
        <f t="shared" si="218"/>
        <v>124.96</v>
      </c>
      <c r="K2812" t="s">
        <v>396</v>
      </c>
    </row>
    <row r="2813" spans="3:11" outlineLevel="2" x14ac:dyDescent="0.3">
      <c r="C2813" s="9">
        <v>45202</v>
      </c>
      <c r="D2813" t="s">
        <v>12</v>
      </c>
      <c r="E2813" t="s">
        <v>15</v>
      </c>
      <c r="F2813" t="s">
        <v>13</v>
      </c>
      <c r="G2813" t="s">
        <v>14</v>
      </c>
      <c r="H2813">
        <v>1320</v>
      </c>
      <c r="I2813">
        <v>70</v>
      </c>
      <c r="J2813" s="6">
        <f t="shared" si="218"/>
        <v>92.4</v>
      </c>
      <c r="K2813" t="s">
        <v>396</v>
      </c>
    </row>
    <row r="2814" spans="3:11" outlineLevel="2" x14ac:dyDescent="0.3">
      <c r="C2814" s="9">
        <v>45202</v>
      </c>
      <c r="D2814" t="s">
        <v>12</v>
      </c>
      <c r="E2814" t="s">
        <v>15</v>
      </c>
      <c r="F2814" t="s">
        <v>13</v>
      </c>
      <c r="G2814" t="s">
        <v>44</v>
      </c>
      <c r="H2814">
        <v>2540</v>
      </c>
      <c r="I2814">
        <v>15</v>
      </c>
      <c r="J2814" s="6">
        <f t="shared" si="218"/>
        <v>38.1</v>
      </c>
      <c r="K2814" t="s">
        <v>396</v>
      </c>
    </row>
    <row r="2815" spans="3:11" outlineLevel="2" x14ac:dyDescent="0.3">
      <c r="C2815" s="9">
        <v>45202</v>
      </c>
      <c r="D2815" t="s">
        <v>8</v>
      </c>
      <c r="E2815" t="s">
        <v>33</v>
      </c>
      <c r="F2815" t="s">
        <v>13</v>
      </c>
      <c r="G2815" t="s">
        <v>22</v>
      </c>
      <c r="H2815">
        <v>930</v>
      </c>
      <c r="I2815">
        <v>70</v>
      </c>
      <c r="J2815" s="6">
        <f t="shared" si="218"/>
        <v>65.099999999999994</v>
      </c>
      <c r="K2815" t="s">
        <v>396</v>
      </c>
    </row>
    <row r="2816" spans="3:11" outlineLevel="2" x14ac:dyDescent="0.3">
      <c r="C2816" s="9">
        <v>45202</v>
      </c>
      <c r="D2816" t="s">
        <v>17</v>
      </c>
      <c r="E2816" t="s">
        <v>33</v>
      </c>
      <c r="F2816" t="s">
        <v>13</v>
      </c>
      <c r="G2816" t="s">
        <v>43</v>
      </c>
      <c r="H2816">
        <v>1420</v>
      </c>
      <c r="I2816">
        <v>68</v>
      </c>
      <c r="J2816" s="6">
        <f t="shared" si="218"/>
        <v>96.56</v>
      </c>
      <c r="K2816" t="s">
        <v>396</v>
      </c>
    </row>
    <row r="2817" spans="3:11" outlineLevel="2" x14ac:dyDescent="0.3">
      <c r="C2817" s="9">
        <v>45202</v>
      </c>
      <c r="D2817" t="s">
        <v>17</v>
      </c>
      <c r="E2817" t="s">
        <v>35</v>
      </c>
      <c r="F2817" t="s">
        <v>18</v>
      </c>
      <c r="G2817" t="s">
        <v>19</v>
      </c>
      <c r="H2817">
        <v>325</v>
      </c>
      <c r="I2817">
        <v>57</v>
      </c>
      <c r="J2817" s="6">
        <f t="shared" si="218"/>
        <v>18.524999999999999</v>
      </c>
      <c r="K2817" t="s">
        <v>396</v>
      </c>
    </row>
    <row r="2818" spans="3:11" outlineLevel="1" x14ac:dyDescent="0.3">
      <c r="C2818" s="13" t="s">
        <v>290</v>
      </c>
      <c r="J2818" s="6">
        <f>SUBTOTAL(9,J2807:J2817)</f>
        <v>893.62</v>
      </c>
      <c r="K2818" t="s">
        <v>396</v>
      </c>
    </row>
    <row r="2819" spans="3:11" outlineLevel="2" x14ac:dyDescent="0.3">
      <c r="C2819" s="9">
        <v>45203</v>
      </c>
      <c r="D2819" t="s">
        <v>17</v>
      </c>
      <c r="E2819" t="s">
        <v>9</v>
      </c>
      <c r="F2819" t="s">
        <v>18</v>
      </c>
      <c r="G2819" t="s">
        <v>21</v>
      </c>
      <c r="H2819">
        <v>450</v>
      </c>
      <c r="I2819">
        <v>99</v>
      </c>
      <c r="J2819" s="6">
        <f t="shared" ref="J2819:J2830" si="219">H2819*I2819/1000</f>
        <v>44.55</v>
      </c>
      <c r="K2819" t="s">
        <v>396</v>
      </c>
    </row>
    <row r="2820" spans="3:11" outlineLevel="2" x14ac:dyDescent="0.3">
      <c r="C2820" s="9">
        <v>45203</v>
      </c>
      <c r="D2820" t="s">
        <v>12</v>
      </c>
      <c r="E2820" t="s">
        <v>26</v>
      </c>
      <c r="F2820" t="s">
        <v>18</v>
      </c>
      <c r="G2820" t="s">
        <v>27</v>
      </c>
      <c r="H2820">
        <v>460</v>
      </c>
      <c r="I2820">
        <v>97</v>
      </c>
      <c r="J2820" s="6">
        <f t="shared" si="219"/>
        <v>44.62</v>
      </c>
      <c r="K2820" t="s">
        <v>396</v>
      </c>
    </row>
    <row r="2821" spans="3:11" outlineLevel="2" x14ac:dyDescent="0.3">
      <c r="C2821" s="9">
        <v>45203</v>
      </c>
      <c r="D2821" t="s">
        <v>45</v>
      </c>
      <c r="E2821" t="s">
        <v>26</v>
      </c>
      <c r="F2821" t="s">
        <v>18</v>
      </c>
      <c r="G2821" t="s">
        <v>27</v>
      </c>
      <c r="H2821">
        <v>460</v>
      </c>
      <c r="I2821">
        <v>48</v>
      </c>
      <c r="J2821" s="6">
        <f t="shared" si="219"/>
        <v>22.08</v>
      </c>
      <c r="K2821" t="s">
        <v>396</v>
      </c>
    </row>
    <row r="2822" spans="3:11" outlineLevel="2" x14ac:dyDescent="0.3">
      <c r="C2822" s="9">
        <v>45203</v>
      </c>
      <c r="D2822" t="s">
        <v>12</v>
      </c>
      <c r="E2822" t="s">
        <v>15</v>
      </c>
      <c r="F2822" t="s">
        <v>18</v>
      </c>
      <c r="G2822" t="s">
        <v>21</v>
      </c>
      <c r="H2822">
        <v>450</v>
      </c>
      <c r="I2822">
        <v>53</v>
      </c>
      <c r="J2822" s="6">
        <f t="shared" si="219"/>
        <v>23.85</v>
      </c>
      <c r="K2822" t="s">
        <v>396</v>
      </c>
    </row>
    <row r="2823" spans="3:11" outlineLevel="2" x14ac:dyDescent="0.3">
      <c r="C2823" s="9">
        <v>45203</v>
      </c>
      <c r="D2823" t="s">
        <v>17</v>
      </c>
      <c r="E2823" t="s">
        <v>15</v>
      </c>
      <c r="F2823" t="s">
        <v>13</v>
      </c>
      <c r="G2823" t="s">
        <v>22</v>
      </c>
      <c r="H2823">
        <v>930</v>
      </c>
      <c r="I2823">
        <v>100</v>
      </c>
      <c r="J2823" s="6">
        <f t="shared" si="219"/>
        <v>93</v>
      </c>
      <c r="K2823" t="s">
        <v>396</v>
      </c>
    </row>
    <row r="2824" spans="3:11" outlineLevel="2" x14ac:dyDescent="0.3">
      <c r="C2824" s="9">
        <v>45203</v>
      </c>
      <c r="D2824" t="s">
        <v>45</v>
      </c>
      <c r="E2824" t="s">
        <v>15</v>
      </c>
      <c r="F2824" t="s">
        <v>24</v>
      </c>
      <c r="G2824" t="s">
        <v>30</v>
      </c>
      <c r="H2824">
        <v>2970</v>
      </c>
      <c r="I2824">
        <v>11</v>
      </c>
      <c r="J2824" s="6">
        <f t="shared" si="219"/>
        <v>32.67</v>
      </c>
      <c r="K2824" t="s">
        <v>396</v>
      </c>
    </row>
    <row r="2825" spans="3:11" outlineLevel="2" x14ac:dyDescent="0.3">
      <c r="C2825" s="9">
        <v>45203</v>
      </c>
      <c r="D2825" t="s">
        <v>8</v>
      </c>
      <c r="E2825" t="s">
        <v>15</v>
      </c>
      <c r="F2825" t="s">
        <v>24</v>
      </c>
      <c r="G2825" t="s">
        <v>42</v>
      </c>
      <c r="H2825">
        <v>3205</v>
      </c>
      <c r="I2825">
        <v>50</v>
      </c>
      <c r="J2825" s="6">
        <f t="shared" si="219"/>
        <v>160.25</v>
      </c>
      <c r="K2825" t="s">
        <v>396</v>
      </c>
    </row>
    <row r="2826" spans="3:11" outlineLevel="2" x14ac:dyDescent="0.3">
      <c r="C2826" s="9">
        <v>45203</v>
      </c>
      <c r="D2826" t="s">
        <v>45</v>
      </c>
      <c r="E2826" t="s">
        <v>33</v>
      </c>
      <c r="F2826" t="s">
        <v>18</v>
      </c>
      <c r="G2826" t="s">
        <v>37</v>
      </c>
      <c r="H2826">
        <v>890</v>
      </c>
      <c r="I2826">
        <v>90</v>
      </c>
      <c r="J2826" s="6">
        <f t="shared" si="219"/>
        <v>80.099999999999994</v>
      </c>
      <c r="K2826" t="s">
        <v>396</v>
      </c>
    </row>
    <row r="2827" spans="3:11" outlineLevel="2" x14ac:dyDescent="0.3">
      <c r="C2827" s="9">
        <v>45203</v>
      </c>
      <c r="D2827" t="s">
        <v>12</v>
      </c>
      <c r="E2827" t="s">
        <v>33</v>
      </c>
      <c r="F2827" t="s">
        <v>13</v>
      </c>
      <c r="G2827" t="s">
        <v>14</v>
      </c>
      <c r="H2827">
        <v>1320</v>
      </c>
      <c r="I2827">
        <v>32</v>
      </c>
      <c r="J2827" s="6">
        <f t="shared" si="219"/>
        <v>42.24</v>
      </c>
      <c r="K2827" t="s">
        <v>396</v>
      </c>
    </row>
    <row r="2828" spans="3:11" outlineLevel="2" x14ac:dyDescent="0.3">
      <c r="C2828" s="9">
        <v>45203</v>
      </c>
      <c r="D2828" t="s">
        <v>17</v>
      </c>
      <c r="E2828" t="s">
        <v>35</v>
      </c>
      <c r="F2828" t="s">
        <v>10</v>
      </c>
      <c r="G2828" t="s">
        <v>16</v>
      </c>
      <c r="H2828">
        <v>1380</v>
      </c>
      <c r="I2828">
        <v>17</v>
      </c>
      <c r="J2828" s="6">
        <f t="shared" si="219"/>
        <v>23.46</v>
      </c>
      <c r="K2828" t="s">
        <v>396</v>
      </c>
    </row>
    <row r="2829" spans="3:11" outlineLevel="2" x14ac:dyDescent="0.3">
      <c r="C2829" s="9">
        <v>45203</v>
      </c>
      <c r="D2829" t="s">
        <v>8</v>
      </c>
      <c r="E2829" t="s">
        <v>35</v>
      </c>
      <c r="F2829" t="s">
        <v>13</v>
      </c>
      <c r="G2829" t="s">
        <v>29</v>
      </c>
      <c r="H2829">
        <v>1230</v>
      </c>
      <c r="I2829">
        <v>44</v>
      </c>
      <c r="J2829" s="6">
        <f t="shared" si="219"/>
        <v>54.12</v>
      </c>
      <c r="K2829" t="s">
        <v>396</v>
      </c>
    </row>
    <row r="2830" spans="3:11" outlineLevel="2" x14ac:dyDescent="0.3">
      <c r="C2830" s="9">
        <v>45203</v>
      </c>
      <c r="D2830" t="s">
        <v>17</v>
      </c>
      <c r="E2830" t="s">
        <v>35</v>
      </c>
      <c r="F2830" t="s">
        <v>24</v>
      </c>
      <c r="G2830" t="s">
        <v>36</v>
      </c>
      <c r="H2830">
        <v>2460</v>
      </c>
      <c r="I2830">
        <v>90</v>
      </c>
      <c r="J2830" s="6">
        <f t="shared" si="219"/>
        <v>221.4</v>
      </c>
      <c r="K2830" t="s">
        <v>396</v>
      </c>
    </row>
    <row r="2831" spans="3:11" outlineLevel="1" x14ac:dyDescent="0.3">
      <c r="C2831" s="13" t="s">
        <v>291</v>
      </c>
      <c r="J2831" s="6">
        <f>SUBTOTAL(9,J2819:J2830)</f>
        <v>842.34</v>
      </c>
      <c r="K2831" t="s">
        <v>396</v>
      </c>
    </row>
    <row r="2832" spans="3:11" outlineLevel="2" x14ac:dyDescent="0.3">
      <c r="C2832" s="9">
        <v>45204</v>
      </c>
      <c r="D2832" t="s">
        <v>8</v>
      </c>
      <c r="E2832" t="s">
        <v>20</v>
      </c>
      <c r="F2832" t="s">
        <v>13</v>
      </c>
      <c r="G2832" t="s">
        <v>44</v>
      </c>
      <c r="H2832">
        <v>2540</v>
      </c>
      <c r="I2832">
        <v>87</v>
      </c>
      <c r="J2832" s="6">
        <f t="shared" ref="J2832:J2840" si="220">H2832*I2832/1000</f>
        <v>220.98</v>
      </c>
      <c r="K2832" t="s">
        <v>396</v>
      </c>
    </row>
    <row r="2833" spans="3:11" outlineLevel="2" x14ac:dyDescent="0.3">
      <c r="C2833" s="9">
        <v>45204</v>
      </c>
      <c r="D2833" t="s">
        <v>45</v>
      </c>
      <c r="E2833" t="s">
        <v>15</v>
      </c>
      <c r="F2833" t="s">
        <v>10</v>
      </c>
      <c r="G2833" t="s">
        <v>40</v>
      </c>
      <c r="H2833">
        <v>540</v>
      </c>
      <c r="I2833">
        <v>17</v>
      </c>
      <c r="J2833" s="6">
        <f t="shared" si="220"/>
        <v>9.18</v>
      </c>
      <c r="K2833" t="s">
        <v>396</v>
      </c>
    </row>
    <row r="2834" spans="3:11" outlineLevel="2" x14ac:dyDescent="0.3">
      <c r="C2834" s="9">
        <v>45204</v>
      </c>
      <c r="D2834" t="s">
        <v>45</v>
      </c>
      <c r="E2834" t="s">
        <v>15</v>
      </c>
      <c r="F2834" t="s">
        <v>24</v>
      </c>
      <c r="G2834" t="s">
        <v>25</v>
      </c>
      <c r="H2834">
        <v>1760</v>
      </c>
      <c r="I2834">
        <v>61</v>
      </c>
      <c r="J2834" s="6">
        <f t="shared" si="220"/>
        <v>107.36</v>
      </c>
      <c r="K2834" t="s">
        <v>396</v>
      </c>
    </row>
    <row r="2835" spans="3:11" outlineLevel="2" x14ac:dyDescent="0.3">
      <c r="C2835" s="9">
        <v>45204</v>
      </c>
      <c r="D2835" t="s">
        <v>17</v>
      </c>
      <c r="E2835" t="s">
        <v>15</v>
      </c>
      <c r="F2835" t="s">
        <v>24</v>
      </c>
      <c r="G2835" t="s">
        <v>32</v>
      </c>
      <c r="H2835">
        <v>1505</v>
      </c>
      <c r="I2835">
        <v>47</v>
      </c>
      <c r="J2835" s="6">
        <f t="shared" si="220"/>
        <v>70.734999999999999</v>
      </c>
      <c r="K2835" t="s">
        <v>396</v>
      </c>
    </row>
    <row r="2836" spans="3:11" outlineLevel="2" x14ac:dyDescent="0.3">
      <c r="C2836" s="9">
        <v>45204</v>
      </c>
      <c r="D2836" t="s">
        <v>8</v>
      </c>
      <c r="E2836" t="s">
        <v>33</v>
      </c>
      <c r="F2836" t="s">
        <v>10</v>
      </c>
      <c r="G2836" t="s">
        <v>39</v>
      </c>
      <c r="H2836">
        <v>650</v>
      </c>
      <c r="I2836">
        <v>49</v>
      </c>
      <c r="J2836" s="6">
        <f t="shared" si="220"/>
        <v>31.85</v>
      </c>
      <c r="K2836" t="s">
        <v>396</v>
      </c>
    </row>
    <row r="2837" spans="3:11" outlineLevel="2" x14ac:dyDescent="0.3">
      <c r="C2837" s="9">
        <v>45204</v>
      </c>
      <c r="D2837" t="s">
        <v>8</v>
      </c>
      <c r="E2837" t="s">
        <v>33</v>
      </c>
      <c r="F2837" t="s">
        <v>18</v>
      </c>
      <c r="G2837" t="s">
        <v>19</v>
      </c>
      <c r="H2837">
        <v>325</v>
      </c>
      <c r="I2837">
        <v>43</v>
      </c>
      <c r="J2837" s="6">
        <f t="shared" si="220"/>
        <v>13.975</v>
      </c>
      <c r="K2837" t="s">
        <v>396</v>
      </c>
    </row>
    <row r="2838" spans="3:11" outlineLevel="2" x14ac:dyDescent="0.3">
      <c r="C2838" s="9">
        <v>45204</v>
      </c>
      <c r="D2838" t="s">
        <v>45</v>
      </c>
      <c r="E2838" t="s">
        <v>35</v>
      </c>
      <c r="F2838" t="s">
        <v>10</v>
      </c>
      <c r="G2838" t="s">
        <v>40</v>
      </c>
      <c r="H2838">
        <v>540</v>
      </c>
      <c r="I2838">
        <v>15</v>
      </c>
      <c r="J2838" s="6">
        <f t="shared" si="220"/>
        <v>8.1</v>
      </c>
      <c r="K2838" t="s">
        <v>396</v>
      </c>
    </row>
    <row r="2839" spans="3:11" outlineLevel="2" x14ac:dyDescent="0.3">
      <c r="C2839" s="9">
        <v>45204</v>
      </c>
      <c r="D2839" t="s">
        <v>12</v>
      </c>
      <c r="E2839" t="s">
        <v>35</v>
      </c>
      <c r="F2839" t="s">
        <v>10</v>
      </c>
      <c r="G2839" t="s">
        <v>11</v>
      </c>
      <c r="H2839">
        <v>705</v>
      </c>
      <c r="I2839">
        <v>99</v>
      </c>
      <c r="J2839" s="6">
        <f t="shared" si="220"/>
        <v>69.795000000000002</v>
      </c>
      <c r="K2839" t="s">
        <v>396</v>
      </c>
    </row>
    <row r="2840" spans="3:11" outlineLevel="2" x14ac:dyDescent="0.3">
      <c r="C2840" s="9">
        <v>45204</v>
      </c>
      <c r="D2840" t="s">
        <v>12</v>
      </c>
      <c r="E2840" t="s">
        <v>35</v>
      </c>
      <c r="F2840" t="s">
        <v>24</v>
      </c>
      <c r="G2840" t="s">
        <v>34</v>
      </c>
      <c r="H2840">
        <v>1670</v>
      </c>
      <c r="I2840">
        <v>77</v>
      </c>
      <c r="J2840" s="6">
        <f t="shared" si="220"/>
        <v>128.59</v>
      </c>
      <c r="K2840" t="s">
        <v>396</v>
      </c>
    </row>
    <row r="2841" spans="3:11" outlineLevel="1" x14ac:dyDescent="0.3">
      <c r="C2841" s="13" t="s">
        <v>292</v>
      </c>
      <c r="J2841" s="6">
        <f>SUBTOTAL(9,J2832:J2840)</f>
        <v>660.56500000000005</v>
      </c>
      <c r="K2841" t="s">
        <v>396</v>
      </c>
    </row>
    <row r="2842" spans="3:11" outlineLevel="2" x14ac:dyDescent="0.3">
      <c r="C2842" s="9">
        <v>45205</v>
      </c>
      <c r="D2842" t="s">
        <v>45</v>
      </c>
      <c r="E2842" t="s">
        <v>9</v>
      </c>
      <c r="F2842" t="s">
        <v>10</v>
      </c>
      <c r="G2842" t="s">
        <v>16</v>
      </c>
      <c r="H2842">
        <v>1380</v>
      </c>
      <c r="I2842">
        <v>80</v>
      </c>
      <c r="J2842" s="6">
        <f t="shared" ref="J2842:J2847" si="221">H2842*I2842/1000</f>
        <v>110.4</v>
      </c>
      <c r="K2842" t="s">
        <v>396</v>
      </c>
    </row>
    <row r="2843" spans="3:11" outlineLevel="2" x14ac:dyDescent="0.3">
      <c r="C2843" s="9">
        <v>45205</v>
      </c>
      <c r="D2843" t="s">
        <v>45</v>
      </c>
      <c r="E2843" t="s">
        <v>9</v>
      </c>
      <c r="F2843" t="s">
        <v>18</v>
      </c>
      <c r="G2843" t="s">
        <v>21</v>
      </c>
      <c r="H2843">
        <v>450</v>
      </c>
      <c r="I2843">
        <v>21</v>
      </c>
      <c r="J2843" s="6">
        <f t="shared" si="221"/>
        <v>9.4499999999999993</v>
      </c>
      <c r="K2843" t="s">
        <v>396</v>
      </c>
    </row>
    <row r="2844" spans="3:11" outlineLevel="2" x14ac:dyDescent="0.3">
      <c r="C2844" s="9">
        <v>45205</v>
      </c>
      <c r="D2844" t="s">
        <v>12</v>
      </c>
      <c r="E2844" t="s">
        <v>26</v>
      </c>
      <c r="F2844" t="s">
        <v>24</v>
      </c>
      <c r="G2844" t="s">
        <v>34</v>
      </c>
      <c r="H2844">
        <v>1670</v>
      </c>
      <c r="I2844">
        <v>32</v>
      </c>
      <c r="J2844" s="6">
        <f t="shared" si="221"/>
        <v>53.44</v>
      </c>
      <c r="K2844" t="s">
        <v>396</v>
      </c>
    </row>
    <row r="2845" spans="3:11" outlineLevel="2" x14ac:dyDescent="0.3">
      <c r="C2845" s="9">
        <v>45205</v>
      </c>
      <c r="D2845" t="s">
        <v>17</v>
      </c>
      <c r="E2845" t="s">
        <v>15</v>
      </c>
      <c r="F2845" t="s">
        <v>18</v>
      </c>
      <c r="G2845" t="s">
        <v>31</v>
      </c>
      <c r="H2845">
        <v>715</v>
      </c>
      <c r="I2845">
        <v>81</v>
      </c>
      <c r="J2845" s="6">
        <f t="shared" si="221"/>
        <v>57.914999999999999</v>
      </c>
      <c r="K2845" t="s">
        <v>396</v>
      </c>
    </row>
    <row r="2846" spans="3:11" outlineLevel="2" x14ac:dyDescent="0.3">
      <c r="C2846" s="9">
        <v>45205</v>
      </c>
      <c r="D2846" t="s">
        <v>17</v>
      </c>
      <c r="E2846" t="s">
        <v>33</v>
      </c>
      <c r="F2846" t="s">
        <v>10</v>
      </c>
      <c r="G2846" t="s">
        <v>23</v>
      </c>
      <c r="H2846">
        <v>640</v>
      </c>
      <c r="I2846">
        <v>60</v>
      </c>
      <c r="J2846" s="6">
        <f t="shared" si="221"/>
        <v>38.4</v>
      </c>
      <c r="K2846" t="s">
        <v>396</v>
      </c>
    </row>
    <row r="2847" spans="3:11" outlineLevel="2" x14ac:dyDescent="0.3">
      <c r="C2847" s="9">
        <v>45205</v>
      </c>
      <c r="D2847" t="s">
        <v>8</v>
      </c>
      <c r="E2847" t="s">
        <v>33</v>
      </c>
      <c r="F2847" t="s">
        <v>13</v>
      </c>
      <c r="G2847" t="s">
        <v>44</v>
      </c>
      <c r="H2847">
        <v>2540</v>
      </c>
      <c r="I2847">
        <v>58</v>
      </c>
      <c r="J2847" s="6">
        <f t="shared" si="221"/>
        <v>147.32</v>
      </c>
      <c r="K2847" t="s">
        <v>396</v>
      </c>
    </row>
    <row r="2848" spans="3:11" outlineLevel="1" x14ac:dyDescent="0.3">
      <c r="C2848" s="13" t="s">
        <v>293</v>
      </c>
      <c r="J2848" s="6">
        <f>SUBTOTAL(9,J2842:J2847)</f>
        <v>416.92500000000001</v>
      </c>
      <c r="K2848" t="s">
        <v>396</v>
      </c>
    </row>
    <row r="2849" spans="3:11" outlineLevel="2" x14ac:dyDescent="0.3">
      <c r="C2849" s="9">
        <v>45206</v>
      </c>
      <c r="D2849" t="s">
        <v>8</v>
      </c>
      <c r="E2849" t="s">
        <v>20</v>
      </c>
      <c r="F2849" t="s">
        <v>10</v>
      </c>
      <c r="G2849" t="s">
        <v>41</v>
      </c>
      <c r="H2849">
        <v>650</v>
      </c>
      <c r="I2849">
        <v>86</v>
      </c>
      <c r="J2849" s="6">
        <f t="shared" ref="J2849:J2856" si="222">H2849*I2849/1000</f>
        <v>55.9</v>
      </c>
      <c r="K2849" t="s">
        <v>396</v>
      </c>
    </row>
    <row r="2850" spans="3:11" outlineLevel="2" x14ac:dyDescent="0.3">
      <c r="C2850" s="9">
        <v>45206</v>
      </c>
      <c r="D2850" t="s">
        <v>8</v>
      </c>
      <c r="E2850" t="s">
        <v>20</v>
      </c>
      <c r="F2850" t="s">
        <v>18</v>
      </c>
      <c r="G2850" t="s">
        <v>31</v>
      </c>
      <c r="H2850">
        <v>715</v>
      </c>
      <c r="I2850">
        <v>49</v>
      </c>
      <c r="J2850" s="6">
        <f t="shared" si="222"/>
        <v>35.034999999999997</v>
      </c>
      <c r="K2850" t="s">
        <v>396</v>
      </c>
    </row>
    <row r="2851" spans="3:11" outlineLevel="2" x14ac:dyDescent="0.3">
      <c r="C2851" s="9">
        <v>45206</v>
      </c>
      <c r="D2851" t="s">
        <v>17</v>
      </c>
      <c r="E2851" t="s">
        <v>20</v>
      </c>
      <c r="F2851" t="s">
        <v>13</v>
      </c>
      <c r="G2851" t="s">
        <v>43</v>
      </c>
      <c r="H2851">
        <v>1420</v>
      </c>
      <c r="I2851">
        <v>96</v>
      </c>
      <c r="J2851" s="6">
        <f t="shared" si="222"/>
        <v>136.32</v>
      </c>
      <c r="K2851" t="s">
        <v>396</v>
      </c>
    </row>
    <row r="2852" spans="3:11" outlineLevel="2" x14ac:dyDescent="0.3">
      <c r="C2852" s="9">
        <v>45206</v>
      </c>
      <c r="D2852" t="s">
        <v>17</v>
      </c>
      <c r="E2852" t="s">
        <v>20</v>
      </c>
      <c r="F2852" t="s">
        <v>13</v>
      </c>
      <c r="G2852" t="s">
        <v>44</v>
      </c>
      <c r="H2852">
        <v>2540</v>
      </c>
      <c r="I2852">
        <v>68</v>
      </c>
      <c r="J2852" s="6">
        <f t="shared" si="222"/>
        <v>172.72</v>
      </c>
      <c r="K2852" t="s">
        <v>396</v>
      </c>
    </row>
    <row r="2853" spans="3:11" outlineLevel="2" x14ac:dyDescent="0.3">
      <c r="C2853" s="9">
        <v>45206</v>
      </c>
      <c r="D2853" t="s">
        <v>17</v>
      </c>
      <c r="E2853" t="s">
        <v>9</v>
      </c>
      <c r="F2853" t="s">
        <v>10</v>
      </c>
      <c r="G2853" t="s">
        <v>11</v>
      </c>
      <c r="H2853">
        <v>705</v>
      </c>
      <c r="I2853">
        <v>65</v>
      </c>
      <c r="J2853" s="6">
        <f t="shared" si="222"/>
        <v>45.825000000000003</v>
      </c>
      <c r="K2853" t="s">
        <v>396</v>
      </c>
    </row>
    <row r="2854" spans="3:11" outlineLevel="2" x14ac:dyDescent="0.3">
      <c r="C2854" s="9">
        <v>45206</v>
      </c>
      <c r="D2854" t="s">
        <v>12</v>
      </c>
      <c r="E2854" t="s">
        <v>26</v>
      </c>
      <c r="F2854" t="s">
        <v>18</v>
      </c>
      <c r="G2854" t="s">
        <v>19</v>
      </c>
      <c r="H2854">
        <v>325</v>
      </c>
      <c r="I2854">
        <v>52</v>
      </c>
      <c r="J2854" s="6">
        <f t="shared" si="222"/>
        <v>16.899999999999999</v>
      </c>
      <c r="K2854" t="s">
        <v>396</v>
      </c>
    </row>
    <row r="2855" spans="3:11" outlineLevel="2" x14ac:dyDescent="0.3">
      <c r="C2855" s="9">
        <v>45206</v>
      </c>
      <c r="D2855" t="s">
        <v>8</v>
      </c>
      <c r="E2855" t="s">
        <v>15</v>
      </c>
      <c r="F2855" t="s">
        <v>10</v>
      </c>
      <c r="G2855" t="s">
        <v>41</v>
      </c>
      <c r="H2855">
        <v>650</v>
      </c>
      <c r="I2855">
        <v>79</v>
      </c>
      <c r="J2855" s="6">
        <f t="shared" si="222"/>
        <v>51.35</v>
      </c>
      <c r="K2855" t="s">
        <v>396</v>
      </c>
    </row>
    <row r="2856" spans="3:11" outlineLevel="2" x14ac:dyDescent="0.3">
      <c r="C2856" s="9">
        <v>45206</v>
      </c>
      <c r="D2856" t="s">
        <v>45</v>
      </c>
      <c r="E2856" t="s">
        <v>33</v>
      </c>
      <c r="F2856" t="s">
        <v>24</v>
      </c>
      <c r="G2856" t="s">
        <v>34</v>
      </c>
      <c r="H2856">
        <v>1670</v>
      </c>
      <c r="I2856">
        <v>14</v>
      </c>
      <c r="J2856" s="6">
        <f t="shared" si="222"/>
        <v>23.38</v>
      </c>
      <c r="K2856" t="s">
        <v>396</v>
      </c>
    </row>
    <row r="2857" spans="3:11" outlineLevel="1" x14ac:dyDescent="0.3">
      <c r="C2857" s="13" t="s">
        <v>294</v>
      </c>
      <c r="J2857" s="6">
        <f>SUBTOTAL(9,J2849:J2856)</f>
        <v>537.42999999999995</v>
      </c>
      <c r="K2857" t="s">
        <v>396</v>
      </c>
    </row>
    <row r="2858" spans="3:11" outlineLevel="2" x14ac:dyDescent="0.3">
      <c r="C2858" s="9">
        <v>45207</v>
      </c>
      <c r="D2858" t="s">
        <v>17</v>
      </c>
      <c r="E2858" t="s">
        <v>9</v>
      </c>
      <c r="F2858" t="s">
        <v>10</v>
      </c>
      <c r="G2858" t="s">
        <v>40</v>
      </c>
      <c r="H2858">
        <v>540</v>
      </c>
      <c r="I2858">
        <v>26</v>
      </c>
      <c r="J2858" s="6">
        <f t="shared" ref="J2858:J2864" si="223">H2858*I2858/1000</f>
        <v>14.04</v>
      </c>
      <c r="K2858" t="s">
        <v>396</v>
      </c>
    </row>
    <row r="2859" spans="3:11" outlineLevel="2" x14ac:dyDescent="0.3">
      <c r="C2859" s="9">
        <v>45207</v>
      </c>
      <c r="D2859" t="s">
        <v>8</v>
      </c>
      <c r="E2859" t="s">
        <v>9</v>
      </c>
      <c r="F2859" t="s">
        <v>18</v>
      </c>
      <c r="G2859" t="s">
        <v>37</v>
      </c>
      <c r="H2859">
        <v>890</v>
      </c>
      <c r="I2859">
        <v>15</v>
      </c>
      <c r="J2859" s="6">
        <f t="shared" si="223"/>
        <v>13.35</v>
      </c>
      <c r="K2859" t="s">
        <v>396</v>
      </c>
    </row>
    <row r="2860" spans="3:11" outlineLevel="2" x14ac:dyDescent="0.3">
      <c r="C2860" s="9">
        <v>45207</v>
      </c>
      <c r="D2860" t="s">
        <v>12</v>
      </c>
      <c r="E2860" t="s">
        <v>26</v>
      </c>
      <c r="F2860" t="s">
        <v>18</v>
      </c>
      <c r="G2860" t="s">
        <v>19</v>
      </c>
      <c r="H2860">
        <v>325</v>
      </c>
      <c r="I2860">
        <v>64</v>
      </c>
      <c r="J2860" s="6">
        <f t="shared" si="223"/>
        <v>20.8</v>
      </c>
      <c r="K2860" t="s">
        <v>396</v>
      </c>
    </row>
    <row r="2861" spans="3:11" outlineLevel="2" x14ac:dyDescent="0.3">
      <c r="C2861" s="9">
        <v>45207</v>
      </c>
      <c r="D2861" t="s">
        <v>12</v>
      </c>
      <c r="E2861" t="s">
        <v>33</v>
      </c>
      <c r="F2861" t="s">
        <v>13</v>
      </c>
      <c r="G2861" t="s">
        <v>43</v>
      </c>
      <c r="H2861">
        <v>1420</v>
      </c>
      <c r="I2861">
        <v>70</v>
      </c>
      <c r="J2861" s="6">
        <f t="shared" si="223"/>
        <v>99.4</v>
      </c>
      <c r="K2861" t="s">
        <v>396</v>
      </c>
    </row>
    <row r="2862" spans="3:11" outlineLevel="2" x14ac:dyDescent="0.3">
      <c r="C2862" s="9">
        <v>45207</v>
      </c>
      <c r="D2862" t="s">
        <v>8</v>
      </c>
      <c r="E2862" t="s">
        <v>33</v>
      </c>
      <c r="F2862" t="s">
        <v>24</v>
      </c>
      <c r="G2862" t="s">
        <v>32</v>
      </c>
      <c r="H2862">
        <v>1505</v>
      </c>
      <c r="I2862">
        <v>21</v>
      </c>
      <c r="J2862" s="6">
        <f t="shared" si="223"/>
        <v>31.605</v>
      </c>
      <c r="K2862" t="s">
        <v>396</v>
      </c>
    </row>
    <row r="2863" spans="3:11" outlineLevel="2" x14ac:dyDescent="0.3">
      <c r="C2863" s="9">
        <v>45207</v>
      </c>
      <c r="D2863" t="s">
        <v>8</v>
      </c>
      <c r="E2863" t="s">
        <v>35</v>
      </c>
      <c r="F2863" t="s">
        <v>18</v>
      </c>
      <c r="G2863" t="s">
        <v>37</v>
      </c>
      <c r="H2863">
        <v>890</v>
      </c>
      <c r="I2863">
        <v>67</v>
      </c>
      <c r="J2863" s="6">
        <f t="shared" si="223"/>
        <v>59.63</v>
      </c>
      <c r="K2863" t="s">
        <v>396</v>
      </c>
    </row>
    <row r="2864" spans="3:11" outlineLevel="2" x14ac:dyDescent="0.3">
      <c r="C2864" s="9">
        <v>45207</v>
      </c>
      <c r="D2864" t="s">
        <v>12</v>
      </c>
      <c r="E2864" t="s">
        <v>35</v>
      </c>
      <c r="F2864" t="s">
        <v>24</v>
      </c>
      <c r="G2864" t="s">
        <v>42</v>
      </c>
      <c r="H2864">
        <v>3205</v>
      </c>
      <c r="I2864">
        <v>9</v>
      </c>
      <c r="J2864" s="6">
        <f t="shared" si="223"/>
        <v>28.844999999999999</v>
      </c>
      <c r="K2864" t="s">
        <v>396</v>
      </c>
    </row>
    <row r="2865" spans="3:11" outlineLevel="1" x14ac:dyDescent="0.3">
      <c r="C2865" s="13" t="s">
        <v>295</v>
      </c>
      <c r="J2865" s="6">
        <f>SUBTOTAL(9,J2858:J2864)</f>
        <v>267.66999999999996</v>
      </c>
      <c r="K2865" t="s">
        <v>396</v>
      </c>
    </row>
    <row r="2866" spans="3:11" outlineLevel="2" x14ac:dyDescent="0.3">
      <c r="C2866" s="9">
        <v>45208</v>
      </c>
      <c r="D2866" t="s">
        <v>45</v>
      </c>
      <c r="E2866" t="s">
        <v>20</v>
      </c>
      <c r="F2866" t="s">
        <v>10</v>
      </c>
      <c r="G2866" t="s">
        <v>40</v>
      </c>
      <c r="H2866">
        <v>540</v>
      </c>
      <c r="I2866">
        <v>36</v>
      </c>
      <c r="J2866" s="6">
        <f t="shared" ref="J2866:J2874" si="224">H2866*I2866/1000</f>
        <v>19.440000000000001</v>
      </c>
      <c r="K2866" t="s">
        <v>396</v>
      </c>
    </row>
    <row r="2867" spans="3:11" outlineLevel="2" x14ac:dyDescent="0.3">
      <c r="C2867" s="9">
        <v>45208</v>
      </c>
      <c r="D2867" t="s">
        <v>45</v>
      </c>
      <c r="E2867" t="s">
        <v>20</v>
      </c>
      <c r="F2867" t="s">
        <v>13</v>
      </c>
      <c r="G2867" t="s">
        <v>22</v>
      </c>
      <c r="H2867">
        <v>930</v>
      </c>
      <c r="I2867">
        <v>99</v>
      </c>
      <c r="J2867" s="6">
        <f t="shared" si="224"/>
        <v>92.07</v>
      </c>
      <c r="K2867" t="s">
        <v>396</v>
      </c>
    </row>
    <row r="2868" spans="3:11" outlineLevel="2" x14ac:dyDescent="0.3">
      <c r="C2868" s="9">
        <v>45208</v>
      </c>
      <c r="D2868" t="s">
        <v>12</v>
      </c>
      <c r="E2868" t="s">
        <v>26</v>
      </c>
      <c r="F2868" t="s">
        <v>10</v>
      </c>
      <c r="G2868" t="s">
        <v>40</v>
      </c>
      <c r="H2868">
        <v>540</v>
      </c>
      <c r="I2868">
        <v>19</v>
      </c>
      <c r="J2868" s="6">
        <f t="shared" si="224"/>
        <v>10.26</v>
      </c>
      <c r="K2868" t="s">
        <v>396</v>
      </c>
    </row>
    <row r="2869" spans="3:11" outlineLevel="2" x14ac:dyDescent="0.3">
      <c r="C2869" s="9">
        <v>45208</v>
      </c>
      <c r="D2869" t="s">
        <v>8</v>
      </c>
      <c r="E2869" t="s">
        <v>15</v>
      </c>
      <c r="F2869" t="s">
        <v>18</v>
      </c>
      <c r="G2869" t="s">
        <v>21</v>
      </c>
      <c r="H2869">
        <v>450</v>
      </c>
      <c r="I2869">
        <v>66</v>
      </c>
      <c r="J2869" s="6">
        <f t="shared" si="224"/>
        <v>29.7</v>
      </c>
      <c r="K2869" t="s">
        <v>396</v>
      </c>
    </row>
    <row r="2870" spans="3:11" outlineLevel="2" x14ac:dyDescent="0.3">
      <c r="C2870" s="9">
        <v>45208</v>
      </c>
      <c r="D2870" t="s">
        <v>8</v>
      </c>
      <c r="E2870" t="s">
        <v>15</v>
      </c>
      <c r="F2870" t="s">
        <v>13</v>
      </c>
      <c r="G2870" t="s">
        <v>14</v>
      </c>
      <c r="H2870">
        <v>1320</v>
      </c>
      <c r="I2870">
        <v>79</v>
      </c>
      <c r="J2870" s="6">
        <f t="shared" si="224"/>
        <v>104.28</v>
      </c>
      <c r="K2870" t="s">
        <v>396</v>
      </c>
    </row>
    <row r="2871" spans="3:11" outlineLevel="2" x14ac:dyDescent="0.3">
      <c r="C2871" s="9">
        <v>45208</v>
      </c>
      <c r="D2871" t="s">
        <v>45</v>
      </c>
      <c r="E2871" t="s">
        <v>15</v>
      </c>
      <c r="F2871" t="s">
        <v>13</v>
      </c>
      <c r="G2871" t="s">
        <v>29</v>
      </c>
      <c r="H2871">
        <v>1230</v>
      </c>
      <c r="I2871">
        <v>8</v>
      </c>
      <c r="J2871" s="6">
        <f t="shared" si="224"/>
        <v>9.84</v>
      </c>
      <c r="K2871" t="s">
        <v>396</v>
      </c>
    </row>
    <row r="2872" spans="3:11" outlineLevel="2" x14ac:dyDescent="0.3">
      <c r="C2872" s="9">
        <v>45208</v>
      </c>
      <c r="D2872" t="s">
        <v>8</v>
      </c>
      <c r="E2872" t="s">
        <v>15</v>
      </c>
      <c r="F2872" t="s">
        <v>24</v>
      </c>
      <c r="G2872" t="s">
        <v>32</v>
      </c>
      <c r="H2872">
        <v>1505</v>
      </c>
      <c r="I2872">
        <v>85</v>
      </c>
      <c r="J2872" s="6">
        <f t="shared" si="224"/>
        <v>127.925</v>
      </c>
      <c r="K2872" t="s">
        <v>396</v>
      </c>
    </row>
    <row r="2873" spans="3:11" outlineLevel="2" x14ac:dyDescent="0.3">
      <c r="C2873" s="9">
        <v>45208</v>
      </c>
      <c r="D2873" t="s">
        <v>12</v>
      </c>
      <c r="E2873" t="s">
        <v>35</v>
      </c>
      <c r="F2873" t="s">
        <v>13</v>
      </c>
      <c r="G2873" t="s">
        <v>38</v>
      </c>
      <c r="H2873">
        <v>2400</v>
      </c>
      <c r="I2873">
        <v>10</v>
      </c>
      <c r="J2873" s="6">
        <f t="shared" si="224"/>
        <v>24</v>
      </c>
      <c r="K2873" t="s">
        <v>396</v>
      </c>
    </row>
    <row r="2874" spans="3:11" outlineLevel="2" x14ac:dyDescent="0.3">
      <c r="C2874" s="9">
        <v>45208</v>
      </c>
      <c r="D2874" t="s">
        <v>17</v>
      </c>
      <c r="E2874" t="s">
        <v>35</v>
      </c>
      <c r="F2874" t="s">
        <v>13</v>
      </c>
      <c r="G2874" t="s">
        <v>44</v>
      </c>
      <c r="H2874">
        <v>2540</v>
      </c>
      <c r="I2874">
        <v>67</v>
      </c>
      <c r="J2874" s="6">
        <f t="shared" si="224"/>
        <v>170.18</v>
      </c>
      <c r="K2874" t="s">
        <v>396</v>
      </c>
    </row>
    <row r="2875" spans="3:11" outlineLevel="1" x14ac:dyDescent="0.3">
      <c r="C2875" s="13" t="s">
        <v>296</v>
      </c>
      <c r="J2875" s="6">
        <f>SUBTOTAL(9,J2866:J2874)</f>
        <v>587.69499999999994</v>
      </c>
      <c r="K2875" t="s">
        <v>396</v>
      </c>
    </row>
    <row r="2876" spans="3:11" outlineLevel="2" x14ac:dyDescent="0.3">
      <c r="C2876" s="9">
        <v>45209</v>
      </c>
      <c r="D2876" t="s">
        <v>17</v>
      </c>
      <c r="E2876" t="s">
        <v>9</v>
      </c>
      <c r="F2876" t="s">
        <v>13</v>
      </c>
      <c r="G2876" t="s">
        <v>14</v>
      </c>
      <c r="H2876">
        <v>1320</v>
      </c>
      <c r="I2876">
        <v>11</v>
      </c>
      <c r="J2876" s="6">
        <f t="shared" ref="J2876:J2883" si="225">H2876*I2876/1000</f>
        <v>14.52</v>
      </c>
      <c r="K2876" t="s">
        <v>396</v>
      </c>
    </row>
    <row r="2877" spans="3:11" outlineLevel="2" x14ac:dyDescent="0.3">
      <c r="C2877" s="9">
        <v>45209</v>
      </c>
      <c r="D2877" t="s">
        <v>45</v>
      </c>
      <c r="E2877" t="s">
        <v>26</v>
      </c>
      <c r="F2877" t="s">
        <v>18</v>
      </c>
      <c r="G2877" t="s">
        <v>37</v>
      </c>
      <c r="H2877">
        <v>890</v>
      </c>
      <c r="I2877">
        <v>50</v>
      </c>
      <c r="J2877" s="6">
        <f t="shared" si="225"/>
        <v>44.5</v>
      </c>
      <c r="K2877" t="s">
        <v>396</v>
      </c>
    </row>
    <row r="2878" spans="3:11" outlineLevel="2" x14ac:dyDescent="0.3">
      <c r="C2878" s="9">
        <v>45209</v>
      </c>
      <c r="D2878" t="s">
        <v>45</v>
      </c>
      <c r="E2878" t="s">
        <v>26</v>
      </c>
      <c r="F2878" t="s">
        <v>13</v>
      </c>
      <c r="G2878" t="s">
        <v>22</v>
      </c>
      <c r="H2878">
        <v>930</v>
      </c>
      <c r="I2878">
        <v>48</v>
      </c>
      <c r="J2878" s="6">
        <f t="shared" si="225"/>
        <v>44.64</v>
      </c>
      <c r="K2878" t="s">
        <v>396</v>
      </c>
    </row>
    <row r="2879" spans="3:11" outlineLevel="2" x14ac:dyDescent="0.3">
      <c r="C2879" s="9">
        <v>45209</v>
      </c>
      <c r="D2879" t="s">
        <v>12</v>
      </c>
      <c r="E2879" t="s">
        <v>15</v>
      </c>
      <c r="F2879" t="s">
        <v>18</v>
      </c>
      <c r="G2879" t="s">
        <v>21</v>
      </c>
      <c r="H2879">
        <v>450</v>
      </c>
      <c r="I2879">
        <v>89</v>
      </c>
      <c r="J2879" s="6">
        <f t="shared" si="225"/>
        <v>40.049999999999997</v>
      </c>
      <c r="K2879" t="s">
        <v>396</v>
      </c>
    </row>
    <row r="2880" spans="3:11" outlineLevel="2" x14ac:dyDescent="0.3">
      <c r="C2880" s="9">
        <v>45209</v>
      </c>
      <c r="D2880" t="s">
        <v>17</v>
      </c>
      <c r="E2880" t="s">
        <v>15</v>
      </c>
      <c r="F2880" t="s">
        <v>13</v>
      </c>
      <c r="G2880" t="s">
        <v>38</v>
      </c>
      <c r="H2880">
        <v>2400</v>
      </c>
      <c r="I2880">
        <v>14</v>
      </c>
      <c r="J2880" s="6">
        <f t="shared" si="225"/>
        <v>33.6</v>
      </c>
      <c r="K2880" t="s">
        <v>396</v>
      </c>
    </row>
    <row r="2881" spans="3:11" outlineLevel="2" x14ac:dyDescent="0.3">
      <c r="C2881" s="9">
        <v>45209</v>
      </c>
      <c r="D2881" t="s">
        <v>17</v>
      </c>
      <c r="E2881" t="s">
        <v>15</v>
      </c>
      <c r="F2881" t="s">
        <v>24</v>
      </c>
      <c r="G2881" t="s">
        <v>32</v>
      </c>
      <c r="H2881">
        <v>1505</v>
      </c>
      <c r="I2881">
        <v>83</v>
      </c>
      <c r="J2881" s="6">
        <f t="shared" si="225"/>
        <v>124.91500000000001</v>
      </c>
      <c r="K2881" t="s">
        <v>396</v>
      </c>
    </row>
    <row r="2882" spans="3:11" outlineLevel="2" x14ac:dyDescent="0.3">
      <c r="C2882" s="9">
        <v>45209</v>
      </c>
      <c r="D2882" t="s">
        <v>17</v>
      </c>
      <c r="E2882" t="s">
        <v>33</v>
      </c>
      <c r="F2882" t="s">
        <v>10</v>
      </c>
      <c r="G2882" t="s">
        <v>16</v>
      </c>
      <c r="H2882">
        <v>1380</v>
      </c>
      <c r="I2882">
        <v>85</v>
      </c>
      <c r="J2882" s="6">
        <f t="shared" si="225"/>
        <v>117.3</v>
      </c>
      <c r="K2882" t="s">
        <v>396</v>
      </c>
    </row>
    <row r="2883" spans="3:11" outlineLevel="2" x14ac:dyDescent="0.3">
      <c r="C2883" s="9">
        <v>45209</v>
      </c>
      <c r="D2883" t="s">
        <v>12</v>
      </c>
      <c r="E2883" t="s">
        <v>35</v>
      </c>
      <c r="F2883" t="s">
        <v>10</v>
      </c>
      <c r="G2883" t="s">
        <v>39</v>
      </c>
      <c r="H2883">
        <v>650</v>
      </c>
      <c r="I2883">
        <v>59</v>
      </c>
      <c r="J2883" s="6">
        <f t="shared" si="225"/>
        <v>38.35</v>
      </c>
      <c r="K2883" t="s">
        <v>396</v>
      </c>
    </row>
    <row r="2884" spans="3:11" outlineLevel="1" x14ac:dyDescent="0.3">
      <c r="C2884" s="13" t="s">
        <v>297</v>
      </c>
      <c r="J2884" s="6">
        <f>SUBTOTAL(9,J2876:J2883)</f>
        <v>457.875</v>
      </c>
      <c r="K2884" t="s">
        <v>396</v>
      </c>
    </row>
    <row r="2885" spans="3:11" outlineLevel="2" x14ac:dyDescent="0.3">
      <c r="C2885" s="9">
        <v>45210</v>
      </c>
      <c r="D2885" t="s">
        <v>17</v>
      </c>
      <c r="E2885" t="s">
        <v>20</v>
      </c>
      <c r="F2885" t="s">
        <v>10</v>
      </c>
      <c r="G2885" t="s">
        <v>39</v>
      </c>
      <c r="H2885">
        <v>650</v>
      </c>
      <c r="I2885">
        <v>76</v>
      </c>
      <c r="J2885" s="6">
        <f t="shared" ref="J2885:J2897" si="226">H2885*I2885/1000</f>
        <v>49.4</v>
      </c>
      <c r="K2885" t="s">
        <v>396</v>
      </c>
    </row>
    <row r="2886" spans="3:11" outlineLevel="2" x14ac:dyDescent="0.3">
      <c r="C2886" s="9">
        <v>45210</v>
      </c>
      <c r="D2886" t="s">
        <v>12</v>
      </c>
      <c r="E2886" t="s">
        <v>20</v>
      </c>
      <c r="F2886" t="s">
        <v>18</v>
      </c>
      <c r="G2886" t="s">
        <v>37</v>
      </c>
      <c r="H2886">
        <v>890</v>
      </c>
      <c r="I2886">
        <v>52</v>
      </c>
      <c r="J2886" s="6">
        <f t="shared" si="226"/>
        <v>46.28</v>
      </c>
      <c r="K2886" t="s">
        <v>396</v>
      </c>
    </row>
    <row r="2887" spans="3:11" outlineLevel="2" x14ac:dyDescent="0.3">
      <c r="C2887" s="9">
        <v>45210</v>
      </c>
      <c r="D2887" t="s">
        <v>8</v>
      </c>
      <c r="E2887" t="s">
        <v>9</v>
      </c>
      <c r="F2887" t="s">
        <v>10</v>
      </c>
      <c r="G2887" t="s">
        <v>16</v>
      </c>
      <c r="H2887">
        <v>1380</v>
      </c>
      <c r="I2887">
        <v>38</v>
      </c>
      <c r="J2887" s="6">
        <f t="shared" si="226"/>
        <v>52.44</v>
      </c>
      <c r="K2887" t="s">
        <v>396</v>
      </c>
    </row>
    <row r="2888" spans="3:11" outlineLevel="2" x14ac:dyDescent="0.3">
      <c r="C2888" s="9">
        <v>45210</v>
      </c>
      <c r="D2888" t="s">
        <v>17</v>
      </c>
      <c r="E2888" t="s">
        <v>9</v>
      </c>
      <c r="F2888" t="s">
        <v>13</v>
      </c>
      <c r="G2888" t="s">
        <v>44</v>
      </c>
      <c r="H2888">
        <v>2540</v>
      </c>
      <c r="I2888">
        <v>95</v>
      </c>
      <c r="J2888" s="6">
        <f t="shared" si="226"/>
        <v>241.3</v>
      </c>
      <c r="K2888" t="s">
        <v>396</v>
      </c>
    </row>
    <row r="2889" spans="3:11" outlineLevel="2" x14ac:dyDescent="0.3">
      <c r="C2889" s="9">
        <v>45210</v>
      </c>
      <c r="D2889" t="s">
        <v>8</v>
      </c>
      <c r="E2889" t="s">
        <v>26</v>
      </c>
      <c r="F2889" t="s">
        <v>10</v>
      </c>
      <c r="G2889" t="s">
        <v>16</v>
      </c>
      <c r="H2889">
        <v>1380</v>
      </c>
      <c r="I2889">
        <v>10</v>
      </c>
      <c r="J2889" s="6">
        <f t="shared" si="226"/>
        <v>13.8</v>
      </c>
      <c r="K2889" t="s">
        <v>396</v>
      </c>
    </row>
    <row r="2890" spans="3:11" outlineLevel="2" x14ac:dyDescent="0.3">
      <c r="C2890" s="9">
        <v>45210</v>
      </c>
      <c r="D2890" t="s">
        <v>17</v>
      </c>
      <c r="E2890" t="s">
        <v>15</v>
      </c>
      <c r="F2890" t="s">
        <v>10</v>
      </c>
      <c r="G2890" t="s">
        <v>16</v>
      </c>
      <c r="H2890">
        <v>1380</v>
      </c>
      <c r="I2890">
        <v>23</v>
      </c>
      <c r="J2890" s="6">
        <f t="shared" si="226"/>
        <v>31.74</v>
      </c>
      <c r="K2890" t="s">
        <v>396</v>
      </c>
    </row>
    <row r="2891" spans="3:11" outlineLevel="2" x14ac:dyDescent="0.3">
      <c r="C2891" s="9">
        <v>45210</v>
      </c>
      <c r="D2891" t="s">
        <v>45</v>
      </c>
      <c r="E2891" t="s">
        <v>15</v>
      </c>
      <c r="F2891" t="s">
        <v>18</v>
      </c>
      <c r="G2891" t="s">
        <v>28</v>
      </c>
      <c r="H2891">
        <v>690</v>
      </c>
      <c r="I2891">
        <v>74</v>
      </c>
      <c r="J2891" s="6">
        <f t="shared" si="226"/>
        <v>51.06</v>
      </c>
      <c r="K2891" t="s">
        <v>396</v>
      </c>
    </row>
    <row r="2892" spans="3:11" outlineLevel="2" x14ac:dyDescent="0.3">
      <c r="C2892" s="9">
        <v>45210</v>
      </c>
      <c r="D2892" t="s">
        <v>17</v>
      </c>
      <c r="E2892" t="s">
        <v>15</v>
      </c>
      <c r="F2892" t="s">
        <v>24</v>
      </c>
      <c r="G2892" t="s">
        <v>30</v>
      </c>
      <c r="H2892">
        <v>2970</v>
      </c>
      <c r="I2892">
        <v>48</v>
      </c>
      <c r="J2892" s="6">
        <f t="shared" si="226"/>
        <v>142.56</v>
      </c>
      <c r="K2892" t="s">
        <v>396</v>
      </c>
    </row>
    <row r="2893" spans="3:11" outlineLevel="2" x14ac:dyDescent="0.3">
      <c r="C2893" s="9">
        <v>45210</v>
      </c>
      <c r="D2893" t="s">
        <v>17</v>
      </c>
      <c r="E2893" t="s">
        <v>33</v>
      </c>
      <c r="F2893" t="s">
        <v>10</v>
      </c>
      <c r="G2893" t="s">
        <v>40</v>
      </c>
      <c r="H2893">
        <v>540</v>
      </c>
      <c r="I2893">
        <v>64</v>
      </c>
      <c r="J2893" s="6">
        <f t="shared" si="226"/>
        <v>34.56</v>
      </c>
      <c r="K2893" t="s">
        <v>396</v>
      </c>
    </row>
    <row r="2894" spans="3:11" outlineLevel="2" x14ac:dyDescent="0.3">
      <c r="C2894" s="9">
        <v>45210</v>
      </c>
      <c r="D2894" t="s">
        <v>8</v>
      </c>
      <c r="E2894" t="s">
        <v>33</v>
      </c>
      <c r="F2894" t="s">
        <v>10</v>
      </c>
      <c r="G2894" t="s">
        <v>39</v>
      </c>
      <c r="H2894">
        <v>650</v>
      </c>
      <c r="I2894">
        <v>26</v>
      </c>
      <c r="J2894" s="6">
        <f t="shared" si="226"/>
        <v>16.899999999999999</v>
      </c>
      <c r="K2894" t="s">
        <v>396</v>
      </c>
    </row>
    <row r="2895" spans="3:11" outlineLevel="2" x14ac:dyDescent="0.3">
      <c r="C2895" s="9">
        <v>45210</v>
      </c>
      <c r="D2895" t="s">
        <v>17</v>
      </c>
      <c r="E2895" t="s">
        <v>33</v>
      </c>
      <c r="F2895" t="s">
        <v>18</v>
      </c>
      <c r="G2895" t="s">
        <v>19</v>
      </c>
      <c r="H2895">
        <v>325</v>
      </c>
      <c r="I2895">
        <v>94</v>
      </c>
      <c r="J2895" s="6">
        <f t="shared" si="226"/>
        <v>30.55</v>
      </c>
      <c r="K2895" t="s">
        <v>396</v>
      </c>
    </row>
    <row r="2896" spans="3:11" outlineLevel="2" x14ac:dyDescent="0.3">
      <c r="C2896" s="9">
        <v>45210</v>
      </c>
      <c r="D2896" t="s">
        <v>17</v>
      </c>
      <c r="E2896" t="s">
        <v>33</v>
      </c>
      <c r="F2896" t="s">
        <v>13</v>
      </c>
      <c r="G2896" t="s">
        <v>43</v>
      </c>
      <c r="H2896">
        <v>1420</v>
      </c>
      <c r="I2896">
        <v>61</v>
      </c>
      <c r="J2896" s="6">
        <f t="shared" si="226"/>
        <v>86.62</v>
      </c>
      <c r="K2896" t="s">
        <v>396</v>
      </c>
    </row>
    <row r="2897" spans="3:11" outlineLevel="2" x14ac:dyDescent="0.3">
      <c r="C2897" s="9">
        <v>45210</v>
      </c>
      <c r="D2897" t="s">
        <v>45</v>
      </c>
      <c r="E2897" t="s">
        <v>35</v>
      </c>
      <c r="F2897" t="s">
        <v>24</v>
      </c>
      <c r="G2897" t="s">
        <v>34</v>
      </c>
      <c r="H2897">
        <v>1670</v>
      </c>
      <c r="I2897">
        <v>48</v>
      </c>
      <c r="J2897" s="6">
        <f t="shared" si="226"/>
        <v>80.16</v>
      </c>
      <c r="K2897" t="s">
        <v>396</v>
      </c>
    </row>
    <row r="2898" spans="3:11" outlineLevel="1" x14ac:dyDescent="0.3">
      <c r="C2898" s="13" t="s">
        <v>298</v>
      </c>
      <c r="J2898" s="6">
        <f>SUBTOTAL(9,J2885:J2897)</f>
        <v>877.37</v>
      </c>
      <c r="K2898" t="s">
        <v>396</v>
      </c>
    </row>
    <row r="2899" spans="3:11" outlineLevel="2" x14ac:dyDescent="0.3">
      <c r="C2899" s="9">
        <v>45211</v>
      </c>
      <c r="D2899" t="s">
        <v>17</v>
      </c>
      <c r="E2899" t="s">
        <v>20</v>
      </c>
      <c r="F2899" t="s">
        <v>13</v>
      </c>
      <c r="G2899" t="s">
        <v>44</v>
      </c>
      <c r="H2899">
        <v>2540</v>
      </c>
      <c r="I2899">
        <v>89</v>
      </c>
      <c r="J2899" s="6">
        <f>H2899*I2899/1000</f>
        <v>226.06</v>
      </c>
      <c r="K2899" t="s">
        <v>396</v>
      </c>
    </row>
    <row r="2900" spans="3:11" outlineLevel="2" x14ac:dyDescent="0.3">
      <c r="C2900" s="9">
        <v>45211</v>
      </c>
      <c r="D2900" t="s">
        <v>17</v>
      </c>
      <c r="E2900" t="s">
        <v>20</v>
      </c>
      <c r="F2900" t="s">
        <v>24</v>
      </c>
      <c r="G2900" t="s">
        <v>42</v>
      </c>
      <c r="H2900">
        <v>3205</v>
      </c>
      <c r="I2900">
        <v>41</v>
      </c>
      <c r="J2900" s="6">
        <f>H2900*I2900/1000</f>
        <v>131.405</v>
      </c>
      <c r="K2900" t="s">
        <v>396</v>
      </c>
    </row>
    <row r="2901" spans="3:11" outlineLevel="2" x14ac:dyDescent="0.3">
      <c r="C2901" s="9">
        <v>45211</v>
      </c>
      <c r="D2901" t="s">
        <v>8</v>
      </c>
      <c r="E2901" t="s">
        <v>33</v>
      </c>
      <c r="F2901" t="s">
        <v>18</v>
      </c>
      <c r="G2901" t="s">
        <v>21</v>
      </c>
      <c r="H2901">
        <v>450</v>
      </c>
      <c r="I2901">
        <v>50</v>
      </c>
      <c r="J2901" s="6">
        <f>H2901*I2901/1000</f>
        <v>22.5</v>
      </c>
      <c r="K2901" t="s">
        <v>396</v>
      </c>
    </row>
    <row r="2902" spans="3:11" outlineLevel="1" x14ac:dyDescent="0.3">
      <c r="C2902" s="13" t="s">
        <v>299</v>
      </c>
      <c r="J2902" s="6">
        <f>SUBTOTAL(9,J2899:J2901)</f>
        <v>379.96500000000003</v>
      </c>
      <c r="K2902" t="s">
        <v>396</v>
      </c>
    </row>
    <row r="2903" spans="3:11" outlineLevel="2" x14ac:dyDescent="0.3">
      <c r="C2903" s="9">
        <v>45212</v>
      </c>
      <c r="D2903" t="s">
        <v>45</v>
      </c>
      <c r="E2903" t="s">
        <v>20</v>
      </c>
      <c r="F2903" t="s">
        <v>10</v>
      </c>
      <c r="G2903" t="s">
        <v>16</v>
      </c>
      <c r="H2903">
        <v>1380</v>
      </c>
      <c r="I2903">
        <v>44</v>
      </c>
      <c r="J2903" s="6">
        <f t="shared" ref="J2903:J2914" si="227">H2903*I2903/1000</f>
        <v>60.72</v>
      </c>
      <c r="K2903" t="s">
        <v>396</v>
      </c>
    </row>
    <row r="2904" spans="3:11" outlineLevel="2" x14ac:dyDescent="0.3">
      <c r="C2904" s="9">
        <v>45212</v>
      </c>
      <c r="D2904" t="s">
        <v>45</v>
      </c>
      <c r="E2904" t="s">
        <v>9</v>
      </c>
      <c r="F2904" t="s">
        <v>18</v>
      </c>
      <c r="G2904" t="s">
        <v>37</v>
      </c>
      <c r="H2904">
        <v>890</v>
      </c>
      <c r="I2904">
        <v>83</v>
      </c>
      <c r="J2904" s="6">
        <f t="shared" si="227"/>
        <v>73.87</v>
      </c>
      <c r="K2904" t="s">
        <v>396</v>
      </c>
    </row>
    <row r="2905" spans="3:11" outlineLevel="2" x14ac:dyDescent="0.3">
      <c r="C2905" s="9">
        <v>45212</v>
      </c>
      <c r="D2905" t="s">
        <v>17</v>
      </c>
      <c r="E2905" t="s">
        <v>9</v>
      </c>
      <c r="F2905" t="s">
        <v>24</v>
      </c>
      <c r="G2905" t="s">
        <v>30</v>
      </c>
      <c r="H2905">
        <v>2970</v>
      </c>
      <c r="I2905">
        <v>16</v>
      </c>
      <c r="J2905" s="6">
        <f t="shared" si="227"/>
        <v>47.52</v>
      </c>
      <c r="K2905" t="s">
        <v>396</v>
      </c>
    </row>
    <row r="2906" spans="3:11" outlineLevel="2" x14ac:dyDescent="0.3">
      <c r="C2906" s="9">
        <v>45212</v>
      </c>
      <c r="D2906" t="s">
        <v>12</v>
      </c>
      <c r="E2906" t="s">
        <v>26</v>
      </c>
      <c r="F2906" t="s">
        <v>13</v>
      </c>
      <c r="G2906" t="s">
        <v>38</v>
      </c>
      <c r="H2906">
        <v>2400</v>
      </c>
      <c r="I2906">
        <v>83</v>
      </c>
      <c r="J2906" s="6">
        <f t="shared" si="227"/>
        <v>199.2</v>
      </c>
      <c r="K2906" t="s">
        <v>396</v>
      </c>
    </row>
    <row r="2907" spans="3:11" outlineLevel="2" x14ac:dyDescent="0.3">
      <c r="C2907" s="9">
        <v>45212</v>
      </c>
      <c r="D2907" t="s">
        <v>17</v>
      </c>
      <c r="E2907" t="s">
        <v>26</v>
      </c>
      <c r="F2907" t="s">
        <v>24</v>
      </c>
      <c r="G2907" t="s">
        <v>25</v>
      </c>
      <c r="H2907">
        <v>1760</v>
      </c>
      <c r="I2907">
        <v>27</v>
      </c>
      <c r="J2907" s="6">
        <f t="shared" si="227"/>
        <v>47.52</v>
      </c>
      <c r="K2907" t="s">
        <v>396</v>
      </c>
    </row>
    <row r="2908" spans="3:11" outlineLevel="2" x14ac:dyDescent="0.3">
      <c r="C2908" s="9">
        <v>45212</v>
      </c>
      <c r="D2908" t="s">
        <v>45</v>
      </c>
      <c r="E2908" t="s">
        <v>15</v>
      </c>
      <c r="F2908" t="s">
        <v>24</v>
      </c>
      <c r="G2908" t="s">
        <v>42</v>
      </c>
      <c r="H2908">
        <v>3205</v>
      </c>
      <c r="I2908">
        <v>36</v>
      </c>
      <c r="J2908" s="6">
        <f t="shared" si="227"/>
        <v>115.38</v>
      </c>
      <c r="K2908" t="s">
        <v>396</v>
      </c>
    </row>
    <row r="2909" spans="3:11" outlineLevel="2" x14ac:dyDescent="0.3">
      <c r="C2909" s="9">
        <v>45212</v>
      </c>
      <c r="D2909" t="s">
        <v>8</v>
      </c>
      <c r="E2909" t="s">
        <v>15</v>
      </c>
      <c r="F2909" t="s">
        <v>24</v>
      </c>
      <c r="G2909" t="s">
        <v>25</v>
      </c>
      <c r="H2909">
        <v>1760</v>
      </c>
      <c r="I2909">
        <v>69</v>
      </c>
      <c r="J2909" s="6">
        <f t="shared" si="227"/>
        <v>121.44</v>
      </c>
      <c r="K2909" t="s">
        <v>396</v>
      </c>
    </row>
    <row r="2910" spans="3:11" outlineLevel="2" x14ac:dyDescent="0.3">
      <c r="C2910" s="9">
        <v>45212</v>
      </c>
      <c r="D2910" t="s">
        <v>8</v>
      </c>
      <c r="E2910" t="s">
        <v>33</v>
      </c>
      <c r="F2910" t="s">
        <v>10</v>
      </c>
      <c r="G2910" t="s">
        <v>11</v>
      </c>
      <c r="H2910">
        <v>705</v>
      </c>
      <c r="I2910">
        <v>33</v>
      </c>
      <c r="J2910" s="6">
        <f t="shared" si="227"/>
        <v>23.265000000000001</v>
      </c>
      <c r="K2910" t="s">
        <v>396</v>
      </c>
    </row>
    <row r="2911" spans="3:11" outlineLevel="2" x14ac:dyDescent="0.3">
      <c r="C2911" s="9">
        <v>45212</v>
      </c>
      <c r="D2911" t="s">
        <v>12</v>
      </c>
      <c r="E2911" t="s">
        <v>33</v>
      </c>
      <c r="F2911" t="s">
        <v>10</v>
      </c>
      <c r="G2911" t="s">
        <v>23</v>
      </c>
      <c r="H2911">
        <v>640</v>
      </c>
      <c r="I2911">
        <v>21</v>
      </c>
      <c r="J2911" s="6">
        <f t="shared" si="227"/>
        <v>13.44</v>
      </c>
      <c r="K2911" t="s">
        <v>396</v>
      </c>
    </row>
    <row r="2912" spans="3:11" outlineLevel="2" x14ac:dyDescent="0.3">
      <c r="C2912" s="9">
        <v>45212</v>
      </c>
      <c r="D2912" t="s">
        <v>17</v>
      </c>
      <c r="E2912" t="s">
        <v>35</v>
      </c>
      <c r="F2912" t="s">
        <v>10</v>
      </c>
      <c r="G2912" t="s">
        <v>23</v>
      </c>
      <c r="H2912">
        <v>640</v>
      </c>
      <c r="I2912">
        <v>46</v>
      </c>
      <c r="J2912" s="6">
        <f t="shared" si="227"/>
        <v>29.44</v>
      </c>
      <c r="K2912" t="s">
        <v>396</v>
      </c>
    </row>
    <row r="2913" spans="3:11" outlineLevel="2" x14ac:dyDescent="0.3">
      <c r="C2913" s="9">
        <v>45212</v>
      </c>
      <c r="D2913" t="s">
        <v>12</v>
      </c>
      <c r="E2913" t="s">
        <v>35</v>
      </c>
      <c r="F2913" t="s">
        <v>18</v>
      </c>
      <c r="G2913" t="s">
        <v>21</v>
      </c>
      <c r="H2913">
        <v>450</v>
      </c>
      <c r="I2913">
        <v>34</v>
      </c>
      <c r="J2913" s="6">
        <f t="shared" si="227"/>
        <v>15.3</v>
      </c>
      <c r="K2913" t="s">
        <v>396</v>
      </c>
    </row>
    <row r="2914" spans="3:11" outlineLevel="2" x14ac:dyDescent="0.3">
      <c r="C2914" s="9">
        <v>45212</v>
      </c>
      <c r="D2914" t="s">
        <v>12</v>
      </c>
      <c r="E2914" t="s">
        <v>35</v>
      </c>
      <c r="F2914" t="s">
        <v>13</v>
      </c>
      <c r="G2914" t="s">
        <v>44</v>
      </c>
      <c r="H2914">
        <v>2540</v>
      </c>
      <c r="I2914">
        <v>6</v>
      </c>
      <c r="J2914" s="6">
        <f t="shared" si="227"/>
        <v>15.24</v>
      </c>
      <c r="K2914" t="s">
        <v>396</v>
      </c>
    </row>
    <row r="2915" spans="3:11" outlineLevel="1" x14ac:dyDescent="0.3">
      <c r="C2915" s="13" t="s">
        <v>300</v>
      </c>
      <c r="J2915" s="6">
        <f>SUBTOTAL(9,J2903:J2914)</f>
        <v>762.33500000000015</v>
      </c>
      <c r="K2915" t="s">
        <v>396</v>
      </c>
    </row>
    <row r="2916" spans="3:11" outlineLevel="2" x14ac:dyDescent="0.3">
      <c r="C2916" s="9">
        <v>45213</v>
      </c>
      <c r="D2916" t="s">
        <v>17</v>
      </c>
      <c r="E2916" t="s">
        <v>20</v>
      </c>
      <c r="F2916" t="s">
        <v>24</v>
      </c>
      <c r="G2916" t="s">
        <v>32</v>
      </c>
      <c r="H2916">
        <v>1505</v>
      </c>
      <c r="I2916">
        <v>80</v>
      </c>
      <c r="J2916" s="6">
        <f t="shared" ref="J2916:J2924" si="228">H2916*I2916/1000</f>
        <v>120.4</v>
      </c>
      <c r="K2916" t="s">
        <v>396</v>
      </c>
    </row>
    <row r="2917" spans="3:11" outlineLevel="2" x14ac:dyDescent="0.3">
      <c r="C2917" s="9">
        <v>45213</v>
      </c>
      <c r="D2917" t="s">
        <v>45</v>
      </c>
      <c r="E2917" t="s">
        <v>9</v>
      </c>
      <c r="F2917" t="s">
        <v>10</v>
      </c>
      <c r="G2917" t="s">
        <v>40</v>
      </c>
      <c r="H2917">
        <v>540</v>
      </c>
      <c r="I2917">
        <v>39</v>
      </c>
      <c r="J2917" s="6">
        <f t="shared" si="228"/>
        <v>21.06</v>
      </c>
      <c r="K2917" t="s">
        <v>396</v>
      </c>
    </row>
    <row r="2918" spans="3:11" outlineLevel="2" x14ac:dyDescent="0.3">
      <c r="C2918" s="9">
        <v>45213</v>
      </c>
      <c r="D2918" t="s">
        <v>17</v>
      </c>
      <c r="E2918" t="s">
        <v>9</v>
      </c>
      <c r="F2918" t="s">
        <v>18</v>
      </c>
      <c r="G2918" t="s">
        <v>31</v>
      </c>
      <c r="H2918">
        <v>715</v>
      </c>
      <c r="I2918">
        <v>88</v>
      </c>
      <c r="J2918" s="6">
        <f t="shared" si="228"/>
        <v>62.92</v>
      </c>
      <c r="K2918" t="s">
        <v>396</v>
      </c>
    </row>
    <row r="2919" spans="3:11" outlineLevel="2" x14ac:dyDescent="0.3">
      <c r="C2919" s="9">
        <v>45213</v>
      </c>
      <c r="D2919" t="s">
        <v>12</v>
      </c>
      <c r="E2919" t="s">
        <v>26</v>
      </c>
      <c r="F2919" t="s">
        <v>10</v>
      </c>
      <c r="G2919" t="s">
        <v>40</v>
      </c>
      <c r="H2919">
        <v>540</v>
      </c>
      <c r="I2919">
        <v>38</v>
      </c>
      <c r="J2919" s="6">
        <f t="shared" si="228"/>
        <v>20.52</v>
      </c>
      <c r="K2919" t="s">
        <v>396</v>
      </c>
    </row>
    <row r="2920" spans="3:11" outlineLevel="2" x14ac:dyDescent="0.3">
      <c r="C2920" s="9">
        <v>45213</v>
      </c>
      <c r="D2920" t="s">
        <v>12</v>
      </c>
      <c r="E2920" t="s">
        <v>26</v>
      </c>
      <c r="F2920" t="s">
        <v>13</v>
      </c>
      <c r="G2920" t="s">
        <v>14</v>
      </c>
      <c r="H2920">
        <v>1320</v>
      </c>
      <c r="I2920">
        <v>30</v>
      </c>
      <c r="J2920" s="6">
        <f t="shared" si="228"/>
        <v>39.6</v>
      </c>
      <c r="K2920" t="s">
        <v>396</v>
      </c>
    </row>
    <row r="2921" spans="3:11" outlineLevel="2" x14ac:dyDescent="0.3">
      <c r="C2921" s="9">
        <v>45213</v>
      </c>
      <c r="D2921" t="s">
        <v>12</v>
      </c>
      <c r="E2921" t="s">
        <v>15</v>
      </c>
      <c r="F2921" t="s">
        <v>10</v>
      </c>
      <c r="G2921" t="s">
        <v>11</v>
      </c>
      <c r="H2921">
        <v>705</v>
      </c>
      <c r="I2921">
        <v>81</v>
      </c>
      <c r="J2921" s="6">
        <f t="shared" si="228"/>
        <v>57.104999999999997</v>
      </c>
      <c r="K2921" t="s">
        <v>396</v>
      </c>
    </row>
    <row r="2922" spans="3:11" outlineLevel="2" x14ac:dyDescent="0.3">
      <c r="C2922" s="9">
        <v>45213</v>
      </c>
      <c r="D2922" t="s">
        <v>8</v>
      </c>
      <c r="E2922" t="s">
        <v>15</v>
      </c>
      <c r="F2922" t="s">
        <v>10</v>
      </c>
      <c r="G2922" t="s">
        <v>41</v>
      </c>
      <c r="H2922">
        <v>650</v>
      </c>
      <c r="I2922">
        <v>35</v>
      </c>
      <c r="J2922" s="6">
        <f t="shared" si="228"/>
        <v>22.75</v>
      </c>
      <c r="K2922" t="s">
        <v>396</v>
      </c>
    </row>
    <row r="2923" spans="3:11" outlineLevel="2" x14ac:dyDescent="0.3">
      <c r="C2923" s="9">
        <v>45213</v>
      </c>
      <c r="D2923" t="s">
        <v>17</v>
      </c>
      <c r="E2923" t="s">
        <v>15</v>
      </c>
      <c r="F2923" t="s">
        <v>10</v>
      </c>
      <c r="G2923" t="s">
        <v>23</v>
      </c>
      <c r="H2923">
        <v>640</v>
      </c>
      <c r="I2923">
        <v>63</v>
      </c>
      <c r="J2923" s="6">
        <f t="shared" si="228"/>
        <v>40.32</v>
      </c>
      <c r="K2923" t="s">
        <v>396</v>
      </c>
    </row>
    <row r="2924" spans="3:11" outlineLevel="2" x14ac:dyDescent="0.3">
      <c r="C2924" s="9">
        <v>45213</v>
      </c>
      <c r="D2924" t="s">
        <v>17</v>
      </c>
      <c r="E2924" t="s">
        <v>33</v>
      </c>
      <c r="F2924" t="s">
        <v>13</v>
      </c>
      <c r="G2924" t="s">
        <v>38</v>
      </c>
      <c r="H2924">
        <v>2400</v>
      </c>
      <c r="I2924">
        <v>70</v>
      </c>
      <c r="J2924" s="6">
        <f t="shared" si="228"/>
        <v>168</v>
      </c>
      <c r="K2924" t="s">
        <v>396</v>
      </c>
    </row>
    <row r="2925" spans="3:11" outlineLevel="1" x14ac:dyDescent="0.3">
      <c r="C2925" s="13" t="s">
        <v>301</v>
      </c>
      <c r="J2925" s="6">
        <f>SUBTOTAL(9,J2916:J2924)</f>
        <v>552.67499999999995</v>
      </c>
      <c r="K2925" t="s">
        <v>396</v>
      </c>
    </row>
    <row r="2926" spans="3:11" outlineLevel="2" x14ac:dyDescent="0.3">
      <c r="C2926" s="9">
        <v>45214</v>
      </c>
      <c r="D2926" t="s">
        <v>8</v>
      </c>
      <c r="E2926" t="s">
        <v>20</v>
      </c>
      <c r="F2926" t="s">
        <v>10</v>
      </c>
      <c r="G2926" t="s">
        <v>16</v>
      </c>
      <c r="H2926">
        <v>1380</v>
      </c>
      <c r="I2926">
        <v>59</v>
      </c>
      <c r="J2926" s="6">
        <f t="shared" ref="J2926:J2939" si="229">H2926*I2926/1000</f>
        <v>81.42</v>
      </c>
      <c r="K2926" t="s">
        <v>396</v>
      </c>
    </row>
    <row r="2927" spans="3:11" outlineLevel="2" x14ac:dyDescent="0.3">
      <c r="C2927" s="9">
        <v>45214</v>
      </c>
      <c r="D2927" t="s">
        <v>45</v>
      </c>
      <c r="E2927" t="s">
        <v>20</v>
      </c>
      <c r="F2927" t="s">
        <v>13</v>
      </c>
      <c r="G2927" t="s">
        <v>38</v>
      </c>
      <c r="H2927">
        <v>2400</v>
      </c>
      <c r="I2927">
        <v>86</v>
      </c>
      <c r="J2927" s="6">
        <f t="shared" si="229"/>
        <v>206.4</v>
      </c>
      <c r="K2927" t="s">
        <v>396</v>
      </c>
    </row>
    <row r="2928" spans="3:11" outlineLevel="2" x14ac:dyDescent="0.3">
      <c r="C2928" s="9">
        <v>45214</v>
      </c>
      <c r="D2928" t="s">
        <v>17</v>
      </c>
      <c r="E2928" t="s">
        <v>20</v>
      </c>
      <c r="F2928" t="s">
        <v>13</v>
      </c>
      <c r="G2928" t="s">
        <v>14</v>
      </c>
      <c r="H2928">
        <v>1320</v>
      </c>
      <c r="I2928">
        <v>40</v>
      </c>
      <c r="J2928" s="6">
        <f t="shared" si="229"/>
        <v>52.8</v>
      </c>
      <c r="K2928" t="s">
        <v>396</v>
      </c>
    </row>
    <row r="2929" spans="3:11" outlineLevel="2" x14ac:dyDescent="0.3">
      <c r="C2929" s="9">
        <v>45214</v>
      </c>
      <c r="D2929" t="s">
        <v>17</v>
      </c>
      <c r="E2929" t="s">
        <v>9</v>
      </c>
      <c r="F2929" t="s">
        <v>10</v>
      </c>
      <c r="G2929" t="s">
        <v>40</v>
      </c>
      <c r="H2929">
        <v>540</v>
      </c>
      <c r="I2929">
        <v>23</v>
      </c>
      <c r="J2929" s="6">
        <f t="shared" si="229"/>
        <v>12.42</v>
      </c>
      <c r="K2929" t="s">
        <v>396</v>
      </c>
    </row>
    <row r="2930" spans="3:11" outlineLevel="2" x14ac:dyDescent="0.3">
      <c r="C2930" s="9">
        <v>45214</v>
      </c>
      <c r="D2930" t="s">
        <v>45</v>
      </c>
      <c r="E2930" t="s">
        <v>9</v>
      </c>
      <c r="F2930" t="s">
        <v>13</v>
      </c>
      <c r="G2930" t="s">
        <v>14</v>
      </c>
      <c r="H2930">
        <v>1320</v>
      </c>
      <c r="I2930">
        <v>68</v>
      </c>
      <c r="J2930" s="6">
        <f t="shared" si="229"/>
        <v>89.76</v>
      </c>
      <c r="K2930" t="s">
        <v>396</v>
      </c>
    </row>
    <row r="2931" spans="3:11" outlineLevel="2" x14ac:dyDescent="0.3">
      <c r="C2931" s="9">
        <v>45214</v>
      </c>
      <c r="D2931" t="s">
        <v>45</v>
      </c>
      <c r="E2931" t="s">
        <v>9</v>
      </c>
      <c r="F2931" t="s">
        <v>24</v>
      </c>
      <c r="G2931" t="s">
        <v>30</v>
      </c>
      <c r="H2931">
        <v>2970</v>
      </c>
      <c r="I2931">
        <v>20</v>
      </c>
      <c r="J2931" s="6">
        <f t="shared" si="229"/>
        <v>59.4</v>
      </c>
      <c r="K2931" t="s">
        <v>396</v>
      </c>
    </row>
    <row r="2932" spans="3:11" outlineLevel="2" x14ac:dyDescent="0.3">
      <c r="C2932" s="9">
        <v>45214</v>
      </c>
      <c r="D2932" t="s">
        <v>45</v>
      </c>
      <c r="E2932" t="s">
        <v>15</v>
      </c>
      <c r="F2932" t="s">
        <v>10</v>
      </c>
      <c r="G2932" t="s">
        <v>23</v>
      </c>
      <c r="H2932">
        <v>640</v>
      </c>
      <c r="I2932">
        <v>83</v>
      </c>
      <c r="J2932" s="6">
        <f t="shared" si="229"/>
        <v>53.12</v>
      </c>
      <c r="K2932" t="s">
        <v>396</v>
      </c>
    </row>
    <row r="2933" spans="3:11" outlineLevel="2" x14ac:dyDescent="0.3">
      <c r="C2933" s="9">
        <v>45214</v>
      </c>
      <c r="D2933" t="s">
        <v>17</v>
      </c>
      <c r="E2933" t="s">
        <v>15</v>
      </c>
      <c r="F2933" t="s">
        <v>18</v>
      </c>
      <c r="G2933" t="s">
        <v>31</v>
      </c>
      <c r="H2933">
        <v>715</v>
      </c>
      <c r="I2933">
        <v>14</v>
      </c>
      <c r="J2933" s="6">
        <f t="shared" si="229"/>
        <v>10.01</v>
      </c>
      <c r="K2933" t="s">
        <v>396</v>
      </c>
    </row>
    <row r="2934" spans="3:11" outlineLevel="2" x14ac:dyDescent="0.3">
      <c r="C2934" s="9">
        <v>45214</v>
      </c>
      <c r="D2934" t="s">
        <v>45</v>
      </c>
      <c r="E2934" t="s">
        <v>15</v>
      </c>
      <c r="F2934" t="s">
        <v>13</v>
      </c>
      <c r="G2934" t="s">
        <v>43</v>
      </c>
      <c r="H2934">
        <v>1420</v>
      </c>
      <c r="I2934">
        <v>8</v>
      </c>
      <c r="J2934" s="6">
        <f t="shared" si="229"/>
        <v>11.36</v>
      </c>
      <c r="K2934" t="s">
        <v>396</v>
      </c>
    </row>
    <row r="2935" spans="3:11" outlineLevel="2" x14ac:dyDescent="0.3">
      <c r="C2935" s="9">
        <v>45214</v>
      </c>
      <c r="D2935" t="s">
        <v>8</v>
      </c>
      <c r="E2935" t="s">
        <v>33</v>
      </c>
      <c r="F2935" t="s">
        <v>10</v>
      </c>
      <c r="G2935" t="s">
        <v>11</v>
      </c>
      <c r="H2935">
        <v>705</v>
      </c>
      <c r="I2935">
        <v>21</v>
      </c>
      <c r="J2935" s="6">
        <f t="shared" si="229"/>
        <v>14.805</v>
      </c>
      <c r="K2935" t="s">
        <v>396</v>
      </c>
    </row>
    <row r="2936" spans="3:11" outlineLevel="2" x14ac:dyDescent="0.3">
      <c r="C2936" s="9">
        <v>45214</v>
      </c>
      <c r="D2936" t="s">
        <v>8</v>
      </c>
      <c r="E2936" t="s">
        <v>33</v>
      </c>
      <c r="F2936" t="s">
        <v>13</v>
      </c>
      <c r="G2936" t="s">
        <v>44</v>
      </c>
      <c r="H2936">
        <v>2540</v>
      </c>
      <c r="I2936">
        <v>72</v>
      </c>
      <c r="J2936" s="6">
        <f t="shared" si="229"/>
        <v>182.88</v>
      </c>
      <c r="K2936" t="s">
        <v>396</v>
      </c>
    </row>
    <row r="2937" spans="3:11" outlineLevel="2" x14ac:dyDescent="0.3">
      <c r="C2937" s="9">
        <v>45214</v>
      </c>
      <c r="D2937" t="s">
        <v>17</v>
      </c>
      <c r="E2937" t="s">
        <v>33</v>
      </c>
      <c r="F2937" t="s">
        <v>24</v>
      </c>
      <c r="G2937" t="s">
        <v>30</v>
      </c>
      <c r="H2937">
        <v>2970</v>
      </c>
      <c r="I2937">
        <v>32</v>
      </c>
      <c r="J2937" s="6">
        <f t="shared" si="229"/>
        <v>95.04</v>
      </c>
      <c r="K2937" t="s">
        <v>396</v>
      </c>
    </row>
    <row r="2938" spans="3:11" outlineLevel="2" x14ac:dyDescent="0.3">
      <c r="C2938" s="9">
        <v>45214</v>
      </c>
      <c r="D2938" t="s">
        <v>8</v>
      </c>
      <c r="E2938" t="s">
        <v>35</v>
      </c>
      <c r="F2938" t="s">
        <v>10</v>
      </c>
      <c r="G2938" t="s">
        <v>39</v>
      </c>
      <c r="H2938">
        <v>650</v>
      </c>
      <c r="I2938">
        <v>57</v>
      </c>
      <c r="J2938" s="6">
        <f t="shared" si="229"/>
        <v>37.049999999999997</v>
      </c>
      <c r="K2938" t="s">
        <v>396</v>
      </c>
    </row>
    <row r="2939" spans="3:11" outlineLevel="2" x14ac:dyDescent="0.3">
      <c r="C2939" s="9">
        <v>45214</v>
      </c>
      <c r="D2939" t="s">
        <v>17</v>
      </c>
      <c r="E2939" t="s">
        <v>35</v>
      </c>
      <c r="F2939" t="s">
        <v>13</v>
      </c>
      <c r="G2939" t="s">
        <v>38</v>
      </c>
      <c r="H2939">
        <v>2400</v>
      </c>
      <c r="I2939">
        <v>60</v>
      </c>
      <c r="J2939" s="6">
        <f t="shared" si="229"/>
        <v>144</v>
      </c>
      <c r="K2939" t="s">
        <v>396</v>
      </c>
    </row>
    <row r="2940" spans="3:11" outlineLevel="1" x14ac:dyDescent="0.3">
      <c r="C2940" s="13" t="s">
        <v>302</v>
      </c>
      <c r="J2940" s="6">
        <f>SUBTOTAL(9,J2926:J2939)</f>
        <v>1050.4649999999997</v>
      </c>
      <c r="K2940" t="s">
        <v>396</v>
      </c>
    </row>
    <row r="2941" spans="3:11" outlineLevel="2" x14ac:dyDescent="0.3">
      <c r="C2941" s="9">
        <v>45215</v>
      </c>
      <c r="D2941" t="s">
        <v>12</v>
      </c>
      <c r="E2941" t="s">
        <v>20</v>
      </c>
      <c r="F2941" t="s">
        <v>13</v>
      </c>
      <c r="G2941" t="s">
        <v>29</v>
      </c>
      <c r="H2941">
        <v>1230</v>
      </c>
      <c r="I2941">
        <v>51</v>
      </c>
      <c r="J2941" s="6">
        <f t="shared" ref="J2941:J2948" si="230">H2941*I2941/1000</f>
        <v>62.73</v>
      </c>
      <c r="K2941" t="s">
        <v>396</v>
      </c>
    </row>
    <row r="2942" spans="3:11" outlineLevel="2" x14ac:dyDescent="0.3">
      <c r="C2942" s="9">
        <v>45215</v>
      </c>
      <c r="D2942" t="s">
        <v>45</v>
      </c>
      <c r="E2942" t="s">
        <v>9</v>
      </c>
      <c r="F2942" t="s">
        <v>10</v>
      </c>
      <c r="G2942" t="s">
        <v>41</v>
      </c>
      <c r="H2942">
        <v>650</v>
      </c>
      <c r="I2942">
        <v>95</v>
      </c>
      <c r="J2942" s="6">
        <f t="shared" si="230"/>
        <v>61.75</v>
      </c>
      <c r="K2942" t="s">
        <v>396</v>
      </c>
    </row>
    <row r="2943" spans="3:11" outlineLevel="2" x14ac:dyDescent="0.3">
      <c r="C2943" s="9">
        <v>45215</v>
      </c>
      <c r="D2943" t="s">
        <v>17</v>
      </c>
      <c r="E2943" t="s">
        <v>9</v>
      </c>
      <c r="F2943" t="s">
        <v>18</v>
      </c>
      <c r="G2943" t="s">
        <v>31</v>
      </c>
      <c r="H2943">
        <v>715</v>
      </c>
      <c r="I2943">
        <v>80</v>
      </c>
      <c r="J2943" s="6">
        <f t="shared" si="230"/>
        <v>57.2</v>
      </c>
      <c r="K2943" t="s">
        <v>396</v>
      </c>
    </row>
    <row r="2944" spans="3:11" outlineLevel="2" x14ac:dyDescent="0.3">
      <c r="C2944" s="9">
        <v>45215</v>
      </c>
      <c r="D2944" t="s">
        <v>45</v>
      </c>
      <c r="E2944" t="s">
        <v>9</v>
      </c>
      <c r="F2944" t="s">
        <v>18</v>
      </c>
      <c r="G2944" t="s">
        <v>37</v>
      </c>
      <c r="H2944">
        <v>890</v>
      </c>
      <c r="I2944">
        <v>58</v>
      </c>
      <c r="J2944" s="6">
        <f t="shared" si="230"/>
        <v>51.62</v>
      </c>
      <c r="K2944" t="s">
        <v>396</v>
      </c>
    </row>
    <row r="2945" spans="3:11" outlineLevel="2" x14ac:dyDescent="0.3">
      <c r="C2945" s="9">
        <v>45215</v>
      </c>
      <c r="D2945" t="s">
        <v>8</v>
      </c>
      <c r="E2945" t="s">
        <v>9</v>
      </c>
      <c r="F2945" t="s">
        <v>24</v>
      </c>
      <c r="G2945" t="s">
        <v>36</v>
      </c>
      <c r="H2945">
        <v>2460</v>
      </c>
      <c r="I2945">
        <v>69</v>
      </c>
      <c r="J2945" s="6">
        <f t="shared" si="230"/>
        <v>169.74</v>
      </c>
      <c r="K2945" t="s">
        <v>396</v>
      </c>
    </row>
    <row r="2946" spans="3:11" outlineLevel="2" x14ac:dyDescent="0.3">
      <c r="C2946" s="9">
        <v>45215</v>
      </c>
      <c r="D2946" t="s">
        <v>17</v>
      </c>
      <c r="E2946" t="s">
        <v>26</v>
      </c>
      <c r="F2946" t="s">
        <v>10</v>
      </c>
      <c r="G2946" t="s">
        <v>23</v>
      </c>
      <c r="H2946">
        <v>640</v>
      </c>
      <c r="I2946">
        <v>97</v>
      </c>
      <c r="J2946" s="6">
        <f t="shared" si="230"/>
        <v>62.08</v>
      </c>
      <c r="K2946" t="s">
        <v>396</v>
      </c>
    </row>
    <row r="2947" spans="3:11" outlineLevel="2" x14ac:dyDescent="0.3">
      <c r="C2947" s="9">
        <v>45215</v>
      </c>
      <c r="D2947" t="s">
        <v>8</v>
      </c>
      <c r="E2947" t="s">
        <v>35</v>
      </c>
      <c r="F2947" t="s">
        <v>10</v>
      </c>
      <c r="G2947" t="s">
        <v>16</v>
      </c>
      <c r="H2947">
        <v>1380</v>
      </c>
      <c r="I2947">
        <v>45</v>
      </c>
      <c r="J2947" s="6">
        <f t="shared" si="230"/>
        <v>62.1</v>
      </c>
      <c r="K2947" t="s">
        <v>396</v>
      </c>
    </row>
    <row r="2948" spans="3:11" outlineLevel="2" x14ac:dyDescent="0.3">
      <c r="C2948" s="9">
        <v>45215</v>
      </c>
      <c r="D2948" t="s">
        <v>12</v>
      </c>
      <c r="E2948" t="s">
        <v>35</v>
      </c>
      <c r="F2948" t="s">
        <v>13</v>
      </c>
      <c r="G2948" t="s">
        <v>22</v>
      </c>
      <c r="H2948">
        <v>930</v>
      </c>
      <c r="I2948">
        <v>9</v>
      </c>
      <c r="J2948" s="6">
        <f t="shared" si="230"/>
        <v>8.3699999999999992</v>
      </c>
      <c r="K2948" t="s">
        <v>396</v>
      </c>
    </row>
    <row r="2949" spans="3:11" outlineLevel="1" x14ac:dyDescent="0.3">
      <c r="C2949" s="13" t="s">
        <v>303</v>
      </c>
      <c r="J2949" s="6">
        <f>SUBTOTAL(9,J2941:J2948)</f>
        <v>535.59</v>
      </c>
      <c r="K2949" t="s">
        <v>396</v>
      </c>
    </row>
    <row r="2950" spans="3:11" outlineLevel="2" x14ac:dyDescent="0.3">
      <c r="C2950" s="9">
        <v>45216</v>
      </c>
      <c r="D2950" t="s">
        <v>8</v>
      </c>
      <c r="E2950" t="s">
        <v>20</v>
      </c>
      <c r="F2950" t="s">
        <v>24</v>
      </c>
      <c r="G2950" t="s">
        <v>42</v>
      </c>
      <c r="H2950">
        <v>3205</v>
      </c>
      <c r="I2950">
        <v>28</v>
      </c>
      <c r="J2950" s="6">
        <f t="shared" ref="J2950:J2964" si="231">H2950*I2950/1000</f>
        <v>89.74</v>
      </c>
      <c r="K2950" t="s">
        <v>396</v>
      </c>
    </row>
    <row r="2951" spans="3:11" outlineLevel="2" x14ac:dyDescent="0.3">
      <c r="C2951" s="9">
        <v>45216</v>
      </c>
      <c r="D2951" t="s">
        <v>12</v>
      </c>
      <c r="E2951" t="s">
        <v>20</v>
      </c>
      <c r="F2951" t="s">
        <v>24</v>
      </c>
      <c r="G2951" t="s">
        <v>30</v>
      </c>
      <c r="H2951">
        <v>2970</v>
      </c>
      <c r="I2951">
        <v>84</v>
      </c>
      <c r="J2951" s="6">
        <f t="shared" si="231"/>
        <v>249.48</v>
      </c>
      <c r="K2951" t="s">
        <v>396</v>
      </c>
    </row>
    <row r="2952" spans="3:11" outlineLevel="2" x14ac:dyDescent="0.3">
      <c r="C2952" s="9">
        <v>45216</v>
      </c>
      <c r="D2952" t="s">
        <v>17</v>
      </c>
      <c r="E2952" t="s">
        <v>9</v>
      </c>
      <c r="F2952" t="s">
        <v>18</v>
      </c>
      <c r="G2952" t="s">
        <v>37</v>
      </c>
      <c r="H2952">
        <v>890</v>
      </c>
      <c r="I2952">
        <v>16</v>
      </c>
      <c r="J2952" s="6">
        <f t="shared" si="231"/>
        <v>14.24</v>
      </c>
      <c r="K2952" t="s">
        <v>396</v>
      </c>
    </row>
    <row r="2953" spans="3:11" outlineLevel="2" x14ac:dyDescent="0.3">
      <c r="C2953" s="9">
        <v>45216</v>
      </c>
      <c r="D2953" t="s">
        <v>12</v>
      </c>
      <c r="E2953" t="s">
        <v>9</v>
      </c>
      <c r="F2953" t="s">
        <v>13</v>
      </c>
      <c r="G2953" t="s">
        <v>29</v>
      </c>
      <c r="H2953">
        <v>1230</v>
      </c>
      <c r="I2953">
        <v>91</v>
      </c>
      <c r="J2953" s="6">
        <f t="shared" si="231"/>
        <v>111.93</v>
      </c>
      <c r="K2953" t="s">
        <v>396</v>
      </c>
    </row>
    <row r="2954" spans="3:11" outlineLevel="2" x14ac:dyDescent="0.3">
      <c r="C2954" s="9">
        <v>45216</v>
      </c>
      <c r="D2954" t="s">
        <v>17</v>
      </c>
      <c r="E2954" t="s">
        <v>26</v>
      </c>
      <c r="F2954" t="s">
        <v>24</v>
      </c>
      <c r="G2954" t="s">
        <v>25</v>
      </c>
      <c r="H2954">
        <v>1760</v>
      </c>
      <c r="I2954">
        <v>13</v>
      </c>
      <c r="J2954" s="6">
        <f t="shared" si="231"/>
        <v>22.88</v>
      </c>
      <c r="K2954" t="s">
        <v>396</v>
      </c>
    </row>
    <row r="2955" spans="3:11" outlineLevel="2" x14ac:dyDescent="0.3">
      <c r="C2955" s="9">
        <v>45216</v>
      </c>
      <c r="D2955" t="s">
        <v>12</v>
      </c>
      <c r="E2955" t="s">
        <v>26</v>
      </c>
      <c r="F2955" t="s">
        <v>24</v>
      </c>
      <c r="G2955" t="s">
        <v>30</v>
      </c>
      <c r="H2955">
        <v>2970</v>
      </c>
      <c r="I2955">
        <v>65</v>
      </c>
      <c r="J2955" s="6">
        <f t="shared" si="231"/>
        <v>193.05</v>
      </c>
      <c r="K2955" t="s">
        <v>396</v>
      </c>
    </row>
    <row r="2956" spans="3:11" outlineLevel="2" x14ac:dyDescent="0.3">
      <c r="C2956" s="9">
        <v>45216</v>
      </c>
      <c r="D2956" t="s">
        <v>8</v>
      </c>
      <c r="E2956" t="s">
        <v>15</v>
      </c>
      <c r="F2956" t="s">
        <v>18</v>
      </c>
      <c r="G2956" t="s">
        <v>31</v>
      </c>
      <c r="H2956">
        <v>715</v>
      </c>
      <c r="I2956">
        <v>70</v>
      </c>
      <c r="J2956" s="6">
        <f t="shared" si="231"/>
        <v>50.05</v>
      </c>
      <c r="K2956" t="s">
        <v>396</v>
      </c>
    </row>
    <row r="2957" spans="3:11" outlineLevel="2" x14ac:dyDescent="0.3">
      <c r="C2957" s="9">
        <v>45216</v>
      </c>
      <c r="D2957" t="s">
        <v>12</v>
      </c>
      <c r="E2957" t="s">
        <v>15</v>
      </c>
      <c r="F2957" t="s">
        <v>24</v>
      </c>
      <c r="G2957" t="s">
        <v>32</v>
      </c>
      <c r="H2957">
        <v>1505</v>
      </c>
      <c r="I2957">
        <v>28</v>
      </c>
      <c r="J2957" s="6">
        <f t="shared" si="231"/>
        <v>42.14</v>
      </c>
      <c r="K2957" t="s">
        <v>396</v>
      </c>
    </row>
    <row r="2958" spans="3:11" outlineLevel="2" x14ac:dyDescent="0.3">
      <c r="C2958" s="9">
        <v>45216</v>
      </c>
      <c r="D2958" t="s">
        <v>12</v>
      </c>
      <c r="E2958" t="s">
        <v>33</v>
      </c>
      <c r="F2958" t="s">
        <v>10</v>
      </c>
      <c r="G2958" t="s">
        <v>16</v>
      </c>
      <c r="H2958">
        <v>1380</v>
      </c>
      <c r="I2958">
        <v>61</v>
      </c>
      <c r="J2958" s="6">
        <f t="shared" si="231"/>
        <v>84.18</v>
      </c>
      <c r="K2958" t="s">
        <v>396</v>
      </c>
    </row>
    <row r="2959" spans="3:11" outlineLevel="2" x14ac:dyDescent="0.3">
      <c r="C2959" s="9">
        <v>45216</v>
      </c>
      <c r="D2959" t="s">
        <v>45</v>
      </c>
      <c r="E2959" t="s">
        <v>33</v>
      </c>
      <c r="F2959" t="s">
        <v>18</v>
      </c>
      <c r="G2959" t="s">
        <v>37</v>
      </c>
      <c r="H2959">
        <v>890</v>
      </c>
      <c r="I2959">
        <v>25</v>
      </c>
      <c r="J2959" s="6">
        <f t="shared" si="231"/>
        <v>22.25</v>
      </c>
      <c r="K2959" t="s">
        <v>396</v>
      </c>
    </row>
    <row r="2960" spans="3:11" outlineLevel="2" x14ac:dyDescent="0.3">
      <c r="C2960" s="9">
        <v>45216</v>
      </c>
      <c r="D2960" t="s">
        <v>45</v>
      </c>
      <c r="E2960" t="s">
        <v>33</v>
      </c>
      <c r="F2960" t="s">
        <v>13</v>
      </c>
      <c r="G2960" t="s">
        <v>38</v>
      </c>
      <c r="H2960">
        <v>2400</v>
      </c>
      <c r="I2960">
        <v>6</v>
      </c>
      <c r="J2960" s="6">
        <f t="shared" si="231"/>
        <v>14.4</v>
      </c>
      <c r="K2960" t="s">
        <v>396</v>
      </c>
    </row>
    <row r="2961" spans="3:11" outlineLevel="2" x14ac:dyDescent="0.3">
      <c r="C2961" s="9">
        <v>45216</v>
      </c>
      <c r="D2961" t="s">
        <v>8</v>
      </c>
      <c r="E2961" t="s">
        <v>35</v>
      </c>
      <c r="F2961" t="s">
        <v>10</v>
      </c>
      <c r="G2961" t="s">
        <v>41</v>
      </c>
      <c r="H2961">
        <v>650</v>
      </c>
      <c r="I2961">
        <v>37</v>
      </c>
      <c r="J2961" s="6">
        <f t="shared" si="231"/>
        <v>24.05</v>
      </c>
      <c r="K2961" t="s">
        <v>396</v>
      </c>
    </row>
    <row r="2962" spans="3:11" outlineLevel="2" x14ac:dyDescent="0.3">
      <c r="C2962" s="9">
        <v>45216</v>
      </c>
      <c r="D2962" t="s">
        <v>45</v>
      </c>
      <c r="E2962" t="s">
        <v>35</v>
      </c>
      <c r="F2962" t="s">
        <v>10</v>
      </c>
      <c r="G2962" t="s">
        <v>39</v>
      </c>
      <c r="H2962">
        <v>650</v>
      </c>
      <c r="I2962">
        <v>98</v>
      </c>
      <c r="J2962" s="6">
        <f t="shared" si="231"/>
        <v>63.7</v>
      </c>
      <c r="K2962" t="s">
        <v>396</v>
      </c>
    </row>
    <row r="2963" spans="3:11" outlineLevel="2" x14ac:dyDescent="0.3">
      <c r="C2963" s="9">
        <v>45216</v>
      </c>
      <c r="D2963" t="s">
        <v>12</v>
      </c>
      <c r="E2963" t="s">
        <v>35</v>
      </c>
      <c r="F2963" t="s">
        <v>18</v>
      </c>
      <c r="G2963" t="s">
        <v>27</v>
      </c>
      <c r="H2963">
        <v>460</v>
      </c>
      <c r="I2963">
        <v>31</v>
      </c>
      <c r="J2963" s="6">
        <f t="shared" si="231"/>
        <v>14.26</v>
      </c>
      <c r="K2963" t="s">
        <v>396</v>
      </c>
    </row>
    <row r="2964" spans="3:11" outlineLevel="2" x14ac:dyDescent="0.3">
      <c r="C2964" s="9">
        <v>45216</v>
      </c>
      <c r="D2964" t="s">
        <v>8</v>
      </c>
      <c r="E2964" t="s">
        <v>35</v>
      </c>
      <c r="F2964" t="s">
        <v>24</v>
      </c>
      <c r="G2964" t="s">
        <v>34</v>
      </c>
      <c r="H2964">
        <v>1670</v>
      </c>
      <c r="I2964">
        <v>7</v>
      </c>
      <c r="J2964" s="6">
        <f t="shared" si="231"/>
        <v>11.69</v>
      </c>
      <c r="K2964" t="s">
        <v>396</v>
      </c>
    </row>
    <row r="2965" spans="3:11" outlineLevel="1" x14ac:dyDescent="0.3">
      <c r="C2965" s="13" t="s">
        <v>304</v>
      </c>
      <c r="J2965" s="6">
        <f>SUBTOTAL(9,J2950:J2964)</f>
        <v>1008.0399999999998</v>
      </c>
      <c r="K2965" t="s">
        <v>396</v>
      </c>
    </row>
    <row r="2966" spans="3:11" outlineLevel="2" x14ac:dyDescent="0.3">
      <c r="C2966" s="9">
        <v>45217</v>
      </c>
      <c r="D2966" t="s">
        <v>8</v>
      </c>
      <c r="E2966" t="s">
        <v>20</v>
      </c>
      <c r="F2966" t="s">
        <v>24</v>
      </c>
      <c r="G2966" t="s">
        <v>36</v>
      </c>
      <c r="H2966">
        <v>2460</v>
      </c>
      <c r="I2966">
        <v>8</v>
      </c>
      <c r="J2966" s="6">
        <f>H2966*I2966/1000</f>
        <v>19.68</v>
      </c>
      <c r="K2966" t="s">
        <v>396</v>
      </c>
    </row>
    <row r="2967" spans="3:11" outlineLevel="2" x14ac:dyDescent="0.3">
      <c r="C2967" s="9">
        <v>45217</v>
      </c>
      <c r="D2967" t="s">
        <v>45</v>
      </c>
      <c r="E2967" t="s">
        <v>20</v>
      </c>
      <c r="F2967" t="s">
        <v>24</v>
      </c>
      <c r="G2967" t="s">
        <v>42</v>
      </c>
      <c r="H2967">
        <v>3205</v>
      </c>
      <c r="I2967">
        <v>94</v>
      </c>
      <c r="J2967" s="6">
        <f>H2967*I2967/1000</f>
        <v>301.27</v>
      </c>
      <c r="K2967" t="s">
        <v>396</v>
      </c>
    </row>
    <row r="2968" spans="3:11" outlineLevel="2" x14ac:dyDescent="0.3">
      <c r="C2968" s="9">
        <v>45217</v>
      </c>
      <c r="D2968" t="s">
        <v>17</v>
      </c>
      <c r="E2968" t="s">
        <v>9</v>
      </c>
      <c r="F2968" t="s">
        <v>10</v>
      </c>
      <c r="G2968" t="s">
        <v>23</v>
      </c>
      <c r="H2968">
        <v>640</v>
      </c>
      <c r="I2968">
        <v>8</v>
      </c>
      <c r="J2968" s="6">
        <f>H2968*I2968/1000</f>
        <v>5.12</v>
      </c>
      <c r="K2968" t="s">
        <v>396</v>
      </c>
    </row>
    <row r="2969" spans="3:11" outlineLevel="2" x14ac:dyDescent="0.3">
      <c r="C2969" s="9">
        <v>45217</v>
      </c>
      <c r="D2969" t="s">
        <v>45</v>
      </c>
      <c r="E2969" t="s">
        <v>26</v>
      </c>
      <c r="F2969" t="s">
        <v>24</v>
      </c>
      <c r="G2969" t="s">
        <v>30</v>
      </c>
      <c r="H2969">
        <v>2970</v>
      </c>
      <c r="I2969">
        <v>62</v>
      </c>
      <c r="J2969" s="6">
        <f>H2969*I2969/1000</f>
        <v>184.14</v>
      </c>
      <c r="K2969" t="s">
        <v>396</v>
      </c>
    </row>
    <row r="2970" spans="3:11" outlineLevel="2" x14ac:dyDescent="0.3">
      <c r="C2970" s="9">
        <v>45217</v>
      </c>
      <c r="D2970" t="s">
        <v>12</v>
      </c>
      <c r="E2970" t="s">
        <v>15</v>
      </c>
      <c r="F2970" t="s">
        <v>13</v>
      </c>
      <c r="G2970" t="s">
        <v>14</v>
      </c>
      <c r="H2970">
        <v>1320</v>
      </c>
      <c r="I2970">
        <v>22</v>
      </c>
      <c r="J2970" s="6">
        <f>H2970*I2970/1000</f>
        <v>29.04</v>
      </c>
      <c r="K2970" t="s">
        <v>396</v>
      </c>
    </row>
    <row r="2971" spans="3:11" outlineLevel="1" x14ac:dyDescent="0.3">
      <c r="C2971" s="13" t="s">
        <v>305</v>
      </c>
      <c r="J2971" s="6">
        <f>SUBTOTAL(9,J2966:J2970)</f>
        <v>539.25</v>
      </c>
      <c r="K2971" t="s">
        <v>396</v>
      </c>
    </row>
    <row r="2972" spans="3:11" outlineLevel="2" x14ac:dyDescent="0.3">
      <c r="C2972" s="9">
        <v>45218</v>
      </c>
      <c r="D2972" t="s">
        <v>17</v>
      </c>
      <c r="E2972" t="s">
        <v>20</v>
      </c>
      <c r="F2972" t="s">
        <v>10</v>
      </c>
      <c r="G2972" t="s">
        <v>39</v>
      </c>
      <c r="H2972">
        <v>650</v>
      </c>
      <c r="I2972">
        <v>54</v>
      </c>
      <c r="J2972" s="6">
        <f t="shared" ref="J2972:J2984" si="232">H2972*I2972/1000</f>
        <v>35.1</v>
      </c>
      <c r="K2972" t="s">
        <v>396</v>
      </c>
    </row>
    <row r="2973" spans="3:11" outlineLevel="2" x14ac:dyDescent="0.3">
      <c r="C2973" s="9">
        <v>45218</v>
      </c>
      <c r="D2973" t="s">
        <v>45</v>
      </c>
      <c r="E2973" t="s">
        <v>9</v>
      </c>
      <c r="F2973" t="s">
        <v>10</v>
      </c>
      <c r="G2973" t="s">
        <v>16</v>
      </c>
      <c r="H2973">
        <v>1380</v>
      </c>
      <c r="I2973">
        <v>13</v>
      </c>
      <c r="J2973" s="6">
        <f t="shared" si="232"/>
        <v>17.940000000000001</v>
      </c>
      <c r="K2973" t="s">
        <v>396</v>
      </c>
    </row>
    <row r="2974" spans="3:11" outlineLevel="2" x14ac:dyDescent="0.3">
      <c r="C2974" s="9">
        <v>45218</v>
      </c>
      <c r="D2974" t="s">
        <v>45</v>
      </c>
      <c r="E2974" t="s">
        <v>9</v>
      </c>
      <c r="F2974" t="s">
        <v>24</v>
      </c>
      <c r="G2974" t="s">
        <v>32</v>
      </c>
      <c r="H2974">
        <v>1505</v>
      </c>
      <c r="I2974">
        <v>41</v>
      </c>
      <c r="J2974" s="6">
        <f t="shared" si="232"/>
        <v>61.704999999999998</v>
      </c>
      <c r="K2974" t="s">
        <v>396</v>
      </c>
    </row>
    <row r="2975" spans="3:11" outlineLevel="2" x14ac:dyDescent="0.3">
      <c r="C2975" s="9">
        <v>45218</v>
      </c>
      <c r="D2975" t="s">
        <v>8</v>
      </c>
      <c r="E2975" t="s">
        <v>15</v>
      </c>
      <c r="F2975" t="s">
        <v>10</v>
      </c>
      <c r="G2975" t="s">
        <v>11</v>
      </c>
      <c r="H2975">
        <v>705</v>
      </c>
      <c r="I2975">
        <v>62</v>
      </c>
      <c r="J2975" s="6">
        <f t="shared" si="232"/>
        <v>43.71</v>
      </c>
      <c r="K2975" t="s">
        <v>396</v>
      </c>
    </row>
    <row r="2976" spans="3:11" outlineLevel="2" x14ac:dyDescent="0.3">
      <c r="C2976" s="9">
        <v>45218</v>
      </c>
      <c r="D2976" t="s">
        <v>12</v>
      </c>
      <c r="E2976" t="s">
        <v>15</v>
      </c>
      <c r="F2976" t="s">
        <v>13</v>
      </c>
      <c r="G2976" t="s">
        <v>14</v>
      </c>
      <c r="H2976">
        <v>1320</v>
      </c>
      <c r="I2976">
        <v>85</v>
      </c>
      <c r="J2976" s="6">
        <f t="shared" si="232"/>
        <v>112.2</v>
      </c>
      <c r="K2976" t="s">
        <v>396</v>
      </c>
    </row>
    <row r="2977" spans="3:11" outlineLevel="2" x14ac:dyDescent="0.3">
      <c r="C2977" s="9">
        <v>45218</v>
      </c>
      <c r="D2977" t="s">
        <v>45</v>
      </c>
      <c r="E2977" t="s">
        <v>15</v>
      </c>
      <c r="F2977" t="s">
        <v>24</v>
      </c>
      <c r="G2977" t="s">
        <v>30</v>
      </c>
      <c r="H2977">
        <v>2970</v>
      </c>
      <c r="I2977">
        <v>23</v>
      </c>
      <c r="J2977" s="6">
        <f t="shared" si="232"/>
        <v>68.31</v>
      </c>
      <c r="K2977" t="s">
        <v>396</v>
      </c>
    </row>
    <row r="2978" spans="3:11" outlineLevel="2" x14ac:dyDescent="0.3">
      <c r="C2978" s="9">
        <v>45218</v>
      </c>
      <c r="D2978" t="s">
        <v>8</v>
      </c>
      <c r="E2978" t="s">
        <v>15</v>
      </c>
      <c r="F2978" t="s">
        <v>24</v>
      </c>
      <c r="G2978" t="s">
        <v>32</v>
      </c>
      <c r="H2978">
        <v>1505</v>
      </c>
      <c r="I2978">
        <v>58</v>
      </c>
      <c r="J2978" s="6">
        <f t="shared" si="232"/>
        <v>87.29</v>
      </c>
      <c r="K2978" t="s">
        <v>396</v>
      </c>
    </row>
    <row r="2979" spans="3:11" outlineLevel="2" x14ac:dyDescent="0.3">
      <c r="C2979" s="9">
        <v>45218</v>
      </c>
      <c r="D2979" t="s">
        <v>17</v>
      </c>
      <c r="E2979" t="s">
        <v>33</v>
      </c>
      <c r="F2979" t="s">
        <v>10</v>
      </c>
      <c r="G2979" t="s">
        <v>39</v>
      </c>
      <c r="H2979">
        <v>650</v>
      </c>
      <c r="I2979">
        <v>83</v>
      </c>
      <c r="J2979" s="6">
        <f t="shared" si="232"/>
        <v>53.95</v>
      </c>
      <c r="K2979" t="s">
        <v>396</v>
      </c>
    </row>
    <row r="2980" spans="3:11" outlineLevel="2" x14ac:dyDescent="0.3">
      <c r="C2980" s="9">
        <v>45218</v>
      </c>
      <c r="D2980" t="s">
        <v>17</v>
      </c>
      <c r="E2980" t="s">
        <v>33</v>
      </c>
      <c r="F2980" t="s">
        <v>18</v>
      </c>
      <c r="G2980" t="s">
        <v>28</v>
      </c>
      <c r="H2980">
        <v>690</v>
      </c>
      <c r="I2980">
        <v>12</v>
      </c>
      <c r="J2980" s="6">
        <f t="shared" si="232"/>
        <v>8.2799999999999994</v>
      </c>
      <c r="K2980" t="s">
        <v>396</v>
      </c>
    </row>
    <row r="2981" spans="3:11" outlineLevel="2" x14ac:dyDescent="0.3">
      <c r="C2981" s="9">
        <v>45218</v>
      </c>
      <c r="D2981" t="s">
        <v>8</v>
      </c>
      <c r="E2981" t="s">
        <v>33</v>
      </c>
      <c r="F2981" t="s">
        <v>24</v>
      </c>
      <c r="G2981" t="s">
        <v>34</v>
      </c>
      <c r="H2981">
        <v>1670</v>
      </c>
      <c r="I2981">
        <v>74</v>
      </c>
      <c r="J2981" s="6">
        <f t="shared" si="232"/>
        <v>123.58</v>
      </c>
      <c r="K2981" t="s">
        <v>396</v>
      </c>
    </row>
    <row r="2982" spans="3:11" outlineLevel="2" x14ac:dyDescent="0.3">
      <c r="C2982" s="9">
        <v>45218</v>
      </c>
      <c r="D2982" t="s">
        <v>17</v>
      </c>
      <c r="E2982" t="s">
        <v>35</v>
      </c>
      <c r="F2982" t="s">
        <v>13</v>
      </c>
      <c r="G2982" t="s">
        <v>38</v>
      </c>
      <c r="H2982">
        <v>2400</v>
      </c>
      <c r="I2982">
        <v>64</v>
      </c>
      <c r="J2982" s="6">
        <f t="shared" si="232"/>
        <v>153.6</v>
      </c>
      <c r="K2982" t="s">
        <v>396</v>
      </c>
    </row>
    <row r="2983" spans="3:11" outlineLevel="2" x14ac:dyDescent="0.3">
      <c r="C2983" s="9">
        <v>45218</v>
      </c>
      <c r="D2983" t="s">
        <v>8</v>
      </c>
      <c r="E2983" t="s">
        <v>35</v>
      </c>
      <c r="F2983" t="s">
        <v>13</v>
      </c>
      <c r="G2983" t="s">
        <v>29</v>
      </c>
      <c r="H2983">
        <v>1230</v>
      </c>
      <c r="I2983">
        <v>85</v>
      </c>
      <c r="J2983" s="6">
        <f t="shared" si="232"/>
        <v>104.55</v>
      </c>
      <c r="K2983" t="s">
        <v>396</v>
      </c>
    </row>
    <row r="2984" spans="3:11" outlineLevel="2" x14ac:dyDescent="0.3">
      <c r="C2984" s="9">
        <v>45218</v>
      </c>
      <c r="D2984" t="s">
        <v>12</v>
      </c>
      <c r="E2984" t="s">
        <v>35</v>
      </c>
      <c r="F2984" t="s">
        <v>24</v>
      </c>
      <c r="G2984" t="s">
        <v>30</v>
      </c>
      <c r="H2984">
        <v>2970</v>
      </c>
      <c r="I2984">
        <v>96</v>
      </c>
      <c r="J2984" s="6">
        <f t="shared" si="232"/>
        <v>285.12</v>
      </c>
      <c r="K2984" t="s">
        <v>396</v>
      </c>
    </row>
    <row r="2985" spans="3:11" outlineLevel="1" x14ac:dyDescent="0.3">
      <c r="C2985" s="13" t="s">
        <v>306</v>
      </c>
      <c r="J2985" s="6">
        <f>SUBTOTAL(9,J2972:J2984)</f>
        <v>1155.335</v>
      </c>
      <c r="K2985" t="s">
        <v>396</v>
      </c>
    </row>
    <row r="2986" spans="3:11" outlineLevel="2" x14ac:dyDescent="0.3">
      <c r="C2986" s="9">
        <v>45219</v>
      </c>
      <c r="D2986" t="s">
        <v>12</v>
      </c>
      <c r="E2986" t="s">
        <v>20</v>
      </c>
      <c r="F2986" t="s">
        <v>10</v>
      </c>
      <c r="G2986" t="s">
        <v>16</v>
      </c>
      <c r="H2986">
        <v>1380</v>
      </c>
      <c r="I2986">
        <v>18</v>
      </c>
      <c r="J2986" s="6">
        <f t="shared" ref="J2986:J2997" si="233">H2986*I2986/1000</f>
        <v>24.84</v>
      </c>
      <c r="K2986" t="s">
        <v>396</v>
      </c>
    </row>
    <row r="2987" spans="3:11" outlineLevel="2" x14ac:dyDescent="0.3">
      <c r="C2987" s="9">
        <v>45219</v>
      </c>
      <c r="D2987" t="s">
        <v>45</v>
      </c>
      <c r="E2987" t="s">
        <v>20</v>
      </c>
      <c r="F2987" t="s">
        <v>18</v>
      </c>
      <c r="G2987" t="s">
        <v>31</v>
      </c>
      <c r="H2987">
        <v>715</v>
      </c>
      <c r="I2987">
        <v>25</v>
      </c>
      <c r="J2987" s="6">
        <f t="shared" si="233"/>
        <v>17.875</v>
      </c>
      <c r="K2987" t="s">
        <v>396</v>
      </c>
    </row>
    <row r="2988" spans="3:11" outlineLevel="2" x14ac:dyDescent="0.3">
      <c r="C2988" s="9">
        <v>45219</v>
      </c>
      <c r="D2988" t="s">
        <v>12</v>
      </c>
      <c r="E2988" t="s">
        <v>20</v>
      </c>
      <c r="F2988" t="s">
        <v>18</v>
      </c>
      <c r="G2988" t="s">
        <v>27</v>
      </c>
      <c r="H2988">
        <v>460</v>
      </c>
      <c r="I2988">
        <v>87</v>
      </c>
      <c r="J2988" s="6">
        <f t="shared" si="233"/>
        <v>40.020000000000003</v>
      </c>
      <c r="K2988" t="s">
        <v>396</v>
      </c>
    </row>
    <row r="2989" spans="3:11" outlineLevel="2" x14ac:dyDescent="0.3">
      <c r="C2989" s="9">
        <v>45219</v>
      </c>
      <c r="D2989" t="s">
        <v>17</v>
      </c>
      <c r="E2989" t="s">
        <v>20</v>
      </c>
      <c r="F2989" t="s">
        <v>13</v>
      </c>
      <c r="G2989" t="s">
        <v>14</v>
      </c>
      <c r="H2989">
        <v>1320</v>
      </c>
      <c r="I2989">
        <v>74</v>
      </c>
      <c r="J2989" s="6">
        <f t="shared" si="233"/>
        <v>97.68</v>
      </c>
      <c r="K2989" t="s">
        <v>396</v>
      </c>
    </row>
    <row r="2990" spans="3:11" outlineLevel="2" x14ac:dyDescent="0.3">
      <c r="C2990" s="9">
        <v>45219</v>
      </c>
      <c r="D2990" t="s">
        <v>12</v>
      </c>
      <c r="E2990" t="s">
        <v>26</v>
      </c>
      <c r="F2990" t="s">
        <v>18</v>
      </c>
      <c r="G2990" t="s">
        <v>37</v>
      </c>
      <c r="H2990">
        <v>890</v>
      </c>
      <c r="I2990">
        <v>30</v>
      </c>
      <c r="J2990" s="6">
        <f t="shared" si="233"/>
        <v>26.7</v>
      </c>
      <c r="K2990" t="s">
        <v>396</v>
      </c>
    </row>
    <row r="2991" spans="3:11" outlineLevel="2" x14ac:dyDescent="0.3">
      <c r="C2991" s="9">
        <v>45219</v>
      </c>
      <c r="D2991" t="s">
        <v>45</v>
      </c>
      <c r="E2991" t="s">
        <v>26</v>
      </c>
      <c r="F2991" t="s">
        <v>18</v>
      </c>
      <c r="G2991" t="s">
        <v>28</v>
      </c>
      <c r="H2991">
        <v>690</v>
      </c>
      <c r="I2991">
        <v>96</v>
      </c>
      <c r="J2991" s="6">
        <f t="shared" si="233"/>
        <v>66.239999999999995</v>
      </c>
      <c r="K2991" t="s">
        <v>396</v>
      </c>
    </row>
    <row r="2992" spans="3:11" outlineLevel="2" x14ac:dyDescent="0.3">
      <c r="C2992" s="9">
        <v>45219</v>
      </c>
      <c r="D2992" t="s">
        <v>12</v>
      </c>
      <c r="E2992" t="s">
        <v>15</v>
      </c>
      <c r="F2992" t="s">
        <v>18</v>
      </c>
      <c r="G2992" t="s">
        <v>27</v>
      </c>
      <c r="H2992">
        <v>460</v>
      </c>
      <c r="I2992">
        <v>75</v>
      </c>
      <c r="J2992" s="6">
        <f t="shared" si="233"/>
        <v>34.5</v>
      </c>
      <c r="K2992" t="s">
        <v>396</v>
      </c>
    </row>
    <row r="2993" spans="3:11" outlineLevel="2" x14ac:dyDescent="0.3">
      <c r="C2993" s="9">
        <v>45219</v>
      </c>
      <c r="D2993" t="s">
        <v>45</v>
      </c>
      <c r="E2993" t="s">
        <v>15</v>
      </c>
      <c r="F2993" t="s">
        <v>18</v>
      </c>
      <c r="G2993" t="s">
        <v>21</v>
      </c>
      <c r="H2993">
        <v>450</v>
      </c>
      <c r="I2993">
        <v>76</v>
      </c>
      <c r="J2993" s="6">
        <f t="shared" si="233"/>
        <v>34.200000000000003</v>
      </c>
      <c r="K2993" t="s">
        <v>396</v>
      </c>
    </row>
    <row r="2994" spans="3:11" outlineLevel="2" x14ac:dyDescent="0.3">
      <c r="C2994" s="9">
        <v>45219</v>
      </c>
      <c r="D2994" t="s">
        <v>17</v>
      </c>
      <c r="E2994" t="s">
        <v>15</v>
      </c>
      <c r="F2994" t="s">
        <v>18</v>
      </c>
      <c r="G2994" t="s">
        <v>21</v>
      </c>
      <c r="H2994">
        <v>450</v>
      </c>
      <c r="I2994">
        <v>12</v>
      </c>
      <c r="J2994" s="6">
        <f t="shared" si="233"/>
        <v>5.4</v>
      </c>
      <c r="K2994" t="s">
        <v>396</v>
      </c>
    </row>
    <row r="2995" spans="3:11" outlineLevel="2" x14ac:dyDescent="0.3">
      <c r="C2995" s="9">
        <v>45219</v>
      </c>
      <c r="D2995" t="s">
        <v>8</v>
      </c>
      <c r="E2995" t="s">
        <v>15</v>
      </c>
      <c r="F2995" t="s">
        <v>13</v>
      </c>
      <c r="G2995" t="s">
        <v>44</v>
      </c>
      <c r="H2995">
        <v>2540</v>
      </c>
      <c r="I2995">
        <v>22</v>
      </c>
      <c r="J2995" s="6">
        <f t="shared" si="233"/>
        <v>55.88</v>
      </c>
      <c r="K2995" t="s">
        <v>396</v>
      </c>
    </row>
    <row r="2996" spans="3:11" outlineLevel="2" x14ac:dyDescent="0.3">
      <c r="C2996" s="9">
        <v>45219</v>
      </c>
      <c r="D2996" t="s">
        <v>8</v>
      </c>
      <c r="E2996" t="s">
        <v>33</v>
      </c>
      <c r="F2996" t="s">
        <v>10</v>
      </c>
      <c r="G2996" t="s">
        <v>41</v>
      </c>
      <c r="H2996">
        <v>650</v>
      </c>
      <c r="I2996">
        <v>98</v>
      </c>
      <c r="J2996" s="6">
        <f t="shared" si="233"/>
        <v>63.7</v>
      </c>
      <c r="K2996" t="s">
        <v>396</v>
      </c>
    </row>
    <row r="2997" spans="3:11" outlineLevel="2" x14ac:dyDescent="0.3">
      <c r="C2997" s="9">
        <v>45219</v>
      </c>
      <c r="D2997" t="s">
        <v>8</v>
      </c>
      <c r="E2997" t="s">
        <v>33</v>
      </c>
      <c r="F2997" t="s">
        <v>10</v>
      </c>
      <c r="G2997" t="s">
        <v>23</v>
      </c>
      <c r="H2997">
        <v>640</v>
      </c>
      <c r="I2997">
        <v>63</v>
      </c>
      <c r="J2997" s="6">
        <f t="shared" si="233"/>
        <v>40.32</v>
      </c>
      <c r="K2997" t="s">
        <v>396</v>
      </c>
    </row>
    <row r="2998" spans="3:11" outlineLevel="1" x14ac:dyDescent="0.3">
      <c r="C2998" s="13" t="s">
        <v>307</v>
      </c>
      <c r="J2998" s="6">
        <f>SUBTOTAL(9,J2986:J2997)</f>
        <v>507.35499999999996</v>
      </c>
      <c r="K2998" t="s">
        <v>396</v>
      </c>
    </row>
    <row r="2999" spans="3:11" outlineLevel="2" x14ac:dyDescent="0.3">
      <c r="C2999" s="9">
        <v>45220</v>
      </c>
      <c r="D2999" t="s">
        <v>8</v>
      </c>
      <c r="E2999" t="s">
        <v>20</v>
      </c>
      <c r="F2999" t="s">
        <v>24</v>
      </c>
      <c r="G2999" t="s">
        <v>25</v>
      </c>
      <c r="H2999">
        <v>1760</v>
      </c>
      <c r="I2999">
        <v>17</v>
      </c>
      <c r="J2999" s="6">
        <f t="shared" ref="J2999:J3006" si="234">H2999*I2999/1000</f>
        <v>29.92</v>
      </c>
      <c r="K2999" t="s">
        <v>396</v>
      </c>
    </row>
    <row r="3000" spans="3:11" outlineLevel="2" x14ac:dyDescent="0.3">
      <c r="C3000" s="9">
        <v>45220</v>
      </c>
      <c r="D3000" t="s">
        <v>45</v>
      </c>
      <c r="E3000" t="s">
        <v>9</v>
      </c>
      <c r="F3000" t="s">
        <v>24</v>
      </c>
      <c r="G3000" t="s">
        <v>36</v>
      </c>
      <c r="H3000">
        <v>2460</v>
      </c>
      <c r="I3000">
        <v>80</v>
      </c>
      <c r="J3000" s="6">
        <f t="shared" si="234"/>
        <v>196.8</v>
      </c>
      <c r="K3000" t="s">
        <v>396</v>
      </c>
    </row>
    <row r="3001" spans="3:11" outlineLevel="2" x14ac:dyDescent="0.3">
      <c r="C3001" s="9">
        <v>45220</v>
      </c>
      <c r="D3001" t="s">
        <v>45</v>
      </c>
      <c r="E3001" t="s">
        <v>26</v>
      </c>
      <c r="F3001" t="s">
        <v>10</v>
      </c>
      <c r="G3001" t="s">
        <v>23</v>
      </c>
      <c r="H3001">
        <v>640</v>
      </c>
      <c r="I3001">
        <v>98</v>
      </c>
      <c r="J3001" s="6">
        <f t="shared" si="234"/>
        <v>62.72</v>
      </c>
      <c r="K3001" t="s">
        <v>396</v>
      </c>
    </row>
    <row r="3002" spans="3:11" outlineLevel="2" x14ac:dyDescent="0.3">
      <c r="C3002" s="9">
        <v>45220</v>
      </c>
      <c r="D3002" t="s">
        <v>12</v>
      </c>
      <c r="E3002" t="s">
        <v>26</v>
      </c>
      <c r="F3002" t="s">
        <v>13</v>
      </c>
      <c r="G3002" t="s">
        <v>22</v>
      </c>
      <c r="H3002">
        <v>930</v>
      </c>
      <c r="I3002">
        <v>81</v>
      </c>
      <c r="J3002" s="6">
        <f t="shared" si="234"/>
        <v>75.33</v>
      </c>
      <c r="K3002" t="s">
        <v>396</v>
      </c>
    </row>
    <row r="3003" spans="3:11" outlineLevel="2" x14ac:dyDescent="0.3">
      <c r="C3003" s="9">
        <v>45220</v>
      </c>
      <c r="D3003" t="s">
        <v>12</v>
      </c>
      <c r="E3003" t="s">
        <v>15</v>
      </c>
      <c r="F3003" t="s">
        <v>13</v>
      </c>
      <c r="G3003" t="s">
        <v>22</v>
      </c>
      <c r="H3003">
        <v>930</v>
      </c>
      <c r="I3003">
        <v>29</v>
      </c>
      <c r="J3003" s="6">
        <f t="shared" si="234"/>
        <v>26.97</v>
      </c>
      <c r="K3003" t="s">
        <v>396</v>
      </c>
    </row>
    <row r="3004" spans="3:11" outlineLevel="2" x14ac:dyDescent="0.3">
      <c r="C3004" s="9">
        <v>45220</v>
      </c>
      <c r="D3004" t="s">
        <v>8</v>
      </c>
      <c r="E3004" t="s">
        <v>15</v>
      </c>
      <c r="F3004" t="s">
        <v>24</v>
      </c>
      <c r="G3004" t="s">
        <v>30</v>
      </c>
      <c r="H3004">
        <v>2970</v>
      </c>
      <c r="I3004">
        <v>98</v>
      </c>
      <c r="J3004" s="6">
        <f t="shared" si="234"/>
        <v>291.06</v>
      </c>
      <c r="K3004" t="s">
        <v>396</v>
      </c>
    </row>
    <row r="3005" spans="3:11" outlineLevel="2" x14ac:dyDescent="0.3">
      <c r="C3005" s="9">
        <v>45220</v>
      </c>
      <c r="D3005" t="s">
        <v>17</v>
      </c>
      <c r="E3005" t="s">
        <v>33</v>
      </c>
      <c r="F3005" t="s">
        <v>10</v>
      </c>
      <c r="G3005" t="s">
        <v>16</v>
      </c>
      <c r="H3005">
        <v>1380</v>
      </c>
      <c r="I3005">
        <v>62</v>
      </c>
      <c r="J3005" s="6">
        <f t="shared" si="234"/>
        <v>85.56</v>
      </c>
      <c r="K3005" t="s">
        <v>396</v>
      </c>
    </row>
    <row r="3006" spans="3:11" outlineLevel="2" x14ac:dyDescent="0.3">
      <c r="C3006" s="9">
        <v>45220</v>
      </c>
      <c r="D3006" t="s">
        <v>12</v>
      </c>
      <c r="E3006" t="s">
        <v>33</v>
      </c>
      <c r="F3006" t="s">
        <v>13</v>
      </c>
      <c r="G3006" t="s">
        <v>43</v>
      </c>
      <c r="H3006">
        <v>1420</v>
      </c>
      <c r="I3006">
        <v>44</v>
      </c>
      <c r="J3006" s="6">
        <f t="shared" si="234"/>
        <v>62.48</v>
      </c>
      <c r="K3006" t="s">
        <v>396</v>
      </c>
    </row>
    <row r="3007" spans="3:11" outlineLevel="1" x14ac:dyDescent="0.3">
      <c r="C3007" s="13" t="s">
        <v>308</v>
      </c>
      <c r="J3007" s="6">
        <f>SUBTOTAL(9,J2999:J3006)</f>
        <v>830.83999999999992</v>
      </c>
      <c r="K3007" t="s">
        <v>396</v>
      </c>
    </row>
    <row r="3008" spans="3:11" outlineLevel="2" x14ac:dyDescent="0.3">
      <c r="C3008" s="9">
        <v>45221</v>
      </c>
      <c r="D3008" t="s">
        <v>8</v>
      </c>
      <c r="E3008" t="s">
        <v>20</v>
      </c>
      <c r="F3008" t="s">
        <v>10</v>
      </c>
      <c r="G3008" t="s">
        <v>11</v>
      </c>
      <c r="H3008">
        <v>705</v>
      </c>
      <c r="I3008">
        <v>67</v>
      </c>
      <c r="J3008" s="6">
        <f t="shared" ref="J3008:J3013" si="235">H3008*I3008/1000</f>
        <v>47.234999999999999</v>
      </c>
      <c r="K3008" t="s">
        <v>396</v>
      </c>
    </row>
    <row r="3009" spans="3:11" outlineLevel="2" x14ac:dyDescent="0.3">
      <c r="C3009" s="9">
        <v>45221</v>
      </c>
      <c r="D3009" t="s">
        <v>8</v>
      </c>
      <c r="E3009" t="s">
        <v>26</v>
      </c>
      <c r="F3009" t="s">
        <v>18</v>
      </c>
      <c r="G3009" t="s">
        <v>31</v>
      </c>
      <c r="H3009">
        <v>715</v>
      </c>
      <c r="I3009">
        <v>65</v>
      </c>
      <c r="J3009" s="6">
        <f t="shared" si="235"/>
        <v>46.475000000000001</v>
      </c>
      <c r="K3009" t="s">
        <v>396</v>
      </c>
    </row>
    <row r="3010" spans="3:11" outlineLevel="2" x14ac:dyDescent="0.3">
      <c r="C3010" s="9">
        <v>45221</v>
      </c>
      <c r="D3010" t="s">
        <v>12</v>
      </c>
      <c r="E3010" t="s">
        <v>26</v>
      </c>
      <c r="F3010" t="s">
        <v>24</v>
      </c>
      <c r="G3010" t="s">
        <v>34</v>
      </c>
      <c r="H3010">
        <v>1670</v>
      </c>
      <c r="I3010">
        <v>68</v>
      </c>
      <c r="J3010" s="6">
        <f t="shared" si="235"/>
        <v>113.56</v>
      </c>
      <c r="K3010" t="s">
        <v>396</v>
      </c>
    </row>
    <row r="3011" spans="3:11" outlineLevel="2" x14ac:dyDescent="0.3">
      <c r="C3011" s="9">
        <v>45221</v>
      </c>
      <c r="D3011" t="s">
        <v>12</v>
      </c>
      <c r="E3011" t="s">
        <v>26</v>
      </c>
      <c r="F3011" t="s">
        <v>24</v>
      </c>
      <c r="G3011" t="s">
        <v>42</v>
      </c>
      <c r="H3011">
        <v>3205</v>
      </c>
      <c r="I3011">
        <v>48</v>
      </c>
      <c r="J3011" s="6">
        <f t="shared" si="235"/>
        <v>153.84</v>
      </c>
      <c r="K3011" t="s">
        <v>396</v>
      </c>
    </row>
    <row r="3012" spans="3:11" outlineLevel="2" x14ac:dyDescent="0.3">
      <c r="C3012" s="9">
        <v>45221</v>
      </c>
      <c r="D3012" t="s">
        <v>45</v>
      </c>
      <c r="E3012" t="s">
        <v>35</v>
      </c>
      <c r="F3012" t="s">
        <v>10</v>
      </c>
      <c r="G3012" t="s">
        <v>23</v>
      </c>
      <c r="H3012">
        <v>640</v>
      </c>
      <c r="I3012">
        <v>70</v>
      </c>
      <c r="J3012" s="6">
        <f t="shared" si="235"/>
        <v>44.8</v>
      </c>
      <c r="K3012" t="s">
        <v>396</v>
      </c>
    </row>
    <row r="3013" spans="3:11" outlineLevel="2" x14ac:dyDescent="0.3">
      <c r="C3013" s="9">
        <v>45221</v>
      </c>
      <c r="D3013" t="s">
        <v>8</v>
      </c>
      <c r="E3013" t="s">
        <v>35</v>
      </c>
      <c r="F3013" t="s">
        <v>13</v>
      </c>
      <c r="G3013" t="s">
        <v>14</v>
      </c>
      <c r="H3013">
        <v>1320</v>
      </c>
      <c r="I3013">
        <v>79</v>
      </c>
      <c r="J3013" s="6">
        <f t="shared" si="235"/>
        <v>104.28</v>
      </c>
      <c r="K3013" t="s">
        <v>396</v>
      </c>
    </row>
    <row r="3014" spans="3:11" outlineLevel="1" x14ac:dyDescent="0.3">
      <c r="C3014" s="13" t="s">
        <v>309</v>
      </c>
      <c r="J3014" s="6">
        <f>SUBTOTAL(9,J3008:J3013)</f>
        <v>510.19000000000005</v>
      </c>
      <c r="K3014" t="s">
        <v>396</v>
      </c>
    </row>
    <row r="3015" spans="3:11" outlineLevel="2" x14ac:dyDescent="0.3">
      <c r="C3015" s="9">
        <v>45222</v>
      </c>
      <c r="D3015" t="s">
        <v>8</v>
      </c>
      <c r="E3015" t="s">
        <v>20</v>
      </c>
      <c r="F3015" t="s">
        <v>13</v>
      </c>
      <c r="G3015" t="s">
        <v>14</v>
      </c>
      <c r="H3015">
        <v>1320</v>
      </c>
      <c r="I3015">
        <v>69</v>
      </c>
      <c r="J3015" s="6">
        <f t="shared" ref="J3015:J3024" si="236">H3015*I3015/1000</f>
        <v>91.08</v>
      </c>
      <c r="K3015" t="s">
        <v>396</v>
      </c>
    </row>
    <row r="3016" spans="3:11" outlineLevel="2" x14ac:dyDescent="0.3">
      <c r="C3016" s="9">
        <v>45222</v>
      </c>
      <c r="D3016" t="s">
        <v>8</v>
      </c>
      <c r="E3016" t="s">
        <v>9</v>
      </c>
      <c r="F3016" t="s">
        <v>18</v>
      </c>
      <c r="G3016" t="s">
        <v>31</v>
      </c>
      <c r="H3016">
        <v>715</v>
      </c>
      <c r="I3016">
        <v>30</v>
      </c>
      <c r="J3016" s="6">
        <f t="shared" si="236"/>
        <v>21.45</v>
      </c>
      <c r="K3016" t="s">
        <v>396</v>
      </c>
    </row>
    <row r="3017" spans="3:11" outlineLevel="2" x14ac:dyDescent="0.3">
      <c r="C3017" s="9">
        <v>45222</v>
      </c>
      <c r="D3017" t="s">
        <v>17</v>
      </c>
      <c r="E3017" t="s">
        <v>9</v>
      </c>
      <c r="F3017" t="s">
        <v>13</v>
      </c>
      <c r="G3017" t="s">
        <v>43</v>
      </c>
      <c r="H3017">
        <v>1420</v>
      </c>
      <c r="I3017">
        <v>82</v>
      </c>
      <c r="J3017" s="6">
        <f t="shared" si="236"/>
        <v>116.44</v>
      </c>
      <c r="K3017" t="s">
        <v>396</v>
      </c>
    </row>
    <row r="3018" spans="3:11" outlineLevel="2" x14ac:dyDescent="0.3">
      <c r="C3018" s="9">
        <v>45222</v>
      </c>
      <c r="D3018" t="s">
        <v>17</v>
      </c>
      <c r="E3018" t="s">
        <v>26</v>
      </c>
      <c r="F3018" t="s">
        <v>18</v>
      </c>
      <c r="G3018" t="s">
        <v>21</v>
      </c>
      <c r="H3018">
        <v>450</v>
      </c>
      <c r="I3018">
        <v>81</v>
      </c>
      <c r="J3018" s="6">
        <f t="shared" si="236"/>
        <v>36.450000000000003</v>
      </c>
      <c r="K3018" t="s">
        <v>396</v>
      </c>
    </row>
    <row r="3019" spans="3:11" outlineLevel="2" x14ac:dyDescent="0.3">
      <c r="C3019" s="9">
        <v>45222</v>
      </c>
      <c r="D3019" t="s">
        <v>8</v>
      </c>
      <c r="E3019" t="s">
        <v>26</v>
      </c>
      <c r="F3019" t="s">
        <v>24</v>
      </c>
      <c r="G3019" t="s">
        <v>30</v>
      </c>
      <c r="H3019">
        <v>2970</v>
      </c>
      <c r="I3019">
        <v>52</v>
      </c>
      <c r="J3019" s="6">
        <f t="shared" si="236"/>
        <v>154.44</v>
      </c>
      <c r="K3019" t="s">
        <v>396</v>
      </c>
    </row>
    <row r="3020" spans="3:11" outlineLevel="2" x14ac:dyDescent="0.3">
      <c r="C3020" s="9">
        <v>45222</v>
      </c>
      <c r="D3020" t="s">
        <v>45</v>
      </c>
      <c r="E3020" t="s">
        <v>15</v>
      </c>
      <c r="F3020" t="s">
        <v>10</v>
      </c>
      <c r="G3020" t="s">
        <v>16</v>
      </c>
      <c r="H3020">
        <v>1380</v>
      </c>
      <c r="I3020">
        <v>97</v>
      </c>
      <c r="J3020" s="6">
        <f t="shared" si="236"/>
        <v>133.86000000000001</v>
      </c>
      <c r="K3020" t="s">
        <v>396</v>
      </c>
    </row>
    <row r="3021" spans="3:11" outlineLevel="2" x14ac:dyDescent="0.3">
      <c r="C3021" s="9">
        <v>45222</v>
      </c>
      <c r="D3021" t="s">
        <v>12</v>
      </c>
      <c r="E3021" t="s">
        <v>33</v>
      </c>
      <c r="F3021" t="s">
        <v>18</v>
      </c>
      <c r="G3021" t="s">
        <v>27</v>
      </c>
      <c r="H3021">
        <v>460</v>
      </c>
      <c r="I3021">
        <v>70</v>
      </c>
      <c r="J3021" s="6">
        <f t="shared" si="236"/>
        <v>32.200000000000003</v>
      </c>
      <c r="K3021" t="s">
        <v>396</v>
      </c>
    </row>
    <row r="3022" spans="3:11" outlineLevel="2" x14ac:dyDescent="0.3">
      <c r="C3022" s="9">
        <v>45222</v>
      </c>
      <c r="D3022" t="s">
        <v>17</v>
      </c>
      <c r="E3022" t="s">
        <v>33</v>
      </c>
      <c r="F3022" t="s">
        <v>13</v>
      </c>
      <c r="G3022" t="s">
        <v>14</v>
      </c>
      <c r="H3022">
        <v>1320</v>
      </c>
      <c r="I3022">
        <v>50</v>
      </c>
      <c r="J3022" s="6">
        <f t="shared" si="236"/>
        <v>66</v>
      </c>
      <c r="K3022" t="s">
        <v>396</v>
      </c>
    </row>
    <row r="3023" spans="3:11" outlineLevel="2" x14ac:dyDescent="0.3">
      <c r="C3023" s="9">
        <v>45222</v>
      </c>
      <c r="D3023" t="s">
        <v>12</v>
      </c>
      <c r="E3023" t="s">
        <v>35</v>
      </c>
      <c r="F3023" t="s">
        <v>13</v>
      </c>
      <c r="G3023" t="s">
        <v>44</v>
      </c>
      <c r="H3023">
        <v>2540</v>
      </c>
      <c r="I3023">
        <v>93</v>
      </c>
      <c r="J3023" s="6">
        <f t="shared" si="236"/>
        <v>236.22</v>
      </c>
      <c r="K3023" t="s">
        <v>396</v>
      </c>
    </row>
    <row r="3024" spans="3:11" outlineLevel="2" x14ac:dyDescent="0.3">
      <c r="C3024" s="9">
        <v>45222</v>
      </c>
      <c r="D3024" t="s">
        <v>12</v>
      </c>
      <c r="E3024" t="s">
        <v>35</v>
      </c>
      <c r="F3024" t="s">
        <v>13</v>
      </c>
      <c r="G3024" t="s">
        <v>38</v>
      </c>
      <c r="H3024">
        <v>2400</v>
      </c>
      <c r="I3024">
        <v>33</v>
      </c>
      <c r="J3024" s="6">
        <f t="shared" si="236"/>
        <v>79.2</v>
      </c>
      <c r="K3024" t="s">
        <v>396</v>
      </c>
    </row>
    <row r="3025" spans="3:11" outlineLevel="1" x14ac:dyDescent="0.3">
      <c r="C3025" s="13" t="s">
        <v>310</v>
      </c>
      <c r="J3025" s="6">
        <f>SUBTOTAL(9,J3015:J3024)</f>
        <v>967.34000000000015</v>
      </c>
      <c r="K3025" t="s">
        <v>396</v>
      </c>
    </row>
    <row r="3026" spans="3:11" outlineLevel="2" x14ac:dyDescent="0.3">
      <c r="C3026" s="9">
        <v>45223</v>
      </c>
      <c r="D3026" t="s">
        <v>45</v>
      </c>
      <c r="E3026" t="s">
        <v>20</v>
      </c>
      <c r="F3026" t="s">
        <v>13</v>
      </c>
      <c r="G3026" t="s">
        <v>43</v>
      </c>
      <c r="H3026">
        <v>1420</v>
      </c>
      <c r="I3026">
        <v>25</v>
      </c>
      <c r="J3026" s="6">
        <f t="shared" ref="J3026:J3036" si="237">H3026*I3026/1000</f>
        <v>35.5</v>
      </c>
      <c r="K3026" t="s">
        <v>396</v>
      </c>
    </row>
    <row r="3027" spans="3:11" outlineLevel="2" x14ac:dyDescent="0.3">
      <c r="C3027" s="9">
        <v>45223</v>
      </c>
      <c r="D3027" t="s">
        <v>8</v>
      </c>
      <c r="E3027" t="s">
        <v>9</v>
      </c>
      <c r="F3027" t="s">
        <v>10</v>
      </c>
      <c r="G3027" t="s">
        <v>23</v>
      </c>
      <c r="H3027">
        <v>640</v>
      </c>
      <c r="I3027">
        <v>76</v>
      </c>
      <c r="J3027" s="6">
        <f t="shared" si="237"/>
        <v>48.64</v>
      </c>
      <c r="K3027" t="s">
        <v>396</v>
      </c>
    </row>
    <row r="3028" spans="3:11" outlineLevel="2" x14ac:dyDescent="0.3">
      <c r="C3028" s="9">
        <v>45223</v>
      </c>
      <c r="D3028" t="s">
        <v>17</v>
      </c>
      <c r="E3028" t="s">
        <v>9</v>
      </c>
      <c r="F3028" t="s">
        <v>13</v>
      </c>
      <c r="G3028" t="s">
        <v>14</v>
      </c>
      <c r="H3028">
        <v>1320</v>
      </c>
      <c r="I3028">
        <v>53</v>
      </c>
      <c r="J3028" s="6">
        <f t="shared" si="237"/>
        <v>69.959999999999994</v>
      </c>
      <c r="K3028" t="s">
        <v>396</v>
      </c>
    </row>
    <row r="3029" spans="3:11" outlineLevel="2" x14ac:dyDescent="0.3">
      <c r="C3029" s="9">
        <v>45223</v>
      </c>
      <c r="D3029" t="s">
        <v>45</v>
      </c>
      <c r="E3029" t="s">
        <v>9</v>
      </c>
      <c r="F3029" t="s">
        <v>24</v>
      </c>
      <c r="G3029" t="s">
        <v>42</v>
      </c>
      <c r="H3029">
        <v>3205</v>
      </c>
      <c r="I3029">
        <v>12</v>
      </c>
      <c r="J3029" s="6">
        <f t="shared" si="237"/>
        <v>38.46</v>
      </c>
      <c r="K3029" t="s">
        <v>396</v>
      </c>
    </row>
    <row r="3030" spans="3:11" outlineLevel="2" x14ac:dyDescent="0.3">
      <c r="C3030" s="9">
        <v>45223</v>
      </c>
      <c r="D3030" t="s">
        <v>8</v>
      </c>
      <c r="E3030" t="s">
        <v>26</v>
      </c>
      <c r="F3030" t="s">
        <v>10</v>
      </c>
      <c r="G3030" t="s">
        <v>23</v>
      </c>
      <c r="H3030">
        <v>640</v>
      </c>
      <c r="I3030">
        <v>43</v>
      </c>
      <c r="J3030" s="6">
        <f t="shared" si="237"/>
        <v>27.52</v>
      </c>
      <c r="K3030" t="s">
        <v>396</v>
      </c>
    </row>
    <row r="3031" spans="3:11" outlineLevel="2" x14ac:dyDescent="0.3">
      <c r="C3031" s="9">
        <v>45223</v>
      </c>
      <c r="D3031" t="s">
        <v>8</v>
      </c>
      <c r="E3031" t="s">
        <v>26</v>
      </c>
      <c r="F3031" t="s">
        <v>24</v>
      </c>
      <c r="G3031" t="s">
        <v>30</v>
      </c>
      <c r="H3031">
        <v>2970</v>
      </c>
      <c r="I3031">
        <v>36</v>
      </c>
      <c r="J3031" s="6">
        <f t="shared" si="237"/>
        <v>106.92</v>
      </c>
      <c r="K3031" t="s">
        <v>396</v>
      </c>
    </row>
    <row r="3032" spans="3:11" outlineLevel="2" x14ac:dyDescent="0.3">
      <c r="C3032" s="9">
        <v>45223</v>
      </c>
      <c r="D3032" t="s">
        <v>12</v>
      </c>
      <c r="E3032" t="s">
        <v>15</v>
      </c>
      <c r="F3032" t="s">
        <v>24</v>
      </c>
      <c r="G3032" t="s">
        <v>25</v>
      </c>
      <c r="H3032">
        <v>1760</v>
      </c>
      <c r="I3032">
        <v>13</v>
      </c>
      <c r="J3032" s="6">
        <f t="shared" si="237"/>
        <v>22.88</v>
      </c>
      <c r="K3032" t="s">
        <v>396</v>
      </c>
    </row>
    <row r="3033" spans="3:11" outlineLevel="2" x14ac:dyDescent="0.3">
      <c r="C3033" s="9">
        <v>45223</v>
      </c>
      <c r="D3033" t="s">
        <v>45</v>
      </c>
      <c r="E3033" t="s">
        <v>33</v>
      </c>
      <c r="F3033" t="s">
        <v>24</v>
      </c>
      <c r="G3033" t="s">
        <v>25</v>
      </c>
      <c r="H3033">
        <v>1760</v>
      </c>
      <c r="I3033">
        <v>100</v>
      </c>
      <c r="J3033" s="6">
        <f t="shared" si="237"/>
        <v>176</v>
      </c>
      <c r="K3033" t="s">
        <v>396</v>
      </c>
    </row>
    <row r="3034" spans="3:11" outlineLevel="2" x14ac:dyDescent="0.3">
      <c r="C3034" s="9">
        <v>45223</v>
      </c>
      <c r="D3034" t="s">
        <v>45</v>
      </c>
      <c r="E3034" t="s">
        <v>35</v>
      </c>
      <c r="F3034" t="s">
        <v>10</v>
      </c>
      <c r="G3034" t="s">
        <v>39</v>
      </c>
      <c r="H3034">
        <v>650</v>
      </c>
      <c r="I3034">
        <v>33</v>
      </c>
      <c r="J3034" s="6">
        <f t="shared" si="237"/>
        <v>21.45</v>
      </c>
      <c r="K3034" t="s">
        <v>396</v>
      </c>
    </row>
    <row r="3035" spans="3:11" outlineLevel="2" x14ac:dyDescent="0.3">
      <c r="C3035" s="9">
        <v>45223</v>
      </c>
      <c r="D3035" t="s">
        <v>12</v>
      </c>
      <c r="E3035" t="s">
        <v>35</v>
      </c>
      <c r="F3035" t="s">
        <v>13</v>
      </c>
      <c r="G3035" t="s">
        <v>43</v>
      </c>
      <c r="H3035">
        <v>1420</v>
      </c>
      <c r="I3035">
        <v>23</v>
      </c>
      <c r="J3035" s="6">
        <f t="shared" si="237"/>
        <v>32.659999999999997</v>
      </c>
      <c r="K3035" t="s">
        <v>396</v>
      </c>
    </row>
    <row r="3036" spans="3:11" outlineLevel="2" x14ac:dyDescent="0.3">
      <c r="C3036" s="9">
        <v>45223</v>
      </c>
      <c r="D3036" t="s">
        <v>8</v>
      </c>
      <c r="E3036" t="s">
        <v>35</v>
      </c>
      <c r="F3036" t="s">
        <v>13</v>
      </c>
      <c r="G3036" t="s">
        <v>43</v>
      </c>
      <c r="H3036">
        <v>1420</v>
      </c>
      <c r="I3036">
        <v>19</v>
      </c>
      <c r="J3036" s="6">
        <f t="shared" si="237"/>
        <v>26.98</v>
      </c>
      <c r="K3036" t="s">
        <v>396</v>
      </c>
    </row>
    <row r="3037" spans="3:11" outlineLevel="1" x14ac:dyDescent="0.3">
      <c r="C3037" s="13" t="s">
        <v>311</v>
      </c>
      <c r="J3037" s="6">
        <f>SUBTOTAL(9,J3026:J3036)</f>
        <v>606.97</v>
      </c>
      <c r="K3037" t="s">
        <v>396</v>
      </c>
    </row>
    <row r="3038" spans="3:11" outlineLevel="2" x14ac:dyDescent="0.3">
      <c r="C3038" s="9">
        <v>45224</v>
      </c>
      <c r="D3038" t="s">
        <v>12</v>
      </c>
      <c r="E3038" t="s">
        <v>9</v>
      </c>
      <c r="F3038" t="s">
        <v>18</v>
      </c>
      <c r="G3038" t="s">
        <v>28</v>
      </c>
      <c r="H3038">
        <v>690</v>
      </c>
      <c r="I3038">
        <v>39</v>
      </c>
      <c r="J3038" s="6">
        <f t="shared" ref="J3038:J3044" si="238">H3038*I3038/1000</f>
        <v>26.91</v>
      </c>
      <c r="K3038" t="s">
        <v>396</v>
      </c>
    </row>
    <row r="3039" spans="3:11" outlineLevel="2" x14ac:dyDescent="0.3">
      <c r="C3039" s="9">
        <v>45224</v>
      </c>
      <c r="D3039" t="s">
        <v>17</v>
      </c>
      <c r="E3039" t="s">
        <v>9</v>
      </c>
      <c r="F3039" t="s">
        <v>18</v>
      </c>
      <c r="G3039" t="s">
        <v>19</v>
      </c>
      <c r="H3039">
        <v>325</v>
      </c>
      <c r="I3039">
        <v>51</v>
      </c>
      <c r="J3039" s="6">
        <f t="shared" si="238"/>
        <v>16.574999999999999</v>
      </c>
      <c r="K3039" t="s">
        <v>396</v>
      </c>
    </row>
    <row r="3040" spans="3:11" outlineLevel="2" x14ac:dyDescent="0.3">
      <c r="C3040" s="9">
        <v>45224</v>
      </c>
      <c r="D3040" t="s">
        <v>17</v>
      </c>
      <c r="E3040" t="s">
        <v>33</v>
      </c>
      <c r="F3040" t="s">
        <v>18</v>
      </c>
      <c r="G3040" t="s">
        <v>31</v>
      </c>
      <c r="H3040">
        <v>715</v>
      </c>
      <c r="I3040">
        <v>86</v>
      </c>
      <c r="J3040" s="6">
        <f t="shared" si="238"/>
        <v>61.49</v>
      </c>
      <c r="K3040" t="s">
        <v>396</v>
      </c>
    </row>
    <row r="3041" spans="3:11" outlineLevel="2" x14ac:dyDescent="0.3">
      <c r="C3041" s="9">
        <v>45224</v>
      </c>
      <c r="D3041" t="s">
        <v>17</v>
      </c>
      <c r="E3041" t="s">
        <v>33</v>
      </c>
      <c r="F3041" t="s">
        <v>18</v>
      </c>
      <c r="G3041" t="s">
        <v>37</v>
      </c>
      <c r="H3041">
        <v>890</v>
      </c>
      <c r="I3041">
        <v>61</v>
      </c>
      <c r="J3041" s="6">
        <f t="shared" si="238"/>
        <v>54.29</v>
      </c>
      <c r="K3041" t="s">
        <v>396</v>
      </c>
    </row>
    <row r="3042" spans="3:11" outlineLevel="2" x14ac:dyDescent="0.3">
      <c r="C3042" s="9">
        <v>45224</v>
      </c>
      <c r="D3042" t="s">
        <v>12</v>
      </c>
      <c r="E3042" t="s">
        <v>33</v>
      </c>
      <c r="F3042" t="s">
        <v>13</v>
      </c>
      <c r="G3042" t="s">
        <v>14</v>
      </c>
      <c r="H3042">
        <v>1320</v>
      </c>
      <c r="I3042">
        <v>89</v>
      </c>
      <c r="J3042" s="6">
        <f t="shared" si="238"/>
        <v>117.48</v>
      </c>
      <c r="K3042" t="s">
        <v>396</v>
      </c>
    </row>
    <row r="3043" spans="3:11" outlineLevel="2" x14ac:dyDescent="0.3">
      <c r="C3043" s="9">
        <v>45224</v>
      </c>
      <c r="D3043" t="s">
        <v>8</v>
      </c>
      <c r="E3043" t="s">
        <v>35</v>
      </c>
      <c r="F3043" t="s">
        <v>10</v>
      </c>
      <c r="G3043" t="s">
        <v>39</v>
      </c>
      <c r="H3043">
        <v>650</v>
      </c>
      <c r="I3043">
        <v>64</v>
      </c>
      <c r="J3043" s="6">
        <f t="shared" si="238"/>
        <v>41.6</v>
      </c>
      <c r="K3043" t="s">
        <v>396</v>
      </c>
    </row>
    <row r="3044" spans="3:11" outlineLevel="2" x14ac:dyDescent="0.3">
      <c r="C3044" s="9">
        <v>45224</v>
      </c>
      <c r="D3044" t="s">
        <v>45</v>
      </c>
      <c r="E3044" t="s">
        <v>35</v>
      </c>
      <c r="F3044" t="s">
        <v>13</v>
      </c>
      <c r="G3044" t="s">
        <v>22</v>
      </c>
      <c r="H3044">
        <v>930</v>
      </c>
      <c r="I3044">
        <v>89</v>
      </c>
      <c r="J3044" s="6">
        <f t="shared" si="238"/>
        <v>82.77</v>
      </c>
      <c r="K3044" t="s">
        <v>396</v>
      </c>
    </row>
    <row r="3045" spans="3:11" outlineLevel="1" x14ac:dyDescent="0.3">
      <c r="C3045" s="13" t="s">
        <v>312</v>
      </c>
      <c r="J3045" s="6">
        <f>SUBTOTAL(9,J3038:J3044)</f>
        <v>401.11500000000001</v>
      </c>
      <c r="K3045" t="s">
        <v>396</v>
      </c>
    </row>
    <row r="3046" spans="3:11" outlineLevel="2" x14ac:dyDescent="0.3">
      <c r="C3046" s="9">
        <v>45225</v>
      </c>
      <c r="D3046" t="s">
        <v>8</v>
      </c>
      <c r="E3046" t="s">
        <v>20</v>
      </c>
      <c r="F3046" t="s">
        <v>13</v>
      </c>
      <c r="G3046" t="s">
        <v>44</v>
      </c>
      <c r="H3046">
        <v>2540</v>
      </c>
      <c r="I3046">
        <v>75</v>
      </c>
      <c r="J3046" s="6">
        <f t="shared" ref="J3046:J3058" si="239">H3046*I3046/1000</f>
        <v>190.5</v>
      </c>
      <c r="K3046" t="s">
        <v>396</v>
      </c>
    </row>
    <row r="3047" spans="3:11" outlineLevel="2" x14ac:dyDescent="0.3">
      <c r="C3047" s="9">
        <v>45225</v>
      </c>
      <c r="D3047" t="s">
        <v>12</v>
      </c>
      <c r="E3047" t="s">
        <v>9</v>
      </c>
      <c r="F3047" t="s">
        <v>13</v>
      </c>
      <c r="G3047" t="s">
        <v>22</v>
      </c>
      <c r="H3047">
        <v>930</v>
      </c>
      <c r="I3047">
        <v>48</v>
      </c>
      <c r="J3047" s="6">
        <f t="shared" si="239"/>
        <v>44.64</v>
      </c>
      <c r="K3047" t="s">
        <v>396</v>
      </c>
    </row>
    <row r="3048" spans="3:11" outlineLevel="2" x14ac:dyDescent="0.3">
      <c r="C3048" s="9">
        <v>45225</v>
      </c>
      <c r="D3048" t="s">
        <v>8</v>
      </c>
      <c r="E3048" t="s">
        <v>9</v>
      </c>
      <c r="F3048" t="s">
        <v>13</v>
      </c>
      <c r="G3048" t="s">
        <v>22</v>
      </c>
      <c r="H3048">
        <v>930</v>
      </c>
      <c r="I3048">
        <v>70</v>
      </c>
      <c r="J3048" s="6">
        <f t="shared" si="239"/>
        <v>65.099999999999994</v>
      </c>
      <c r="K3048" t="s">
        <v>396</v>
      </c>
    </row>
    <row r="3049" spans="3:11" outlineLevel="2" x14ac:dyDescent="0.3">
      <c r="C3049" s="9">
        <v>45225</v>
      </c>
      <c r="D3049" t="s">
        <v>8</v>
      </c>
      <c r="E3049" t="s">
        <v>26</v>
      </c>
      <c r="F3049" t="s">
        <v>18</v>
      </c>
      <c r="G3049" t="s">
        <v>21</v>
      </c>
      <c r="H3049">
        <v>450</v>
      </c>
      <c r="I3049">
        <v>58</v>
      </c>
      <c r="J3049" s="6">
        <f t="shared" si="239"/>
        <v>26.1</v>
      </c>
      <c r="K3049" t="s">
        <v>396</v>
      </c>
    </row>
    <row r="3050" spans="3:11" outlineLevel="2" x14ac:dyDescent="0.3">
      <c r="C3050" s="9">
        <v>45225</v>
      </c>
      <c r="D3050" t="s">
        <v>12</v>
      </c>
      <c r="E3050" t="s">
        <v>26</v>
      </c>
      <c r="F3050" t="s">
        <v>13</v>
      </c>
      <c r="G3050" t="s">
        <v>44</v>
      </c>
      <c r="H3050">
        <v>2540</v>
      </c>
      <c r="I3050">
        <v>30</v>
      </c>
      <c r="J3050" s="6">
        <f t="shared" si="239"/>
        <v>76.2</v>
      </c>
      <c r="K3050" t="s">
        <v>396</v>
      </c>
    </row>
    <row r="3051" spans="3:11" outlineLevel="2" x14ac:dyDescent="0.3">
      <c r="C3051" s="9">
        <v>45225</v>
      </c>
      <c r="D3051" t="s">
        <v>45</v>
      </c>
      <c r="E3051" t="s">
        <v>26</v>
      </c>
      <c r="F3051" t="s">
        <v>13</v>
      </c>
      <c r="G3051" t="s">
        <v>44</v>
      </c>
      <c r="H3051">
        <v>2540</v>
      </c>
      <c r="I3051">
        <v>53</v>
      </c>
      <c r="J3051" s="6">
        <f t="shared" si="239"/>
        <v>134.62</v>
      </c>
      <c r="K3051" t="s">
        <v>396</v>
      </c>
    </row>
    <row r="3052" spans="3:11" outlineLevel="2" x14ac:dyDescent="0.3">
      <c r="C3052" s="9">
        <v>45225</v>
      </c>
      <c r="D3052" t="s">
        <v>45</v>
      </c>
      <c r="E3052" t="s">
        <v>26</v>
      </c>
      <c r="F3052" t="s">
        <v>24</v>
      </c>
      <c r="G3052" t="s">
        <v>25</v>
      </c>
      <c r="H3052">
        <v>1760</v>
      </c>
      <c r="I3052">
        <v>89</v>
      </c>
      <c r="J3052" s="6">
        <f t="shared" si="239"/>
        <v>156.63999999999999</v>
      </c>
      <c r="K3052" t="s">
        <v>396</v>
      </c>
    </row>
    <row r="3053" spans="3:11" outlineLevel="2" x14ac:dyDescent="0.3">
      <c r="C3053" s="9">
        <v>45225</v>
      </c>
      <c r="D3053" t="s">
        <v>17</v>
      </c>
      <c r="E3053" t="s">
        <v>26</v>
      </c>
      <c r="F3053" t="s">
        <v>24</v>
      </c>
      <c r="G3053" t="s">
        <v>34</v>
      </c>
      <c r="H3053">
        <v>1670</v>
      </c>
      <c r="I3053">
        <v>23</v>
      </c>
      <c r="J3053" s="6">
        <f t="shared" si="239"/>
        <v>38.409999999999997</v>
      </c>
      <c r="K3053" t="s">
        <v>396</v>
      </c>
    </row>
    <row r="3054" spans="3:11" outlineLevel="2" x14ac:dyDescent="0.3">
      <c r="C3054" s="9">
        <v>45225</v>
      </c>
      <c r="D3054" t="s">
        <v>12</v>
      </c>
      <c r="E3054" t="s">
        <v>15</v>
      </c>
      <c r="F3054" t="s">
        <v>10</v>
      </c>
      <c r="G3054" t="s">
        <v>23</v>
      </c>
      <c r="H3054">
        <v>640</v>
      </c>
      <c r="I3054">
        <v>8</v>
      </c>
      <c r="J3054" s="6">
        <f t="shared" si="239"/>
        <v>5.12</v>
      </c>
      <c r="K3054" t="s">
        <v>396</v>
      </c>
    </row>
    <row r="3055" spans="3:11" outlineLevel="2" x14ac:dyDescent="0.3">
      <c r="C3055" s="9">
        <v>45225</v>
      </c>
      <c r="D3055" t="s">
        <v>8</v>
      </c>
      <c r="E3055" t="s">
        <v>15</v>
      </c>
      <c r="F3055" t="s">
        <v>18</v>
      </c>
      <c r="G3055" t="s">
        <v>21</v>
      </c>
      <c r="H3055">
        <v>450</v>
      </c>
      <c r="I3055">
        <v>91</v>
      </c>
      <c r="J3055" s="6">
        <f t="shared" si="239"/>
        <v>40.950000000000003</v>
      </c>
      <c r="K3055" t="s">
        <v>396</v>
      </c>
    </row>
    <row r="3056" spans="3:11" outlineLevel="2" x14ac:dyDescent="0.3">
      <c r="C3056" s="9">
        <v>45225</v>
      </c>
      <c r="D3056" t="s">
        <v>12</v>
      </c>
      <c r="E3056" t="s">
        <v>33</v>
      </c>
      <c r="F3056" t="s">
        <v>10</v>
      </c>
      <c r="G3056" t="s">
        <v>39</v>
      </c>
      <c r="H3056">
        <v>650</v>
      </c>
      <c r="I3056">
        <v>11</v>
      </c>
      <c r="J3056" s="6">
        <f t="shared" si="239"/>
        <v>7.15</v>
      </c>
      <c r="K3056" t="s">
        <v>396</v>
      </c>
    </row>
    <row r="3057" spans="3:11" outlineLevel="2" x14ac:dyDescent="0.3">
      <c r="C3057" s="9">
        <v>45225</v>
      </c>
      <c r="D3057" t="s">
        <v>17</v>
      </c>
      <c r="E3057" t="s">
        <v>33</v>
      </c>
      <c r="F3057" t="s">
        <v>18</v>
      </c>
      <c r="G3057" t="s">
        <v>37</v>
      </c>
      <c r="H3057">
        <v>890</v>
      </c>
      <c r="I3057">
        <v>95</v>
      </c>
      <c r="J3057" s="6">
        <f t="shared" si="239"/>
        <v>84.55</v>
      </c>
      <c r="K3057" t="s">
        <v>396</v>
      </c>
    </row>
    <row r="3058" spans="3:11" outlineLevel="2" x14ac:dyDescent="0.3">
      <c r="C3058" s="9">
        <v>45225</v>
      </c>
      <c r="D3058" t="s">
        <v>12</v>
      </c>
      <c r="E3058" t="s">
        <v>33</v>
      </c>
      <c r="F3058" t="s">
        <v>24</v>
      </c>
      <c r="G3058" t="s">
        <v>25</v>
      </c>
      <c r="H3058">
        <v>1760</v>
      </c>
      <c r="I3058">
        <v>23</v>
      </c>
      <c r="J3058" s="6">
        <f t="shared" si="239"/>
        <v>40.479999999999997</v>
      </c>
      <c r="K3058" t="s">
        <v>396</v>
      </c>
    </row>
    <row r="3059" spans="3:11" outlineLevel="1" x14ac:dyDescent="0.3">
      <c r="C3059" s="13" t="s">
        <v>313</v>
      </c>
      <c r="J3059" s="6">
        <f>SUBTOTAL(9,J3046:J3058)</f>
        <v>910.46</v>
      </c>
      <c r="K3059" t="s">
        <v>396</v>
      </c>
    </row>
    <row r="3060" spans="3:11" outlineLevel="2" x14ac:dyDescent="0.3">
      <c r="C3060" s="9">
        <v>45226</v>
      </c>
      <c r="D3060" t="s">
        <v>8</v>
      </c>
      <c r="E3060" t="s">
        <v>20</v>
      </c>
      <c r="F3060" t="s">
        <v>13</v>
      </c>
      <c r="G3060" t="s">
        <v>29</v>
      </c>
      <c r="H3060">
        <v>1230</v>
      </c>
      <c r="I3060">
        <v>86</v>
      </c>
      <c r="J3060" s="6">
        <f t="shared" ref="J3060:J3072" si="240">H3060*I3060/1000</f>
        <v>105.78</v>
      </c>
      <c r="K3060" t="s">
        <v>396</v>
      </c>
    </row>
    <row r="3061" spans="3:11" outlineLevel="2" x14ac:dyDescent="0.3">
      <c r="C3061" s="9">
        <v>45226</v>
      </c>
      <c r="D3061" t="s">
        <v>8</v>
      </c>
      <c r="E3061" t="s">
        <v>20</v>
      </c>
      <c r="F3061" t="s">
        <v>13</v>
      </c>
      <c r="G3061" t="s">
        <v>22</v>
      </c>
      <c r="H3061">
        <v>930</v>
      </c>
      <c r="I3061">
        <v>19</v>
      </c>
      <c r="J3061" s="6">
        <f t="shared" si="240"/>
        <v>17.670000000000002</v>
      </c>
      <c r="K3061" t="s">
        <v>396</v>
      </c>
    </row>
    <row r="3062" spans="3:11" outlineLevel="2" x14ac:dyDescent="0.3">
      <c r="C3062" s="9">
        <v>45226</v>
      </c>
      <c r="D3062" t="s">
        <v>8</v>
      </c>
      <c r="E3062" t="s">
        <v>9</v>
      </c>
      <c r="F3062" t="s">
        <v>10</v>
      </c>
      <c r="G3062" t="s">
        <v>40</v>
      </c>
      <c r="H3062">
        <v>540</v>
      </c>
      <c r="I3062">
        <v>97</v>
      </c>
      <c r="J3062" s="6">
        <f t="shared" si="240"/>
        <v>52.38</v>
      </c>
      <c r="K3062" t="s">
        <v>396</v>
      </c>
    </row>
    <row r="3063" spans="3:11" outlineLevel="2" x14ac:dyDescent="0.3">
      <c r="C3063" s="9">
        <v>45226</v>
      </c>
      <c r="D3063" t="s">
        <v>45</v>
      </c>
      <c r="E3063" t="s">
        <v>9</v>
      </c>
      <c r="F3063" t="s">
        <v>10</v>
      </c>
      <c r="G3063" t="s">
        <v>23</v>
      </c>
      <c r="H3063">
        <v>640</v>
      </c>
      <c r="I3063">
        <v>5</v>
      </c>
      <c r="J3063" s="6">
        <f t="shared" si="240"/>
        <v>3.2</v>
      </c>
      <c r="K3063" t="s">
        <v>396</v>
      </c>
    </row>
    <row r="3064" spans="3:11" outlineLevel="2" x14ac:dyDescent="0.3">
      <c r="C3064" s="9">
        <v>45226</v>
      </c>
      <c r="D3064" t="s">
        <v>12</v>
      </c>
      <c r="E3064" t="s">
        <v>9</v>
      </c>
      <c r="F3064" t="s">
        <v>24</v>
      </c>
      <c r="G3064" t="s">
        <v>34</v>
      </c>
      <c r="H3064">
        <v>1670</v>
      </c>
      <c r="I3064">
        <v>54</v>
      </c>
      <c r="J3064" s="6">
        <f t="shared" si="240"/>
        <v>90.18</v>
      </c>
      <c r="K3064" t="s">
        <v>396</v>
      </c>
    </row>
    <row r="3065" spans="3:11" outlineLevel="2" x14ac:dyDescent="0.3">
      <c r="C3065" s="9">
        <v>45226</v>
      </c>
      <c r="D3065" t="s">
        <v>8</v>
      </c>
      <c r="E3065" t="s">
        <v>9</v>
      </c>
      <c r="F3065" t="s">
        <v>24</v>
      </c>
      <c r="G3065" t="s">
        <v>34</v>
      </c>
      <c r="H3065">
        <v>1670</v>
      </c>
      <c r="I3065">
        <v>26</v>
      </c>
      <c r="J3065" s="6">
        <f t="shared" si="240"/>
        <v>43.42</v>
      </c>
      <c r="K3065" t="s">
        <v>396</v>
      </c>
    </row>
    <row r="3066" spans="3:11" outlineLevel="2" x14ac:dyDescent="0.3">
      <c r="C3066" s="9">
        <v>45226</v>
      </c>
      <c r="D3066" t="s">
        <v>17</v>
      </c>
      <c r="E3066" t="s">
        <v>26</v>
      </c>
      <c r="F3066" t="s">
        <v>10</v>
      </c>
      <c r="G3066" t="s">
        <v>11</v>
      </c>
      <c r="H3066">
        <v>705</v>
      </c>
      <c r="I3066">
        <v>49</v>
      </c>
      <c r="J3066" s="6">
        <f t="shared" si="240"/>
        <v>34.545000000000002</v>
      </c>
      <c r="K3066" t="s">
        <v>396</v>
      </c>
    </row>
    <row r="3067" spans="3:11" outlineLevel="2" x14ac:dyDescent="0.3">
      <c r="C3067" s="9">
        <v>45226</v>
      </c>
      <c r="D3067" t="s">
        <v>8</v>
      </c>
      <c r="E3067" t="s">
        <v>26</v>
      </c>
      <c r="F3067" t="s">
        <v>13</v>
      </c>
      <c r="G3067" t="s">
        <v>38</v>
      </c>
      <c r="H3067">
        <v>2400</v>
      </c>
      <c r="I3067">
        <v>73</v>
      </c>
      <c r="J3067" s="6">
        <f t="shared" si="240"/>
        <v>175.2</v>
      </c>
      <c r="K3067" t="s">
        <v>396</v>
      </c>
    </row>
    <row r="3068" spans="3:11" outlineLevel="2" x14ac:dyDescent="0.3">
      <c r="C3068" s="9">
        <v>45226</v>
      </c>
      <c r="D3068" t="s">
        <v>45</v>
      </c>
      <c r="E3068" t="s">
        <v>15</v>
      </c>
      <c r="F3068" t="s">
        <v>10</v>
      </c>
      <c r="G3068" t="s">
        <v>16</v>
      </c>
      <c r="H3068">
        <v>1380</v>
      </c>
      <c r="I3068">
        <v>98</v>
      </c>
      <c r="J3068" s="6">
        <f t="shared" si="240"/>
        <v>135.24</v>
      </c>
      <c r="K3068" t="s">
        <v>396</v>
      </c>
    </row>
    <row r="3069" spans="3:11" outlineLevel="2" x14ac:dyDescent="0.3">
      <c r="C3069" s="9">
        <v>45226</v>
      </c>
      <c r="D3069" t="s">
        <v>12</v>
      </c>
      <c r="E3069" t="s">
        <v>15</v>
      </c>
      <c r="F3069" t="s">
        <v>18</v>
      </c>
      <c r="G3069" t="s">
        <v>31</v>
      </c>
      <c r="H3069">
        <v>715</v>
      </c>
      <c r="I3069">
        <v>55</v>
      </c>
      <c r="J3069" s="6">
        <f t="shared" si="240"/>
        <v>39.325000000000003</v>
      </c>
      <c r="K3069" t="s">
        <v>396</v>
      </c>
    </row>
    <row r="3070" spans="3:11" outlineLevel="2" x14ac:dyDescent="0.3">
      <c r="C3070" s="9">
        <v>45226</v>
      </c>
      <c r="D3070" t="s">
        <v>45</v>
      </c>
      <c r="E3070" t="s">
        <v>33</v>
      </c>
      <c r="F3070" t="s">
        <v>13</v>
      </c>
      <c r="G3070" t="s">
        <v>29</v>
      </c>
      <c r="H3070">
        <v>1230</v>
      </c>
      <c r="I3070">
        <v>51</v>
      </c>
      <c r="J3070" s="6">
        <f t="shared" si="240"/>
        <v>62.73</v>
      </c>
      <c r="K3070" t="s">
        <v>396</v>
      </c>
    </row>
    <row r="3071" spans="3:11" outlineLevel="2" x14ac:dyDescent="0.3">
      <c r="C3071" s="9">
        <v>45226</v>
      </c>
      <c r="D3071" t="s">
        <v>8</v>
      </c>
      <c r="E3071" t="s">
        <v>33</v>
      </c>
      <c r="F3071" t="s">
        <v>13</v>
      </c>
      <c r="G3071" t="s">
        <v>14</v>
      </c>
      <c r="H3071">
        <v>1320</v>
      </c>
      <c r="I3071">
        <v>33</v>
      </c>
      <c r="J3071" s="6">
        <f t="shared" si="240"/>
        <v>43.56</v>
      </c>
      <c r="K3071" t="s">
        <v>396</v>
      </c>
    </row>
    <row r="3072" spans="3:11" outlineLevel="2" x14ac:dyDescent="0.3">
      <c r="C3072" s="9">
        <v>45226</v>
      </c>
      <c r="D3072" t="s">
        <v>45</v>
      </c>
      <c r="E3072" t="s">
        <v>35</v>
      </c>
      <c r="F3072" t="s">
        <v>18</v>
      </c>
      <c r="G3072" t="s">
        <v>27</v>
      </c>
      <c r="H3072">
        <v>460</v>
      </c>
      <c r="I3072">
        <v>74</v>
      </c>
      <c r="J3072" s="6">
        <f t="shared" si="240"/>
        <v>34.04</v>
      </c>
      <c r="K3072" t="s">
        <v>396</v>
      </c>
    </row>
    <row r="3073" spans="3:11" outlineLevel="1" x14ac:dyDescent="0.3">
      <c r="C3073" s="13" t="s">
        <v>314</v>
      </c>
      <c r="J3073" s="6">
        <f>SUBTOTAL(9,J3060:J3072)</f>
        <v>837.27</v>
      </c>
      <c r="K3073" t="s">
        <v>396</v>
      </c>
    </row>
    <row r="3074" spans="3:11" outlineLevel="2" x14ac:dyDescent="0.3">
      <c r="C3074" s="9">
        <v>45227</v>
      </c>
      <c r="D3074" t="s">
        <v>12</v>
      </c>
      <c r="E3074" t="s">
        <v>20</v>
      </c>
      <c r="F3074" t="s">
        <v>10</v>
      </c>
      <c r="G3074" t="s">
        <v>16</v>
      </c>
      <c r="H3074">
        <v>1380</v>
      </c>
      <c r="I3074">
        <v>16</v>
      </c>
      <c r="J3074" s="6">
        <f t="shared" ref="J3074:J3083" si="241">H3074*I3074/1000</f>
        <v>22.08</v>
      </c>
      <c r="K3074" t="s">
        <v>396</v>
      </c>
    </row>
    <row r="3075" spans="3:11" outlineLevel="2" x14ac:dyDescent="0.3">
      <c r="C3075" s="9">
        <v>45227</v>
      </c>
      <c r="D3075" t="s">
        <v>12</v>
      </c>
      <c r="E3075" t="s">
        <v>20</v>
      </c>
      <c r="F3075" t="s">
        <v>18</v>
      </c>
      <c r="G3075" t="s">
        <v>27</v>
      </c>
      <c r="H3075">
        <v>460</v>
      </c>
      <c r="I3075">
        <v>92</v>
      </c>
      <c r="J3075" s="6">
        <f t="shared" si="241"/>
        <v>42.32</v>
      </c>
      <c r="K3075" t="s">
        <v>396</v>
      </c>
    </row>
    <row r="3076" spans="3:11" outlineLevel="2" x14ac:dyDescent="0.3">
      <c r="C3076" s="9">
        <v>45227</v>
      </c>
      <c r="D3076" t="s">
        <v>17</v>
      </c>
      <c r="E3076" t="s">
        <v>20</v>
      </c>
      <c r="F3076" t="s">
        <v>18</v>
      </c>
      <c r="G3076" t="s">
        <v>19</v>
      </c>
      <c r="H3076">
        <v>325</v>
      </c>
      <c r="I3076">
        <v>88</v>
      </c>
      <c r="J3076" s="6">
        <f t="shared" si="241"/>
        <v>28.6</v>
      </c>
      <c r="K3076" t="s">
        <v>396</v>
      </c>
    </row>
    <row r="3077" spans="3:11" outlineLevel="2" x14ac:dyDescent="0.3">
      <c r="C3077" s="9">
        <v>45227</v>
      </c>
      <c r="D3077" t="s">
        <v>17</v>
      </c>
      <c r="E3077" t="s">
        <v>20</v>
      </c>
      <c r="F3077" t="s">
        <v>13</v>
      </c>
      <c r="G3077" t="s">
        <v>43</v>
      </c>
      <c r="H3077">
        <v>1420</v>
      </c>
      <c r="I3077">
        <v>89</v>
      </c>
      <c r="J3077" s="6">
        <f t="shared" si="241"/>
        <v>126.38</v>
      </c>
      <c r="K3077" t="s">
        <v>396</v>
      </c>
    </row>
    <row r="3078" spans="3:11" outlineLevel="2" x14ac:dyDescent="0.3">
      <c r="C3078" s="9">
        <v>45227</v>
      </c>
      <c r="D3078" t="s">
        <v>17</v>
      </c>
      <c r="E3078" t="s">
        <v>9</v>
      </c>
      <c r="F3078" t="s">
        <v>10</v>
      </c>
      <c r="G3078" t="s">
        <v>11</v>
      </c>
      <c r="H3078">
        <v>705</v>
      </c>
      <c r="I3078">
        <v>38</v>
      </c>
      <c r="J3078" s="6">
        <f t="shared" si="241"/>
        <v>26.79</v>
      </c>
      <c r="K3078" t="s">
        <v>396</v>
      </c>
    </row>
    <row r="3079" spans="3:11" outlineLevel="2" x14ac:dyDescent="0.3">
      <c r="C3079" s="9">
        <v>45227</v>
      </c>
      <c r="D3079" t="s">
        <v>45</v>
      </c>
      <c r="E3079" t="s">
        <v>9</v>
      </c>
      <c r="F3079" t="s">
        <v>18</v>
      </c>
      <c r="G3079" t="s">
        <v>31</v>
      </c>
      <c r="H3079">
        <v>715</v>
      </c>
      <c r="I3079">
        <v>25</v>
      </c>
      <c r="J3079" s="6">
        <f t="shared" si="241"/>
        <v>17.875</v>
      </c>
      <c r="K3079" t="s">
        <v>396</v>
      </c>
    </row>
    <row r="3080" spans="3:11" outlineLevel="2" x14ac:dyDescent="0.3">
      <c r="C3080" s="9">
        <v>45227</v>
      </c>
      <c r="D3080" t="s">
        <v>12</v>
      </c>
      <c r="E3080" t="s">
        <v>9</v>
      </c>
      <c r="F3080" t="s">
        <v>13</v>
      </c>
      <c r="G3080" t="s">
        <v>38</v>
      </c>
      <c r="H3080">
        <v>2400</v>
      </c>
      <c r="I3080">
        <v>92</v>
      </c>
      <c r="J3080" s="6">
        <f t="shared" si="241"/>
        <v>220.8</v>
      </c>
      <c r="K3080" t="s">
        <v>396</v>
      </c>
    </row>
    <row r="3081" spans="3:11" outlineLevel="2" x14ac:dyDescent="0.3">
      <c r="C3081" s="9">
        <v>45227</v>
      </c>
      <c r="D3081" t="s">
        <v>17</v>
      </c>
      <c r="E3081" t="s">
        <v>26</v>
      </c>
      <c r="F3081" t="s">
        <v>10</v>
      </c>
      <c r="G3081" t="s">
        <v>16</v>
      </c>
      <c r="H3081">
        <v>1380</v>
      </c>
      <c r="I3081">
        <v>36</v>
      </c>
      <c r="J3081" s="6">
        <f t="shared" si="241"/>
        <v>49.68</v>
      </c>
      <c r="K3081" t="s">
        <v>396</v>
      </c>
    </row>
    <row r="3082" spans="3:11" outlineLevel="2" x14ac:dyDescent="0.3">
      <c r="C3082" s="9">
        <v>45227</v>
      </c>
      <c r="D3082" t="s">
        <v>17</v>
      </c>
      <c r="E3082" t="s">
        <v>26</v>
      </c>
      <c r="F3082" t="s">
        <v>13</v>
      </c>
      <c r="G3082" t="s">
        <v>14</v>
      </c>
      <c r="H3082">
        <v>1320</v>
      </c>
      <c r="I3082">
        <v>46</v>
      </c>
      <c r="J3082" s="6">
        <f t="shared" si="241"/>
        <v>60.72</v>
      </c>
      <c r="K3082" t="s">
        <v>396</v>
      </c>
    </row>
    <row r="3083" spans="3:11" outlineLevel="2" x14ac:dyDescent="0.3">
      <c r="C3083" s="9">
        <v>45227</v>
      </c>
      <c r="D3083" t="s">
        <v>17</v>
      </c>
      <c r="E3083" t="s">
        <v>26</v>
      </c>
      <c r="F3083" t="s">
        <v>24</v>
      </c>
      <c r="G3083" t="s">
        <v>42</v>
      </c>
      <c r="H3083">
        <v>3205</v>
      </c>
      <c r="I3083">
        <v>77</v>
      </c>
      <c r="J3083" s="6">
        <f t="shared" si="241"/>
        <v>246.785</v>
      </c>
      <c r="K3083" t="s">
        <v>396</v>
      </c>
    </row>
    <row r="3084" spans="3:11" outlineLevel="1" x14ac:dyDescent="0.3">
      <c r="C3084" s="13" t="s">
        <v>315</v>
      </c>
      <c r="J3084" s="6">
        <f>SUBTOTAL(9,J3074:J3083)</f>
        <v>842.03</v>
      </c>
      <c r="K3084" t="s">
        <v>396</v>
      </c>
    </row>
    <row r="3085" spans="3:11" outlineLevel="2" x14ac:dyDescent="0.3">
      <c r="C3085" s="9">
        <v>45228</v>
      </c>
      <c r="D3085" t="s">
        <v>8</v>
      </c>
      <c r="E3085" t="s">
        <v>20</v>
      </c>
      <c r="F3085" t="s">
        <v>13</v>
      </c>
      <c r="G3085" t="s">
        <v>14</v>
      </c>
      <c r="H3085">
        <v>1320</v>
      </c>
      <c r="I3085">
        <v>46</v>
      </c>
      <c r="J3085" s="6">
        <f t="shared" ref="J3085:J3090" si="242">H3085*I3085/1000</f>
        <v>60.72</v>
      </c>
      <c r="K3085" t="s">
        <v>396</v>
      </c>
    </row>
    <row r="3086" spans="3:11" outlineLevel="2" x14ac:dyDescent="0.3">
      <c r="C3086" s="9">
        <v>45228</v>
      </c>
      <c r="D3086" t="s">
        <v>45</v>
      </c>
      <c r="E3086" t="s">
        <v>20</v>
      </c>
      <c r="F3086" t="s">
        <v>24</v>
      </c>
      <c r="G3086" t="s">
        <v>42</v>
      </c>
      <c r="H3086">
        <v>3205</v>
      </c>
      <c r="I3086">
        <v>51</v>
      </c>
      <c r="J3086" s="6">
        <f t="shared" si="242"/>
        <v>163.45500000000001</v>
      </c>
      <c r="K3086" t="s">
        <v>396</v>
      </c>
    </row>
    <row r="3087" spans="3:11" outlineLevel="2" x14ac:dyDescent="0.3">
      <c r="C3087" s="9">
        <v>45228</v>
      </c>
      <c r="D3087" t="s">
        <v>8</v>
      </c>
      <c r="E3087" t="s">
        <v>15</v>
      </c>
      <c r="F3087" t="s">
        <v>10</v>
      </c>
      <c r="G3087" t="s">
        <v>16</v>
      </c>
      <c r="H3087">
        <v>1380</v>
      </c>
      <c r="I3087">
        <v>86</v>
      </c>
      <c r="J3087" s="6">
        <f t="shared" si="242"/>
        <v>118.68</v>
      </c>
      <c r="K3087" t="s">
        <v>396</v>
      </c>
    </row>
    <row r="3088" spans="3:11" outlineLevel="2" x14ac:dyDescent="0.3">
      <c r="C3088" s="9">
        <v>45228</v>
      </c>
      <c r="D3088" t="s">
        <v>17</v>
      </c>
      <c r="E3088" t="s">
        <v>15</v>
      </c>
      <c r="F3088" t="s">
        <v>10</v>
      </c>
      <c r="G3088" t="s">
        <v>16</v>
      </c>
      <c r="H3088">
        <v>1380</v>
      </c>
      <c r="I3088">
        <v>50</v>
      </c>
      <c r="J3088" s="6">
        <f t="shared" si="242"/>
        <v>69</v>
      </c>
      <c r="K3088" t="s">
        <v>396</v>
      </c>
    </row>
    <row r="3089" spans="3:11" outlineLevel="2" x14ac:dyDescent="0.3">
      <c r="C3089" s="9">
        <v>45228</v>
      </c>
      <c r="D3089" t="s">
        <v>45</v>
      </c>
      <c r="E3089" t="s">
        <v>15</v>
      </c>
      <c r="F3089" t="s">
        <v>13</v>
      </c>
      <c r="G3089" t="s">
        <v>29</v>
      </c>
      <c r="H3089">
        <v>1230</v>
      </c>
      <c r="I3089">
        <v>90</v>
      </c>
      <c r="J3089" s="6">
        <f t="shared" si="242"/>
        <v>110.7</v>
      </c>
      <c r="K3089" t="s">
        <v>396</v>
      </c>
    </row>
    <row r="3090" spans="3:11" outlineLevel="2" x14ac:dyDescent="0.3">
      <c r="C3090" s="9">
        <v>45228</v>
      </c>
      <c r="D3090" t="s">
        <v>8</v>
      </c>
      <c r="E3090" t="s">
        <v>33</v>
      </c>
      <c r="F3090" t="s">
        <v>10</v>
      </c>
      <c r="G3090" t="s">
        <v>39</v>
      </c>
      <c r="H3090">
        <v>650</v>
      </c>
      <c r="I3090">
        <v>59</v>
      </c>
      <c r="J3090" s="6">
        <f t="shared" si="242"/>
        <v>38.35</v>
      </c>
      <c r="K3090" t="s">
        <v>396</v>
      </c>
    </row>
    <row r="3091" spans="3:11" outlineLevel="1" x14ac:dyDescent="0.3">
      <c r="C3091" s="13" t="s">
        <v>316</v>
      </c>
      <c r="J3091" s="6">
        <f>SUBTOTAL(9,J3085:J3090)</f>
        <v>560.90500000000009</v>
      </c>
      <c r="K3091" t="s">
        <v>396</v>
      </c>
    </row>
    <row r="3092" spans="3:11" outlineLevel="2" x14ac:dyDescent="0.3">
      <c r="C3092" s="9">
        <v>45229</v>
      </c>
      <c r="D3092" t="s">
        <v>17</v>
      </c>
      <c r="E3092" t="s">
        <v>20</v>
      </c>
      <c r="F3092" t="s">
        <v>10</v>
      </c>
      <c r="G3092" t="s">
        <v>41</v>
      </c>
      <c r="H3092">
        <v>650</v>
      </c>
      <c r="I3092">
        <v>15</v>
      </c>
      <c r="J3092" s="6">
        <f t="shared" ref="J3092:J3105" si="243">H3092*I3092/1000</f>
        <v>9.75</v>
      </c>
      <c r="K3092" t="s">
        <v>396</v>
      </c>
    </row>
    <row r="3093" spans="3:11" outlineLevel="2" x14ac:dyDescent="0.3">
      <c r="C3093" s="9">
        <v>45229</v>
      </c>
      <c r="D3093" t="s">
        <v>17</v>
      </c>
      <c r="E3093" t="s">
        <v>20</v>
      </c>
      <c r="F3093" t="s">
        <v>18</v>
      </c>
      <c r="G3093" t="s">
        <v>27</v>
      </c>
      <c r="H3093">
        <v>460</v>
      </c>
      <c r="I3093">
        <v>33</v>
      </c>
      <c r="J3093" s="6">
        <f t="shared" si="243"/>
        <v>15.18</v>
      </c>
      <c r="K3093" t="s">
        <v>396</v>
      </c>
    </row>
    <row r="3094" spans="3:11" outlineLevel="2" x14ac:dyDescent="0.3">
      <c r="C3094" s="9">
        <v>45229</v>
      </c>
      <c r="D3094" t="s">
        <v>12</v>
      </c>
      <c r="E3094" t="s">
        <v>20</v>
      </c>
      <c r="F3094" t="s">
        <v>24</v>
      </c>
      <c r="G3094" t="s">
        <v>30</v>
      </c>
      <c r="H3094">
        <v>2970</v>
      </c>
      <c r="I3094">
        <v>100</v>
      </c>
      <c r="J3094" s="6">
        <f t="shared" si="243"/>
        <v>297</v>
      </c>
      <c r="K3094" t="s">
        <v>396</v>
      </c>
    </row>
    <row r="3095" spans="3:11" outlineLevel="2" x14ac:dyDescent="0.3">
      <c r="C3095" s="9">
        <v>45229</v>
      </c>
      <c r="D3095" t="s">
        <v>17</v>
      </c>
      <c r="E3095" t="s">
        <v>20</v>
      </c>
      <c r="F3095" t="s">
        <v>24</v>
      </c>
      <c r="G3095" t="s">
        <v>30</v>
      </c>
      <c r="H3095">
        <v>2970</v>
      </c>
      <c r="I3095">
        <v>13</v>
      </c>
      <c r="J3095" s="6">
        <f t="shared" si="243"/>
        <v>38.61</v>
      </c>
      <c r="K3095" t="s">
        <v>396</v>
      </c>
    </row>
    <row r="3096" spans="3:11" outlineLevel="2" x14ac:dyDescent="0.3">
      <c r="C3096" s="9">
        <v>45229</v>
      </c>
      <c r="D3096" t="s">
        <v>12</v>
      </c>
      <c r="E3096" t="s">
        <v>9</v>
      </c>
      <c r="F3096" t="s">
        <v>10</v>
      </c>
      <c r="G3096" t="s">
        <v>11</v>
      </c>
      <c r="H3096">
        <v>705</v>
      </c>
      <c r="I3096">
        <v>53</v>
      </c>
      <c r="J3096" s="6">
        <f t="shared" si="243"/>
        <v>37.365000000000002</v>
      </c>
      <c r="K3096" t="s">
        <v>396</v>
      </c>
    </row>
    <row r="3097" spans="3:11" outlineLevel="2" x14ac:dyDescent="0.3">
      <c r="C3097" s="9">
        <v>45229</v>
      </c>
      <c r="D3097" t="s">
        <v>17</v>
      </c>
      <c r="E3097" t="s">
        <v>9</v>
      </c>
      <c r="F3097" t="s">
        <v>18</v>
      </c>
      <c r="G3097" t="s">
        <v>27</v>
      </c>
      <c r="H3097">
        <v>460</v>
      </c>
      <c r="I3097">
        <v>47</v>
      </c>
      <c r="J3097" s="6">
        <f t="shared" si="243"/>
        <v>21.62</v>
      </c>
      <c r="K3097" t="s">
        <v>396</v>
      </c>
    </row>
    <row r="3098" spans="3:11" outlineLevel="2" x14ac:dyDescent="0.3">
      <c r="C3098" s="9">
        <v>45229</v>
      </c>
      <c r="D3098" t="s">
        <v>17</v>
      </c>
      <c r="E3098" t="s">
        <v>9</v>
      </c>
      <c r="F3098" t="s">
        <v>13</v>
      </c>
      <c r="G3098" t="s">
        <v>43</v>
      </c>
      <c r="H3098">
        <v>1420</v>
      </c>
      <c r="I3098">
        <v>75</v>
      </c>
      <c r="J3098" s="6">
        <f t="shared" si="243"/>
        <v>106.5</v>
      </c>
      <c r="K3098" t="s">
        <v>396</v>
      </c>
    </row>
    <row r="3099" spans="3:11" outlineLevel="2" x14ac:dyDescent="0.3">
      <c r="C3099" s="9">
        <v>45229</v>
      </c>
      <c r="D3099" t="s">
        <v>45</v>
      </c>
      <c r="E3099" t="s">
        <v>26</v>
      </c>
      <c r="F3099" t="s">
        <v>13</v>
      </c>
      <c r="G3099" t="s">
        <v>38</v>
      </c>
      <c r="H3099">
        <v>2400</v>
      </c>
      <c r="I3099">
        <v>60</v>
      </c>
      <c r="J3099" s="6">
        <f t="shared" si="243"/>
        <v>144</v>
      </c>
      <c r="K3099" t="s">
        <v>396</v>
      </c>
    </row>
    <row r="3100" spans="3:11" outlineLevel="2" x14ac:dyDescent="0.3">
      <c r="C3100" s="9">
        <v>45229</v>
      </c>
      <c r="D3100" t="s">
        <v>8</v>
      </c>
      <c r="E3100" t="s">
        <v>15</v>
      </c>
      <c r="F3100" t="s">
        <v>18</v>
      </c>
      <c r="G3100" t="s">
        <v>31</v>
      </c>
      <c r="H3100">
        <v>715</v>
      </c>
      <c r="I3100">
        <v>64</v>
      </c>
      <c r="J3100" s="6">
        <f t="shared" si="243"/>
        <v>45.76</v>
      </c>
      <c r="K3100" t="s">
        <v>396</v>
      </c>
    </row>
    <row r="3101" spans="3:11" outlineLevel="2" x14ac:dyDescent="0.3">
      <c r="C3101" s="9">
        <v>45229</v>
      </c>
      <c r="D3101" t="s">
        <v>45</v>
      </c>
      <c r="E3101" t="s">
        <v>15</v>
      </c>
      <c r="F3101" t="s">
        <v>18</v>
      </c>
      <c r="G3101" t="s">
        <v>37</v>
      </c>
      <c r="H3101">
        <v>890</v>
      </c>
      <c r="I3101">
        <v>70</v>
      </c>
      <c r="J3101" s="6">
        <f t="shared" si="243"/>
        <v>62.3</v>
      </c>
      <c r="K3101" t="s">
        <v>396</v>
      </c>
    </row>
    <row r="3102" spans="3:11" outlineLevel="2" x14ac:dyDescent="0.3">
      <c r="C3102" s="9">
        <v>45229</v>
      </c>
      <c r="D3102" t="s">
        <v>12</v>
      </c>
      <c r="E3102" t="s">
        <v>33</v>
      </c>
      <c r="F3102" t="s">
        <v>18</v>
      </c>
      <c r="G3102" t="s">
        <v>27</v>
      </c>
      <c r="H3102">
        <v>460</v>
      </c>
      <c r="I3102">
        <v>43</v>
      </c>
      <c r="J3102" s="6">
        <f t="shared" si="243"/>
        <v>19.78</v>
      </c>
      <c r="K3102" t="s">
        <v>396</v>
      </c>
    </row>
    <row r="3103" spans="3:11" outlineLevel="2" x14ac:dyDescent="0.3">
      <c r="C3103" s="9">
        <v>45229</v>
      </c>
      <c r="D3103" t="s">
        <v>12</v>
      </c>
      <c r="E3103" t="s">
        <v>35</v>
      </c>
      <c r="F3103" t="s">
        <v>10</v>
      </c>
      <c r="G3103" t="s">
        <v>16</v>
      </c>
      <c r="H3103">
        <v>1380</v>
      </c>
      <c r="I3103">
        <v>46</v>
      </c>
      <c r="J3103" s="6">
        <f t="shared" si="243"/>
        <v>63.48</v>
      </c>
      <c r="K3103" t="s">
        <v>396</v>
      </c>
    </row>
    <row r="3104" spans="3:11" outlineLevel="2" x14ac:dyDescent="0.3">
      <c r="C3104" s="9">
        <v>45229</v>
      </c>
      <c r="D3104" t="s">
        <v>17</v>
      </c>
      <c r="E3104" t="s">
        <v>35</v>
      </c>
      <c r="F3104" t="s">
        <v>13</v>
      </c>
      <c r="G3104" t="s">
        <v>38</v>
      </c>
      <c r="H3104">
        <v>2400</v>
      </c>
      <c r="I3104">
        <v>20</v>
      </c>
      <c r="J3104" s="6">
        <f t="shared" si="243"/>
        <v>48</v>
      </c>
      <c r="K3104" t="s">
        <v>396</v>
      </c>
    </row>
    <row r="3105" spans="3:11" outlineLevel="2" x14ac:dyDescent="0.3">
      <c r="C3105" s="9">
        <v>45229</v>
      </c>
      <c r="D3105" t="s">
        <v>12</v>
      </c>
      <c r="E3105" t="s">
        <v>35</v>
      </c>
      <c r="F3105" t="s">
        <v>24</v>
      </c>
      <c r="G3105" t="s">
        <v>42</v>
      </c>
      <c r="H3105">
        <v>3205</v>
      </c>
      <c r="I3105">
        <v>66</v>
      </c>
      <c r="J3105" s="6">
        <f t="shared" si="243"/>
        <v>211.53</v>
      </c>
      <c r="K3105" t="s">
        <v>396</v>
      </c>
    </row>
    <row r="3106" spans="3:11" outlineLevel="1" x14ac:dyDescent="0.3">
      <c r="C3106" s="13" t="s">
        <v>317</v>
      </c>
      <c r="J3106" s="6">
        <f>SUBTOTAL(9,J3092:J3105)</f>
        <v>1120.875</v>
      </c>
      <c r="K3106" t="s">
        <v>396</v>
      </c>
    </row>
    <row r="3107" spans="3:11" outlineLevel="2" x14ac:dyDescent="0.3">
      <c r="C3107" s="9">
        <v>45230</v>
      </c>
      <c r="D3107" t="s">
        <v>12</v>
      </c>
      <c r="E3107" t="s">
        <v>26</v>
      </c>
      <c r="F3107" t="s">
        <v>10</v>
      </c>
      <c r="G3107" t="s">
        <v>16</v>
      </c>
      <c r="H3107">
        <v>1380</v>
      </c>
      <c r="I3107">
        <v>53</v>
      </c>
      <c r="J3107" s="6">
        <f t="shared" ref="J3107:J3113" si="244">H3107*I3107/1000</f>
        <v>73.14</v>
      </c>
      <c r="K3107" t="s">
        <v>396</v>
      </c>
    </row>
    <row r="3108" spans="3:11" outlineLevel="2" x14ac:dyDescent="0.3">
      <c r="C3108" s="9">
        <v>45230</v>
      </c>
      <c r="D3108" t="s">
        <v>12</v>
      </c>
      <c r="E3108" t="s">
        <v>26</v>
      </c>
      <c r="F3108" t="s">
        <v>18</v>
      </c>
      <c r="G3108" t="s">
        <v>31</v>
      </c>
      <c r="H3108">
        <v>715</v>
      </c>
      <c r="I3108">
        <v>15</v>
      </c>
      <c r="J3108" s="6">
        <f t="shared" si="244"/>
        <v>10.725</v>
      </c>
      <c r="K3108" t="s">
        <v>396</v>
      </c>
    </row>
    <row r="3109" spans="3:11" outlineLevel="2" x14ac:dyDescent="0.3">
      <c r="C3109" s="9">
        <v>45230</v>
      </c>
      <c r="D3109" t="s">
        <v>45</v>
      </c>
      <c r="E3109" t="s">
        <v>26</v>
      </c>
      <c r="F3109" t="s">
        <v>13</v>
      </c>
      <c r="G3109" t="s">
        <v>43</v>
      </c>
      <c r="H3109">
        <v>1420</v>
      </c>
      <c r="I3109">
        <v>50</v>
      </c>
      <c r="J3109" s="6">
        <f t="shared" si="244"/>
        <v>71</v>
      </c>
      <c r="K3109" t="s">
        <v>396</v>
      </c>
    </row>
    <row r="3110" spans="3:11" outlineLevel="2" x14ac:dyDescent="0.3">
      <c r="C3110" s="9">
        <v>45230</v>
      </c>
      <c r="D3110" t="s">
        <v>45</v>
      </c>
      <c r="E3110" t="s">
        <v>26</v>
      </c>
      <c r="F3110" t="s">
        <v>13</v>
      </c>
      <c r="G3110" t="s">
        <v>43</v>
      </c>
      <c r="H3110">
        <v>1420</v>
      </c>
      <c r="I3110">
        <v>100</v>
      </c>
      <c r="J3110" s="6">
        <f t="shared" si="244"/>
        <v>142</v>
      </c>
      <c r="K3110" t="s">
        <v>396</v>
      </c>
    </row>
    <row r="3111" spans="3:11" outlineLevel="2" x14ac:dyDescent="0.3">
      <c r="C3111" s="9">
        <v>45230</v>
      </c>
      <c r="D3111" t="s">
        <v>45</v>
      </c>
      <c r="E3111" t="s">
        <v>26</v>
      </c>
      <c r="F3111" t="s">
        <v>24</v>
      </c>
      <c r="G3111" t="s">
        <v>42</v>
      </c>
      <c r="H3111">
        <v>3205</v>
      </c>
      <c r="I3111">
        <v>22</v>
      </c>
      <c r="J3111" s="6">
        <f t="shared" si="244"/>
        <v>70.510000000000005</v>
      </c>
      <c r="K3111" t="s">
        <v>396</v>
      </c>
    </row>
    <row r="3112" spans="3:11" outlineLevel="2" x14ac:dyDescent="0.3">
      <c r="C3112" s="9">
        <v>45230</v>
      </c>
      <c r="D3112" t="s">
        <v>17</v>
      </c>
      <c r="E3112" t="s">
        <v>33</v>
      </c>
      <c r="F3112" t="s">
        <v>18</v>
      </c>
      <c r="G3112" t="s">
        <v>28</v>
      </c>
      <c r="H3112">
        <v>690</v>
      </c>
      <c r="I3112">
        <v>41</v>
      </c>
      <c r="J3112" s="6">
        <f t="shared" si="244"/>
        <v>28.29</v>
      </c>
      <c r="K3112" t="s">
        <v>396</v>
      </c>
    </row>
    <row r="3113" spans="3:11" outlineLevel="2" x14ac:dyDescent="0.3">
      <c r="C3113" s="9">
        <v>45230</v>
      </c>
      <c r="D3113" t="s">
        <v>17</v>
      </c>
      <c r="E3113" t="s">
        <v>35</v>
      </c>
      <c r="F3113" t="s">
        <v>10</v>
      </c>
      <c r="G3113" t="s">
        <v>39</v>
      </c>
      <c r="H3113">
        <v>650</v>
      </c>
      <c r="I3113">
        <v>83</v>
      </c>
      <c r="J3113" s="6">
        <f t="shared" si="244"/>
        <v>53.95</v>
      </c>
      <c r="K3113" t="s">
        <v>396</v>
      </c>
    </row>
    <row r="3114" spans="3:11" outlineLevel="1" x14ac:dyDescent="0.3">
      <c r="C3114" s="13" t="s">
        <v>318</v>
      </c>
      <c r="J3114" s="6">
        <f>SUBTOTAL(9,J3107:J3113)</f>
        <v>449.61500000000001</v>
      </c>
    </row>
    <row r="3115" spans="3:11" outlineLevel="2" x14ac:dyDescent="0.3">
      <c r="C3115" s="9">
        <v>45231</v>
      </c>
      <c r="D3115" t="s">
        <v>17</v>
      </c>
      <c r="E3115" t="s">
        <v>20</v>
      </c>
      <c r="F3115" t="s">
        <v>18</v>
      </c>
      <c r="G3115" t="s">
        <v>19</v>
      </c>
      <c r="H3115">
        <v>325</v>
      </c>
      <c r="I3115">
        <v>51</v>
      </c>
      <c r="J3115" s="6">
        <f t="shared" ref="J3115:J3128" si="245">H3115*I3115/1000</f>
        <v>16.574999999999999</v>
      </c>
      <c r="K3115" t="s">
        <v>397</v>
      </c>
    </row>
    <row r="3116" spans="3:11" outlineLevel="2" x14ac:dyDescent="0.3">
      <c r="C3116" s="9">
        <v>45231</v>
      </c>
      <c r="D3116" t="s">
        <v>12</v>
      </c>
      <c r="E3116" t="s">
        <v>20</v>
      </c>
      <c r="F3116" t="s">
        <v>13</v>
      </c>
      <c r="G3116" t="s">
        <v>22</v>
      </c>
      <c r="H3116">
        <v>930</v>
      </c>
      <c r="I3116">
        <v>40</v>
      </c>
      <c r="J3116" s="6">
        <f t="shared" si="245"/>
        <v>37.200000000000003</v>
      </c>
      <c r="K3116" t="s">
        <v>397</v>
      </c>
    </row>
    <row r="3117" spans="3:11" outlineLevel="2" x14ac:dyDescent="0.3">
      <c r="C3117" s="9">
        <v>45231</v>
      </c>
      <c r="D3117" t="s">
        <v>12</v>
      </c>
      <c r="E3117" t="s">
        <v>9</v>
      </c>
      <c r="F3117" t="s">
        <v>10</v>
      </c>
      <c r="G3117" t="s">
        <v>16</v>
      </c>
      <c r="H3117">
        <v>1380</v>
      </c>
      <c r="I3117">
        <v>26</v>
      </c>
      <c r="J3117" s="6">
        <f t="shared" si="245"/>
        <v>35.880000000000003</v>
      </c>
      <c r="K3117" t="s">
        <v>397</v>
      </c>
    </row>
    <row r="3118" spans="3:11" outlineLevel="2" x14ac:dyDescent="0.3">
      <c r="C3118" s="9">
        <v>45231</v>
      </c>
      <c r="D3118" t="s">
        <v>17</v>
      </c>
      <c r="E3118" t="s">
        <v>9</v>
      </c>
      <c r="F3118" t="s">
        <v>18</v>
      </c>
      <c r="G3118" t="s">
        <v>19</v>
      </c>
      <c r="H3118">
        <v>325</v>
      </c>
      <c r="I3118">
        <v>7</v>
      </c>
      <c r="J3118" s="6">
        <f t="shared" si="245"/>
        <v>2.2749999999999999</v>
      </c>
      <c r="K3118" t="s">
        <v>397</v>
      </c>
    </row>
    <row r="3119" spans="3:11" outlineLevel="2" x14ac:dyDescent="0.3">
      <c r="C3119" s="9">
        <v>45231</v>
      </c>
      <c r="D3119" t="s">
        <v>17</v>
      </c>
      <c r="E3119" t="s">
        <v>9</v>
      </c>
      <c r="F3119" t="s">
        <v>13</v>
      </c>
      <c r="G3119" t="s">
        <v>14</v>
      </c>
      <c r="H3119">
        <v>1320</v>
      </c>
      <c r="I3119">
        <v>42</v>
      </c>
      <c r="J3119" s="6">
        <f t="shared" si="245"/>
        <v>55.44</v>
      </c>
      <c r="K3119" t="s">
        <v>397</v>
      </c>
    </row>
    <row r="3120" spans="3:11" outlineLevel="2" x14ac:dyDescent="0.3">
      <c r="C3120" s="9">
        <v>45231</v>
      </c>
      <c r="D3120" t="s">
        <v>8</v>
      </c>
      <c r="E3120" t="s">
        <v>9</v>
      </c>
      <c r="F3120" t="s">
        <v>24</v>
      </c>
      <c r="G3120" t="s">
        <v>32</v>
      </c>
      <c r="H3120">
        <v>1505</v>
      </c>
      <c r="I3120">
        <v>95</v>
      </c>
      <c r="J3120" s="6">
        <f t="shared" si="245"/>
        <v>142.97499999999999</v>
      </c>
      <c r="K3120" t="s">
        <v>397</v>
      </c>
    </row>
    <row r="3121" spans="3:11" outlineLevel="2" x14ac:dyDescent="0.3">
      <c r="C3121" s="9">
        <v>45231</v>
      </c>
      <c r="D3121" t="s">
        <v>12</v>
      </c>
      <c r="E3121" t="s">
        <v>26</v>
      </c>
      <c r="F3121" t="s">
        <v>13</v>
      </c>
      <c r="G3121" t="s">
        <v>14</v>
      </c>
      <c r="H3121">
        <v>1320</v>
      </c>
      <c r="I3121">
        <v>83</v>
      </c>
      <c r="J3121" s="6">
        <f t="shared" si="245"/>
        <v>109.56</v>
      </c>
      <c r="K3121" t="s">
        <v>397</v>
      </c>
    </row>
    <row r="3122" spans="3:11" outlineLevel="2" x14ac:dyDescent="0.3">
      <c r="C3122" s="9">
        <v>45231</v>
      </c>
      <c r="D3122" t="s">
        <v>17</v>
      </c>
      <c r="E3122" t="s">
        <v>26</v>
      </c>
      <c r="F3122" t="s">
        <v>24</v>
      </c>
      <c r="G3122" t="s">
        <v>34</v>
      </c>
      <c r="H3122">
        <v>1670</v>
      </c>
      <c r="I3122">
        <v>75</v>
      </c>
      <c r="J3122" s="6">
        <f t="shared" si="245"/>
        <v>125.25</v>
      </c>
      <c r="K3122" t="s">
        <v>397</v>
      </c>
    </row>
    <row r="3123" spans="3:11" outlineLevel="2" x14ac:dyDescent="0.3">
      <c r="C3123" s="9">
        <v>45231</v>
      </c>
      <c r="D3123" t="s">
        <v>12</v>
      </c>
      <c r="E3123" t="s">
        <v>15</v>
      </c>
      <c r="F3123" t="s">
        <v>10</v>
      </c>
      <c r="G3123" t="s">
        <v>40</v>
      </c>
      <c r="H3123">
        <v>540</v>
      </c>
      <c r="I3123">
        <v>36</v>
      </c>
      <c r="J3123" s="6">
        <f t="shared" si="245"/>
        <v>19.440000000000001</v>
      </c>
      <c r="K3123" t="s">
        <v>397</v>
      </c>
    </row>
    <row r="3124" spans="3:11" outlineLevel="2" x14ac:dyDescent="0.3">
      <c r="C3124" s="9">
        <v>45231</v>
      </c>
      <c r="D3124" t="s">
        <v>45</v>
      </c>
      <c r="E3124" t="s">
        <v>15</v>
      </c>
      <c r="F3124" t="s">
        <v>18</v>
      </c>
      <c r="G3124" t="s">
        <v>31</v>
      </c>
      <c r="H3124">
        <v>715</v>
      </c>
      <c r="I3124">
        <v>100</v>
      </c>
      <c r="J3124" s="6">
        <f t="shared" si="245"/>
        <v>71.5</v>
      </c>
      <c r="K3124" t="s">
        <v>397</v>
      </c>
    </row>
    <row r="3125" spans="3:11" outlineLevel="2" x14ac:dyDescent="0.3">
      <c r="C3125" s="9">
        <v>45231</v>
      </c>
      <c r="D3125" t="s">
        <v>12</v>
      </c>
      <c r="E3125" t="s">
        <v>15</v>
      </c>
      <c r="F3125" t="s">
        <v>18</v>
      </c>
      <c r="G3125" t="s">
        <v>31</v>
      </c>
      <c r="H3125">
        <v>715</v>
      </c>
      <c r="I3125">
        <v>64</v>
      </c>
      <c r="J3125" s="6">
        <f t="shared" si="245"/>
        <v>45.76</v>
      </c>
      <c r="K3125" t="s">
        <v>397</v>
      </c>
    </row>
    <row r="3126" spans="3:11" outlineLevel="2" x14ac:dyDescent="0.3">
      <c r="C3126" s="9">
        <v>45231</v>
      </c>
      <c r="D3126" t="s">
        <v>17</v>
      </c>
      <c r="E3126" t="s">
        <v>15</v>
      </c>
      <c r="F3126" t="s">
        <v>13</v>
      </c>
      <c r="G3126" t="s">
        <v>29</v>
      </c>
      <c r="H3126">
        <v>1230</v>
      </c>
      <c r="I3126">
        <v>97</v>
      </c>
      <c r="J3126" s="6">
        <f t="shared" si="245"/>
        <v>119.31</v>
      </c>
      <c r="K3126" t="s">
        <v>397</v>
      </c>
    </row>
    <row r="3127" spans="3:11" outlineLevel="2" x14ac:dyDescent="0.3">
      <c r="C3127" s="9">
        <v>45231</v>
      </c>
      <c r="D3127" t="s">
        <v>17</v>
      </c>
      <c r="E3127" t="s">
        <v>15</v>
      </c>
      <c r="F3127" t="s">
        <v>13</v>
      </c>
      <c r="G3127" t="s">
        <v>29</v>
      </c>
      <c r="H3127">
        <v>1230</v>
      </c>
      <c r="I3127">
        <v>27</v>
      </c>
      <c r="J3127" s="6">
        <f t="shared" si="245"/>
        <v>33.21</v>
      </c>
      <c r="K3127" t="s">
        <v>397</v>
      </c>
    </row>
    <row r="3128" spans="3:11" outlineLevel="2" x14ac:dyDescent="0.3">
      <c r="C3128" s="9">
        <v>45231</v>
      </c>
      <c r="D3128" t="s">
        <v>12</v>
      </c>
      <c r="E3128" t="s">
        <v>35</v>
      </c>
      <c r="F3128" t="s">
        <v>13</v>
      </c>
      <c r="G3128" t="s">
        <v>29</v>
      </c>
      <c r="H3128">
        <v>1230</v>
      </c>
      <c r="I3128">
        <v>90</v>
      </c>
      <c r="J3128" s="6">
        <f t="shared" si="245"/>
        <v>110.7</v>
      </c>
      <c r="K3128" t="s">
        <v>397</v>
      </c>
    </row>
    <row r="3129" spans="3:11" outlineLevel="1" x14ac:dyDescent="0.3">
      <c r="C3129" s="13" t="s">
        <v>319</v>
      </c>
      <c r="J3129" s="6">
        <f>SUBTOTAL(9,J3115:J3128)</f>
        <v>925.07500000000005</v>
      </c>
      <c r="K3129" t="s">
        <v>397</v>
      </c>
    </row>
    <row r="3130" spans="3:11" outlineLevel="2" x14ac:dyDescent="0.3">
      <c r="C3130" s="9">
        <v>45232</v>
      </c>
      <c r="D3130" t="s">
        <v>8</v>
      </c>
      <c r="E3130" t="s">
        <v>20</v>
      </c>
      <c r="F3130" t="s">
        <v>10</v>
      </c>
      <c r="G3130" t="s">
        <v>23</v>
      </c>
      <c r="H3130">
        <v>640</v>
      </c>
      <c r="I3130">
        <v>66</v>
      </c>
      <c r="J3130" s="6">
        <f t="shared" ref="J3130:J3137" si="246">H3130*I3130/1000</f>
        <v>42.24</v>
      </c>
      <c r="K3130" t="s">
        <v>397</v>
      </c>
    </row>
    <row r="3131" spans="3:11" outlineLevel="2" x14ac:dyDescent="0.3">
      <c r="C3131" s="9">
        <v>45232</v>
      </c>
      <c r="D3131" t="s">
        <v>45</v>
      </c>
      <c r="E3131" t="s">
        <v>9</v>
      </c>
      <c r="F3131" t="s">
        <v>10</v>
      </c>
      <c r="G3131" t="s">
        <v>11</v>
      </c>
      <c r="H3131">
        <v>705</v>
      </c>
      <c r="I3131">
        <v>17</v>
      </c>
      <c r="J3131" s="6">
        <f t="shared" si="246"/>
        <v>11.984999999999999</v>
      </c>
      <c r="K3131" t="s">
        <v>397</v>
      </c>
    </row>
    <row r="3132" spans="3:11" outlineLevel="2" x14ac:dyDescent="0.3">
      <c r="C3132" s="9">
        <v>45232</v>
      </c>
      <c r="D3132" t="s">
        <v>17</v>
      </c>
      <c r="E3132" t="s">
        <v>9</v>
      </c>
      <c r="F3132" t="s">
        <v>18</v>
      </c>
      <c r="G3132" t="s">
        <v>31</v>
      </c>
      <c r="H3132">
        <v>715</v>
      </c>
      <c r="I3132">
        <v>8</v>
      </c>
      <c r="J3132" s="6">
        <f t="shared" si="246"/>
        <v>5.72</v>
      </c>
      <c r="K3132" t="s">
        <v>397</v>
      </c>
    </row>
    <row r="3133" spans="3:11" outlineLevel="2" x14ac:dyDescent="0.3">
      <c r="C3133" s="9">
        <v>45232</v>
      </c>
      <c r="D3133" t="s">
        <v>45</v>
      </c>
      <c r="E3133" t="s">
        <v>33</v>
      </c>
      <c r="F3133" t="s">
        <v>18</v>
      </c>
      <c r="G3133" t="s">
        <v>31</v>
      </c>
      <c r="H3133">
        <v>715</v>
      </c>
      <c r="I3133">
        <v>63</v>
      </c>
      <c r="J3133" s="6">
        <f t="shared" si="246"/>
        <v>45.045000000000002</v>
      </c>
      <c r="K3133" t="s">
        <v>397</v>
      </c>
    </row>
    <row r="3134" spans="3:11" outlineLevel="2" x14ac:dyDescent="0.3">
      <c r="C3134" s="9">
        <v>45232</v>
      </c>
      <c r="D3134" t="s">
        <v>8</v>
      </c>
      <c r="E3134" t="s">
        <v>35</v>
      </c>
      <c r="F3134" t="s">
        <v>10</v>
      </c>
      <c r="G3134" t="s">
        <v>16</v>
      </c>
      <c r="H3134">
        <v>1380</v>
      </c>
      <c r="I3134">
        <v>22</v>
      </c>
      <c r="J3134" s="6">
        <f t="shared" si="246"/>
        <v>30.36</v>
      </c>
      <c r="K3134" t="s">
        <v>397</v>
      </c>
    </row>
    <row r="3135" spans="3:11" outlineLevel="2" x14ac:dyDescent="0.3">
      <c r="C3135" s="9">
        <v>45232</v>
      </c>
      <c r="D3135" t="s">
        <v>8</v>
      </c>
      <c r="E3135" t="s">
        <v>35</v>
      </c>
      <c r="F3135" t="s">
        <v>24</v>
      </c>
      <c r="G3135" t="s">
        <v>36</v>
      </c>
      <c r="H3135">
        <v>2460</v>
      </c>
      <c r="I3135">
        <v>13</v>
      </c>
      <c r="J3135" s="6">
        <f t="shared" si="246"/>
        <v>31.98</v>
      </c>
      <c r="K3135" t="s">
        <v>397</v>
      </c>
    </row>
    <row r="3136" spans="3:11" outlineLevel="2" x14ac:dyDescent="0.3">
      <c r="C3136" s="9">
        <v>45232</v>
      </c>
      <c r="D3136" t="s">
        <v>17</v>
      </c>
      <c r="E3136" t="s">
        <v>35</v>
      </c>
      <c r="F3136" t="s">
        <v>24</v>
      </c>
      <c r="G3136" t="s">
        <v>36</v>
      </c>
      <c r="H3136">
        <v>2460</v>
      </c>
      <c r="I3136">
        <v>22</v>
      </c>
      <c r="J3136" s="6">
        <f t="shared" si="246"/>
        <v>54.12</v>
      </c>
      <c r="K3136" t="s">
        <v>397</v>
      </c>
    </row>
    <row r="3137" spans="3:11" outlineLevel="2" x14ac:dyDescent="0.3">
      <c r="C3137" s="9">
        <v>45232</v>
      </c>
      <c r="D3137" t="s">
        <v>17</v>
      </c>
      <c r="E3137" t="s">
        <v>35</v>
      </c>
      <c r="F3137" t="s">
        <v>24</v>
      </c>
      <c r="G3137" t="s">
        <v>25</v>
      </c>
      <c r="H3137">
        <v>1760</v>
      </c>
      <c r="I3137">
        <v>9</v>
      </c>
      <c r="J3137" s="6">
        <f t="shared" si="246"/>
        <v>15.84</v>
      </c>
      <c r="K3137" t="s">
        <v>397</v>
      </c>
    </row>
    <row r="3138" spans="3:11" outlineLevel="1" x14ac:dyDescent="0.3">
      <c r="C3138" s="13" t="s">
        <v>320</v>
      </c>
      <c r="J3138" s="6">
        <f>SUBTOTAL(9,J3130:J3137)</f>
        <v>237.29000000000002</v>
      </c>
      <c r="K3138" t="s">
        <v>397</v>
      </c>
    </row>
    <row r="3139" spans="3:11" outlineLevel="2" x14ac:dyDescent="0.3">
      <c r="C3139" s="9">
        <v>45233</v>
      </c>
      <c r="D3139" t="s">
        <v>8</v>
      </c>
      <c r="E3139" t="s">
        <v>20</v>
      </c>
      <c r="F3139" t="s">
        <v>24</v>
      </c>
      <c r="G3139" t="s">
        <v>36</v>
      </c>
      <c r="H3139">
        <v>2460</v>
      </c>
      <c r="I3139">
        <v>12</v>
      </c>
      <c r="J3139" s="6">
        <f t="shared" ref="J3139:J3150" si="247">H3139*I3139/1000</f>
        <v>29.52</v>
      </c>
      <c r="K3139" t="s">
        <v>397</v>
      </c>
    </row>
    <row r="3140" spans="3:11" outlineLevel="2" x14ac:dyDescent="0.3">
      <c r="C3140" s="9">
        <v>45233</v>
      </c>
      <c r="D3140" t="s">
        <v>12</v>
      </c>
      <c r="E3140" t="s">
        <v>9</v>
      </c>
      <c r="F3140" t="s">
        <v>10</v>
      </c>
      <c r="G3140" t="s">
        <v>11</v>
      </c>
      <c r="H3140">
        <v>705</v>
      </c>
      <c r="I3140">
        <v>73</v>
      </c>
      <c r="J3140" s="6">
        <f t="shared" si="247"/>
        <v>51.465000000000003</v>
      </c>
      <c r="K3140" t="s">
        <v>397</v>
      </c>
    </row>
    <row r="3141" spans="3:11" outlineLevel="2" x14ac:dyDescent="0.3">
      <c r="C3141" s="9">
        <v>45233</v>
      </c>
      <c r="D3141" t="s">
        <v>45</v>
      </c>
      <c r="E3141" t="s">
        <v>9</v>
      </c>
      <c r="F3141" t="s">
        <v>18</v>
      </c>
      <c r="G3141" t="s">
        <v>27</v>
      </c>
      <c r="H3141">
        <v>460</v>
      </c>
      <c r="I3141">
        <v>87</v>
      </c>
      <c r="J3141" s="6">
        <f t="shared" si="247"/>
        <v>40.020000000000003</v>
      </c>
      <c r="K3141" t="s">
        <v>397</v>
      </c>
    </row>
    <row r="3142" spans="3:11" outlineLevel="2" x14ac:dyDescent="0.3">
      <c r="C3142" s="9">
        <v>45233</v>
      </c>
      <c r="D3142" t="s">
        <v>45</v>
      </c>
      <c r="E3142" t="s">
        <v>9</v>
      </c>
      <c r="F3142" t="s">
        <v>24</v>
      </c>
      <c r="G3142" t="s">
        <v>30</v>
      </c>
      <c r="H3142">
        <v>2970</v>
      </c>
      <c r="I3142">
        <v>53</v>
      </c>
      <c r="J3142" s="6">
        <f t="shared" si="247"/>
        <v>157.41</v>
      </c>
      <c r="K3142" t="s">
        <v>397</v>
      </c>
    </row>
    <row r="3143" spans="3:11" outlineLevel="2" x14ac:dyDescent="0.3">
      <c r="C3143" s="9">
        <v>45233</v>
      </c>
      <c r="D3143" t="s">
        <v>45</v>
      </c>
      <c r="E3143" t="s">
        <v>26</v>
      </c>
      <c r="F3143" t="s">
        <v>18</v>
      </c>
      <c r="G3143" t="s">
        <v>27</v>
      </c>
      <c r="H3143">
        <v>460</v>
      </c>
      <c r="I3143">
        <v>80</v>
      </c>
      <c r="J3143" s="6">
        <f t="shared" si="247"/>
        <v>36.799999999999997</v>
      </c>
      <c r="K3143" t="s">
        <v>397</v>
      </c>
    </row>
    <row r="3144" spans="3:11" outlineLevel="2" x14ac:dyDescent="0.3">
      <c r="C3144" s="9">
        <v>45233</v>
      </c>
      <c r="D3144" t="s">
        <v>45</v>
      </c>
      <c r="E3144" t="s">
        <v>26</v>
      </c>
      <c r="F3144" t="s">
        <v>13</v>
      </c>
      <c r="G3144" t="s">
        <v>44</v>
      </c>
      <c r="H3144">
        <v>2540</v>
      </c>
      <c r="I3144">
        <v>44</v>
      </c>
      <c r="J3144" s="6">
        <f t="shared" si="247"/>
        <v>111.76</v>
      </c>
      <c r="K3144" t="s">
        <v>397</v>
      </c>
    </row>
    <row r="3145" spans="3:11" outlineLevel="2" x14ac:dyDescent="0.3">
      <c r="C3145" s="9">
        <v>45233</v>
      </c>
      <c r="D3145" t="s">
        <v>17</v>
      </c>
      <c r="E3145" t="s">
        <v>26</v>
      </c>
      <c r="F3145" t="s">
        <v>24</v>
      </c>
      <c r="G3145" t="s">
        <v>25</v>
      </c>
      <c r="H3145">
        <v>1760</v>
      </c>
      <c r="I3145">
        <v>82</v>
      </c>
      <c r="J3145" s="6">
        <f t="shared" si="247"/>
        <v>144.32</v>
      </c>
      <c r="K3145" t="s">
        <v>397</v>
      </c>
    </row>
    <row r="3146" spans="3:11" outlineLevel="2" x14ac:dyDescent="0.3">
      <c r="C3146" s="9">
        <v>45233</v>
      </c>
      <c r="D3146" t="s">
        <v>17</v>
      </c>
      <c r="E3146" t="s">
        <v>33</v>
      </c>
      <c r="F3146" t="s">
        <v>24</v>
      </c>
      <c r="G3146" t="s">
        <v>25</v>
      </c>
      <c r="H3146">
        <v>1760</v>
      </c>
      <c r="I3146">
        <v>55</v>
      </c>
      <c r="J3146" s="6">
        <f t="shared" si="247"/>
        <v>96.8</v>
      </c>
      <c r="K3146" t="s">
        <v>397</v>
      </c>
    </row>
    <row r="3147" spans="3:11" outlineLevel="2" x14ac:dyDescent="0.3">
      <c r="C3147" s="9">
        <v>45233</v>
      </c>
      <c r="D3147" t="s">
        <v>17</v>
      </c>
      <c r="E3147" t="s">
        <v>35</v>
      </c>
      <c r="F3147" t="s">
        <v>10</v>
      </c>
      <c r="G3147" t="s">
        <v>40</v>
      </c>
      <c r="H3147">
        <v>540</v>
      </c>
      <c r="I3147">
        <v>83</v>
      </c>
      <c r="J3147" s="6">
        <f t="shared" si="247"/>
        <v>44.82</v>
      </c>
      <c r="K3147" t="s">
        <v>397</v>
      </c>
    </row>
    <row r="3148" spans="3:11" outlineLevel="2" x14ac:dyDescent="0.3">
      <c r="C3148" s="9">
        <v>45233</v>
      </c>
      <c r="D3148" t="s">
        <v>45</v>
      </c>
      <c r="E3148" t="s">
        <v>35</v>
      </c>
      <c r="F3148" t="s">
        <v>13</v>
      </c>
      <c r="G3148" t="s">
        <v>29</v>
      </c>
      <c r="H3148">
        <v>1230</v>
      </c>
      <c r="I3148">
        <v>46</v>
      </c>
      <c r="J3148" s="6">
        <f t="shared" si="247"/>
        <v>56.58</v>
      </c>
      <c r="K3148" t="s">
        <v>397</v>
      </c>
    </row>
    <row r="3149" spans="3:11" outlineLevel="2" x14ac:dyDescent="0.3">
      <c r="C3149" s="9">
        <v>45233</v>
      </c>
      <c r="D3149" t="s">
        <v>8</v>
      </c>
      <c r="E3149" t="s">
        <v>35</v>
      </c>
      <c r="F3149" t="s">
        <v>13</v>
      </c>
      <c r="G3149" t="s">
        <v>43</v>
      </c>
      <c r="H3149">
        <v>1420</v>
      </c>
      <c r="I3149">
        <v>58</v>
      </c>
      <c r="J3149" s="6">
        <f t="shared" si="247"/>
        <v>82.36</v>
      </c>
      <c r="K3149" t="s">
        <v>397</v>
      </c>
    </row>
    <row r="3150" spans="3:11" outlineLevel="2" x14ac:dyDescent="0.3">
      <c r="C3150" s="9">
        <v>45233</v>
      </c>
      <c r="D3150" t="s">
        <v>17</v>
      </c>
      <c r="E3150" t="s">
        <v>35</v>
      </c>
      <c r="F3150" t="s">
        <v>24</v>
      </c>
      <c r="G3150" t="s">
        <v>25</v>
      </c>
      <c r="H3150">
        <v>1760</v>
      </c>
      <c r="I3150">
        <v>75</v>
      </c>
      <c r="J3150" s="6">
        <f t="shared" si="247"/>
        <v>132</v>
      </c>
      <c r="K3150" t="s">
        <v>397</v>
      </c>
    </row>
    <row r="3151" spans="3:11" outlineLevel="1" x14ac:dyDescent="0.3">
      <c r="C3151" s="13" t="s">
        <v>321</v>
      </c>
      <c r="J3151" s="6">
        <f>SUBTOTAL(9,J3139:J3150)</f>
        <v>983.85500000000002</v>
      </c>
      <c r="K3151" t="s">
        <v>397</v>
      </c>
    </row>
    <row r="3152" spans="3:11" outlineLevel="2" x14ac:dyDescent="0.3">
      <c r="C3152" s="9">
        <v>45234</v>
      </c>
      <c r="D3152" t="s">
        <v>45</v>
      </c>
      <c r="E3152" t="s">
        <v>20</v>
      </c>
      <c r="F3152" t="s">
        <v>10</v>
      </c>
      <c r="G3152" t="s">
        <v>40</v>
      </c>
      <c r="H3152">
        <v>540</v>
      </c>
      <c r="I3152">
        <v>85</v>
      </c>
      <c r="J3152" s="6">
        <f t="shared" ref="J3152:J3162" si="248">H3152*I3152/1000</f>
        <v>45.9</v>
      </c>
      <c r="K3152" t="s">
        <v>397</v>
      </c>
    </row>
    <row r="3153" spans="3:11" outlineLevel="2" x14ac:dyDescent="0.3">
      <c r="C3153" s="9">
        <v>45234</v>
      </c>
      <c r="D3153" t="s">
        <v>8</v>
      </c>
      <c r="E3153" t="s">
        <v>20</v>
      </c>
      <c r="F3153" t="s">
        <v>18</v>
      </c>
      <c r="G3153" t="s">
        <v>27</v>
      </c>
      <c r="H3153">
        <v>460</v>
      </c>
      <c r="I3153">
        <v>75</v>
      </c>
      <c r="J3153" s="6">
        <f t="shared" si="248"/>
        <v>34.5</v>
      </c>
      <c r="K3153" t="s">
        <v>397</v>
      </c>
    </row>
    <row r="3154" spans="3:11" outlineLevel="2" x14ac:dyDescent="0.3">
      <c r="C3154" s="9">
        <v>45234</v>
      </c>
      <c r="D3154" t="s">
        <v>12</v>
      </c>
      <c r="E3154" t="s">
        <v>20</v>
      </c>
      <c r="F3154" t="s">
        <v>13</v>
      </c>
      <c r="G3154" t="s">
        <v>22</v>
      </c>
      <c r="H3154">
        <v>930</v>
      </c>
      <c r="I3154">
        <v>36</v>
      </c>
      <c r="J3154" s="6">
        <f t="shared" si="248"/>
        <v>33.479999999999997</v>
      </c>
      <c r="K3154" t="s">
        <v>397</v>
      </c>
    </row>
    <row r="3155" spans="3:11" outlineLevel="2" x14ac:dyDescent="0.3">
      <c r="C3155" s="9">
        <v>45234</v>
      </c>
      <c r="D3155" t="s">
        <v>8</v>
      </c>
      <c r="E3155" t="s">
        <v>20</v>
      </c>
      <c r="F3155" t="s">
        <v>13</v>
      </c>
      <c r="G3155" t="s">
        <v>29</v>
      </c>
      <c r="H3155">
        <v>1230</v>
      </c>
      <c r="I3155">
        <v>78</v>
      </c>
      <c r="J3155" s="6">
        <f t="shared" si="248"/>
        <v>95.94</v>
      </c>
      <c r="K3155" t="s">
        <v>397</v>
      </c>
    </row>
    <row r="3156" spans="3:11" outlineLevel="2" x14ac:dyDescent="0.3">
      <c r="C3156" s="9">
        <v>45234</v>
      </c>
      <c r="D3156" t="s">
        <v>17</v>
      </c>
      <c r="E3156" t="s">
        <v>9</v>
      </c>
      <c r="F3156" t="s">
        <v>10</v>
      </c>
      <c r="G3156" t="s">
        <v>41</v>
      </c>
      <c r="H3156">
        <v>650</v>
      </c>
      <c r="I3156">
        <v>80</v>
      </c>
      <c r="J3156" s="6">
        <f t="shared" si="248"/>
        <v>52</v>
      </c>
      <c r="K3156" t="s">
        <v>397</v>
      </c>
    </row>
    <row r="3157" spans="3:11" outlineLevel="2" x14ac:dyDescent="0.3">
      <c r="C3157" s="9">
        <v>45234</v>
      </c>
      <c r="D3157" t="s">
        <v>8</v>
      </c>
      <c r="E3157" t="s">
        <v>26</v>
      </c>
      <c r="F3157" t="s">
        <v>10</v>
      </c>
      <c r="G3157" t="s">
        <v>16</v>
      </c>
      <c r="H3157">
        <v>1380</v>
      </c>
      <c r="I3157">
        <v>15</v>
      </c>
      <c r="J3157" s="6">
        <f t="shared" si="248"/>
        <v>20.7</v>
      </c>
      <c r="K3157" t="s">
        <v>397</v>
      </c>
    </row>
    <row r="3158" spans="3:11" outlineLevel="2" x14ac:dyDescent="0.3">
      <c r="C3158" s="9">
        <v>45234</v>
      </c>
      <c r="D3158" t="s">
        <v>8</v>
      </c>
      <c r="E3158" t="s">
        <v>26</v>
      </c>
      <c r="F3158" t="s">
        <v>18</v>
      </c>
      <c r="G3158" t="s">
        <v>37</v>
      </c>
      <c r="H3158">
        <v>890</v>
      </c>
      <c r="I3158">
        <v>66</v>
      </c>
      <c r="J3158" s="6">
        <f t="shared" si="248"/>
        <v>58.74</v>
      </c>
      <c r="K3158" t="s">
        <v>397</v>
      </c>
    </row>
    <row r="3159" spans="3:11" outlineLevel="2" x14ac:dyDescent="0.3">
      <c r="C3159" s="9">
        <v>45234</v>
      </c>
      <c r="D3159" t="s">
        <v>45</v>
      </c>
      <c r="E3159" t="s">
        <v>26</v>
      </c>
      <c r="F3159" t="s">
        <v>13</v>
      </c>
      <c r="G3159" t="s">
        <v>22</v>
      </c>
      <c r="H3159">
        <v>930</v>
      </c>
      <c r="I3159">
        <v>89</v>
      </c>
      <c r="J3159" s="6">
        <f t="shared" si="248"/>
        <v>82.77</v>
      </c>
      <c r="K3159" t="s">
        <v>397</v>
      </c>
    </row>
    <row r="3160" spans="3:11" outlineLevel="2" x14ac:dyDescent="0.3">
      <c r="C3160" s="9">
        <v>45234</v>
      </c>
      <c r="D3160" t="s">
        <v>17</v>
      </c>
      <c r="E3160" t="s">
        <v>26</v>
      </c>
      <c r="F3160" t="s">
        <v>24</v>
      </c>
      <c r="G3160" t="s">
        <v>30</v>
      </c>
      <c r="H3160">
        <v>2970</v>
      </c>
      <c r="I3160">
        <v>39</v>
      </c>
      <c r="J3160" s="6">
        <f t="shared" si="248"/>
        <v>115.83</v>
      </c>
      <c r="K3160" t="s">
        <v>397</v>
      </c>
    </row>
    <row r="3161" spans="3:11" outlineLevel="2" x14ac:dyDescent="0.3">
      <c r="C3161" s="9">
        <v>45234</v>
      </c>
      <c r="D3161" t="s">
        <v>45</v>
      </c>
      <c r="E3161" t="s">
        <v>15</v>
      </c>
      <c r="F3161" t="s">
        <v>10</v>
      </c>
      <c r="G3161" t="s">
        <v>40</v>
      </c>
      <c r="H3161">
        <v>540</v>
      </c>
      <c r="I3161">
        <v>8</v>
      </c>
      <c r="J3161" s="6">
        <f t="shared" si="248"/>
        <v>4.32</v>
      </c>
      <c r="K3161" t="s">
        <v>397</v>
      </c>
    </row>
    <row r="3162" spans="3:11" outlineLevel="2" x14ac:dyDescent="0.3">
      <c r="C3162" s="9">
        <v>45234</v>
      </c>
      <c r="D3162" t="s">
        <v>45</v>
      </c>
      <c r="E3162" t="s">
        <v>35</v>
      </c>
      <c r="F3162" t="s">
        <v>24</v>
      </c>
      <c r="G3162" t="s">
        <v>36</v>
      </c>
      <c r="H3162">
        <v>2460</v>
      </c>
      <c r="I3162">
        <v>32</v>
      </c>
      <c r="J3162" s="6">
        <f t="shared" si="248"/>
        <v>78.72</v>
      </c>
      <c r="K3162" t="s">
        <v>397</v>
      </c>
    </row>
    <row r="3163" spans="3:11" outlineLevel="1" x14ac:dyDescent="0.3">
      <c r="C3163" s="13" t="s">
        <v>322</v>
      </c>
      <c r="J3163" s="6">
        <f>SUBTOTAL(9,J3152:J3162)</f>
        <v>622.90000000000009</v>
      </c>
      <c r="K3163" t="s">
        <v>397</v>
      </c>
    </row>
    <row r="3164" spans="3:11" outlineLevel="2" x14ac:dyDescent="0.3">
      <c r="C3164" s="9">
        <v>45235</v>
      </c>
      <c r="D3164" t="s">
        <v>17</v>
      </c>
      <c r="E3164" t="s">
        <v>20</v>
      </c>
      <c r="F3164" t="s">
        <v>10</v>
      </c>
      <c r="G3164" t="s">
        <v>16</v>
      </c>
      <c r="H3164">
        <v>1380</v>
      </c>
      <c r="I3164">
        <v>6</v>
      </c>
      <c r="J3164" s="6">
        <f t="shared" ref="J3164:J3171" si="249">H3164*I3164/1000</f>
        <v>8.2799999999999994</v>
      </c>
      <c r="K3164" t="s">
        <v>397</v>
      </c>
    </row>
    <row r="3165" spans="3:11" outlineLevel="2" x14ac:dyDescent="0.3">
      <c r="C3165" s="9">
        <v>45235</v>
      </c>
      <c r="D3165" t="s">
        <v>8</v>
      </c>
      <c r="E3165" t="s">
        <v>20</v>
      </c>
      <c r="F3165" t="s">
        <v>13</v>
      </c>
      <c r="G3165" t="s">
        <v>43</v>
      </c>
      <c r="H3165">
        <v>1420</v>
      </c>
      <c r="I3165">
        <v>75</v>
      </c>
      <c r="J3165" s="6">
        <f t="shared" si="249"/>
        <v>106.5</v>
      </c>
      <c r="K3165" t="s">
        <v>397</v>
      </c>
    </row>
    <row r="3166" spans="3:11" outlineLevel="2" x14ac:dyDescent="0.3">
      <c r="C3166" s="9">
        <v>45235</v>
      </c>
      <c r="D3166" t="s">
        <v>17</v>
      </c>
      <c r="E3166" t="s">
        <v>20</v>
      </c>
      <c r="F3166" t="s">
        <v>24</v>
      </c>
      <c r="G3166" t="s">
        <v>32</v>
      </c>
      <c r="H3166">
        <v>1505</v>
      </c>
      <c r="I3166">
        <v>88</v>
      </c>
      <c r="J3166" s="6">
        <f t="shared" si="249"/>
        <v>132.44</v>
      </c>
      <c r="K3166" t="s">
        <v>397</v>
      </c>
    </row>
    <row r="3167" spans="3:11" outlineLevel="2" x14ac:dyDescent="0.3">
      <c r="C3167" s="9">
        <v>45235</v>
      </c>
      <c r="D3167" t="s">
        <v>17</v>
      </c>
      <c r="E3167" t="s">
        <v>9</v>
      </c>
      <c r="F3167" t="s">
        <v>10</v>
      </c>
      <c r="G3167" t="s">
        <v>11</v>
      </c>
      <c r="H3167">
        <v>705</v>
      </c>
      <c r="I3167">
        <v>5</v>
      </c>
      <c r="J3167" s="6">
        <f t="shared" si="249"/>
        <v>3.5249999999999999</v>
      </c>
      <c r="K3167" t="s">
        <v>397</v>
      </c>
    </row>
    <row r="3168" spans="3:11" outlineLevel="2" x14ac:dyDescent="0.3">
      <c r="C3168" s="9">
        <v>45235</v>
      </c>
      <c r="D3168" t="s">
        <v>45</v>
      </c>
      <c r="E3168" t="s">
        <v>9</v>
      </c>
      <c r="F3168" t="s">
        <v>18</v>
      </c>
      <c r="G3168" t="s">
        <v>19</v>
      </c>
      <c r="H3168">
        <v>325</v>
      </c>
      <c r="I3168">
        <v>40</v>
      </c>
      <c r="J3168" s="6">
        <f t="shared" si="249"/>
        <v>13</v>
      </c>
      <c r="K3168" t="s">
        <v>397</v>
      </c>
    </row>
    <row r="3169" spans="3:11" outlineLevel="2" x14ac:dyDescent="0.3">
      <c r="C3169" s="9">
        <v>45235</v>
      </c>
      <c r="D3169" t="s">
        <v>17</v>
      </c>
      <c r="E3169" t="s">
        <v>26</v>
      </c>
      <c r="F3169" t="s">
        <v>13</v>
      </c>
      <c r="G3169" t="s">
        <v>38</v>
      </c>
      <c r="H3169">
        <v>2400</v>
      </c>
      <c r="I3169">
        <v>22</v>
      </c>
      <c r="J3169" s="6">
        <f t="shared" si="249"/>
        <v>52.8</v>
      </c>
      <c r="K3169" t="s">
        <v>397</v>
      </c>
    </row>
    <row r="3170" spans="3:11" outlineLevel="2" x14ac:dyDescent="0.3">
      <c r="C3170" s="9">
        <v>45235</v>
      </c>
      <c r="D3170" t="s">
        <v>8</v>
      </c>
      <c r="E3170" t="s">
        <v>15</v>
      </c>
      <c r="F3170" t="s">
        <v>10</v>
      </c>
      <c r="G3170" t="s">
        <v>39</v>
      </c>
      <c r="H3170">
        <v>650</v>
      </c>
      <c r="I3170">
        <v>10</v>
      </c>
      <c r="J3170" s="6">
        <f t="shared" si="249"/>
        <v>6.5</v>
      </c>
      <c r="K3170" t="s">
        <v>397</v>
      </c>
    </row>
    <row r="3171" spans="3:11" outlineLevel="2" x14ac:dyDescent="0.3">
      <c r="C3171" s="9">
        <v>45235</v>
      </c>
      <c r="D3171" t="s">
        <v>8</v>
      </c>
      <c r="E3171" t="s">
        <v>15</v>
      </c>
      <c r="F3171" t="s">
        <v>13</v>
      </c>
      <c r="G3171" t="s">
        <v>29</v>
      </c>
      <c r="H3171">
        <v>1230</v>
      </c>
      <c r="I3171">
        <v>34</v>
      </c>
      <c r="J3171" s="6">
        <f t="shared" si="249"/>
        <v>41.82</v>
      </c>
      <c r="K3171" t="s">
        <v>397</v>
      </c>
    </row>
    <row r="3172" spans="3:11" outlineLevel="1" x14ac:dyDescent="0.3">
      <c r="C3172" s="13" t="s">
        <v>323</v>
      </c>
      <c r="J3172" s="6">
        <f>SUBTOTAL(9,J3164:J3171)</f>
        <v>364.86500000000001</v>
      </c>
      <c r="K3172" t="s">
        <v>397</v>
      </c>
    </row>
    <row r="3173" spans="3:11" outlineLevel="2" x14ac:dyDescent="0.3">
      <c r="C3173" s="9">
        <v>45236</v>
      </c>
      <c r="D3173" t="s">
        <v>45</v>
      </c>
      <c r="E3173" t="s">
        <v>20</v>
      </c>
      <c r="F3173" t="s">
        <v>13</v>
      </c>
      <c r="G3173" t="s">
        <v>38</v>
      </c>
      <c r="H3173">
        <v>2400</v>
      </c>
      <c r="I3173">
        <v>6</v>
      </c>
      <c r="J3173" s="6">
        <f t="shared" ref="J3173:J3187" si="250">H3173*I3173/1000</f>
        <v>14.4</v>
      </c>
      <c r="K3173" t="s">
        <v>397</v>
      </c>
    </row>
    <row r="3174" spans="3:11" outlineLevel="2" x14ac:dyDescent="0.3">
      <c r="C3174" s="9">
        <v>45236</v>
      </c>
      <c r="D3174" t="s">
        <v>17</v>
      </c>
      <c r="E3174" t="s">
        <v>20</v>
      </c>
      <c r="F3174" t="s">
        <v>13</v>
      </c>
      <c r="G3174" t="s">
        <v>22</v>
      </c>
      <c r="H3174">
        <v>930</v>
      </c>
      <c r="I3174">
        <v>54</v>
      </c>
      <c r="J3174" s="6">
        <f t="shared" si="250"/>
        <v>50.22</v>
      </c>
      <c r="K3174" t="s">
        <v>397</v>
      </c>
    </row>
    <row r="3175" spans="3:11" outlineLevel="2" x14ac:dyDescent="0.3">
      <c r="C3175" s="9">
        <v>45236</v>
      </c>
      <c r="D3175" t="s">
        <v>12</v>
      </c>
      <c r="E3175" t="s">
        <v>9</v>
      </c>
      <c r="F3175" t="s">
        <v>18</v>
      </c>
      <c r="G3175" t="s">
        <v>31</v>
      </c>
      <c r="H3175">
        <v>715</v>
      </c>
      <c r="I3175">
        <v>91</v>
      </c>
      <c r="J3175" s="6">
        <f t="shared" si="250"/>
        <v>65.064999999999998</v>
      </c>
      <c r="K3175" t="s">
        <v>397</v>
      </c>
    </row>
    <row r="3176" spans="3:11" outlineLevel="2" x14ac:dyDescent="0.3">
      <c r="C3176" s="9">
        <v>45236</v>
      </c>
      <c r="D3176" t="s">
        <v>17</v>
      </c>
      <c r="E3176" t="s">
        <v>9</v>
      </c>
      <c r="F3176" t="s">
        <v>18</v>
      </c>
      <c r="G3176" t="s">
        <v>31</v>
      </c>
      <c r="H3176">
        <v>715</v>
      </c>
      <c r="I3176">
        <v>90</v>
      </c>
      <c r="J3176" s="6">
        <f t="shared" si="250"/>
        <v>64.349999999999994</v>
      </c>
      <c r="K3176" t="s">
        <v>397</v>
      </c>
    </row>
    <row r="3177" spans="3:11" outlineLevel="2" x14ac:dyDescent="0.3">
      <c r="C3177" s="9">
        <v>45236</v>
      </c>
      <c r="D3177" t="s">
        <v>8</v>
      </c>
      <c r="E3177" t="s">
        <v>9</v>
      </c>
      <c r="F3177" t="s">
        <v>13</v>
      </c>
      <c r="G3177" t="s">
        <v>22</v>
      </c>
      <c r="H3177">
        <v>930</v>
      </c>
      <c r="I3177">
        <v>81</v>
      </c>
      <c r="J3177" s="6">
        <f t="shared" si="250"/>
        <v>75.33</v>
      </c>
      <c r="K3177" t="s">
        <v>397</v>
      </c>
    </row>
    <row r="3178" spans="3:11" outlineLevel="2" x14ac:dyDescent="0.3">
      <c r="C3178" s="9">
        <v>45236</v>
      </c>
      <c r="D3178" t="s">
        <v>17</v>
      </c>
      <c r="E3178" t="s">
        <v>15</v>
      </c>
      <c r="F3178" t="s">
        <v>10</v>
      </c>
      <c r="G3178" t="s">
        <v>41</v>
      </c>
      <c r="H3178">
        <v>650</v>
      </c>
      <c r="I3178">
        <v>93</v>
      </c>
      <c r="J3178" s="6">
        <f t="shared" si="250"/>
        <v>60.45</v>
      </c>
      <c r="K3178" t="s">
        <v>397</v>
      </c>
    </row>
    <row r="3179" spans="3:11" outlineLevel="2" x14ac:dyDescent="0.3">
      <c r="C3179" s="9">
        <v>45236</v>
      </c>
      <c r="D3179" t="s">
        <v>45</v>
      </c>
      <c r="E3179" t="s">
        <v>15</v>
      </c>
      <c r="F3179" t="s">
        <v>18</v>
      </c>
      <c r="G3179" t="s">
        <v>37</v>
      </c>
      <c r="H3179">
        <v>890</v>
      </c>
      <c r="I3179">
        <v>51</v>
      </c>
      <c r="J3179" s="6">
        <f t="shared" si="250"/>
        <v>45.39</v>
      </c>
      <c r="K3179" t="s">
        <v>397</v>
      </c>
    </row>
    <row r="3180" spans="3:11" outlineLevel="2" x14ac:dyDescent="0.3">
      <c r="C3180" s="9">
        <v>45236</v>
      </c>
      <c r="D3180" t="s">
        <v>45</v>
      </c>
      <c r="E3180" t="s">
        <v>15</v>
      </c>
      <c r="F3180" t="s">
        <v>13</v>
      </c>
      <c r="G3180" t="s">
        <v>22</v>
      </c>
      <c r="H3180">
        <v>930</v>
      </c>
      <c r="I3180">
        <v>57</v>
      </c>
      <c r="J3180" s="6">
        <f t="shared" si="250"/>
        <v>53.01</v>
      </c>
      <c r="K3180" t="s">
        <v>397</v>
      </c>
    </row>
    <row r="3181" spans="3:11" outlineLevel="2" x14ac:dyDescent="0.3">
      <c r="C3181" s="9">
        <v>45236</v>
      </c>
      <c r="D3181" t="s">
        <v>17</v>
      </c>
      <c r="E3181" t="s">
        <v>15</v>
      </c>
      <c r="F3181" t="s">
        <v>24</v>
      </c>
      <c r="G3181" t="s">
        <v>25</v>
      </c>
      <c r="H3181">
        <v>1760</v>
      </c>
      <c r="I3181">
        <v>26</v>
      </c>
      <c r="J3181" s="6">
        <f t="shared" si="250"/>
        <v>45.76</v>
      </c>
      <c r="K3181" t="s">
        <v>397</v>
      </c>
    </row>
    <row r="3182" spans="3:11" outlineLevel="2" x14ac:dyDescent="0.3">
      <c r="C3182" s="9">
        <v>45236</v>
      </c>
      <c r="D3182" t="s">
        <v>17</v>
      </c>
      <c r="E3182" t="s">
        <v>15</v>
      </c>
      <c r="F3182" t="s">
        <v>24</v>
      </c>
      <c r="G3182" t="s">
        <v>32</v>
      </c>
      <c r="H3182">
        <v>1505</v>
      </c>
      <c r="I3182">
        <v>28</v>
      </c>
      <c r="J3182" s="6">
        <f t="shared" si="250"/>
        <v>42.14</v>
      </c>
      <c r="K3182" t="s">
        <v>397</v>
      </c>
    </row>
    <row r="3183" spans="3:11" outlineLevel="2" x14ac:dyDescent="0.3">
      <c r="C3183" s="9">
        <v>45236</v>
      </c>
      <c r="D3183" t="s">
        <v>17</v>
      </c>
      <c r="E3183" t="s">
        <v>33</v>
      </c>
      <c r="F3183" t="s">
        <v>10</v>
      </c>
      <c r="G3183" t="s">
        <v>40</v>
      </c>
      <c r="H3183">
        <v>540</v>
      </c>
      <c r="I3183">
        <v>42</v>
      </c>
      <c r="J3183" s="6">
        <f t="shared" si="250"/>
        <v>22.68</v>
      </c>
      <c r="K3183" t="s">
        <v>397</v>
      </c>
    </row>
    <row r="3184" spans="3:11" outlineLevel="2" x14ac:dyDescent="0.3">
      <c r="C3184" s="9">
        <v>45236</v>
      </c>
      <c r="D3184" t="s">
        <v>8</v>
      </c>
      <c r="E3184" t="s">
        <v>35</v>
      </c>
      <c r="F3184" t="s">
        <v>10</v>
      </c>
      <c r="G3184" t="s">
        <v>39</v>
      </c>
      <c r="H3184">
        <v>650</v>
      </c>
      <c r="I3184">
        <v>59</v>
      </c>
      <c r="J3184" s="6">
        <f t="shared" si="250"/>
        <v>38.35</v>
      </c>
      <c r="K3184" t="s">
        <v>397</v>
      </c>
    </row>
    <row r="3185" spans="3:11" outlineLevel="2" x14ac:dyDescent="0.3">
      <c r="C3185" s="9">
        <v>45236</v>
      </c>
      <c r="D3185" t="s">
        <v>45</v>
      </c>
      <c r="E3185" t="s">
        <v>35</v>
      </c>
      <c r="F3185" t="s">
        <v>18</v>
      </c>
      <c r="G3185" t="s">
        <v>27</v>
      </c>
      <c r="H3185">
        <v>460</v>
      </c>
      <c r="I3185">
        <v>62</v>
      </c>
      <c r="J3185" s="6">
        <f t="shared" si="250"/>
        <v>28.52</v>
      </c>
      <c r="K3185" t="s">
        <v>397</v>
      </c>
    </row>
    <row r="3186" spans="3:11" outlineLevel="2" x14ac:dyDescent="0.3">
      <c r="C3186" s="9">
        <v>45236</v>
      </c>
      <c r="D3186" t="s">
        <v>8</v>
      </c>
      <c r="E3186" t="s">
        <v>35</v>
      </c>
      <c r="F3186" t="s">
        <v>18</v>
      </c>
      <c r="G3186" t="s">
        <v>19</v>
      </c>
      <c r="H3186">
        <v>325</v>
      </c>
      <c r="I3186">
        <v>37</v>
      </c>
      <c r="J3186" s="6">
        <f t="shared" si="250"/>
        <v>12.025</v>
      </c>
      <c r="K3186" t="s">
        <v>397</v>
      </c>
    </row>
    <row r="3187" spans="3:11" outlineLevel="2" x14ac:dyDescent="0.3">
      <c r="C3187" s="9">
        <v>45236</v>
      </c>
      <c r="D3187" t="s">
        <v>45</v>
      </c>
      <c r="E3187" t="s">
        <v>35</v>
      </c>
      <c r="F3187" t="s">
        <v>13</v>
      </c>
      <c r="G3187" t="s">
        <v>43</v>
      </c>
      <c r="H3187">
        <v>1420</v>
      </c>
      <c r="I3187">
        <v>20</v>
      </c>
      <c r="J3187" s="6">
        <f t="shared" si="250"/>
        <v>28.4</v>
      </c>
      <c r="K3187" t="s">
        <v>397</v>
      </c>
    </row>
    <row r="3188" spans="3:11" outlineLevel="1" x14ac:dyDescent="0.3">
      <c r="C3188" s="13" t="s">
        <v>324</v>
      </c>
      <c r="J3188" s="6">
        <f>SUBTOTAL(9,J3173:J3187)</f>
        <v>646.08999999999992</v>
      </c>
      <c r="K3188" t="s">
        <v>397</v>
      </c>
    </row>
    <row r="3189" spans="3:11" outlineLevel="2" x14ac:dyDescent="0.3">
      <c r="C3189" s="9">
        <v>45237</v>
      </c>
      <c r="D3189" t="s">
        <v>45</v>
      </c>
      <c r="E3189" t="s">
        <v>20</v>
      </c>
      <c r="F3189" t="s">
        <v>10</v>
      </c>
      <c r="G3189" t="s">
        <v>40</v>
      </c>
      <c r="H3189">
        <v>540</v>
      </c>
      <c r="I3189">
        <v>62</v>
      </c>
      <c r="J3189" s="6">
        <f t="shared" ref="J3189:J3201" si="251">H3189*I3189/1000</f>
        <v>33.479999999999997</v>
      </c>
      <c r="K3189" t="s">
        <v>397</v>
      </c>
    </row>
    <row r="3190" spans="3:11" outlineLevel="2" x14ac:dyDescent="0.3">
      <c r="C3190" s="9">
        <v>45237</v>
      </c>
      <c r="D3190" t="s">
        <v>8</v>
      </c>
      <c r="E3190" t="s">
        <v>9</v>
      </c>
      <c r="F3190" t="s">
        <v>10</v>
      </c>
      <c r="G3190" t="s">
        <v>40</v>
      </c>
      <c r="H3190">
        <v>540</v>
      </c>
      <c r="I3190">
        <v>11</v>
      </c>
      <c r="J3190" s="6">
        <f t="shared" si="251"/>
        <v>5.94</v>
      </c>
      <c r="K3190" t="s">
        <v>397</v>
      </c>
    </row>
    <row r="3191" spans="3:11" outlineLevel="2" x14ac:dyDescent="0.3">
      <c r="C3191" s="9">
        <v>45237</v>
      </c>
      <c r="D3191" t="s">
        <v>45</v>
      </c>
      <c r="E3191" t="s">
        <v>9</v>
      </c>
      <c r="F3191" t="s">
        <v>13</v>
      </c>
      <c r="G3191" t="s">
        <v>14</v>
      </c>
      <c r="H3191">
        <v>1320</v>
      </c>
      <c r="I3191">
        <v>30</v>
      </c>
      <c r="J3191" s="6">
        <f t="shared" si="251"/>
        <v>39.6</v>
      </c>
      <c r="K3191" t="s">
        <v>397</v>
      </c>
    </row>
    <row r="3192" spans="3:11" outlineLevel="2" x14ac:dyDescent="0.3">
      <c r="C3192" s="9">
        <v>45237</v>
      </c>
      <c r="D3192" t="s">
        <v>45</v>
      </c>
      <c r="E3192" t="s">
        <v>15</v>
      </c>
      <c r="F3192" t="s">
        <v>18</v>
      </c>
      <c r="G3192" t="s">
        <v>19</v>
      </c>
      <c r="H3192">
        <v>325</v>
      </c>
      <c r="I3192">
        <v>93</v>
      </c>
      <c r="J3192" s="6">
        <f t="shared" si="251"/>
        <v>30.225000000000001</v>
      </c>
      <c r="K3192" t="s">
        <v>397</v>
      </c>
    </row>
    <row r="3193" spans="3:11" outlineLevel="2" x14ac:dyDescent="0.3">
      <c r="C3193" s="9">
        <v>45237</v>
      </c>
      <c r="D3193" t="s">
        <v>45</v>
      </c>
      <c r="E3193" t="s">
        <v>15</v>
      </c>
      <c r="F3193" t="s">
        <v>18</v>
      </c>
      <c r="G3193" t="s">
        <v>37</v>
      </c>
      <c r="H3193">
        <v>890</v>
      </c>
      <c r="I3193">
        <v>24</v>
      </c>
      <c r="J3193" s="6">
        <f t="shared" si="251"/>
        <v>21.36</v>
      </c>
      <c r="K3193" t="s">
        <v>397</v>
      </c>
    </row>
    <row r="3194" spans="3:11" outlineLevel="2" x14ac:dyDescent="0.3">
      <c r="C3194" s="9">
        <v>45237</v>
      </c>
      <c r="D3194" t="s">
        <v>8</v>
      </c>
      <c r="E3194" t="s">
        <v>15</v>
      </c>
      <c r="F3194" t="s">
        <v>24</v>
      </c>
      <c r="G3194" t="s">
        <v>36</v>
      </c>
      <c r="H3194">
        <v>2460</v>
      </c>
      <c r="I3194">
        <v>90</v>
      </c>
      <c r="J3194" s="6">
        <f t="shared" si="251"/>
        <v>221.4</v>
      </c>
      <c r="K3194" t="s">
        <v>397</v>
      </c>
    </row>
    <row r="3195" spans="3:11" outlineLevel="2" x14ac:dyDescent="0.3">
      <c r="C3195" s="9">
        <v>45237</v>
      </c>
      <c r="D3195" t="s">
        <v>17</v>
      </c>
      <c r="E3195" t="s">
        <v>15</v>
      </c>
      <c r="F3195" t="s">
        <v>24</v>
      </c>
      <c r="G3195" t="s">
        <v>34</v>
      </c>
      <c r="H3195">
        <v>1670</v>
      </c>
      <c r="I3195">
        <v>88</v>
      </c>
      <c r="J3195" s="6">
        <f t="shared" si="251"/>
        <v>146.96</v>
      </c>
      <c r="K3195" t="s">
        <v>397</v>
      </c>
    </row>
    <row r="3196" spans="3:11" outlineLevel="2" x14ac:dyDescent="0.3">
      <c r="C3196" s="9">
        <v>45237</v>
      </c>
      <c r="D3196" t="s">
        <v>45</v>
      </c>
      <c r="E3196" t="s">
        <v>15</v>
      </c>
      <c r="F3196" t="s">
        <v>24</v>
      </c>
      <c r="G3196" t="s">
        <v>36</v>
      </c>
      <c r="H3196">
        <v>2460</v>
      </c>
      <c r="I3196">
        <v>88</v>
      </c>
      <c r="J3196" s="6">
        <f t="shared" si="251"/>
        <v>216.48</v>
      </c>
      <c r="K3196" t="s">
        <v>397</v>
      </c>
    </row>
    <row r="3197" spans="3:11" outlineLevel="2" x14ac:dyDescent="0.3">
      <c r="C3197" s="9">
        <v>45237</v>
      </c>
      <c r="D3197" t="s">
        <v>12</v>
      </c>
      <c r="E3197" t="s">
        <v>33</v>
      </c>
      <c r="F3197" t="s">
        <v>18</v>
      </c>
      <c r="G3197" t="s">
        <v>31</v>
      </c>
      <c r="H3197">
        <v>715</v>
      </c>
      <c r="I3197">
        <v>46</v>
      </c>
      <c r="J3197" s="6">
        <f t="shared" si="251"/>
        <v>32.89</v>
      </c>
      <c r="K3197" t="s">
        <v>397</v>
      </c>
    </row>
    <row r="3198" spans="3:11" outlineLevel="2" x14ac:dyDescent="0.3">
      <c r="C3198" s="9">
        <v>45237</v>
      </c>
      <c r="D3198" t="s">
        <v>45</v>
      </c>
      <c r="E3198" t="s">
        <v>35</v>
      </c>
      <c r="F3198" t="s">
        <v>13</v>
      </c>
      <c r="G3198" t="s">
        <v>38</v>
      </c>
      <c r="H3198">
        <v>2400</v>
      </c>
      <c r="I3198">
        <v>11</v>
      </c>
      <c r="J3198" s="6">
        <f t="shared" si="251"/>
        <v>26.4</v>
      </c>
      <c r="K3198" t="s">
        <v>397</v>
      </c>
    </row>
    <row r="3199" spans="3:11" outlineLevel="2" x14ac:dyDescent="0.3">
      <c r="C3199" s="9">
        <v>45237</v>
      </c>
      <c r="D3199" t="s">
        <v>45</v>
      </c>
      <c r="E3199" t="s">
        <v>35</v>
      </c>
      <c r="F3199" t="s">
        <v>13</v>
      </c>
      <c r="G3199" t="s">
        <v>22</v>
      </c>
      <c r="H3199">
        <v>930</v>
      </c>
      <c r="I3199">
        <v>86</v>
      </c>
      <c r="J3199" s="6">
        <f t="shared" si="251"/>
        <v>79.98</v>
      </c>
      <c r="K3199" t="s">
        <v>397</v>
      </c>
    </row>
    <row r="3200" spans="3:11" outlineLevel="2" x14ac:dyDescent="0.3">
      <c r="C3200" s="9">
        <v>45237</v>
      </c>
      <c r="D3200" t="s">
        <v>12</v>
      </c>
      <c r="E3200" t="s">
        <v>35</v>
      </c>
      <c r="F3200" t="s">
        <v>24</v>
      </c>
      <c r="G3200" t="s">
        <v>42</v>
      </c>
      <c r="H3200">
        <v>3205</v>
      </c>
      <c r="I3200">
        <v>28</v>
      </c>
      <c r="J3200" s="6">
        <f t="shared" si="251"/>
        <v>89.74</v>
      </c>
      <c r="K3200" t="s">
        <v>397</v>
      </c>
    </row>
    <row r="3201" spans="3:11" outlineLevel="2" x14ac:dyDescent="0.3">
      <c r="C3201" s="9">
        <v>45237</v>
      </c>
      <c r="D3201" t="s">
        <v>17</v>
      </c>
      <c r="E3201" t="s">
        <v>35</v>
      </c>
      <c r="F3201" t="s">
        <v>24</v>
      </c>
      <c r="G3201" t="s">
        <v>34</v>
      </c>
      <c r="H3201">
        <v>1670</v>
      </c>
      <c r="I3201">
        <v>9</v>
      </c>
      <c r="J3201" s="6">
        <f t="shared" si="251"/>
        <v>15.03</v>
      </c>
      <c r="K3201" t="s">
        <v>397</v>
      </c>
    </row>
    <row r="3202" spans="3:11" outlineLevel="1" x14ac:dyDescent="0.3">
      <c r="C3202" s="13" t="s">
        <v>325</v>
      </c>
      <c r="J3202" s="6">
        <f>SUBTOTAL(9,J3189:J3201)</f>
        <v>959.48500000000001</v>
      </c>
      <c r="K3202" t="s">
        <v>397</v>
      </c>
    </row>
    <row r="3203" spans="3:11" outlineLevel="2" x14ac:dyDescent="0.3">
      <c r="C3203" s="9">
        <v>45238</v>
      </c>
      <c r="D3203" t="s">
        <v>12</v>
      </c>
      <c r="E3203" t="s">
        <v>20</v>
      </c>
      <c r="F3203" t="s">
        <v>18</v>
      </c>
      <c r="G3203" t="s">
        <v>31</v>
      </c>
      <c r="H3203">
        <v>715</v>
      </c>
      <c r="I3203">
        <v>58</v>
      </c>
      <c r="J3203" s="6">
        <f t="shared" ref="J3203:J3210" si="252">H3203*I3203/1000</f>
        <v>41.47</v>
      </c>
      <c r="K3203" t="s">
        <v>397</v>
      </c>
    </row>
    <row r="3204" spans="3:11" outlineLevel="2" x14ac:dyDescent="0.3">
      <c r="C3204" s="9">
        <v>45238</v>
      </c>
      <c r="D3204" t="s">
        <v>8</v>
      </c>
      <c r="E3204" t="s">
        <v>20</v>
      </c>
      <c r="F3204" t="s">
        <v>13</v>
      </c>
      <c r="G3204" t="s">
        <v>43</v>
      </c>
      <c r="H3204">
        <v>1420</v>
      </c>
      <c r="I3204">
        <v>58</v>
      </c>
      <c r="J3204" s="6">
        <f t="shared" si="252"/>
        <v>82.36</v>
      </c>
      <c r="K3204" t="s">
        <v>397</v>
      </c>
    </row>
    <row r="3205" spans="3:11" outlineLevel="2" x14ac:dyDescent="0.3">
      <c r="C3205" s="9">
        <v>45238</v>
      </c>
      <c r="D3205" t="s">
        <v>8</v>
      </c>
      <c r="E3205" t="s">
        <v>9</v>
      </c>
      <c r="F3205" t="s">
        <v>13</v>
      </c>
      <c r="G3205" t="s">
        <v>22</v>
      </c>
      <c r="H3205">
        <v>930</v>
      </c>
      <c r="I3205">
        <v>50</v>
      </c>
      <c r="J3205" s="6">
        <f t="shared" si="252"/>
        <v>46.5</v>
      </c>
      <c r="K3205" t="s">
        <v>397</v>
      </c>
    </row>
    <row r="3206" spans="3:11" outlineLevel="2" x14ac:dyDescent="0.3">
      <c r="C3206" s="9">
        <v>45238</v>
      </c>
      <c r="D3206" t="s">
        <v>45</v>
      </c>
      <c r="E3206" t="s">
        <v>15</v>
      </c>
      <c r="F3206" t="s">
        <v>10</v>
      </c>
      <c r="G3206" t="s">
        <v>40</v>
      </c>
      <c r="H3206">
        <v>540</v>
      </c>
      <c r="I3206">
        <v>51</v>
      </c>
      <c r="J3206" s="6">
        <f t="shared" si="252"/>
        <v>27.54</v>
      </c>
      <c r="K3206" t="s">
        <v>397</v>
      </c>
    </row>
    <row r="3207" spans="3:11" outlineLevel="2" x14ac:dyDescent="0.3">
      <c r="C3207" s="9">
        <v>45238</v>
      </c>
      <c r="D3207" t="s">
        <v>8</v>
      </c>
      <c r="E3207" t="s">
        <v>33</v>
      </c>
      <c r="F3207" t="s">
        <v>10</v>
      </c>
      <c r="G3207" t="s">
        <v>39</v>
      </c>
      <c r="H3207">
        <v>650</v>
      </c>
      <c r="I3207">
        <v>32</v>
      </c>
      <c r="J3207" s="6">
        <f t="shared" si="252"/>
        <v>20.8</v>
      </c>
      <c r="K3207" t="s">
        <v>397</v>
      </c>
    </row>
    <row r="3208" spans="3:11" outlineLevel="2" x14ac:dyDescent="0.3">
      <c r="C3208" s="9">
        <v>45238</v>
      </c>
      <c r="D3208" t="s">
        <v>8</v>
      </c>
      <c r="E3208" t="s">
        <v>33</v>
      </c>
      <c r="F3208" t="s">
        <v>13</v>
      </c>
      <c r="G3208" t="s">
        <v>43</v>
      </c>
      <c r="H3208">
        <v>1420</v>
      </c>
      <c r="I3208">
        <v>73</v>
      </c>
      <c r="J3208" s="6">
        <f t="shared" si="252"/>
        <v>103.66</v>
      </c>
      <c r="K3208" t="s">
        <v>397</v>
      </c>
    </row>
    <row r="3209" spans="3:11" outlineLevel="2" x14ac:dyDescent="0.3">
      <c r="C3209" s="9">
        <v>45238</v>
      </c>
      <c r="D3209" t="s">
        <v>17</v>
      </c>
      <c r="E3209" t="s">
        <v>35</v>
      </c>
      <c r="F3209" t="s">
        <v>10</v>
      </c>
      <c r="G3209" t="s">
        <v>41</v>
      </c>
      <c r="H3209">
        <v>650</v>
      </c>
      <c r="I3209">
        <v>21</v>
      </c>
      <c r="J3209" s="6">
        <f t="shared" si="252"/>
        <v>13.65</v>
      </c>
      <c r="K3209" t="s">
        <v>397</v>
      </c>
    </row>
    <row r="3210" spans="3:11" outlineLevel="2" x14ac:dyDescent="0.3">
      <c r="C3210" s="9">
        <v>45238</v>
      </c>
      <c r="D3210" t="s">
        <v>45</v>
      </c>
      <c r="E3210" t="s">
        <v>35</v>
      </c>
      <c r="F3210" t="s">
        <v>10</v>
      </c>
      <c r="G3210" t="s">
        <v>39</v>
      </c>
      <c r="H3210">
        <v>650</v>
      </c>
      <c r="I3210">
        <v>99</v>
      </c>
      <c r="J3210" s="6">
        <f t="shared" si="252"/>
        <v>64.349999999999994</v>
      </c>
      <c r="K3210" t="s">
        <v>397</v>
      </c>
    </row>
    <row r="3211" spans="3:11" outlineLevel="1" x14ac:dyDescent="0.3">
      <c r="C3211" s="13" t="s">
        <v>326</v>
      </c>
      <c r="J3211" s="6">
        <f>SUBTOTAL(9,J3203:J3210)</f>
        <v>400.32999999999993</v>
      </c>
      <c r="K3211" t="s">
        <v>397</v>
      </c>
    </row>
    <row r="3212" spans="3:11" outlineLevel="2" x14ac:dyDescent="0.3">
      <c r="C3212" s="9">
        <v>45239</v>
      </c>
      <c r="D3212" t="s">
        <v>12</v>
      </c>
      <c r="E3212" t="s">
        <v>20</v>
      </c>
      <c r="F3212" t="s">
        <v>24</v>
      </c>
      <c r="G3212" t="s">
        <v>32</v>
      </c>
      <c r="H3212">
        <v>1505</v>
      </c>
      <c r="I3212">
        <v>99</v>
      </c>
      <c r="J3212" s="6">
        <f t="shared" ref="J3212:J3221" si="253">H3212*I3212/1000</f>
        <v>148.995</v>
      </c>
      <c r="K3212" t="s">
        <v>397</v>
      </c>
    </row>
    <row r="3213" spans="3:11" outlineLevel="2" x14ac:dyDescent="0.3">
      <c r="C3213" s="9">
        <v>45239</v>
      </c>
      <c r="D3213" t="s">
        <v>45</v>
      </c>
      <c r="E3213" t="s">
        <v>9</v>
      </c>
      <c r="F3213" t="s">
        <v>18</v>
      </c>
      <c r="G3213" t="s">
        <v>28</v>
      </c>
      <c r="H3213">
        <v>690</v>
      </c>
      <c r="I3213">
        <v>47</v>
      </c>
      <c r="J3213" s="6">
        <f t="shared" si="253"/>
        <v>32.43</v>
      </c>
      <c r="K3213" t="s">
        <v>397</v>
      </c>
    </row>
    <row r="3214" spans="3:11" outlineLevel="2" x14ac:dyDescent="0.3">
      <c r="C3214" s="9">
        <v>45239</v>
      </c>
      <c r="D3214" t="s">
        <v>17</v>
      </c>
      <c r="E3214" t="s">
        <v>15</v>
      </c>
      <c r="F3214" t="s">
        <v>10</v>
      </c>
      <c r="G3214" t="s">
        <v>39</v>
      </c>
      <c r="H3214">
        <v>650</v>
      </c>
      <c r="I3214">
        <v>13</v>
      </c>
      <c r="J3214" s="6">
        <f t="shared" si="253"/>
        <v>8.4499999999999993</v>
      </c>
      <c r="K3214" t="s">
        <v>397</v>
      </c>
    </row>
    <row r="3215" spans="3:11" outlineLevel="2" x14ac:dyDescent="0.3">
      <c r="C3215" s="9">
        <v>45239</v>
      </c>
      <c r="D3215" t="s">
        <v>8</v>
      </c>
      <c r="E3215" t="s">
        <v>15</v>
      </c>
      <c r="F3215" t="s">
        <v>24</v>
      </c>
      <c r="G3215" t="s">
        <v>36</v>
      </c>
      <c r="H3215">
        <v>2460</v>
      </c>
      <c r="I3215">
        <v>45</v>
      </c>
      <c r="J3215" s="6">
        <f t="shared" si="253"/>
        <v>110.7</v>
      </c>
      <c r="K3215" t="s">
        <v>397</v>
      </c>
    </row>
    <row r="3216" spans="3:11" outlineLevel="2" x14ac:dyDescent="0.3">
      <c r="C3216" s="9">
        <v>45239</v>
      </c>
      <c r="D3216" t="s">
        <v>17</v>
      </c>
      <c r="E3216" t="s">
        <v>33</v>
      </c>
      <c r="F3216" t="s">
        <v>18</v>
      </c>
      <c r="G3216" t="s">
        <v>19</v>
      </c>
      <c r="H3216">
        <v>325</v>
      </c>
      <c r="I3216">
        <v>56</v>
      </c>
      <c r="J3216" s="6">
        <f t="shared" si="253"/>
        <v>18.2</v>
      </c>
      <c r="K3216" t="s">
        <v>397</v>
      </c>
    </row>
    <row r="3217" spans="3:11" outlineLevel="2" x14ac:dyDescent="0.3">
      <c r="C3217" s="9">
        <v>45239</v>
      </c>
      <c r="D3217" t="s">
        <v>8</v>
      </c>
      <c r="E3217" t="s">
        <v>33</v>
      </c>
      <c r="F3217" t="s">
        <v>18</v>
      </c>
      <c r="G3217" t="s">
        <v>21</v>
      </c>
      <c r="H3217">
        <v>450</v>
      </c>
      <c r="I3217">
        <v>33</v>
      </c>
      <c r="J3217" s="6">
        <f t="shared" si="253"/>
        <v>14.85</v>
      </c>
      <c r="K3217" t="s">
        <v>397</v>
      </c>
    </row>
    <row r="3218" spans="3:11" outlineLevel="2" x14ac:dyDescent="0.3">
      <c r="C3218" s="9">
        <v>45239</v>
      </c>
      <c r="D3218" t="s">
        <v>12</v>
      </c>
      <c r="E3218" t="s">
        <v>33</v>
      </c>
      <c r="F3218" t="s">
        <v>13</v>
      </c>
      <c r="G3218" t="s">
        <v>44</v>
      </c>
      <c r="H3218">
        <v>2540</v>
      </c>
      <c r="I3218">
        <v>77</v>
      </c>
      <c r="J3218" s="6">
        <f t="shared" si="253"/>
        <v>195.58</v>
      </c>
      <c r="K3218" t="s">
        <v>397</v>
      </c>
    </row>
    <row r="3219" spans="3:11" outlineLevel="2" x14ac:dyDescent="0.3">
      <c r="C3219" s="9">
        <v>45239</v>
      </c>
      <c r="D3219" t="s">
        <v>45</v>
      </c>
      <c r="E3219" t="s">
        <v>33</v>
      </c>
      <c r="F3219" t="s">
        <v>13</v>
      </c>
      <c r="G3219" t="s">
        <v>29</v>
      </c>
      <c r="H3219">
        <v>1230</v>
      </c>
      <c r="I3219">
        <v>60</v>
      </c>
      <c r="J3219" s="6">
        <f t="shared" si="253"/>
        <v>73.8</v>
      </c>
      <c r="K3219" t="s">
        <v>397</v>
      </c>
    </row>
    <row r="3220" spans="3:11" outlineLevel="2" x14ac:dyDescent="0.3">
      <c r="C3220" s="9">
        <v>45239</v>
      </c>
      <c r="D3220" t="s">
        <v>12</v>
      </c>
      <c r="E3220" t="s">
        <v>33</v>
      </c>
      <c r="F3220" t="s">
        <v>24</v>
      </c>
      <c r="G3220" t="s">
        <v>36</v>
      </c>
      <c r="H3220">
        <v>2460</v>
      </c>
      <c r="I3220">
        <v>62</v>
      </c>
      <c r="J3220" s="6">
        <f t="shared" si="253"/>
        <v>152.52000000000001</v>
      </c>
      <c r="K3220" t="s">
        <v>397</v>
      </c>
    </row>
    <row r="3221" spans="3:11" outlineLevel="2" x14ac:dyDescent="0.3">
      <c r="C3221" s="9">
        <v>45239</v>
      </c>
      <c r="D3221" t="s">
        <v>17</v>
      </c>
      <c r="E3221" t="s">
        <v>35</v>
      </c>
      <c r="F3221" t="s">
        <v>10</v>
      </c>
      <c r="G3221" t="s">
        <v>40</v>
      </c>
      <c r="H3221">
        <v>540</v>
      </c>
      <c r="I3221">
        <v>19</v>
      </c>
      <c r="J3221" s="6">
        <f t="shared" si="253"/>
        <v>10.26</v>
      </c>
      <c r="K3221" t="s">
        <v>397</v>
      </c>
    </row>
    <row r="3222" spans="3:11" outlineLevel="1" x14ac:dyDescent="0.3">
      <c r="C3222" s="13" t="s">
        <v>327</v>
      </c>
      <c r="J3222" s="6">
        <f>SUBTOTAL(9,J3212:J3221)</f>
        <v>765.78499999999997</v>
      </c>
      <c r="K3222" t="s">
        <v>397</v>
      </c>
    </row>
    <row r="3223" spans="3:11" outlineLevel="2" x14ac:dyDescent="0.3">
      <c r="C3223" s="9">
        <v>45240</v>
      </c>
      <c r="D3223" t="s">
        <v>8</v>
      </c>
      <c r="E3223" t="s">
        <v>20</v>
      </c>
      <c r="F3223" t="s">
        <v>18</v>
      </c>
      <c r="G3223" t="s">
        <v>27</v>
      </c>
      <c r="H3223">
        <v>460</v>
      </c>
      <c r="I3223">
        <v>79</v>
      </c>
      <c r="J3223" s="6">
        <f t="shared" ref="J3223:J3232" si="254">H3223*I3223/1000</f>
        <v>36.340000000000003</v>
      </c>
      <c r="K3223" t="s">
        <v>397</v>
      </c>
    </row>
    <row r="3224" spans="3:11" outlineLevel="2" x14ac:dyDescent="0.3">
      <c r="C3224" s="9">
        <v>45240</v>
      </c>
      <c r="D3224" t="s">
        <v>45</v>
      </c>
      <c r="E3224" t="s">
        <v>20</v>
      </c>
      <c r="F3224" t="s">
        <v>13</v>
      </c>
      <c r="G3224" t="s">
        <v>14</v>
      </c>
      <c r="H3224">
        <v>1320</v>
      </c>
      <c r="I3224">
        <v>7</v>
      </c>
      <c r="J3224" s="6">
        <f t="shared" si="254"/>
        <v>9.24</v>
      </c>
      <c r="K3224" t="s">
        <v>397</v>
      </c>
    </row>
    <row r="3225" spans="3:11" outlineLevel="2" x14ac:dyDescent="0.3">
      <c r="C3225" s="9">
        <v>45240</v>
      </c>
      <c r="D3225" t="s">
        <v>12</v>
      </c>
      <c r="E3225" t="s">
        <v>20</v>
      </c>
      <c r="F3225" t="s">
        <v>24</v>
      </c>
      <c r="G3225" t="s">
        <v>25</v>
      </c>
      <c r="H3225">
        <v>1760</v>
      </c>
      <c r="I3225">
        <v>13</v>
      </c>
      <c r="J3225" s="6">
        <f t="shared" si="254"/>
        <v>22.88</v>
      </c>
      <c r="K3225" t="s">
        <v>397</v>
      </c>
    </row>
    <row r="3226" spans="3:11" outlineLevel="2" x14ac:dyDescent="0.3">
      <c r="C3226" s="9">
        <v>45240</v>
      </c>
      <c r="D3226" t="s">
        <v>45</v>
      </c>
      <c r="E3226" t="s">
        <v>9</v>
      </c>
      <c r="F3226" t="s">
        <v>18</v>
      </c>
      <c r="G3226" t="s">
        <v>28</v>
      </c>
      <c r="H3226">
        <v>690</v>
      </c>
      <c r="I3226">
        <v>57</v>
      </c>
      <c r="J3226" s="6">
        <f t="shared" si="254"/>
        <v>39.33</v>
      </c>
      <c r="K3226" t="s">
        <v>397</v>
      </c>
    </row>
    <row r="3227" spans="3:11" outlineLevel="2" x14ac:dyDescent="0.3">
      <c r="C3227" s="9">
        <v>45240</v>
      </c>
      <c r="D3227" t="s">
        <v>45</v>
      </c>
      <c r="E3227" t="s">
        <v>9</v>
      </c>
      <c r="F3227" t="s">
        <v>13</v>
      </c>
      <c r="G3227" t="s">
        <v>43</v>
      </c>
      <c r="H3227">
        <v>1420</v>
      </c>
      <c r="I3227">
        <v>11</v>
      </c>
      <c r="J3227" s="6">
        <f t="shared" si="254"/>
        <v>15.62</v>
      </c>
      <c r="K3227" t="s">
        <v>397</v>
      </c>
    </row>
    <row r="3228" spans="3:11" outlineLevel="2" x14ac:dyDescent="0.3">
      <c r="C3228" s="9">
        <v>45240</v>
      </c>
      <c r="D3228" t="s">
        <v>45</v>
      </c>
      <c r="E3228" t="s">
        <v>9</v>
      </c>
      <c r="F3228" t="s">
        <v>24</v>
      </c>
      <c r="G3228" t="s">
        <v>30</v>
      </c>
      <c r="H3228">
        <v>2970</v>
      </c>
      <c r="I3228">
        <v>54</v>
      </c>
      <c r="J3228" s="6">
        <f t="shared" si="254"/>
        <v>160.38</v>
      </c>
      <c r="K3228" t="s">
        <v>397</v>
      </c>
    </row>
    <row r="3229" spans="3:11" outlineLevel="2" x14ac:dyDescent="0.3">
      <c r="C3229" s="9">
        <v>45240</v>
      </c>
      <c r="D3229" t="s">
        <v>17</v>
      </c>
      <c r="E3229" t="s">
        <v>15</v>
      </c>
      <c r="F3229" t="s">
        <v>10</v>
      </c>
      <c r="G3229" t="s">
        <v>16</v>
      </c>
      <c r="H3229">
        <v>1380</v>
      </c>
      <c r="I3229">
        <v>74</v>
      </c>
      <c r="J3229" s="6">
        <f t="shared" si="254"/>
        <v>102.12</v>
      </c>
      <c r="K3229" t="s">
        <v>397</v>
      </c>
    </row>
    <row r="3230" spans="3:11" outlineLevel="2" x14ac:dyDescent="0.3">
      <c r="C3230" s="9">
        <v>45240</v>
      </c>
      <c r="D3230" t="s">
        <v>12</v>
      </c>
      <c r="E3230" t="s">
        <v>33</v>
      </c>
      <c r="F3230" t="s">
        <v>18</v>
      </c>
      <c r="G3230" t="s">
        <v>31</v>
      </c>
      <c r="H3230">
        <v>715</v>
      </c>
      <c r="I3230">
        <v>33</v>
      </c>
      <c r="J3230" s="6">
        <f t="shared" si="254"/>
        <v>23.594999999999999</v>
      </c>
      <c r="K3230" t="s">
        <v>397</v>
      </c>
    </row>
    <row r="3231" spans="3:11" outlineLevel="2" x14ac:dyDescent="0.3">
      <c r="C3231" s="9">
        <v>45240</v>
      </c>
      <c r="D3231" t="s">
        <v>12</v>
      </c>
      <c r="E3231" t="s">
        <v>33</v>
      </c>
      <c r="F3231" t="s">
        <v>24</v>
      </c>
      <c r="G3231" t="s">
        <v>25</v>
      </c>
      <c r="H3231">
        <v>1760</v>
      </c>
      <c r="I3231">
        <v>90</v>
      </c>
      <c r="J3231" s="6">
        <f t="shared" si="254"/>
        <v>158.4</v>
      </c>
      <c r="K3231" t="s">
        <v>397</v>
      </c>
    </row>
    <row r="3232" spans="3:11" outlineLevel="2" x14ac:dyDescent="0.3">
      <c r="C3232" s="9">
        <v>45240</v>
      </c>
      <c r="D3232" t="s">
        <v>17</v>
      </c>
      <c r="E3232" t="s">
        <v>35</v>
      </c>
      <c r="F3232" t="s">
        <v>13</v>
      </c>
      <c r="G3232" t="s">
        <v>14</v>
      </c>
      <c r="H3232">
        <v>1320</v>
      </c>
      <c r="I3232">
        <v>40</v>
      </c>
      <c r="J3232" s="6">
        <f t="shared" si="254"/>
        <v>52.8</v>
      </c>
      <c r="K3232" t="s">
        <v>397</v>
      </c>
    </row>
    <row r="3233" spans="3:11" outlineLevel="1" x14ac:dyDescent="0.3">
      <c r="C3233" s="13" t="s">
        <v>328</v>
      </c>
      <c r="J3233" s="6">
        <f>SUBTOTAL(9,J3223:J3232)</f>
        <v>620.70499999999993</v>
      </c>
      <c r="K3233" t="s">
        <v>397</v>
      </c>
    </row>
    <row r="3234" spans="3:11" outlineLevel="2" x14ac:dyDescent="0.3">
      <c r="C3234" s="9">
        <v>45241</v>
      </c>
      <c r="D3234" t="s">
        <v>8</v>
      </c>
      <c r="E3234" t="s">
        <v>20</v>
      </c>
      <c r="F3234" t="s">
        <v>24</v>
      </c>
      <c r="G3234" t="s">
        <v>42</v>
      </c>
      <c r="H3234">
        <v>3205</v>
      </c>
      <c r="I3234">
        <v>83</v>
      </c>
      <c r="J3234" s="6">
        <f t="shared" ref="J3234:J3241" si="255">H3234*I3234/1000</f>
        <v>266.01499999999999</v>
      </c>
      <c r="K3234" t="s">
        <v>397</v>
      </c>
    </row>
    <row r="3235" spans="3:11" outlineLevel="2" x14ac:dyDescent="0.3">
      <c r="C3235" s="9">
        <v>45241</v>
      </c>
      <c r="D3235" t="s">
        <v>8</v>
      </c>
      <c r="E3235" t="s">
        <v>9</v>
      </c>
      <c r="F3235" t="s">
        <v>13</v>
      </c>
      <c r="G3235" t="s">
        <v>22</v>
      </c>
      <c r="H3235">
        <v>930</v>
      </c>
      <c r="I3235">
        <v>33</v>
      </c>
      <c r="J3235" s="6">
        <f t="shared" si="255"/>
        <v>30.69</v>
      </c>
      <c r="K3235" t="s">
        <v>397</v>
      </c>
    </row>
    <row r="3236" spans="3:11" outlineLevel="2" x14ac:dyDescent="0.3">
      <c r="C3236" s="9">
        <v>45241</v>
      </c>
      <c r="D3236" t="s">
        <v>17</v>
      </c>
      <c r="E3236" t="s">
        <v>9</v>
      </c>
      <c r="F3236" t="s">
        <v>24</v>
      </c>
      <c r="G3236" t="s">
        <v>30</v>
      </c>
      <c r="H3236">
        <v>2970</v>
      </c>
      <c r="I3236">
        <v>65</v>
      </c>
      <c r="J3236" s="6">
        <f t="shared" si="255"/>
        <v>193.05</v>
      </c>
      <c r="K3236" t="s">
        <v>397</v>
      </c>
    </row>
    <row r="3237" spans="3:11" outlineLevel="2" x14ac:dyDescent="0.3">
      <c r="C3237" s="9">
        <v>45241</v>
      </c>
      <c r="D3237" t="s">
        <v>8</v>
      </c>
      <c r="E3237" t="s">
        <v>33</v>
      </c>
      <c r="F3237" t="s">
        <v>18</v>
      </c>
      <c r="G3237" t="s">
        <v>28</v>
      </c>
      <c r="H3237">
        <v>690</v>
      </c>
      <c r="I3237">
        <v>43</v>
      </c>
      <c r="J3237" s="6">
        <f t="shared" si="255"/>
        <v>29.67</v>
      </c>
      <c r="K3237" t="s">
        <v>397</v>
      </c>
    </row>
    <row r="3238" spans="3:11" outlineLevel="2" x14ac:dyDescent="0.3">
      <c r="C3238" s="9">
        <v>45241</v>
      </c>
      <c r="D3238" t="s">
        <v>12</v>
      </c>
      <c r="E3238" t="s">
        <v>33</v>
      </c>
      <c r="F3238" t="s">
        <v>13</v>
      </c>
      <c r="G3238" t="s">
        <v>14</v>
      </c>
      <c r="H3238">
        <v>1320</v>
      </c>
      <c r="I3238">
        <v>58</v>
      </c>
      <c r="J3238" s="6">
        <f t="shared" si="255"/>
        <v>76.56</v>
      </c>
      <c r="K3238" t="s">
        <v>397</v>
      </c>
    </row>
    <row r="3239" spans="3:11" outlineLevel="2" x14ac:dyDescent="0.3">
      <c r="C3239" s="9">
        <v>45241</v>
      </c>
      <c r="D3239" t="s">
        <v>8</v>
      </c>
      <c r="E3239" t="s">
        <v>33</v>
      </c>
      <c r="F3239" t="s">
        <v>24</v>
      </c>
      <c r="G3239" t="s">
        <v>34</v>
      </c>
      <c r="H3239">
        <v>1670</v>
      </c>
      <c r="I3239">
        <v>25</v>
      </c>
      <c r="J3239" s="6">
        <f t="shared" si="255"/>
        <v>41.75</v>
      </c>
      <c r="K3239" t="s">
        <v>397</v>
      </c>
    </row>
    <row r="3240" spans="3:11" outlineLevel="2" x14ac:dyDescent="0.3">
      <c r="C3240" s="9">
        <v>45241</v>
      </c>
      <c r="D3240" t="s">
        <v>17</v>
      </c>
      <c r="E3240" t="s">
        <v>35</v>
      </c>
      <c r="F3240" t="s">
        <v>13</v>
      </c>
      <c r="G3240" t="s">
        <v>14</v>
      </c>
      <c r="H3240">
        <v>1320</v>
      </c>
      <c r="I3240">
        <v>13</v>
      </c>
      <c r="J3240" s="6">
        <f t="shared" si="255"/>
        <v>17.16</v>
      </c>
      <c r="K3240" t="s">
        <v>397</v>
      </c>
    </row>
    <row r="3241" spans="3:11" outlineLevel="2" x14ac:dyDescent="0.3">
      <c r="C3241" s="9">
        <v>45241</v>
      </c>
      <c r="D3241" t="s">
        <v>17</v>
      </c>
      <c r="E3241" t="s">
        <v>35</v>
      </c>
      <c r="F3241" t="s">
        <v>24</v>
      </c>
      <c r="G3241" t="s">
        <v>36</v>
      </c>
      <c r="H3241">
        <v>2460</v>
      </c>
      <c r="I3241">
        <v>81</v>
      </c>
      <c r="J3241" s="6">
        <f t="shared" si="255"/>
        <v>199.26</v>
      </c>
      <c r="K3241" t="s">
        <v>397</v>
      </c>
    </row>
    <row r="3242" spans="3:11" outlineLevel="1" x14ac:dyDescent="0.3">
      <c r="C3242" s="13" t="s">
        <v>329</v>
      </c>
      <c r="J3242" s="6">
        <f>SUBTOTAL(9,J3234:J3241)</f>
        <v>854.15499999999986</v>
      </c>
      <c r="K3242" t="s">
        <v>397</v>
      </c>
    </row>
    <row r="3243" spans="3:11" outlineLevel="2" x14ac:dyDescent="0.3">
      <c r="C3243" s="9">
        <v>45242</v>
      </c>
      <c r="D3243" t="s">
        <v>8</v>
      </c>
      <c r="E3243" t="s">
        <v>20</v>
      </c>
      <c r="F3243" t="s">
        <v>24</v>
      </c>
      <c r="G3243" t="s">
        <v>25</v>
      </c>
      <c r="H3243">
        <v>1760</v>
      </c>
      <c r="I3243">
        <v>28</v>
      </c>
      <c r="J3243" s="6">
        <f t="shared" ref="J3243:J3251" si="256">H3243*I3243/1000</f>
        <v>49.28</v>
      </c>
      <c r="K3243" t="s">
        <v>397</v>
      </c>
    </row>
    <row r="3244" spans="3:11" outlineLevel="2" x14ac:dyDescent="0.3">
      <c r="C3244" s="9">
        <v>45242</v>
      </c>
      <c r="D3244" t="s">
        <v>45</v>
      </c>
      <c r="E3244" t="s">
        <v>9</v>
      </c>
      <c r="F3244" t="s">
        <v>13</v>
      </c>
      <c r="G3244" t="s">
        <v>14</v>
      </c>
      <c r="H3244">
        <v>1320</v>
      </c>
      <c r="I3244">
        <v>63</v>
      </c>
      <c r="J3244" s="6">
        <f t="shared" si="256"/>
        <v>83.16</v>
      </c>
      <c r="K3244" t="s">
        <v>397</v>
      </c>
    </row>
    <row r="3245" spans="3:11" outlineLevel="2" x14ac:dyDescent="0.3">
      <c r="C3245" s="9">
        <v>45242</v>
      </c>
      <c r="D3245" t="s">
        <v>8</v>
      </c>
      <c r="E3245" t="s">
        <v>26</v>
      </c>
      <c r="F3245" t="s">
        <v>10</v>
      </c>
      <c r="G3245" t="s">
        <v>23</v>
      </c>
      <c r="H3245">
        <v>640</v>
      </c>
      <c r="I3245">
        <v>52</v>
      </c>
      <c r="J3245" s="6">
        <f t="shared" si="256"/>
        <v>33.28</v>
      </c>
      <c r="K3245" t="s">
        <v>397</v>
      </c>
    </row>
    <row r="3246" spans="3:11" outlineLevel="2" x14ac:dyDescent="0.3">
      <c r="C3246" s="9">
        <v>45242</v>
      </c>
      <c r="D3246" t="s">
        <v>12</v>
      </c>
      <c r="E3246" t="s">
        <v>33</v>
      </c>
      <c r="F3246" t="s">
        <v>10</v>
      </c>
      <c r="G3246" t="s">
        <v>40</v>
      </c>
      <c r="H3246">
        <v>540</v>
      </c>
      <c r="I3246">
        <v>56</v>
      </c>
      <c r="J3246" s="6">
        <f t="shared" si="256"/>
        <v>30.24</v>
      </c>
      <c r="K3246" t="s">
        <v>397</v>
      </c>
    </row>
    <row r="3247" spans="3:11" outlineLevel="2" x14ac:dyDescent="0.3">
      <c r="C3247" s="9">
        <v>45242</v>
      </c>
      <c r="D3247" t="s">
        <v>12</v>
      </c>
      <c r="E3247" t="s">
        <v>33</v>
      </c>
      <c r="F3247" t="s">
        <v>13</v>
      </c>
      <c r="G3247" t="s">
        <v>22</v>
      </c>
      <c r="H3247">
        <v>930</v>
      </c>
      <c r="I3247">
        <v>92</v>
      </c>
      <c r="J3247" s="6">
        <f t="shared" si="256"/>
        <v>85.56</v>
      </c>
      <c r="K3247" t="s">
        <v>397</v>
      </c>
    </row>
    <row r="3248" spans="3:11" outlineLevel="2" x14ac:dyDescent="0.3">
      <c r="C3248" s="9">
        <v>45242</v>
      </c>
      <c r="D3248" t="s">
        <v>45</v>
      </c>
      <c r="E3248" t="s">
        <v>35</v>
      </c>
      <c r="F3248" t="s">
        <v>10</v>
      </c>
      <c r="G3248" t="s">
        <v>39</v>
      </c>
      <c r="H3248">
        <v>650</v>
      </c>
      <c r="I3248">
        <v>54</v>
      </c>
      <c r="J3248" s="6">
        <f t="shared" si="256"/>
        <v>35.1</v>
      </c>
      <c r="K3248" t="s">
        <v>397</v>
      </c>
    </row>
    <row r="3249" spans="3:11" outlineLevel="2" x14ac:dyDescent="0.3">
      <c r="C3249" s="9">
        <v>45242</v>
      </c>
      <c r="D3249" t="s">
        <v>45</v>
      </c>
      <c r="E3249" t="s">
        <v>35</v>
      </c>
      <c r="F3249" t="s">
        <v>10</v>
      </c>
      <c r="G3249" t="s">
        <v>23</v>
      </c>
      <c r="H3249">
        <v>640</v>
      </c>
      <c r="I3249">
        <v>58</v>
      </c>
      <c r="J3249" s="6">
        <f t="shared" si="256"/>
        <v>37.119999999999997</v>
      </c>
      <c r="K3249" t="s">
        <v>397</v>
      </c>
    </row>
    <row r="3250" spans="3:11" outlineLevel="2" x14ac:dyDescent="0.3">
      <c r="C3250" s="9">
        <v>45242</v>
      </c>
      <c r="D3250" t="s">
        <v>45</v>
      </c>
      <c r="E3250" t="s">
        <v>35</v>
      </c>
      <c r="F3250" t="s">
        <v>18</v>
      </c>
      <c r="G3250" t="s">
        <v>21</v>
      </c>
      <c r="H3250">
        <v>450</v>
      </c>
      <c r="I3250">
        <v>17</v>
      </c>
      <c r="J3250" s="6">
        <f t="shared" si="256"/>
        <v>7.65</v>
      </c>
      <c r="K3250" t="s">
        <v>397</v>
      </c>
    </row>
    <row r="3251" spans="3:11" outlineLevel="2" x14ac:dyDescent="0.3">
      <c r="C3251" s="9">
        <v>45242</v>
      </c>
      <c r="D3251" t="s">
        <v>8</v>
      </c>
      <c r="E3251" t="s">
        <v>35</v>
      </c>
      <c r="F3251" t="s">
        <v>24</v>
      </c>
      <c r="G3251" t="s">
        <v>36</v>
      </c>
      <c r="H3251">
        <v>2460</v>
      </c>
      <c r="I3251">
        <v>57</v>
      </c>
      <c r="J3251" s="6">
        <f t="shared" si="256"/>
        <v>140.22</v>
      </c>
      <c r="K3251" t="s">
        <v>397</v>
      </c>
    </row>
    <row r="3252" spans="3:11" outlineLevel="1" x14ac:dyDescent="0.3">
      <c r="C3252" s="13" t="s">
        <v>330</v>
      </c>
      <c r="J3252" s="6">
        <f>SUBTOTAL(9,J3243:J3251)</f>
        <v>501.61</v>
      </c>
      <c r="K3252" t="s">
        <v>397</v>
      </c>
    </row>
    <row r="3253" spans="3:11" outlineLevel="2" x14ac:dyDescent="0.3">
      <c r="C3253" s="9">
        <v>45243</v>
      </c>
      <c r="D3253" t="s">
        <v>8</v>
      </c>
      <c r="E3253" t="s">
        <v>20</v>
      </c>
      <c r="F3253" t="s">
        <v>13</v>
      </c>
      <c r="G3253" t="s">
        <v>43</v>
      </c>
      <c r="H3253">
        <v>1420</v>
      </c>
      <c r="I3253">
        <v>67</v>
      </c>
      <c r="J3253" s="6">
        <f t="shared" ref="J3253:J3261" si="257">H3253*I3253/1000</f>
        <v>95.14</v>
      </c>
      <c r="K3253" t="s">
        <v>397</v>
      </c>
    </row>
    <row r="3254" spans="3:11" outlineLevel="2" x14ac:dyDescent="0.3">
      <c r="C3254" s="9">
        <v>45243</v>
      </c>
      <c r="D3254" t="s">
        <v>12</v>
      </c>
      <c r="E3254" t="s">
        <v>9</v>
      </c>
      <c r="F3254" t="s">
        <v>10</v>
      </c>
      <c r="G3254" t="s">
        <v>41</v>
      </c>
      <c r="H3254">
        <v>650</v>
      </c>
      <c r="I3254">
        <v>12</v>
      </c>
      <c r="J3254" s="6">
        <f t="shared" si="257"/>
        <v>7.8</v>
      </c>
      <c r="K3254" t="s">
        <v>397</v>
      </c>
    </row>
    <row r="3255" spans="3:11" outlineLevel="2" x14ac:dyDescent="0.3">
      <c r="C3255" s="9">
        <v>45243</v>
      </c>
      <c r="D3255" t="s">
        <v>8</v>
      </c>
      <c r="E3255" t="s">
        <v>9</v>
      </c>
      <c r="F3255" t="s">
        <v>24</v>
      </c>
      <c r="G3255" t="s">
        <v>32</v>
      </c>
      <c r="H3255">
        <v>1505</v>
      </c>
      <c r="I3255">
        <v>79</v>
      </c>
      <c r="J3255" s="6">
        <f t="shared" si="257"/>
        <v>118.895</v>
      </c>
      <c r="K3255" t="s">
        <v>397</v>
      </c>
    </row>
    <row r="3256" spans="3:11" outlineLevel="2" x14ac:dyDescent="0.3">
      <c r="C3256" s="9">
        <v>45243</v>
      </c>
      <c r="D3256" t="s">
        <v>45</v>
      </c>
      <c r="E3256" t="s">
        <v>9</v>
      </c>
      <c r="F3256" t="s">
        <v>24</v>
      </c>
      <c r="G3256" t="s">
        <v>30</v>
      </c>
      <c r="H3256">
        <v>2970</v>
      </c>
      <c r="I3256">
        <v>28</v>
      </c>
      <c r="J3256" s="6">
        <f t="shared" si="257"/>
        <v>83.16</v>
      </c>
      <c r="K3256" t="s">
        <v>397</v>
      </c>
    </row>
    <row r="3257" spans="3:11" outlineLevel="2" x14ac:dyDescent="0.3">
      <c r="C3257" s="9">
        <v>45243</v>
      </c>
      <c r="D3257" t="s">
        <v>12</v>
      </c>
      <c r="E3257" t="s">
        <v>26</v>
      </c>
      <c r="F3257" t="s">
        <v>18</v>
      </c>
      <c r="G3257" t="s">
        <v>19</v>
      </c>
      <c r="H3257">
        <v>325</v>
      </c>
      <c r="I3257">
        <v>44</v>
      </c>
      <c r="J3257" s="6">
        <f t="shared" si="257"/>
        <v>14.3</v>
      </c>
      <c r="K3257" t="s">
        <v>397</v>
      </c>
    </row>
    <row r="3258" spans="3:11" outlineLevel="2" x14ac:dyDescent="0.3">
      <c r="C3258" s="9">
        <v>45243</v>
      </c>
      <c r="D3258" t="s">
        <v>45</v>
      </c>
      <c r="E3258" t="s">
        <v>26</v>
      </c>
      <c r="F3258" t="s">
        <v>18</v>
      </c>
      <c r="G3258" t="s">
        <v>19</v>
      </c>
      <c r="H3258">
        <v>325</v>
      </c>
      <c r="I3258">
        <v>60</v>
      </c>
      <c r="J3258" s="6">
        <f t="shared" si="257"/>
        <v>19.5</v>
      </c>
      <c r="K3258" t="s">
        <v>397</v>
      </c>
    </row>
    <row r="3259" spans="3:11" outlineLevel="2" x14ac:dyDescent="0.3">
      <c r="C3259" s="9">
        <v>45243</v>
      </c>
      <c r="D3259" t="s">
        <v>8</v>
      </c>
      <c r="E3259" t="s">
        <v>26</v>
      </c>
      <c r="F3259" t="s">
        <v>13</v>
      </c>
      <c r="G3259" t="s">
        <v>43</v>
      </c>
      <c r="H3259">
        <v>1420</v>
      </c>
      <c r="I3259">
        <v>72</v>
      </c>
      <c r="J3259" s="6">
        <f t="shared" si="257"/>
        <v>102.24</v>
      </c>
      <c r="K3259" t="s">
        <v>397</v>
      </c>
    </row>
    <row r="3260" spans="3:11" outlineLevel="2" x14ac:dyDescent="0.3">
      <c r="C3260" s="9">
        <v>45243</v>
      </c>
      <c r="D3260" t="s">
        <v>45</v>
      </c>
      <c r="E3260" t="s">
        <v>15</v>
      </c>
      <c r="F3260" t="s">
        <v>24</v>
      </c>
      <c r="G3260" t="s">
        <v>36</v>
      </c>
      <c r="H3260">
        <v>2460</v>
      </c>
      <c r="I3260">
        <v>83</v>
      </c>
      <c r="J3260" s="6">
        <f t="shared" si="257"/>
        <v>204.18</v>
      </c>
      <c r="K3260" t="s">
        <v>397</v>
      </c>
    </row>
    <row r="3261" spans="3:11" outlineLevel="2" x14ac:dyDescent="0.3">
      <c r="C3261" s="9">
        <v>45243</v>
      </c>
      <c r="D3261" t="s">
        <v>12</v>
      </c>
      <c r="E3261" t="s">
        <v>33</v>
      </c>
      <c r="F3261" t="s">
        <v>10</v>
      </c>
      <c r="G3261" t="s">
        <v>41</v>
      </c>
      <c r="H3261">
        <v>650</v>
      </c>
      <c r="I3261">
        <v>47</v>
      </c>
      <c r="J3261" s="6">
        <f t="shared" si="257"/>
        <v>30.55</v>
      </c>
      <c r="K3261" t="s">
        <v>397</v>
      </c>
    </row>
    <row r="3262" spans="3:11" outlineLevel="1" x14ac:dyDescent="0.3">
      <c r="C3262" s="13" t="s">
        <v>331</v>
      </c>
      <c r="J3262" s="6">
        <f>SUBTOTAL(9,J3253:J3261)</f>
        <v>675.76499999999999</v>
      </c>
      <c r="K3262" t="s">
        <v>397</v>
      </c>
    </row>
    <row r="3263" spans="3:11" outlineLevel="2" x14ac:dyDescent="0.3">
      <c r="C3263" s="9">
        <v>45244</v>
      </c>
      <c r="D3263" t="s">
        <v>17</v>
      </c>
      <c r="E3263" t="s">
        <v>20</v>
      </c>
      <c r="F3263" t="s">
        <v>10</v>
      </c>
      <c r="G3263" t="s">
        <v>41</v>
      </c>
      <c r="H3263">
        <v>650</v>
      </c>
      <c r="I3263">
        <v>41</v>
      </c>
      <c r="J3263" s="6">
        <f t="shared" ref="J3263:J3270" si="258">H3263*I3263/1000</f>
        <v>26.65</v>
      </c>
      <c r="K3263" t="s">
        <v>397</v>
      </c>
    </row>
    <row r="3264" spans="3:11" outlineLevel="2" x14ac:dyDescent="0.3">
      <c r="C3264" s="9">
        <v>45244</v>
      </c>
      <c r="D3264" t="s">
        <v>45</v>
      </c>
      <c r="E3264" t="s">
        <v>9</v>
      </c>
      <c r="F3264" t="s">
        <v>18</v>
      </c>
      <c r="G3264" t="s">
        <v>28</v>
      </c>
      <c r="H3264">
        <v>690</v>
      </c>
      <c r="I3264">
        <v>23</v>
      </c>
      <c r="J3264" s="6">
        <f t="shared" si="258"/>
        <v>15.87</v>
      </c>
      <c r="K3264" t="s">
        <v>397</v>
      </c>
    </row>
    <row r="3265" spans="3:11" outlineLevel="2" x14ac:dyDescent="0.3">
      <c r="C3265" s="9">
        <v>45244</v>
      </c>
      <c r="D3265" t="s">
        <v>8</v>
      </c>
      <c r="E3265" t="s">
        <v>9</v>
      </c>
      <c r="F3265" t="s">
        <v>13</v>
      </c>
      <c r="G3265" t="s">
        <v>29</v>
      </c>
      <c r="H3265">
        <v>1230</v>
      </c>
      <c r="I3265">
        <v>56</v>
      </c>
      <c r="J3265" s="6">
        <f t="shared" si="258"/>
        <v>68.88</v>
      </c>
      <c r="K3265" t="s">
        <v>397</v>
      </c>
    </row>
    <row r="3266" spans="3:11" outlineLevel="2" x14ac:dyDescent="0.3">
      <c r="C3266" s="9">
        <v>45244</v>
      </c>
      <c r="D3266" t="s">
        <v>17</v>
      </c>
      <c r="E3266" t="s">
        <v>9</v>
      </c>
      <c r="F3266" t="s">
        <v>24</v>
      </c>
      <c r="G3266" t="s">
        <v>30</v>
      </c>
      <c r="H3266">
        <v>2970</v>
      </c>
      <c r="I3266">
        <v>8</v>
      </c>
      <c r="J3266" s="6">
        <f t="shared" si="258"/>
        <v>23.76</v>
      </c>
      <c r="K3266" t="s">
        <v>397</v>
      </c>
    </row>
    <row r="3267" spans="3:11" outlineLevel="2" x14ac:dyDescent="0.3">
      <c r="C3267" s="9">
        <v>45244</v>
      </c>
      <c r="D3267" t="s">
        <v>17</v>
      </c>
      <c r="E3267" t="s">
        <v>15</v>
      </c>
      <c r="F3267" t="s">
        <v>18</v>
      </c>
      <c r="G3267" t="s">
        <v>27</v>
      </c>
      <c r="H3267">
        <v>460</v>
      </c>
      <c r="I3267">
        <v>90</v>
      </c>
      <c r="J3267" s="6">
        <f t="shared" si="258"/>
        <v>41.4</v>
      </c>
      <c r="K3267" t="s">
        <v>397</v>
      </c>
    </row>
    <row r="3268" spans="3:11" outlineLevel="2" x14ac:dyDescent="0.3">
      <c r="C3268" s="9">
        <v>45244</v>
      </c>
      <c r="D3268" t="s">
        <v>17</v>
      </c>
      <c r="E3268" t="s">
        <v>15</v>
      </c>
      <c r="F3268" t="s">
        <v>24</v>
      </c>
      <c r="G3268" t="s">
        <v>30</v>
      </c>
      <c r="H3268">
        <v>2970</v>
      </c>
      <c r="I3268">
        <v>98</v>
      </c>
      <c r="J3268" s="6">
        <f t="shared" si="258"/>
        <v>291.06</v>
      </c>
      <c r="K3268" t="s">
        <v>397</v>
      </c>
    </row>
    <row r="3269" spans="3:11" outlineLevel="2" x14ac:dyDescent="0.3">
      <c r="C3269" s="9">
        <v>45244</v>
      </c>
      <c r="D3269" t="s">
        <v>45</v>
      </c>
      <c r="E3269" t="s">
        <v>35</v>
      </c>
      <c r="F3269" t="s">
        <v>18</v>
      </c>
      <c r="G3269" t="s">
        <v>19</v>
      </c>
      <c r="H3269">
        <v>325</v>
      </c>
      <c r="I3269">
        <v>50</v>
      </c>
      <c r="J3269" s="6">
        <f t="shared" si="258"/>
        <v>16.25</v>
      </c>
      <c r="K3269" t="s">
        <v>397</v>
      </c>
    </row>
    <row r="3270" spans="3:11" outlineLevel="2" x14ac:dyDescent="0.3">
      <c r="C3270" s="9">
        <v>45244</v>
      </c>
      <c r="D3270" t="s">
        <v>45</v>
      </c>
      <c r="E3270" t="s">
        <v>35</v>
      </c>
      <c r="F3270" t="s">
        <v>24</v>
      </c>
      <c r="G3270" t="s">
        <v>25</v>
      </c>
      <c r="H3270">
        <v>1760</v>
      </c>
      <c r="I3270">
        <v>57</v>
      </c>
      <c r="J3270" s="6">
        <f t="shared" si="258"/>
        <v>100.32</v>
      </c>
      <c r="K3270" t="s">
        <v>397</v>
      </c>
    </row>
    <row r="3271" spans="3:11" outlineLevel="1" x14ac:dyDescent="0.3">
      <c r="C3271" s="13" t="s">
        <v>332</v>
      </c>
      <c r="J3271" s="6">
        <f>SUBTOTAL(9,J3263:J3270)</f>
        <v>584.19000000000005</v>
      </c>
      <c r="K3271" t="s">
        <v>397</v>
      </c>
    </row>
    <row r="3272" spans="3:11" outlineLevel="2" x14ac:dyDescent="0.3">
      <c r="C3272" s="9">
        <v>45245</v>
      </c>
      <c r="D3272" t="s">
        <v>8</v>
      </c>
      <c r="E3272" t="s">
        <v>20</v>
      </c>
      <c r="F3272" t="s">
        <v>10</v>
      </c>
      <c r="G3272" t="s">
        <v>39</v>
      </c>
      <c r="H3272">
        <v>650</v>
      </c>
      <c r="I3272">
        <v>70</v>
      </c>
      <c r="J3272" s="6">
        <f>H3272*I3272/1000</f>
        <v>45.5</v>
      </c>
      <c r="K3272" t="s">
        <v>397</v>
      </c>
    </row>
    <row r="3273" spans="3:11" outlineLevel="2" x14ac:dyDescent="0.3">
      <c r="C3273" s="9">
        <v>45245</v>
      </c>
      <c r="D3273" t="s">
        <v>17</v>
      </c>
      <c r="E3273" t="s">
        <v>20</v>
      </c>
      <c r="F3273" t="s">
        <v>13</v>
      </c>
      <c r="G3273" t="s">
        <v>22</v>
      </c>
      <c r="H3273">
        <v>930</v>
      </c>
      <c r="I3273">
        <v>11</v>
      </c>
      <c r="J3273" s="6">
        <f>H3273*I3273/1000</f>
        <v>10.23</v>
      </c>
      <c r="K3273" t="s">
        <v>397</v>
      </c>
    </row>
    <row r="3274" spans="3:11" outlineLevel="2" x14ac:dyDescent="0.3">
      <c r="C3274" s="9">
        <v>45245</v>
      </c>
      <c r="D3274" t="s">
        <v>12</v>
      </c>
      <c r="E3274" t="s">
        <v>26</v>
      </c>
      <c r="F3274" t="s">
        <v>18</v>
      </c>
      <c r="G3274" t="s">
        <v>31</v>
      </c>
      <c r="H3274">
        <v>715</v>
      </c>
      <c r="I3274">
        <v>93</v>
      </c>
      <c r="J3274" s="6">
        <f>H3274*I3274/1000</f>
        <v>66.495000000000005</v>
      </c>
      <c r="K3274" t="s">
        <v>397</v>
      </c>
    </row>
    <row r="3275" spans="3:11" outlineLevel="2" x14ac:dyDescent="0.3">
      <c r="C3275" s="9">
        <v>45245</v>
      </c>
      <c r="D3275" t="s">
        <v>8</v>
      </c>
      <c r="E3275" t="s">
        <v>15</v>
      </c>
      <c r="F3275" t="s">
        <v>24</v>
      </c>
      <c r="G3275" t="s">
        <v>42</v>
      </c>
      <c r="H3275">
        <v>3205</v>
      </c>
      <c r="I3275">
        <v>27</v>
      </c>
      <c r="J3275" s="6">
        <f>H3275*I3275/1000</f>
        <v>86.534999999999997</v>
      </c>
      <c r="K3275" t="s">
        <v>397</v>
      </c>
    </row>
    <row r="3276" spans="3:11" outlineLevel="2" x14ac:dyDescent="0.3">
      <c r="C3276" s="9">
        <v>45245</v>
      </c>
      <c r="D3276" t="s">
        <v>8</v>
      </c>
      <c r="E3276" t="s">
        <v>35</v>
      </c>
      <c r="F3276" t="s">
        <v>24</v>
      </c>
      <c r="G3276" t="s">
        <v>25</v>
      </c>
      <c r="H3276">
        <v>1760</v>
      </c>
      <c r="I3276">
        <v>62</v>
      </c>
      <c r="J3276" s="6">
        <f>H3276*I3276/1000</f>
        <v>109.12</v>
      </c>
      <c r="K3276" t="s">
        <v>397</v>
      </c>
    </row>
    <row r="3277" spans="3:11" outlineLevel="1" x14ac:dyDescent="0.3">
      <c r="C3277" s="13" t="s">
        <v>333</v>
      </c>
      <c r="J3277" s="6">
        <f>SUBTOTAL(9,J3272:J3276)</f>
        <v>317.88</v>
      </c>
      <c r="K3277" t="s">
        <v>397</v>
      </c>
    </row>
    <row r="3278" spans="3:11" outlineLevel="2" x14ac:dyDescent="0.3">
      <c r="C3278" s="9">
        <v>45246</v>
      </c>
      <c r="D3278" t="s">
        <v>45</v>
      </c>
      <c r="E3278" t="s">
        <v>9</v>
      </c>
      <c r="F3278" t="s">
        <v>24</v>
      </c>
      <c r="G3278" t="s">
        <v>30</v>
      </c>
      <c r="H3278">
        <v>2970</v>
      </c>
      <c r="I3278">
        <v>77</v>
      </c>
      <c r="J3278" s="6">
        <f>H3278*I3278/1000</f>
        <v>228.69</v>
      </c>
      <c r="K3278" t="s">
        <v>397</v>
      </c>
    </row>
    <row r="3279" spans="3:11" outlineLevel="2" x14ac:dyDescent="0.3">
      <c r="C3279" s="9">
        <v>45246</v>
      </c>
      <c r="D3279" t="s">
        <v>45</v>
      </c>
      <c r="E3279" t="s">
        <v>26</v>
      </c>
      <c r="F3279" t="s">
        <v>10</v>
      </c>
      <c r="G3279" t="s">
        <v>23</v>
      </c>
      <c r="H3279">
        <v>640</v>
      </c>
      <c r="I3279">
        <v>43</v>
      </c>
      <c r="J3279" s="6">
        <f>H3279*I3279/1000</f>
        <v>27.52</v>
      </c>
      <c r="K3279" t="s">
        <v>397</v>
      </c>
    </row>
    <row r="3280" spans="3:11" outlineLevel="2" x14ac:dyDescent="0.3">
      <c r="C3280" s="9">
        <v>45246</v>
      </c>
      <c r="D3280" t="s">
        <v>45</v>
      </c>
      <c r="E3280" t="s">
        <v>33</v>
      </c>
      <c r="F3280" t="s">
        <v>24</v>
      </c>
      <c r="G3280" t="s">
        <v>30</v>
      </c>
      <c r="H3280">
        <v>2970</v>
      </c>
      <c r="I3280">
        <v>37</v>
      </c>
      <c r="J3280" s="6">
        <f>H3280*I3280/1000</f>
        <v>109.89</v>
      </c>
      <c r="K3280" t="s">
        <v>397</v>
      </c>
    </row>
    <row r="3281" spans="3:11" outlineLevel="1" x14ac:dyDescent="0.3">
      <c r="C3281" s="13" t="s">
        <v>334</v>
      </c>
      <c r="J3281" s="6">
        <f>SUBTOTAL(9,J3278:J3280)</f>
        <v>366.09999999999997</v>
      </c>
      <c r="K3281" t="s">
        <v>397</v>
      </c>
    </row>
    <row r="3282" spans="3:11" outlineLevel="2" x14ac:dyDescent="0.3">
      <c r="C3282" s="9">
        <v>45247</v>
      </c>
      <c r="D3282" t="s">
        <v>17</v>
      </c>
      <c r="E3282" t="s">
        <v>20</v>
      </c>
      <c r="F3282" t="s">
        <v>18</v>
      </c>
      <c r="G3282" t="s">
        <v>28</v>
      </c>
      <c r="H3282">
        <v>690</v>
      </c>
      <c r="I3282">
        <v>52</v>
      </c>
      <c r="J3282" s="6">
        <f t="shared" ref="J3282:J3289" si="259">H3282*I3282/1000</f>
        <v>35.880000000000003</v>
      </c>
      <c r="K3282" t="s">
        <v>397</v>
      </c>
    </row>
    <row r="3283" spans="3:11" outlineLevel="2" x14ac:dyDescent="0.3">
      <c r="C3283" s="9">
        <v>45247</v>
      </c>
      <c r="D3283" t="s">
        <v>17</v>
      </c>
      <c r="E3283" t="s">
        <v>9</v>
      </c>
      <c r="F3283" t="s">
        <v>10</v>
      </c>
      <c r="G3283" t="s">
        <v>40</v>
      </c>
      <c r="H3283">
        <v>540</v>
      </c>
      <c r="I3283">
        <v>77</v>
      </c>
      <c r="J3283" s="6">
        <f t="shared" si="259"/>
        <v>41.58</v>
      </c>
      <c r="K3283" t="s">
        <v>397</v>
      </c>
    </row>
    <row r="3284" spans="3:11" outlineLevel="2" x14ac:dyDescent="0.3">
      <c r="C3284" s="9">
        <v>45247</v>
      </c>
      <c r="D3284" t="s">
        <v>45</v>
      </c>
      <c r="E3284" t="s">
        <v>9</v>
      </c>
      <c r="F3284" t="s">
        <v>18</v>
      </c>
      <c r="G3284" t="s">
        <v>27</v>
      </c>
      <c r="H3284">
        <v>460</v>
      </c>
      <c r="I3284">
        <v>80</v>
      </c>
      <c r="J3284" s="6">
        <f t="shared" si="259"/>
        <v>36.799999999999997</v>
      </c>
      <c r="K3284" t="s">
        <v>397</v>
      </c>
    </row>
    <row r="3285" spans="3:11" outlineLevel="2" x14ac:dyDescent="0.3">
      <c r="C3285" s="9">
        <v>45247</v>
      </c>
      <c r="D3285" t="s">
        <v>17</v>
      </c>
      <c r="E3285" t="s">
        <v>9</v>
      </c>
      <c r="F3285" t="s">
        <v>18</v>
      </c>
      <c r="G3285" t="s">
        <v>28</v>
      </c>
      <c r="H3285">
        <v>690</v>
      </c>
      <c r="I3285">
        <v>86</v>
      </c>
      <c r="J3285" s="6">
        <f t="shared" si="259"/>
        <v>59.34</v>
      </c>
      <c r="K3285" t="s">
        <v>397</v>
      </c>
    </row>
    <row r="3286" spans="3:11" outlineLevel="2" x14ac:dyDescent="0.3">
      <c r="C3286" s="9">
        <v>45247</v>
      </c>
      <c r="D3286" t="s">
        <v>8</v>
      </c>
      <c r="E3286" t="s">
        <v>26</v>
      </c>
      <c r="F3286" t="s">
        <v>24</v>
      </c>
      <c r="G3286" t="s">
        <v>25</v>
      </c>
      <c r="H3286">
        <v>1760</v>
      </c>
      <c r="I3286">
        <v>59</v>
      </c>
      <c r="J3286" s="6">
        <f t="shared" si="259"/>
        <v>103.84</v>
      </c>
      <c r="K3286" t="s">
        <v>397</v>
      </c>
    </row>
    <row r="3287" spans="3:11" outlineLevel="2" x14ac:dyDescent="0.3">
      <c r="C3287" s="9">
        <v>45247</v>
      </c>
      <c r="D3287" t="s">
        <v>45</v>
      </c>
      <c r="E3287" t="s">
        <v>15</v>
      </c>
      <c r="F3287" t="s">
        <v>13</v>
      </c>
      <c r="G3287" t="s">
        <v>22</v>
      </c>
      <c r="H3287">
        <v>930</v>
      </c>
      <c r="I3287">
        <v>97</v>
      </c>
      <c r="J3287" s="6">
        <f t="shared" si="259"/>
        <v>90.21</v>
      </c>
      <c r="K3287" t="s">
        <v>397</v>
      </c>
    </row>
    <row r="3288" spans="3:11" outlineLevel="2" x14ac:dyDescent="0.3">
      <c r="C3288" s="9">
        <v>45247</v>
      </c>
      <c r="D3288" t="s">
        <v>8</v>
      </c>
      <c r="E3288" t="s">
        <v>15</v>
      </c>
      <c r="F3288" t="s">
        <v>24</v>
      </c>
      <c r="G3288" t="s">
        <v>30</v>
      </c>
      <c r="H3288">
        <v>2970</v>
      </c>
      <c r="I3288">
        <v>91</v>
      </c>
      <c r="J3288" s="6">
        <f t="shared" si="259"/>
        <v>270.27</v>
      </c>
      <c r="K3288" t="s">
        <v>397</v>
      </c>
    </row>
    <row r="3289" spans="3:11" outlineLevel="2" x14ac:dyDescent="0.3">
      <c r="C3289" s="9">
        <v>45247</v>
      </c>
      <c r="D3289" t="s">
        <v>17</v>
      </c>
      <c r="E3289" t="s">
        <v>35</v>
      </c>
      <c r="F3289" t="s">
        <v>13</v>
      </c>
      <c r="G3289" t="s">
        <v>14</v>
      </c>
      <c r="H3289">
        <v>1320</v>
      </c>
      <c r="I3289">
        <v>33</v>
      </c>
      <c r="J3289" s="6">
        <f t="shared" si="259"/>
        <v>43.56</v>
      </c>
      <c r="K3289" t="s">
        <v>397</v>
      </c>
    </row>
    <row r="3290" spans="3:11" outlineLevel="1" x14ac:dyDescent="0.3">
      <c r="C3290" s="13" t="s">
        <v>335</v>
      </c>
      <c r="J3290" s="6">
        <f>SUBTOTAL(9,J3282:J3289)</f>
        <v>681.48</v>
      </c>
      <c r="K3290" t="s">
        <v>397</v>
      </c>
    </row>
    <row r="3291" spans="3:11" outlineLevel="2" x14ac:dyDescent="0.3">
      <c r="C3291" s="9">
        <v>45248</v>
      </c>
      <c r="D3291" t="s">
        <v>12</v>
      </c>
      <c r="E3291" t="s">
        <v>20</v>
      </c>
      <c r="F3291" t="s">
        <v>10</v>
      </c>
      <c r="G3291" t="s">
        <v>16</v>
      </c>
      <c r="H3291">
        <v>1380</v>
      </c>
      <c r="I3291">
        <v>67</v>
      </c>
      <c r="J3291" s="6">
        <f t="shared" ref="J3291:J3296" si="260">H3291*I3291/1000</f>
        <v>92.46</v>
      </c>
      <c r="K3291" t="s">
        <v>397</v>
      </c>
    </row>
    <row r="3292" spans="3:11" outlineLevel="2" x14ac:dyDescent="0.3">
      <c r="C3292" s="9">
        <v>45248</v>
      </c>
      <c r="D3292" t="s">
        <v>8</v>
      </c>
      <c r="E3292" t="s">
        <v>20</v>
      </c>
      <c r="F3292" t="s">
        <v>24</v>
      </c>
      <c r="G3292" t="s">
        <v>32</v>
      </c>
      <c r="H3292">
        <v>1505</v>
      </c>
      <c r="I3292">
        <v>55</v>
      </c>
      <c r="J3292" s="6">
        <f t="shared" si="260"/>
        <v>82.775000000000006</v>
      </c>
      <c r="K3292" t="s">
        <v>397</v>
      </c>
    </row>
    <row r="3293" spans="3:11" outlineLevel="2" x14ac:dyDescent="0.3">
      <c r="C3293" s="9">
        <v>45248</v>
      </c>
      <c r="D3293" t="s">
        <v>45</v>
      </c>
      <c r="E3293" t="s">
        <v>15</v>
      </c>
      <c r="F3293" t="s">
        <v>13</v>
      </c>
      <c r="G3293" t="s">
        <v>38</v>
      </c>
      <c r="H3293">
        <v>2400</v>
      </c>
      <c r="I3293">
        <v>11</v>
      </c>
      <c r="J3293" s="6">
        <f t="shared" si="260"/>
        <v>26.4</v>
      </c>
      <c r="K3293" t="s">
        <v>397</v>
      </c>
    </row>
    <row r="3294" spans="3:11" outlineLevel="2" x14ac:dyDescent="0.3">
      <c r="C3294" s="9">
        <v>45248</v>
      </c>
      <c r="D3294" t="s">
        <v>8</v>
      </c>
      <c r="E3294" t="s">
        <v>15</v>
      </c>
      <c r="F3294" t="s">
        <v>24</v>
      </c>
      <c r="G3294" t="s">
        <v>32</v>
      </c>
      <c r="H3294">
        <v>1505</v>
      </c>
      <c r="I3294">
        <v>53</v>
      </c>
      <c r="J3294" s="6">
        <f t="shared" si="260"/>
        <v>79.765000000000001</v>
      </c>
      <c r="K3294" t="s">
        <v>397</v>
      </c>
    </row>
    <row r="3295" spans="3:11" outlineLevel="2" x14ac:dyDescent="0.3">
      <c r="C3295" s="9">
        <v>45248</v>
      </c>
      <c r="D3295" t="s">
        <v>8</v>
      </c>
      <c r="E3295" t="s">
        <v>15</v>
      </c>
      <c r="F3295" t="s">
        <v>24</v>
      </c>
      <c r="G3295" t="s">
        <v>36</v>
      </c>
      <c r="H3295">
        <v>2460</v>
      </c>
      <c r="I3295">
        <v>82</v>
      </c>
      <c r="J3295" s="6">
        <f t="shared" si="260"/>
        <v>201.72</v>
      </c>
      <c r="K3295" t="s">
        <v>397</v>
      </c>
    </row>
    <row r="3296" spans="3:11" outlineLevel="2" x14ac:dyDescent="0.3">
      <c r="C3296" s="9">
        <v>45248</v>
      </c>
      <c r="D3296" t="s">
        <v>12</v>
      </c>
      <c r="E3296" t="s">
        <v>33</v>
      </c>
      <c r="F3296" t="s">
        <v>10</v>
      </c>
      <c r="G3296" t="s">
        <v>11</v>
      </c>
      <c r="H3296">
        <v>705</v>
      </c>
      <c r="I3296">
        <v>62</v>
      </c>
      <c r="J3296" s="6">
        <f t="shared" si="260"/>
        <v>43.71</v>
      </c>
      <c r="K3296" t="s">
        <v>397</v>
      </c>
    </row>
    <row r="3297" spans="3:11" outlineLevel="1" x14ac:dyDescent="0.3">
      <c r="C3297" s="13" t="s">
        <v>336</v>
      </c>
      <c r="J3297" s="6">
        <f>SUBTOTAL(9,J3291:J3296)</f>
        <v>526.83000000000004</v>
      </c>
      <c r="K3297" t="s">
        <v>397</v>
      </c>
    </row>
    <row r="3298" spans="3:11" outlineLevel="2" x14ac:dyDescent="0.3">
      <c r="C3298" s="9">
        <v>45249</v>
      </c>
      <c r="D3298" t="s">
        <v>12</v>
      </c>
      <c r="E3298" t="s">
        <v>20</v>
      </c>
      <c r="F3298" t="s">
        <v>18</v>
      </c>
      <c r="G3298" t="s">
        <v>28</v>
      </c>
      <c r="H3298">
        <v>690</v>
      </c>
      <c r="I3298">
        <v>82</v>
      </c>
      <c r="J3298" s="6">
        <f t="shared" ref="J3298:J3310" si="261">H3298*I3298/1000</f>
        <v>56.58</v>
      </c>
      <c r="K3298" t="s">
        <v>397</v>
      </c>
    </row>
    <row r="3299" spans="3:11" outlineLevel="2" x14ac:dyDescent="0.3">
      <c r="C3299" s="9">
        <v>45249</v>
      </c>
      <c r="D3299" t="s">
        <v>17</v>
      </c>
      <c r="E3299" t="s">
        <v>20</v>
      </c>
      <c r="F3299" t="s">
        <v>13</v>
      </c>
      <c r="G3299" t="s">
        <v>43</v>
      </c>
      <c r="H3299">
        <v>1420</v>
      </c>
      <c r="I3299">
        <v>25</v>
      </c>
      <c r="J3299" s="6">
        <f t="shared" si="261"/>
        <v>35.5</v>
      </c>
      <c r="K3299" t="s">
        <v>397</v>
      </c>
    </row>
    <row r="3300" spans="3:11" outlineLevel="2" x14ac:dyDescent="0.3">
      <c r="C3300" s="9">
        <v>45249</v>
      </c>
      <c r="D3300" t="s">
        <v>8</v>
      </c>
      <c r="E3300" t="s">
        <v>20</v>
      </c>
      <c r="F3300" t="s">
        <v>24</v>
      </c>
      <c r="G3300" t="s">
        <v>42</v>
      </c>
      <c r="H3300">
        <v>3205</v>
      </c>
      <c r="I3300">
        <v>97</v>
      </c>
      <c r="J3300" s="6">
        <f t="shared" si="261"/>
        <v>310.88499999999999</v>
      </c>
      <c r="K3300" t="s">
        <v>397</v>
      </c>
    </row>
    <row r="3301" spans="3:11" outlineLevel="2" x14ac:dyDescent="0.3">
      <c r="C3301" s="9">
        <v>45249</v>
      </c>
      <c r="D3301" t="s">
        <v>45</v>
      </c>
      <c r="E3301" t="s">
        <v>9</v>
      </c>
      <c r="F3301" t="s">
        <v>10</v>
      </c>
      <c r="G3301" t="s">
        <v>41</v>
      </c>
      <c r="H3301">
        <v>650</v>
      </c>
      <c r="I3301">
        <v>88</v>
      </c>
      <c r="J3301" s="6">
        <f t="shared" si="261"/>
        <v>57.2</v>
      </c>
      <c r="K3301" t="s">
        <v>397</v>
      </c>
    </row>
    <row r="3302" spans="3:11" outlineLevel="2" x14ac:dyDescent="0.3">
      <c r="C3302" s="9">
        <v>45249</v>
      </c>
      <c r="D3302" t="s">
        <v>12</v>
      </c>
      <c r="E3302" t="s">
        <v>26</v>
      </c>
      <c r="F3302" t="s">
        <v>10</v>
      </c>
      <c r="G3302" t="s">
        <v>16</v>
      </c>
      <c r="H3302">
        <v>1380</v>
      </c>
      <c r="I3302">
        <v>78</v>
      </c>
      <c r="J3302" s="6">
        <f t="shared" si="261"/>
        <v>107.64</v>
      </c>
      <c r="K3302" t="s">
        <v>397</v>
      </c>
    </row>
    <row r="3303" spans="3:11" outlineLevel="2" x14ac:dyDescent="0.3">
      <c r="C3303" s="9">
        <v>45249</v>
      </c>
      <c r="D3303" t="s">
        <v>45</v>
      </c>
      <c r="E3303" t="s">
        <v>26</v>
      </c>
      <c r="F3303" t="s">
        <v>13</v>
      </c>
      <c r="G3303" t="s">
        <v>43</v>
      </c>
      <c r="H3303">
        <v>1420</v>
      </c>
      <c r="I3303">
        <v>72</v>
      </c>
      <c r="J3303" s="6">
        <f t="shared" si="261"/>
        <v>102.24</v>
      </c>
      <c r="K3303" t="s">
        <v>397</v>
      </c>
    </row>
    <row r="3304" spans="3:11" outlineLevel="2" x14ac:dyDescent="0.3">
      <c r="C3304" s="9">
        <v>45249</v>
      </c>
      <c r="D3304" t="s">
        <v>45</v>
      </c>
      <c r="E3304" t="s">
        <v>15</v>
      </c>
      <c r="F3304" t="s">
        <v>10</v>
      </c>
      <c r="G3304" t="s">
        <v>11</v>
      </c>
      <c r="H3304">
        <v>705</v>
      </c>
      <c r="I3304">
        <v>85</v>
      </c>
      <c r="J3304" s="6">
        <f t="shared" si="261"/>
        <v>59.924999999999997</v>
      </c>
      <c r="K3304" t="s">
        <v>397</v>
      </c>
    </row>
    <row r="3305" spans="3:11" outlineLevel="2" x14ac:dyDescent="0.3">
      <c r="C3305" s="9">
        <v>45249</v>
      </c>
      <c r="D3305" t="s">
        <v>8</v>
      </c>
      <c r="E3305" t="s">
        <v>15</v>
      </c>
      <c r="F3305" t="s">
        <v>10</v>
      </c>
      <c r="G3305" t="s">
        <v>11</v>
      </c>
      <c r="H3305">
        <v>705</v>
      </c>
      <c r="I3305">
        <v>8</v>
      </c>
      <c r="J3305" s="6">
        <f t="shared" si="261"/>
        <v>5.64</v>
      </c>
      <c r="K3305" t="s">
        <v>397</v>
      </c>
    </row>
    <row r="3306" spans="3:11" outlineLevel="2" x14ac:dyDescent="0.3">
      <c r="C3306" s="9">
        <v>45249</v>
      </c>
      <c r="D3306" t="s">
        <v>45</v>
      </c>
      <c r="E3306" t="s">
        <v>33</v>
      </c>
      <c r="F3306" t="s">
        <v>10</v>
      </c>
      <c r="G3306" t="s">
        <v>16</v>
      </c>
      <c r="H3306">
        <v>1380</v>
      </c>
      <c r="I3306">
        <v>30</v>
      </c>
      <c r="J3306" s="6">
        <f t="shared" si="261"/>
        <v>41.4</v>
      </c>
      <c r="K3306" t="s">
        <v>397</v>
      </c>
    </row>
    <row r="3307" spans="3:11" outlineLevel="2" x14ac:dyDescent="0.3">
      <c r="C3307" s="9">
        <v>45249</v>
      </c>
      <c r="D3307" t="s">
        <v>8</v>
      </c>
      <c r="E3307" t="s">
        <v>33</v>
      </c>
      <c r="F3307" t="s">
        <v>13</v>
      </c>
      <c r="G3307" t="s">
        <v>22</v>
      </c>
      <c r="H3307">
        <v>930</v>
      </c>
      <c r="I3307">
        <v>12</v>
      </c>
      <c r="J3307" s="6">
        <f t="shared" si="261"/>
        <v>11.16</v>
      </c>
      <c r="K3307" t="s">
        <v>397</v>
      </c>
    </row>
    <row r="3308" spans="3:11" outlineLevel="2" x14ac:dyDescent="0.3">
      <c r="C3308" s="9">
        <v>45249</v>
      </c>
      <c r="D3308" t="s">
        <v>45</v>
      </c>
      <c r="E3308" t="s">
        <v>33</v>
      </c>
      <c r="F3308" t="s">
        <v>24</v>
      </c>
      <c r="G3308" t="s">
        <v>34</v>
      </c>
      <c r="H3308">
        <v>1670</v>
      </c>
      <c r="I3308">
        <v>31</v>
      </c>
      <c r="J3308" s="6">
        <f t="shared" si="261"/>
        <v>51.77</v>
      </c>
      <c r="K3308" t="s">
        <v>397</v>
      </c>
    </row>
    <row r="3309" spans="3:11" outlineLevel="2" x14ac:dyDescent="0.3">
      <c r="C3309" s="9">
        <v>45249</v>
      </c>
      <c r="D3309" t="s">
        <v>45</v>
      </c>
      <c r="E3309" t="s">
        <v>33</v>
      </c>
      <c r="F3309" t="s">
        <v>24</v>
      </c>
      <c r="G3309" t="s">
        <v>42</v>
      </c>
      <c r="H3309">
        <v>3205</v>
      </c>
      <c r="I3309">
        <v>54</v>
      </c>
      <c r="J3309" s="6">
        <f t="shared" si="261"/>
        <v>173.07</v>
      </c>
      <c r="K3309" t="s">
        <v>397</v>
      </c>
    </row>
    <row r="3310" spans="3:11" outlineLevel="2" x14ac:dyDescent="0.3">
      <c r="C3310" s="9">
        <v>45249</v>
      </c>
      <c r="D3310" t="s">
        <v>17</v>
      </c>
      <c r="E3310" t="s">
        <v>35</v>
      </c>
      <c r="F3310" t="s">
        <v>10</v>
      </c>
      <c r="G3310" t="s">
        <v>16</v>
      </c>
      <c r="H3310">
        <v>1380</v>
      </c>
      <c r="I3310">
        <v>9</v>
      </c>
      <c r="J3310" s="6">
        <f t="shared" si="261"/>
        <v>12.42</v>
      </c>
      <c r="K3310" t="s">
        <v>397</v>
      </c>
    </row>
    <row r="3311" spans="3:11" outlineLevel="1" x14ac:dyDescent="0.3">
      <c r="C3311" s="13" t="s">
        <v>337</v>
      </c>
      <c r="J3311" s="6">
        <f>SUBTOTAL(9,J3298:J3310)</f>
        <v>1025.4299999999998</v>
      </c>
      <c r="K3311" t="s">
        <v>397</v>
      </c>
    </row>
    <row r="3312" spans="3:11" outlineLevel="2" x14ac:dyDescent="0.3">
      <c r="C3312" s="9">
        <v>45250</v>
      </c>
      <c r="D3312" t="s">
        <v>12</v>
      </c>
      <c r="E3312" t="s">
        <v>9</v>
      </c>
      <c r="F3312" t="s">
        <v>18</v>
      </c>
      <c r="G3312" t="s">
        <v>28</v>
      </c>
      <c r="H3312">
        <v>690</v>
      </c>
      <c r="I3312">
        <v>31</v>
      </c>
      <c r="J3312" s="6">
        <f t="shared" ref="J3312:J3317" si="262">H3312*I3312/1000</f>
        <v>21.39</v>
      </c>
      <c r="K3312" t="s">
        <v>397</v>
      </c>
    </row>
    <row r="3313" spans="3:11" outlineLevel="2" x14ac:dyDescent="0.3">
      <c r="C3313" s="9">
        <v>45250</v>
      </c>
      <c r="D3313" t="s">
        <v>8</v>
      </c>
      <c r="E3313" t="s">
        <v>26</v>
      </c>
      <c r="F3313" t="s">
        <v>13</v>
      </c>
      <c r="G3313" t="s">
        <v>44</v>
      </c>
      <c r="H3313">
        <v>2540</v>
      </c>
      <c r="I3313">
        <v>9</v>
      </c>
      <c r="J3313" s="6">
        <f t="shared" si="262"/>
        <v>22.86</v>
      </c>
      <c r="K3313" t="s">
        <v>397</v>
      </c>
    </row>
    <row r="3314" spans="3:11" outlineLevel="2" x14ac:dyDescent="0.3">
      <c r="C3314" s="9">
        <v>45250</v>
      </c>
      <c r="D3314" t="s">
        <v>12</v>
      </c>
      <c r="E3314" t="s">
        <v>15</v>
      </c>
      <c r="F3314" t="s">
        <v>10</v>
      </c>
      <c r="G3314" t="s">
        <v>16</v>
      </c>
      <c r="H3314">
        <v>1380</v>
      </c>
      <c r="I3314">
        <v>25</v>
      </c>
      <c r="J3314" s="6">
        <f t="shared" si="262"/>
        <v>34.5</v>
      </c>
      <c r="K3314" t="s">
        <v>397</v>
      </c>
    </row>
    <row r="3315" spans="3:11" outlineLevel="2" x14ac:dyDescent="0.3">
      <c r="C3315" s="9">
        <v>45250</v>
      </c>
      <c r="D3315" t="s">
        <v>8</v>
      </c>
      <c r="E3315" t="s">
        <v>15</v>
      </c>
      <c r="F3315" t="s">
        <v>10</v>
      </c>
      <c r="G3315" t="s">
        <v>16</v>
      </c>
      <c r="H3315">
        <v>1380</v>
      </c>
      <c r="I3315">
        <v>66</v>
      </c>
      <c r="J3315" s="6">
        <f t="shared" si="262"/>
        <v>91.08</v>
      </c>
      <c r="K3315" t="s">
        <v>397</v>
      </c>
    </row>
    <row r="3316" spans="3:11" outlineLevel="2" x14ac:dyDescent="0.3">
      <c r="C3316" s="9">
        <v>45250</v>
      </c>
      <c r="D3316" t="s">
        <v>8</v>
      </c>
      <c r="E3316" t="s">
        <v>15</v>
      </c>
      <c r="F3316" t="s">
        <v>18</v>
      </c>
      <c r="G3316" t="s">
        <v>37</v>
      </c>
      <c r="H3316">
        <v>890</v>
      </c>
      <c r="I3316">
        <v>47</v>
      </c>
      <c r="J3316" s="6">
        <f t="shared" si="262"/>
        <v>41.83</v>
      </c>
      <c r="K3316" t="s">
        <v>397</v>
      </c>
    </row>
    <row r="3317" spans="3:11" outlineLevel="2" x14ac:dyDescent="0.3">
      <c r="C3317" s="9">
        <v>45250</v>
      </c>
      <c r="D3317" t="s">
        <v>17</v>
      </c>
      <c r="E3317" t="s">
        <v>33</v>
      </c>
      <c r="F3317" t="s">
        <v>24</v>
      </c>
      <c r="G3317" t="s">
        <v>36</v>
      </c>
      <c r="H3317">
        <v>2460</v>
      </c>
      <c r="I3317">
        <v>79</v>
      </c>
      <c r="J3317" s="6">
        <f t="shared" si="262"/>
        <v>194.34</v>
      </c>
      <c r="K3317" t="s">
        <v>397</v>
      </c>
    </row>
    <row r="3318" spans="3:11" outlineLevel="1" x14ac:dyDescent="0.3">
      <c r="C3318" s="13" t="s">
        <v>338</v>
      </c>
      <c r="J3318" s="6">
        <f>SUBTOTAL(9,J3312:J3317)</f>
        <v>406</v>
      </c>
      <c r="K3318" t="s">
        <v>397</v>
      </c>
    </row>
    <row r="3319" spans="3:11" outlineLevel="2" x14ac:dyDescent="0.3">
      <c r="C3319" s="9">
        <v>45251</v>
      </c>
      <c r="D3319" t="s">
        <v>17</v>
      </c>
      <c r="E3319" t="s">
        <v>20</v>
      </c>
      <c r="F3319" t="s">
        <v>18</v>
      </c>
      <c r="G3319" t="s">
        <v>28</v>
      </c>
      <c r="H3319">
        <v>690</v>
      </c>
      <c r="I3319">
        <v>90</v>
      </c>
      <c r="J3319" s="6">
        <f t="shared" ref="J3319:J3332" si="263">H3319*I3319/1000</f>
        <v>62.1</v>
      </c>
      <c r="K3319" t="s">
        <v>397</v>
      </c>
    </row>
    <row r="3320" spans="3:11" outlineLevel="2" x14ac:dyDescent="0.3">
      <c r="C3320" s="9">
        <v>45251</v>
      </c>
      <c r="D3320" t="s">
        <v>45</v>
      </c>
      <c r="E3320" t="s">
        <v>20</v>
      </c>
      <c r="F3320" t="s">
        <v>18</v>
      </c>
      <c r="G3320" t="s">
        <v>31</v>
      </c>
      <c r="H3320">
        <v>715</v>
      </c>
      <c r="I3320">
        <v>20</v>
      </c>
      <c r="J3320" s="6">
        <f t="shared" si="263"/>
        <v>14.3</v>
      </c>
      <c r="K3320" t="s">
        <v>397</v>
      </c>
    </row>
    <row r="3321" spans="3:11" outlineLevel="2" x14ac:dyDescent="0.3">
      <c r="C3321" s="9">
        <v>45251</v>
      </c>
      <c r="D3321" t="s">
        <v>12</v>
      </c>
      <c r="E3321" t="s">
        <v>20</v>
      </c>
      <c r="F3321" t="s">
        <v>13</v>
      </c>
      <c r="G3321" t="s">
        <v>38</v>
      </c>
      <c r="H3321">
        <v>2400</v>
      </c>
      <c r="I3321">
        <v>81</v>
      </c>
      <c r="J3321" s="6">
        <f t="shared" si="263"/>
        <v>194.4</v>
      </c>
      <c r="K3321" t="s">
        <v>397</v>
      </c>
    </row>
    <row r="3322" spans="3:11" outlineLevel="2" x14ac:dyDescent="0.3">
      <c r="C3322" s="9">
        <v>45251</v>
      </c>
      <c r="D3322" t="s">
        <v>17</v>
      </c>
      <c r="E3322" t="s">
        <v>9</v>
      </c>
      <c r="F3322" t="s">
        <v>10</v>
      </c>
      <c r="G3322" t="s">
        <v>39</v>
      </c>
      <c r="H3322">
        <v>650</v>
      </c>
      <c r="I3322">
        <v>81</v>
      </c>
      <c r="J3322" s="6">
        <f t="shared" si="263"/>
        <v>52.65</v>
      </c>
      <c r="K3322" t="s">
        <v>397</v>
      </c>
    </row>
    <row r="3323" spans="3:11" outlineLevel="2" x14ac:dyDescent="0.3">
      <c r="C3323" s="9">
        <v>45251</v>
      </c>
      <c r="D3323" t="s">
        <v>45</v>
      </c>
      <c r="E3323" t="s">
        <v>9</v>
      </c>
      <c r="F3323" t="s">
        <v>18</v>
      </c>
      <c r="G3323" t="s">
        <v>21</v>
      </c>
      <c r="H3323">
        <v>450</v>
      </c>
      <c r="I3323">
        <v>79</v>
      </c>
      <c r="J3323" s="6">
        <f t="shared" si="263"/>
        <v>35.549999999999997</v>
      </c>
      <c r="K3323" t="s">
        <v>397</v>
      </c>
    </row>
    <row r="3324" spans="3:11" outlineLevel="2" x14ac:dyDescent="0.3">
      <c r="C3324" s="9">
        <v>45251</v>
      </c>
      <c r="D3324" t="s">
        <v>45</v>
      </c>
      <c r="E3324" t="s">
        <v>9</v>
      </c>
      <c r="F3324" t="s">
        <v>13</v>
      </c>
      <c r="G3324" t="s">
        <v>38</v>
      </c>
      <c r="H3324">
        <v>2400</v>
      </c>
      <c r="I3324">
        <v>84</v>
      </c>
      <c r="J3324" s="6">
        <f t="shared" si="263"/>
        <v>201.6</v>
      </c>
      <c r="K3324" t="s">
        <v>397</v>
      </c>
    </row>
    <row r="3325" spans="3:11" outlineLevel="2" x14ac:dyDescent="0.3">
      <c r="C3325" s="9">
        <v>45251</v>
      </c>
      <c r="D3325" t="s">
        <v>12</v>
      </c>
      <c r="E3325" t="s">
        <v>9</v>
      </c>
      <c r="F3325" t="s">
        <v>24</v>
      </c>
      <c r="G3325" t="s">
        <v>30</v>
      </c>
      <c r="H3325">
        <v>2970</v>
      </c>
      <c r="I3325">
        <v>36</v>
      </c>
      <c r="J3325" s="6">
        <f t="shared" si="263"/>
        <v>106.92</v>
      </c>
      <c r="K3325" t="s">
        <v>397</v>
      </c>
    </row>
    <row r="3326" spans="3:11" outlineLevel="2" x14ac:dyDescent="0.3">
      <c r="C3326" s="9">
        <v>45251</v>
      </c>
      <c r="D3326" t="s">
        <v>45</v>
      </c>
      <c r="E3326" t="s">
        <v>26</v>
      </c>
      <c r="F3326" t="s">
        <v>10</v>
      </c>
      <c r="G3326" t="s">
        <v>16</v>
      </c>
      <c r="H3326">
        <v>1380</v>
      </c>
      <c r="I3326">
        <v>70</v>
      </c>
      <c r="J3326" s="6">
        <f t="shared" si="263"/>
        <v>96.6</v>
      </c>
      <c r="K3326" t="s">
        <v>397</v>
      </c>
    </row>
    <row r="3327" spans="3:11" outlineLevel="2" x14ac:dyDescent="0.3">
      <c r="C3327" s="9">
        <v>45251</v>
      </c>
      <c r="D3327" t="s">
        <v>45</v>
      </c>
      <c r="E3327" t="s">
        <v>26</v>
      </c>
      <c r="F3327" t="s">
        <v>24</v>
      </c>
      <c r="G3327" t="s">
        <v>36</v>
      </c>
      <c r="H3327">
        <v>2460</v>
      </c>
      <c r="I3327">
        <v>62</v>
      </c>
      <c r="J3327" s="6">
        <f t="shared" si="263"/>
        <v>152.52000000000001</v>
      </c>
      <c r="K3327" t="s">
        <v>397</v>
      </c>
    </row>
    <row r="3328" spans="3:11" outlineLevel="2" x14ac:dyDescent="0.3">
      <c r="C3328" s="9">
        <v>45251</v>
      </c>
      <c r="D3328" t="s">
        <v>45</v>
      </c>
      <c r="E3328" t="s">
        <v>15</v>
      </c>
      <c r="F3328" t="s">
        <v>13</v>
      </c>
      <c r="G3328" t="s">
        <v>43</v>
      </c>
      <c r="H3328">
        <v>1420</v>
      </c>
      <c r="I3328">
        <v>62</v>
      </c>
      <c r="J3328" s="6">
        <f t="shared" si="263"/>
        <v>88.04</v>
      </c>
      <c r="K3328" t="s">
        <v>397</v>
      </c>
    </row>
    <row r="3329" spans="3:11" outlineLevel="2" x14ac:dyDescent="0.3">
      <c r="C3329" s="9">
        <v>45251</v>
      </c>
      <c r="D3329" t="s">
        <v>45</v>
      </c>
      <c r="E3329" t="s">
        <v>15</v>
      </c>
      <c r="F3329" t="s">
        <v>13</v>
      </c>
      <c r="G3329" t="s">
        <v>44</v>
      </c>
      <c r="H3329">
        <v>2540</v>
      </c>
      <c r="I3329">
        <v>63</v>
      </c>
      <c r="J3329" s="6">
        <f t="shared" si="263"/>
        <v>160.02000000000001</v>
      </c>
      <c r="K3329" t="s">
        <v>397</v>
      </c>
    </row>
    <row r="3330" spans="3:11" outlineLevel="2" x14ac:dyDescent="0.3">
      <c r="C3330" s="9">
        <v>45251</v>
      </c>
      <c r="D3330" t="s">
        <v>45</v>
      </c>
      <c r="E3330" t="s">
        <v>15</v>
      </c>
      <c r="F3330" t="s">
        <v>24</v>
      </c>
      <c r="G3330" t="s">
        <v>36</v>
      </c>
      <c r="H3330">
        <v>2460</v>
      </c>
      <c r="I3330">
        <v>70</v>
      </c>
      <c r="J3330" s="6">
        <f t="shared" si="263"/>
        <v>172.2</v>
      </c>
      <c r="K3330" t="s">
        <v>397</v>
      </c>
    </row>
    <row r="3331" spans="3:11" outlineLevel="2" x14ac:dyDescent="0.3">
      <c r="C3331" s="9">
        <v>45251</v>
      </c>
      <c r="D3331" t="s">
        <v>45</v>
      </c>
      <c r="E3331" t="s">
        <v>33</v>
      </c>
      <c r="F3331" t="s">
        <v>18</v>
      </c>
      <c r="G3331" t="s">
        <v>31</v>
      </c>
      <c r="H3331">
        <v>715</v>
      </c>
      <c r="I3331">
        <v>55</v>
      </c>
      <c r="J3331" s="6">
        <f t="shared" si="263"/>
        <v>39.325000000000003</v>
      </c>
      <c r="K3331" t="s">
        <v>397</v>
      </c>
    </row>
    <row r="3332" spans="3:11" outlineLevel="2" x14ac:dyDescent="0.3">
      <c r="C3332" s="9">
        <v>45251</v>
      </c>
      <c r="D3332" t="s">
        <v>17</v>
      </c>
      <c r="E3332" t="s">
        <v>35</v>
      </c>
      <c r="F3332" t="s">
        <v>13</v>
      </c>
      <c r="G3332" t="s">
        <v>14</v>
      </c>
      <c r="H3332">
        <v>1320</v>
      </c>
      <c r="I3332">
        <v>39</v>
      </c>
      <c r="J3332" s="6">
        <f t="shared" si="263"/>
        <v>51.48</v>
      </c>
      <c r="K3332" t="s">
        <v>397</v>
      </c>
    </row>
    <row r="3333" spans="3:11" outlineLevel="1" x14ac:dyDescent="0.3">
      <c r="C3333" s="13" t="s">
        <v>339</v>
      </c>
      <c r="J3333" s="6">
        <f>SUBTOTAL(9,J3319:J3332)</f>
        <v>1427.7050000000002</v>
      </c>
      <c r="K3333" t="s">
        <v>397</v>
      </c>
    </row>
    <row r="3334" spans="3:11" outlineLevel="2" x14ac:dyDescent="0.3">
      <c r="C3334" s="9">
        <v>45252</v>
      </c>
      <c r="D3334" t="s">
        <v>8</v>
      </c>
      <c r="E3334" t="s">
        <v>20</v>
      </c>
      <c r="F3334" t="s">
        <v>10</v>
      </c>
      <c r="G3334" t="s">
        <v>11</v>
      </c>
      <c r="H3334">
        <v>705</v>
      </c>
      <c r="I3334">
        <v>34</v>
      </c>
      <c r="J3334" s="6">
        <f t="shared" ref="J3334:J3344" si="264">H3334*I3334/1000</f>
        <v>23.97</v>
      </c>
      <c r="K3334" t="s">
        <v>397</v>
      </c>
    </row>
    <row r="3335" spans="3:11" outlineLevel="2" x14ac:dyDescent="0.3">
      <c r="C3335" s="9">
        <v>45252</v>
      </c>
      <c r="D3335" t="s">
        <v>17</v>
      </c>
      <c r="E3335" t="s">
        <v>9</v>
      </c>
      <c r="F3335" t="s">
        <v>13</v>
      </c>
      <c r="G3335" t="s">
        <v>38</v>
      </c>
      <c r="H3335">
        <v>2400</v>
      </c>
      <c r="I3335">
        <v>43</v>
      </c>
      <c r="J3335" s="6">
        <f t="shared" si="264"/>
        <v>103.2</v>
      </c>
      <c r="K3335" t="s">
        <v>397</v>
      </c>
    </row>
    <row r="3336" spans="3:11" outlineLevel="2" x14ac:dyDescent="0.3">
      <c r="C3336" s="9">
        <v>45252</v>
      </c>
      <c r="D3336" t="s">
        <v>12</v>
      </c>
      <c r="E3336" t="s">
        <v>9</v>
      </c>
      <c r="F3336" t="s">
        <v>24</v>
      </c>
      <c r="G3336" t="s">
        <v>32</v>
      </c>
      <c r="H3336">
        <v>1505</v>
      </c>
      <c r="I3336">
        <v>6</v>
      </c>
      <c r="J3336" s="6">
        <f t="shared" si="264"/>
        <v>9.0299999999999994</v>
      </c>
      <c r="K3336" t="s">
        <v>397</v>
      </c>
    </row>
    <row r="3337" spans="3:11" outlineLevel="2" x14ac:dyDescent="0.3">
      <c r="C3337" s="9">
        <v>45252</v>
      </c>
      <c r="D3337" t="s">
        <v>17</v>
      </c>
      <c r="E3337" t="s">
        <v>26</v>
      </c>
      <c r="F3337" t="s">
        <v>10</v>
      </c>
      <c r="G3337" t="s">
        <v>11</v>
      </c>
      <c r="H3337">
        <v>705</v>
      </c>
      <c r="I3337">
        <v>23</v>
      </c>
      <c r="J3337" s="6">
        <f t="shared" si="264"/>
        <v>16.215</v>
      </c>
      <c r="K3337" t="s">
        <v>397</v>
      </c>
    </row>
    <row r="3338" spans="3:11" outlineLevel="2" x14ac:dyDescent="0.3">
      <c r="C3338" s="9">
        <v>45252</v>
      </c>
      <c r="D3338" t="s">
        <v>12</v>
      </c>
      <c r="E3338" t="s">
        <v>26</v>
      </c>
      <c r="F3338" t="s">
        <v>18</v>
      </c>
      <c r="G3338" t="s">
        <v>19</v>
      </c>
      <c r="H3338">
        <v>325</v>
      </c>
      <c r="I3338">
        <v>88</v>
      </c>
      <c r="J3338" s="6">
        <f t="shared" si="264"/>
        <v>28.6</v>
      </c>
      <c r="K3338" t="s">
        <v>397</v>
      </c>
    </row>
    <row r="3339" spans="3:11" outlineLevel="2" x14ac:dyDescent="0.3">
      <c r="C3339" s="9">
        <v>45252</v>
      </c>
      <c r="D3339" t="s">
        <v>17</v>
      </c>
      <c r="E3339" t="s">
        <v>26</v>
      </c>
      <c r="F3339" t="s">
        <v>24</v>
      </c>
      <c r="G3339" t="s">
        <v>32</v>
      </c>
      <c r="H3339">
        <v>1505</v>
      </c>
      <c r="I3339">
        <v>92</v>
      </c>
      <c r="J3339" s="6">
        <f t="shared" si="264"/>
        <v>138.46</v>
      </c>
      <c r="K3339" t="s">
        <v>397</v>
      </c>
    </row>
    <row r="3340" spans="3:11" outlineLevel="2" x14ac:dyDescent="0.3">
      <c r="C3340" s="9">
        <v>45252</v>
      </c>
      <c r="D3340" t="s">
        <v>45</v>
      </c>
      <c r="E3340" t="s">
        <v>15</v>
      </c>
      <c r="F3340" t="s">
        <v>10</v>
      </c>
      <c r="G3340" t="s">
        <v>39</v>
      </c>
      <c r="H3340">
        <v>650</v>
      </c>
      <c r="I3340">
        <v>93</v>
      </c>
      <c r="J3340" s="6">
        <f t="shared" si="264"/>
        <v>60.45</v>
      </c>
      <c r="K3340" t="s">
        <v>397</v>
      </c>
    </row>
    <row r="3341" spans="3:11" outlineLevel="2" x14ac:dyDescent="0.3">
      <c r="C3341" s="9">
        <v>45252</v>
      </c>
      <c r="D3341" t="s">
        <v>8</v>
      </c>
      <c r="E3341" t="s">
        <v>15</v>
      </c>
      <c r="F3341" t="s">
        <v>18</v>
      </c>
      <c r="G3341" t="s">
        <v>19</v>
      </c>
      <c r="H3341">
        <v>325</v>
      </c>
      <c r="I3341">
        <v>48</v>
      </c>
      <c r="J3341" s="6">
        <f t="shared" si="264"/>
        <v>15.6</v>
      </c>
      <c r="K3341" t="s">
        <v>397</v>
      </c>
    </row>
    <row r="3342" spans="3:11" outlineLevel="2" x14ac:dyDescent="0.3">
      <c r="C3342" s="9">
        <v>45252</v>
      </c>
      <c r="D3342" t="s">
        <v>8</v>
      </c>
      <c r="E3342" t="s">
        <v>33</v>
      </c>
      <c r="F3342" t="s">
        <v>10</v>
      </c>
      <c r="G3342" t="s">
        <v>11</v>
      </c>
      <c r="H3342">
        <v>705</v>
      </c>
      <c r="I3342">
        <v>53</v>
      </c>
      <c r="J3342" s="6">
        <f t="shared" si="264"/>
        <v>37.365000000000002</v>
      </c>
      <c r="K3342" t="s">
        <v>397</v>
      </c>
    </row>
    <row r="3343" spans="3:11" outlineLevel="2" x14ac:dyDescent="0.3">
      <c r="C3343" s="9">
        <v>45252</v>
      </c>
      <c r="D3343" t="s">
        <v>8</v>
      </c>
      <c r="E3343" t="s">
        <v>33</v>
      </c>
      <c r="F3343" t="s">
        <v>13</v>
      </c>
      <c r="G3343" t="s">
        <v>43</v>
      </c>
      <c r="H3343">
        <v>1420</v>
      </c>
      <c r="I3343">
        <v>64</v>
      </c>
      <c r="J3343" s="6">
        <f t="shared" si="264"/>
        <v>90.88</v>
      </c>
      <c r="K3343" t="s">
        <v>397</v>
      </c>
    </row>
    <row r="3344" spans="3:11" outlineLevel="2" x14ac:dyDescent="0.3">
      <c r="C3344" s="9">
        <v>45252</v>
      </c>
      <c r="D3344" t="s">
        <v>45</v>
      </c>
      <c r="E3344" t="s">
        <v>35</v>
      </c>
      <c r="F3344" t="s">
        <v>13</v>
      </c>
      <c r="G3344" t="s">
        <v>29</v>
      </c>
      <c r="H3344">
        <v>1230</v>
      </c>
      <c r="I3344">
        <v>22</v>
      </c>
      <c r="J3344" s="6">
        <f t="shared" si="264"/>
        <v>27.06</v>
      </c>
      <c r="K3344" t="s">
        <v>397</v>
      </c>
    </row>
    <row r="3345" spans="3:11" outlineLevel="1" x14ac:dyDescent="0.3">
      <c r="C3345" s="13" t="s">
        <v>340</v>
      </c>
      <c r="J3345" s="6">
        <f>SUBTOTAL(9,J3334:J3344)</f>
        <v>550.82999999999993</v>
      </c>
      <c r="K3345" t="s">
        <v>397</v>
      </c>
    </row>
    <row r="3346" spans="3:11" outlineLevel="2" x14ac:dyDescent="0.3">
      <c r="C3346" s="9">
        <v>45253</v>
      </c>
      <c r="D3346" t="s">
        <v>45</v>
      </c>
      <c r="E3346" t="s">
        <v>20</v>
      </c>
      <c r="F3346" t="s">
        <v>18</v>
      </c>
      <c r="G3346" t="s">
        <v>28</v>
      </c>
      <c r="H3346">
        <v>690</v>
      </c>
      <c r="I3346">
        <v>89</v>
      </c>
      <c r="J3346" s="6">
        <f t="shared" ref="J3346:J3352" si="265">H3346*I3346/1000</f>
        <v>61.41</v>
      </c>
      <c r="K3346" t="s">
        <v>397</v>
      </c>
    </row>
    <row r="3347" spans="3:11" outlineLevel="2" x14ac:dyDescent="0.3">
      <c r="C3347" s="9">
        <v>45253</v>
      </c>
      <c r="D3347" t="s">
        <v>17</v>
      </c>
      <c r="E3347" t="s">
        <v>26</v>
      </c>
      <c r="F3347" t="s">
        <v>10</v>
      </c>
      <c r="G3347" t="s">
        <v>23</v>
      </c>
      <c r="H3347">
        <v>640</v>
      </c>
      <c r="I3347">
        <v>38</v>
      </c>
      <c r="J3347" s="6">
        <f t="shared" si="265"/>
        <v>24.32</v>
      </c>
      <c r="K3347" t="s">
        <v>397</v>
      </c>
    </row>
    <row r="3348" spans="3:11" outlineLevel="2" x14ac:dyDescent="0.3">
      <c r="C3348" s="9">
        <v>45253</v>
      </c>
      <c r="D3348" t="s">
        <v>8</v>
      </c>
      <c r="E3348" t="s">
        <v>15</v>
      </c>
      <c r="F3348" t="s">
        <v>10</v>
      </c>
      <c r="G3348" t="s">
        <v>11</v>
      </c>
      <c r="H3348">
        <v>705</v>
      </c>
      <c r="I3348">
        <v>37</v>
      </c>
      <c r="J3348" s="6">
        <f t="shared" si="265"/>
        <v>26.085000000000001</v>
      </c>
      <c r="K3348" t="s">
        <v>397</v>
      </c>
    </row>
    <row r="3349" spans="3:11" outlineLevel="2" x14ac:dyDescent="0.3">
      <c r="C3349" s="9">
        <v>45253</v>
      </c>
      <c r="D3349" t="s">
        <v>17</v>
      </c>
      <c r="E3349" t="s">
        <v>15</v>
      </c>
      <c r="F3349" t="s">
        <v>18</v>
      </c>
      <c r="G3349" t="s">
        <v>19</v>
      </c>
      <c r="H3349">
        <v>325</v>
      </c>
      <c r="I3349">
        <v>75</v>
      </c>
      <c r="J3349" s="6">
        <f t="shared" si="265"/>
        <v>24.375</v>
      </c>
      <c r="K3349" t="s">
        <v>397</v>
      </c>
    </row>
    <row r="3350" spans="3:11" outlineLevel="2" x14ac:dyDescent="0.3">
      <c r="C3350" s="9">
        <v>45253</v>
      </c>
      <c r="D3350" t="s">
        <v>17</v>
      </c>
      <c r="E3350" t="s">
        <v>15</v>
      </c>
      <c r="F3350" t="s">
        <v>13</v>
      </c>
      <c r="G3350" t="s">
        <v>43</v>
      </c>
      <c r="H3350">
        <v>1420</v>
      </c>
      <c r="I3350">
        <v>95</v>
      </c>
      <c r="J3350" s="6">
        <f t="shared" si="265"/>
        <v>134.9</v>
      </c>
      <c r="K3350" t="s">
        <v>397</v>
      </c>
    </row>
    <row r="3351" spans="3:11" outlineLevel="2" x14ac:dyDescent="0.3">
      <c r="C3351" s="9">
        <v>45253</v>
      </c>
      <c r="D3351" t="s">
        <v>8</v>
      </c>
      <c r="E3351" t="s">
        <v>33</v>
      </c>
      <c r="F3351" t="s">
        <v>10</v>
      </c>
      <c r="G3351" t="s">
        <v>16</v>
      </c>
      <c r="H3351">
        <v>1380</v>
      </c>
      <c r="I3351">
        <v>14</v>
      </c>
      <c r="J3351" s="6">
        <f t="shared" si="265"/>
        <v>19.32</v>
      </c>
      <c r="K3351" t="s">
        <v>397</v>
      </c>
    </row>
    <row r="3352" spans="3:11" outlineLevel="2" x14ac:dyDescent="0.3">
      <c r="C3352" s="9">
        <v>45253</v>
      </c>
      <c r="D3352" t="s">
        <v>8</v>
      </c>
      <c r="E3352" t="s">
        <v>33</v>
      </c>
      <c r="F3352" t="s">
        <v>24</v>
      </c>
      <c r="G3352" t="s">
        <v>32</v>
      </c>
      <c r="H3352">
        <v>1505</v>
      </c>
      <c r="I3352">
        <v>90</v>
      </c>
      <c r="J3352" s="6">
        <f t="shared" si="265"/>
        <v>135.44999999999999</v>
      </c>
      <c r="K3352" t="s">
        <v>397</v>
      </c>
    </row>
    <row r="3353" spans="3:11" outlineLevel="1" x14ac:dyDescent="0.3">
      <c r="C3353" s="13" t="s">
        <v>341</v>
      </c>
      <c r="J3353" s="6">
        <f>SUBTOTAL(9,J3346:J3352)</f>
        <v>425.86</v>
      </c>
      <c r="K3353" t="s">
        <v>397</v>
      </c>
    </row>
    <row r="3354" spans="3:11" outlineLevel="2" x14ac:dyDescent="0.3">
      <c r="C3354" s="9">
        <v>45254</v>
      </c>
      <c r="D3354" t="s">
        <v>45</v>
      </c>
      <c r="E3354" t="s">
        <v>20</v>
      </c>
      <c r="F3354" t="s">
        <v>13</v>
      </c>
      <c r="G3354" t="s">
        <v>29</v>
      </c>
      <c r="H3354">
        <v>1230</v>
      </c>
      <c r="I3354">
        <v>42</v>
      </c>
      <c r="J3354" s="6">
        <f t="shared" ref="J3354:J3365" si="266">H3354*I3354/1000</f>
        <v>51.66</v>
      </c>
      <c r="K3354" t="s">
        <v>397</v>
      </c>
    </row>
    <row r="3355" spans="3:11" outlineLevel="2" x14ac:dyDescent="0.3">
      <c r="C3355" s="9">
        <v>45254</v>
      </c>
      <c r="D3355" t="s">
        <v>17</v>
      </c>
      <c r="E3355" t="s">
        <v>9</v>
      </c>
      <c r="F3355" t="s">
        <v>13</v>
      </c>
      <c r="G3355" t="s">
        <v>29</v>
      </c>
      <c r="H3355">
        <v>1230</v>
      </c>
      <c r="I3355">
        <v>46</v>
      </c>
      <c r="J3355" s="6">
        <f t="shared" si="266"/>
        <v>56.58</v>
      </c>
      <c r="K3355" t="s">
        <v>397</v>
      </c>
    </row>
    <row r="3356" spans="3:11" outlineLevel="2" x14ac:dyDescent="0.3">
      <c r="C3356" s="9">
        <v>45254</v>
      </c>
      <c r="D3356" t="s">
        <v>45</v>
      </c>
      <c r="E3356" t="s">
        <v>26</v>
      </c>
      <c r="F3356" t="s">
        <v>13</v>
      </c>
      <c r="G3356" t="s">
        <v>43</v>
      </c>
      <c r="H3356">
        <v>1420</v>
      </c>
      <c r="I3356">
        <v>45</v>
      </c>
      <c r="J3356" s="6">
        <f t="shared" si="266"/>
        <v>63.9</v>
      </c>
      <c r="K3356" t="s">
        <v>397</v>
      </c>
    </row>
    <row r="3357" spans="3:11" outlineLevel="2" x14ac:dyDescent="0.3">
      <c r="C3357" s="9">
        <v>45254</v>
      </c>
      <c r="D3357" t="s">
        <v>8</v>
      </c>
      <c r="E3357" t="s">
        <v>26</v>
      </c>
      <c r="F3357" t="s">
        <v>13</v>
      </c>
      <c r="G3357" t="s">
        <v>22</v>
      </c>
      <c r="H3357">
        <v>930</v>
      </c>
      <c r="I3357">
        <v>93</v>
      </c>
      <c r="J3357" s="6">
        <f t="shared" si="266"/>
        <v>86.49</v>
      </c>
      <c r="K3357" t="s">
        <v>397</v>
      </c>
    </row>
    <row r="3358" spans="3:11" outlineLevel="2" x14ac:dyDescent="0.3">
      <c r="C3358" s="9">
        <v>45254</v>
      </c>
      <c r="D3358" t="s">
        <v>8</v>
      </c>
      <c r="E3358" t="s">
        <v>26</v>
      </c>
      <c r="F3358" t="s">
        <v>24</v>
      </c>
      <c r="G3358" t="s">
        <v>42</v>
      </c>
      <c r="H3358">
        <v>3205</v>
      </c>
      <c r="I3358">
        <v>82</v>
      </c>
      <c r="J3358" s="6">
        <f t="shared" si="266"/>
        <v>262.81</v>
      </c>
      <c r="K3358" t="s">
        <v>397</v>
      </c>
    </row>
    <row r="3359" spans="3:11" outlineLevel="2" x14ac:dyDescent="0.3">
      <c r="C3359" s="9">
        <v>45254</v>
      </c>
      <c r="D3359" t="s">
        <v>12</v>
      </c>
      <c r="E3359" t="s">
        <v>15</v>
      </c>
      <c r="F3359" t="s">
        <v>13</v>
      </c>
      <c r="G3359" t="s">
        <v>44</v>
      </c>
      <c r="H3359">
        <v>2540</v>
      </c>
      <c r="I3359">
        <v>48</v>
      </c>
      <c r="J3359" s="6">
        <f t="shared" si="266"/>
        <v>121.92</v>
      </c>
      <c r="K3359" t="s">
        <v>397</v>
      </c>
    </row>
    <row r="3360" spans="3:11" outlineLevel="2" x14ac:dyDescent="0.3">
      <c r="C3360" s="9">
        <v>45254</v>
      </c>
      <c r="D3360" t="s">
        <v>12</v>
      </c>
      <c r="E3360" t="s">
        <v>15</v>
      </c>
      <c r="F3360" t="s">
        <v>13</v>
      </c>
      <c r="G3360" t="s">
        <v>38</v>
      </c>
      <c r="H3360">
        <v>2400</v>
      </c>
      <c r="I3360">
        <v>36</v>
      </c>
      <c r="J3360" s="6">
        <f t="shared" si="266"/>
        <v>86.4</v>
      </c>
      <c r="K3360" t="s">
        <v>397</v>
      </c>
    </row>
    <row r="3361" spans="3:11" outlineLevel="2" x14ac:dyDescent="0.3">
      <c r="C3361" s="9">
        <v>45254</v>
      </c>
      <c r="D3361" t="s">
        <v>45</v>
      </c>
      <c r="E3361" t="s">
        <v>15</v>
      </c>
      <c r="F3361" t="s">
        <v>13</v>
      </c>
      <c r="G3361" t="s">
        <v>22</v>
      </c>
      <c r="H3361">
        <v>930</v>
      </c>
      <c r="I3361">
        <v>58</v>
      </c>
      <c r="J3361" s="6">
        <f t="shared" si="266"/>
        <v>53.94</v>
      </c>
      <c r="K3361" t="s">
        <v>397</v>
      </c>
    </row>
    <row r="3362" spans="3:11" outlineLevel="2" x14ac:dyDescent="0.3">
      <c r="C3362" s="9">
        <v>45254</v>
      </c>
      <c r="D3362" t="s">
        <v>45</v>
      </c>
      <c r="E3362" t="s">
        <v>15</v>
      </c>
      <c r="F3362" t="s">
        <v>24</v>
      </c>
      <c r="G3362" t="s">
        <v>30</v>
      </c>
      <c r="H3362">
        <v>2970</v>
      </c>
      <c r="I3362">
        <v>68</v>
      </c>
      <c r="J3362" s="6">
        <f t="shared" si="266"/>
        <v>201.96</v>
      </c>
      <c r="K3362" t="s">
        <v>397</v>
      </c>
    </row>
    <row r="3363" spans="3:11" outlineLevel="2" x14ac:dyDescent="0.3">
      <c r="C3363" s="9">
        <v>45254</v>
      </c>
      <c r="D3363" t="s">
        <v>17</v>
      </c>
      <c r="E3363" t="s">
        <v>15</v>
      </c>
      <c r="F3363" t="s">
        <v>24</v>
      </c>
      <c r="G3363" t="s">
        <v>36</v>
      </c>
      <c r="H3363">
        <v>2460</v>
      </c>
      <c r="I3363">
        <v>28</v>
      </c>
      <c r="J3363" s="6">
        <f t="shared" si="266"/>
        <v>68.88</v>
      </c>
      <c r="K3363" t="s">
        <v>397</v>
      </c>
    </row>
    <row r="3364" spans="3:11" outlineLevel="2" x14ac:dyDescent="0.3">
      <c r="C3364" s="9">
        <v>45254</v>
      </c>
      <c r="D3364" t="s">
        <v>12</v>
      </c>
      <c r="E3364" t="s">
        <v>33</v>
      </c>
      <c r="F3364" t="s">
        <v>24</v>
      </c>
      <c r="G3364" t="s">
        <v>32</v>
      </c>
      <c r="H3364">
        <v>1505</v>
      </c>
      <c r="I3364">
        <v>29</v>
      </c>
      <c r="J3364" s="6">
        <f t="shared" si="266"/>
        <v>43.645000000000003</v>
      </c>
      <c r="K3364" t="s">
        <v>397</v>
      </c>
    </row>
    <row r="3365" spans="3:11" outlineLevel="2" x14ac:dyDescent="0.3">
      <c r="C3365" s="9">
        <v>45254</v>
      </c>
      <c r="D3365" t="s">
        <v>8</v>
      </c>
      <c r="E3365" t="s">
        <v>35</v>
      </c>
      <c r="F3365" t="s">
        <v>18</v>
      </c>
      <c r="G3365" t="s">
        <v>27</v>
      </c>
      <c r="H3365">
        <v>460</v>
      </c>
      <c r="I3365">
        <v>28</v>
      </c>
      <c r="J3365" s="6">
        <f t="shared" si="266"/>
        <v>12.88</v>
      </c>
      <c r="K3365" t="s">
        <v>397</v>
      </c>
    </row>
    <row r="3366" spans="3:11" outlineLevel="1" x14ac:dyDescent="0.3">
      <c r="C3366" s="13" t="s">
        <v>342</v>
      </c>
      <c r="J3366" s="6">
        <f>SUBTOTAL(9,J3354:J3365)</f>
        <v>1111.0650000000001</v>
      </c>
      <c r="K3366" t="s">
        <v>397</v>
      </c>
    </row>
    <row r="3367" spans="3:11" outlineLevel="2" x14ac:dyDescent="0.3">
      <c r="C3367" s="9">
        <v>45255</v>
      </c>
      <c r="D3367" t="s">
        <v>8</v>
      </c>
      <c r="E3367" t="s">
        <v>20</v>
      </c>
      <c r="F3367" t="s">
        <v>10</v>
      </c>
      <c r="G3367" t="s">
        <v>39</v>
      </c>
      <c r="H3367">
        <v>650</v>
      </c>
      <c r="I3367">
        <v>40</v>
      </c>
      <c r="J3367" s="6">
        <f t="shared" ref="J3367:J3377" si="267">H3367*I3367/1000</f>
        <v>26</v>
      </c>
      <c r="K3367" t="s">
        <v>397</v>
      </c>
    </row>
    <row r="3368" spans="3:11" outlineLevel="2" x14ac:dyDescent="0.3">
      <c r="C3368" s="9">
        <v>45255</v>
      </c>
      <c r="D3368" t="s">
        <v>45</v>
      </c>
      <c r="E3368" t="s">
        <v>9</v>
      </c>
      <c r="F3368" t="s">
        <v>24</v>
      </c>
      <c r="G3368" t="s">
        <v>30</v>
      </c>
      <c r="H3368">
        <v>2970</v>
      </c>
      <c r="I3368">
        <v>65</v>
      </c>
      <c r="J3368" s="6">
        <f t="shared" si="267"/>
        <v>193.05</v>
      </c>
      <c r="K3368" t="s">
        <v>397</v>
      </c>
    </row>
    <row r="3369" spans="3:11" outlineLevel="2" x14ac:dyDescent="0.3">
      <c r="C3369" s="9">
        <v>45255</v>
      </c>
      <c r="D3369" t="s">
        <v>45</v>
      </c>
      <c r="E3369" t="s">
        <v>26</v>
      </c>
      <c r="F3369" t="s">
        <v>13</v>
      </c>
      <c r="G3369" t="s">
        <v>14</v>
      </c>
      <c r="H3369">
        <v>1320</v>
      </c>
      <c r="I3369">
        <v>79</v>
      </c>
      <c r="J3369" s="6">
        <f t="shared" si="267"/>
        <v>104.28</v>
      </c>
      <c r="K3369" t="s">
        <v>397</v>
      </c>
    </row>
    <row r="3370" spans="3:11" outlineLevel="2" x14ac:dyDescent="0.3">
      <c r="C3370" s="9">
        <v>45255</v>
      </c>
      <c r="D3370" t="s">
        <v>8</v>
      </c>
      <c r="E3370" t="s">
        <v>15</v>
      </c>
      <c r="F3370" t="s">
        <v>13</v>
      </c>
      <c r="G3370" t="s">
        <v>43</v>
      </c>
      <c r="H3370">
        <v>1420</v>
      </c>
      <c r="I3370">
        <v>62</v>
      </c>
      <c r="J3370" s="6">
        <f t="shared" si="267"/>
        <v>88.04</v>
      </c>
      <c r="K3370" t="s">
        <v>397</v>
      </c>
    </row>
    <row r="3371" spans="3:11" outlineLevel="2" x14ac:dyDescent="0.3">
      <c r="C3371" s="9">
        <v>45255</v>
      </c>
      <c r="D3371" t="s">
        <v>17</v>
      </c>
      <c r="E3371" t="s">
        <v>15</v>
      </c>
      <c r="F3371" t="s">
        <v>24</v>
      </c>
      <c r="G3371" t="s">
        <v>36</v>
      </c>
      <c r="H3371">
        <v>2460</v>
      </c>
      <c r="I3371">
        <v>51</v>
      </c>
      <c r="J3371" s="6">
        <f t="shared" si="267"/>
        <v>125.46</v>
      </c>
      <c r="K3371" t="s">
        <v>397</v>
      </c>
    </row>
    <row r="3372" spans="3:11" outlineLevel="2" x14ac:dyDescent="0.3">
      <c r="C3372" s="9">
        <v>45255</v>
      </c>
      <c r="D3372" t="s">
        <v>45</v>
      </c>
      <c r="E3372" t="s">
        <v>15</v>
      </c>
      <c r="F3372" t="s">
        <v>24</v>
      </c>
      <c r="G3372" t="s">
        <v>32</v>
      </c>
      <c r="H3372">
        <v>1505</v>
      </c>
      <c r="I3372">
        <v>53</v>
      </c>
      <c r="J3372" s="6">
        <f t="shared" si="267"/>
        <v>79.765000000000001</v>
      </c>
      <c r="K3372" t="s">
        <v>397</v>
      </c>
    </row>
    <row r="3373" spans="3:11" outlineLevel="2" x14ac:dyDescent="0.3">
      <c r="C3373" s="9">
        <v>45255</v>
      </c>
      <c r="D3373" t="s">
        <v>45</v>
      </c>
      <c r="E3373" t="s">
        <v>33</v>
      </c>
      <c r="F3373" t="s">
        <v>10</v>
      </c>
      <c r="G3373" t="s">
        <v>11</v>
      </c>
      <c r="H3373">
        <v>705</v>
      </c>
      <c r="I3373">
        <v>90</v>
      </c>
      <c r="J3373" s="6">
        <f t="shared" si="267"/>
        <v>63.45</v>
      </c>
      <c r="K3373" t="s">
        <v>397</v>
      </c>
    </row>
    <row r="3374" spans="3:11" outlineLevel="2" x14ac:dyDescent="0.3">
      <c r="C3374" s="9">
        <v>45255</v>
      </c>
      <c r="D3374" t="s">
        <v>45</v>
      </c>
      <c r="E3374" t="s">
        <v>33</v>
      </c>
      <c r="F3374" t="s">
        <v>13</v>
      </c>
      <c r="G3374" t="s">
        <v>44</v>
      </c>
      <c r="H3374">
        <v>2540</v>
      </c>
      <c r="I3374">
        <v>33</v>
      </c>
      <c r="J3374" s="6">
        <f t="shared" si="267"/>
        <v>83.82</v>
      </c>
      <c r="K3374" t="s">
        <v>397</v>
      </c>
    </row>
    <row r="3375" spans="3:11" outlineLevel="2" x14ac:dyDescent="0.3">
      <c r="C3375" s="9">
        <v>45255</v>
      </c>
      <c r="D3375" t="s">
        <v>45</v>
      </c>
      <c r="E3375" t="s">
        <v>33</v>
      </c>
      <c r="F3375" t="s">
        <v>13</v>
      </c>
      <c r="G3375" t="s">
        <v>44</v>
      </c>
      <c r="H3375">
        <v>2540</v>
      </c>
      <c r="I3375">
        <v>9</v>
      </c>
      <c r="J3375" s="6">
        <f t="shared" si="267"/>
        <v>22.86</v>
      </c>
      <c r="K3375" t="s">
        <v>397</v>
      </c>
    </row>
    <row r="3376" spans="3:11" outlineLevel="2" x14ac:dyDescent="0.3">
      <c r="C3376" s="9">
        <v>45255</v>
      </c>
      <c r="D3376" t="s">
        <v>17</v>
      </c>
      <c r="E3376" t="s">
        <v>33</v>
      </c>
      <c r="F3376" t="s">
        <v>24</v>
      </c>
      <c r="G3376" t="s">
        <v>32</v>
      </c>
      <c r="H3376">
        <v>1505</v>
      </c>
      <c r="I3376">
        <v>53</v>
      </c>
      <c r="J3376" s="6">
        <f t="shared" si="267"/>
        <v>79.765000000000001</v>
      </c>
      <c r="K3376" t="s">
        <v>397</v>
      </c>
    </row>
    <row r="3377" spans="3:11" outlineLevel="2" x14ac:dyDescent="0.3">
      <c r="C3377" s="9">
        <v>45255</v>
      </c>
      <c r="D3377" t="s">
        <v>8</v>
      </c>
      <c r="E3377" t="s">
        <v>35</v>
      </c>
      <c r="F3377" t="s">
        <v>18</v>
      </c>
      <c r="G3377" t="s">
        <v>31</v>
      </c>
      <c r="H3377">
        <v>715</v>
      </c>
      <c r="I3377">
        <v>95</v>
      </c>
      <c r="J3377" s="6">
        <f t="shared" si="267"/>
        <v>67.924999999999997</v>
      </c>
      <c r="K3377" t="s">
        <v>397</v>
      </c>
    </row>
    <row r="3378" spans="3:11" outlineLevel="1" x14ac:dyDescent="0.3">
      <c r="C3378" s="13" t="s">
        <v>343</v>
      </c>
      <c r="J3378" s="6">
        <f>SUBTOTAL(9,J3367:J3377)</f>
        <v>934.41499999999996</v>
      </c>
      <c r="K3378" t="s">
        <v>397</v>
      </c>
    </row>
    <row r="3379" spans="3:11" outlineLevel="2" x14ac:dyDescent="0.3">
      <c r="C3379" s="9">
        <v>45256</v>
      </c>
      <c r="D3379" t="s">
        <v>17</v>
      </c>
      <c r="E3379" t="s">
        <v>20</v>
      </c>
      <c r="F3379" t="s">
        <v>10</v>
      </c>
      <c r="G3379" t="s">
        <v>16</v>
      </c>
      <c r="H3379">
        <v>1380</v>
      </c>
      <c r="I3379">
        <v>65</v>
      </c>
      <c r="J3379" s="6">
        <f t="shared" ref="J3379:J3385" si="268">H3379*I3379/1000</f>
        <v>89.7</v>
      </c>
      <c r="K3379" t="s">
        <v>397</v>
      </c>
    </row>
    <row r="3380" spans="3:11" outlineLevel="2" x14ac:dyDescent="0.3">
      <c r="C3380" s="9">
        <v>45256</v>
      </c>
      <c r="D3380" t="s">
        <v>8</v>
      </c>
      <c r="E3380" t="s">
        <v>20</v>
      </c>
      <c r="F3380" t="s">
        <v>18</v>
      </c>
      <c r="G3380" t="s">
        <v>31</v>
      </c>
      <c r="H3380">
        <v>715</v>
      </c>
      <c r="I3380">
        <v>11</v>
      </c>
      <c r="J3380" s="6">
        <f t="shared" si="268"/>
        <v>7.8650000000000002</v>
      </c>
      <c r="K3380" t="s">
        <v>397</v>
      </c>
    </row>
    <row r="3381" spans="3:11" outlineLevel="2" x14ac:dyDescent="0.3">
      <c r="C3381" s="9">
        <v>45256</v>
      </c>
      <c r="D3381" t="s">
        <v>45</v>
      </c>
      <c r="E3381" t="s">
        <v>20</v>
      </c>
      <c r="F3381" t="s">
        <v>13</v>
      </c>
      <c r="G3381" t="s">
        <v>29</v>
      </c>
      <c r="H3381">
        <v>1230</v>
      </c>
      <c r="I3381">
        <v>18</v>
      </c>
      <c r="J3381" s="6">
        <f t="shared" si="268"/>
        <v>22.14</v>
      </c>
      <c r="K3381" t="s">
        <v>397</v>
      </c>
    </row>
    <row r="3382" spans="3:11" outlineLevel="2" x14ac:dyDescent="0.3">
      <c r="C3382" s="9">
        <v>45256</v>
      </c>
      <c r="D3382" t="s">
        <v>17</v>
      </c>
      <c r="E3382" t="s">
        <v>20</v>
      </c>
      <c r="F3382" t="s">
        <v>13</v>
      </c>
      <c r="G3382" t="s">
        <v>43</v>
      </c>
      <c r="H3382">
        <v>1420</v>
      </c>
      <c r="I3382">
        <v>42</v>
      </c>
      <c r="J3382" s="6">
        <f t="shared" si="268"/>
        <v>59.64</v>
      </c>
      <c r="K3382" t="s">
        <v>397</v>
      </c>
    </row>
    <row r="3383" spans="3:11" outlineLevel="2" x14ac:dyDescent="0.3">
      <c r="C3383" s="9">
        <v>45256</v>
      </c>
      <c r="D3383" t="s">
        <v>8</v>
      </c>
      <c r="E3383" t="s">
        <v>9</v>
      </c>
      <c r="F3383" t="s">
        <v>13</v>
      </c>
      <c r="G3383" t="s">
        <v>14</v>
      </c>
      <c r="H3383">
        <v>1320</v>
      </c>
      <c r="I3383">
        <v>66</v>
      </c>
      <c r="J3383" s="6">
        <f t="shared" si="268"/>
        <v>87.12</v>
      </c>
      <c r="K3383" t="s">
        <v>397</v>
      </c>
    </row>
    <row r="3384" spans="3:11" outlineLevel="2" x14ac:dyDescent="0.3">
      <c r="C3384" s="9">
        <v>45256</v>
      </c>
      <c r="D3384" t="s">
        <v>8</v>
      </c>
      <c r="E3384" t="s">
        <v>26</v>
      </c>
      <c r="F3384" t="s">
        <v>24</v>
      </c>
      <c r="G3384" t="s">
        <v>36</v>
      </c>
      <c r="H3384">
        <v>2460</v>
      </c>
      <c r="I3384">
        <v>21</v>
      </c>
      <c r="J3384" s="6">
        <f t="shared" si="268"/>
        <v>51.66</v>
      </c>
      <c r="K3384" t="s">
        <v>397</v>
      </c>
    </row>
    <row r="3385" spans="3:11" outlineLevel="2" x14ac:dyDescent="0.3">
      <c r="C3385" s="9">
        <v>45256</v>
      </c>
      <c r="D3385" t="s">
        <v>8</v>
      </c>
      <c r="E3385" t="s">
        <v>26</v>
      </c>
      <c r="F3385" t="s">
        <v>24</v>
      </c>
      <c r="G3385" t="s">
        <v>34</v>
      </c>
      <c r="H3385">
        <v>1670</v>
      </c>
      <c r="I3385">
        <v>88</v>
      </c>
      <c r="J3385" s="6">
        <f t="shared" si="268"/>
        <v>146.96</v>
      </c>
      <c r="K3385" t="s">
        <v>397</v>
      </c>
    </row>
    <row r="3386" spans="3:11" outlineLevel="1" x14ac:dyDescent="0.3">
      <c r="C3386" s="13" t="s">
        <v>344</v>
      </c>
      <c r="J3386" s="6">
        <f>SUBTOTAL(9,J3379:J3385)</f>
        <v>465.08500000000004</v>
      </c>
      <c r="K3386" t="s">
        <v>397</v>
      </c>
    </row>
    <row r="3387" spans="3:11" outlineLevel="2" x14ac:dyDescent="0.3">
      <c r="C3387" s="9">
        <v>45257</v>
      </c>
      <c r="D3387" t="s">
        <v>17</v>
      </c>
      <c r="E3387" t="s">
        <v>20</v>
      </c>
      <c r="F3387" t="s">
        <v>10</v>
      </c>
      <c r="G3387" t="s">
        <v>16</v>
      </c>
      <c r="H3387">
        <v>1380</v>
      </c>
      <c r="I3387">
        <v>44</v>
      </c>
      <c r="J3387" s="6">
        <f t="shared" ref="J3387:J3403" si="269">H3387*I3387/1000</f>
        <v>60.72</v>
      </c>
      <c r="K3387" t="s">
        <v>397</v>
      </c>
    </row>
    <row r="3388" spans="3:11" outlineLevel="2" x14ac:dyDescent="0.3">
      <c r="C3388" s="9">
        <v>45257</v>
      </c>
      <c r="D3388" t="s">
        <v>12</v>
      </c>
      <c r="E3388" t="s">
        <v>20</v>
      </c>
      <c r="F3388" t="s">
        <v>18</v>
      </c>
      <c r="G3388" t="s">
        <v>28</v>
      </c>
      <c r="H3388">
        <v>690</v>
      </c>
      <c r="I3388">
        <v>21</v>
      </c>
      <c r="J3388" s="6">
        <f t="shared" si="269"/>
        <v>14.49</v>
      </c>
      <c r="K3388" t="s">
        <v>397</v>
      </c>
    </row>
    <row r="3389" spans="3:11" outlineLevel="2" x14ac:dyDescent="0.3">
      <c r="C3389" s="9">
        <v>45257</v>
      </c>
      <c r="D3389" t="s">
        <v>12</v>
      </c>
      <c r="E3389" t="s">
        <v>20</v>
      </c>
      <c r="F3389" t="s">
        <v>24</v>
      </c>
      <c r="G3389" t="s">
        <v>42</v>
      </c>
      <c r="H3389">
        <v>3205</v>
      </c>
      <c r="I3389">
        <v>17</v>
      </c>
      <c r="J3389" s="6">
        <f t="shared" si="269"/>
        <v>54.484999999999999</v>
      </c>
      <c r="K3389" t="s">
        <v>397</v>
      </c>
    </row>
    <row r="3390" spans="3:11" outlineLevel="2" x14ac:dyDescent="0.3">
      <c r="C3390" s="9">
        <v>45257</v>
      </c>
      <c r="D3390" t="s">
        <v>45</v>
      </c>
      <c r="E3390" t="s">
        <v>20</v>
      </c>
      <c r="F3390" t="s">
        <v>24</v>
      </c>
      <c r="G3390" t="s">
        <v>36</v>
      </c>
      <c r="H3390">
        <v>2460</v>
      </c>
      <c r="I3390">
        <v>33</v>
      </c>
      <c r="J3390" s="6">
        <f t="shared" si="269"/>
        <v>81.180000000000007</v>
      </c>
      <c r="K3390" t="s">
        <v>397</v>
      </c>
    </row>
    <row r="3391" spans="3:11" outlineLevel="2" x14ac:dyDescent="0.3">
      <c r="C3391" s="9">
        <v>45257</v>
      </c>
      <c r="D3391" t="s">
        <v>8</v>
      </c>
      <c r="E3391" t="s">
        <v>20</v>
      </c>
      <c r="F3391" t="s">
        <v>24</v>
      </c>
      <c r="G3391" t="s">
        <v>25</v>
      </c>
      <c r="H3391">
        <v>1760</v>
      </c>
      <c r="I3391">
        <v>100</v>
      </c>
      <c r="J3391" s="6">
        <f t="shared" si="269"/>
        <v>176</v>
      </c>
      <c r="K3391" t="s">
        <v>397</v>
      </c>
    </row>
    <row r="3392" spans="3:11" outlineLevel="2" x14ac:dyDescent="0.3">
      <c r="C3392" s="9">
        <v>45257</v>
      </c>
      <c r="D3392" t="s">
        <v>12</v>
      </c>
      <c r="E3392" t="s">
        <v>26</v>
      </c>
      <c r="F3392" t="s">
        <v>18</v>
      </c>
      <c r="G3392" t="s">
        <v>37</v>
      </c>
      <c r="H3392">
        <v>890</v>
      </c>
      <c r="I3392">
        <v>54</v>
      </c>
      <c r="J3392" s="6">
        <f t="shared" si="269"/>
        <v>48.06</v>
      </c>
      <c r="K3392" t="s">
        <v>397</v>
      </c>
    </row>
    <row r="3393" spans="3:11" outlineLevel="2" x14ac:dyDescent="0.3">
      <c r="C3393" s="9">
        <v>45257</v>
      </c>
      <c r="D3393" t="s">
        <v>12</v>
      </c>
      <c r="E3393" t="s">
        <v>26</v>
      </c>
      <c r="F3393" t="s">
        <v>13</v>
      </c>
      <c r="G3393" t="s">
        <v>44</v>
      </c>
      <c r="H3393">
        <v>2540</v>
      </c>
      <c r="I3393">
        <v>42</v>
      </c>
      <c r="J3393" s="6">
        <f t="shared" si="269"/>
        <v>106.68</v>
      </c>
      <c r="K3393" t="s">
        <v>397</v>
      </c>
    </row>
    <row r="3394" spans="3:11" outlineLevel="2" x14ac:dyDescent="0.3">
      <c r="C3394" s="9">
        <v>45257</v>
      </c>
      <c r="D3394" t="s">
        <v>12</v>
      </c>
      <c r="E3394" t="s">
        <v>26</v>
      </c>
      <c r="F3394" t="s">
        <v>24</v>
      </c>
      <c r="G3394" t="s">
        <v>32</v>
      </c>
      <c r="H3394">
        <v>1505</v>
      </c>
      <c r="I3394">
        <v>40</v>
      </c>
      <c r="J3394" s="6">
        <f t="shared" si="269"/>
        <v>60.2</v>
      </c>
      <c r="K3394" t="s">
        <v>397</v>
      </c>
    </row>
    <row r="3395" spans="3:11" outlineLevel="2" x14ac:dyDescent="0.3">
      <c r="C3395" s="9">
        <v>45257</v>
      </c>
      <c r="D3395" t="s">
        <v>8</v>
      </c>
      <c r="E3395" t="s">
        <v>15</v>
      </c>
      <c r="F3395" t="s">
        <v>18</v>
      </c>
      <c r="G3395" t="s">
        <v>37</v>
      </c>
      <c r="H3395">
        <v>890</v>
      </c>
      <c r="I3395">
        <v>95</v>
      </c>
      <c r="J3395" s="6">
        <f t="shared" si="269"/>
        <v>84.55</v>
      </c>
      <c r="K3395" t="s">
        <v>397</v>
      </c>
    </row>
    <row r="3396" spans="3:11" outlineLevel="2" x14ac:dyDescent="0.3">
      <c r="C3396" s="9">
        <v>45257</v>
      </c>
      <c r="D3396" t="s">
        <v>8</v>
      </c>
      <c r="E3396" t="s">
        <v>15</v>
      </c>
      <c r="F3396" t="s">
        <v>18</v>
      </c>
      <c r="G3396" t="s">
        <v>37</v>
      </c>
      <c r="H3396">
        <v>890</v>
      </c>
      <c r="I3396">
        <v>52</v>
      </c>
      <c r="J3396" s="6">
        <f t="shared" si="269"/>
        <v>46.28</v>
      </c>
      <c r="K3396" t="s">
        <v>397</v>
      </c>
    </row>
    <row r="3397" spans="3:11" outlineLevel="2" x14ac:dyDescent="0.3">
      <c r="C3397" s="9">
        <v>45257</v>
      </c>
      <c r="D3397" t="s">
        <v>12</v>
      </c>
      <c r="E3397" t="s">
        <v>15</v>
      </c>
      <c r="F3397" t="s">
        <v>13</v>
      </c>
      <c r="G3397" t="s">
        <v>14</v>
      </c>
      <c r="H3397">
        <v>1320</v>
      </c>
      <c r="I3397">
        <v>77</v>
      </c>
      <c r="J3397" s="6">
        <f t="shared" si="269"/>
        <v>101.64</v>
      </c>
      <c r="K3397" t="s">
        <v>397</v>
      </c>
    </row>
    <row r="3398" spans="3:11" outlineLevel="2" x14ac:dyDescent="0.3">
      <c r="C3398" s="9">
        <v>45257</v>
      </c>
      <c r="D3398" t="s">
        <v>45</v>
      </c>
      <c r="E3398" t="s">
        <v>33</v>
      </c>
      <c r="F3398" t="s">
        <v>18</v>
      </c>
      <c r="G3398" t="s">
        <v>27</v>
      </c>
      <c r="H3398">
        <v>460</v>
      </c>
      <c r="I3398">
        <v>78</v>
      </c>
      <c r="J3398" s="6">
        <f t="shared" si="269"/>
        <v>35.880000000000003</v>
      </c>
      <c r="K3398" t="s">
        <v>397</v>
      </c>
    </row>
    <row r="3399" spans="3:11" outlineLevel="2" x14ac:dyDescent="0.3">
      <c r="C3399" s="9">
        <v>45257</v>
      </c>
      <c r="D3399" t="s">
        <v>12</v>
      </c>
      <c r="E3399" t="s">
        <v>33</v>
      </c>
      <c r="F3399" t="s">
        <v>18</v>
      </c>
      <c r="G3399" t="s">
        <v>27</v>
      </c>
      <c r="H3399">
        <v>460</v>
      </c>
      <c r="I3399">
        <v>98</v>
      </c>
      <c r="J3399" s="6">
        <f t="shared" si="269"/>
        <v>45.08</v>
      </c>
      <c r="K3399" t="s">
        <v>397</v>
      </c>
    </row>
    <row r="3400" spans="3:11" outlineLevel="2" x14ac:dyDescent="0.3">
      <c r="C3400" s="9">
        <v>45257</v>
      </c>
      <c r="D3400" t="s">
        <v>17</v>
      </c>
      <c r="E3400" t="s">
        <v>33</v>
      </c>
      <c r="F3400" t="s">
        <v>13</v>
      </c>
      <c r="G3400" t="s">
        <v>22</v>
      </c>
      <c r="H3400">
        <v>930</v>
      </c>
      <c r="I3400">
        <v>12</v>
      </c>
      <c r="J3400" s="6">
        <f t="shared" si="269"/>
        <v>11.16</v>
      </c>
      <c r="K3400" t="s">
        <v>397</v>
      </c>
    </row>
    <row r="3401" spans="3:11" outlineLevel="2" x14ac:dyDescent="0.3">
      <c r="C3401" s="9">
        <v>45257</v>
      </c>
      <c r="D3401" t="s">
        <v>12</v>
      </c>
      <c r="E3401" t="s">
        <v>33</v>
      </c>
      <c r="F3401" t="s">
        <v>13</v>
      </c>
      <c r="G3401" t="s">
        <v>29</v>
      </c>
      <c r="H3401">
        <v>1230</v>
      </c>
      <c r="I3401">
        <v>59</v>
      </c>
      <c r="J3401" s="6">
        <f t="shared" si="269"/>
        <v>72.569999999999993</v>
      </c>
      <c r="K3401" t="s">
        <v>397</v>
      </c>
    </row>
    <row r="3402" spans="3:11" outlineLevel="2" x14ac:dyDescent="0.3">
      <c r="C3402" s="9">
        <v>45257</v>
      </c>
      <c r="D3402" t="s">
        <v>17</v>
      </c>
      <c r="E3402" t="s">
        <v>33</v>
      </c>
      <c r="F3402" t="s">
        <v>24</v>
      </c>
      <c r="G3402" t="s">
        <v>32</v>
      </c>
      <c r="H3402">
        <v>1505</v>
      </c>
      <c r="I3402">
        <v>63</v>
      </c>
      <c r="J3402" s="6">
        <f t="shared" si="269"/>
        <v>94.814999999999998</v>
      </c>
      <c r="K3402" t="s">
        <v>397</v>
      </c>
    </row>
    <row r="3403" spans="3:11" outlineLevel="2" x14ac:dyDescent="0.3">
      <c r="C3403" s="9">
        <v>45257</v>
      </c>
      <c r="D3403" t="s">
        <v>8</v>
      </c>
      <c r="E3403" t="s">
        <v>35</v>
      </c>
      <c r="F3403" t="s">
        <v>10</v>
      </c>
      <c r="G3403" t="s">
        <v>16</v>
      </c>
      <c r="H3403">
        <v>1380</v>
      </c>
      <c r="I3403">
        <v>30</v>
      </c>
      <c r="J3403" s="6">
        <f t="shared" si="269"/>
        <v>41.4</v>
      </c>
      <c r="K3403" t="s">
        <v>397</v>
      </c>
    </row>
    <row r="3404" spans="3:11" outlineLevel="1" x14ac:dyDescent="0.3">
      <c r="C3404" s="13" t="s">
        <v>345</v>
      </c>
      <c r="J3404" s="6">
        <f>SUBTOTAL(9,J3387:J3403)</f>
        <v>1135.19</v>
      </c>
      <c r="K3404" t="s">
        <v>397</v>
      </c>
    </row>
    <row r="3405" spans="3:11" outlineLevel="2" x14ac:dyDescent="0.3">
      <c r="C3405" s="9">
        <v>45258</v>
      </c>
      <c r="D3405" t="s">
        <v>8</v>
      </c>
      <c r="E3405" t="s">
        <v>20</v>
      </c>
      <c r="F3405" t="s">
        <v>18</v>
      </c>
      <c r="G3405" t="s">
        <v>21</v>
      </c>
      <c r="H3405">
        <v>450</v>
      </c>
      <c r="I3405">
        <v>88</v>
      </c>
      <c r="J3405" s="6">
        <f t="shared" ref="J3405:J3415" si="270">H3405*I3405/1000</f>
        <v>39.6</v>
      </c>
      <c r="K3405" t="s">
        <v>397</v>
      </c>
    </row>
    <row r="3406" spans="3:11" outlineLevel="2" x14ac:dyDescent="0.3">
      <c r="C3406" s="9">
        <v>45258</v>
      </c>
      <c r="D3406" t="s">
        <v>45</v>
      </c>
      <c r="E3406" t="s">
        <v>20</v>
      </c>
      <c r="F3406" t="s">
        <v>18</v>
      </c>
      <c r="G3406" t="s">
        <v>37</v>
      </c>
      <c r="H3406">
        <v>890</v>
      </c>
      <c r="I3406">
        <v>22</v>
      </c>
      <c r="J3406" s="6">
        <f t="shared" si="270"/>
        <v>19.579999999999998</v>
      </c>
      <c r="K3406" t="s">
        <v>397</v>
      </c>
    </row>
    <row r="3407" spans="3:11" outlineLevel="2" x14ac:dyDescent="0.3">
      <c r="C3407" s="9">
        <v>45258</v>
      </c>
      <c r="D3407" t="s">
        <v>17</v>
      </c>
      <c r="E3407" t="s">
        <v>9</v>
      </c>
      <c r="F3407" t="s">
        <v>18</v>
      </c>
      <c r="G3407" t="s">
        <v>28</v>
      </c>
      <c r="H3407">
        <v>690</v>
      </c>
      <c r="I3407">
        <v>35</v>
      </c>
      <c r="J3407" s="6">
        <f t="shared" si="270"/>
        <v>24.15</v>
      </c>
      <c r="K3407" t="s">
        <v>397</v>
      </c>
    </row>
    <row r="3408" spans="3:11" outlineLevel="2" x14ac:dyDescent="0.3">
      <c r="C3408" s="9">
        <v>45258</v>
      </c>
      <c r="D3408" t="s">
        <v>17</v>
      </c>
      <c r="E3408" t="s">
        <v>26</v>
      </c>
      <c r="F3408" t="s">
        <v>18</v>
      </c>
      <c r="G3408" t="s">
        <v>19</v>
      </c>
      <c r="H3408">
        <v>325</v>
      </c>
      <c r="I3408">
        <v>70</v>
      </c>
      <c r="J3408" s="6">
        <f t="shared" si="270"/>
        <v>22.75</v>
      </c>
      <c r="K3408" t="s">
        <v>397</v>
      </c>
    </row>
    <row r="3409" spans="3:11" outlineLevel="2" x14ac:dyDescent="0.3">
      <c r="C3409" s="9">
        <v>45258</v>
      </c>
      <c r="D3409" t="s">
        <v>17</v>
      </c>
      <c r="E3409" t="s">
        <v>26</v>
      </c>
      <c r="F3409" t="s">
        <v>18</v>
      </c>
      <c r="G3409" t="s">
        <v>31</v>
      </c>
      <c r="H3409">
        <v>715</v>
      </c>
      <c r="I3409">
        <v>31</v>
      </c>
      <c r="J3409" s="6">
        <f t="shared" si="270"/>
        <v>22.164999999999999</v>
      </c>
      <c r="K3409" t="s">
        <v>397</v>
      </c>
    </row>
    <row r="3410" spans="3:11" outlineLevel="2" x14ac:dyDescent="0.3">
      <c r="C3410" s="9">
        <v>45258</v>
      </c>
      <c r="D3410" t="s">
        <v>45</v>
      </c>
      <c r="E3410" t="s">
        <v>26</v>
      </c>
      <c r="F3410" t="s">
        <v>24</v>
      </c>
      <c r="G3410" t="s">
        <v>42</v>
      </c>
      <c r="H3410">
        <v>3205</v>
      </c>
      <c r="I3410">
        <v>8</v>
      </c>
      <c r="J3410" s="6">
        <f t="shared" si="270"/>
        <v>25.64</v>
      </c>
      <c r="K3410" t="s">
        <v>397</v>
      </c>
    </row>
    <row r="3411" spans="3:11" outlineLevel="2" x14ac:dyDescent="0.3">
      <c r="C3411" s="9">
        <v>45258</v>
      </c>
      <c r="D3411" t="s">
        <v>17</v>
      </c>
      <c r="E3411" t="s">
        <v>15</v>
      </c>
      <c r="F3411" t="s">
        <v>10</v>
      </c>
      <c r="G3411" t="s">
        <v>39</v>
      </c>
      <c r="H3411">
        <v>650</v>
      </c>
      <c r="I3411">
        <v>24</v>
      </c>
      <c r="J3411" s="6">
        <f t="shared" si="270"/>
        <v>15.6</v>
      </c>
      <c r="K3411" t="s">
        <v>397</v>
      </c>
    </row>
    <row r="3412" spans="3:11" outlineLevel="2" x14ac:dyDescent="0.3">
      <c r="C3412" s="9">
        <v>45258</v>
      </c>
      <c r="D3412" t="s">
        <v>45</v>
      </c>
      <c r="E3412" t="s">
        <v>15</v>
      </c>
      <c r="F3412" t="s">
        <v>10</v>
      </c>
      <c r="G3412" t="s">
        <v>23</v>
      </c>
      <c r="H3412">
        <v>640</v>
      </c>
      <c r="I3412">
        <v>12</v>
      </c>
      <c r="J3412" s="6">
        <f t="shared" si="270"/>
        <v>7.68</v>
      </c>
      <c r="K3412" t="s">
        <v>397</v>
      </c>
    </row>
    <row r="3413" spans="3:11" outlineLevel="2" x14ac:dyDescent="0.3">
      <c r="C3413" s="9">
        <v>45258</v>
      </c>
      <c r="D3413" t="s">
        <v>8</v>
      </c>
      <c r="E3413" t="s">
        <v>15</v>
      </c>
      <c r="F3413" t="s">
        <v>13</v>
      </c>
      <c r="G3413" t="s">
        <v>43</v>
      </c>
      <c r="H3413">
        <v>1420</v>
      </c>
      <c r="I3413">
        <v>7</v>
      </c>
      <c r="J3413" s="6">
        <f t="shared" si="270"/>
        <v>9.94</v>
      </c>
      <c r="K3413" t="s">
        <v>397</v>
      </c>
    </row>
    <row r="3414" spans="3:11" outlineLevel="2" x14ac:dyDescent="0.3">
      <c r="C3414" s="9">
        <v>45258</v>
      </c>
      <c r="D3414" t="s">
        <v>45</v>
      </c>
      <c r="E3414" t="s">
        <v>33</v>
      </c>
      <c r="F3414" t="s">
        <v>24</v>
      </c>
      <c r="G3414" t="s">
        <v>36</v>
      </c>
      <c r="H3414">
        <v>2460</v>
      </c>
      <c r="I3414">
        <v>10</v>
      </c>
      <c r="J3414" s="6">
        <f t="shared" si="270"/>
        <v>24.6</v>
      </c>
      <c r="K3414" t="s">
        <v>397</v>
      </c>
    </row>
    <row r="3415" spans="3:11" outlineLevel="2" x14ac:dyDescent="0.3">
      <c r="C3415" s="9">
        <v>45258</v>
      </c>
      <c r="D3415" t="s">
        <v>12</v>
      </c>
      <c r="E3415" t="s">
        <v>35</v>
      </c>
      <c r="F3415" t="s">
        <v>18</v>
      </c>
      <c r="G3415" t="s">
        <v>21</v>
      </c>
      <c r="H3415">
        <v>450</v>
      </c>
      <c r="I3415">
        <v>99</v>
      </c>
      <c r="J3415" s="6">
        <f t="shared" si="270"/>
        <v>44.55</v>
      </c>
      <c r="K3415" t="s">
        <v>397</v>
      </c>
    </row>
    <row r="3416" spans="3:11" outlineLevel="1" x14ac:dyDescent="0.3">
      <c r="C3416" s="13" t="s">
        <v>346</v>
      </c>
      <c r="J3416" s="6">
        <f>SUBTOTAL(9,J3405:J3415)</f>
        <v>256.255</v>
      </c>
      <c r="K3416" t="s">
        <v>397</v>
      </c>
    </row>
    <row r="3417" spans="3:11" outlineLevel="2" x14ac:dyDescent="0.3">
      <c r="C3417" s="9">
        <v>45259</v>
      </c>
      <c r="D3417" t="s">
        <v>45</v>
      </c>
      <c r="E3417" t="s">
        <v>26</v>
      </c>
      <c r="F3417" t="s">
        <v>24</v>
      </c>
      <c r="G3417" t="s">
        <v>32</v>
      </c>
      <c r="H3417">
        <v>1505</v>
      </c>
      <c r="I3417">
        <v>54</v>
      </c>
      <c r="J3417" s="6">
        <f t="shared" ref="J3417:J3424" si="271">H3417*I3417/1000</f>
        <v>81.27</v>
      </c>
      <c r="K3417" t="s">
        <v>397</v>
      </c>
    </row>
    <row r="3418" spans="3:11" outlineLevel="2" x14ac:dyDescent="0.3">
      <c r="C3418" s="9">
        <v>45259</v>
      </c>
      <c r="D3418" t="s">
        <v>45</v>
      </c>
      <c r="E3418" t="s">
        <v>15</v>
      </c>
      <c r="F3418" t="s">
        <v>18</v>
      </c>
      <c r="G3418" t="s">
        <v>28</v>
      </c>
      <c r="H3418">
        <v>690</v>
      </c>
      <c r="I3418">
        <v>7</v>
      </c>
      <c r="J3418" s="6">
        <f t="shared" si="271"/>
        <v>4.83</v>
      </c>
      <c r="K3418" t="s">
        <v>397</v>
      </c>
    </row>
    <row r="3419" spans="3:11" outlineLevel="2" x14ac:dyDescent="0.3">
      <c r="C3419" s="9">
        <v>45259</v>
      </c>
      <c r="D3419" t="s">
        <v>17</v>
      </c>
      <c r="E3419" t="s">
        <v>15</v>
      </c>
      <c r="F3419" t="s">
        <v>13</v>
      </c>
      <c r="G3419" t="s">
        <v>44</v>
      </c>
      <c r="H3419">
        <v>2540</v>
      </c>
      <c r="I3419">
        <v>28</v>
      </c>
      <c r="J3419" s="6">
        <f t="shared" si="271"/>
        <v>71.12</v>
      </c>
      <c r="K3419" t="s">
        <v>397</v>
      </c>
    </row>
    <row r="3420" spans="3:11" outlineLevel="2" x14ac:dyDescent="0.3">
      <c r="C3420" s="9">
        <v>45259</v>
      </c>
      <c r="D3420" t="s">
        <v>17</v>
      </c>
      <c r="E3420" t="s">
        <v>33</v>
      </c>
      <c r="F3420" t="s">
        <v>10</v>
      </c>
      <c r="G3420" t="s">
        <v>23</v>
      </c>
      <c r="H3420">
        <v>640</v>
      </c>
      <c r="I3420">
        <v>87</v>
      </c>
      <c r="J3420" s="6">
        <f t="shared" si="271"/>
        <v>55.68</v>
      </c>
      <c r="K3420" t="s">
        <v>397</v>
      </c>
    </row>
    <row r="3421" spans="3:11" outlineLevel="2" x14ac:dyDescent="0.3">
      <c r="C3421" s="9">
        <v>45259</v>
      </c>
      <c r="D3421" t="s">
        <v>17</v>
      </c>
      <c r="E3421" t="s">
        <v>33</v>
      </c>
      <c r="F3421" t="s">
        <v>10</v>
      </c>
      <c r="G3421" t="s">
        <v>11</v>
      </c>
      <c r="H3421">
        <v>705</v>
      </c>
      <c r="I3421">
        <v>65</v>
      </c>
      <c r="J3421" s="6">
        <f t="shared" si="271"/>
        <v>45.825000000000003</v>
      </c>
      <c r="K3421" t="s">
        <v>397</v>
      </c>
    </row>
    <row r="3422" spans="3:11" outlineLevel="2" x14ac:dyDescent="0.3">
      <c r="C3422" s="9">
        <v>45259</v>
      </c>
      <c r="D3422" t="s">
        <v>17</v>
      </c>
      <c r="E3422" t="s">
        <v>33</v>
      </c>
      <c r="F3422" t="s">
        <v>24</v>
      </c>
      <c r="G3422" t="s">
        <v>34</v>
      </c>
      <c r="H3422">
        <v>1670</v>
      </c>
      <c r="I3422">
        <v>81</v>
      </c>
      <c r="J3422" s="6">
        <f t="shared" si="271"/>
        <v>135.27000000000001</v>
      </c>
      <c r="K3422" t="s">
        <v>397</v>
      </c>
    </row>
    <row r="3423" spans="3:11" outlineLevel="2" x14ac:dyDescent="0.3">
      <c r="C3423" s="9">
        <v>45259</v>
      </c>
      <c r="D3423" t="s">
        <v>12</v>
      </c>
      <c r="E3423" t="s">
        <v>33</v>
      </c>
      <c r="F3423" t="s">
        <v>24</v>
      </c>
      <c r="G3423" t="s">
        <v>34</v>
      </c>
      <c r="H3423">
        <v>1670</v>
      </c>
      <c r="I3423">
        <v>60</v>
      </c>
      <c r="J3423" s="6">
        <f t="shared" si="271"/>
        <v>100.2</v>
      </c>
      <c r="K3423" t="s">
        <v>397</v>
      </c>
    </row>
    <row r="3424" spans="3:11" outlineLevel="2" x14ac:dyDescent="0.3">
      <c r="C3424" s="9">
        <v>45259</v>
      </c>
      <c r="D3424" t="s">
        <v>12</v>
      </c>
      <c r="E3424" t="s">
        <v>35</v>
      </c>
      <c r="F3424" t="s">
        <v>13</v>
      </c>
      <c r="G3424" t="s">
        <v>22</v>
      </c>
      <c r="H3424">
        <v>930</v>
      </c>
      <c r="I3424">
        <v>52</v>
      </c>
      <c r="J3424" s="6">
        <f t="shared" si="271"/>
        <v>48.36</v>
      </c>
      <c r="K3424" t="s">
        <v>397</v>
      </c>
    </row>
    <row r="3425" spans="3:11" outlineLevel="1" x14ac:dyDescent="0.3">
      <c r="C3425" s="13" t="s">
        <v>347</v>
      </c>
      <c r="J3425" s="6">
        <f>SUBTOTAL(9,J3417:J3424)</f>
        <v>542.55499999999995</v>
      </c>
      <c r="K3425" t="s">
        <v>397</v>
      </c>
    </row>
    <row r="3426" spans="3:11" outlineLevel="2" x14ac:dyDescent="0.3">
      <c r="C3426" s="9">
        <v>45260</v>
      </c>
      <c r="D3426" t="s">
        <v>8</v>
      </c>
      <c r="E3426" t="s">
        <v>20</v>
      </c>
      <c r="F3426" t="s">
        <v>24</v>
      </c>
      <c r="G3426" t="s">
        <v>36</v>
      </c>
      <c r="H3426">
        <v>2460</v>
      </c>
      <c r="I3426">
        <v>96</v>
      </c>
      <c r="J3426" s="6">
        <f t="shared" ref="J3426:J3433" si="272">H3426*I3426/1000</f>
        <v>236.16</v>
      </c>
      <c r="K3426" t="s">
        <v>397</v>
      </c>
    </row>
    <row r="3427" spans="3:11" outlineLevel="2" x14ac:dyDescent="0.3">
      <c r="C3427" s="9">
        <v>45260</v>
      </c>
      <c r="D3427" t="s">
        <v>8</v>
      </c>
      <c r="E3427" t="s">
        <v>20</v>
      </c>
      <c r="F3427" t="s">
        <v>24</v>
      </c>
      <c r="G3427" t="s">
        <v>25</v>
      </c>
      <c r="H3427">
        <v>1760</v>
      </c>
      <c r="I3427">
        <v>18</v>
      </c>
      <c r="J3427" s="6">
        <f t="shared" si="272"/>
        <v>31.68</v>
      </c>
      <c r="K3427" t="s">
        <v>397</v>
      </c>
    </row>
    <row r="3428" spans="3:11" outlineLevel="2" x14ac:dyDescent="0.3">
      <c r="C3428" s="9">
        <v>45260</v>
      </c>
      <c r="D3428" t="s">
        <v>12</v>
      </c>
      <c r="E3428" t="s">
        <v>9</v>
      </c>
      <c r="F3428" t="s">
        <v>24</v>
      </c>
      <c r="G3428" t="s">
        <v>36</v>
      </c>
      <c r="H3428">
        <v>2460</v>
      </c>
      <c r="I3428">
        <v>69</v>
      </c>
      <c r="J3428" s="6">
        <f t="shared" si="272"/>
        <v>169.74</v>
      </c>
      <c r="K3428" t="s">
        <v>397</v>
      </c>
    </row>
    <row r="3429" spans="3:11" outlineLevel="2" x14ac:dyDescent="0.3">
      <c r="C3429" s="9">
        <v>45260</v>
      </c>
      <c r="D3429" t="s">
        <v>12</v>
      </c>
      <c r="E3429" t="s">
        <v>26</v>
      </c>
      <c r="F3429" t="s">
        <v>18</v>
      </c>
      <c r="G3429" t="s">
        <v>28</v>
      </c>
      <c r="H3429">
        <v>690</v>
      </c>
      <c r="I3429">
        <v>63</v>
      </c>
      <c r="J3429" s="6">
        <f t="shared" si="272"/>
        <v>43.47</v>
      </c>
      <c r="K3429" t="s">
        <v>397</v>
      </c>
    </row>
    <row r="3430" spans="3:11" outlineLevel="2" x14ac:dyDescent="0.3">
      <c r="C3430" s="9">
        <v>45260</v>
      </c>
      <c r="D3430" t="s">
        <v>45</v>
      </c>
      <c r="E3430" t="s">
        <v>26</v>
      </c>
      <c r="F3430" t="s">
        <v>24</v>
      </c>
      <c r="G3430" t="s">
        <v>34</v>
      </c>
      <c r="H3430">
        <v>1670</v>
      </c>
      <c r="I3430">
        <v>72</v>
      </c>
      <c r="J3430" s="6">
        <f t="shared" si="272"/>
        <v>120.24</v>
      </c>
      <c r="K3430" t="s">
        <v>397</v>
      </c>
    </row>
    <row r="3431" spans="3:11" outlineLevel="2" x14ac:dyDescent="0.3">
      <c r="C3431" s="9">
        <v>45260</v>
      </c>
      <c r="D3431" t="s">
        <v>17</v>
      </c>
      <c r="E3431" t="s">
        <v>33</v>
      </c>
      <c r="F3431" t="s">
        <v>13</v>
      </c>
      <c r="G3431" t="s">
        <v>43</v>
      </c>
      <c r="H3431">
        <v>1420</v>
      </c>
      <c r="I3431">
        <v>36</v>
      </c>
      <c r="J3431" s="6">
        <f t="shared" si="272"/>
        <v>51.12</v>
      </c>
      <c r="K3431" t="s">
        <v>397</v>
      </c>
    </row>
    <row r="3432" spans="3:11" outlineLevel="2" x14ac:dyDescent="0.3">
      <c r="C3432" s="9">
        <v>45260</v>
      </c>
      <c r="D3432" t="s">
        <v>45</v>
      </c>
      <c r="E3432" t="s">
        <v>33</v>
      </c>
      <c r="F3432" t="s">
        <v>24</v>
      </c>
      <c r="G3432" t="s">
        <v>32</v>
      </c>
      <c r="H3432">
        <v>1505</v>
      </c>
      <c r="I3432">
        <v>56</v>
      </c>
      <c r="J3432" s="6">
        <f t="shared" si="272"/>
        <v>84.28</v>
      </c>
      <c r="K3432" t="s">
        <v>397</v>
      </c>
    </row>
    <row r="3433" spans="3:11" outlineLevel="2" x14ac:dyDescent="0.3">
      <c r="C3433" s="9">
        <v>45260</v>
      </c>
      <c r="D3433" t="s">
        <v>8</v>
      </c>
      <c r="E3433" t="s">
        <v>33</v>
      </c>
      <c r="F3433" t="s">
        <v>24</v>
      </c>
      <c r="G3433" t="s">
        <v>30</v>
      </c>
      <c r="H3433">
        <v>2970</v>
      </c>
      <c r="I3433">
        <v>31</v>
      </c>
      <c r="J3433" s="6">
        <f t="shared" si="272"/>
        <v>92.07</v>
      </c>
      <c r="K3433" t="s">
        <v>397</v>
      </c>
    </row>
    <row r="3434" spans="3:11" outlineLevel="1" x14ac:dyDescent="0.3">
      <c r="C3434" s="13" t="s">
        <v>348</v>
      </c>
      <c r="J3434" s="6">
        <f>SUBTOTAL(9,J3426:J3433)</f>
        <v>828.76</v>
      </c>
    </row>
    <row r="3435" spans="3:11" outlineLevel="2" x14ac:dyDescent="0.3">
      <c r="C3435" s="9">
        <v>45261</v>
      </c>
      <c r="D3435" t="s">
        <v>45</v>
      </c>
      <c r="E3435" t="s">
        <v>20</v>
      </c>
      <c r="F3435" t="s">
        <v>24</v>
      </c>
      <c r="G3435" t="s">
        <v>42</v>
      </c>
      <c r="H3435">
        <v>3205</v>
      </c>
      <c r="I3435">
        <v>67</v>
      </c>
      <c r="J3435" s="6">
        <f t="shared" ref="J3435:J3443" si="273">H3435*I3435/1000</f>
        <v>214.73500000000001</v>
      </c>
      <c r="K3435" t="s">
        <v>398</v>
      </c>
    </row>
    <row r="3436" spans="3:11" outlineLevel="2" x14ac:dyDescent="0.3">
      <c r="C3436" s="9">
        <v>45261</v>
      </c>
      <c r="D3436" t="s">
        <v>17</v>
      </c>
      <c r="E3436" t="s">
        <v>20</v>
      </c>
      <c r="F3436" t="s">
        <v>24</v>
      </c>
      <c r="G3436" t="s">
        <v>42</v>
      </c>
      <c r="H3436">
        <v>3205</v>
      </c>
      <c r="I3436">
        <v>84</v>
      </c>
      <c r="J3436" s="6">
        <f t="shared" si="273"/>
        <v>269.22000000000003</v>
      </c>
      <c r="K3436" t="s">
        <v>398</v>
      </c>
    </row>
    <row r="3437" spans="3:11" outlineLevel="2" x14ac:dyDescent="0.3">
      <c r="C3437" s="9">
        <v>45261</v>
      </c>
      <c r="D3437" t="s">
        <v>12</v>
      </c>
      <c r="E3437" t="s">
        <v>26</v>
      </c>
      <c r="F3437" t="s">
        <v>10</v>
      </c>
      <c r="G3437" t="s">
        <v>41</v>
      </c>
      <c r="H3437">
        <v>650</v>
      </c>
      <c r="I3437">
        <v>79</v>
      </c>
      <c r="J3437" s="6">
        <f t="shared" si="273"/>
        <v>51.35</v>
      </c>
      <c r="K3437" t="s">
        <v>398</v>
      </c>
    </row>
    <row r="3438" spans="3:11" outlineLevel="2" x14ac:dyDescent="0.3">
      <c r="C3438" s="9">
        <v>45261</v>
      </c>
      <c r="D3438" t="s">
        <v>8</v>
      </c>
      <c r="E3438" t="s">
        <v>26</v>
      </c>
      <c r="F3438" t="s">
        <v>18</v>
      </c>
      <c r="G3438" t="s">
        <v>37</v>
      </c>
      <c r="H3438">
        <v>890</v>
      </c>
      <c r="I3438">
        <v>67</v>
      </c>
      <c r="J3438" s="6">
        <f t="shared" si="273"/>
        <v>59.63</v>
      </c>
      <c r="K3438" t="s">
        <v>398</v>
      </c>
    </row>
    <row r="3439" spans="3:11" outlineLevel="2" x14ac:dyDescent="0.3">
      <c r="C3439" s="9">
        <v>45261</v>
      </c>
      <c r="D3439" t="s">
        <v>45</v>
      </c>
      <c r="E3439" t="s">
        <v>26</v>
      </c>
      <c r="F3439" t="s">
        <v>13</v>
      </c>
      <c r="G3439" t="s">
        <v>43</v>
      </c>
      <c r="H3439">
        <v>1420</v>
      </c>
      <c r="I3439">
        <v>98</v>
      </c>
      <c r="J3439" s="6">
        <f t="shared" si="273"/>
        <v>139.16</v>
      </c>
      <c r="K3439" t="s">
        <v>398</v>
      </c>
    </row>
    <row r="3440" spans="3:11" outlineLevel="2" x14ac:dyDescent="0.3">
      <c r="C3440" s="9">
        <v>45261</v>
      </c>
      <c r="D3440" t="s">
        <v>12</v>
      </c>
      <c r="E3440" t="s">
        <v>26</v>
      </c>
      <c r="F3440" t="s">
        <v>24</v>
      </c>
      <c r="G3440" t="s">
        <v>32</v>
      </c>
      <c r="H3440">
        <v>1505</v>
      </c>
      <c r="I3440">
        <v>33</v>
      </c>
      <c r="J3440" s="6">
        <f t="shared" si="273"/>
        <v>49.664999999999999</v>
      </c>
      <c r="K3440" t="s">
        <v>398</v>
      </c>
    </row>
    <row r="3441" spans="3:11" outlineLevel="2" x14ac:dyDescent="0.3">
      <c r="C3441" s="9">
        <v>45261</v>
      </c>
      <c r="D3441" t="s">
        <v>8</v>
      </c>
      <c r="E3441" t="s">
        <v>15</v>
      </c>
      <c r="F3441" t="s">
        <v>13</v>
      </c>
      <c r="G3441" t="s">
        <v>43</v>
      </c>
      <c r="H3441">
        <v>1420</v>
      </c>
      <c r="I3441">
        <v>13</v>
      </c>
      <c r="J3441" s="6">
        <f t="shared" si="273"/>
        <v>18.46</v>
      </c>
      <c r="K3441" t="s">
        <v>398</v>
      </c>
    </row>
    <row r="3442" spans="3:11" outlineLevel="2" x14ac:dyDescent="0.3">
      <c r="C3442" s="9">
        <v>45261</v>
      </c>
      <c r="D3442" t="s">
        <v>8</v>
      </c>
      <c r="E3442" t="s">
        <v>35</v>
      </c>
      <c r="F3442" t="s">
        <v>10</v>
      </c>
      <c r="G3442" t="s">
        <v>11</v>
      </c>
      <c r="H3442">
        <v>705</v>
      </c>
      <c r="I3442">
        <v>22</v>
      </c>
      <c r="J3442" s="6">
        <f t="shared" si="273"/>
        <v>15.51</v>
      </c>
      <c r="K3442" t="s">
        <v>398</v>
      </c>
    </row>
    <row r="3443" spans="3:11" outlineLevel="2" x14ac:dyDescent="0.3">
      <c r="C3443" s="9">
        <v>45261</v>
      </c>
      <c r="D3443" t="s">
        <v>45</v>
      </c>
      <c r="E3443" t="s">
        <v>35</v>
      </c>
      <c r="F3443" t="s">
        <v>24</v>
      </c>
      <c r="G3443" t="s">
        <v>36</v>
      </c>
      <c r="H3443">
        <v>2460</v>
      </c>
      <c r="I3443">
        <v>11</v>
      </c>
      <c r="J3443" s="6">
        <f t="shared" si="273"/>
        <v>27.06</v>
      </c>
      <c r="K3443" t="s">
        <v>398</v>
      </c>
    </row>
    <row r="3444" spans="3:11" outlineLevel="1" x14ac:dyDescent="0.3">
      <c r="C3444" s="13" t="s">
        <v>349</v>
      </c>
      <c r="J3444" s="6">
        <f>SUBTOTAL(9,J3435:J3443)</f>
        <v>844.79</v>
      </c>
      <c r="K3444" t="s">
        <v>398</v>
      </c>
    </row>
    <row r="3445" spans="3:11" outlineLevel="2" x14ac:dyDescent="0.3">
      <c r="C3445" s="9">
        <v>45262</v>
      </c>
      <c r="D3445" t="s">
        <v>17</v>
      </c>
      <c r="E3445" t="s">
        <v>20</v>
      </c>
      <c r="F3445" t="s">
        <v>18</v>
      </c>
      <c r="G3445" t="s">
        <v>31</v>
      </c>
      <c r="H3445">
        <v>715</v>
      </c>
      <c r="I3445">
        <v>45</v>
      </c>
      <c r="J3445" s="6">
        <f t="shared" ref="J3445:J3457" si="274">H3445*I3445/1000</f>
        <v>32.174999999999997</v>
      </c>
      <c r="K3445" t="s">
        <v>398</v>
      </c>
    </row>
    <row r="3446" spans="3:11" outlineLevel="2" x14ac:dyDescent="0.3">
      <c r="C3446" s="9">
        <v>45262</v>
      </c>
      <c r="D3446" t="s">
        <v>17</v>
      </c>
      <c r="E3446" t="s">
        <v>20</v>
      </c>
      <c r="F3446" t="s">
        <v>18</v>
      </c>
      <c r="G3446" t="s">
        <v>28</v>
      </c>
      <c r="H3446">
        <v>690</v>
      </c>
      <c r="I3446">
        <v>50</v>
      </c>
      <c r="J3446" s="6">
        <f t="shared" si="274"/>
        <v>34.5</v>
      </c>
      <c r="K3446" t="s">
        <v>398</v>
      </c>
    </row>
    <row r="3447" spans="3:11" outlineLevel="2" x14ac:dyDescent="0.3">
      <c r="C3447" s="9">
        <v>45262</v>
      </c>
      <c r="D3447" t="s">
        <v>8</v>
      </c>
      <c r="E3447" t="s">
        <v>9</v>
      </c>
      <c r="F3447" t="s">
        <v>10</v>
      </c>
      <c r="G3447" t="s">
        <v>11</v>
      </c>
      <c r="H3447">
        <v>705</v>
      </c>
      <c r="I3447">
        <v>70</v>
      </c>
      <c r="J3447" s="6">
        <f t="shared" si="274"/>
        <v>49.35</v>
      </c>
      <c r="K3447" t="s">
        <v>398</v>
      </c>
    </row>
    <row r="3448" spans="3:11" outlineLevel="2" x14ac:dyDescent="0.3">
      <c r="C3448" s="9">
        <v>45262</v>
      </c>
      <c r="D3448" t="s">
        <v>45</v>
      </c>
      <c r="E3448" t="s">
        <v>9</v>
      </c>
      <c r="F3448" t="s">
        <v>18</v>
      </c>
      <c r="G3448" t="s">
        <v>21</v>
      </c>
      <c r="H3448">
        <v>450</v>
      </c>
      <c r="I3448">
        <v>40</v>
      </c>
      <c r="J3448" s="6">
        <f t="shared" si="274"/>
        <v>18</v>
      </c>
      <c r="K3448" t="s">
        <v>398</v>
      </c>
    </row>
    <row r="3449" spans="3:11" outlineLevel="2" x14ac:dyDescent="0.3">
      <c r="C3449" s="9">
        <v>45262</v>
      </c>
      <c r="D3449" t="s">
        <v>12</v>
      </c>
      <c r="E3449" t="s">
        <v>9</v>
      </c>
      <c r="F3449" t="s">
        <v>13</v>
      </c>
      <c r="G3449" t="s">
        <v>38</v>
      </c>
      <c r="H3449">
        <v>2400</v>
      </c>
      <c r="I3449">
        <v>57</v>
      </c>
      <c r="J3449" s="6">
        <f t="shared" si="274"/>
        <v>136.80000000000001</v>
      </c>
      <c r="K3449" t="s">
        <v>398</v>
      </c>
    </row>
    <row r="3450" spans="3:11" outlineLevel="2" x14ac:dyDescent="0.3">
      <c r="C3450" s="9">
        <v>45262</v>
      </c>
      <c r="D3450" t="s">
        <v>45</v>
      </c>
      <c r="E3450" t="s">
        <v>9</v>
      </c>
      <c r="F3450" t="s">
        <v>24</v>
      </c>
      <c r="G3450" t="s">
        <v>34</v>
      </c>
      <c r="H3450">
        <v>1670</v>
      </c>
      <c r="I3450">
        <v>76</v>
      </c>
      <c r="J3450" s="6">
        <f t="shared" si="274"/>
        <v>126.92</v>
      </c>
      <c r="K3450" t="s">
        <v>398</v>
      </c>
    </row>
    <row r="3451" spans="3:11" outlineLevel="2" x14ac:dyDescent="0.3">
      <c r="C3451" s="9">
        <v>45262</v>
      </c>
      <c r="D3451" t="s">
        <v>12</v>
      </c>
      <c r="E3451" t="s">
        <v>9</v>
      </c>
      <c r="F3451" t="s">
        <v>24</v>
      </c>
      <c r="G3451" t="s">
        <v>30</v>
      </c>
      <c r="H3451">
        <v>2970</v>
      </c>
      <c r="I3451">
        <v>12</v>
      </c>
      <c r="J3451" s="6">
        <f t="shared" si="274"/>
        <v>35.64</v>
      </c>
      <c r="K3451" t="s">
        <v>398</v>
      </c>
    </row>
    <row r="3452" spans="3:11" outlineLevel="2" x14ac:dyDescent="0.3">
      <c r="C3452" s="9">
        <v>45262</v>
      </c>
      <c r="D3452" t="s">
        <v>17</v>
      </c>
      <c r="E3452" t="s">
        <v>26</v>
      </c>
      <c r="F3452" t="s">
        <v>13</v>
      </c>
      <c r="G3452" t="s">
        <v>38</v>
      </c>
      <c r="H3452">
        <v>2400</v>
      </c>
      <c r="I3452">
        <v>90</v>
      </c>
      <c r="J3452" s="6">
        <f t="shared" si="274"/>
        <v>216</v>
      </c>
      <c r="K3452" t="s">
        <v>398</v>
      </c>
    </row>
    <row r="3453" spans="3:11" outlineLevel="2" x14ac:dyDescent="0.3">
      <c r="C3453" s="9">
        <v>45262</v>
      </c>
      <c r="D3453" t="s">
        <v>8</v>
      </c>
      <c r="E3453" t="s">
        <v>15</v>
      </c>
      <c r="F3453" t="s">
        <v>18</v>
      </c>
      <c r="G3453" t="s">
        <v>19</v>
      </c>
      <c r="H3453">
        <v>325</v>
      </c>
      <c r="I3453">
        <v>29</v>
      </c>
      <c r="J3453" s="6">
        <f t="shared" si="274"/>
        <v>9.4250000000000007</v>
      </c>
      <c r="K3453" t="s">
        <v>398</v>
      </c>
    </row>
    <row r="3454" spans="3:11" outlineLevel="2" x14ac:dyDescent="0.3">
      <c r="C3454" s="9">
        <v>45262</v>
      </c>
      <c r="D3454" t="s">
        <v>8</v>
      </c>
      <c r="E3454" t="s">
        <v>15</v>
      </c>
      <c r="F3454" t="s">
        <v>24</v>
      </c>
      <c r="G3454" t="s">
        <v>34</v>
      </c>
      <c r="H3454">
        <v>1670</v>
      </c>
      <c r="I3454">
        <v>72</v>
      </c>
      <c r="J3454" s="6">
        <f t="shared" si="274"/>
        <v>120.24</v>
      </c>
      <c r="K3454" t="s">
        <v>398</v>
      </c>
    </row>
    <row r="3455" spans="3:11" outlineLevel="2" x14ac:dyDescent="0.3">
      <c r="C3455" s="9">
        <v>45262</v>
      </c>
      <c r="D3455" t="s">
        <v>17</v>
      </c>
      <c r="E3455" t="s">
        <v>33</v>
      </c>
      <c r="F3455" t="s">
        <v>18</v>
      </c>
      <c r="G3455" t="s">
        <v>21</v>
      </c>
      <c r="H3455">
        <v>450</v>
      </c>
      <c r="I3455">
        <v>53</v>
      </c>
      <c r="J3455" s="6">
        <f t="shared" si="274"/>
        <v>23.85</v>
      </c>
      <c r="K3455" t="s">
        <v>398</v>
      </c>
    </row>
    <row r="3456" spans="3:11" outlineLevel="2" x14ac:dyDescent="0.3">
      <c r="C3456" s="9">
        <v>45262</v>
      </c>
      <c r="D3456" t="s">
        <v>45</v>
      </c>
      <c r="E3456" t="s">
        <v>33</v>
      </c>
      <c r="F3456" t="s">
        <v>13</v>
      </c>
      <c r="G3456" t="s">
        <v>43</v>
      </c>
      <c r="H3456">
        <v>1420</v>
      </c>
      <c r="I3456">
        <v>27</v>
      </c>
      <c r="J3456" s="6">
        <f t="shared" si="274"/>
        <v>38.340000000000003</v>
      </c>
      <c r="K3456" t="s">
        <v>398</v>
      </c>
    </row>
    <row r="3457" spans="3:11" outlineLevel="2" x14ac:dyDescent="0.3">
      <c r="C3457" s="9">
        <v>45262</v>
      </c>
      <c r="D3457" t="s">
        <v>12</v>
      </c>
      <c r="E3457" t="s">
        <v>35</v>
      </c>
      <c r="F3457" t="s">
        <v>18</v>
      </c>
      <c r="G3457" t="s">
        <v>19</v>
      </c>
      <c r="H3457">
        <v>325</v>
      </c>
      <c r="I3457">
        <v>86</v>
      </c>
      <c r="J3457" s="6">
        <f t="shared" si="274"/>
        <v>27.95</v>
      </c>
      <c r="K3457" t="s">
        <v>398</v>
      </c>
    </row>
    <row r="3458" spans="3:11" outlineLevel="1" x14ac:dyDescent="0.3">
      <c r="C3458" s="13" t="s">
        <v>350</v>
      </c>
      <c r="J3458" s="6">
        <f>SUBTOTAL(9,J3445:J3457)</f>
        <v>869.19</v>
      </c>
      <c r="K3458" t="s">
        <v>398</v>
      </c>
    </row>
    <row r="3459" spans="3:11" outlineLevel="2" x14ac:dyDescent="0.3">
      <c r="C3459" s="9">
        <v>45263</v>
      </c>
      <c r="D3459" t="s">
        <v>45</v>
      </c>
      <c r="E3459" t="s">
        <v>20</v>
      </c>
      <c r="F3459" t="s">
        <v>10</v>
      </c>
      <c r="G3459" t="s">
        <v>40</v>
      </c>
      <c r="H3459">
        <v>540</v>
      </c>
      <c r="I3459">
        <v>52</v>
      </c>
      <c r="J3459" s="6">
        <f>H3459*I3459/1000</f>
        <v>28.08</v>
      </c>
      <c r="K3459" t="s">
        <v>398</v>
      </c>
    </row>
    <row r="3460" spans="3:11" outlineLevel="2" x14ac:dyDescent="0.3">
      <c r="C3460" s="9">
        <v>45263</v>
      </c>
      <c r="D3460" t="s">
        <v>45</v>
      </c>
      <c r="E3460" t="s">
        <v>33</v>
      </c>
      <c r="F3460" t="s">
        <v>24</v>
      </c>
      <c r="G3460" t="s">
        <v>42</v>
      </c>
      <c r="H3460">
        <v>3205</v>
      </c>
      <c r="I3460">
        <v>64</v>
      </c>
      <c r="J3460" s="6">
        <f>H3460*I3460/1000</f>
        <v>205.12</v>
      </c>
      <c r="K3460" t="s">
        <v>398</v>
      </c>
    </row>
    <row r="3461" spans="3:11" outlineLevel="1" x14ac:dyDescent="0.3">
      <c r="C3461" s="13" t="s">
        <v>351</v>
      </c>
      <c r="J3461" s="6">
        <f>SUBTOTAL(9,J3459:J3460)</f>
        <v>233.2</v>
      </c>
      <c r="K3461" t="s">
        <v>398</v>
      </c>
    </row>
    <row r="3462" spans="3:11" outlineLevel="2" x14ac:dyDescent="0.3">
      <c r="C3462" s="9">
        <v>45264</v>
      </c>
      <c r="D3462" t="s">
        <v>8</v>
      </c>
      <c r="E3462" t="s">
        <v>20</v>
      </c>
      <c r="F3462" t="s">
        <v>10</v>
      </c>
      <c r="G3462" t="s">
        <v>16</v>
      </c>
      <c r="H3462">
        <v>1380</v>
      </c>
      <c r="I3462">
        <v>22</v>
      </c>
      <c r="J3462" s="6">
        <f t="shared" ref="J3462:J3473" si="275">H3462*I3462/1000</f>
        <v>30.36</v>
      </c>
      <c r="K3462" t="s">
        <v>398</v>
      </c>
    </row>
    <row r="3463" spans="3:11" outlineLevel="2" x14ac:dyDescent="0.3">
      <c r="C3463" s="9">
        <v>45264</v>
      </c>
      <c r="D3463" t="s">
        <v>17</v>
      </c>
      <c r="E3463" t="s">
        <v>9</v>
      </c>
      <c r="F3463" t="s">
        <v>10</v>
      </c>
      <c r="G3463" t="s">
        <v>23</v>
      </c>
      <c r="H3463">
        <v>640</v>
      </c>
      <c r="I3463">
        <v>37</v>
      </c>
      <c r="J3463" s="6">
        <f t="shared" si="275"/>
        <v>23.68</v>
      </c>
      <c r="K3463" t="s">
        <v>398</v>
      </c>
    </row>
    <row r="3464" spans="3:11" outlineLevel="2" x14ac:dyDescent="0.3">
      <c r="C3464" s="9">
        <v>45264</v>
      </c>
      <c r="D3464" t="s">
        <v>17</v>
      </c>
      <c r="E3464" t="s">
        <v>26</v>
      </c>
      <c r="F3464" t="s">
        <v>10</v>
      </c>
      <c r="G3464" t="s">
        <v>39</v>
      </c>
      <c r="H3464">
        <v>650</v>
      </c>
      <c r="I3464">
        <v>26</v>
      </c>
      <c r="J3464" s="6">
        <f t="shared" si="275"/>
        <v>16.899999999999999</v>
      </c>
      <c r="K3464" t="s">
        <v>398</v>
      </c>
    </row>
    <row r="3465" spans="3:11" outlineLevel="2" x14ac:dyDescent="0.3">
      <c r="C3465" s="9">
        <v>45264</v>
      </c>
      <c r="D3465" t="s">
        <v>12</v>
      </c>
      <c r="E3465" t="s">
        <v>15</v>
      </c>
      <c r="F3465" t="s">
        <v>18</v>
      </c>
      <c r="G3465" t="s">
        <v>21</v>
      </c>
      <c r="H3465">
        <v>450</v>
      </c>
      <c r="I3465">
        <v>47</v>
      </c>
      <c r="J3465" s="6">
        <f t="shared" si="275"/>
        <v>21.15</v>
      </c>
      <c r="K3465" t="s">
        <v>398</v>
      </c>
    </row>
    <row r="3466" spans="3:11" outlineLevel="2" x14ac:dyDescent="0.3">
      <c r="C3466" s="9">
        <v>45264</v>
      </c>
      <c r="D3466" t="s">
        <v>12</v>
      </c>
      <c r="E3466" t="s">
        <v>15</v>
      </c>
      <c r="F3466" t="s">
        <v>24</v>
      </c>
      <c r="G3466" t="s">
        <v>30</v>
      </c>
      <c r="H3466">
        <v>2970</v>
      </c>
      <c r="I3466">
        <v>46</v>
      </c>
      <c r="J3466" s="6">
        <f t="shared" si="275"/>
        <v>136.62</v>
      </c>
      <c r="K3466" t="s">
        <v>398</v>
      </c>
    </row>
    <row r="3467" spans="3:11" outlineLevel="2" x14ac:dyDescent="0.3">
      <c r="C3467" s="9">
        <v>45264</v>
      </c>
      <c r="D3467" t="s">
        <v>45</v>
      </c>
      <c r="E3467" t="s">
        <v>15</v>
      </c>
      <c r="F3467" t="s">
        <v>24</v>
      </c>
      <c r="G3467" t="s">
        <v>30</v>
      </c>
      <c r="H3467">
        <v>2970</v>
      </c>
      <c r="I3467">
        <v>24</v>
      </c>
      <c r="J3467" s="6">
        <f t="shared" si="275"/>
        <v>71.28</v>
      </c>
      <c r="K3467" t="s">
        <v>398</v>
      </c>
    </row>
    <row r="3468" spans="3:11" outlineLevel="2" x14ac:dyDescent="0.3">
      <c r="C3468" s="9">
        <v>45264</v>
      </c>
      <c r="D3468" t="s">
        <v>8</v>
      </c>
      <c r="E3468" t="s">
        <v>33</v>
      </c>
      <c r="F3468" t="s">
        <v>18</v>
      </c>
      <c r="G3468" t="s">
        <v>21</v>
      </c>
      <c r="H3468">
        <v>450</v>
      </c>
      <c r="I3468">
        <v>95</v>
      </c>
      <c r="J3468" s="6">
        <f t="shared" si="275"/>
        <v>42.75</v>
      </c>
      <c r="K3468" t="s">
        <v>398</v>
      </c>
    </row>
    <row r="3469" spans="3:11" outlineLevel="2" x14ac:dyDescent="0.3">
      <c r="C3469" s="9">
        <v>45264</v>
      </c>
      <c r="D3469" t="s">
        <v>12</v>
      </c>
      <c r="E3469" t="s">
        <v>33</v>
      </c>
      <c r="F3469" t="s">
        <v>18</v>
      </c>
      <c r="G3469" t="s">
        <v>19</v>
      </c>
      <c r="H3469">
        <v>325</v>
      </c>
      <c r="I3469">
        <v>42</v>
      </c>
      <c r="J3469" s="6">
        <f t="shared" si="275"/>
        <v>13.65</v>
      </c>
      <c r="K3469" t="s">
        <v>398</v>
      </c>
    </row>
    <row r="3470" spans="3:11" outlineLevel="2" x14ac:dyDescent="0.3">
      <c r="C3470" s="9">
        <v>45264</v>
      </c>
      <c r="D3470" t="s">
        <v>8</v>
      </c>
      <c r="E3470" t="s">
        <v>33</v>
      </c>
      <c r="F3470" t="s">
        <v>24</v>
      </c>
      <c r="G3470" t="s">
        <v>42</v>
      </c>
      <c r="H3470">
        <v>3205</v>
      </c>
      <c r="I3470">
        <v>83</v>
      </c>
      <c r="J3470" s="6">
        <f t="shared" si="275"/>
        <v>266.01499999999999</v>
      </c>
      <c r="K3470" t="s">
        <v>398</v>
      </c>
    </row>
    <row r="3471" spans="3:11" outlineLevel="2" x14ac:dyDescent="0.3">
      <c r="C3471" s="9">
        <v>45264</v>
      </c>
      <c r="D3471" t="s">
        <v>45</v>
      </c>
      <c r="E3471" t="s">
        <v>35</v>
      </c>
      <c r="F3471" t="s">
        <v>10</v>
      </c>
      <c r="G3471" t="s">
        <v>23</v>
      </c>
      <c r="H3471">
        <v>640</v>
      </c>
      <c r="I3471">
        <v>68</v>
      </c>
      <c r="J3471" s="6">
        <f t="shared" si="275"/>
        <v>43.52</v>
      </c>
      <c r="K3471" t="s">
        <v>398</v>
      </c>
    </row>
    <row r="3472" spans="3:11" outlineLevel="2" x14ac:dyDescent="0.3">
      <c r="C3472" s="9">
        <v>45264</v>
      </c>
      <c r="D3472" t="s">
        <v>45</v>
      </c>
      <c r="E3472" t="s">
        <v>35</v>
      </c>
      <c r="F3472" t="s">
        <v>10</v>
      </c>
      <c r="G3472" t="s">
        <v>41</v>
      </c>
      <c r="H3472">
        <v>650</v>
      </c>
      <c r="I3472">
        <v>39</v>
      </c>
      <c r="J3472" s="6">
        <f t="shared" si="275"/>
        <v>25.35</v>
      </c>
      <c r="K3472" t="s">
        <v>398</v>
      </c>
    </row>
    <row r="3473" spans="3:11" outlineLevel="2" x14ac:dyDescent="0.3">
      <c r="C3473" s="9">
        <v>45264</v>
      </c>
      <c r="D3473" t="s">
        <v>17</v>
      </c>
      <c r="E3473" t="s">
        <v>35</v>
      </c>
      <c r="F3473" t="s">
        <v>18</v>
      </c>
      <c r="G3473" t="s">
        <v>37</v>
      </c>
      <c r="H3473">
        <v>890</v>
      </c>
      <c r="I3473">
        <v>20</v>
      </c>
      <c r="J3473" s="6">
        <f t="shared" si="275"/>
        <v>17.8</v>
      </c>
      <c r="K3473" t="s">
        <v>398</v>
      </c>
    </row>
    <row r="3474" spans="3:11" outlineLevel="1" x14ac:dyDescent="0.3">
      <c r="C3474" s="13" t="s">
        <v>352</v>
      </c>
      <c r="J3474" s="6">
        <f>SUBTOTAL(9,J3462:J3473)</f>
        <v>709.07499999999993</v>
      </c>
      <c r="K3474" t="s">
        <v>398</v>
      </c>
    </row>
    <row r="3475" spans="3:11" outlineLevel="2" x14ac:dyDescent="0.3">
      <c r="C3475" s="9">
        <v>45265</v>
      </c>
      <c r="D3475" t="s">
        <v>8</v>
      </c>
      <c r="E3475" t="s">
        <v>20</v>
      </c>
      <c r="F3475" t="s">
        <v>24</v>
      </c>
      <c r="G3475" t="s">
        <v>25</v>
      </c>
      <c r="H3475">
        <v>1760</v>
      </c>
      <c r="I3475">
        <v>13</v>
      </c>
      <c r="J3475" s="6">
        <f t="shared" ref="J3475:J3487" si="276">H3475*I3475/1000</f>
        <v>22.88</v>
      </c>
      <c r="K3475" t="s">
        <v>398</v>
      </c>
    </row>
    <row r="3476" spans="3:11" outlineLevel="2" x14ac:dyDescent="0.3">
      <c r="C3476" s="9">
        <v>45265</v>
      </c>
      <c r="D3476" t="s">
        <v>12</v>
      </c>
      <c r="E3476" t="s">
        <v>20</v>
      </c>
      <c r="F3476" t="s">
        <v>24</v>
      </c>
      <c r="G3476" t="s">
        <v>36</v>
      </c>
      <c r="H3476">
        <v>2460</v>
      </c>
      <c r="I3476">
        <v>16</v>
      </c>
      <c r="J3476" s="6">
        <f t="shared" si="276"/>
        <v>39.36</v>
      </c>
      <c r="K3476" t="s">
        <v>398</v>
      </c>
    </row>
    <row r="3477" spans="3:11" outlineLevel="2" x14ac:dyDescent="0.3">
      <c r="C3477" s="9">
        <v>45265</v>
      </c>
      <c r="D3477" t="s">
        <v>12</v>
      </c>
      <c r="E3477" t="s">
        <v>9</v>
      </c>
      <c r="F3477" t="s">
        <v>10</v>
      </c>
      <c r="G3477" t="s">
        <v>41</v>
      </c>
      <c r="H3477">
        <v>650</v>
      </c>
      <c r="I3477">
        <v>93</v>
      </c>
      <c r="J3477" s="6">
        <f t="shared" si="276"/>
        <v>60.45</v>
      </c>
      <c r="K3477" t="s">
        <v>398</v>
      </c>
    </row>
    <row r="3478" spans="3:11" outlineLevel="2" x14ac:dyDescent="0.3">
      <c r="C3478" s="9">
        <v>45265</v>
      </c>
      <c r="D3478" t="s">
        <v>12</v>
      </c>
      <c r="E3478" t="s">
        <v>9</v>
      </c>
      <c r="F3478" t="s">
        <v>10</v>
      </c>
      <c r="G3478" t="s">
        <v>39</v>
      </c>
      <c r="H3478">
        <v>650</v>
      </c>
      <c r="I3478">
        <v>25</v>
      </c>
      <c r="J3478" s="6">
        <f t="shared" si="276"/>
        <v>16.25</v>
      </c>
      <c r="K3478" t="s">
        <v>398</v>
      </c>
    </row>
    <row r="3479" spans="3:11" outlineLevel="2" x14ac:dyDescent="0.3">
      <c r="C3479" s="9">
        <v>45265</v>
      </c>
      <c r="D3479" t="s">
        <v>45</v>
      </c>
      <c r="E3479" t="s">
        <v>9</v>
      </c>
      <c r="F3479" t="s">
        <v>13</v>
      </c>
      <c r="G3479" t="s">
        <v>14</v>
      </c>
      <c r="H3479">
        <v>1320</v>
      </c>
      <c r="I3479">
        <v>50</v>
      </c>
      <c r="J3479" s="6">
        <f t="shared" si="276"/>
        <v>66</v>
      </c>
      <c r="K3479" t="s">
        <v>398</v>
      </c>
    </row>
    <row r="3480" spans="3:11" outlineLevel="2" x14ac:dyDescent="0.3">
      <c r="C3480" s="9">
        <v>45265</v>
      </c>
      <c r="D3480" t="s">
        <v>17</v>
      </c>
      <c r="E3480" t="s">
        <v>26</v>
      </c>
      <c r="F3480" t="s">
        <v>10</v>
      </c>
      <c r="G3480" t="s">
        <v>41</v>
      </c>
      <c r="H3480">
        <v>650</v>
      </c>
      <c r="I3480">
        <v>55</v>
      </c>
      <c r="J3480" s="6">
        <f t="shared" si="276"/>
        <v>35.75</v>
      </c>
      <c r="K3480" t="s">
        <v>398</v>
      </c>
    </row>
    <row r="3481" spans="3:11" outlineLevel="2" x14ac:dyDescent="0.3">
      <c r="C3481" s="9">
        <v>45265</v>
      </c>
      <c r="D3481" t="s">
        <v>17</v>
      </c>
      <c r="E3481" t="s">
        <v>26</v>
      </c>
      <c r="F3481" t="s">
        <v>13</v>
      </c>
      <c r="G3481" t="s">
        <v>38</v>
      </c>
      <c r="H3481">
        <v>2400</v>
      </c>
      <c r="I3481">
        <v>29</v>
      </c>
      <c r="J3481" s="6">
        <f t="shared" si="276"/>
        <v>69.599999999999994</v>
      </c>
      <c r="K3481" t="s">
        <v>398</v>
      </c>
    </row>
    <row r="3482" spans="3:11" outlineLevel="2" x14ac:dyDescent="0.3">
      <c r="C3482" s="9">
        <v>45265</v>
      </c>
      <c r="D3482" t="s">
        <v>45</v>
      </c>
      <c r="E3482" t="s">
        <v>26</v>
      </c>
      <c r="F3482" t="s">
        <v>13</v>
      </c>
      <c r="G3482" t="s">
        <v>38</v>
      </c>
      <c r="H3482">
        <v>2400</v>
      </c>
      <c r="I3482">
        <v>99</v>
      </c>
      <c r="J3482" s="6">
        <f t="shared" si="276"/>
        <v>237.6</v>
      </c>
      <c r="K3482" t="s">
        <v>398</v>
      </c>
    </row>
    <row r="3483" spans="3:11" outlineLevel="2" x14ac:dyDescent="0.3">
      <c r="C3483" s="9">
        <v>45265</v>
      </c>
      <c r="D3483" t="s">
        <v>17</v>
      </c>
      <c r="E3483" t="s">
        <v>15</v>
      </c>
      <c r="F3483" t="s">
        <v>10</v>
      </c>
      <c r="G3483" t="s">
        <v>40</v>
      </c>
      <c r="H3483">
        <v>540</v>
      </c>
      <c r="I3483">
        <v>39</v>
      </c>
      <c r="J3483" s="6">
        <f t="shared" si="276"/>
        <v>21.06</v>
      </c>
      <c r="K3483" t="s">
        <v>398</v>
      </c>
    </row>
    <row r="3484" spans="3:11" outlineLevel="2" x14ac:dyDescent="0.3">
      <c r="C3484" s="9">
        <v>45265</v>
      </c>
      <c r="D3484" t="s">
        <v>12</v>
      </c>
      <c r="E3484" t="s">
        <v>15</v>
      </c>
      <c r="F3484" t="s">
        <v>24</v>
      </c>
      <c r="G3484" t="s">
        <v>42</v>
      </c>
      <c r="H3484">
        <v>3205</v>
      </c>
      <c r="I3484">
        <v>95</v>
      </c>
      <c r="J3484" s="6">
        <f t="shared" si="276"/>
        <v>304.47500000000002</v>
      </c>
      <c r="K3484" t="s">
        <v>398</v>
      </c>
    </row>
    <row r="3485" spans="3:11" outlineLevel="2" x14ac:dyDescent="0.3">
      <c r="C3485" s="9">
        <v>45265</v>
      </c>
      <c r="D3485" t="s">
        <v>12</v>
      </c>
      <c r="E3485" t="s">
        <v>33</v>
      </c>
      <c r="F3485" t="s">
        <v>18</v>
      </c>
      <c r="G3485" t="s">
        <v>21</v>
      </c>
      <c r="H3485">
        <v>450</v>
      </c>
      <c r="I3485">
        <v>52</v>
      </c>
      <c r="J3485" s="6">
        <f t="shared" si="276"/>
        <v>23.4</v>
      </c>
      <c r="K3485" t="s">
        <v>398</v>
      </c>
    </row>
    <row r="3486" spans="3:11" outlineLevel="2" x14ac:dyDescent="0.3">
      <c r="C3486" s="9">
        <v>45265</v>
      </c>
      <c r="D3486" t="s">
        <v>17</v>
      </c>
      <c r="E3486" t="s">
        <v>35</v>
      </c>
      <c r="F3486" t="s">
        <v>24</v>
      </c>
      <c r="G3486" t="s">
        <v>30</v>
      </c>
      <c r="H3486">
        <v>2970</v>
      </c>
      <c r="I3486">
        <v>62</v>
      </c>
      <c r="J3486" s="6">
        <f t="shared" si="276"/>
        <v>184.14</v>
      </c>
      <c r="K3486" t="s">
        <v>398</v>
      </c>
    </row>
    <row r="3487" spans="3:11" outlineLevel="2" x14ac:dyDescent="0.3">
      <c r="C3487" s="9">
        <v>45265</v>
      </c>
      <c r="D3487" t="s">
        <v>12</v>
      </c>
      <c r="E3487" t="s">
        <v>35</v>
      </c>
      <c r="F3487" t="s">
        <v>24</v>
      </c>
      <c r="G3487" t="s">
        <v>25</v>
      </c>
      <c r="H3487">
        <v>1760</v>
      </c>
      <c r="I3487">
        <v>66</v>
      </c>
      <c r="J3487" s="6">
        <f t="shared" si="276"/>
        <v>116.16</v>
      </c>
      <c r="K3487" t="s">
        <v>398</v>
      </c>
    </row>
    <row r="3488" spans="3:11" outlineLevel="1" x14ac:dyDescent="0.3">
      <c r="C3488" s="13" t="s">
        <v>353</v>
      </c>
      <c r="J3488" s="6">
        <f>SUBTOTAL(9,J3475:J3487)</f>
        <v>1197.125</v>
      </c>
      <c r="K3488" t="s">
        <v>398</v>
      </c>
    </row>
    <row r="3489" spans="3:11" outlineLevel="2" x14ac:dyDescent="0.3">
      <c r="C3489" s="9">
        <v>45266</v>
      </c>
      <c r="D3489" t="s">
        <v>8</v>
      </c>
      <c r="E3489" t="s">
        <v>20</v>
      </c>
      <c r="F3489" t="s">
        <v>18</v>
      </c>
      <c r="G3489" t="s">
        <v>19</v>
      </c>
      <c r="H3489">
        <v>325</v>
      </c>
      <c r="I3489">
        <v>58</v>
      </c>
      <c r="J3489" s="6">
        <f t="shared" ref="J3489:J3500" si="277">H3489*I3489/1000</f>
        <v>18.850000000000001</v>
      </c>
      <c r="K3489" t="s">
        <v>398</v>
      </c>
    </row>
    <row r="3490" spans="3:11" outlineLevel="2" x14ac:dyDescent="0.3">
      <c r="C3490" s="9">
        <v>45266</v>
      </c>
      <c r="D3490" t="s">
        <v>45</v>
      </c>
      <c r="E3490" t="s">
        <v>20</v>
      </c>
      <c r="F3490" t="s">
        <v>18</v>
      </c>
      <c r="G3490" t="s">
        <v>27</v>
      </c>
      <c r="H3490">
        <v>460</v>
      </c>
      <c r="I3490">
        <v>33</v>
      </c>
      <c r="J3490" s="6">
        <f t="shared" si="277"/>
        <v>15.18</v>
      </c>
      <c r="K3490" t="s">
        <v>398</v>
      </c>
    </row>
    <row r="3491" spans="3:11" outlineLevel="2" x14ac:dyDescent="0.3">
      <c r="C3491" s="9">
        <v>45266</v>
      </c>
      <c r="D3491" t="s">
        <v>12</v>
      </c>
      <c r="E3491" t="s">
        <v>20</v>
      </c>
      <c r="F3491" t="s">
        <v>24</v>
      </c>
      <c r="G3491" t="s">
        <v>36</v>
      </c>
      <c r="H3491">
        <v>2460</v>
      </c>
      <c r="I3491">
        <v>58</v>
      </c>
      <c r="J3491" s="6">
        <f t="shared" si="277"/>
        <v>142.68</v>
      </c>
      <c r="K3491" t="s">
        <v>398</v>
      </c>
    </row>
    <row r="3492" spans="3:11" outlineLevel="2" x14ac:dyDescent="0.3">
      <c r="C3492" s="9">
        <v>45266</v>
      </c>
      <c r="D3492" t="s">
        <v>8</v>
      </c>
      <c r="E3492" t="s">
        <v>9</v>
      </c>
      <c r="F3492" t="s">
        <v>13</v>
      </c>
      <c r="G3492" t="s">
        <v>43</v>
      </c>
      <c r="H3492">
        <v>1420</v>
      </c>
      <c r="I3492">
        <v>87</v>
      </c>
      <c r="J3492" s="6">
        <f t="shared" si="277"/>
        <v>123.54</v>
      </c>
      <c r="K3492" t="s">
        <v>398</v>
      </c>
    </row>
    <row r="3493" spans="3:11" outlineLevel="2" x14ac:dyDescent="0.3">
      <c r="C3493" s="9">
        <v>45266</v>
      </c>
      <c r="D3493" t="s">
        <v>45</v>
      </c>
      <c r="E3493" t="s">
        <v>15</v>
      </c>
      <c r="F3493" t="s">
        <v>24</v>
      </c>
      <c r="G3493" t="s">
        <v>36</v>
      </c>
      <c r="H3493">
        <v>2460</v>
      </c>
      <c r="I3493">
        <v>77</v>
      </c>
      <c r="J3493" s="6">
        <f t="shared" si="277"/>
        <v>189.42</v>
      </c>
      <c r="K3493" t="s">
        <v>398</v>
      </c>
    </row>
    <row r="3494" spans="3:11" outlineLevel="2" x14ac:dyDescent="0.3">
      <c r="C3494" s="9">
        <v>45266</v>
      </c>
      <c r="D3494" t="s">
        <v>17</v>
      </c>
      <c r="E3494" t="s">
        <v>15</v>
      </c>
      <c r="F3494" t="s">
        <v>24</v>
      </c>
      <c r="G3494" t="s">
        <v>25</v>
      </c>
      <c r="H3494">
        <v>1760</v>
      </c>
      <c r="I3494">
        <v>18</v>
      </c>
      <c r="J3494" s="6">
        <f t="shared" si="277"/>
        <v>31.68</v>
      </c>
      <c r="K3494" t="s">
        <v>398</v>
      </c>
    </row>
    <row r="3495" spans="3:11" outlineLevel="2" x14ac:dyDescent="0.3">
      <c r="C3495" s="9">
        <v>45266</v>
      </c>
      <c r="D3495" t="s">
        <v>8</v>
      </c>
      <c r="E3495" t="s">
        <v>15</v>
      </c>
      <c r="F3495" t="s">
        <v>24</v>
      </c>
      <c r="G3495" t="s">
        <v>36</v>
      </c>
      <c r="H3495">
        <v>2460</v>
      </c>
      <c r="I3495">
        <v>19</v>
      </c>
      <c r="J3495" s="6">
        <f t="shared" si="277"/>
        <v>46.74</v>
      </c>
      <c r="K3495" t="s">
        <v>398</v>
      </c>
    </row>
    <row r="3496" spans="3:11" outlineLevel="2" x14ac:dyDescent="0.3">
      <c r="C3496" s="9">
        <v>45266</v>
      </c>
      <c r="D3496" t="s">
        <v>17</v>
      </c>
      <c r="E3496" t="s">
        <v>33</v>
      </c>
      <c r="F3496" t="s">
        <v>18</v>
      </c>
      <c r="G3496" t="s">
        <v>28</v>
      </c>
      <c r="H3496">
        <v>690</v>
      </c>
      <c r="I3496">
        <v>11</v>
      </c>
      <c r="J3496" s="6">
        <f t="shared" si="277"/>
        <v>7.59</v>
      </c>
      <c r="K3496" t="s">
        <v>398</v>
      </c>
    </row>
    <row r="3497" spans="3:11" outlineLevel="2" x14ac:dyDescent="0.3">
      <c r="C3497" s="9">
        <v>45266</v>
      </c>
      <c r="D3497" t="s">
        <v>17</v>
      </c>
      <c r="E3497" t="s">
        <v>33</v>
      </c>
      <c r="F3497" t="s">
        <v>18</v>
      </c>
      <c r="G3497" t="s">
        <v>19</v>
      </c>
      <c r="H3497">
        <v>325</v>
      </c>
      <c r="I3497">
        <v>26</v>
      </c>
      <c r="J3497" s="6">
        <f t="shared" si="277"/>
        <v>8.4499999999999993</v>
      </c>
      <c r="K3497" t="s">
        <v>398</v>
      </c>
    </row>
    <row r="3498" spans="3:11" outlineLevel="2" x14ac:dyDescent="0.3">
      <c r="C3498" s="9">
        <v>45266</v>
      </c>
      <c r="D3498" t="s">
        <v>8</v>
      </c>
      <c r="E3498" t="s">
        <v>33</v>
      </c>
      <c r="F3498" t="s">
        <v>18</v>
      </c>
      <c r="G3498" t="s">
        <v>19</v>
      </c>
      <c r="H3498">
        <v>325</v>
      </c>
      <c r="I3498">
        <v>12</v>
      </c>
      <c r="J3498" s="6">
        <f t="shared" si="277"/>
        <v>3.9</v>
      </c>
      <c r="K3498" t="s">
        <v>398</v>
      </c>
    </row>
    <row r="3499" spans="3:11" outlineLevel="2" x14ac:dyDescent="0.3">
      <c r="C3499" s="9">
        <v>45266</v>
      </c>
      <c r="D3499" t="s">
        <v>12</v>
      </c>
      <c r="E3499" t="s">
        <v>33</v>
      </c>
      <c r="F3499" t="s">
        <v>13</v>
      </c>
      <c r="G3499" t="s">
        <v>14</v>
      </c>
      <c r="H3499">
        <v>1320</v>
      </c>
      <c r="I3499">
        <v>83</v>
      </c>
      <c r="J3499" s="6">
        <f t="shared" si="277"/>
        <v>109.56</v>
      </c>
      <c r="K3499" t="s">
        <v>398</v>
      </c>
    </row>
    <row r="3500" spans="3:11" outlineLevel="2" x14ac:dyDescent="0.3">
      <c r="C3500" s="9">
        <v>45266</v>
      </c>
      <c r="D3500" t="s">
        <v>17</v>
      </c>
      <c r="E3500" t="s">
        <v>33</v>
      </c>
      <c r="F3500" t="s">
        <v>24</v>
      </c>
      <c r="G3500" t="s">
        <v>34</v>
      </c>
      <c r="H3500">
        <v>1670</v>
      </c>
      <c r="I3500">
        <v>85</v>
      </c>
      <c r="J3500" s="6">
        <f t="shared" si="277"/>
        <v>141.94999999999999</v>
      </c>
      <c r="K3500" t="s">
        <v>398</v>
      </c>
    </row>
    <row r="3501" spans="3:11" outlineLevel="1" x14ac:dyDescent="0.3">
      <c r="C3501" s="13" t="s">
        <v>354</v>
      </c>
      <c r="J3501" s="6">
        <f>SUBTOTAL(9,J3489:J3500)</f>
        <v>839.54</v>
      </c>
      <c r="K3501" t="s">
        <v>398</v>
      </c>
    </row>
    <row r="3502" spans="3:11" outlineLevel="2" x14ac:dyDescent="0.3">
      <c r="C3502" s="9">
        <v>45267</v>
      </c>
      <c r="D3502" t="s">
        <v>12</v>
      </c>
      <c r="E3502" t="s">
        <v>20</v>
      </c>
      <c r="F3502" t="s">
        <v>18</v>
      </c>
      <c r="G3502" t="s">
        <v>21</v>
      </c>
      <c r="H3502">
        <v>450</v>
      </c>
      <c r="I3502">
        <v>8</v>
      </c>
      <c r="J3502" s="6">
        <f t="shared" ref="J3502:J3511" si="278">H3502*I3502/1000</f>
        <v>3.6</v>
      </c>
      <c r="K3502" t="s">
        <v>398</v>
      </c>
    </row>
    <row r="3503" spans="3:11" outlineLevel="2" x14ac:dyDescent="0.3">
      <c r="C3503" s="9">
        <v>45267</v>
      </c>
      <c r="D3503" t="s">
        <v>17</v>
      </c>
      <c r="E3503" t="s">
        <v>9</v>
      </c>
      <c r="F3503" t="s">
        <v>18</v>
      </c>
      <c r="G3503" t="s">
        <v>21</v>
      </c>
      <c r="H3503">
        <v>450</v>
      </c>
      <c r="I3503">
        <v>97</v>
      </c>
      <c r="J3503" s="6">
        <f t="shared" si="278"/>
        <v>43.65</v>
      </c>
      <c r="K3503" t="s">
        <v>398</v>
      </c>
    </row>
    <row r="3504" spans="3:11" outlineLevel="2" x14ac:dyDescent="0.3">
      <c r="C3504" s="9">
        <v>45267</v>
      </c>
      <c r="D3504" t="s">
        <v>45</v>
      </c>
      <c r="E3504" t="s">
        <v>9</v>
      </c>
      <c r="F3504" t="s">
        <v>18</v>
      </c>
      <c r="G3504" t="s">
        <v>37</v>
      </c>
      <c r="H3504">
        <v>890</v>
      </c>
      <c r="I3504">
        <v>5</v>
      </c>
      <c r="J3504" s="6">
        <f t="shared" si="278"/>
        <v>4.45</v>
      </c>
      <c r="K3504" t="s">
        <v>398</v>
      </c>
    </row>
    <row r="3505" spans="3:11" outlineLevel="2" x14ac:dyDescent="0.3">
      <c r="C3505" s="9">
        <v>45267</v>
      </c>
      <c r="D3505" t="s">
        <v>17</v>
      </c>
      <c r="E3505" t="s">
        <v>9</v>
      </c>
      <c r="F3505" t="s">
        <v>18</v>
      </c>
      <c r="G3505" t="s">
        <v>21</v>
      </c>
      <c r="H3505">
        <v>450</v>
      </c>
      <c r="I3505">
        <v>60</v>
      </c>
      <c r="J3505" s="6">
        <f t="shared" si="278"/>
        <v>27</v>
      </c>
      <c r="K3505" t="s">
        <v>398</v>
      </c>
    </row>
    <row r="3506" spans="3:11" outlineLevel="2" x14ac:dyDescent="0.3">
      <c r="C3506" s="9">
        <v>45267</v>
      </c>
      <c r="D3506" t="s">
        <v>12</v>
      </c>
      <c r="E3506" t="s">
        <v>26</v>
      </c>
      <c r="F3506" t="s">
        <v>24</v>
      </c>
      <c r="G3506" t="s">
        <v>30</v>
      </c>
      <c r="H3506">
        <v>2970</v>
      </c>
      <c r="I3506">
        <v>15</v>
      </c>
      <c r="J3506" s="6">
        <f t="shared" si="278"/>
        <v>44.55</v>
      </c>
      <c r="K3506" t="s">
        <v>398</v>
      </c>
    </row>
    <row r="3507" spans="3:11" outlineLevel="2" x14ac:dyDescent="0.3">
      <c r="C3507" s="9">
        <v>45267</v>
      </c>
      <c r="D3507" t="s">
        <v>17</v>
      </c>
      <c r="E3507" t="s">
        <v>15</v>
      </c>
      <c r="F3507" t="s">
        <v>18</v>
      </c>
      <c r="G3507" t="s">
        <v>28</v>
      </c>
      <c r="H3507">
        <v>690</v>
      </c>
      <c r="I3507">
        <v>47</v>
      </c>
      <c r="J3507" s="6">
        <f t="shared" si="278"/>
        <v>32.43</v>
      </c>
      <c r="K3507" t="s">
        <v>398</v>
      </c>
    </row>
    <row r="3508" spans="3:11" outlineLevel="2" x14ac:dyDescent="0.3">
      <c r="C3508" s="9">
        <v>45267</v>
      </c>
      <c r="D3508" t="s">
        <v>45</v>
      </c>
      <c r="E3508" t="s">
        <v>33</v>
      </c>
      <c r="F3508" t="s">
        <v>13</v>
      </c>
      <c r="G3508" t="s">
        <v>43</v>
      </c>
      <c r="H3508">
        <v>1420</v>
      </c>
      <c r="I3508">
        <v>6</v>
      </c>
      <c r="J3508" s="6">
        <f t="shared" si="278"/>
        <v>8.52</v>
      </c>
      <c r="K3508" t="s">
        <v>398</v>
      </c>
    </row>
    <row r="3509" spans="3:11" outlineLevel="2" x14ac:dyDescent="0.3">
      <c r="C3509" s="9">
        <v>45267</v>
      </c>
      <c r="D3509" t="s">
        <v>17</v>
      </c>
      <c r="E3509" t="s">
        <v>35</v>
      </c>
      <c r="F3509" t="s">
        <v>10</v>
      </c>
      <c r="G3509" t="s">
        <v>23</v>
      </c>
      <c r="H3509">
        <v>640</v>
      </c>
      <c r="I3509">
        <v>40</v>
      </c>
      <c r="J3509" s="6">
        <f t="shared" si="278"/>
        <v>25.6</v>
      </c>
      <c r="K3509" t="s">
        <v>398</v>
      </c>
    </row>
    <row r="3510" spans="3:11" outlineLevel="2" x14ac:dyDescent="0.3">
      <c r="C3510" s="9">
        <v>45267</v>
      </c>
      <c r="D3510" t="s">
        <v>12</v>
      </c>
      <c r="E3510" t="s">
        <v>35</v>
      </c>
      <c r="F3510" t="s">
        <v>13</v>
      </c>
      <c r="G3510" t="s">
        <v>38</v>
      </c>
      <c r="H3510">
        <v>2400</v>
      </c>
      <c r="I3510">
        <v>70</v>
      </c>
      <c r="J3510" s="6">
        <f t="shared" si="278"/>
        <v>168</v>
      </c>
      <c r="K3510" t="s">
        <v>398</v>
      </c>
    </row>
    <row r="3511" spans="3:11" outlineLevel="2" x14ac:dyDescent="0.3">
      <c r="C3511" s="9">
        <v>45267</v>
      </c>
      <c r="D3511" t="s">
        <v>12</v>
      </c>
      <c r="E3511" t="s">
        <v>35</v>
      </c>
      <c r="F3511" t="s">
        <v>13</v>
      </c>
      <c r="G3511" t="s">
        <v>44</v>
      </c>
      <c r="H3511">
        <v>2540</v>
      </c>
      <c r="I3511">
        <v>62</v>
      </c>
      <c r="J3511" s="6">
        <f t="shared" si="278"/>
        <v>157.47999999999999</v>
      </c>
      <c r="K3511" t="s">
        <v>398</v>
      </c>
    </row>
    <row r="3512" spans="3:11" outlineLevel="1" x14ac:dyDescent="0.3">
      <c r="C3512" s="13" t="s">
        <v>355</v>
      </c>
      <c r="J3512" s="6">
        <f>SUBTOTAL(9,J3502:J3511)</f>
        <v>515.28</v>
      </c>
      <c r="K3512" t="s">
        <v>398</v>
      </c>
    </row>
    <row r="3513" spans="3:11" outlineLevel="2" x14ac:dyDescent="0.3">
      <c r="C3513" s="9">
        <v>45268</v>
      </c>
      <c r="D3513" t="s">
        <v>17</v>
      </c>
      <c r="E3513" t="s">
        <v>20</v>
      </c>
      <c r="F3513" t="s">
        <v>18</v>
      </c>
      <c r="G3513" t="s">
        <v>37</v>
      </c>
      <c r="H3513">
        <v>890</v>
      </c>
      <c r="I3513">
        <v>87</v>
      </c>
      <c r="J3513" s="6">
        <f t="shared" ref="J3513:J3529" si="279">H3513*I3513/1000</f>
        <v>77.430000000000007</v>
      </c>
      <c r="K3513" t="s">
        <v>398</v>
      </c>
    </row>
    <row r="3514" spans="3:11" outlineLevel="2" x14ac:dyDescent="0.3">
      <c r="C3514" s="9">
        <v>45268</v>
      </c>
      <c r="D3514" t="s">
        <v>17</v>
      </c>
      <c r="E3514" t="s">
        <v>20</v>
      </c>
      <c r="F3514" t="s">
        <v>13</v>
      </c>
      <c r="G3514" t="s">
        <v>38</v>
      </c>
      <c r="H3514">
        <v>2400</v>
      </c>
      <c r="I3514">
        <v>22</v>
      </c>
      <c r="J3514" s="6">
        <f t="shared" si="279"/>
        <v>52.8</v>
      </c>
      <c r="K3514" t="s">
        <v>398</v>
      </c>
    </row>
    <row r="3515" spans="3:11" outlineLevel="2" x14ac:dyDescent="0.3">
      <c r="C3515" s="9">
        <v>45268</v>
      </c>
      <c r="D3515" t="s">
        <v>8</v>
      </c>
      <c r="E3515" t="s">
        <v>20</v>
      </c>
      <c r="F3515" t="s">
        <v>13</v>
      </c>
      <c r="G3515" t="s">
        <v>44</v>
      </c>
      <c r="H3515">
        <v>2540</v>
      </c>
      <c r="I3515">
        <v>52</v>
      </c>
      <c r="J3515" s="6">
        <f t="shared" si="279"/>
        <v>132.08000000000001</v>
      </c>
      <c r="K3515" t="s">
        <v>398</v>
      </c>
    </row>
    <row r="3516" spans="3:11" outlineLevel="2" x14ac:dyDescent="0.3">
      <c r="C3516" s="9">
        <v>45268</v>
      </c>
      <c r="D3516" t="s">
        <v>8</v>
      </c>
      <c r="E3516" t="s">
        <v>9</v>
      </c>
      <c r="F3516" t="s">
        <v>13</v>
      </c>
      <c r="G3516" t="s">
        <v>22</v>
      </c>
      <c r="H3516">
        <v>930</v>
      </c>
      <c r="I3516">
        <v>19</v>
      </c>
      <c r="J3516" s="6">
        <f t="shared" si="279"/>
        <v>17.670000000000002</v>
      </c>
      <c r="K3516" t="s">
        <v>398</v>
      </c>
    </row>
    <row r="3517" spans="3:11" outlineLevel="2" x14ac:dyDescent="0.3">
      <c r="C3517" s="9">
        <v>45268</v>
      </c>
      <c r="D3517" t="s">
        <v>12</v>
      </c>
      <c r="E3517" t="s">
        <v>9</v>
      </c>
      <c r="F3517" t="s">
        <v>24</v>
      </c>
      <c r="G3517" t="s">
        <v>30</v>
      </c>
      <c r="H3517">
        <v>2970</v>
      </c>
      <c r="I3517">
        <v>34</v>
      </c>
      <c r="J3517" s="6">
        <f t="shared" si="279"/>
        <v>100.98</v>
      </c>
      <c r="K3517" t="s">
        <v>398</v>
      </c>
    </row>
    <row r="3518" spans="3:11" outlineLevel="2" x14ac:dyDescent="0.3">
      <c r="C3518" s="9">
        <v>45268</v>
      </c>
      <c r="D3518" t="s">
        <v>45</v>
      </c>
      <c r="E3518" t="s">
        <v>26</v>
      </c>
      <c r="F3518" t="s">
        <v>10</v>
      </c>
      <c r="G3518" t="s">
        <v>41</v>
      </c>
      <c r="H3518">
        <v>650</v>
      </c>
      <c r="I3518">
        <v>91</v>
      </c>
      <c r="J3518" s="6">
        <f t="shared" si="279"/>
        <v>59.15</v>
      </c>
      <c r="K3518" t="s">
        <v>398</v>
      </c>
    </row>
    <row r="3519" spans="3:11" outlineLevel="2" x14ac:dyDescent="0.3">
      <c r="C3519" s="9">
        <v>45268</v>
      </c>
      <c r="D3519" t="s">
        <v>12</v>
      </c>
      <c r="E3519" t="s">
        <v>26</v>
      </c>
      <c r="F3519" t="s">
        <v>10</v>
      </c>
      <c r="G3519" t="s">
        <v>41</v>
      </c>
      <c r="H3519">
        <v>650</v>
      </c>
      <c r="I3519">
        <v>30</v>
      </c>
      <c r="J3519" s="6">
        <f t="shared" si="279"/>
        <v>19.5</v>
      </c>
      <c r="K3519" t="s">
        <v>398</v>
      </c>
    </row>
    <row r="3520" spans="3:11" outlineLevel="2" x14ac:dyDescent="0.3">
      <c r="C3520" s="9">
        <v>45268</v>
      </c>
      <c r="D3520" t="s">
        <v>8</v>
      </c>
      <c r="E3520" t="s">
        <v>26</v>
      </c>
      <c r="F3520" t="s">
        <v>18</v>
      </c>
      <c r="G3520" t="s">
        <v>19</v>
      </c>
      <c r="H3520">
        <v>325</v>
      </c>
      <c r="I3520">
        <v>78</v>
      </c>
      <c r="J3520" s="6">
        <f t="shared" si="279"/>
        <v>25.35</v>
      </c>
      <c r="K3520" t="s">
        <v>398</v>
      </c>
    </row>
    <row r="3521" spans="3:11" outlineLevel="2" x14ac:dyDescent="0.3">
      <c r="C3521" s="9">
        <v>45268</v>
      </c>
      <c r="D3521" t="s">
        <v>45</v>
      </c>
      <c r="E3521" t="s">
        <v>26</v>
      </c>
      <c r="F3521" t="s">
        <v>18</v>
      </c>
      <c r="G3521" t="s">
        <v>28</v>
      </c>
      <c r="H3521">
        <v>690</v>
      </c>
      <c r="I3521">
        <v>72</v>
      </c>
      <c r="J3521" s="6">
        <f t="shared" si="279"/>
        <v>49.68</v>
      </c>
      <c r="K3521" t="s">
        <v>398</v>
      </c>
    </row>
    <row r="3522" spans="3:11" outlineLevel="2" x14ac:dyDescent="0.3">
      <c r="C3522" s="9">
        <v>45268</v>
      </c>
      <c r="D3522" t="s">
        <v>17</v>
      </c>
      <c r="E3522" t="s">
        <v>26</v>
      </c>
      <c r="F3522" t="s">
        <v>24</v>
      </c>
      <c r="G3522" t="s">
        <v>32</v>
      </c>
      <c r="H3522">
        <v>1505</v>
      </c>
      <c r="I3522">
        <v>77</v>
      </c>
      <c r="J3522" s="6">
        <f t="shared" si="279"/>
        <v>115.88500000000001</v>
      </c>
      <c r="K3522" t="s">
        <v>398</v>
      </c>
    </row>
    <row r="3523" spans="3:11" outlineLevel="2" x14ac:dyDescent="0.3">
      <c r="C3523" s="9">
        <v>45268</v>
      </c>
      <c r="D3523" t="s">
        <v>45</v>
      </c>
      <c r="E3523" t="s">
        <v>15</v>
      </c>
      <c r="F3523" t="s">
        <v>10</v>
      </c>
      <c r="G3523" t="s">
        <v>41</v>
      </c>
      <c r="H3523">
        <v>650</v>
      </c>
      <c r="I3523">
        <v>36</v>
      </c>
      <c r="J3523" s="6">
        <f t="shared" si="279"/>
        <v>23.4</v>
      </c>
      <c r="K3523" t="s">
        <v>398</v>
      </c>
    </row>
    <row r="3524" spans="3:11" outlineLevel="2" x14ac:dyDescent="0.3">
      <c r="C3524" s="9">
        <v>45268</v>
      </c>
      <c r="D3524" t="s">
        <v>12</v>
      </c>
      <c r="E3524" t="s">
        <v>15</v>
      </c>
      <c r="F3524" t="s">
        <v>10</v>
      </c>
      <c r="G3524" t="s">
        <v>40</v>
      </c>
      <c r="H3524">
        <v>540</v>
      </c>
      <c r="I3524">
        <v>40</v>
      </c>
      <c r="J3524" s="6">
        <f t="shared" si="279"/>
        <v>21.6</v>
      </c>
      <c r="K3524" t="s">
        <v>398</v>
      </c>
    </row>
    <row r="3525" spans="3:11" outlineLevel="2" x14ac:dyDescent="0.3">
      <c r="C3525" s="9">
        <v>45268</v>
      </c>
      <c r="D3525" t="s">
        <v>12</v>
      </c>
      <c r="E3525" t="s">
        <v>15</v>
      </c>
      <c r="F3525" t="s">
        <v>13</v>
      </c>
      <c r="G3525" t="s">
        <v>29</v>
      </c>
      <c r="H3525">
        <v>1230</v>
      </c>
      <c r="I3525">
        <v>14</v>
      </c>
      <c r="J3525" s="6">
        <f t="shared" si="279"/>
        <v>17.22</v>
      </c>
      <c r="K3525" t="s">
        <v>398</v>
      </c>
    </row>
    <row r="3526" spans="3:11" outlineLevel="2" x14ac:dyDescent="0.3">
      <c r="C3526" s="9">
        <v>45268</v>
      </c>
      <c r="D3526" t="s">
        <v>8</v>
      </c>
      <c r="E3526" t="s">
        <v>33</v>
      </c>
      <c r="F3526" t="s">
        <v>18</v>
      </c>
      <c r="G3526" t="s">
        <v>31</v>
      </c>
      <c r="H3526">
        <v>715</v>
      </c>
      <c r="I3526">
        <v>33</v>
      </c>
      <c r="J3526" s="6">
        <f t="shared" si="279"/>
        <v>23.594999999999999</v>
      </c>
      <c r="K3526" t="s">
        <v>398</v>
      </c>
    </row>
    <row r="3527" spans="3:11" outlineLevel="2" x14ac:dyDescent="0.3">
      <c r="C3527" s="9">
        <v>45268</v>
      </c>
      <c r="D3527" t="s">
        <v>45</v>
      </c>
      <c r="E3527" t="s">
        <v>33</v>
      </c>
      <c r="F3527" t="s">
        <v>24</v>
      </c>
      <c r="G3527" t="s">
        <v>34</v>
      </c>
      <c r="H3527">
        <v>1670</v>
      </c>
      <c r="I3527">
        <v>14</v>
      </c>
      <c r="J3527" s="6">
        <f t="shared" si="279"/>
        <v>23.38</v>
      </c>
      <c r="K3527" t="s">
        <v>398</v>
      </c>
    </row>
    <row r="3528" spans="3:11" outlineLevel="2" x14ac:dyDescent="0.3">
      <c r="C3528" s="9">
        <v>45268</v>
      </c>
      <c r="D3528" t="s">
        <v>45</v>
      </c>
      <c r="E3528" t="s">
        <v>35</v>
      </c>
      <c r="F3528" t="s">
        <v>13</v>
      </c>
      <c r="G3528" t="s">
        <v>14</v>
      </c>
      <c r="H3528">
        <v>1320</v>
      </c>
      <c r="I3528">
        <v>9</v>
      </c>
      <c r="J3528" s="6">
        <f t="shared" si="279"/>
        <v>11.88</v>
      </c>
      <c r="K3528" t="s">
        <v>398</v>
      </c>
    </row>
    <row r="3529" spans="3:11" outlineLevel="2" x14ac:dyDescent="0.3">
      <c r="C3529" s="9">
        <v>45268</v>
      </c>
      <c r="D3529" t="s">
        <v>45</v>
      </c>
      <c r="E3529" t="s">
        <v>35</v>
      </c>
      <c r="F3529" t="s">
        <v>24</v>
      </c>
      <c r="G3529" t="s">
        <v>25</v>
      </c>
      <c r="H3529">
        <v>1760</v>
      </c>
      <c r="I3529">
        <v>24</v>
      </c>
      <c r="J3529" s="6">
        <f t="shared" si="279"/>
        <v>42.24</v>
      </c>
      <c r="K3529" t="s">
        <v>398</v>
      </c>
    </row>
    <row r="3530" spans="3:11" outlineLevel="1" x14ac:dyDescent="0.3">
      <c r="C3530" s="13" t="s">
        <v>356</v>
      </c>
      <c r="J3530" s="6">
        <f>SUBTOTAL(9,J3513:J3529)</f>
        <v>813.84000000000015</v>
      </c>
      <c r="K3530" t="s">
        <v>398</v>
      </c>
    </row>
    <row r="3531" spans="3:11" outlineLevel="2" x14ac:dyDescent="0.3">
      <c r="C3531" s="9">
        <v>45269</v>
      </c>
      <c r="D3531" t="s">
        <v>8</v>
      </c>
      <c r="E3531" t="s">
        <v>20</v>
      </c>
      <c r="F3531" t="s">
        <v>24</v>
      </c>
      <c r="G3531" t="s">
        <v>34</v>
      </c>
      <c r="H3531">
        <v>1670</v>
      </c>
      <c r="I3531">
        <v>6</v>
      </c>
      <c r="J3531" s="6">
        <f t="shared" ref="J3531:J3536" si="280">H3531*I3531/1000</f>
        <v>10.02</v>
      </c>
      <c r="K3531" t="s">
        <v>398</v>
      </c>
    </row>
    <row r="3532" spans="3:11" outlineLevel="2" x14ac:dyDescent="0.3">
      <c r="C3532" s="9">
        <v>45269</v>
      </c>
      <c r="D3532" t="s">
        <v>45</v>
      </c>
      <c r="E3532" t="s">
        <v>26</v>
      </c>
      <c r="F3532" t="s">
        <v>10</v>
      </c>
      <c r="G3532" t="s">
        <v>39</v>
      </c>
      <c r="H3532">
        <v>650</v>
      </c>
      <c r="I3532">
        <v>46</v>
      </c>
      <c r="J3532" s="6">
        <f t="shared" si="280"/>
        <v>29.9</v>
      </c>
      <c r="K3532" t="s">
        <v>398</v>
      </c>
    </row>
    <row r="3533" spans="3:11" outlineLevel="2" x14ac:dyDescent="0.3">
      <c r="C3533" s="9">
        <v>45269</v>
      </c>
      <c r="D3533" t="s">
        <v>12</v>
      </c>
      <c r="E3533" t="s">
        <v>26</v>
      </c>
      <c r="F3533" t="s">
        <v>13</v>
      </c>
      <c r="G3533" t="s">
        <v>14</v>
      </c>
      <c r="H3533">
        <v>1320</v>
      </c>
      <c r="I3533">
        <v>17</v>
      </c>
      <c r="J3533" s="6">
        <f t="shared" si="280"/>
        <v>22.44</v>
      </c>
      <c r="K3533" t="s">
        <v>398</v>
      </c>
    </row>
    <row r="3534" spans="3:11" outlineLevel="2" x14ac:dyDescent="0.3">
      <c r="C3534" s="9">
        <v>45269</v>
      </c>
      <c r="D3534" t="s">
        <v>8</v>
      </c>
      <c r="E3534" t="s">
        <v>26</v>
      </c>
      <c r="F3534" t="s">
        <v>24</v>
      </c>
      <c r="G3534" t="s">
        <v>36</v>
      </c>
      <c r="H3534">
        <v>2460</v>
      </c>
      <c r="I3534">
        <v>5</v>
      </c>
      <c r="J3534" s="6">
        <f t="shared" si="280"/>
        <v>12.3</v>
      </c>
      <c r="K3534" t="s">
        <v>398</v>
      </c>
    </row>
    <row r="3535" spans="3:11" outlineLevel="2" x14ac:dyDescent="0.3">
      <c r="C3535" s="9">
        <v>45269</v>
      </c>
      <c r="D3535" t="s">
        <v>17</v>
      </c>
      <c r="E3535" t="s">
        <v>15</v>
      </c>
      <c r="F3535" t="s">
        <v>13</v>
      </c>
      <c r="G3535" t="s">
        <v>29</v>
      </c>
      <c r="H3535">
        <v>1230</v>
      </c>
      <c r="I3535">
        <v>90</v>
      </c>
      <c r="J3535" s="6">
        <f t="shared" si="280"/>
        <v>110.7</v>
      </c>
      <c r="K3535" t="s">
        <v>398</v>
      </c>
    </row>
    <row r="3536" spans="3:11" outlineLevel="2" x14ac:dyDescent="0.3">
      <c r="C3536" s="9">
        <v>45269</v>
      </c>
      <c r="D3536" t="s">
        <v>17</v>
      </c>
      <c r="E3536" t="s">
        <v>35</v>
      </c>
      <c r="F3536" t="s">
        <v>18</v>
      </c>
      <c r="G3536" t="s">
        <v>31</v>
      </c>
      <c r="H3536">
        <v>715</v>
      </c>
      <c r="I3536">
        <v>28</v>
      </c>
      <c r="J3536" s="6">
        <f t="shared" si="280"/>
        <v>20.02</v>
      </c>
      <c r="K3536" t="s">
        <v>398</v>
      </c>
    </row>
    <row r="3537" spans="3:11" outlineLevel="1" x14ac:dyDescent="0.3">
      <c r="C3537" s="13" t="s">
        <v>357</v>
      </c>
      <c r="J3537" s="6">
        <f>SUBTOTAL(9,J3531:J3536)</f>
        <v>205.38000000000002</v>
      </c>
      <c r="K3537" t="s">
        <v>398</v>
      </c>
    </row>
    <row r="3538" spans="3:11" outlineLevel="2" x14ac:dyDescent="0.3">
      <c r="C3538" s="9">
        <v>45270</v>
      </c>
      <c r="D3538" t="s">
        <v>45</v>
      </c>
      <c r="E3538" t="s">
        <v>20</v>
      </c>
      <c r="F3538" t="s">
        <v>18</v>
      </c>
      <c r="G3538" t="s">
        <v>37</v>
      </c>
      <c r="H3538">
        <v>890</v>
      </c>
      <c r="I3538">
        <v>29</v>
      </c>
      <c r="J3538" s="6">
        <f t="shared" ref="J3538:J3550" si="281">H3538*I3538/1000</f>
        <v>25.81</v>
      </c>
      <c r="K3538" t="s">
        <v>398</v>
      </c>
    </row>
    <row r="3539" spans="3:11" outlineLevel="2" x14ac:dyDescent="0.3">
      <c r="C3539" s="9">
        <v>45270</v>
      </c>
      <c r="D3539" t="s">
        <v>45</v>
      </c>
      <c r="E3539" t="s">
        <v>20</v>
      </c>
      <c r="F3539" t="s">
        <v>18</v>
      </c>
      <c r="G3539" t="s">
        <v>31</v>
      </c>
      <c r="H3539">
        <v>715</v>
      </c>
      <c r="I3539">
        <v>51</v>
      </c>
      <c r="J3539" s="6">
        <f t="shared" si="281"/>
        <v>36.465000000000003</v>
      </c>
      <c r="K3539" t="s">
        <v>398</v>
      </c>
    </row>
    <row r="3540" spans="3:11" outlineLevel="2" x14ac:dyDescent="0.3">
      <c r="C3540" s="9">
        <v>45270</v>
      </c>
      <c r="D3540" t="s">
        <v>45</v>
      </c>
      <c r="E3540" t="s">
        <v>20</v>
      </c>
      <c r="F3540" t="s">
        <v>24</v>
      </c>
      <c r="G3540" t="s">
        <v>25</v>
      </c>
      <c r="H3540">
        <v>1760</v>
      </c>
      <c r="I3540">
        <v>86</v>
      </c>
      <c r="J3540" s="6">
        <f t="shared" si="281"/>
        <v>151.36000000000001</v>
      </c>
      <c r="K3540" t="s">
        <v>398</v>
      </c>
    </row>
    <row r="3541" spans="3:11" outlineLevel="2" x14ac:dyDescent="0.3">
      <c r="C3541" s="9">
        <v>45270</v>
      </c>
      <c r="D3541" t="s">
        <v>8</v>
      </c>
      <c r="E3541" t="s">
        <v>9</v>
      </c>
      <c r="F3541" t="s">
        <v>18</v>
      </c>
      <c r="G3541" t="s">
        <v>28</v>
      </c>
      <c r="H3541">
        <v>690</v>
      </c>
      <c r="I3541">
        <v>97</v>
      </c>
      <c r="J3541" s="6">
        <f t="shared" si="281"/>
        <v>66.930000000000007</v>
      </c>
      <c r="K3541" t="s">
        <v>398</v>
      </c>
    </row>
    <row r="3542" spans="3:11" outlineLevel="2" x14ac:dyDescent="0.3">
      <c r="C3542" s="9">
        <v>45270</v>
      </c>
      <c r="D3542" t="s">
        <v>8</v>
      </c>
      <c r="E3542" t="s">
        <v>26</v>
      </c>
      <c r="F3542" t="s">
        <v>18</v>
      </c>
      <c r="G3542" t="s">
        <v>28</v>
      </c>
      <c r="H3542">
        <v>690</v>
      </c>
      <c r="I3542">
        <v>27</v>
      </c>
      <c r="J3542" s="6">
        <f t="shared" si="281"/>
        <v>18.63</v>
      </c>
      <c r="K3542" t="s">
        <v>398</v>
      </c>
    </row>
    <row r="3543" spans="3:11" outlineLevel="2" x14ac:dyDescent="0.3">
      <c r="C3543" s="9">
        <v>45270</v>
      </c>
      <c r="D3543" t="s">
        <v>17</v>
      </c>
      <c r="E3543" t="s">
        <v>26</v>
      </c>
      <c r="F3543" t="s">
        <v>18</v>
      </c>
      <c r="G3543" t="s">
        <v>37</v>
      </c>
      <c r="H3543">
        <v>890</v>
      </c>
      <c r="I3543">
        <v>68</v>
      </c>
      <c r="J3543" s="6">
        <f t="shared" si="281"/>
        <v>60.52</v>
      </c>
      <c r="K3543" t="s">
        <v>398</v>
      </c>
    </row>
    <row r="3544" spans="3:11" outlineLevel="2" x14ac:dyDescent="0.3">
      <c r="C3544" s="9">
        <v>45270</v>
      </c>
      <c r="D3544" t="s">
        <v>45</v>
      </c>
      <c r="E3544" t="s">
        <v>15</v>
      </c>
      <c r="F3544" t="s">
        <v>10</v>
      </c>
      <c r="G3544" t="s">
        <v>39</v>
      </c>
      <c r="H3544">
        <v>650</v>
      </c>
      <c r="I3544">
        <v>34</v>
      </c>
      <c r="J3544" s="6">
        <f t="shared" si="281"/>
        <v>22.1</v>
      </c>
      <c r="K3544" t="s">
        <v>398</v>
      </c>
    </row>
    <row r="3545" spans="3:11" outlineLevel="2" x14ac:dyDescent="0.3">
      <c r="C3545" s="9">
        <v>45270</v>
      </c>
      <c r="D3545" t="s">
        <v>45</v>
      </c>
      <c r="E3545" t="s">
        <v>15</v>
      </c>
      <c r="F3545" t="s">
        <v>13</v>
      </c>
      <c r="G3545" t="s">
        <v>22</v>
      </c>
      <c r="H3545">
        <v>930</v>
      </c>
      <c r="I3545">
        <v>33</v>
      </c>
      <c r="J3545" s="6">
        <f t="shared" si="281"/>
        <v>30.69</v>
      </c>
      <c r="K3545" t="s">
        <v>398</v>
      </c>
    </row>
    <row r="3546" spans="3:11" outlineLevel="2" x14ac:dyDescent="0.3">
      <c r="C3546" s="9">
        <v>45270</v>
      </c>
      <c r="D3546" t="s">
        <v>17</v>
      </c>
      <c r="E3546" t="s">
        <v>15</v>
      </c>
      <c r="F3546" t="s">
        <v>24</v>
      </c>
      <c r="G3546" t="s">
        <v>25</v>
      </c>
      <c r="H3546">
        <v>1760</v>
      </c>
      <c r="I3546">
        <v>9</v>
      </c>
      <c r="J3546" s="6">
        <f t="shared" si="281"/>
        <v>15.84</v>
      </c>
      <c r="K3546" t="s">
        <v>398</v>
      </c>
    </row>
    <row r="3547" spans="3:11" outlineLevel="2" x14ac:dyDescent="0.3">
      <c r="C3547" s="9">
        <v>45270</v>
      </c>
      <c r="D3547" t="s">
        <v>45</v>
      </c>
      <c r="E3547" t="s">
        <v>33</v>
      </c>
      <c r="F3547" t="s">
        <v>24</v>
      </c>
      <c r="G3547" t="s">
        <v>32</v>
      </c>
      <c r="H3547">
        <v>1505</v>
      </c>
      <c r="I3547">
        <v>15</v>
      </c>
      <c r="J3547" s="6">
        <f t="shared" si="281"/>
        <v>22.574999999999999</v>
      </c>
      <c r="K3547" t="s">
        <v>398</v>
      </c>
    </row>
    <row r="3548" spans="3:11" outlineLevel="2" x14ac:dyDescent="0.3">
      <c r="C3548" s="9">
        <v>45270</v>
      </c>
      <c r="D3548" t="s">
        <v>8</v>
      </c>
      <c r="E3548" t="s">
        <v>35</v>
      </c>
      <c r="F3548" t="s">
        <v>10</v>
      </c>
      <c r="G3548" t="s">
        <v>16</v>
      </c>
      <c r="H3548">
        <v>1380</v>
      </c>
      <c r="I3548">
        <v>65</v>
      </c>
      <c r="J3548" s="6">
        <f t="shared" si="281"/>
        <v>89.7</v>
      </c>
      <c r="K3548" t="s">
        <v>398</v>
      </c>
    </row>
    <row r="3549" spans="3:11" outlineLevel="2" x14ac:dyDescent="0.3">
      <c r="C3549" s="9">
        <v>45270</v>
      </c>
      <c r="D3549" t="s">
        <v>45</v>
      </c>
      <c r="E3549" t="s">
        <v>35</v>
      </c>
      <c r="F3549" t="s">
        <v>18</v>
      </c>
      <c r="G3549" t="s">
        <v>31</v>
      </c>
      <c r="H3549">
        <v>715</v>
      </c>
      <c r="I3549">
        <v>35</v>
      </c>
      <c r="J3549" s="6">
        <f t="shared" si="281"/>
        <v>25.024999999999999</v>
      </c>
      <c r="K3549" t="s">
        <v>398</v>
      </c>
    </row>
    <row r="3550" spans="3:11" outlineLevel="2" x14ac:dyDescent="0.3">
      <c r="C3550" s="9">
        <v>45270</v>
      </c>
      <c r="D3550" t="s">
        <v>12</v>
      </c>
      <c r="E3550" t="s">
        <v>35</v>
      </c>
      <c r="F3550" t="s">
        <v>13</v>
      </c>
      <c r="G3550" t="s">
        <v>43</v>
      </c>
      <c r="H3550">
        <v>1420</v>
      </c>
      <c r="I3550">
        <v>69</v>
      </c>
      <c r="J3550" s="6">
        <f t="shared" si="281"/>
        <v>97.98</v>
      </c>
      <c r="K3550" t="s">
        <v>398</v>
      </c>
    </row>
    <row r="3551" spans="3:11" outlineLevel="1" x14ac:dyDescent="0.3">
      <c r="C3551" s="13" t="s">
        <v>358</v>
      </c>
      <c r="J3551" s="6">
        <f>SUBTOTAL(9,J3538:J3550)</f>
        <v>663.625</v>
      </c>
      <c r="K3551" t="s">
        <v>398</v>
      </c>
    </row>
    <row r="3552" spans="3:11" outlineLevel="2" x14ac:dyDescent="0.3">
      <c r="C3552" s="9">
        <v>45271</v>
      </c>
      <c r="D3552" t="s">
        <v>17</v>
      </c>
      <c r="E3552" t="s">
        <v>20</v>
      </c>
      <c r="F3552" t="s">
        <v>18</v>
      </c>
      <c r="G3552" t="s">
        <v>19</v>
      </c>
      <c r="H3552">
        <v>325</v>
      </c>
      <c r="I3552">
        <v>75</v>
      </c>
      <c r="J3552" s="6">
        <f>H3552*I3552/1000</f>
        <v>24.375</v>
      </c>
      <c r="K3552" t="s">
        <v>398</v>
      </c>
    </row>
    <row r="3553" spans="3:11" outlineLevel="2" x14ac:dyDescent="0.3">
      <c r="C3553" s="9">
        <v>45271</v>
      </c>
      <c r="D3553" t="s">
        <v>12</v>
      </c>
      <c r="E3553" t="s">
        <v>20</v>
      </c>
      <c r="F3553" t="s">
        <v>18</v>
      </c>
      <c r="G3553" t="s">
        <v>19</v>
      </c>
      <c r="H3553">
        <v>325</v>
      </c>
      <c r="I3553">
        <v>87</v>
      </c>
      <c r="J3553" s="6">
        <f>H3553*I3553/1000</f>
        <v>28.274999999999999</v>
      </c>
      <c r="K3553" t="s">
        <v>398</v>
      </c>
    </row>
    <row r="3554" spans="3:11" outlineLevel="2" x14ac:dyDescent="0.3">
      <c r="C3554" s="9">
        <v>45271</v>
      </c>
      <c r="D3554" t="s">
        <v>45</v>
      </c>
      <c r="E3554" t="s">
        <v>35</v>
      </c>
      <c r="F3554" t="s">
        <v>10</v>
      </c>
      <c r="G3554" t="s">
        <v>23</v>
      </c>
      <c r="H3554">
        <v>640</v>
      </c>
      <c r="I3554">
        <v>80</v>
      </c>
      <c r="J3554" s="6">
        <f>H3554*I3554/1000</f>
        <v>51.2</v>
      </c>
      <c r="K3554" t="s">
        <v>398</v>
      </c>
    </row>
    <row r="3555" spans="3:11" outlineLevel="2" x14ac:dyDescent="0.3">
      <c r="C3555" s="9">
        <v>45271</v>
      </c>
      <c r="D3555" t="s">
        <v>8</v>
      </c>
      <c r="E3555" t="s">
        <v>35</v>
      </c>
      <c r="F3555" t="s">
        <v>10</v>
      </c>
      <c r="G3555" t="s">
        <v>23</v>
      </c>
      <c r="H3555">
        <v>640</v>
      </c>
      <c r="I3555">
        <v>78</v>
      </c>
      <c r="J3555" s="6">
        <f>H3555*I3555/1000</f>
        <v>49.92</v>
      </c>
      <c r="K3555" t="s">
        <v>398</v>
      </c>
    </row>
    <row r="3556" spans="3:11" outlineLevel="2" x14ac:dyDescent="0.3">
      <c r="C3556" s="9">
        <v>45271</v>
      </c>
      <c r="D3556" t="s">
        <v>8</v>
      </c>
      <c r="E3556" t="s">
        <v>35</v>
      </c>
      <c r="F3556" t="s">
        <v>13</v>
      </c>
      <c r="G3556" t="s">
        <v>44</v>
      </c>
      <c r="H3556">
        <v>2540</v>
      </c>
      <c r="I3556">
        <v>24</v>
      </c>
      <c r="J3556" s="6">
        <f>H3556*I3556/1000</f>
        <v>60.96</v>
      </c>
      <c r="K3556" t="s">
        <v>398</v>
      </c>
    </row>
    <row r="3557" spans="3:11" outlineLevel="1" x14ac:dyDescent="0.3">
      <c r="C3557" s="13" t="s">
        <v>359</v>
      </c>
      <c r="J3557" s="6">
        <f>SUBTOTAL(9,J3552:J3556)</f>
        <v>214.73</v>
      </c>
      <c r="K3557" t="s">
        <v>398</v>
      </c>
    </row>
    <row r="3558" spans="3:11" outlineLevel="2" x14ac:dyDescent="0.3">
      <c r="C3558" s="9">
        <v>45272</v>
      </c>
      <c r="D3558" t="s">
        <v>8</v>
      </c>
      <c r="E3558" t="s">
        <v>20</v>
      </c>
      <c r="F3558" t="s">
        <v>24</v>
      </c>
      <c r="G3558" t="s">
        <v>42</v>
      </c>
      <c r="H3558">
        <v>3205</v>
      </c>
      <c r="I3558">
        <v>10</v>
      </c>
      <c r="J3558" s="6">
        <f t="shared" ref="J3558:J3565" si="282">H3558*I3558/1000</f>
        <v>32.049999999999997</v>
      </c>
      <c r="K3558" t="s">
        <v>398</v>
      </c>
    </row>
    <row r="3559" spans="3:11" outlineLevel="2" x14ac:dyDescent="0.3">
      <c r="C3559" s="9">
        <v>45272</v>
      </c>
      <c r="D3559" t="s">
        <v>8</v>
      </c>
      <c r="E3559" t="s">
        <v>9</v>
      </c>
      <c r="F3559" t="s">
        <v>10</v>
      </c>
      <c r="G3559" t="s">
        <v>11</v>
      </c>
      <c r="H3559">
        <v>705</v>
      </c>
      <c r="I3559">
        <v>78</v>
      </c>
      <c r="J3559" s="6">
        <f t="shared" si="282"/>
        <v>54.99</v>
      </c>
      <c r="K3559" t="s">
        <v>398</v>
      </c>
    </row>
    <row r="3560" spans="3:11" outlineLevel="2" x14ac:dyDescent="0.3">
      <c r="C3560" s="9">
        <v>45272</v>
      </c>
      <c r="D3560" t="s">
        <v>45</v>
      </c>
      <c r="E3560" t="s">
        <v>26</v>
      </c>
      <c r="F3560" t="s">
        <v>10</v>
      </c>
      <c r="G3560" t="s">
        <v>41</v>
      </c>
      <c r="H3560">
        <v>650</v>
      </c>
      <c r="I3560">
        <v>69</v>
      </c>
      <c r="J3560" s="6">
        <f t="shared" si="282"/>
        <v>44.85</v>
      </c>
      <c r="K3560" t="s">
        <v>398</v>
      </c>
    </row>
    <row r="3561" spans="3:11" outlineLevel="2" x14ac:dyDescent="0.3">
      <c r="C3561" s="9">
        <v>45272</v>
      </c>
      <c r="D3561" t="s">
        <v>45</v>
      </c>
      <c r="E3561" t="s">
        <v>15</v>
      </c>
      <c r="F3561" t="s">
        <v>13</v>
      </c>
      <c r="G3561" t="s">
        <v>38</v>
      </c>
      <c r="H3561">
        <v>2400</v>
      </c>
      <c r="I3561">
        <v>28</v>
      </c>
      <c r="J3561" s="6">
        <f t="shared" si="282"/>
        <v>67.2</v>
      </c>
      <c r="K3561" t="s">
        <v>398</v>
      </c>
    </row>
    <row r="3562" spans="3:11" outlineLevel="2" x14ac:dyDescent="0.3">
      <c r="C3562" s="9">
        <v>45272</v>
      </c>
      <c r="D3562" t="s">
        <v>45</v>
      </c>
      <c r="E3562" t="s">
        <v>15</v>
      </c>
      <c r="F3562" t="s">
        <v>24</v>
      </c>
      <c r="G3562" t="s">
        <v>25</v>
      </c>
      <c r="H3562">
        <v>1760</v>
      </c>
      <c r="I3562">
        <v>82</v>
      </c>
      <c r="J3562" s="6">
        <f t="shared" si="282"/>
        <v>144.32</v>
      </c>
      <c r="K3562" t="s">
        <v>398</v>
      </c>
    </row>
    <row r="3563" spans="3:11" outlineLevel="2" x14ac:dyDescent="0.3">
      <c r="C3563" s="9">
        <v>45272</v>
      </c>
      <c r="D3563" t="s">
        <v>12</v>
      </c>
      <c r="E3563" t="s">
        <v>15</v>
      </c>
      <c r="F3563" t="s">
        <v>24</v>
      </c>
      <c r="G3563" t="s">
        <v>30</v>
      </c>
      <c r="H3563">
        <v>2970</v>
      </c>
      <c r="I3563">
        <v>5</v>
      </c>
      <c r="J3563" s="6">
        <f t="shared" si="282"/>
        <v>14.85</v>
      </c>
      <c r="K3563" t="s">
        <v>398</v>
      </c>
    </row>
    <row r="3564" spans="3:11" outlineLevel="2" x14ac:dyDescent="0.3">
      <c r="C3564" s="9">
        <v>45272</v>
      </c>
      <c r="D3564" t="s">
        <v>12</v>
      </c>
      <c r="E3564" t="s">
        <v>33</v>
      </c>
      <c r="F3564" t="s">
        <v>13</v>
      </c>
      <c r="G3564" t="s">
        <v>43</v>
      </c>
      <c r="H3564">
        <v>1420</v>
      </c>
      <c r="I3564">
        <v>34</v>
      </c>
      <c r="J3564" s="6">
        <f t="shared" si="282"/>
        <v>48.28</v>
      </c>
      <c r="K3564" t="s">
        <v>398</v>
      </c>
    </row>
    <row r="3565" spans="3:11" outlineLevel="2" x14ac:dyDescent="0.3">
      <c r="C3565" s="9">
        <v>45272</v>
      </c>
      <c r="D3565" t="s">
        <v>8</v>
      </c>
      <c r="E3565" t="s">
        <v>33</v>
      </c>
      <c r="F3565" t="s">
        <v>24</v>
      </c>
      <c r="G3565" t="s">
        <v>42</v>
      </c>
      <c r="H3565">
        <v>3205</v>
      </c>
      <c r="I3565">
        <v>34</v>
      </c>
      <c r="J3565" s="6">
        <f t="shared" si="282"/>
        <v>108.97</v>
      </c>
      <c r="K3565" t="s">
        <v>398</v>
      </c>
    </row>
    <row r="3566" spans="3:11" outlineLevel="1" x14ac:dyDescent="0.3">
      <c r="C3566" s="13" t="s">
        <v>360</v>
      </c>
      <c r="J3566" s="6">
        <f>SUBTOTAL(9,J3558:J3565)</f>
        <v>515.51</v>
      </c>
      <c r="K3566" t="s">
        <v>398</v>
      </c>
    </row>
    <row r="3567" spans="3:11" outlineLevel="2" x14ac:dyDescent="0.3">
      <c r="C3567" s="9">
        <v>45273</v>
      </c>
      <c r="D3567" t="s">
        <v>12</v>
      </c>
      <c r="E3567" t="s">
        <v>20</v>
      </c>
      <c r="F3567" t="s">
        <v>18</v>
      </c>
      <c r="G3567" t="s">
        <v>28</v>
      </c>
      <c r="H3567">
        <v>690</v>
      </c>
      <c r="I3567">
        <v>24</v>
      </c>
      <c r="J3567" s="6">
        <f>H3567*I3567/1000</f>
        <v>16.559999999999999</v>
      </c>
      <c r="K3567" t="s">
        <v>398</v>
      </c>
    </row>
    <row r="3568" spans="3:11" outlineLevel="2" x14ac:dyDescent="0.3">
      <c r="C3568" s="9">
        <v>45273</v>
      </c>
      <c r="D3568" t="s">
        <v>45</v>
      </c>
      <c r="E3568" t="s">
        <v>20</v>
      </c>
      <c r="F3568" t="s">
        <v>24</v>
      </c>
      <c r="G3568" t="s">
        <v>32</v>
      </c>
      <c r="H3568">
        <v>1505</v>
      </c>
      <c r="I3568">
        <v>9</v>
      </c>
      <c r="J3568" s="6">
        <f>H3568*I3568/1000</f>
        <v>13.545</v>
      </c>
      <c r="K3568" t="s">
        <v>398</v>
      </c>
    </row>
    <row r="3569" spans="3:11" outlineLevel="2" x14ac:dyDescent="0.3">
      <c r="C3569" s="9">
        <v>45273</v>
      </c>
      <c r="D3569" t="s">
        <v>8</v>
      </c>
      <c r="E3569" t="s">
        <v>9</v>
      </c>
      <c r="F3569" t="s">
        <v>13</v>
      </c>
      <c r="G3569" t="s">
        <v>43</v>
      </c>
      <c r="H3569">
        <v>1420</v>
      </c>
      <c r="I3569">
        <v>29</v>
      </c>
      <c r="J3569" s="6">
        <f>H3569*I3569/1000</f>
        <v>41.18</v>
      </c>
      <c r="K3569" t="s">
        <v>398</v>
      </c>
    </row>
    <row r="3570" spans="3:11" outlineLevel="2" x14ac:dyDescent="0.3">
      <c r="C3570" s="9">
        <v>45273</v>
      </c>
      <c r="D3570" t="s">
        <v>45</v>
      </c>
      <c r="E3570" t="s">
        <v>26</v>
      </c>
      <c r="F3570" t="s">
        <v>10</v>
      </c>
      <c r="G3570" t="s">
        <v>16</v>
      </c>
      <c r="H3570">
        <v>1380</v>
      </c>
      <c r="I3570">
        <v>45</v>
      </c>
      <c r="J3570" s="6">
        <f>H3570*I3570/1000</f>
        <v>62.1</v>
      </c>
      <c r="K3570" t="s">
        <v>398</v>
      </c>
    </row>
    <row r="3571" spans="3:11" outlineLevel="2" x14ac:dyDescent="0.3">
      <c r="C3571" s="9">
        <v>45273</v>
      </c>
      <c r="D3571" t="s">
        <v>17</v>
      </c>
      <c r="E3571" t="s">
        <v>33</v>
      </c>
      <c r="F3571" t="s">
        <v>24</v>
      </c>
      <c r="G3571" t="s">
        <v>34</v>
      </c>
      <c r="H3571">
        <v>1670</v>
      </c>
      <c r="I3571">
        <v>84</v>
      </c>
      <c r="J3571" s="6">
        <f>H3571*I3571/1000</f>
        <v>140.28</v>
      </c>
      <c r="K3571" t="s">
        <v>398</v>
      </c>
    </row>
    <row r="3572" spans="3:11" outlineLevel="1" x14ac:dyDescent="0.3">
      <c r="C3572" s="13" t="s">
        <v>361</v>
      </c>
      <c r="J3572" s="6">
        <f>SUBTOTAL(9,J3567:J3571)</f>
        <v>273.66499999999996</v>
      </c>
      <c r="K3572" t="s">
        <v>398</v>
      </c>
    </row>
    <row r="3573" spans="3:11" outlineLevel="2" x14ac:dyDescent="0.3">
      <c r="C3573" s="9">
        <v>45274</v>
      </c>
      <c r="D3573" t="s">
        <v>17</v>
      </c>
      <c r="E3573" t="s">
        <v>20</v>
      </c>
      <c r="F3573" t="s">
        <v>10</v>
      </c>
      <c r="G3573" t="s">
        <v>39</v>
      </c>
      <c r="H3573">
        <v>650</v>
      </c>
      <c r="I3573">
        <v>33</v>
      </c>
      <c r="J3573" s="6">
        <f t="shared" ref="J3573:J3582" si="283">H3573*I3573/1000</f>
        <v>21.45</v>
      </c>
      <c r="K3573" t="s">
        <v>398</v>
      </c>
    </row>
    <row r="3574" spans="3:11" outlineLevel="2" x14ac:dyDescent="0.3">
      <c r="C3574" s="9">
        <v>45274</v>
      </c>
      <c r="D3574" t="s">
        <v>17</v>
      </c>
      <c r="E3574" t="s">
        <v>20</v>
      </c>
      <c r="F3574" t="s">
        <v>18</v>
      </c>
      <c r="G3574" t="s">
        <v>27</v>
      </c>
      <c r="H3574">
        <v>460</v>
      </c>
      <c r="I3574">
        <v>32</v>
      </c>
      <c r="J3574" s="6">
        <f t="shared" si="283"/>
        <v>14.72</v>
      </c>
      <c r="K3574" t="s">
        <v>398</v>
      </c>
    </row>
    <row r="3575" spans="3:11" outlineLevel="2" x14ac:dyDescent="0.3">
      <c r="C3575" s="9">
        <v>45274</v>
      </c>
      <c r="D3575" t="s">
        <v>45</v>
      </c>
      <c r="E3575" t="s">
        <v>20</v>
      </c>
      <c r="F3575" t="s">
        <v>18</v>
      </c>
      <c r="G3575" t="s">
        <v>31</v>
      </c>
      <c r="H3575">
        <v>715</v>
      </c>
      <c r="I3575">
        <v>22</v>
      </c>
      <c r="J3575" s="6">
        <f t="shared" si="283"/>
        <v>15.73</v>
      </c>
      <c r="K3575" t="s">
        <v>398</v>
      </c>
    </row>
    <row r="3576" spans="3:11" outlineLevel="2" x14ac:dyDescent="0.3">
      <c r="C3576" s="9">
        <v>45274</v>
      </c>
      <c r="D3576" t="s">
        <v>8</v>
      </c>
      <c r="E3576" t="s">
        <v>20</v>
      </c>
      <c r="F3576" t="s">
        <v>13</v>
      </c>
      <c r="G3576" t="s">
        <v>29</v>
      </c>
      <c r="H3576">
        <v>1230</v>
      </c>
      <c r="I3576">
        <v>17</v>
      </c>
      <c r="J3576" s="6">
        <f t="shared" si="283"/>
        <v>20.91</v>
      </c>
      <c r="K3576" t="s">
        <v>398</v>
      </c>
    </row>
    <row r="3577" spans="3:11" outlineLevel="2" x14ac:dyDescent="0.3">
      <c r="C3577" s="9">
        <v>45274</v>
      </c>
      <c r="D3577" t="s">
        <v>45</v>
      </c>
      <c r="E3577" t="s">
        <v>20</v>
      </c>
      <c r="F3577" t="s">
        <v>13</v>
      </c>
      <c r="G3577" t="s">
        <v>29</v>
      </c>
      <c r="H3577">
        <v>1230</v>
      </c>
      <c r="I3577">
        <v>36</v>
      </c>
      <c r="J3577" s="6">
        <f t="shared" si="283"/>
        <v>44.28</v>
      </c>
      <c r="K3577" t="s">
        <v>398</v>
      </c>
    </row>
    <row r="3578" spans="3:11" outlineLevel="2" x14ac:dyDescent="0.3">
      <c r="C3578" s="9">
        <v>45274</v>
      </c>
      <c r="D3578" t="s">
        <v>45</v>
      </c>
      <c r="E3578" t="s">
        <v>20</v>
      </c>
      <c r="F3578" t="s">
        <v>13</v>
      </c>
      <c r="G3578" t="s">
        <v>44</v>
      </c>
      <c r="H3578">
        <v>2540</v>
      </c>
      <c r="I3578">
        <v>7</v>
      </c>
      <c r="J3578" s="6">
        <f t="shared" si="283"/>
        <v>17.78</v>
      </c>
      <c r="K3578" t="s">
        <v>398</v>
      </c>
    </row>
    <row r="3579" spans="3:11" outlineLevel="2" x14ac:dyDescent="0.3">
      <c r="C3579" s="9">
        <v>45274</v>
      </c>
      <c r="D3579" t="s">
        <v>8</v>
      </c>
      <c r="E3579" t="s">
        <v>9</v>
      </c>
      <c r="F3579" t="s">
        <v>10</v>
      </c>
      <c r="G3579" t="s">
        <v>11</v>
      </c>
      <c r="H3579">
        <v>705</v>
      </c>
      <c r="I3579">
        <v>76</v>
      </c>
      <c r="J3579" s="6">
        <f t="shared" si="283"/>
        <v>53.58</v>
      </c>
      <c r="K3579" t="s">
        <v>398</v>
      </c>
    </row>
    <row r="3580" spans="3:11" outlineLevel="2" x14ac:dyDescent="0.3">
      <c r="C3580" s="9">
        <v>45274</v>
      </c>
      <c r="D3580" t="s">
        <v>17</v>
      </c>
      <c r="E3580" t="s">
        <v>9</v>
      </c>
      <c r="F3580" t="s">
        <v>24</v>
      </c>
      <c r="G3580" t="s">
        <v>42</v>
      </c>
      <c r="H3580">
        <v>3205</v>
      </c>
      <c r="I3580">
        <v>89</v>
      </c>
      <c r="J3580" s="6">
        <f t="shared" si="283"/>
        <v>285.245</v>
      </c>
      <c r="K3580" t="s">
        <v>398</v>
      </c>
    </row>
    <row r="3581" spans="3:11" outlineLevel="2" x14ac:dyDescent="0.3">
      <c r="C3581" s="9">
        <v>45274</v>
      </c>
      <c r="D3581" t="s">
        <v>17</v>
      </c>
      <c r="E3581" t="s">
        <v>26</v>
      </c>
      <c r="F3581" t="s">
        <v>24</v>
      </c>
      <c r="G3581" t="s">
        <v>32</v>
      </c>
      <c r="H3581">
        <v>1505</v>
      </c>
      <c r="I3581">
        <v>97</v>
      </c>
      <c r="J3581" s="6">
        <f t="shared" si="283"/>
        <v>145.98500000000001</v>
      </c>
      <c r="K3581" t="s">
        <v>398</v>
      </c>
    </row>
    <row r="3582" spans="3:11" outlineLevel="2" x14ac:dyDescent="0.3">
      <c r="C3582" s="9">
        <v>45274</v>
      </c>
      <c r="D3582" t="s">
        <v>12</v>
      </c>
      <c r="E3582" t="s">
        <v>35</v>
      </c>
      <c r="F3582" t="s">
        <v>13</v>
      </c>
      <c r="G3582" t="s">
        <v>29</v>
      </c>
      <c r="H3582">
        <v>1230</v>
      </c>
      <c r="I3582">
        <v>64</v>
      </c>
      <c r="J3582" s="6">
        <f t="shared" si="283"/>
        <v>78.72</v>
      </c>
      <c r="K3582" t="s">
        <v>398</v>
      </c>
    </row>
    <row r="3583" spans="3:11" outlineLevel="1" x14ac:dyDescent="0.3">
      <c r="C3583" s="13" t="s">
        <v>362</v>
      </c>
      <c r="J3583" s="6">
        <f>SUBTOTAL(9,J3573:J3582)</f>
        <v>698.40000000000009</v>
      </c>
      <c r="K3583" t="s">
        <v>398</v>
      </c>
    </row>
    <row r="3584" spans="3:11" outlineLevel="2" x14ac:dyDescent="0.3">
      <c r="C3584" s="9">
        <v>45275</v>
      </c>
      <c r="D3584" t="s">
        <v>8</v>
      </c>
      <c r="E3584" t="s">
        <v>20</v>
      </c>
      <c r="F3584" t="s">
        <v>24</v>
      </c>
      <c r="G3584" t="s">
        <v>32</v>
      </c>
      <c r="H3584">
        <v>1505</v>
      </c>
      <c r="I3584">
        <v>69</v>
      </c>
      <c r="J3584" s="6">
        <f t="shared" ref="J3584:J3594" si="284">H3584*I3584/1000</f>
        <v>103.845</v>
      </c>
      <c r="K3584" t="s">
        <v>398</v>
      </c>
    </row>
    <row r="3585" spans="3:11" outlineLevel="2" x14ac:dyDescent="0.3">
      <c r="C3585" s="9">
        <v>45275</v>
      </c>
      <c r="D3585" t="s">
        <v>45</v>
      </c>
      <c r="E3585" t="s">
        <v>9</v>
      </c>
      <c r="F3585" t="s">
        <v>10</v>
      </c>
      <c r="G3585" t="s">
        <v>41</v>
      </c>
      <c r="H3585">
        <v>650</v>
      </c>
      <c r="I3585">
        <v>48</v>
      </c>
      <c r="J3585" s="6">
        <f t="shared" si="284"/>
        <v>31.2</v>
      </c>
      <c r="K3585" t="s">
        <v>398</v>
      </c>
    </row>
    <row r="3586" spans="3:11" outlineLevel="2" x14ac:dyDescent="0.3">
      <c r="C3586" s="9">
        <v>45275</v>
      </c>
      <c r="D3586" t="s">
        <v>8</v>
      </c>
      <c r="E3586" t="s">
        <v>9</v>
      </c>
      <c r="F3586" t="s">
        <v>18</v>
      </c>
      <c r="G3586" t="s">
        <v>21</v>
      </c>
      <c r="H3586">
        <v>450</v>
      </c>
      <c r="I3586">
        <v>98</v>
      </c>
      <c r="J3586" s="6">
        <f t="shared" si="284"/>
        <v>44.1</v>
      </c>
      <c r="K3586" t="s">
        <v>398</v>
      </c>
    </row>
    <row r="3587" spans="3:11" outlineLevel="2" x14ac:dyDescent="0.3">
      <c r="C3587" s="9">
        <v>45275</v>
      </c>
      <c r="D3587" t="s">
        <v>45</v>
      </c>
      <c r="E3587" t="s">
        <v>9</v>
      </c>
      <c r="F3587" t="s">
        <v>13</v>
      </c>
      <c r="G3587" t="s">
        <v>14</v>
      </c>
      <c r="H3587">
        <v>1320</v>
      </c>
      <c r="I3587">
        <v>49</v>
      </c>
      <c r="J3587" s="6">
        <f t="shared" si="284"/>
        <v>64.680000000000007</v>
      </c>
      <c r="K3587" t="s">
        <v>398</v>
      </c>
    </row>
    <row r="3588" spans="3:11" outlineLevel="2" x14ac:dyDescent="0.3">
      <c r="C3588" s="9">
        <v>45275</v>
      </c>
      <c r="D3588" t="s">
        <v>12</v>
      </c>
      <c r="E3588" t="s">
        <v>9</v>
      </c>
      <c r="F3588" t="s">
        <v>24</v>
      </c>
      <c r="G3588" t="s">
        <v>36</v>
      </c>
      <c r="H3588">
        <v>2460</v>
      </c>
      <c r="I3588">
        <v>85</v>
      </c>
      <c r="J3588" s="6">
        <f t="shared" si="284"/>
        <v>209.1</v>
      </c>
      <c r="K3588" t="s">
        <v>398</v>
      </c>
    </row>
    <row r="3589" spans="3:11" outlineLevel="2" x14ac:dyDescent="0.3">
      <c r="C3589" s="9">
        <v>45275</v>
      </c>
      <c r="D3589" t="s">
        <v>45</v>
      </c>
      <c r="E3589" t="s">
        <v>26</v>
      </c>
      <c r="F3589" t="s">
        <v>24</v>
      </c>
      <c r="G3589" t="s">
        <v>36</v>
      </c>
      <c r="H3589">
        <v>2460</v>
      </c>
      <c r="I3589">
        <v>74</v>
      </c>
      <c r="J3589" s="6">
        <f t="shared" si="284"/>
        <v>182.04</v>
      </c>
      <c r="K3589" t="s">
        <v>398</v>
      </c>
    </row>
    <row r="3590" spans="3:11" outlineLevel="2" x14ac:dyDescent="0.3">
      <c r="C3590" s="9">
        <v>45275</v>
      </c>
      <c r="D3590" t="s">
        <v>45</v>
      </c>
      <c r="E3590" t="s">
        <v>26</v>
      </c>
      <c r="F3590" t="s">
        <v>24</v>
      </c>
      <c r="G3590" t="s">
        <v>32</v>
      </c>
      <c r="H3590">
        <v>1505</v>
      </c>
      <c r="I3590">
        <v>82</v>
      </c>
      <c r="J3590" s="6">
        <f t="shared" si="284"/>
        <v>123.41</v>
      </c>
      <c r="K3590" t="s">
        <v>398</v>
      </c>
    </row>
    <row r="3591" spans="3:11" outlineLevel="2" x14ac:dyDescent="0.3">
      <c r="C3591" s="9">
        <v>45275</v>
      </c>
      <c r="D3591" t="s">
        <v>45</v>
      </c>
      <c r="E3591" t="s">
        <v>15</v>
      </c>
      <c r="F3591" t="s">
        <v>13</v>
      </c>
      <c r="G3591" t="s">
        <v>29</v>
      </c>
      <c r="H3591">
        <v>1230</v>
      </c>
      <c r="I3591">
        <v>49</v>
      </c>
      <c r="J3591" s="6">
        <f t="shared" si="284"/>
        <v>60.27</v>
      </c>
      <c r="K3591" t="s">
        <v>398</v>
      </c>
    </row>
    <row r="3592" spans="3:11" outlineLevel="2" x14ac:dyDescent="0.3">
      <c r="C3592" s="9">
        <v>45275</v>
      </c>
      <c r="D3592" t="s">
        <v>17</v>
      </c>
      <c r="E3592" t="s">
        <v>33</v>
      </c>
      <c r="F3592" t="s">
        <v>18</v>
      </c>
      <c r="G3592" t="s">
        <v>27</v>
      </c>
      <c r="H3592">
        <v>460</v>
      </c>
      <c r="I3592">
        <v>23</v>
      </c>
      <c r="J3592" s="6">
        <f t="shared" si="284"/>
        <v>10.58</v>
      </c>
      <c r="K3592" t="s">
        <v>398</v>
      </c>
    </row>
    <row r="3593" spans="3:11" outlineLevel="2" x14ac:dyDescent="0.3">
      <c r="C3593" s="9">
        <v>45275</v>
      </c>
      <c r="D3593" t="s">
        <v>8</v>
      </c>
      <c r="E3593" t="s">
        <v>35</v>
      </c>
      <c r="F3593" t="s">
        <v>18</v>
      </c>
      <c r="G3593" t="s">
        <v>19</v>
      </c>
      <c r="H3593">
        <v>325</v>
      </c>
      <c r="I3593">
        <v>68</v>
      </c>
      <c r="J3593" s="6">
        <f t="shared" si="284"/>
        <v>22.1</v>
      </c>
      <c r="K3593" t="s">
        <v>398</v>
      </c>
    </row>
    <row r="3594" spans="3:11" outlineLevel="2" x14ac:dyDescent="0.3">
      <c r="C3594" s="9">
        <v>45275</v>
      </c>
      <c r="D3594" t="s">
        <v>12</v>
      </c>
      <c r="E3594" t="s">
        <v>35</v>
      </c>
      <c r="F3594" t="s">
        <v>13</v>
      </c>
      <c r="G3594" t="s">
        <v>38</v>
      </c>
      <c r="H3594">
        <v>2400</v>
      </c>
      <c r="I3594">
        <v>24</v>
      </c>
      <c r="J3594" s="6">
        <f t="shared" si="284"/>
        <v>57.6</v>
      </c>
      <c r="K3594" t="s">
        <v>398</v>
      </c>
    </row>
    <row r="3595" spans="3:11" outlineLevel="1" x14ac:dyDescent="0.3">
      <c r="C3595" s="13" t="s">
        <v>363</v>
      </c>
      <c r="J3595" s="6">
        <f>SUBTOTAL(9,J3584:J3594)</f>
        <v>908.92499999999995</v>
      </c>
      <c r="K3595" t="s">
        <v>398</v>
      </c>
    </row>
    <row r="3596" spans="3:11" outlineLevel="2" x14ac:dyDescent="0.3">
      <c r="C3596" s="9">
        <v>45276</v>
      </c>
      <c r="D3596" t="s">
        <v>12</v>
      </c>
      <c r="E3596" t="s">
        <v>20</v>
      </c>
      <c r="F3596" t="s">
        <v>18</v>
      </c>
      <c r="G3596" t="s">
        <v>27</v>
      </c>
      <c r="H3596">
        <v>460</v>
      </c>
      <c r="I3596">
        <v>12</v>
      </c>
      <c r="J3596" s="6">
        <f t="shared" ref="J3596:J3602" si="285">H3596*I3596/1000</f>
        <v>5.52</v>
      </c>
      <c r="K3596" t="s">
        <v>398</v>
      </c>
    </row>
    <row r="3597" spans="3:11" outlineLevel="2" x14ac:dyDescent="0.3">
      <c r="C3597" s="9">
        <v>45276</v>
      </c>
      <c r="D3597" t="s">
        <v>17</v>
      </c>
      <c r="E3597" t="s">
        <v>20</v>
      </c>
      <c r="F3597" t="s">
        <v>24</v>
      </c>
      <c r="G3597" t="s">
        <v>25</v>
      </c>
      <c r="H3597">
        <v>1760</v>
      </c>
      <c r="I3597">
        <v>58</v>
      </c>
      <c r="J3597" s="6">
        <f t="shared" si="285"/>
        <v>102.08</v>
      </c>
      <c r="K3597" t="s">
        <v>398</v>
      </c>
    </row>
    <row r="3598" spans="3:11" outlineLevel="2" x14ac:dyDescent="0.3">
      <c r="C3598" s="9">
        <v>45276</v>
      </c>
      <c r="D3598" t="s">
        <v>17</v>
      </c>
      <c r="E3598" t="s">
        <v>9</v>
      </c>
      <c r="F3598" t="s">
        <v>10</v>
      </c>
      <c r="G3598" t="s">
        <v>23</v>
      </c>
      <c r="H3598">
        <v>640</v>
      </c>
      <c r="I3598">
        <v>40</v>
      </c>
      <c r="J3598" s="6">
        <f t="shared" si="285"/>
        <v>25.6</v>
      </c>
      <c r="K3598" t="s">
        <v>398</v>
      </c>
    </row>
    <row r="3599" spans="3:11" outlineLevel="2" x14ac:dyDescent="0.3">
      <c r="C3599" s="9">
        <v>45276</v>
      </c>
      <c r="D3599" t="s">
        <v>8</v>
      </c>
      <c r="E3599" t="s">
        <v>15</v>
      </c>
      <c r="F3599" t="s">
        <v>10</v>
      </c>
      <c r="G3599" t="s">
        <v>40</v>
      </c>
      <c r="H3599">
        <v>540</v>
      </c>
      <c r="I3599">
        <v>65</v>
      </c>
      <c r="J3599" s="6">
        <f t="shared" si="285"/>
        <v>35.1</v>
      </c>
      <c r="K3599" t="s">
        <v>398</v>
      </c>
    </row>
    <row r="3600" spans="3:11" outlineLevel="2" x14ac:dyDescent="0.3">
      <c r="C3600" s="9">
        <v>45276</v>
      </c>
      <c r="D3600" t="s">
        <v>8</v>
      </c>
      <c r="E3600" t="s">
        <v>35</v>
      </c>
      <c r="F3600" t="s">
        <v>10</v>
      </c>
      <c r="G3600" t="s">
        <v>16</v>
      </c>
      <c r="H3600">
        <v>1380</v>
      </c>
      <c r="I3600">
        <v>44</v>
      </c>
      <c r="J3600" s="6">
        <f t="shared" si="285"/>
        <v>60.72</v>
      </c>
      <c r="K3600" t="s">
        <v>398</v>
      </c>
    </row>
    <row r="3601" spans="3:11" outlineLevel="2" x14ac:dyDescent="0.3">
      <c r="C3601" s="9">
        <v>45276</v>
      </c>
      <c r="D3601" t="s">
        <v>17</v>
      </c>
      <c r="E3601" t="s">
        <v>35</v>
      </c>
      <c r="F3601" t="s">
        <v>18</v>
      </c>
      <c r="G3601" t="s">
        <v>37</v>
      </c>
      <c r="H3601">
        <v>890</v>
      </c>
      <c r="I3601">
        <v>63</v>
      </c>
      <c r="J3601" s="6">
        <f t="shared" si="285"/>
        <v>56.07</v>
      </c>
      <c r="K3601" t="s">
        <v>398</v>
      </c>
    </row>
    <row r="3602" spans="3:11" outlineLevel="2" x14ac:dyDescent="0.3">
      <c r="C3602" s="9">
        <v>45276</v>
      </c>
      <c r="D3602" t="s">
        <v>12</v>
      </c>
      <c r="E3602" t="s">
        <v>35</v>
      </c>
      <c r="F3602" t="s">
        <v>13</v>
      </c>
      <c r="G3602" t="s">
        <v>14</v>
      </c>
      <c r="H3602">
        <v>1320</v>
      </c>
      <c r="I3602">
        <v>54</v>
      </c>
      <c r="J3602" s="6">
        <f t="shared" si="285"/>
        <v>71.28</v>
      </c>
      <c r="K3602" t="s">
        <v>398</v>
      </c>
    </row>
    <row r="3603" spans="3:11" outlineLevel="1" x14ac:dyDescent="0.3">
      <c r="C3603" s="13" t="s">
        <v>364</v>
      </c>
      <c r="J3603" s="6">
        <f>SUBTOTAL(9,J3596:J3602)</f>
        <v>356.37</v>
      </c>
      <c r="K3603" t="s">
        <v>398</v>
      </c>
    </row>
    <row r="3604" spans="3:11" outlineLevel="2" x14ac:dyDescent="0.3">
      <c r="C3604" s="9">
        <v>45277</v>
      </c>
      <c r="D3604" t="s">
        <v>12</v>
      </c>
      <c r="E3604" t="s">
        <v>20</v>
      </c>
      <c r="F3604" t="s">
        <v>10</v>
      </c>
      <c r="G3604" t="s">
        <v>41</v>
      </c>
      <c r="H3604">
        <v>650</v>
      </c>
      <c r="I3604">
        <v>44</v>
      </c>
      <c r="J3604" s="6">
        <f t="shared" ref="J3604:J3614" si="286">H3604*I3604/1000</f>
        <v>28.6</v>
      </c>
      <c r="K3604" t="s">
        <v>398</v>
      </c>
    </row>
    <row r="3605" spans="3:11" outlineLevel="2" x14ac:dyDescent="0.3">
      <c r="C3605" s="9">
        <v>45277</v>
      </c>
      <c r="D3605" t="s">
        <v>12</v>
      </c>
      <c r="E3605" t="s">
        <v>20</v>
      </c>
      <c r="F3605" t="s">
        <v>10</v>
      </c>
      <c r="G3605" t="s">
        <v>39</v>
      </c>
      <c r="H3605">
        <v>650</v>
      </c>
      <c r="I3605">
        <v>26</v>
      </c>
      <c r="J3605" s="6">
        <f t="shared" si="286"/>
        <v>16.899999999999999</v>
      </c>
      <c r="K3605" t="s">
        <v>398</v>
      </c>
    </row>
    <row r="3606" spans="3:11" outlineLevel="2" x14ac:dyDescent="0.3">
      <c r="C3606" s="9">
        <v>45277</v>
      </c>
      <c r="D3606" t="s">
        <v>17</v>
      </c>
      <c r="E3606" t="s">
        <v>9</v>
      </c>
      <c r="F3606" t="s">
        <v>13</v>
      </c>
      <c r="G3606" t="s">
        <v>22</v>
      </c>
      <c r="H3606">
        <v>930</v>
      </c>
      <c r="I3606">
        <v>87</v>
      </c>
      <c r="J3606" s="6">
        <f t="shared" si="286"/>
        <v>80.91</v>
      </c>
      <c r="K3606" t="s">
        <v>398</v>
      </c>
    </row>
    <row r="3607" spans="3:11" outlineLevel="2" x14ac:dyDescent="0.3">
      <c r="C3607" s="9">
        <v>45277</v>
      </c>
      <c r="D3607" t="s">
        <v>12</v>
      </c>
      <c r="E3607" t="s">
        <v>9</v>
      </c>
      <c r="F3607" t="s">
        <v>13</v>
      </c>
      <c r="G3607" t="s">
        <v>29</v>
      </c>
      <c r="H3607">
        <v>1230</v>
      </c>
      <c r="I3607">
        <v>61</v>
      </c>
      <c r="J3607" s="6">
        <f t="shared" si="286"/>
        <v>75.03</v>
      </c>
      <c r="K3607" t="s">
        <v>398</v>
      </c>
    </row>
    <row r="3608" spans="3:11" outlineLevel="2" x14ac:dyDescent="0.3">
      <c r="C3608" s="9">
        <v>45277</v>
      </c>
      <c r="D3608" t="s">
        <v>12</v>
      </c>
      <c r="E3608" t="s">
        <v>9</v>
      </c>
      <c r="F3608" t="s">
        <v>13</v>
      </c>
      <c r="G3608" t="s">
        <v>29</v>
      </c>
      <c r="H3608">
        <v>1230</v>
      </c>
      <c r="I3608">
        <v>17</v>
      </c>
      <c r="J3608" s="6">
        <f t="shared" si="286"/>
        <v>20.91</v>
      </c>
      <c r="K3608" t="s">
        <v>398</v>
      </c>
    </row>
    <row r="3609" spans="3:11" outlineLevel="2" x14ac:dyDescent="0.3">
      <c r="C3609" s="9">
        <v>45277</v>
      </c>
      <c r="D3609" t="s">
        <v>8</v>
      </c>
      <c r="E3609" t="s">
        <v>26</v>
      </c>
      <c r="F3609" t="s">
        <v>13</v>
      </c>
      <c r="G3609" t="s">
        <v>44</v>
      </c>
      <c r="H3609">
        <v>2540</v>
      </c>
      <c r="I3609">
        <v>88</v>
      </c>
      <c r="J3609" s="6">
        <f t="shared" si="286"/>
        <v>223.52</v>
      </c>
      <c r="K3609" t="s">
        <v>398</v>
      </c>
    </row>
    <row r="3610" spans="3:11" outlineLevel="2" x14ac:dyDescent="0.3">
      <c r="C3610" s="9">
        <v>45277</v>
      </c>
      <c r="D3610" t="s">
        <v>12</v>
      </c>
      <c r="E3610" t="s">
        <v>26</v>
      </c>
      <c r="F3610" t="s">
        <v>13</v>
      </c>
      <c r="G3610" t="s">
        <v>22</v>
      </c>
      <c r="H3610">
        <v>930</v>
      </c>
      <c r="I3610">
        <v>66</v>
      </c>
      <c r="J3610" s="6">
        <f t="shared" si="286"/>
        <v>61.38</v>
      </c>
      <c r="K3610" t="s">
        <v>398</v>
      </c>
    </row>
    <row r="3611" spans="3:11" outlineLevel="2" x14ac:dyDescent="0.3">
      <c r="C3611" s="9">
        <v>45277</v>
      </c>
      <c r="D3611" t="s">
        <v>12</v>
      </c>
      <c r="E3611" t="s">
        <v>26</v>
      </c>
      <c r="F3611" t="s">
        <v>13</v>
      </c>
      <c r="G3611" t="s">
        <v>14</v>
      </c>
      <c r="H3611">
        <v>1320</v>
      </c>
      <c r="I3611">
        <v>94</v>
      </c>
      <c r="J3611" s="6">
        <f t="shared" si="286"/>
        <v>124.08</v>
      </c>
      <c r="K3611" t="s">
        <v>398</v>
      </c>
    </row>
    <row r="3612" spans="3:11" outlineLevel="2" x14ac:dyDescent="0.3">
      <c r="C3612" s="9">
        <v>45277</v>
      </c>
      <c r="D3612" t="s">
        <v>8</v>
      </c>
      <c r="E3612" t="s">
        <v>15</v>
      </c>
      <c r="F3612" t="s">
        <v>24</v>
      </c>
      <c r="G3612" t="s">
        <v>25</v>
      </c>
      <c r="H3612">
        <v>1760</v>
      </c>
      <c r="I3612">
        <v>20</v>
      </c>
      <c r="J3612" s="6">
        <f t="shared" si="286"/>
        <v>35.200000000000003</v>
      </c>
      <c r="K3612" t="s">
        <v>398</v>
      </c>
    </row>
    <row r="3613" spans="3:11" outlineLevel="2" x14ac:dyDescent="0.3">
      <c r="C3613" s="9">
        <v>45277</v>
      </c>
      <c r="D3613" t="s">
        <v>8</v>
      </c>
      <c r="E3613" t="s">
        <v>35</v>
      </c>
      <c r="F3613" t="s">
        <v>10</v>
      </c>
      <c r="G3613" t="s">
        <v>16</v>
      </c>
      <c r="H3613">
        <v>1380</v>
      </c>
      <c r="I3613">
        <v>22</v>
      </c>
      <c r="J3613" s="6">
        <f t="shared" si="286"/>
        <v>30.36</v>
      </c>
      <c r="K3613" t="s">
        <v>398</v>
      </c>
    </row>
    <row r="3614" spans="3:11" outlineLevel="2" x14ac:dyDescent="0.3">
      <c r="C3614" s="9">
        <v>45277</v>
      </c>
      <c r="D3614" t="s">
        <v>45</v>
      </c>
      <c r="E3614" t="s">
        <v>35</v>
      </c>
      <c r="F3614" t="s">
        <v>18</v>
      </c>
      <c r="G3614" t="s">
        <v>37</v>
      </c>
      <c r="H3614">
        <v>890</v>
      </c>
      <c r="I3614">
        <v>95</v>
      </c>
      <c r="J3614" s="6">
        <f t="shared" si="286"/>
        <v>84.55</v>
      </c>
      <c r="K3614" t="s">
        <v>398</v>
      </c>
    </row>
    <row r="3615" spans="3:11" outlineLevel="1" x14ac:dyDescent="0.3">
      <c r="C3615" s="13" t="s">
        <v>365</v>
      </c>
      <c r="J3615" s="6">
        <f>SUBTOTAL(9,J3604:J3614)</f>
        <v>781.44</v>
      </c>
      <c r="K3615" t="s">
        <v>398</v>
      </c>
    </row>
    <row r="3616" spans="3:11" outlineLevel="2" x14ac:dyDescent="0.3">
      <c r="C3616" s="9">
        <v>45278</v>
      </c>
      <c r="D3616" t="s">
        <v>12</v>
      </c>
      <c r="E3616" t="s">
        <v>20</v>
      </c>
      <c r="F3616" t="s">
        <v>10</v>
      </c>
      <c r="G3616" t="s">
        <v>23</v>
      </c>
      <c r="H3616">
        <v>640</v>
      </c>
      <c r="I3616">
        <v>62</v>
      </c>
      <c r="J3616" s="6">
        <f t="shared" ref="J3616:J3624" si="287">H3616*I3616/1000</f>
        <v>39.68</v>
      </c>
      <c r="K3616" t="s">
        <v>398</v>
      </c>
    </row>
    <row r="3617" spans="3:11" outlineLevel="2" x14ac:dyDescent="0.3">
      <c r="C3617" s="9">
        <v>45278</v>
      </c>
      <c r="D3617" t="s">
        <v>17</v>
      </c>
      <c r="E3617" t="s">
        <v>20</v>
      </c>
      <c r="F3617" t="s">
        <v>13</v>
      </c>
      <c r="G3617" t="s">
        <v>22</v>
      </c>
      <c r="H3617">
        <v>930</v>
      </c>
      <c r="I3617">
        <v>35</v>
      </c>
      <c r="J3617" s="6">
        <f t="shared" si="287"/>
        <v>32.549999999999997</v>
      </c>
      <c r="K3617" t="s">
        <v>398</v>
      </c>
    </row>
    <row r="3618" spans="3:11" outlineLevel="2" x14ac:dyDescent="0.3">
      <c r="C3618" s="9">
        <v>45278</v>
      </c>
      <c r="D3618" t="s">
        <v>12</v>
      </c>
      <c r="E3618" t="s">
        <v>9</v>
      </c>
      <c r="F3618" t="s">
        <v>18</v>
      </c>
      <c r="G3618" t="s">
        <v>31</v>
      </c>
      <c r="H3618">
        <v>715</v>
      </c>
      <c r="I3618">
        <v>46</v>
      </c>
      <c r="J3618" s="6">
        <f t="shared" si="287"/>
        <v>32.89</v>
      </c>
      <c r="K3618" t="s">
        <v>398</v>
      </c>
    </row>
    <row r="3619" spans="3:11" outlineLevel="2" x14ac:dyDescent="0.3">
      <c r="C3619" s="9">
        <v>45278</v>
      </c>
      <c r="D3619" t="s">
        <v>8</v>
      </c>
      <c r="E3619" t="s">
        <v>26</v>
      </c>
      <c r="F3619" t="s">
        <v>18</v>
      </c>
      <c r="G3619" t="s">
        <v>31</v>
      </c>
      <c r="H3619">
        <v>715</v>
      </c>
      <c r="I3619">
        <v>60</v>
      </c>
      <c r="J3619" s="6">
        <f t="shared" si="287"/>
        <v>42.9</v>
      </c>
      <c r="K3619" t="s">
        <v>398</v>
      </c>
    </row>
    <row r="3620" spans="3:11" outlineLevel="2" x14ac:dyDescent="0.3">
      <c r="C3620" s="9">
        <v>45278</v>
      </c>
      <c r="D3620" t="s">
        <v>12</v>
      </c>
      <c r="E3620" t="s">
        <v>26</v>
      </c>
      <c r="F3620" t="s">
        <v>24</v>
      </c>
      <c r="G3620" t="s">
        <v>30</v>
      </c>
      <c r="H3620">
        <v>2970</v>
      </c>
      <c r="I3620">
        <v>76</v>
      </c>
      <c r="J3620" s="6">
        <f t="shared" si="287"/>
        <v>225.72</v>
      </c>
      <c r="K3620" t="s">
        <v>398</v>
      </c>
    </row>
    <row r="3621" spans="3:11" outlineLevel="2" x14ac:dyDescent="0.3">
      <c r="C3621" s="9">
        <v>45278</v>
      </c>
      <c r="D3621" t="s">
        <v>45</v>
      </c>
      <c r="E3621" t="s">
        <v>15</v>
      </c>
      <c r="F3621" t="s">
        <v>10</v>
      </c>
      <c r="G3621" t="s">
        <v>40</v>
      </c>
      <c r="H3621">
        <v>540</v>
      </c>
      <c r="I3621">
        <v>19</v>
      </c>
      <c r="J3621" s="6">
        <f t="shared" si="287"/>
        <v>10.26</v>
      </c>
      <c r="K3621" t="s">
        <v>398</v>
      </c>
    </row>
    <row r="3622" spans="3:11" outlineLevel="2" x14ac:dyDescent="0.3">
      <c r="C3622" s="9">
        <v>45278</v>
      </c>
      <c r="D3622" t="s">
        <v>12</v>
      </c>
      <c r="E3622" t="s">
        <v>33</v>
      </c>
      <c r="F3622" t="s">
        <v>18</v>
      </c>
      <c r="G3622" t="s">
        <v>27</v>
      </c>
      <c r="H3622">
        <v>460</v>
      </c>
      <c r="I3622">
        <v>26</v>
      </c>
      <c r="J3622" s="6">
        <f t="shared" si="287"/>
        <v>11.96</v>
      </c>
      <c r="K3622" t="s">
        <v>398</v>
      </c>
    </row>
    <row r="3623" spans="3:11" outlineLevel="2" x14ac:dyDescent="0.3">
      <c r="C3623" s="9">
        <v>45278</v>
      </c>
      <c r="D3623" t="s">
        <v>17</v>
      </c>
      <c r="E3623" t="s">
        <v>33</v>
      </c>
      <c r="F3623" t="s">
        <v>13</v>
      </c>
      <c r="G3623" t="s">
        <v>22</v>
      </c>
      <c r="H3623">
        <v>930</v>
      </c>
      <c r="I3623">
        <v>66</v>
      </c>
      <c r="J3623" s="6">
        <f t="shared" si="287"/>
        <v>61.38</v>
      </c>
      <c r="K3623" t="s">
        <v>398</v>
      </c>
    </row>
    <row r="3624" spans="3:11" outlineLevel="2" x14ac:dyDescent="0.3">
      <c r="C3624" s="9">
        <v>45278</v>
      </c>
      <c r="D3624" t="s">
        <v>17</v>
      </c>
      <c r="E3624" t="s">
        <v>33</v>
      </c>
      <c r="F3624" t="s">
        <v>24</v>
      </c>
      <c r="G3624" t="s">
        <v>32</v>
      </c>
      <c r="H3624">
        <v>1505</v>
      </c>
      <c r="I3624">
        <v>36</v>
      </c>
      <c r="J3624" s="6">
        <f t="shared" si="287"/>
        <v>54.18</v>
      </c>
      <c r="K3624" t="s">
        <v>398</v>
      </c>
    </row>
    <row r="3625" spans="3:11" outlineLevel="1" x14ac:dyDescent="0.3">
      <c r="C3625" s="13" t="s">
        <v>366</v>
      </c>
      <c r="J3625" s="6">
        <f>SUBTOTAL(9,J3616:J3624)</f>
        <v>511.52</v>
      </c>
      <c r="K3625" t="s">
        <v>398</v>
      </c>
    </row>
    <row r="3626" spans="3:11" outlineLevel="2" x14ac:dyDescent="0.3">
      <c r="C3626" s="9">
        <v>45279</v>
      </c>
      <c r="D3626" t="s">
        <v>12</v>
      </c>
      <c r="E3626" t="s">
        <v>20</v>
      </c>
      <c r="F3626" t="s">
        <v>10</v>
      </c>
      <c r="G3626" t="s">
        <v>40</v>
      </c>
      <c r="H3626">
        <v>540</v>
      </c>
      <c r="I3626">
        <v>65</v>
      </c>
      <c r="J3626" s="6">
        <f t="shared" ref="J3626:J3637" si="288">H3626*I3626/1000</f>
        <v>35.1</v>
      </c>
      <c r="K3626" t="s">
        <v>398</v>
      </c>
    </row>
    <row r="3627" spans="3:11" outlineLevel="2" x14ac:dyDescent="0.3">
      <c r="C3627" s="9">
        <v>45279</v>
      </c>
      <c r="D3627" t="s">
        <v>12</v>
      </c>
      <c r="E3627" t="s">
        <v>20</v>
      </c>
      <c r="F3627" t="s">
        <v>13</v>
      </c>
      <c r="G3627" t="s">
        <v>29</v>
      </c>
      <c r="H3627">
        <v>1230</v>
      </c>
      <c r="I3627">
        <v>16</v>
      </c>
      <c r="J3627" s="6">
        <f t="shared" si="288"/>
        <v>19.68</v>
      </c>
      <c r="K3627" t="s">
        <v>398</v>
      </c>
    </row>
    <row r="3628" spans="3:11" outlineLevel="2" x14ac:dyDescent="0.3">
      <c r="C3628" s="9">
        <v>45279</v>
      </c>
      <c r="D3628" t="s">
        <v>17</v>
      </c>
      <c r="E3628" t="s">
        <v>20</v>
      </c>
      <c r="F3628" t="s">
        <v>24</v>
      </c>
      <c r="G3628" t="s">
        <v>30</v>
      </c>
      <c r="H3628">
        <v>2970</v>
      </c>
      <c r="I3628">
        <v>52</v>
      </c>
      <c r="J3628" s="6">
        <f t="shared" si="288"/>
        <v>154.44</v>
      </c>
      <c r="K3628" t="s">
        <v>398</v>
      </c>
    </row>
    <row r="3629" spans="3:11" outlineLevel="2" x14ac:dyDescent="0.3">
      <c r="C3629" s="9">
        <v>45279</v>
      </c>
      <c r="D3629" t="s">
        <v>45</v>
      </c>
      <c r="E3629" t="s">
        <v>20</v>
      </c>
      <c r="F3629" t="s">
        <v>24</v>
      </c>
      <c r="G3629" t="s">
        <v>36</v>
      </c>
      <c r="H3629">
        <v>2460</v>
      </c>
      <c r="I3629">
        <v>79</v>
      </c>
      <c r="J3629" s="6">
        <f t="shared" si="288"/>
        <v>194.34</v>
      </c>
      <c r="K3629" t="s">
        <v>398</v>
      </c>
    </row>
    <row r="3630" spans="3:11" outlineLevel="2" x14ac:dyDescent="0.3">
      <c r="C3630" s="9">
        <v>45279</v>
      </c>
      <c r="D3630" t="s">
        <v>45</v>
      </c>
      <c r="E3630" t="s">
        <v>9</v>
      </c>
      <c r="F3630" t="s">
        <v>24</v>
      </c>
      <c r="G3630" t="s">
        <v>25</v>
      </c>
      <c r="H3630">
        <v>1760</v>
      </c>
      <c r="I3630">
        <v>68</v>
      </c>
      <c r="J3630" s="6">
        <f t="shared" si="288"/>
        <v>119.68</v>
      </c>
      <c r="K3630" t="s">
        <v>398</v>
      </c>
    </row>
    <row r="3631" spans="3:11" outlineLevel="2" x14ac:dyDescent="0.3">
      <c r="C3631" s="9">
        <v>45279</v>
      </c>
      <c r="D3631" t="s">
        <v>45</v>
      </c>
      <c r="E3631" t="s">
        <v>15</v>
      </c>
      <c r="F3631" t="s">
        <v>18</v>
      </c>
      <c r="G3631" t="s">
        <v>27</v>
      </c>
      <c r="H3631">
        <v>460</v>
      </c>
      <c r="I3631">
        <v>57</v>
      </c>
      <c r="J3631" s="6">
        <f t="shared" si="288"/>
        <v>26.22</v>
      </c>
      <c r="K3631" t="s">
        <v>398</v>
      </c>
    </row>
    <row r="3632" spans="3:11" outlineLevel="2" x14ac:dyDescent="0.3">
      <c r="C3632" s="9">
        <v>45279</v>
      </c>
      <c r="D3632" t="s">
        <v>8</v>
      </c>
      <c r="E3632" t="s">
        <v>15</v>
      </c>
      <c r="F3632" t="s">
        <v>18</v>
      </c>
      <c r="G3632" t="s">
        <v>19</v>
      </c>
      <c r="H3632">
        <v>325</v>
      </c>
      <c r="I3632">
        <v>5</v>
      </c>
      <c r="J3632" s="6">
        <f t="shared" si="288"/>
        <v>1.625</v>
      </c>
      <c r="K3632" t="s">
        <v>398</v>
      </c>
    </row>
    <row r="3633" spans="3:11" outlineLevel="2" x14ac:dyDescent="0.3">
      <c r="C3633" s="9">
        <v>45279</v>
      </c>
      <c r="D3633" t="s">
        <v>12</v>
      </c>
      <c r="E3633" t="s">
        <v>15</v>
      </c>
      <c r="F3633" t="s">
        <v>13</v>
      </c>
      <c r="G3633" t="s">
        <v>14</v>
      </c>
      <c r="H3633">
        <v>1320</v>
      </c>
      <c r="I3633">
        <v>82</v>
      </c>
      <c r="J3633" s="6">
        <f t="shared" si="288"/>
        <v>108.24</v>
      </c>
      <c r="K3633" t="s">
        <v>398</v>
      </c>
    </row>
    <row r="3634" spans="3:11" outlineLevel="2" x14ac:dyDescent="0.3">
      <c r="C3634" s="9">
        <v>45279</v>
      </c>
      <c r="D3634" t="s">
        <v>8</v>
      </c>
      <c r="E3634" t="s">
        <v>33</v>
      </c>
      <c r="F3634" t="s">
        <v>10</v>
      </c>
      <c r="G3634" t="s">
        <v>23</v>
      </c>
      <c r="H3634">
        <v>640</v>
      </c>
      <c r="I3634">
        <v>45</v>
      </c>
      <c r="J3634" s="6">
        <f t="shared" si="288"/>
        <v>28.8</v>
      </c>
      <c r="K3634" t="s">
        <v>398</v>
      </c>
    </row>
    <row r="3635" spans="3:11" outlineLevel="2" x14ac:dyDescent="0.3">
      <c r="C3635" s="9">
        <v>45279</v>
      </c>
      <c r="D3635" t="s">
        <v>17</v>
      </c>
      <c r="E3635" t="s">
        <v>35</v>
      </c>
      <c r="F3635" t="s">
        <v>10</v>
      </c>
      <c r="G3635" t="s">
        <v>16</v>
      </c>
      <c r="H3635">
        <v>1380</v>
      </c>
      <c r="I3635">
        <v>82</v>
      </c>
      <c r="J3635" s="6">
        <f t="shared" si="288"/>
        <v>113.16</v>
      </c>
      <c r="K3635" t="s">
        <v>398</v>
      </c>
    </row>
    <row r="3636" spans="3:11" outlineLevel="2" x14ac:dyDescent="0.3">
      <c r="C3636" s="9">
        <v>45279</v>
      </c>
      <c r="D3636" t="s">
        <v>12</v>
      </c>
      <c r="E3636" t="s">
        <v>35</v>
      </c>
      <c r="F3636" t="s">
        <v>10</v>
      </c>
      <c r="G3636" t="s">
        <v>40</v>
      </c>
      <c r="H3636">
        <v>540</v>
      </c>
      <c r="I3636">
        <v>70</v>
      </c>
      <c r="J3636" s="6">
        <f t="shared" si="288"/>
        <v>37.799999999999997</v>
      </c>
      <c r="K3636" t="s">
        <v>398</v>
      </c>
    </row>
    <row r="3637" spans="3:11" outlineLevel="2" x14ac:dyDescent="0.3">
      <c r="C3637" s="9">
        <v>45279</v>
      </c>
      <c r="D3637" t="s">
        <v>12</v>
      </c>
      <c r="E3637" t="s">
        <v>35</v>
      </c>
      <c r="F3637" t="s">
        <v>13</v>
      </c>
      <c r="G3637" t="s">
        <v>44</v>
      </c>
      <c r="H3637">
        <v>2540</v>
      </c>
      <c r="I3637">
        <v>54</v>
      </c>
      <c r="J3637" s="6">
        <f t="shared" si="288"/>
        <v>137.16</v>
      </c>
      <c r="K3637" t="s">
        <v>398</v>
      </c>
    </row>
    <row r="3638" spans="3:11" outlineLevel="1" x14ac:dyDescent="0.3">
      <c r="C3638" s="13" t="s">
        <v>367</v>
      </c>
      <c r="J3638" s="6">
        <f>SUBTOTAL(9,J3626:J3637)</f>
        <v>976.24499999999989</v>
      </c>
      <c r="K3638" t="s">
        <v>398</v>
      </c>
    </row>
    <row r="3639" spans="3:11" outlineLevel="2" x14ac:dyDescent="0.3">
      <c r="C3639" s="9">
        <v>45280</v>
      </c>
      <c r="D3639" t="s">
        <v>17</v>
      </c>
      <c r="E3639" t="s">
        <v>9</v>
      </c>
      <c r="F3639" t="s">
        <v>18</v>
      </c>
      <c r="G3639" t="s">
        <v>28</v>
      </c>
      <c r="H3639">
        <v>690</v>
      </c>
      <c r="I3639">
        <v>51</v>
      </c>
      <c r="J3639" s="6">
        <f t="shared" ref="J3639:J3651" si="289">H3639*I3639/1000</f>
        <v>35.19</v>
      </c>
      <c r="K3639" t="s">
        <v>398</v>
      </c>
    </row>
    <row r="3640" spans="3:11" outlineLevel="2" x14ac:dyDescent="0.3">
      <c r="C3640" s="9">
        <v>45280</v>
      </c>
      <c r="D3640" t="s">
        <v>12</v>
      </c>
      <c r="E3640" t="s">
        <v>9</v>
      </c>
      <c r="F3640" t="s">
        <v>13</v>
      </c>
      <c r="G3640" t="s">
        <v>14</v>
      </c>
      <c r="H3640">
        <v>1320</v>
      </c>
      <c r="I3640">
        <v>84</v>
      </c>
      <c r="J3640" s="6">
        <f t="shared" si="289"/>
        <v>110.88</v>
      </c>
      <c r="K3640" t="s">
        <v>398</v>
      </c>
    </row>
    <row r="3641" spans="3:11" outlineLevel="2" x14ac:dyDescent="0.3">
      <c r="C3641" s="9">
        <v>45280</v>
      </c>
      <c r="D3641" t="s">
        <v>45</v>
      </c>
      <c r="E3641" t="s">
        <v>26</v>
      </c>
      <c r="F3641" t="s">
        <v>24</v>
      </c>
      <c r="G3641" t="s">
        <v>32</v>
      </c>
      <c r="H3641">
        <v>1505</v>
      </c>
      <c r="I3641">
        <v>45</v>
      </c>
      <c r="J3641" s="6">
        <f t="shared" si="289"/>
        <v>67.724999999999994</v>
      </c>
      <c r="K3641" t="s">
        <v>398</v>
      </c>
    </row>
    <row r="3642" spans="3:11" outlineLevel="2" x14ac:dyDescent="0.3">
      <c r="C3642" s="9">
        <v>45280</v>
      </c>
      <c r="D3642" t="s">
        <v>17</v>
      </c>
      <c r="E3642" t="s">
        <v>15</v>
      </c>
      <c r="F3642" t="s">
        <v>18</v>
      </c>
      <c r="G3642" t="s">
        <v>19</v>
      </c>
      <c r="H3642">
        <v>325</v>
      </c>
      <c r="I3642">
        <v>15</v>
      </c>
      <c r="J3642" s="6">
        <f t="shared" si="289"/>
        <v>4.875</v>
      </c>
      <c r="K3642" t="s">
        <v>398</v>
      </c>
    </row>
    <row r="3643" spans="3:11" outlineLevel="2" x14ac:dyDescent="0.3">
      <c r="C3643" s="9">
        <v>45280</v>
      </c>
      <c r="D3643" t="s">
        <v>12</v>
      </c>
      <c r="E3643" t="s">
        <v>15</v>
      </c>
      <c r="F3643" t="s">
        <v>13</v>
      </c>
      <c r="G3643" t="s">
        <v>43</v>
      </c>
      <c r="H3643">
        <v>1420</v>
      </c>
      <c r="I3643">
        <v>38</v>
      </c>
      <c r="J3643" s="6">
        <f t="shared" si="289"/>
        <v>53.96</v>
      </c>
      <c r="K3643" t="s">
        <v>398</v>
      </c>
    </row>
    <row r="3644" spans="3:11" outlineLevel="2" x14ac:dyDescent="0.3">
      <c r="C3644" s="9">
        <v>45280</v>
      </c>
      <c r="D3644" t="s">
        <v>8</v>
      </c>
      <c r="E3644" t="s">
        <v>33</v>
      </c>
      <c r="F3644" t="s">
        <v>10</v>
      </c>
      <c r="G3644" t="s">
        <v>23</v>
      </c>
      <c r="H3644">
        <v>640</v>
      </c>
      <c r="I3644">
        <v>45</v>
      </c>
      <c r="J3644" s="6">
        <f t="shared" si="289"/>
        <v>28.8</v>
      </c>
      <c r="K3644" t="s">
        <v>398</v>
      </c>
    </row>
    <row r="3645" spans="3:11" outlineLevel="2" x14ac:dyDescent="0.3">
      <c r="C3645" s="9">
        <v>45280</v>
      </c>
      <c r="D3645" t="s">
        <v>8</v>
      </c>
      <c r="E3645" t="s">
        <v>33</v>
      </c>
      <c r="F3645" t="s">
        <v>18</v>
      </c>
      <c r="G3645" t="s">
        <v>28</v>
      </c>
      <c r="H3645">
        <v>690</v>
      </c>
      <c r="I3645">
        <v>27</v>
      </c>
      <c r="J3645" s="6">
        <f t="shared" si="289"/>
        <v>18.63</v>
      </c>
      <c r="K3645" t="s">
        <v>398</v>
      </c>
    </row>
    <row r="3646" spans="3:11" outlineLevel="2" x14ac:dyDescent="0.3">
      <c r="C3646" s="9">
        <v>45280</v>
      </c>
      <c r="D3646" t="s">
        <v>17</v>
      </c>
      <c r="E3646" t="s">
        <v>33</v>
      </c>
      <c r="F3646" t="s">
        <v>18</v>
      </c>
      <c r="G3646" t="s">
        <v>19</v>
      </c>
      <c r="H3646">
        <v>325</v>
      </c>
      <c r="I3646">
        <v>52</v>
      </c>
      <c r="J3646" s="6">
        <f t="shared" si="289"/>
        <v>16.899999999999999</v>
      </c>
      <c r="K3646" t="s">
        <v>398</v>
      </c>
    </row>
    <row r="3647" spans="3:11" outlineLevel="2" x14ac:dyDescent="0.3">
      <c r="C3647" s="9">
        <v>45280</v>
      </c>
      <c r="D3647" t="s">
        <v>17</v>
      </c>
      <c r="E3647" t="s">
        <v>33</v>
      </c>
      <c r="F3647" t="s">
        <v>13</v>
      </c>
      <c r="G3647" t="s">
        <v>14</v>
      </c>
      <c r="H3647">
        <v>1320</v>
      </c>
      <c r="I3647">
        <v>42</v>
      </c>
      <c r="J3647" s="6">
        <f t="shared" si="289"/>
        <v>55.44</v>
      </c>
      <c r="K3647" t="s">
        <v>398</v>
      </c>
    </row>
    <row r="3648" spans="3:11" outlineLevel="2" x14ac:dyDescent="0.3">
      <c r="C3648" s="9">
        <v>45280</v>
      </c>
      <c r="D3648" t="s">
        <v>17</v>
      </c>
      <c r="E3648" t="s">
        <v>33</v>
      </c>
      <c r="F3648" t="s">
        <v>24</v>
      </c>
      <c r="G3648" t="s">
        <v>32</v>
      </c>
      <c r="H3648">
        <v>1505</v>
      </c>
      <c r="I3648">
        <v>30</v>
      </c>
      <c r="J3648" s="6">
        <f t="shared" si="289"/>
        <v>45.15</v>
      </c>
      <c r="K3648" t="s">
        <v>398</v>
      </c>
    </row>
    <row r="3649" spans="3:11" outlineLevel="2" x14ac:dyDescent="0.3">
      <c r="C3649" s="9">
        <v>45280</v>
      </c>
      <c r="D3649" t="s">
        <v>17</v>
      </c>
      <c r="E3649" t="s">
        <v>35</v>
      </c>
      <c r="F3649" t="s">
        <v>18</v>
      </c>
      <c r="G3649" t="s">
        <v>31</v>
      </c>
      <c r="H3649">
        <v>715</v>
      </c>
      <c r="I3649">
        <v>62</v>
      </c>
      <c r="J3649" s="6">
        <f t="shared" si="289"/>
        <v>44.33</v>
      </c>
      <c r="K3649" t="s">
        <v>398</v>
      </c>
    </row>
    <row r="3650" spans="3:11" outlineLevel="2" x14ac:dyDescent="0.3">
      <c r="C3650" s="9">
        <v>45280</v>
      </c>
      <c r="D3650" t="s">
        <v>45</v>
      </c>
      <c r="E3650" t="s">
        <v>35</v>
      </c>
      <c r="F3650" t="s">
        <v>18</v>
      </c>
      <c r="G3650" t="s">
        <v>28</v>
      </c>
      <c r="H3650">
        <v>690</v>
      </c>
      <c r="I3650">
        <v>71</v>
      </c>
      <c r="J3650" s="6">
        <f t="shared" si="289"/>
        <v>48.99</v>
      </c>
      <c r="K3650" t="s">
        <v>398</v>
      </c>
    </row>
    <row r="3651" spans="3:11" outlineLevel="2" x14ac:dyDescent="0.3">
      <c r="C3651" s="9">
        <v>45280</v>
      </c>
      <c r="D3651" t="s">
        <v>12</v>
      </c>
      <c r="E3651" t="s">
        <v>35</v>
      </c>
      <c r="F3651" t="s">
        <v>18</v>
      </c>
      <c r="G3651" t="s">
        <v>37</v>
      </c>
      <c r="H3651">
        <v>890</v>
      </c>
      <c r="I3651">
        <v>27</v>
      </c>
      <c r="J3651" s="6">
        <f t="shared" si="289"/>
        <v>24.03</v>
      </c>
      <c r="K3651" t="s">
        <v>398</v>
      </c>
    </row>
    <row r="3652" spans="3:11" outlineLevel="1" x14ac:dyDescent="0.3">
      <c r="C3652" s="13" t="s">
        <v>368</v>
      </c>
      <c r="J3652" s="6">
        <f>SUBTOTAL(9,J3639:J3651)</f>
        <v>554.89999999999986</v>
      </c>
      <c r="K3652" t="s">
        <v>398</v>
      </c>
    </row>
    <row r="3653" spans="3:11" outlineLevel="2" x14ac:dyDescent="0.3">
      <c r="C3653" s="9">
        <v>45281</v>
      </c>
      <c r="D3653" t="s">
        <v>8</v>
      </c>
      <c r="E3653" t="s">
        <v>26</v>
      </c>
      <c r="F3653" t="s">
        <v>10</v>
      </c>
      <c r="G3653" t="s">
        <v>11</v>
      </c>
      <c r="H3653">
        <v>705</v>
      </c>
      <c r="I3653">
        <v>93</v>
      </c>
      <c r="J3653" s="6">
        <f t="shared" ref="J3653:J3658" si="290">H3653*I3653/1000</f>
        <v>65.564999999999998</v>
      </c>
      <c r="K3653" t="s">
        <v>398</v>
      </c>
    </row>
    <row r="3654" spans="3:11" outlineLevel="2" x14ac:dyDescent="0.3">
      <c r="C3654" s="9">
        <v>45281</v>
      </c>
      <c r="D3654" t="s">
        <v>8</v>
      </c>
      <c r="E3654" t="s">
        <v>26</v>
      </c>
      <c r="F3654" t="s">
        <v>24</v>
      </c>
      <c r="G3654" t="s">
        <v>32</v>
      </c>
      <c r="H3654">
        <v>1505</v>
      </c>
      <c r="I3654">
        <v>67</v>
      </c>
      <c r="J3654" s="6">
        <f t="shared" si="290"/>
        <v>100.83499999999999</v>
      </c>
      <c r="K3654" t="s">
        <v>398</v>
      </c>
    </row>
    <row r="3655" spans="3:11" outlineLevel="2" x14ac:dyDescent="0.3">
      <c r="C3655" s="9">
        <v>45281</v>
      </c>
      <c r="D3655" t="s">
        <v>45</v>
      </c>
      <c r="E3655" t="s">
        <v>15</v>
      </c>
      <c r="F3655" t="s">
        <v>13</v>
      </c>
      <c r="G3655" t="s">
        <v>29</v>
      </c>
      <c r="H3655">
        <v>1230</v>
      </c>
      <c r="I3655">
        <v>40</v>
      </c>
      <c r="J3655" s="6">
        <f t="shared" si="290"/>
        <v>49.2</v>
      </c>
      <c r="K3655" t="s">
        <v>398</v>
      </c>
    </row>
    <row r="3656" spans="3:11" outlineLevel="2" x14ac:dyDescent="0.3">
      <c r="C3656" s="9">
        <v>45281</v>
      </c>
      <c r="D3656" t="s">
        <v>45</v>
      </c>
      <c r="E3656" t="s">
        <v>35</v>
      </c>
      <c r="F3656" t="s">
        <v>10</v>
      </c>
      <c r="G3656" t="s">
        <v>16</v>
      </c>
      <c r="H3656">
        <v>1380</v>
      </c>
      <c r="I3656">
        <v>34</v>
      </c>
      <c r="J3656" s="6">
        <f t="shared" si="290"/>
        <v>46.92</v>
      </c>
      <c r="K3656" t="s">
        <v>398</v>
      </c>
    </row>
    <row r="3657" spans="3:11" outlineLevel="2" x14ac:dyDescent="0.3">
      <c r="C3657" s="9">
        <v>45281</v>
      </c>
      <c r="D3657" t="s">
        <v>12</v>
      </c>
      <c r="E3657" t="s">
        <v>35</v>
      </c>
      <c r="F3657" t="s">
        <v>18</v>
      </c>
      <c r="G3657" t="s">
        <v>19</v>
      </c>
      <c r="H3657">
        <v>325</v>
      </c>
      <c r="I3657">
        <v>35</v>
      </c>
      <c r="J3657" s="6">
        <f t="shared" si="290"/>
        <v>11.375</v>
      </c>
      <c r="K3657" t="s">
        <v>398</v>
      </c>
    </row>
    <row r="3658" spans="3:11" outlineLevel="2" x14ac:dyDescent="0.3">
      <c r="C3658" s="9">
        <v>45281</v>
      </c>
      <c r="D3658" t="s">
        <v>17</v>
      </c>
      <c r="E3658" t="s">
        <v>35</v>
      </c>
      <c r="F3658" t="s">
        <v>18</v>
      </c>
      <c r="G3658" t="s">
        <v>31</v>
      </c>
      <c r="H3658">
        <v>715</v>
      </c>
      <c r="I3658">
        <v>12</v>
      </c>
      <c r="J3658" s="6">
        <f t="shared" si="290"/>
        <v>8.58</v>
      </c>
      <c r="K3658" t="s">
        <v>398</v>
      </c>
    </row>
    <row r="3659" spans="3:11" outlineLevel="1" x14ac:dyDescent="0.3">
      <c r="C3659" s="13" t="s">
        <v>369</v>
      </c>
      <c r="J3659" s="6">
        <f>SUBTOTAL(9,J3653:J3658)</f>
        <v>282.47499999999997</v>
      </c>
      <c r="K3659" t="s">
        <v>398</v>
      </c>
    </row>
    <row r="3660" spans="3:11" outlineLevel="2" x14ac:dyDescent="0.3">
      <c r="C3660" s="9">
        <v>45282</v>
      </c>
      <c r="D3660" t="s">
        <v>45</v>
      </c>
      <c r="E3660" t="s">
        <v>20</v>
      </c>
      <c r="F3660" t="s">
        <v>18</v>
      </c>
      <c r="G3660" t="s">
        <v>27</v>
      </c>
      <c r="H3660">
        <v>460</v>
      </c>
      <c r="I3660">
        <v>60</v>
      </c>
      <c r="J3660" s="6">
        <f t="shared" ref="J3660:J3670" si="291">H3660*I3660/1000</f>
        <v>27.6</v>
      </c>
      <c r="K3660" t="s">
        <v>398</v>
      </c>
    </row>
    <row r="3661" spans="3:11" outlineLevel="2" x14ac:dyDescent="0.3">
      <c r="C3661" s="9">
        <v>45282</v>
      </c>
      <c r="D3661" t="s">
        <v>45</v>
      </c>
      <c r="E3661" t="s">
        <v>9</v>
      </c>
      <c r="F3661" t="s">
        <v>18</v>
      </c>
      <c r="G3661" t="s">
        <v>21</v>
      </c>
      <c r="H3661">
        <v>450</v>
      </c>
      <c r="I3661">
        <v>14</v>
      </c>
      <c r="J3661" s="6">
        <f t="shared" si="291"/>
        <v>6.3</v>
      </c>
      <c r="K3661" t="s">
        <v>398</v>
      </c>
    </row>
    <row r="3662" spans="3:11" outlineLevel="2" x14ac:dyDescent="0.3">
      <c r="C3662" s="9">
        <v>45282</v>
      </c>
      <c r="D3662" t="s">
        <v>45</v>
      </c>
      <c r="E3662" t="s">
        <v>26</v>
      </c>
      <c r="F3662" t="s">
        <v>18</v>
      </c>
      <c r="G3662" t="s">
        <v>27</v>
      </c>
      <c r="H3662">
        <v>460</v>
      </c>
      <c r="I3662">
        <v>23</v>
      </c>
      <c r="J3662" s="6">
        <f t="shared" si="291"/>
        <v>10.58</v>
      </c>
      <c r="K3662" t="s">
        <v>398</v>
      </c>
    </row>
    <row r="3663" spans="3:11" outlineLevel="2" x14ac:dyDescent="0.3">
      <c r="C3663" s="9">
        <v>45282</v>
      </c>
      <c r="D3663" t="s">
        <v>12</v>
      </c>
      <c r="E3663" t="s">
        <v>26</v>
      </c>
      <c r="F3663" t="s">
        <v>24</v>
      </c>
      <c r="G3663" t="s">
        <v>42</v>
      </c>
      <c r="H3663">
        <v>3205</v>
      </c>
      <c r="I3663">
        <v>85</v>
      </c>
      <c r="J3663" s="6">
        <f t="shared" si="291"/>
        <v>272.42500000000001</v>
      </c>
      <c r="K3663" t="s">
        <v>398</v>
      </c>
    </row>
    <row r="3664" spans="3:11" outlineLevel="2" x14ac:dyDescent="0.3">
      <c r="C3664" s="9">
        <v>45282</v>
      </c>
      <c r="D3664" t="s">
        <v>17</v>
      </c>
      <c r="E3664" t="s">
        <v>33</v>
      </c>
      <c r="F3664" t="s">
        <v>10</v>
      </c>
      <c r="G3664" t="s">
        <v>23</v>
      </c>
      <c r="H3664">
        <v>640</v>
      </c>
      <c r="I3664">
        <v>22</v>
      </c>
      <c r="J3664" s="6">
        <f t="shared" si="291"/>
        <v>14.08</v>
      </c>
      <c r="K3664" t="s">
        <v>398</v>
      </c>
    </row>
    <row r="3665" spans="3:11" outlineLevel="2" x14ac:dyDescent="0.3">
      <c r="C3665" s="9">
        <v>45282</v>
      </c>
      <c r="D3665" t="s">
        <v>17</v>
      </c>
      <c r="E3665" t="s">
        <v>33</v>
      </c>
      <c r="F3665" t="s">
        <v>10</v>
      </c>
      <c r="G3665" t="s">
        <v>39</v>
      </c>
      <c r="H3665">
        <v>650</v>
      </c>
      <c r="I3665">
        <v>54</v>
      </c>
      <c r="J3665" s="6">
        <f t="shared" si="291"/>
        <v>35.1</v>
      </c>
      <c r="K3665" t="s">
        <v>398</v>
      </c>
    </row>
    <row r="3666" spans="3:11" outlineLevel="2" x14ac:dyDescent="0.3">
      <c r="C3666" s="9">
        <v>45282</v>
      </c>
      <c r="D3666" t="s">
        <v>12</v>
      </c>
      <c r="E3666" t="s">
        <v>33</v>
      </c>
      <c r="F3666" t="s">
        <v>13</v>
      </c>
      <c r="G3666" t="s">
        <v>22</v>
      </c>
      <c r="H3666">
        <v>930</v>
      </c>
      <c r="I3666">
        <v>93</v>
      </c>
      <c r="J3666" s="6">
        <f t="shared" si="291"/>
        <v>86.49</v>
      </c>
      <c r="K3666" t="s">
        <v>398</v>
      </c>
    </row>
    <row r="3667" spans="3:11" outlineLevel="2" x14ac:dyDescent="0.3">
      <c r="C3667" s="9">
        <v>45282</v>
      </c>
      <c r="D3667" t="s">
        <v>45</v>
      </c>
      <c r="E3667" t="s">
        <v>35</v>
      </c>
      <c r="F3667" t="s">
        <v>10</v>
      </c>
      <c r="G3667" t="s">
        <v>41</v>
      </c>
      <c r="H3667">
        <v>650</v>
      </c>
      <c r="I3667">
        <v>66</v>
      </c>
      <c r="J3667" s="6">
        <f t="shared" si="291"/>
        <v>42.9</v>
      </c>
      <c r="K3667" t="s">
        <v>398</v>
      </c>
    </row>
    <row r="3668" spans="3:11" outlineLevel="2" x14ac:dyDescent="0.3">
      <c r="C3668" s="9">
        <v>45282</v>
      </c>
      <c r="D3668" t="s">
        <v>45</v>
      </c>
      <c r="E3668" t="s">
        <v>35</v>
      </c>
      <c r="F3668" t="s">
        <v>10</v>
      </c>
      <c r="G3668" t="s">
        <v>39</v>
      </c>
      <c r="H3668">
        <v>650</v>
      </c>
      <c r="I3668">
        <v>50</v>
      </c>
      <c r="J3668" s="6">
        <f t="shared" si="291"/>
        <v>32.5</v>
      </c>
      <c r="K3668" t="s">
        <v>398</v>
      </c>
    </row>
    <row r="3669" spans="3:11" outlineLevel="2" x14ac:dyDescent="0.3">
      <c r="C3669" s="9">
        <v>45282</v>
      </c>
      <c r="D3669" t="s">
        <v>17</v>
      </c>
      <c r="E3669" t="s">
        <v>35</v>
      </c>
      <c r="F3669" t="s">
        <v>18</v>
      </c>
      <c r="G3669" t="s">
        <v>31</v>
      </c>
      <c r="H3669">
        <v>715</v>
      </c>
      <c r="I3669">
        <v>66</v>
      </c>
      <c r="J3669" s="6">
        <f t="shared" si="291"/>
        <v>47.19</v>
      </c>
      <c r="K3669" t="s">
        <v>398</v>
      </c>
    </row>
    <row r="3670" spans="3:11" outlineLevel="2" x14ac:dyDescent="0.3">
      <c r="C3670" s="9">
        <v>45282</v>
      </c>
      <c r="D3670" t="s">
        <v>17</v>
      </c>
      <c r="E3670" t="s">
        <v>35</v>
      </c>
      <c r="F3670" t="s">
        <v>24</v>
      </c>
      <c r="G3670" t="s">
        <v>42</v>
      </c>
      <c r="H3670">
        <v>3205</v>
      </c>
      <c r="I3670">
        <v>71</v>
      </c>
      <c r="J3670" s="6">
        <f t="shared" si="291"/>
        <v>227.55500000000001</v>
      </c>
      <c r="K3670" t="s">
        <v>398</v>
      </c>
    </row>
    <row r="3671" spans="3:11" outlineLevel="1" x14ac:dyDescent="0.3">
      <c r="C3671" s="13" t="s">
        <v>370</v>
      </c>
      <c r="J3671" s="6">
        <f>SUBTOTAL(9,J3660:J3670)</f>
        <v>802.72</v>
      </c>
      <c r="K3671" t="s">
        <v>398</v>
      </c>
    </row>
    <row r="3672" spans="3:11" outlineLevel="2" x14ac:dyDescent="0.3">
      <c r="C3672" s="9">
        <v>45283</v>
      </c>
      <c r="D3672" t="s">
        <v>17</v>
      </c>
      <c r="E3672" t="s">
        <v>20</v>
      </c>
      <c r="F3672" t="s">
        <v>13</v>
      </c>
      <c r="G3672" t="s">
        <v>29</v>
      </c>
      <c r="H3672">
        <v>1230</v>
      </c>
      <c r="I3672">
        <v>37</v>
      </c>
      <c r="J3672" s="6">
        <f t="shared" ref="J3672:J3681" si="292">H3672*I3672/1000</f>
        <v>45.51</v>
      </c>
      <c r="K3672" t="s">
        <v>398</v>
      </c>
    </row>
    <row r="3673" spans="3:11" outlineLevel="2" x14ac:dyDescent="0.3">
      <c r="C3673" s="9">
        <v>45283</v>
      </c>
      <c r="D3673" t="s">
        <v>12</v>
      </c>
      <c r="E3673" t="s">
        <v>9</v>
      </c>
      <c r="F3673" t="s">
        <v>10</v>
      </c>
      <c r="G3673" t="s">
        <v>39</v>
      </c>
      <c r="H3673">
        <v>650</v>
      </c>
      <c r="I3673">
        <v>65</v>
      </c>
      <c r="J3673" s="6">
        <f t="shared" si="292"/>
        <v>42.25</v>
      </c>
      <c r="K3673" t="s">
        <v>398</v>
      </c>
    </row>
    <row r="3674" spans="3:11" outlineLevel="2" x14ac:dyDescent="0.3">
      <c r="C3674" s="9">
        <v>45283</v>
      </c>
      <c r="D3674" t="s">
        <v>12</v>
      </c>
      <c r="E3674" t="s">
        <v>9</v>
      </c>
      <c r="F3674" t="s">
        <v>18</v>
      </c>
      <c r="G3674" t="s">
        <v>31</v>
      </c>
      <c r="H3674">
        <v>715</v>
      </c>
      <c r="I3674">
        <v>53</v>
      </c>
      <c r="J3674" s="6">
        <f t="shared" si="292"/>
        <v>37.895000000000003</v>
      </c>
      <c r="K3674" t="s">
        <v>398</v>
      </c>
    </row>
    <row r="3675" spans="3:11" outlineLevel="2" x14ac:dyDescent="0.3">
      <c r="C3675" s="9">
        <v>45283</v>
      </c>
      <c r="D3675" t="s">
        <v>17</v>
      </c>
      <c r="E3675" t="s">
        <v>9</v>
      </c>
      <c r="F3675" t="s">
        <v>24</v>
      </c>
      <c r="G3675" t="s">
        <v>36</v>
      </c>
      <c r="H3675">
        <v>2460</v>
      </c>
      <c r="I3675">
        <v>24</v>
      </c>
      <c r="J3675" s="6">
        <f t="shared" si="292"/>
        <v>59.04</v>
      </c>
      <c r="K3675" t="s">
        <v>398</v>
      </c>
    </row>
    <row r="3676" spans="3:11" outlineLevel="2" x14ac:dyDescent="0.3">
      <c r="C3676" s="9">
        <v>45283</v>
      </c>
      <c r="D3676" t="s">
        <v>45</v>
      </c>
      <c r="E3676" t="s">
        <v>26</v>
      </c>
      <c r="F3676" t="s">
        <v>18</v>
      </c>
      <c r="G3676" t="s">
        <v>31</v>
      </c>
      <c r="H3676">
        <v>715</v>
      </c>
      <c r="I3676">
        <v>84</v>
      </c>
      <c r="J3676" s="6">
        <f t="shared" si="292"/>
        <v>60.06</v>
      </c>
      <c r="K3676" t="s">
        <v>398</v>
      </c>
    </row>
    <row r="3677" spans="3:11" outlineLevel="2" x14ac:dyDescent="0.3">
      <c r="C3677" s="9">
        <v>45283</v>
      </c>
      <c r="D3677" t="s">
        <v>8</v>
      </c>
      <c r="E3677" t="s">
        <v>26</v>
      </c>
      <c r="F3677" t="s">
        <v>13</v>
      </c>
      <c r="G3677" t="s">
        <v>38</v>
      </c>
      <c r="H3677">
        <v>2400</v>
      </c>
      <c r="I3677">
        <v>87</v>
      </c>
      <c r="J3677" s="6">
        <f t="shared" si="292"/>
        <v>208.8</v>
      </c>
      <c r="K3677" t="s">
        <v>398</v>
      </c>
    </row>
    <row r="3678" spans="3:11" outlineLevel="2" x14ac:dyDescent="0.3">
      <c r="C3678" s="9">
        <v>45283</v>
      </c>
      <c r="D3678" t="s">
        <v>12</v>
      </c>
      <c r="E3678" t="s">
        <v>33</v>
      </c>
      <c r="F3678" t="s">
        <v>10</v>
      </c>
      <c r="G3678" t="s">
        <v>11</v>
      </c>
      <c r="H3678">
        <v>705</v>
      </c>
      <c r="I3678">
        <v>15</v>
      </c>
      <c r="J3678" s="6">
        <f t="shared" si="292"/>
        <v>10.574999999999999</v>
      </c>
      <c r="K3678" t="s">
        <v>398</v>
      </c>
    </row>
    <row r="3679" spans="3:11" outlineLevel="2" x14ac:dyDescent="0.3">
      <c r="C3679" s="9">
        <v>45283</v>
      </c>
      <c r="D3679" t="s">
        <v>45</v>
      </c>
      <c r="E3679" t="s">
        <v>33</v>
      </c>
      <c r="F3679" t="s">
        <v>18</v>
      </c>
      <c r="G3679" t="s">
        <v>27</v>
      </c>
      <c r="H3679">
        <v>460</v>
      </c>
      <c r="I3679">
        <v>85</v>
      </c>
      <c r="J3679" s="6">
        <f t="shared" si="292"/>
        <v>39.1</v>
      </c>
      <c r="K3679" t="s">
        <v>398</v>
      </c>
    </row>
    <row r="3680" spans="3:11" outlineLevel="2" x14ac:dyDescent="0.3">
      <c r="C3680" s="9">
        <v>45283</v>
      </c>
      <c r="D3680" t="s">
        <v>17</v>
      </c>
      <c r="E3680" t="s">
        <v>33</v>
      </c>
      <c r="F3680" t="s">
        <v>18</v>
      </c>
      <c r="G3680" t="s">
        <v>31</v>
      </c>
      <c r="H3680">
        <v>715</v>
      </c>
      <c r="I3680">
        <v>32</v>
      </c>
      <c r="J3680" s="6">
        <f t="shared" si="292"/>
        <v>22.88</v>
      </c>
      <c r="K3680" t="s">
        <v>398</v>
      </c>
    </row>
    <row r="3681" spans="3:11" outlineLevel="2" x14ac:dyDescent="0.3">
      <c r="C3681" s="9">
        <v>45283</v>
      </c>
      <c r="D3681" t="s">
        <v>45</v>
      </c>
      <c r="E3681" t="s">
        <v>33</v>
      </c>
      <c r="F3681" t="s">
        <v>13</v>
      </c>
      <c r="G3681" t="s">
        <v>43</v>
      </c>
      <c r="H3681">
        <v>1420</v>
      </c>
      <c r="I3681">
        <v>97</v>
      </c>
      <c r="J3681" s="6">
        <f t="shared" si="292"/>
        <v>137.74</v>
      </c>
      <c r="K3681" t="s">
        <v>398</v>
      </c>
    </row>
    <row r="3682" spans="3:11" outlineLevel="1" x14ac:dyDescent="0.3">
      <c r="C3682" s="13" t="s">
        <v>371</v>
      </c>
      <c r="J3682" s="6">
        <f>SUBTOTAL(9,J3672:J3681)</f>
        <v>663.85</v>
      </c>
      <c r="K3682" t="s">
        <v>398</v>
      </c>
    </row>
    <row r="3683" spans="3:11" outlineLevel="2" x14ac:dyDescent="0.3">
      <c r="C3683" s="9">
        <v>45284</v>
      </c>
      <c r="D3683" t="s">
        <v>12</v>
      </c>
      <c r="E3683" t="s">
        <v>20</v>
      </c>
      <c r="F3683" t="s">
        <v>18</v>
      </c>
      <c r="G3683" t="s">
        <v>27</v>
      </c>
      <c r="H3683">
        <v>460</v>
      </c>
      <c r="I3683">
        <v>69</v>
      </c>
      <c r="J3683" s="6">
        <f t="shared" ref="J3683:J3693" si="293">H3683*I3683/1000</f>
        <v>31.74</v>
      </c>
      <c r="K3683" t="s">
        <v>398</v>
      </c>
    </row>
    <row r="3684" spans="3:11" outlineLevel="2" x14ac:dyDescent="0.3">
      <c r="C3684" s="9">
        <v>45284</v>
      </c>
      <c r="D3684" t="s">
        <v>12</v>
      </c>
      <c r="E3684" t="s">
        <v>9</v>
      </c>
      <c r="F3684" t="s">
        <v>10</v>
      </c>
      <c r="G3684" t="s">
        <v>23</v>
      </c>
      <c r="H3684">
        <v>640</v>
      </c>
      <c r="I3684">
        <v>24</v>
      </c>
      <c r="J3684" s="6">
        <f t="shared" si="293"/>
        <v>15.36</v>
      </c>
      <c r="K3684" t="s">
        <v>398</v>
      </c>
    </row>
    <row r="3685" spans="3:11" outlineLevel="2" x14ac:dyDescent="0.3">
      <c r="C3685" s="9">
        <v>45284</v>
      </c>
      <c r="D3685" t="s">
        <v>17</v>
      </c>
      <c r="E3685" t="s">
        <v>9</v>
      </c>
      <c r="F3685" t="s">
        <v>10</v>
      </c>
      <c r="G3685" t="s">
        <v>16</v>
      </c>
      <c r="H3685">
        <v>1380</v>
      </c>
      <c r="I3685">
        <v>61</v>
      </c>
      <c r="J3685" s="6">
        <f t="shared" si="293"/>
        <v>84.18</v>
      </c>
      <c r="K3685" t="s">
        <v>398</v>
      </c>
    </row>
    <row r="3686" spans="3:11" outlineLevel="2" x14ac:dyDescent="0.3">
      <c r="C3686" s="9">
        <v>45284</v>
      </c>
      <c r="D3686" t="s">
        <v>12</v>
      </c>
      <c r="E3686" t="s">
        <v>9</v>
      </c>
      <c r="F3686" t="s">
        <v>24</v>
      </c>
      <c r="G3686" t="s">
        <v>30</v>
      </c>
      <c r="H3686">
        <v>2970</v>
      </c>
      <c r="I3686">
        <v>42</v>
      </c>
      <c r="J3686" s="6">
        <f t="shared" si="293"/>
        <v>124.74</v>
      </c>
      <c r="K3686" t="s">
        <v>398</v>
      </c>
    </row>
    <row r="3687" spans="3:11" outlineLevel="2" x14ac:dyDescent="0.3">
      <c r="C3687" s="9">
        <v>45284</v>
      </c>
      <c r="D3687" t="s">
        <v>12</v>
      </c>
      <c r="E3687" t="s">
        <v>26</v>
      </c>
      <c r="F3687" t="s">
        <v>13</v>
      </c>
      <c r="G3687" t="s">
        <v>22</v>
      </c>
      <c r="H3687">
        <v>930</v>
      </c>
      <c r="I3687">
        <v>38</v>
      </c>
      <c r="J3687" s="6">
        <f t="shared" si="293"/>
        <v>35.340000000000003</v>
      </c>
      <c r="K3687" t="s">
        <v>398</v>
      </c>
    </row>
    <row r="3688" spans="3:11" outlineLevel="2" x14ac:dyDescent="0.3">
      <c r="C3688" s="9">
        <v>45284</v>
      </c>
      <c r="D3688" t="s">
        <v>8</v>
      </c>
      <c r="E3688" t="s">
        <v>15</v>
      </c>
      <c r="F3688" t="s">
        <v>18</v>
      </c>
      <c r="G3688" t="s">
        <v>19</v>
      </c>
      <c r="H3688">
        <v>325</v>
      </c>
      <c r="I3688">
        <v>81</v>
      </c>
      <c r="J3688" s="6">
        <f t="shared" si="293"/>
        <v>26.324999999999999</v>
      </c>
      <c r="K3688" t="s">
        <v>398</v>
      </c>
    </row>
    <row r="3689" spans="3:11" outlineLevel="2" x14ac:dyDescent="0.3">
      <c r="C3689" s="9">
        <v>45284</v>
      </c>
      <c r="D3689" t="s">
        <v>45</v>
      </c>
      <c r="E3689" t="s">
        <v>33</v>
      </c>
      <c r="F3689" t="s">
        <v>13</v>
      </c>
      <c r="G3689" t="s">
        <v>44</v>
      </c>
      <c r="H3689">
        <v>2540</v>
      </c>
      <c r="I3689">
        <v>43</v>
      </c>
      <c r="J3689" s="6">
        <f t="shared" si="293"/>
        <v>109.22</v>
      </c>
      <c r="K3689" t="s">
        <v>398</v>
      </c>
    </row>
    <row r="3690" spans="3:11" outlineLevel="2" x14ac:dyDescent="0.3">
      <c r="C3690" s="9">
        <v>45284</v>
      </c>
      <c r="D3690" t="s">
        <v>12</v>
      </c>
      <c r="E3690" t="s">
        <v>33</v>
      </c>
      <c r="F3690" t="s">
        <v>24</v>
      </c>
      <c r="G3690" t="s">
        <v>34</v>
      </c>
      <c r="H3690">
        <v>1670</v>
      </c>
      <c r="I3690">
        <v>6</v>
      </c>
      <c r="J3690" s="6">
        <f t="shared" si="293"/>
        <v>10.02</v>
      </c>
      <c r="K3690" t="s">
        <v>398</v>
      </c>
    </row>
    <row r="3691" spans="3:11" outlineLevel="2" x14ac:dyDescent="0.3">
      <c r="C3691" s="9">
        <v>45284</v>
      </c>
      <c r="D3691" t="s">
        <v>12</v>
      </c>
      <c r="E3691" t="s">
        <v>35</v>
      </c>
      <c r="F3691" t="s">
        <v>18</v>
      </c>
      <c r="G3691" t="s">
        <v>37</v>
      </c>
      <c r="H3691">
        <v>890</v>
      </c>
      <c r="I3691">
        <v>97</v>
      </c>
      <c r="J3691" s="6">
        <f t="shared" si="293"/>
        <v>86.33</v>
      </c>
      <c r="K3691" t="s">
        <v>398</v>
      </c>
    </row>
    <row r="3692" spans="3:11" outlineLevel="2" x14ac:dyDescent="0.3">
      <c r="C3692" s="9">
        <v>45284</v>
      </c>
      <c r="D3692" t="s">
        <v>45</v>
      </c>
      <c r="E3692" t="s">
        <v>35</v>
      </c>
      <c r="F3692" t="s">
        <v>18</v>
      </c>
      <c r="G3692" t="s">
        <v>31</v>
      </c>
      <c r="H3692">
        <v>715</v>
      </c>
      <c r="I3692">
        <v>51</v>
      </c>
      <c r="J3692" s="6">
        <f t="shared" si="293"/>
        <v>36.465000000000003</v>
      </c>
      <c r="K3692" t="s">
        <v>398</v>
      </c>
    </row>
    <row r="3693" spans="3:11" outlineLevel="2" x14ac:dyDescent="0.3">
      <c r="C3693" s="9">
        <v>45284</v>
      </c>
      <c r="D3693" t="s">
        <v>45</v>
      </c>
      <c r="E3693" t="s">
        <v>35</v>
      </c>
      <c r="F3693" t="s">
        <v>18</v>
      </c>
      <c r="G3693" t="s">
        <v>37</v>
      </c>
      <c r="H3693">
        <v>890</v>
      </c>
      <c r="I3693">
        <v>40</v>
      </c>
      <c r="J3693" s="6">
        <f t="shared" si="293"/>
        <v>35.6</v>
      </c>
      <c r="K3693" t="s">
        <v>398</v>
      </c>
    </row>
    <row r="3694" spans="3:11" outlineLevel="1" x14ac:dyDescent="0.3">
      <c r="C3694" s="13" t="s">
        <v>372</v>
      </c>
      <c r="J3694" s="6">
        <f>SUBTOTAL(9,J3683:J3693)</f>
        <v>595.32000000000005</v>
      </c>
      <c r="K3694" t="s">
        <v>398</v>
      </c>
    </row>
    <row r="3695" spans="3:11" outlineLevel="2" x14ac:dyDescent="0.3">
      <c r="C3695" s="9">
        <v>45285</v>
      </c>
      <c r="D3695" t="s">
        <v>8</v>
      </c>
      <c r="E3695" t="s">
        <v>20</v>
      </c>
      <c r="F3695" t="s">
        <v>10</v>
      </c>
      <c r="G3695" t="s">
        <v>39</v>
      </c>
      <c r="H3695">
        <v>650</v>
      </c>
      <c r="I3695">
        <v>20</v>
      </c>
      <c r="J3695" s="6">
        <f t="shared" ref="J3695:J3701" si="294">H3695*I3695/1000</f>
        <v>13</v>
      </c>
      <c r="K3695" t="s">
        <v>398</v>
      </c>
    </row>
    <row r="3696" spans="3:11" outlineLevel="2" x14ac:dyDescent="0.3">
      <c r="C3696" s="9">
        <v>45285</v>
      </c>
      <c r="D3696" t="s">
        <v>17</v>
      </c>
      <c r="E3696" t="s">
        <v>20</v>
      </c>
      <c r="F3696" t="s">
        <v>10</v>
      </c>
      <c r="G3696" t="s">
        <v>23</v>
      </c>
      <c r="H3696">
        <v>640</v>
      </c>
      <c r="I3696">
        <v>96</v>
      </c>
      <c r="J3696" s="6">
        <f t="shared" si="294"/>
        <v>61.44</v>
      </c>
      <c r="K3696" t="s">
        <v>398</v>
      </c>
    </row>
    <row r="3697" spans="3:11" outlineLevel="2" x14ac:dyDescent="0.3">
      <c r="C3697" s="9">
        <v>45285</v>
      </c>
      <c r="D3697" t="s">
        <v>8</v>
      </c>
      <c r="E3697" t="s">
        <v>20</v>
      </c>
      <c r="F3697" t="s">
        <v>18</v>
      </c>
      <c r="G3697" t="s">
        <v>37</v>
      </c>
      <c r="H3697">
        <v>890</v>
      </c>
      <c r="I3697">
        <v>98</v>
      </c>
      <c r="J3697" s="6">
        <f t="shared" si="294"/>
        <v>87.22</v>
      </c>
      <c r="K3697" t="s">
        <v>398</v>
      </c>
    </row>
    <row r="3698" spans="3:11" outlineLevel="2" x14ac:dyDescent="0.3">
      <c r="C3698" s="9">
        <v>45285</v>
      </c>
      <c r="D3698" t="s">
        <v>8</v>
      </c>
      <c r="E3698" t="s">
        <v>20</v>
      </c>
      <c r="F3698" t="s">
        <v>18</v>
      </c>
      <c r="G3698" t="s">
        <v>21</v>
      </c>
      <c r="H3698">
        <v>450</v>
      </c>
      <c r="I3698">
        <v>40</v>
      </c>
      <c r="J3698" s="6">
        <f t="shared" si="294"/>
        <v>18</v>
      </c>
      <c r="K3698" t="s">
        <v>398</v>
      </c>
    </row>
    <row r="3699" spans="3:11" outlineLevel="2" x14ac:dyDescent="0.3">
      <c r="C3699" s="9">
        <v>45285</v>
      </c>
      <c r="D3699" t="s">
        <v>17</v>
      </c>
      <c r="E3699" t="s">
        <v>9</v>
      </c>
      <c r="F3699" t="s">
        <v>18</v>
      </c>
      <c r="G3699" t="s">
        <v>27</v>
      </c>
      <c r="H3699">
        <v>460</v>
      </c>
      <c r="I3699">
        <v>81</v>
      </c>
      <c r="J3699" s="6">
        <f t="shared" si="294"/>
        <v>37.26</v>
      </c>
      <c r="K3699" t="s">
        <v>398</v>
      </c>
    </row>
    <row r="3700" spans="3:11" outlineLevel="2" x14ac:dyDescent="0.3">
      <c r="C3700" s="9">
        <v>45285</v>
      </c>
      <c r="D3700" t="s">
        <v>45</v>
      </c>
      <c r="E3700" t="s">
        <v>26</v>
      </c>
      <c r="F3700" t="s">
        <v>13</v>
      </c>
      <c r="G3700" t="s">
        <v>29</v>
      </c>
      <c r="H3700">
        <v>1230</v>
      </c>
      <c r="I3700">
        <v>81</v>
      </c>
      <c r="J3700" s="6">
        <f t="shared" si="294"/>
        <v>99.63</v>
      </c>
      <c r="K3700" t="s">
        <v>398</v>
      </c>
    </row>
    <row r="3701" spans="3:11" outlineLevel="2" x14ac:dyDescent="0.3">
      <c r="C3701" s="9">
        <v>45285</v>
      </c>
      <c r="D3701" t="s">
        <v>12</v>
      </c>
      <c r="E3701" t="s">
        <v>35</v>
      </c>
      <c r="F3701" t="s">
        <v>18</v>
      </c>
      <c r="G3701" t="s">
        <v>28</v>
      </c>
      <c r="H3701">
        <v>690</v>
      </c>
      <c r="I3701">
        <v>13</v>
      </c>
      <c r="J3701" s="6">
        <f t="shared" si="294"/>
        <v>8.9700000000000006</v>
      </c>
      <c r="K3701" t="s">
        <v>398</v>
      </c>
    </row>
    <row r="3702" spans="3:11" outlineLevel="1" x14ac:dyDescent="0.3">
      <c r="C3702" s="13" t="s">
        <v>373</v>
      </c>
      <c r="J3702" s="6">
        <f>SUBTOTAL(9,J3695:J3701)</f>
        <v>325.52</v>
      </c>
      <c r="K3702" t="s">
        <v>398</v>
      </c>
    </row>
    <row r="3703" spans="3:11" outlineLevel="2" x14ac:dyDescent="0.3">
      <c r="C3703" s="9">
        <v>45286</v>
      </c>
      <c r="D3703" t="s">
        <v>17</v>
      </c>
      <c r="E3703" t="s">
        <v>20</v>
      </c>
      <c r="F3703" t="s">
        <v>18</v>
      </c>
      <c r="G3703" t="s">
        <v>19</v>
      </c>
      <c r="H3703">
        <v>325</v>
      </c>
      <c r="I3703">
        <v>85</v>
      </c>
      <c r="J3703" s="6">
        <f t="shared" ref="J3703:J3716" si="295">H3703*I3703/1000</f>
        <v>27.625</v>
      </c>
      <c r="K3703" t="s">
        <v>398</v>
      </c>
    </row>
    <row r="3704" spans="3:11" outlineLevel="2" x14ac:dyDescent="0.3">
      <c r="C3704" s="9">
        <v>45286</v>
      </c>
      <c r="D3704" t="s">
        <v>12</v>
      </c>
      <c r="E3704" t="s">
        <v>20</v>
      </c>
      <c r="F3704" t="s">
        <v>18</v>
      </c>
      <c r="G3704" t="s">
        <v>19</v>
      </c>
      <c r="H3704">
        <v>325</v>
      </c>
      <c r="I3704">
        <v>5</v>
      </c>
      <c r="J3704" s="6">
        <f t="shared" si="295"/>
        <v>1.625</v>
      </c>
      <c r="K3704" t="s">
        <v>398</v>
      </c>
    </row>
    <row r="3705" spans="3:11" outlineLevel="2" x14ac:dyDescent="0.3">
      <c r="C3705" s="9">
        <v>45286</v>
      </c>
      <c r="D3705" t="s">
        <v>17</v>
      </c>
      <c r="E3705" t="s">
        <v>20</v>
      </c>
      <c r="F3705" t="s">
        <v>13</v>
      </c>
      <c r="G3705" t="s">
        <v>44</v>
      </c>
      <c r="H3705">
        <v>2540</v>
      </c>
      <c r="I3705">
        <v>93</v>
      </c>
      <c r="J3705" s="6">
        <f t="shared" si="295"/>
        <v>236.22</v>
      </c>
      <c r="K3705" t="s">
        <v>398</v>
      </c>
    </row>
    <row r="3706" spans="3:11" outlineLevel="2" x14ac:dyDescent="0.3">
      <c r="C3706" s="9">
        <v>45286</v>
      </c>
      <c r="D3706" t="s">
        <v>12</v>
      </c>
      <c r="E3706" t="s">
        <v>20</v>
      </c>
      <c r="F3706" t="s">
        <v>24</v>
      </c>
      <c r="G3706" t="s">
        <v>30</v>
      </c>
      <c r="H3706">
        <v>2970</v>
      </c>
      <c r="I3706">
        <v>94</v>
      </c>
      <c r="J3706" s="6">
        <f t="shared" si="295"/>
        <v>279.18</v>
      </c>
      <c r="K3706" t="s">
        <v>398</v>
      </c>
    </row>
    <row r="3707" spans="3:11" outlineLevel="2" x14ac:dyDescent="0.3">
      <c r="C3707" s="9">
        <v>45286</v>
      </c>
      <c r="D3707" t="s">
        <v>17</v>
      </c>
      <c r="E3707" t="s">
        <v>20</v>
      </c>
      <c r="F3707" t="s">
        <v>24</v>
      </c>
      <c r="G3707" t="s">
        <v>34</v>
      </c>
      <c r="H3707">
        <v>1670</v>
      </c>
      <c r="I3707">
        <v>93</v>
      </c>
      <c r="J3707" s="6">
        <f t="shared" si="295"/>
        <v>155.31</v>
      </c>
      <c r="K3707" t="s">
        <v>398</v>
      </c>
    </row>
    <row r="3708" spans="3:11" outlineLevel="2" x14ac:dyDescent="0.3">
      <c r="C3708" s="9">
        <v>45286</v>
      </c>
      <c r="D3708" t="s">
        <v>17</v>
      </c>
      <c r="E3708" t="s">
        <v>9</v>
      </c>
      <c r="F3708" t="s">
        <v>18</v>
      </c>
      <c r="G3708" t="s">
        <v>31</v>
      </c>
      <c r="H3708">
        <v>715</v>
      </c>
      <c r="I3708">
        <v>57</v>
      </c>
      <c r="J3708" s="6">
        <f t="shared" si="295"/>
        <v>40.755000000000003</v>
      </c>
      <c r="K3708" t="s">
        <v>398</v>
      </c>
    </row>
    <row r="3709" spans="3:11" outlineLevel="2" x14ac:dyDescent="0.3">
      <c r="C3709" s="9">
        <v>45286</v>
      </c>
      <c r="D3709" t="s">
        <v>8</v>
      </c>
      <c r="E3709" t="s">
        <v>9</v>
      </c>
      <c r="F3709" t="s">
        <v>18</v>
      </c>
      <c r="G3709" t="s">
        <v>28</v>
      </c>
      <c r="H3709">
        <v>690</v>
      </c>
      <c r="I3709">
        <v>61</v>
      </c>
      <c r="J3709" s="6">
        <f t="shared" si="295"/>
        <v>42.09</v>
      </c>
      <c r="K3709" t="s">
        <v>398</v>
      </c>
    </row>
    <row r="3710" spans="3:11" outlineLevel="2" x14ac:dyDescent="0.3">
      <c r="C3710" s="9">
        <v>45286</v>
      </c>
      <c r="D3710" t="s">
        <v>45</v>
      </c>
      <c r="E3710" t="s">
        <v>9</v>
      </c>
      <c r="F3710" t="s">
        <v>18</v>
      </c>
      <c r="G3710" t="s">
        <v>28</v>
      </c>
      <c r="H3710">
        <v>690</v>
      </c>
      <c r="I3710">
        <v>81</v>
      </c>
      <c r="J3710" s="6">
        <f t="shared" si="295"/>
        <v>55.89</v>
      </c>
      <c r="K3710" t="s">
        <v>398</v>
      </c>
    </row>
    <row r="3711" spans="3:11" outlineLevel="2" x14ac:dyDescent="0.3">
      <c r="C3711" s="9">
        <v>45286</v>
      </c>
      <c r="D3711" t="s">
        <v>12</v>
      </c>
      <c r="E3711" t="s">
        <v>26</v>
      </c>
      <c r="F3711" t="s">
        <v>13</v>
      </c>
      <c r="G3711" t="s">
        <v>44</v>
      </c>
      <c r="H3711">
        <v>2540</v>
      </c>
      <c r="I3711">
        <v>28</v>
      </c>
      <c r="J3711" s="6">
        <f t="shared" si="295"/>
        <v>71.12</v>
      </c>
      <c r="K3711" t="s">
        <v>398</v>
      </c>
    </row>
    <row r="3712" spans="3:11" outlineLevel="2" x14ac:dyDescent="0.3">
      <c r="C3712" s="9">
        <v>45286</v>
      </c>
      <c r="D3712" t="s">
        <v>8</v>
      </c>
      <c r="E3712" t="s">
        <v>33</v>
      </c>
      <c r="F3712" t="s">
        <v>10</v>
      </c>
      <c r="G3712" t="s">
        <v>23</v>
      </c>
      <c r="H3712">
        <v>640</v>
      </c>
      <c r="I3712">
        <v>47</v>
      </c>
      <c r="J3712" s="6">
        <f t="shared" si="295"/>
        <v>30.08</v>
      </c>
      <c r="K3712" t="s">
        <v>398</v>
      </c>
    </row>
    <row r="3713" spans="3:11" outlineLevel="2" x14ac:dyDescent="0.3">
      <c r="C3713" s="9">
        <v>45286</v>
      </c>
      <c r="D3713" t="s">
        <v>8</v>
      </c>
      <c r="E3713" t="s">
        <v>33</v>
      </c>
      <c r="F3713" t="s">
        <v>10</v>
      </c>
      <c r="G3713" t="s">
        <v>16</v>
      </c>
      <c r="H3713">
        <v>1380</v>
      </c>
      <c r="I3713">
        <v>19</v>
      </c>
      <c r="J3713" s="6">
        <f t="shared" si="295"/>
        <v>26.22</v>
      </c>
      <c r="K3713" t="s">
        <v>398</v>
      </c>
    </row>
    <row r="3714" spans="3:11" outlineLevel="2" x14ac:dyDescent="0.3">
      <c r="C3714" s="9">
        <v>45286</v>
      </c>
      <c r="D3714" t="s">
        <v>17</v>
      </c>
      <c r="E3714" t="s">
        <v>33</v>
      </c>
      <c r="F3714" t="s">
        <v>13</v>
      </c>
      <c r="G3714" t="s">
        <v>38</v>
      </c>
      <c r="H3714">
        <v>2400</v>
      </c>
      <c r="I3714">
        <v>17</v>
      </c>
      <c r="J3714" s="6">
        <f t="shared" si="295"/>
        <v>40.799999999999997</v>
      </c>
      <c r="K3714" t="s">
        <v>398</v>
      </c>
    </row>
    <row r="3715" spans="3:11" outlineLevel="2" x14ac:dyDescent="0.3">
      <c r="C3715" s="9">
        <v>45286</v>
      </c>
      <c r="D3715" t="s">
        <v>45</v>
      </c>
      <c r="E3715" t="s">
        <v>35</v>
      </c>
      <c r="F3715" t="s">
        <v>18</v>
      </c>
      <c r="G3715" t="s">
        <v>21</v>
      </c>
      <c r="H3715">
        <v>450</v>
      </c>
      <c r="I3715">
        <v>90</v>
      </c>
      <c r="J3715" s="6">
        <f t="shared" si="295"/>
        <v>40.5</v>
      </c>
      <c r="K3715" t="s">
        <v>398</v>
      </c>
    </row>
    <row r="3716" spans="3:11" outlineLevel="2" x14ac:dyDescent="0.3">
      <c r="C3716" s="9">
        <v>45286</v>
      </c>
      <c r="D3716" t="s">
        <v>12</v>
      </c>
      <c r="E3716" t="s">
        <v>35</v>
      </c>
      <c r="F3716" t="s">
        <v>24</v>
      </c>
      <c r="G3716" t="s">
        <v>34</v>
      </c>
      <c r="H3716">
        <v>1670</v>
      </c>
      <c r="I3716">
        <v>37</v>
      </c>
      <c r="J3716" s="6">
        <f t="shared" si="295"/>
        <v>61.79</v>
      </c>
      <c r="K3716" t="s">
        <v>398</v>
      </c>
    </row>
    <row r="3717" spans="3:11" outlineLevel="1" x14ac:dyDescent="0.3">
      <c r="C3717" s="13" t="s">
        <v>374</v>
      </c>
      <c r="J3717" s="6">
        <f>SUBTOTAL(9,J3703:J3716)</f>
        <v>1109.2049999999999</v>
      </c>
      <c r="K3717" t="s">
        <v>398</v>
      </c>
    </row>
    <row r="3718" spans="3:11" outlineLevel="2" x14ac:dyDescent="0.3">
      <c r="C3718" s="9">
        <v>45287</v>
      </c>
      <c r="D3718" t="s">
        <v>45</v>
      </c>
      <c r="E3718" t="s">
        <v>20</v>
      </c>
      <c r="F3718" t="s">
        <v>18</v>
      </c>
      <c r="G3718" t="s">
        <v>19</v>
      </c>
      <c r="H3718">
        <v>325</v>
      </c>
      <c r="I3718">
        <v>17</v>
      </c>
      <c r="J3718" s="6">
        <f t="shared" ref="J3718:J3727" si="296">H3718*I3718/1000</f>
        <v>5.5250000000000004</v>
      </c>
      <c r="K3718" t="s">
        <v>398</v>
      </c>
    </row>
    <row r="3719" spans="3:11" outlineLevel="2" x14ac:dyDescent="0.3">
      <c r="C3719" s="9">
        <v>45287</v>
      </c>
      <c r="D3719" t="s">
        <v>12</v>
      </c>
      <c r="E3719" t="s">
        <v>20</v>
      </c>
      <c r="F3719" t="s">
        <v>13</v>
      </c>
      <c r="G3719" t="s">
        <v>14</v>
      </c>
      <c r="H3719">
        <v>1320</v>
      </c>
      <c r="I3719">
        <v>88</v>
      </c>
      <c r="J3719" s="6">
        <f t="shared" si="296"/>
        <v>116.16</v>
      </c>
      <c r="K3719" t="s">
        <v>398</v>
      </c>
    </row>
    <row r="3720" spans="3:11" outlineLevel="2" x14ac:dyDescent="0.3">
      <c r="C3720" s="9">
        <v>45287</v>
      </c>
      <c r="D3720" t="s">
        <v>12</v>
      </c>
      <c r="E3720" t="s">
        <v>9</v>
      </c>
      <c r="F3720" t="s">
        <v>24</v>
      </c>
      <c r="G3720" t="s">
        <v>34</v>
      </c>
      <c r="H3720">
        <v>1670</v>
      </c>
      <c r="I3720">
        <v>99</v>
      </c>
      <c r="J3720" s="6">
        <f t="shared" si="296"/>
        <v>165.33</v>
      </c>
      <c r="K3720" t="s">
        <v>398</v>
      </c>
    </row>
    <row r="3721" spans="3:11" outlineLevel="2" x14ac:dyDescent="0.3">
      <c r="C3721" s="9">
        <v>45287</v>
      </c>
      <c r="D3721" t="s">
        <v>17</v>
      </c>
      <c r="E3721" t="s">
        <v>26</v>
      </c>
      <c r="F3721" t="s">
        <v>18</v>
      </c>
      <c r="G3721" t="s">
        <v>19</v>
      </c>
      <c r="H3721">
        <v>325</v>
      </c>
      <c r="I3721">
        <v>55</v>
      </c>
      <c r="J3721" s="6">
        <f t="shared" si="296"/>
        <v>17.875</v>
      </c>
      <c r="K3721" t="s">
        <v>398</v>
      </c>
    </row>
    <row r="3722" spans="3:11" outlineLevel="2" x14ac:dyDescent="0.3">
      <c r="C3722" s="9">
        <v>45287</v>
      </c>
      <c r="D3722" t="s">
        <v>17</v>
      </c>
      <c r="E3722" t="s">
        <v>26</v>
      </c>
      <c r="F3722" t="s">
        <v>24</v>
      </c>
      <c r="G3722" t="s">
        <v>32</v>
      </c>
      <c r="H3722">
        <v>1505</v>
      </c>
      <c r="I3722">
        <v>92</v>
      </c>
      <c r="J3722" s="6">
        <f t="shared" si="296"/>
        <v>138.46</v>
      </c>
      <c r="K3722" t="s">
        <v>398</v>
      </c>
    </row>
    <row r="3723" spans="3:11" outlineLevel="2" x14ac:dyDescent="0.3">
      <c r="C3723" s="9">
        <v>45287</v>
      </c>
      <c r="D3723" t="s">
        <v>8</v>
      </c>
      <c r="E3723" t="s">
        <v>33</v>
      </c>
      <c r="F3723" t="s">
        <v>10</v>
      </c>
      <c r="G3723" t="s">
        <v>41</v>
      </c>
      <c r="H3723">
        <v>650</v>
      </c>
      <c r="I3723">
        <v>88</v>
      </c>
      <c r="J3723" s="6">
        <f t="shared" si="296"/>
        <v>57.2</v>
      </c>
      <c r="K3723" t="s">
        <v>398</v>
      </c>
    </row>
    <row r="3724" spans="3:11" outlineLevel="2" x14ac:dyDescent="0.3">
      <c r="C3724" s="9">
        <v>45287</v>
      </c>
      <c r="D3724" t="s">
        <v>17</v>
      </c>
      <c r="E3724" t="s">
        <v>33</v>
      </c>
      <c r="F3724" t="s">
        <v>10</v>
      </c>
      <c r="G3724" t="s">
        <v>16</v>
      </c>
      <c r="H3724">
        <v>1380</v>
      </c>
      <c r="I3724">
        <v>66</v>
      </c>
      <c r="J3724" s="6">
        <f t="shared" si="296"/>
        <v>91.08</v>
      </c>
      <c r="K3724" t="s">
        <v>398</v>
      </c>
    </row>
    <row r="3725" spans="3:11" outlineLevel="2" x14ac:dyDescent="0.3">
      <c r="C3725" s="9">
        <v>45287</v>
      </c>
      <c r="D3725" t="s">
        <v>12</v>
      </c>
      <c r="E3725" t="s">
        <v>33</v>
      </c>
      <c r="F3725" t="s">
        <v>13</v>
      </c>
      <c r="G3725" t="s">
        <v>43</v>
      </c>
      <c r="H3725">
        <v>1420</v>
      </c>
      <c r="I3725">
        <v>22</v>
      </c>
      <c r="J3725" s="6">
        <f t="shared" si="296"/>
        <v>31.24</v>
      </c>
      <c r="K3725" t="s">
        <v>398</v>
      </c>
    </row>
    <row r="3726" spans="3:11" outlineLevel="2" x14ac:dyDescent="0.3">
      <c r="C3726" s="9">
        <v>45287</v>
      </c>
      <c r="D3726" t="s">
        <v>45</v>
      </c>
      <c r="E3726" t="s">
        <v>35</v>
      </c>
      <c r="F3726" t="s">
        <v>13</v>
      </c>
      <c r="G3726" t="s">
        <v>43</v>
      </c>
      <c r="H3726">
        <v>1420</v>
      </c>
      <c r="I3726">
        <v>6</v>
      </c>
      <c r="J3726" s="6">
        <f t="shared" si="296"/>
        <v>8.52</v>
      </c>
      <c r="K3726" t="s">
        <v>398</v>
      </c>
    </row>
    <row r="3727" spans="3:11" outlineLevel="2" x14ac:dyDescent="0.3">
      <c r="C3727" s="9">
        <v>45287</v>
      </c>
      <c r="D3727" t="s">
        <v>8</v>
      </c>
      <c r="E3727" t="s">
        <v>35</v>
      </c>
      <c r="F3727" t="s">
        <v>24</v>
      </c>
      <c r="G3727" t="s">
        <v>30</v>
      </c>
      <c r="H3727">
        <v>2970</v>
      </c>
      <c r="I3727">
        <v>94</v>
      </c>
      <c r="J3727" s="6">
        <f t="shared" si="296"/>
        <v>279.18</v>
      </c>
      <c r="K3727" t="s">
        <v>398</v>
      </c>
    </row>
    <row r="3728" spans="3:11" outlineLevel="1" x14ac:dyDescent="0.3">
      <c r="C3728" s="13" t="s">
        <v>375</v>
      </c>
      <c r="J3728" s="6">
        <f>SUBTOTAL(9,J3718:J3727)</f>
        <v>910.56999999999994</v>
      </c>
      <c r="K3728" t="s">
        <v>398</v>
      </c>
    </row>
    <row r="3729" spans="3:11" outlineLevel="2" x14ac:dyDescent="0.3">
      <c r="C3729" s="9">
        <v>45288</v>
      </c>
      <c r="D3729" t="s">
        <v>45</v>
      </c>
      <c r="E3729" t="s">
        <v>20</v>
      </c>
      <c r="F3729" t="s">
        <v>10</v>
      </c>
      <c r="G3729" t="s">
        <v>40</v>
      </c>
      <c r="H3729">
        <v>540</v>
      </c>
      <c r="I3729">
        <v>56</v>
      </c>
      <c r="J3729" s="6">
        <f t="shared" ref="J3729:J3743" si="297">H3729*I3729/1000</f>
        <v>30.24</v>
      </c>
      <c r="K3729" t="s">
        <v>398</v>
      </c>
    </row>
    <row r="3730" spans="3:11" outlineLevel="2" x14ac:dyDescent="0.3">
      <c r="C3730" s="9">
        <v>45288</v>
      </c>
      <c r="D3730" t="s">
        <v>45</v>
      </c>
      <c r="E3730" t="s">
        <v>9</v>
      </c>
      <c r="F3730" t="s">
        <v>10</v>
      </c>
      <c r="G3730" t="s">
        <v>16</v>
      </c>
      <c r="H3730">
        <v>1380</v>
      </c>
      <c r="I3730">
        <v>61</v>
      </c>
      <c r="J3730" s="6">
        <f t="shared" si="297"/>
        <v>84.18</v>
      </c>
      <c r="K3730" t="s">
        <v>398</v>
      </c>
    </row>
    <row r="3731" spans="3:11" outlineLevel="2" x14ac:dyDescent="0.3">
      <c r="C3731" s="9">
        <v>45288</v>
      </c>
      <c r="D3731" t="s">
        <v>45</v>
      </c>
      <c r="E3731" t="s">
        <v>26</v>
      </c>
      <c r="F3731" t="s">
        <v>10</v>
      </c>
      <c r="G3731" t="s">
        <v>40</v>
      </c>
      <c r="H3731">
        <v>540</v>
      </c>
      <c r="I3731">
        <v>5</v>
      </c>
      <c r="J3731" s="6">
        <f t="shared" si="297"/>
        <v>2.7</v>
      </c>
      <c r="K3731" t="s">
        <v>398</v>
      </c>
    </row>
    <row r="3732" spans="3:11" outlineLevel="2" x14ac:dyDescent="0.3">
      <c r="C3732" s="9">
        <v>45288</v>
      </c>
      <c r="D3732" t="s">
        <v>8</v>
      </c>
      <c r="E3732" t="s">
        <v>15</v>
      </c>
      <c r="F3732" t="s">
        <v>18</v>
      </c>
      <c r="G3732" t="s">
        <v>27</v>
      </c>
      <c r="H3732">
        <v>460</v>
      </c>
      <c r="I3732">
        <v>34</v>
      </c>
      <c r="J3732" s="6">
        <f t="shared" si="297"/>
        <v>15.64</v>
      </c>
      <c r="K3732" t="s">
        <v>398</v>
      </c>
    </row>
    <row r="3733" spans="3:11" outlineLevel="2" x14ac:dyDescent="0.3">
      <c r="C3733" s="9">
        <v>45288</v>
      </c>
      <c r="D3733" t="s">
        <v>8</v>
      </c>
      <c r="E3733" t="s">
        <v>15</v>
      </c>
      <c r="F3733" t="s">
        <v>18</v>
      </c>
      <c r="G3733" t="s">
        <v>28</v>
      </c>
      <c r="H3733">
        <v>690</v>
      </c>
      <c r="I3733">
        <v>56</v>
      </c>
      <c r="J3733" s="6">
        <f t="shared" si="297"/>
        <v>38.64</v>
      </c>
      <c r="K3733" t="s">
        <v>398</v>
      </c>
    </row>
    <row r="3734" spans="3:11" outlineLevel="2" x14ac:dyDescent="0.3">
      <c r="C3734" s="9">
        <v>45288</v>
      </c>
      <c r="D3734" t="s">
        <v>17</v>
      </c>
      <c r="E3734" t="s">
        <v>15</v>
      </c>
      <c r="F3734" t="s">
        <v>18</v>
      </c>
      <c r="G3734" t="s">
        <v>21</v>
      </c>
      <c r="H3734">
        <v>450</v>
      </c>
      <c r="I3734">
        <v>50</v>
      </c>
      <c r="J3734" s="6">
        <f t="shared" si="297"/>
        <v>22.5</v>
      </c>
      <c r="K3734" t="s">
        <v>398</v>
      </c>
    </row>
    <row r="3735" spans="3:11" outlineLevel="2" x14ac:dyDescent="0.3">
      <c r="C3735" s="9">
        <v>45288</v>
      </c>
      <c r="D3735" t="s">
        <v>12</v>
      </c>
      <c r="E3735" t="s">
        <v>15</v>
      </c>
      <c r="F3735" t="s">
        <v>13</v>
      </c>
      <c r="G3735" t="s">
        <v>29</v>
      </c>
      <c r="H3735">
        <v>1230</v>
      </c>
      <c r="I3735">
        <v>33</v>
      </c>
      <c r="J3735" s="6">
        <f t="shared" si="297"/>
        <v>40.590000000000003</v>
      </c>
      <c r="K3735" t="s">
        <v>398</v>
      </c>
    </row>
    <row r="3736" spans="3:11" outlineLevel="2" x14ac:dyDescent="0.3">
      <c r="C3736" s="9">
        <v>45288</v>
      </c>
      <c r="D3736" t="s">
        <v>8</v>
      </c>
      <c r="E3736" t="s">
        <v>15</v>
      </c>
      <c r="F3736" t="s">
        <v>24</v>
      </c>
      <c r="G3736" t="s">
        <v>36</v>
      </c>
      <c r="H3736">
        <v>2460</v>
      </c>
      <c r="I3736">
        <v>12</v>
      </c>
      <c r="J3736" s="6">
        <f t="shared" si="297"/>
        <v>29.52</v>
      </c>
      <c r="K3736" t="s">
        <v>398</v>
      </c>
    </row>
    <row r="3737" spans="3:11" outlineLevel="2" x14ac:dyDescent="0.3">
      <c r="C3737" s="9">
        <v>45288</v>
      </c>
      <c r="D3737" t="s">
        <v>17</v>
      </c>
      <c r="E3737" t="s">
        <v>33</v>
      </c>
      <c r="F3737" t="s">
        <v>10</v>
      </c>
      <c r="G3737" t="s">
        <v>39</v>
      </c>
      <c r="H3737">
        <v>650</v>
      </c>
      <c r="I3737">
        <v>72</v>
      </c>
      <c r="J3737" s="6">
        <f t="shared" si="297"/>
        <v>46.8</v>
      </c>
      <c r="K3737" t="s">
        <v>398</v>
      </c>
    </row>
    <row r="3738" spans="3:11" outlineLevel="2" x14ac:dyDescent="0.3">
      <c r="C3738" s="9">
        <v>45288</v>
      </c>
      <c r="D3738" t="s">
        <v>8</v>
      </c>
      <c r="E3738" t="s">
        <v>33</v>
      </c>
      <c r="F3738" t="s">
        <v>18</v>
      </c>
      <c r="G3738" t="s">
        <v>21</v>
      </c>
      <c r="H3738">
        <v>450</v>
      </c>
      <c r="I3738">
        <v>41</v>
      </c>
      <c r="J3738" s="6">
        <f t="shared" si="297"/>
        <v>18.45</v>
      </c>
      <c r="K3738" t="s">
        <v>398</v>
      </c>
    </row>
    <row r="3739" spans="3:11" outlineLevel="2" x14ac:dyDescent="0.3">
      <c r="C3739" s="9">
        <v>45288</v>
      </c>
      <c r="D3739" t="s">
        <v>8</v>
      </c>
      <c r="E3739" t="s">
        <v>33</v>
      </c>
      <c r="F3739" t="s">
        <v>13</v>
      </c>
      <c r="G3739" t="s">
        <v>29</v>
      </c>
      <c r="H3739">
        <v>1230</v>
      </c>
      <c r="I3739">
        <v>80</v>
      </c>
      <c r="J3739" s="6">
        <f t="shared" si="297"/>
        <v>98.4</v>
      </c>
      <c r="K3739" t="s">
        <v>398</v>
      </c>
    </row>
    <row r="3740" spans="3:11" outlineLevel="2" x14ac:dyDescent="0.3">
      <c r="C3740" s="9">
        <v>45288</v>
      </c>
      <c r="D3740" t="s">
        <v>12</v>
      </c>
      <c r="E3740" t="s">
        <v>33</v>
      </c>
      <c r="F3740" t="s">
        <v>13</v>
      </c>
      <c r="G3740" t="s">
        <v>38</v>
      </c>
      <c r="H3740">
        <v>2400</v>
      </c>
      <c r="I3740">
        <v>71</v>
      </c>
      <c r="J3740" s="6">
        <f t="shared" si="297"/>
        <v>170.4</v>
      </c>
      <c r="K3740" t="s">
        <v>398</v>
      </c>
    </row>
    <row r="3741" spans="3:11" outlineLevel="2" x14ac:dyDescent="0.3">
      <c r="C3741" s="9">
        <v>45288</v>
      </c>
      <c r="D3741" t="s">
        <v>8</v>
      </c>
      <c r="E3741" t="s">
        <v>33</v>
      </c>
      <c r="F3741" t="s">
        <v>24</v>
      </c>
      <c r="G3741" t="s">
        <v>25</v>
      </c>
      <c r="H3741">
        <v>1760</v>
      </c>
      <c r="I3741">
        <v>54</v>
      </c>
      <c r="J3741" s="6">
        <f t="shared" si="297"/>
        <v>95.04</v>
      </c>
      <c r="K3741" t="s">
        <v>398</v>
      </c>
    </row>
    <row r="3742" spans="3:11" outlineLevel="2" x14ac:dyDescent="0.3">
      <c r="C3742" s="9">
        <v>45288</v>
      </c>
      <c r="D3742" t="s">
        <v>12</v>
      </c>
      <c r="E3742" t="s">
        <v>35</v>
      </c>
      <c r="F3742" t="s">
        <v>10</v>
      </c>
      <c r="G3742" t="s">
        <v>11</v>
      </c>
      <c r="H3742">
        <v>705</v>
      </c>
      <c r="I3742">
        <v>95</v>
      </c>
      <c r="J3742" s="6">
        <f t="shared" si="297"/>
        <v>66.974999999999994</v>
      </c>
      <c r="K3742" t="s">
        <v>398</v>
      </c>
    </row>
    <row r="3743" spans="3:11" outlineLevel="2" x14ac:dyDescent="0.3">
      <c r="C3743" s="9">
        <v>45288</v>
      </c>
      <c r="D3743" t="s">
        <v>8</v>
      </c>
      <c r="E3743" t="s">
        <v>35</v>
      </c>
      <c r="F3743" t="s">
        <v>13</v>
      </c>
      <c r="G3743" t="s">
        <v>14</v>
      </c>
      <c r="H3743">
        <v>1320</v>
      </c>
      <c r="I3743">
        <v>74</v>
      </c>
      <c r="J3743" s="6">
        <f t="shared" si="297"/>
        <v>97.68</v>
      </c>
      <c r="K3743" t="s">
        <v>398</v>
      </c>
    </row>
    <row r="3744" spans="3:11" outlineLevel="1" x14ac:dyDescent="0.3">
      <c r="C3744" s="13" t="s">
        <v>376</v>
      </c>
      <c r="J3744" s="6">
        <f>SUBTOTAL(9,J3729:J3743)</f>
        <v>857.75499999999988</v>
      </c>
      <c r="K3744" t="s">
        <v>398</v>
      </c>
    </row>
    <row r="3745" spans="3:11" outlineLevel="2" x14ac:dyDescent="0.3">
      <c r="C3745" s="9">
        <v>45289</v>
      </c>
      <c r="D3745" t="s">
        <v>12</v>
      </c>
      <c r="E3745" t="s">
        <v>9</v>
      </c>
      <c r="F3745" t="s">
        <v>10</v>
      </c>
      <c r="G3745" t="s">
        <v>39</v>
      </c>
      <c r="H3745">
        <v>650</v>
      </c>
      <c r="I3745">
        <v>6</v>
      </c>
      <c r="J3745" s="6">
        <f t="shared" ref="J3745:J3756" si="298">H3745*I3745/1000</f>
        <v>3.9</v>
      </c>
      <c r="K3745" t="s">
        <v>398</v>
      </c>
    </row>
    <row r="3746" spans="3:11" outlineLevel="2" x14ac:dyDescent="0.3">
      <c r="C3746" s="9">
        <v>45289</v>
      </c>
      <c r="D3746" t="s">
        <v>45</v>
      </c>
      <c r="E3746" t="s">
        <v>9</v>
      </c>
      <c r="F3746" t="s">
        <v>10</v>
      </c>
      <c r="G3746" t="s">
        <v>40</v>
      </c>
      <c r="H3746">
        <v>540</v>
      </c>
      <c r="I3746">
        <v>97</v>
      </c>
      <c r="J3746" s="6">
        <f t="shared" si="298"/>
        <v>52.38</v>
      </c>
      <c r="K3746" t="s">
        <v>398</v>
      </c>
    </row>
    <row r="3747" spans="3:11" outlineLevel="2" x14ac:dyDescent="0.3">
      <c r="C3747" s="9">
        <v>45289</v>
      </c>
      <c r="D3747" t="s">
        <v>45</v>
      </c>
      <c r="E3747" t="s">
        <v>9</v>
      </c>
      <c r="F3747" t="s">
        <v>18</v>
      </c>
      <c r="G3747" t="s">
        <v>31</v>
      </c>
      <c r="H3747">
        <v>715</v>
      </c>
      <c r="I3747">
        <v>91</v>
      </c>
      <c r="J3747" s="6">
        <f t="shared" si="298"/>
        <v>65.064999999999998</v>
      </c>
      <c r="K3747" t="s">
        <v>398</v>
      </c>
    </row>
    <row r="3748" spans="3:11" outlineLevel="2" x14ac:dyDescent="0.3">
      <c r="C3748" s="9">
        <v>45289</v>
      </c>
      <c r="D3748" t="s">
        <v>17</v>
      </c>
      <c r="E3748" t="s">
        <v>9</v>
      </c>
      <c r="F3748" t="s">
        <v>18</v>
      </c>
      <c r="G3748" t="s">
        <v>21</v>
      </c>
      <c r="H3748">
        <v>450</v>
      </c>
      <c r="I3748">
        <v>14</v>
      </c>
      <c r="J3748" s="6">
        <f t="shared" si="298"/>
        <v>6.3</v>
      </c>
      <c r="K3748" t="s">
        <v>398</v>
      </c>
    </row>
    <row r="3749" spans="3:11" outlineLevel="2" x14ac:dyDescent="0.3">
      <c r="C3749" s="9">
        <v>45289</v>
      </c>
      <c r="D3749" t="s">
        <v>8</v>
      </c>
      <c r="E3749" t="s">
        <v>26</v>
      </c>
      <c r="F3749" t="s">
        <v>10</v>
      </c>
      <c r="G3749" t="s">
        <v>23</v>
      </c>
      <c r="H3749">
        <v>640</v>
      </c>
      <c r="I3749">
        <v>46</v>
      </c>
      <c r="J3749" s="6">
        <f t="shared" si="298"/>
        <v>29.44</v>
      </c>
      <c r="K3749" t="s">
        <v>398</v>
      </c>
    </row>
    <row r="3750" spans="3:11" outlineLevel="2" x14ac:dyDescent="0.3">
      <c r="C3750" s="9">
        <v>45289</v>
      </c>
      <c r="D3750" t="s">
        <v>12</v>
      </c>
      <c r="E3750" t="s">
        <v>26</v>
      </c>
      <c r="F3750" t="s">
        <v>24</v>
      </c>
      <c r="G3750" t="s">
        <v>42</v>
      </c>
      <c r="H3750">
        <v>3205</v>
      </c>
      <c r="I3750">
        <v>7</v>
      </c>
      <c r="J3750" s="6">
        <f t="shared" si="298"/>
        <v>22.434999999999999</v>
      </c>
      <c r="K3750" t="s">
        <v>398</v>
      </c>
    </row>
    <row r="3751" spans="3:11" outlineLevel="2" x14ac:dyDescent="0.3">
      <c r="C3751" s="9">
        <v>45289</v>
      </c>
      <c r="D3751" t="s">
        <v>8</v>
      </c>
      <c r="E3751" t="s">
        <v>15</v>
      </c>
      <c r="F3751" t="s">
        <v>18</v>
      </c>
      <c r="G3751" t="s">
        <v>37</v>
      </c>
      <c r="H3751">
        <v>890</v>
      </c>
      <c r="I3751">
        <v>76</v>
      </c>
      <c r="J3751" s="6">
        <f t="shared" si="298"/>
        <v>67.64</v>
      </c>
      <c r="K3751" t="s">
        <v>398</v>
      </c>
    </row>
    <row r="3752" spans="3:11" outlineLevel="2" x14ac:dyDescent="0.3">
      <c r="C3752" s="9">
        <v>45289</v>
      </c>
      <c r="D3752" t="s">
        <v>12</v>
      </c>
      <c r="E3752" t="s">
        <v>15</v>
      </c>
      <c r="F3752" t="s">
        <v>13</v>
      </c>
      <c r="G3752" t="s">
        <v>22</v>
      </c>
      <c r="H3752">
        <v>930</v>
      </c>
      <c r="I3752">
        <v>36</v>
      </c>
      <c r="J3752" s="6">
        <f t="shared" si="298"/>
        <v>33.479999999999997</v>
      </c>
      <c r="K3752" t="s">
        <v>398</v>
      </c>
    </row>
    <row r="3753" spans="3:11" outlineLevel="2" x14ac:dyDescent="0.3">
      <c r="C3753" s="9">
        <v>45289</v>
      </c>
      <c r="D3753" t="s">
        <v>17</v>
      </c>
      <c r="E3753" t="s">
        <v>33</v>
      </c>
      <c r="F3753" t="s">
        <v>18</v>
      </c>
      <c r="G3753" t="s">
        <v>28</v>
      </c>
      <c r="H3753">
        <v>690</v>
      </c>
      <c r="I3753">
        <v>15</v>
      </c>
      <c r="J3753" s="6">
        <f t="shared" si="298"/>
        <v>10.35</v>
      </c>
      <c r="K3753" t="s">
        <v>398</v>
      </c>
    </row>
    <row r="3754" spans="3:11" outlineLevel="2" x14ac:dyDescent="0.3">
      <c r="C3754" s="9">
        <v>45289</v>
      </c>
      <c r="D3754" t="s">
        <v>17</v>
      </c>
      <c r="E3754" t="s">
        <v>33</v>
      </c>
      <c r="F3754" t="s">
        <v>24</v>
      </c>
      <c r="G3754" t="s">
        <v>42</v>
      </c>
      <c r="H3754">
        <v>3205</v>
      </c>
      <c r="I3754">
        <v>37</v>
      </c>
      <c r="J3754" s="6">
        <f t="shared" si="298"/>
        <v>118.58499999999999</v>
      </c>
      <c r="K3754" t="s">
        <v>398</v>
      </c>
    </row>
    <row r="3755" spans="3:11" outlineLevel="2" x14ac:dyDescent="0.3">
      <c r="C3755" s="9">
        <v>45289</v>
      </c>
      <c r="D3755" t="s">
        <v>17</v>
      </c>
      <c r="E3755" t="s">
        <v>33</v>
      </c>
      <c r="F3755" t="s">
        <v>24</v>
      </c>
      <c r="G3755" t="s">
        <v>30</v>
      </c>
      <c r="H3755">
        <v>2970</v>
      </c>
      <c r="I3755">
        <v>21</v>
      </c>
      <c r="J3755" s="6">
        <f t="shared" si="298"/>
        <v>62.37</v>
      </c>
      <c r="K3755" t="s">
        <v>398</v>
      </c>
    </row>
    <row r="3756" spans="3:11" outlineLevel="2" x14ac:dyDescent="0.3">
      <c r="C3756" s="9">
        <v>45289</v>
      </c>
      <c r="D3756" t="s">
        <v>12</v>
      </c>
      <c r="E3756" t="s">
        <v>35</v>
      </c>
      <c r="F3756" t="s">
        <v>13</v>
      </c>
      <c r="G3756" t="s">
        <v>38</v>
      </c>
      <c r="H3756">
        <v>2400</v>
      </c>
      <c r="I3756">
        <v>29</v>
      </c>
      <c r="J3756" s="6">
        <f t="shared" si="298"/>
        <v>69.599999999999994</v>
      </c>
      <c r="K3756" t="s">
        <v>398</v>
      </c>
    </row>
    <row r="3757" spans="3:11" outlineLevel="1" x14ac:dyDescent="0.3">
      <c r="C3757" s="13" t="s">
        <v>377</v>
      </c>
      <c r="J3757" s="6">
        <f>SUBTOTAL(9,J3745:J3756)</f>
        <v>541.54500000000007</v>
      </c>
      <c r="K3757" t="s">
        <v>398</v>
      </c>
    </row>
    <row r="3758" spans="3:11" outlineLevel="2" x14ac:dyDescent="0.3">
      <c r="C3758" s="9">
        <v>45290</v>
      </c>
      <c r="D3758" t="s">
        <v>12</v>
      </c>
      <c r="E3758" t="s">
        <v>20</v>
      </c>
      <c r="F3758" t="s">
        <v>13</v>
      </c>
      <c r="G3758" t="s">
        <v>29</v>
      </c>
      <c r="H3758">
        <v>1230</v>
      </c>
      <c r="I3758">
        <v>8</v>
      </c>
      <c r="J3758" s="6">
        <f t="shared" ref="J3758:J3767" si="299">H3758*I3758/1000</f>
        <v>9.84</v>
      </c>
      <c r="K3758" t="s">
        <v>398</v>
      </c>
    </row>
    <row r="3759" spans="3:11" outlineLevel="2" x14ac:dyDescent="0.3">
      <c r="C3759" s="9">
        <v>45290</v>
      </c>
      <c r="D3759" t="s">
        <v>8</v>
      </c>
      <c r="E3759" t="s">
        <v>20</v>
      </c>
      <c r="F3759" t="s">
        <v>24</v>
      </c>
      <c r="G3759" t="s">
        <v>32</v>
      </c>
      <c r="H3759">
        <v>1505</v>
      </c>
      <c r="I3759">
        <v>67</v>
      </c>
      <c r="J3759" s="6">
        <f t="shared" si="299"/>
        <v>100.83499999999999</v>
      </c>
      <c r="K3759" t="s">
        <v>398</v>
      </c>
    </row>
    <row r="3760" spans="3:11" outlineLevel="2" x14ac:dyDescent="0.3">
      <c r="C3760" s="9">
        <v>45290</v>
      </c>
      <c r="D3760" t="s">
        <v>17</v>
      </c>
      <c r="E3760" t="s">
        <v>9</v>
      </c>
      <c r="F3760" t="s">
        <v>13</v>
      </c>
      <c r="G3760" t="s">
        <v>43</v>
      </c>
      <c r="H3760">
        <v>1420</v>
      </c>
      <c r="I3760">
        <v>46</v>
      </c>
      <c r="J3760" s="6">
        <f t="shared" si="299"/>
        <v>65.319999999999993</v>
      </c>
      <c r="K3760" t="s">
        <v>398</v>
      </c>
    </row>
    <row r="3761" spans="3:11" outlineLevel="2" x14ac:dyDescent="0.3">
      <c r="C3761" s="9">
        <v>45290</v>
      </c>
      <c r="D3761" t="s">
        <v>12</v>
      </c>
      <c r="E3761" t="s">
        <v>9</v>
      </c>
      <c r="F3761" t="s">
        <v>13</v>
      </c>
      <c r="G3761" t="s">
        <v>14</v>
      </c>
      <c r="H3761">
        <v>1320</v>
      </c>
      <c r="I3761">
        <v>67</v>
      </c>
      <c r="J3761" s="6">
        <f t="shared" si="299"/>
        <v>88.44</v>
      </c>
      <c r="K3761" t="s">
        <v>398</v>
      </c>
    </row>
    <row r="3762" spans="3:11" outlineLevel="2" x14ac:dyDescent="0.3">
      <c r="C3762" s="9">
        <v>45290</v>
      </c>
      <c r="D3762" t="s">
        <v>17</v>
      </c>
      <c r="E3762" t="s">
        <v>26</v>
      </c>
      <c r="F3762" t="s">
        <v>10</v>
      </c>
      <c r="G3762" t="s">
        <v>16</v>
      </c>
      <c r="H3762">
        <v>1380</v>
      </c>
      <c r="I3762">
        <v>85</v>
      </c>
      <c r="J3762" s="6">
        <f t="shared" si="299"/>
        <v>117.3</v>
      </c>
      <c r="K3762" t="s">
        <v>398</v>
      </c>
    </row>
    <row r="3763" spans="3:11" outlineLevel="2" x14ac:dyDescent="0.3">
      <c r="C3763" s="9">
        <v>45290</v>
      </c>
      <c r="D3763" t="s">
        <v>8</v>
      </c>
      <c r="E3763" t="s">
        <v>26</v>
      </c>
      <c r="F3763" t="s">
        <v>18</v>
      </c>
      <c r="G3763" t="s">
        <v>28</v>
      </c>
      <c r="H3763">
        <v>690</v>
      </c>
      <c r="I3763">
        <v>34</v>
      </c>
      <c r="J3763" s="6">
        <f t="shared" si="299"/>
        <v>23.46</v>
      </c>
      <c r="K3763" t="s">
        <v>398</v>
      </c>
    </row>
    <row r="3764" spans="3:11" outlineLevel="2" x14ac:dyDescent="0.3">
      <c r="C3764" s="9">
        <v>45290</v>
      </c>
      <c r="D3764" t="s">
        <v>12</v>
      </c>
      <c r="E3764" t="s">
        <v>26</v>
      </c>
      <c r="F3764" t="s">
        <v>13</v>
      </c>
      <c r="G3764" t="s">
        <v>29</v>
      </c>
      <c r="H3764">
        <v>1230</v>
      </c>
      <c r="I3764">
        <v>30</v>
      </c>
      <c r="J3764" s="6">
        <f t="shared" si="299"/>
        <v>36.9</v>
      </c>
      <c r="K3764" t="s">
        <v>398</v>
      </c>
    </row>
    <row r="3765" spans="3:11" outlineLevel="2" x14ac:dyDescent="0.3">
      <c r="C3765" s="9">
        <v>45290</v>
      </c>
      <c r="D3765" t="s">
        <v>45</v>
      </c>
      <c r="E3765" t="s">
        <v>15</v>
      </c>
      <c r="F3765" t="s">
        <v>10</v>
      </c>
      <c r="G3765" t="s">
        <v>11</v>
      </c>
      <c r="H3765">
        <v>705</v>
      </c>
      <c r="I3765">
        <v>93</v>
      </c>
      <c r="J3765" s="6">
        <f t="shared" si="299"/>
        <v>65.564999999999998</v>
      </c>
      <c r="K3765" t="s">
        <v>398</v>
      </c>
    </row>
    <row r="3766" spans="3:11" outlineLevel="2" x14ac:dyDescent="0.3">
      <c r="C3766" s="9">
        <v>45290</v>
      </c>
      <c r="D3766" t="s">
        <v>45</v>
      </c>
      <c r="E3766" t="s">
        <v>33</v>
      </c>
      <c r="F3766" t="s">
        <v>13</v>
      </c>
      <c r="G3766" t="s">
        <v>44</v>
      </c>
      <c r="H3766">
        <v>2540</v>
      </c>
      <c r="I3766">
        <v>94</v>
      </c>
      <c r="J3766" s="6">
        <f t="shared" si="299"/>
        <v>238.76</v>
      </c>
      <c r="K3766" t="s">
        <v>398</v>
      </c>
    </row>
    <row r="3767" spans="3:11" outlineLevel="2" x14ac:dyDescent="0.3">
      <c r="C3767" s="9">
        <v>45290</v>
      </c>
      <c r="D3767" t="s">
        <v>12</v>
      </c>
      <c r="E3767" t="s">
        <v>33</v>
      </c>
      <c r="F3767" t="s">
        <v>24</v>
      </c>
      <c r="G3767" t="s">
        <v>36</v>
      </c>
      <c r="H3767">
        <v>2460</v>
      </c>
      <c r="I3767">
        <v>16</v>
      </c>
      <c r="J3767" s="6">
        <f t="shared" si="299"/>
        <v>39.36</v>
      </c>
      <c r="K3767" t="s">
        <v>398</v>
      </c>
    </row>
    <row r="3768" spans="3:11" outlineLevel="1" x14ac:dyDescent="0.3">
      <c r="C3768" s="13" t="s">
        <v>378</v>
      </c>
      <c r="J3768" s="6">
        <f>SUBTOTAL(9,J3758:J3767)</f>
        <v>785.78</v>
      </c>
      <c r="K3768" t="s">
        <v>398</v>
      </c>
    </row>
    <row r="3769" spans="3:11" outlineLevel="2" x14ac:dyDescent="0.3">
      <c r="C3769" s="9">
        <v>45291</v>
      </c>
      <c r="D3769" t="s">
        <v>45</v>
      </c>
      <c r="E3769" t="s">
        <v>20</v>
      </c>
      <c r="F3769" t="s">
        <v>13</v>
      </c>
      <c r="G3769" t="s">
        <v>29</v>
      </c>
      <c r="H3769">
        <v>1230</v>
      </c>
      <c r="I3769">
        <v>29</v>
      </c>
      <c r="J3769" s="6">
        <f>H3769*I3769/1000</f>
        <v>35.67</v>
      </c>
      <c r="K3769" t="s">
        <v>398</v>
      </c>
    </row>
    <row r="3770" spans="3:11" outlineLevel="2" x14ac:dyDescent="0.3">
      <c r="C3770" s="9">
        <v>45291</v>
      </c>
      <c r="D3770" t="s">
        <v>45</v>
      </c>
      <c r="E3770" t="s">
        <v>9</v>
      </c>
      <c r="F3770" t="s">
        <v>10</v>
      </c>
      <c r="G3770" t="s">
        <v>41</v>
      </c>
      <c r="H3770">
        <v>650</v>
      </c>
      <c r="I3770">
        <v>56</v>
      </c>
      <c r="J3770" s="6">
        <f>H3770*I3770/1000</f>
        <v>36.4</v>
      </c>
      <c r="K3770" t="s">
        <v>398</v>
      </c>
    </row>
    <row r="3771" spans="3:11" outlineLevel="2" x14ac:dyDescent="0.3">
      <c r="C3771" s="9">
        <v>45291</v>
      </c>
      <c r="D3771" t="s">
        <v>45</v>
      </c>
      <c r="E3771" t="s">
        <v>15</v>
      </c>
      <c r="F3771" t="s">
        <v>24</v>
      </c>
      <c r="G3771" t="s">
        <v>36</v>
      </c>
      <c r="H3771">
        <v>2460</v>
      </c>
      <c r="I3771">
        <v>19</v>
      </c>
      <c r="J3771" s="6">
        <f>H3771*I3771/1000</f>
        <v>46.74</v>
      </c>
      <c r="K3771" t="s">
        <v>398</v>
      </c>
    </row>
    <row r="3772" spans="3:11" outlineLevel="2" x14ac:dyDescent="0.3">
      <c r="C3772" s="9">
        <v>45291</v>
      </c>
      <c r="D3772" t="s">
        <v>45</v>
      </c>
      <c r="E3772" t="s">
        <v>33</v>
      </c>
      <c r="F3772" t="s">
        <v>24</v>
      </c>
      <c r="G3772" t="s">
        <v>36</v>
      </c>
      <c r="H3772">
        <v>2460</v>
      </c>
      <c r="I3772">
        <v>8</v>
      </c>
      <c r="J3772" s="6">
        <f>H3772*I3772/1000</f>
        <v>19.68</v>
      </c>
      <c r="K3772" t="s">
        <v>398</v>
      </c>
    </row>
    <row r="3773" spans="3:11" outlineLevel="2" x14ac:dyDescent="0.3">
      <c r="C3773" s="9">
        <v>45291</v>
      </c>
      <c r="D3773" t="s">
        <v>17</v>
      </c>
      <c r="E3773" t="s">
        <v>35</v>
      </c>
      <c r="F3773" t="s">
        <v>10</v>
      </c>
      <c r="G3773" t="s">
        <v>23</v>
      </c>
      <c r="H3773">
        <v>640</v>
      </c>
      <c r="I3773">
        <v>30</v>
      </c>
      <c r="J3773" s="6">
        <f>H3773*I3773/1000</f>
        <v>19.2</v>
      </c>
      <c r="K3773" t="s">
        <v>398</v>
      </c>
    </row>
    <row r="3774" spans="3:11" outlineLevel="1" x14ac:dyDescent="0.3">
      <c r="C3774" s="13" t="s">
        <v>379</v>
      </c>
      <c r="J3774" s="6">
        <f>SUBTOTAL(9,J3769:J3773)</f>
        <v>157.69</v>
      </c>
      <c r="K3774" t="s">
        <v>398</v>
      </c>
    </row>
    <row r="3775" spans="3:11" outlineLevel="2" x14ac:dyDescent="0.3">
      <c r="C3775" s="9">
        <v>45955</v>
      </c>
      <c r="D3775" t="s">
        <v>46</v>
      </c>
      <c r="E3775" t="s">
        <v>9</v>
      </c>
      <c r="F3775" t="s">
        <v>10</v>
      </c>
      <c r="G3775" t="s">
        <v>11</v>
      </c>
      <c r="H3775">
        <v>7050</v>
      </c>
      <c r="I3775">
        <v>588</v>
      </c>
      <c r="J3775" s="6">
        <f>H3775*I3775/1000</f>
        <v>4145.3999999999996</v>
      </c>
      <c r="K3775" t="s">
        <v>396</v>
      </c>
    </row>
    <row r="3776" spans="3:11" outlineLevel="1" x14ac:dyDescent="0.3">
      <c r="C3776" s="13" t="s">
        <v>380</v>
      </c>
      <c r="J3776" s="15">
        <f>SUBTOTAL(9,J3775:J3775)</f>
        <v>4145.3999999999996</v>
      </c>
    </row>
    <row r="3777" spans="3:10" x14ac:dyDescent="0.3">
      <c r="C3777" s="13" t="s">
        <v>381</v>
      </c>
      <c r="J3777" s="15">
        <f>SUBTOTAL(9,J2:J3775)</f>
        <v>241608.38499999995</v>
      </c>
    </row>
  </sheetData>
  <autoFilter ref="C1:J3776" xr:uid="{7A900AF7-B676-438A-806F-0D102FCE3B96}"/>
  <sortState xmlns:xlrd2="http://schemas.microsoft.com/office/spreadsheetml/2017/richdata2" ref="C2:J3775">
    <sortCondition ref="C2:C3775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74C6-C23C-41C6-8419-90376F79DB6E}">
  <dimension ref="A11:H3787"/>
  <sheetViews>
    <sheetView workbookViewId="0">
      <selection activeCell="L719" sqref="L719"/>
    </sheetView>
  </sheetViews>
  <sheetFormatPr defaultRowHeight="14.4" x14ac:dyDescent="0.3"/>
  <cols>
    <col min="1" max="1" width="17.44140625" customWidth="1"/>
    <col min="2" max="2" width="10.88671875" customWidth="1"/>
    <col min="3" max="3" width="13.5546875" customWidth="1"/>
    <col min="4" max="4" width="18.21875" customWidth="1"/>
    <col min="6" max="6" width="18.33203125" customWidth="1"/>
    <col min="7" max="7" width="13" customWidth="1"/>
    <col min="8" max="8" width="14.88671875" customWidth="1"/>
  </cols>
  <sheetData>
    <row r="11" spans="1:8" x14ac:dyDescent="0.3">
      <c r="A11" s="16" t="s">
        <v>0</v>
      </c>
      <c r="B11" s="17" t="s">
        <v>1</v>
      </c>
      <c r="C11" s="17" t="s">
        <v>2</v>
      </c>
      <c r="D11" s="17" t="s">
        <v>3</v>
      </c>
      <c r="E11" s="17" t="s">
        <v>4</v>
      </c>
      <c r="F11" s="17" t="s">
        <v>5</v>
      </c>
      <c r="G11" s="17" t="s">
        <v>6</v>
      </c>
      <c r="H11" s="18" t="s">
        <v>7</v>
      </c>
    </row>
    <row r="12" spans="1:8" hidden="1" x14ac:dyDescent="0.3">
      <c r="A12" s="4">
        <v>44927</v>
      </c>
      <c r="B12" s="5" t="s">
        <v>12</v>
      </c>
      <c r="C12" s="5" t="s">
        <v>9</v>
      </c>
      <c r="D12" s="5" t="s">
        <v>13</v>
      </c>
      <c r="E12" s="5" t="s">
        <v>14</v>
      </c>
      <c r="F12" s="5">
        <v>1320</v>
      </c>
      <c r="G12" s="5">
        <v>189</v>
      </c>
      <c r="H12" s="6">
        <f>F12*G12/1000</f>
        <v>249.48</v>
      </c>
    </row>
    <row r="13" spans="1:8" hidden="1" x14ac:dyDescent="0.3">
      <c r="A13" s="4">
        <v>44927</v>
      </c>
      <c r="B13" s="5" t="s">
        <v>45</v>
      </c>
      <c r="C13" s="5" t="s">
        <v>15</v>
      </c>
      <c r="D13" s="5" t="s">
        <v>10</v>
      </c>
      <c r="E13" s="5" t="s">
        <v>16</v>
      </c>
      <c r="F13" s="5">
        <v>1380</v>
      </c>
      <c r="G13" s="5">
        <v>27</v>
      </c>
      <c r="H13" s="6">
        <f>F13*G13/1000</f>
        <v>37.26</v>
      </c>
    </row>
    <row r="14" spans="1:8" hidden="1" x14ac:dyDescent="0.3">
      <c r="A14" s="4">
        <v>44927</v>
      </c>
      <c r="B14" s="5" t="s">
        <v>17</v>
      </c>
      <c r="C14" s="5" t="s">
        <v>15</v>
      </c>
      <c r="D14" s="5" t="s">
        <v>18</v>
      </c>
      <c r="E14" s="5" t="s">
        <v>19</v>
      </c>
      <c r="F14" s="5">
        <v>3250</v>
      </c>
      <c r="G14" s="5">
        <v>20</v>
      </c>
      <c r="H14" s="6">
        <f>F14*G14/1000</f>
        <v>65</v>
      </c>
    </row>
    <row r="15" spans="1:8" hidden="1" x14ac:dyDescent="0.3">
      <c r="A15" s="12" t="s">
        <v>382</v>
      </c>
      <c r="B15" s="5"/>
      <c r="C15" s="5"/>
      <c r="D15" s="5"/>
      <c r="E15" s="5"/>
      <c r="F15" s="5"/>
      <c r="G15" s="5"/>
      <c r="H15" s="6">
        <f>SUBTOTAL(9,H12:H14)</f>
        <v>0</v>
      </c>
    </row>
    <row r="16" spans="1:8" hidden="1" x14ac:dyDescent="0.3">
      <c r="A16" s="7">
        <v>44958</v>
      </c>
      <c r="B16" s="8" t="s">
        <v>12</v>
      </c>
      <c r="C16" s="8" t="s">
        <v>20</v>
      </c>
      <c r="D16" s="8" t="s">
        <v>18</v>
      </c>
      <c r="E16" s="8" t="s">
        <v>21</v>
      </c>
      <c r="F16" s="8">
        <v>450</v>
      </c>
      <c r="G16" s="8">
        <v>44</v>
      </c>
      <c r="H16" s="6">
        <f t="shared" ref="H16:H30" si="0">F16*G16/1000</f>
        <v>19.8</v>
      </c>
    </row>
    <row r="17" spans="1:8" hidden="1" x14ac:dyDescent="0.3">
      <c r="A17" s="4">
        <v>44958</v>
      </c>
      <c r="B17" s="5" t="s">
        <v>8</v>
      </c>
      <c r="C17" s="5" t="s">
        <v>20</v>
      </c>
      <c r="D17" s="5" t="s">
        <v>13</v>
      </c>
      <c r="E17" s="5" t="s">
        <v>22</v>
      </c>
      <c r="F17" s="5">
        <v>930</v>
      </c>
      <c r="G17" s="5">
        <v>86</v>
      </c>
      <c r="H17" s="6">
        <f t="shared" si="0"/>
        <v>79.98</v>
      </c>
    </row>
    <row r="18" spans="1:8" hidden="1" x14ac:dyDescent="0.3">
      <c r="A18" s="4">
        <v>44958</v>
      </c>
      <c r="B18" s="5" t="s">
        <v>8</v>
      </c>
      <c r="C18" s="5" t="s">
        <v>9</v>
      </c>
      <c r="D18" s="5" t="s">
        <v>10</v>
      </c>
      <c r="E18" s="5" t="s">
        <v>23</v>
      </c>
      <c r="F18" s="5">
        <v>640</v>
      </c>
      <c r="G18" s="5">
        <v>72</v>
      </c>
      <c r="H18" s="6">
        <f t="shared" si="0"/>
        <v>46.08</v>
      </c>
    </row>
    <row r="19" spans="1:8" hidden="1" x14ac:dyDescent="0.3">
      <c r="A19" s="4">
        <v>44958</v>
      </c>
      <c r="B19" s="5" t="s">
        <v>45</v>
      </c>
      <c r="C19" s="5" t="s">
        <v>9</v>
      </c>
      <c r="D19" s="5" t="s">
        <v>24</v>
      </c>
      <c r="E19" s="5" t="s">
        <v>25</v>
      </c>
      <c r="F19" s="5">
        <v>1760</v>
      </c>
      <c r="G19" s="5">
        <v>84</v>
      </c>
      <c r="H19" s="6">
        <f t="shared" si="0"/>
        <v>147.84</v>
      </c>
    </row>
    <row r="20" spans="1:8" hidden="1" x14ac:dyDescent="0.3">
      <c r="A20" s="4">
        <v>44958</v>
      </c>
      <c r="B20" s="5" t="s">
        <v>8</v>
      </c>
      <c r="C20" s="5" t="s">
        <v>26</v>
      </c>
      <c r="D20" s="5" t="s">
        <v>18</v>
      </c>
      <c r="E20" s="5" t="s">
        <v>27</v>
      </c>
      <c r="F20" s="5">
        <v>460</v>
      </c>
      <c r="G20" s="5">
        <v>83</v>
      </c>
      <c r="H20" s="6">
        <f t="shared" si="0"/>
        <v>38.18</v>
      </c>
    </row>
    <row r="21" spans="1:8" hidden="1" x14ac:dyDescent="0.3">
      <c r="A21" s="4">
        <v>44958</v>
      </c>
      <c r="B21" s="5" t="s">
        <v>8</v>
      </c>
      <c r="C21" s="5" t="s">
        <v>26</v>
      </c>
      <c r="D21" s="5" t="s">
        <v>18</v>
      </c>
      <c r="E21" s="5" t="s">
        <v>28</v>
      </c>
      <c r="F21" s="5">
        <v>690</v>
      </c>
      <c r="G21" s="5">
        <v>15</v>
      </c>
      <c r="H21" s="6">
        <f t="shared" si="0"/>
        <v>10.35</v>
      </c>
    </row>
    <row r="22" spans="1:8" hidden="1" x14ac:dyDescent="0.3">
      <c r="A22" s="4">
        <v>44958</v>
      </c>
      <c r="B22" s="5" t="s">
        <v>8</v>
      </c>
      <c r="C22" s="5" t="s">
        <v>26</v>
      </c>
      <c r="D22" s="5" t="s">
        <v>13</v>
      </c>
      <c r="E22" s="5" t="s">
        <v>29</v>
      </c>
      <c r="F22" s="5">
        <v>1230</v>
      </c>
      <c r="G22" s="5">
        <v>39</v>
      </c>
      <c r="H22" s="6">
        <f t="shared" si="0"/>
        <v>47.97</v>
      </c>
    </row>
    <row r="23" spans="1:8" hidden="1" x14ac:dyDescent="0.3">
      <c r="A23" s="4">
        <v>44958</v>
      </c>
      <c r="B23" s="5" t="s">
        <v>8</v>
      </c>
      <c r="C23" s="5" t="s">
        <v>26</v>
      </c>
      <c r="D23" s="5" t="s">
        <v>13</v>
      </c>
      <c r="E23" s="5" t="s">
        <v>14</v>
      </c>
      <c r="F23" s="5">
        <v>1320</v>
      </c>
      <c r="G23" s="5">
        <v>32</v>
      </c>
      <c r="H23" s="6">
        <f t="shared" si="0"/>
        <v>42.24</v>
      </c>
    </row>
    <row r="24" spans="1:8" hidden="1" x14ac:dyDescent="0.3">
      <c r="A24" s="4">
        <v>44958</v>
      </c>
      <c r="B24" s="5" t="s">
        <v>17</v>
      </c>
      <c r="C24" s="5" t="s">
        <v>26</v>
      </c>
      <c r="D24" s="5" t="s">
        <v>24</v>
      </c>
      <c r="E24" s="5" t="s">
        <v>30</v>
      </c>
      <c r="F24" s="5">
        <v>2970</v>
      </c>
      <c r="G24" s="5">
        <v>20</v>
      </c>
      <c r="H24" s="6">
        <f t="shared" si="0"/>
        <v>59.4</v>
      </c>
    </row>
    <row r="25" spans="1:8" hidden="1" x14ac:dyDescent="0.3">
      <c r="A25" s="4">
        <v>44958</v>
      </c>
      <c r="B25" s="5" t="s">
        <v>17</v>
      </c>
      <c r="C25" s="5" t="s">
        <v>15</v>
      </c>
      <c r="D25" s="5" t="s">
        <v>18</v>
      </c>
      <c r="E25" s="5" t="s">
        <v>31</v>
      </c>
      <c r="F25" s="5">
        <v>715</v>
      </c>
      <c r="G25" s="5">
        <v>14</v>
      </c>
      <c r="H25" s="6">
        <f t="shared" si="0"/>
        <v>10.01</v>
      </c>
    </row>
    <row r="26" spans="1:8" hidden="1" x14ac:dyDescent="0.3">
      <c r="A26" s="4">
        <v>44958</v>
      </c>
      <c r="B26" s="5" t="s">
        <v>12</v>
      </c>
      <c r="C26" s="5" t="s">
        <v>15</v>
      </c>
      <c r="D26" s="5" t="s">
        <v>24</v>
      </c>
      <c r="E26" s="5" t="s">
        <v>32</v>
      </c>
      <c r="F26" s="5">
        <v>1505</v>
      </c>
      <c r="G26" s="5">
        <v>6</v>
      </c>
      <c r="H26" s="6">
        <f t="shared" si="0"/>
        <v>9.0299999999999994</v>
      </c>
    </row>
    <row r="27" spans="1:8" hidden="1" x14ac:dyDescent="0.3">
      <c r="A27" s="4">
        <v>44958</v>
      </c>
      <c r="B27" s="5" t="s">
        <v>12</v>
      </c>
      <c r="C27" s="5" t="s">
        <v>33</v>
      </c>
      <c r="D27" s="5" t="s">
        <v>10</v>
      </c>
      <c r="E27" s="5" t="s">
        <v>23</v>
      </c>
      <c r="F27" s="5">
        <v>640</v>
      </c>
      <c r="G27" s="5">
        <v>65</v>
      </c>
      <c r="H27" s="6">
        <f t="shared" si="0"/>
        <v>41.6</v>
      </c>
    </row>
    <row r="28" spans="1:8" hidden="1" x14ac:dyDescent="0.3">
      <c r="A28" s="4">
        <v>44958</v>
      </c>
      <c r="B28" s="5" t="s">
        <v>45</v>
      </c>
      <c r="C28" s="5" t="s">
        <v>33</v>
      </c>
      <c r="D28" s="5" t="s">
        <v>24</v>
      </c>
      <c r="E28" s="5" t="s">
        <v>34</v>
      </c>
      <c r="F28" s="5">
        <v>1670</v>
      </c>
      <c r="G28" s="5">
        <v>49</v>
      </c>
      <c r="H28" s="6">
        <f t="shared" si="0"/>
        <v>81.83</v>
      </c>
    </row>
    <row r="29" spans="1:8" hidden="1" x14ac:dyDescent="0.3">
      <c r="A29" s="4">
        <v>44958</v>
      </c>
      <c r="B29" s="5" t="s">
        <v>45</v>
      </c>
      <c r="C29" s="5" t="s">
        <v>35</v>
      </c>
      <c r="D29" s="5" t="s">
        <v>18</v>
      </c>
      <c r="E29" s="5" t="s">
        <v>28</v>
      </c>
      <c r="F29" s="5">
        <v>690</v>
      </c>
      <c r="G29" s="5">
        <v>45</v>
      </c>
      <c r="H29" s="6">
        <f t="shared" si="0"/>
        <v>31.05</v>
      </c>
    </row>
    <row r="30" spans="1:8" hidden="1" x14ac:dyDescent="0.3">
      <c r="A30" s="4">
        <v>44958</v>
      </c>
      <c r="B30" s="5" t="s">
        <v>17</v>
      </c>
      <c r="C30" s="5" t="s">
        <v>35</v>
      </c>
      <c r="D30" s="5" t="s">
        <v>24</v>
      </c>
      <c r="E30" s="5" t="s">
        <v>36</v>
      </c>
      <c r="F30" s="5">
        <v>2460</v>
      </c>
      <c r="G30" s="5">
        <v>58</v>
      </c>
      <c r="H30" s="6">
        <f t="shared" si="0"/>
        <v>142.68</v>
      </c>
    </row>
    <row r="31" spans="1:8" hidden="1" x14ac:dyDescent="0.3">
      <c r="A31" s="12" t="s">
        <v>383</v>
      </c>
      <c r="B31" s="5"/>
      <c r="C31" s="5"/>
      <c r="D31" s="5"/>
      <c r="E31" s="5"/>
      <c r="F31" s="5"/>
      <c r="G31" s="5"/>
      <c r="H31" s="6">
        <f>SUBTOTAL(9,H16:H30)</f>
        <v>0</v>
      </c>
    </row>
    <row r="32" spans="1:8" hidden="1" x14ac:dyDescent="0.3">
      <c r="A32" s="7">
        <v>44959</v>
      </c>
      <c r="B32" s="8" t="s">
        <v>8</v>
      </c>
      <c r="C32" s="8" t="s">
        <v>20</v>
      </c>
      <c r="D32" s="8" t="s">
        <v>18</v>
      </c>
      <c r="E32" s="8" t="s">
        <v>21</v>
      </c>
      <c r="F32" s="8">
        <v>450</v>
      </c>
      <c r="G32" s="8">
        <v>96</v>
      </c>
      <c r="H32" s="6">
        <f t="shared" ref="H32:H42" si="1">F32*G32/1000</f>
        <v>43.2</v>
      </c>
    </row>
    <row r="33" spans="1:8" hidden="1" x14ac:dyDescent="0.3">
      <c r="A33" s="4">
        <v>44959</v>
      </c>
      <c r="B33" s="5" t="s">
        <v>12</v>
      </c>
      <c r="C33" s="5" t="s">
        <v>20</v>
      </c>
      <c r="D33" s="5" t="s">
        <v>18</v>
      </c>
      <c r="E33" s="5" t="s">
        <v>31</v>
      </c>
      <c r="F33" s="5">
        <v>715</v>
      </c>
      <c r="G33" s="5">
        <v>94</v>
      </c>
      <c r="H33" s="6">
        <f t="shared" si="1"/>
        <v>67.209999999999994</v>
      </c>
    </row>
    <row r="34" spans="1:8" hidden="1" x14ac:dyDescent="0.3">
      <c r="A34" s="7">
        <v>44959</v>
      </c>
      <c r="B34" s="8" t="s">
        <v>17</v>
      </c>
      <c r="C34" s="8" t="s">
        <v>20</v>
      </c>
      <c r="D34" s="8" t="s">
        <v>18</v>
      </c>
      <c r="E34" s="8" t="s">
        <v>28</v>
      </c>
      <c r="F34" s="8">
        <v>690</v>
      </c>
      <c r="G34" s="8">
        <v>35</v>
      </c>
      <c r="H34" s="6">
        <f t="shared" si="1"/>
        <v>24.15</v>
      </c>
    </row>
    <row r="35" spans="1:8" hidden="1" x14ac:dyDescent="0.3">
      <c r="A35" s="4">
        <v>44959</v>
      </c>
      <c r="B35" s="5" t="s">
        <v>8</v>
      </c>
      <c r="C35" s="5" t="s">
        <v>20</v>
      </c>
      <c r="D35" s="5" t="s">
        <v>18</v>
      </c>
      <c r="E35" s="5" t="s">
        <v>31</v>
      </c>
      <c r="F35" s="5">
        <v>715</v>
      </c>
      <c r="G35" s="5">
        <v>67</v>
      </c>
      <c r="H35" s="6">
        <f t="shared" si="1"/>
        <v>47.905000000000001</v>
      </c>
    </row>
    <row r="36" spans="1:8" hidden="1" x14ac:dyDescent="0.3">
      <c r="A36" s="4">
        <v>44959</v>
      </c>
      <c r="B36" s="5" t="s">
        <v>45</v>
      </c>
      <c r="C36" s="5" t="s">
        <v>9</v>
      </c>
      <c r="D36" s="5" t="s">
        <v>18</v>
      </c>
      <c r="E36" s="5" t="s">
        <v>28</v>
      </c>
      <c r="F36" s="5">
        <v>690</v>
      </c>
      <c r="G36" s="5">
        <v>9</v>
      </c>
      <c r="H36" s="6">
        <f t="shared" si="1"/>
        <v>6.21</v>
      </c>
    </row>
    <row r="37" spans="1:8" hidden="1" x14ac:dyDescent="0.3">
      <c r="A37" s="4">
        <v>44959</v>
      </c>
      <c r="B37" s="5" t="s">
        <v>17</v>
      </c>
      <c r="C37" s="5" t="s">
        <v>26</v>
      </c>
      <c r="D37" s="5" t="s">
        <v>18</v>
      </c>
      <c r="E37" s="5" t="s">
        <v>19</v>
      </c>
      <c r="F37" s="5">
        <v>325</v>
      </c>
      <c r="G37" s="5">
        <v>21</v>
      </c>
      <c r="H37" s="6">
        <f t="shared" si="1"/>
        <v>6.8250000000000002</v>
      </c>
    </row>
    <row r="38" spans="1:8" hidden="1" x14ac:dyDescent="0.3">
      <c r="A38" s="4">
        <v>44959</v>
      </c>
      <c r="B38" s="5" t="s">
        <v>45</v>
      </c>
      <c r="C38" s="5" t="s">
        <v>26</v>
      </c>
      <c r="D38" s="5" t="s">
        <v>13</v>
      </c>
      <c r="E38" s="5" t="s">
        <v>14</v>
      </c>
      <c r="F38" s="5">
        <v>1320</v>
      </c>
      <c r="G38" s="5">
        <v>54</v>
      </c>
      <c r="H38" s="6">
        <f t="shared" si="1"/>
        <v>71.28</v>
      </c>
    </row>
    <row r="39" spans="1:8" hidden="1" x14ac:dyDescent="0.3">
      <c r="A39" s="4">
        <v>44959</v>
      </c>
      <c r="B39" s="5" t="s">
        <v>8</v>
      </c>
      <c r="C39" s="5" t="s">
        <v>26</v>
      </c>
      <c r="D39" s="5" t="s">
        <v>24</v>
      </c>
      <c r="E39" s="5" t="s">
        <v>32</v>
      </c>
      <c r="F39" s="5">
        <v>1505</v>
      </c>
      <c r="G39" s="5">
        <v>21</v>
      </c>
      <c r="H39" s="6">
        <f t="shared" si="1"/>
        <v>31.605</v>
      </c>
    </row>
    <row r="40" spans="1:8" hidden="1" x14ac:dyDescent="0.3">
      <c r="A40" s="4">
        <v>44959</v>
      </c>
      <c r="B40" s="5" t="s">
        <v>45</v>
      </c>
      <c r="C40" s="5" t="s">
        <v>33</v>
      </c>
      <c r="D40" s="5" t="s">
        <v>18</v>
      </c>
      <c r="E40" s="5" t="s">
        <v>31</v>
      </c>
      <c r="F40" s="5">
        <v>715</v>
      </c>
      <c r="G40" s="5">
        <v>15</v>
      </c>
      <c r="H40" s="6">
        <f t="shared" si="1"/>
        <v>10.725</v>
      </c>
    </row>
    <row r="41" spans="1:8" hidden="1" x14ac:dyDescent="0.3">
      <c r="A41" s="4">
        <v>44959</v>
      </c>
      <c r="B41" s="5" t="s">
        <v>17</v>
      </c>
      <c r="C41" s="5" t="s">
        <v>35</v>
      </c>
      <c r="D41" s="5" t="s">
        <v>18</v>
      </c>
      <c r="E41" s="5" t="s">
        <v>37</v>
      </c>
      <c r="F41" s="5">
        <v>890</v>
      </c>
      <c r="G41" s="5">
        <v>26</v>
      </c>
      <c r="H41" s="6">
        <f t="shared" si="1"/>
        <v>23.14</v>
      </c>
    </row>
    <row r="42" spans="1:8" hidden="1" x14ac:dyDescent="0.3">
      <c r="A42" s="4">
        <v>44959</v>
      </c>
      <c r="B42" s="5" t="s">
        <v>12</v>
      </c>
      <c r="C42" s="5" t="s">
        <v>35</v>
      </c>
      <c r="D42" s="5" t="s">
        <v>13</v>
      </c>
      <c r="E42" s="5" t="s">
        <v>38</v>
      </c>
      <c r="F42" s="5">
        <v>2400</v>
      </c>
      <c r="G42" s="5">
        <v>33</v>
      </c>
      <c r="H42" s="6">
        <f t="shared" si="1"/>
        <v>79.2</v>
      </c>
    </row>
    <row r="43" spans="1:8" hidden="1" x14ac:dyDescent="0.3">
      <c r="A43" s="12" t="s">
        <v>47</v>
      </c>
      <c r="B43" s="5"/>
      <c r="C43" s="5"/>
      <c r="D43" s="5"/>
      <c r="E43" s="5"/>
      <c r="F43" s="5"/>
      <c r="G43" s="5"/>
      <c r="H43" s="6">
        <f>SUBTOTAL(9,H32:H42)</f>
        <v>0</v>
      </c>
    </row>
    <row r="44" spans="1:8" hidden="1" x14ac:dyDescent="0.3">
      <c r="A44" s="7">
        <v>44960</v>
      </c>
      <c r="B44" s="8" t="s">
        <v>8</v>
      </c>
      <c r="C44" s="8" t="s">
        <v>20</v>
      </c>
      <c r="D44" s="8" t="s">
        <v>24</v>
      </c>
      <c r="E44" s="8" t="s">
        <v>25</v>
      </c>
      <c r="F44" s="8">
        <v>1760</v>
      </c>
      <c r="G44" s="8">
        <v>59</v>
      </c>
      <c r="H44" s="6">
        <f t="shared" ref="H44:H54" si="2">F44*G44/1000</f>
        <v>103.84</v>
      </c>
    </row>
    <row r="45" spans="1:8" hidden="1" x14ac:dyDescent="0.3">
      <c r="A45" s="4">
        <v>44960</v>
      </c>
      <c r="B45" s="5" t="s">
        <v>45</v>
      </c>
      <c r="C45" s="5" t="s">
        <v>9</v>
      </c>
      <c r="D45" s="5" t="s">
        <v>18</v>
      </c>
      <c r="E45" s="5" t="s">
        <v>31</v>
      </c>
      <c r="F45" s="5">
        <v>715</v>
      </c>
      <c r="G45" s="5">
        <v>39</v>
      </c>
      <c r="H45" s="6">
        <f t="shared" si="2"/>
        <v>27.885000000000002</v>
      </c>
    </row>
    <row r="46" spans="1:8" hidden="1" x14ac:dyDescent="0.3">
      <c r="A46" s="4">
        <v>44960</v>
      </c>
      <c r="B46" s="5" t="s">
        <v>17</v>
      </c>
      <c r="C46" s="5" t="s">
        <v>9</v>
      </c>
      <c r="D46" s="5" t="s">
        <v>24</v>
      </c>
      <c r="E46" s="5" t="s">
        <v>36</v>
      </c>
      <c r="F46" s="5">
        <v>2460</v>
      </c>
      <c r="G46" s="5">
        <v>67</v>
      </c>
      <c r="H46" s="6">
        <f t="shared" si="2"/>
        <v>164.82</v>
      </c>
    </row>
    <row r="47" spans="1:8" hidden="1" x14ac:dyDescent="0.3">
      <c r="A47" s="4">
        <v>44960</v>
      </c>
      <c r="B47" s="5" t="s">
        <v>17</v>
      </c>
      <c r="C47" s="5" t="s">
        <v>26</v>
      </c>
      <c r="D47" s="5" t="s">
        <v>18</v>
      </c>
      <c r="E47" s="5" t="s">
        <v>28</v>
      </c>
      <c r="F47" s="5">
        <v>690</v>
      </c>
      <c r="G47" s="5">
        <v>79</v>
      </c>
      <c r="H47" s="6">
        <f t="shared" si="2"/>
        <v>54.51</v>
      </c>
    </row>
    <row r="48" spans="1:8" hidden="1" x14ac:dyDescent="0.3">
      <c r="A48" s="4">
        <v>44960</v>
      </c>
      <c r="B48" s="5" t="s">
        <v>8</v>
      </c>
      <c r="C48" s="5" t="s">
        <v>26</v>
      </c>
      <c r="D48" s="5" t="s">
        <v>13</v>
      </c>
      <c r="E48" s="5" t="s">
        <v>22</v>
      </c>
      <c r="F48" s="5">
        <v>930</v>
      </c>
      <c r="G48" s="5">
        <v>44</v>
      </c>
      <c r="H48" s="6">
        <f t="shared" si="2"/>
        <v>40.92</v>
      </c>
    </row>
    <row r="49" spans="1:8" hidden="1" x14ac:dyDescent="0.3">
      <c r="A49" s="4">
        <v>44960</v>
      </c>
      <c r="B49" s="5" t="s">
        <v>12</v>
      </c>
      <c r="C49" s="5" t="s">
        <v>15</v>
      </c>
      <c r="D49" s="5" t="s">
        <v>18</v>
      </c>
      <c r="E49" s="5" t="s">
        <v>31</v>
      </c>
      <c r="F49" s="5">
        <v>715</v>
      </c>
      <c r="G49" s="5">
        <v>75</v>
      </c>
      <c r="H49" s="6">
        <f t="shared" si="2"/>
        <v>53.625</v>
      </c>
    </row>
    <row r="50" spans="1:8" hidden="1" x14ac:dyDescent="0.3">
      <c r="A50" s="4">
        <v>44960</v>
      </c>
      <c r="B50" s="5" t="s">
        <v>17</v>
      </c>
      <c r="C50" s="5" t="s">
        <v>15</v>
      </c>
      <c r="D50" s="5" t="s">
        <v>18</v>
      </c>
      <c r="E50" s="5" t="s">
        <v>19</v>
      </c>
      <c r="F50" s="5">
        <v>325</v>
      </c>
      <c r="G50" s="5">
        <v>17</v>
      </c>
      <c r="H50" s="6">
        <f t="shared" si="2"/>
        <v>5.5250000000000004</v>
      </c>
    </row>
    <row r="51" spans="1:8" hidden="1" x14ac:dyDescent="0.3">
      <c r="A51" s="4">
        <v>44960</v>
      </c>
      <c r="B51" s="5" t="s">
        <v>17</v>
      </c>
      <c r="C51" s="5" t="s">
        <v>33</v>
      </c>
      <c r="D51" s="5" t="s">
        <v>10</v>
      </c>
      <c r="E51" s="5" t="s">
        <v>39</v>
      </c>
      <c r="F51" s="5">
        <v>650</v>
      </c>
      <c r="G51" s="5">
        <v>85</v>
      </c>
      <c r="H51" s="6">
        <f t="shared" si="2"/>
        <v>55.25</v>
      </c>
    </row>
    <row r="52" spans="1:8" hidden="1" x14ac:dyDescent="0.3">
      <c r="A52" s="4">
        <v>44960</v>
      </c>
      <c r="B52" s="5" t="s">
        <v>17</v>
      </c>
      <c r="C52" s="5" t="s">
        <v>33</v>
      </c>
      <c r="D52" s="5" t="s">
        <v>13</v>
      </c>
      <c r="E52" s="5" t="s">
        <v>22</v>
      </c>
      <c r="F52" s="5">
        <v>930</v>
      </c>
      <c r="G52" s="5">
        <v>97</v>
      </c>
      <c r="H52" s="6">
        <f t="shared" si="2"/>
        <v>90.21</v>
      </c>
    </row>
    <row r="53" spans="1:8" hidden="1" x14ac:dyDescent="0.3">
      <c r="A53" s="4">
        <v>44960</v>
      </c>
      <c r="B53" s="5" t="s">
        <v>45</v>
      </c>
      <c r="C53" s="5" t="s">
        <v>33</v>
      </c>
      <c r="D53" s="5" t="s">
        <v>24</v>
      </c>
      <c r="E53" s="5" t="s">
        <v>30</v>
      </c>
      <c r="F53" s="5">
        <v>2970</v>
      </c>
      <c r="G53" s="5">
        <v>80</v>
      </c>
      <c r="H53" s="6">
        <f t="shared" si="2"/>
        <v>237.6</v>
      </c>
    </row>
    <row r="54" spans="1:8" hidden="1" x14ac:dyDescent="0.3">
      <c r="A54" s="4">
        <v>44960</v>
      </c>
      <c r="B54" s="5" t="s">
        <v>8</v>
      </c>
      <c r="C54" s="5" t="s">
        <v>35</v>
      </c>
      <c r="D54" s="5" t="s">
        <v>18</v>
      </c>
      <c r="E54" s="5" t="s">
        <v>31</v>
      </c>
      <c r="F54" s="5">
        <v>715</v>
      </c>
      <c r="G54" s="5">
        <v>62</v>
      </c>
      <c r="H54" s="6">
        <f t="shared" si="2"/>
        <v>44.33</v>
      </c>
    </row>
    <row r="55" spans="1:8" hidden="1" x14ac:dyDescent="0.3">
      <c r="A55" s="12" t="s">
        <v>48</v>
      </c>
      <c r="B55" s="5"/>
      <c r="C55" s="5"/>
      <c r="D55" s="5"/>
      <c r="E55" s="5"/>
      <c r="F55" s="5"/>
      <c r="G55" s="5"/>
      <c r="H55" s="6">
        <f>SUBTOTAL(9,H44:H54)</f>
        <v>0</v>
      </c>
    </row>
    <row r="56" spans="1:8" hidden="1" x14ac:dyDescent="0.3">
      <c r="A56" s="4">
        <v>44961</v>
      </c>
      <c r="B56" s="5" t="s">
        <v>17</v>
      </c>
      <c r="C56" s="5" t="s">
        <v>20</v>
      </c>
      <c r="D56" s="5" t="s">
        <v>10</v>
      </c>
      <c r="E56" s="5" t="s">
        <v>40</v>
      </c>
      <c r="F56" s="5">
        <v>540</v>
      </c>
      <c r="G56" s="5">
        <v>73</v>
      </c>
      <c r="H56" s="6">
        <f>F56*G56/1000</f>
        <v>39.42</v>
      </c>
    </row>
    <row r="57" spans="1:8" hidden="1" x14ac:dyDescent="0.3">
      <c r="A57" s="7">
        <v>44961</v>
      </c>
      <c r="B57" s="8" t="s">
        <v>17</v>
      </c>
      <c r="C57" s="8" t="s">
        <v>20</v>
      </c>
      <c r="D57" s="8" t="s">
        <v>18</v>
      </c>
      <c r="E57" s="8" t="s">
        <v>19</v>
      </c>
      <c r="F57" s="8">
        <v>325</v>
      </c>
      <c r="G57" s="8">
        <v>50</v>
      </c>
      <c r="H57" s="6">
        <f>F57*G57/1000</f>
        <v>16.25</v>
      </c>
    </row>
    <row r="58" spans="1:8" hidden="1" x14ac:dyDescent="0.3">
      <c r="A58" s="4">
        <v>44961</v>
      </c>
      <c r="B58" s="5" t="s">
        <v>45</v>
      </c>
      <c r="C58" s="5" t="s">
        <v>26</v>
      </c>
      <c r="D58" s="5" t="s">
        <v>10</v>
      </c>
      <c r="E58" s="5" t="s">
        <v>41</v>
      </c>
      <c r="F58" s="5">
        <v>650</v>
      </c>
      <c r="G58" s="5">
        <v>29</v>
      </c>
      <c r="H58" s="6">
        <f>F58*G58/1000</f>
        <v>18.850000000000001</v>
      </c>
    </row>
    <row r="59" spans="1:8" hidden="1" x14ac:dyDescent="0.3">
      <c r="A59" s="4">
        <v>44961</v>
      </c>
      <c r="B59" s="5" t="s">
        <v>17</v>
      </c>
      <c r="C59" s="5" t="s">
        <v>26</v>
      </c>
      <c r="D59" s="5" t="s">
        <v>18</v>
      </c>
      <c r="E59" s="5" t="s">
        <v>31</v>
      </c>
      <c r="F59" s="5">
        <v>715</v>
      </c>
      <c r="G59" s="5">
        <v>39</v>
      </c>
      <c r="H59" s="6">
        <f>F59*G59/1000</f>
        <v>27.885000000000002</v>
      </c>
    </row>
    <row r="60" spans="1:8" hidden="1" x14ac:dyDescent="0.3">
      <c r="A60" s="12" t="s">
        <v>49</v>
      </c>
      <c r="B60" s="5"/>
      <c r="C60" s="5"/>
      <c r="D60" s="5"/>
      <c r="E60" s="5"/>
      <c r="F60" s="5"/>
      <c r="G60" s="5"/>
      <c r="H60" s="6">
        <f>SUBTOTAL(9,H56:H59)</f>
        <v>0</v>
      </c>
    </row>
    <row r="61" spans="1:8" hidden="1" x14ac:dyDescent="0.3">
      <c r="A61" s="4">
        <v>44962</v>
      </c>
      <c r="B61" s="5" t="s">
        <v>17</v>
      </c>
      <c r="C61" s="5" t="s">
        <v>9</v>
      </c>
      <c r="D61" s="5" t="s">
        <v>18</v>
      </c>
      <c r="E61" s="5" t="s">
        <v>37</v>
      </c>
      <c r="F61" s="5">
        <v>890</v>
      </c>
      <c r="G61" s="5">
        <v>25</v>
      </c>
      <c r="H61" s="6">
        <f t="shared" ref="H61:H69" si="3">F61*G61/1000</f>
        <v>22.25</v>
      </c>
    </row>
    <row r="62" spans="1:8" hidden="1" x14ac:dyDescent="0.3">
      <c r="A62" s="4">
        <v>44962</v>
      </c>
      <c r="B62" s="5" t="s">
        <v>12</v>
      </c>
      <c r="C62" s="5" t="s">
        <v>9</v>
      </c>
      <c r="D62" s="5" t="s">
        <v>13</v>
      </c>
      <c r="E62" s="5" t="s">
        <v>38</v>
      </c>
      <c r="F62" s="5">
        <v>2400</v>
      </c>
      <c r="G62" s="5">
        <v>35</v>
      </c>
      <c r="H62" s="6">
        <f t="shared" si="3"/>
        <v>84</v>
      </c>
    </row>
    <row r="63" spans="1:8" hidden="1" x14ac:dyDescent="0.3">
      <c r="A63" s="4">
        <v>44962</v>
      </c>
      <c r="B63" s="5" t="s">
        <v>45</v>
      </c>
      <c r="C63" s="5" t="s">
        <v>9</v>
      </c>
      <c r="D63" s="5" t="s">
        <v>24</v>
      </c>
      <c r="E63" s="5" t="s">
        <v>42</v>
      </c>
      <c r="F63" s="5">
        <v>3205</v>
      </c>
      <c r="G63" s="5">
        <v>96</v>
      </c>
      <c r="H63" s="6">
        <f t="shared" si="3"/>
        <v>307.68</v>
      </c>
    </row>
    <row r="64" spans="1:8" hidden="1" x14ac:dyDescent="0.3">
      <c r="A64" s="4">
        <v>44962</v>
      </c>
      <c r="B64" s="5" t="s">
        <v>17</v>
      </c>
      <c r="C64" s="5" t="s">
        <v>26</v>
      </c>
      <c r="D64" s="5" t="s">
        <v>18</v>
      </c>
      <c r="E64" s="5" t="s">
        <v>27</v>
      </c>
      <c r="F64" s="5">
        <v>460</v>
      </c>
      <c r="G64" s="5">
        <v>24</v>
      </c>
      <c r="H64" s="6">
        <f t="shared" si="3"/>
        <v>11.04</v>
      </c>
    </row>
    <row r="65" spans="1:8" hidden="1" x14ac:dyDescent="0.3">
      <c r="A65" s="4">
        <v>44962</v>
      </c>
      <c r="B65" s="5" t="s">
        <v>17</v>
      </c>
      <c r="C65" s="5" t="s">
        <v>15</v>
      </c>
      <c r="D65" s="5" t="s">
        <v>10</v>
      </c>
      <c r="E65" s="5" t="s">
        <v>40</v>
      </c>
      <c r="F65" s="5">
        <v>540</v>
      </c>
      <c r="G65" s="5">
        <v>77</v>
      </c>
      <c r="H65" s="6">
        <f t="shared" si="3"/>
        <v>41.58</v>
      </c>
    </row>
    <row r="66" spans="1:8" hidden="1" x14ac:dyDescent="0.3">
      <c r="A66" s="4">
        <v>44962</v>
      </c>
      <c r="B66" s="5" t="s">
        <v>17</v>
      </c>
      <c r="C66" s="5" t="s">
        <v>15</v>
      </c>
      <c r="D66" s="5" t="s">
        <v>10</v>
      </c>
      <c r="E66" s="5" t="s">
        <v>40</v>
      </c>
      <c r="F66" s="5">
        <v>540</v>
      </c>
      <c r="G66" s="5">
        <v>11</v>
      </c>
      <c r="H66" s="6">
        <f t="shared" si="3"/>
        <v>5.94</v>
      </c>
    </row>
    <row r="67" spans="1:8" hidden="1" x14ac:dyDescent="0.3">
      <c r="A67" s="4">
        <v>44962</v>
      </c>
      <c r="B67" s="5" t="s">
        <v>8</v>
      </c>
      <c r="C67" s="5" t="s">
        <v>15</v>
      </c>
      <c r="D67" s="5" t="s">
        <v>18</v>
      </c>
      <c r="E67" s="5" t="s">
        <v>37</v>
      </c>
      <c r="F67" s="5">
        <v>890</v>
      </c>
      <c r="G67" s="5">
        <v>75</v>
      </c>
      <c r="H67" s="6">
        <f t="shared" si="3"/>
        <v>66.75</v>
      </c>
    </row>
    <row r="68" spans="1:8" hidden="1" x14ac:dyDescent="0.3">
      <c r="A68" s="4">
        <v>44962</v>
      </c>
      <c r="B68" s="5" t="s">
        <v>8</v>
      </c>
      <c r="C68" s="5" t="s">
        <v>15</v>
      </c>
      <c r="D68" s="5" t="s">
        <v>24</v>
      </c>
      <c r="E68" s="5" t="s">
        <v>36</v>
      </c>
      <c r="F68" s="5">
        <v>2460</v>
      </c>
      <c r="G68" s="5">
        <v>100</v>
      </c>
      <c r="H68" s="6">
        <f t="shared" si="3"/>
        <v>246</v>
      </c>
    </row>
    <row r="69" spans="1:8" hidden="1" x14ac:dyDescent="0.3">
      <c r="A69" s="4">
        <v>44962</v>
      </c>
      <c r="B69" s="5" t="s">
        <v>45</v>
      </c>
      <c r="C69" s="5" t="s">
        <v>33</v>
      </c>
      <c r="D69" s="5" t="s">
        <v>13</v>
      </c>
      <c r="E69" s="5" t="s">
        <v>43</v>
      </c>
      <c r="F69" s="5">
        <v>1420</v>
      </c>
      <c r="G69" s="5">
        <v>76</v>
      </c>
      <c r="H69" s="6">
        <f t="shared" si="3"/>
        <v>107.92</v>
      </c>
    </row>
    <row r="70" spans="1:8" hidden="1" x14ac:dyDescent="0.3">
      <c r="A70" s="12" t="s">
        <v>50</v>
      </c>
      <c r="B70" s="5"/>
      <c r="C70" s="5"/>
      <c r="D70" s="5"/>
      <c r="E70" s="5"/>
      <c r="F70" s="5"/>
      <c r="G70" s="5"/>
      <c r="H70" s="6">
        <f>SUBTOTAL(9,H61:H69)</f>
        <v>0</v>
      </c>
    </row>
    <row r="71" spans="1:8" hidden="1" x14ac:dyDescent="0.3">
      <c r="A71" s="4">
        <v>44963</v>
      </c>
      <c r="B71" s="5" t="s">
        <v>8</v>
      </c>
      <c r="C71" s="5" t="s">
        <v>20</v>
      </c>
      <c r="D71" s="5" t="s">
        <v>10</v>
      </c>
      <c r="E71" s="5" t="s">
        <v>11</v>
      </c>
      <c r="F71" s="5">
        <v>705</v>
      </c>
      <c r="G71" s="5">
        <v>33</v>
      </c>
      <c r="H71" s="6">
        <f t="shared" ref="H71:H78" si="4">F71*G71/1000</f>
        <v>23.265000000000001</v>
      </c>
    </row>
    <row r="72" spans="1:8" hidden="1" x14ac:dyDescent="0.3">
      <c r="A72" s="7">
        <v>44963</v>
      </c>
      <c r="B72" s="8" t="s">
        <v>8</v>
      </c>
      <c r="C72" s="8" t="s">
        <v>20</v>
      </c>
      <c r="D72" s="8" t="s">
        <v>13</v>
      </c>
      <c r="E72" s="8" t="s">
        <v>38</v>
      </c>
      <c r="F72" s="8">
        <v>2400</v>
      </c>
      <c r="G72" s="8">
        <v>67</v>
      </c>
      <c r="H72" s="6">
        <f t="shared" si="4"/>
        <v>160.80000000000001</v>
      </c>
    </row>
    <row r="73" spans="1:8" hidden="1" x14ac:dyDescent="0.3">
      <c r="A73" s="4">
        <v>44963</v>
      </c>
      <c r="B73" s="5" t="s">
        <v>8</v>
      </c>
      <c r="C73" s="5" t="s">
        <v>9</v>
      </c>
      <c r="D73" s="5" t="s">
        <v>10</v>
      </c>
      <c r="E73" s="5" t="s">
        <v>40</v>
      </c>
      <c r="F73" s="5">
        <v>540</v>
      </c>
      <c r="G73" s="5">
        <v>68</v>
      </c>
      <c r="H73" s="6">
        <f t="shared" si="4"/>
        <v>36.72</v>
      </c>
    </row>
    <row r="74" spans="1:8" hidden="1" x14ac:dyDescent="0.3">
      <c r="A74" s="4">
        <v>44963</v>
      </c>
      <c r="B74" s="5" t="s">
        <v>12</v>
      </c>
      <c r="C74" s="5" t="s">
        <v>26</v>
      </c>
      <c r="D74" s="5" t="s">
        <v>18</v>
      </c>
      <c r="E74" s="5" t="s">
        <v>21</v>
      </c>
      <c r="F74" s="5">
        <v>450</v>
      </c>
      <c r="G74" s="5">
        <v>20</v>
      </c>
      <c r="H74" s="6">
        <f t="shared" si="4"/>
        <v>9</v>
      </c>
    </row>
    <row r="75" spans="1:8" hidden="1" x14ac:dyDescent="0.3">
      <c r="A75" s="4">
        <v>44963</v>
      </c>
      <c r="B75" s="5" t="s">
        <v>17</v>
      </c>
      <c r="C75" s="5" t="s">
        <v>33</v>
      </c>
      <c r="D75" s="5" t="s">
        <v>10</v>
      </c>
      <c r="E75" s="5" t="s">
        <v>40</v>
      </c>
      <c r="F75" s="5">
        <v>540</v>
      </c>
      <c r="G75" s="5">
        <v>79</v>
      </c>
      <c r="H75" s="6">
        <f t="shared" si="4"/>
        <v>42.66</v>
      </c>
    </row>
    <row r="76" spans="1:8" hidden="1" x14ac:dyDescent="0.3">
      <c r="A76" s="4">
        <v>44963</v>
      </c>
      <c r="B76" s="5" t="s">
        <v>8</v>
      </c>
      <c r="C76" s="5" t="s">
        <v>33</v>
      </c>
      <c r="D76" s="5" t="s">
        <v>24</v>
      </c>
      <c r="E76" s="5" t="s">
        <v>25</v>
      </c>
      <c r="F76" s="5">
        <v>1760</v>
      </c>
      <c r="G76" s="5">
        <v>5</v>
      </c>
      <c r="H76" s="6">
        <f t="shared" si="4"/>
        <v>8.8000000000000007</v>
      </c>
    </row>
    <row r="77" spans="1:8" hidden="1" x14ac:dyDescent="0.3">
      <c r="A77" s="4">
        <v>44963</v>
      </c>
      <c r="B77" s="5" t="s">
        <v>8</v>
      </c>
      <c r="C77" s="5" t="s">
        <v>35</v>
      </c>
      <c r="D77" s="5" t="s">
        <v>18</v>
      </c>
      <c r="E77" s="5" t="s">
        <v>19</v>
      </c>
      <c r="F77" s="5">
        <v>325</v>
      </c>
      <c r="G77" s="5">
        <v>67</v>
      </c>
      <c r="H77" s="6">
        <f t="shared" si="4"/>
        <v>21.774999999999999</v>
      </c>
    </row>
    <row r="78" spans="1:8" hidden="1" x14ac:dyDescent="0.3">
      <c r="A78" s="4">
        <v>44963</v>
      </c>
      <c r="B78" s="5" t="s">
        <v>17</v>
      </c>
      <c r="C78" s="5" t="s">
        <v>35</v>
      </c>
      <c r="D78" s="5" t="s">
        <v>13</v>
      </c>
      <c r="E78" s="5" t="s">
        <v>22</v>
      </c>
      <c r="F78" s="5">
        <v>930</v>
      </c>
      <c r="G78" s="5">
        <v>26</v>
      </c>
      <c r="H78" s="6">
        <f t="shared" si="4"/>
        <v>24.18</v>
      </c>
    </row>
    <row r="79" spans="1:8" hidden="1" x14ac:dyDescent="0.3">
      <c r="A79" s="12" t="s">
        <v>51</v>
      </c>
      <c r="B79" s="5"/>
      <c r="C79" s="5"/>
      <c r="D79" s="5"/>
      <c r="E79" s="5"/>
      <c r="F79" s="5"/>
      <c r="G79" s="5"/>
      <c r="H79" s="6">
        <f>SUBTOTAL(9,H71:H78)</f>
        <v>0</v>
      </c>
    </row>
    <row r="80" spans="1:8" hidden="1" x14ac:dyDescent="0.3">
      <c r="A80" s="4">
        <v>44964</v>
      </c>
      <c r="B80" s="5" t="s">
        <v>45</v>
      </c>
      <c r="C80" s="5" t="s">
        <v>20</v>
      </c>
      <c r="D80" s="5" t="s">
        <v>10</v>
      </c>
      <c r="E80" s="5" t="s">
        <v>23</v>
      </c>
      <c r="F80" s="5">
        <v>640</v>
      </c>
      <c r="G80" s="5">
        <v>52</v>
      </c>
      <c r="H80" s="6">
        <f t="shared" ref="H80:H92" si="5">F80*G80/1000</f>
        <v>33.28</v>
      </c>
    </row>
    <row r="81" spans="1:8" hidden="1" x14ac:dyDescent="0.3">
      <c r="A81" s="4">
        <v>44964</v>
      </c>
      <c r="B81" s="5" t="s">
        <v>17</v>
      </c>
      <c r="C81" s="5" t="s">
        <v>9</v>
      </c>
      <c r="D81" s="5" t="s">
        <v>24</v>
      </c>
      <c r="E81" s="5" t="s">
        <v>25</v>
      </c>
      <c r="F81" s="5">
        <v>1760</v>
      </c>
      <c r="G81" s="5">
        <v>40</v>
      </c>
      <c r="H81" s="6">
        <f t="shared" si="5"/>
        <v>70.400000000000006</v>
      </c>
    </row>
    <row r="82" spans="1:8" hidden="1" x14ac:dyDescent="0.3">
      <c r="A82" s="4">
        <v>44964</v>
      </c>
      <c r="B82" s="5" t="s">
        <v>17</v>
      </c>
      <c r="C82" s="5" t="s">
        <v>26</v>
      </c>
      <c r="D82" s="5" t="s">
        <v>18</v>
      </c>
      <c r="E82" s="5" t="s">
        <v>28</v>
      </c>
      <c r="F82" s="5">
        <v>690</v>
      </c>
      <c r="G82" s="5">
        <v>84</v>
      </c>
      <c r="H82" s="6">
        <f t="shared" si="5"/>
        <v>57.96</v>
      </c>
    </row>
    <row r="83" spans="1:8" hidden="1" x14ac:dyDescent="0.3">
      <c r="A83" s="4">
        <v>44964</v>
      </c>
      <c r="B83" s="5" t="s">
        <v>8</v>
      </c>
      <c r="C83" s="5" t="s">
        <v>26</v>
      </c>
      <c r="D83" s="5" t="s">
        <v>13</v>
      </c>
      <c r="E83" s="5" t="s">
        <v>43</v>
      </c>
      <c r="F83" s="5">
        <v>1420</v>
      </c>
      <c r="G83" s="5">
        <v>97</v>
      </c>
      <c r="H83" s="6">
        <f t="shared" si="5"/>
        <v>137.74</v>
      </c>
    </row>
    <row r="84" spans="1:8" hidden="1" x14ac:dyDescent="0.3">
      <c r="A84" s="4">
        <v>44964</v>
      </c>
      <c r="B84" s="5" t="s">
        <v>17</v>
      </c>
      <c r="C84" s="5" t="s">
        <v>26</v>
      </c>
      <c r="D84" s="5" t="s">
        <v>24</v>
      </c>
      <c r="E84" s="5" t="s">
        <v>34</v>
      </c>
      <c r="F84" s="5">
        <v>1670</v>
      </c>
      <c r="G84" s="5">
        <v>84</v>
      </c>
      <c r="H84" s="6">
        <f t="shared" si="5"/>
        <v>140.28</v>
      </c>
    </row>
    <row r="85" spans="1:8" hidden="1" x14ac:dyDescent="0.3">
      <c r="A85" s="4">
        <v>44964</v>
      </c>
      <c r="B85" s="5" t="s">
        <v>12</v>
      </c>
      <c r="C85" s="5" t="s">
        <v>26</v>
      </c>
      <c r="D85" s="5" t="s">
        <v>24</v>
      </c>
      <c r="E85" s="5" t="s">
        <v>32</v>
      </c>
      <c r="F85" s="5">
        <v>1505</v>
      </c>
      <c r="G85" s="5">
        <v>20</v>
      </c>
      <c r="H85" s="6">
        <f t="shared" si="5"/>
        <v>30.1</v>
      </c>
    </row>
    <row r="86" spans="1:8" hidden="1" x14ac:dyDescent="0.3">
      <c r="A86" s="4">
        <v>44964</v>
      </c>
      <c r="B86" s="5" t="s">
        <v>45</v>
      </c>
      <c r="C86" s="5" t="s">
        <v>15</v>
      </c>
      <c r="D86" s="5" t="s">
        <v>10</v>
      </c>
      <c r="E86" s="5" t="s">
        <v>41</v>
      </c>
      <c r="F86" s="5">
        <v>650</v>
      </c>
      <c r="G86" s="5">
        <v>11</v>
      </c>
      <c r="H86" s="6">
        <f t="shared" si="5"/>
        <v>7.15</v>
      </c>
    </row>
    <row r="87" spans="1:8" hidden="1" x14ac:dyDescent="0.3">
      <c r="A87" s="4">
        <v>44964</v>
      </c>
      <c r="B87" s="5" t="s">
        <v>8</v>
      </c>
      <c r="C87" s="5" t="s">
        <v>15</v>
      </c>
      <c r="D87" s="5" t="s">
        <v>24</v>
      </c>
      <c r="E87" s="5" t="s">
        <v>36</v>
      </c>
      <c r="F87" s="5">
        <v>2460</v>
      </c>
      <c r="G87" s="5">
        <v>70</v>
      </c>
      <c r="H87" s="6">
        <f t="shared" si="5"/>
        <v>172.2</v>
      </c>
    </row>
    <row r="88" spans="1:8" hidden="1" x14ac:dyDescent="0.3">
      <c r="A88" s="4">
        <v>44964</v>
      </c>
      <c r="B88" s="5" t="s">
        <v>17</v>
      </c>
      <c r="C88" s="5" t="s">
        <v>33</v>
      </c>
      <c r="D88" s="5" t="s">
        <v>18</v>
      </c>
      <c r="E88" s="5" t="s">
        <v>28</v>
      </c>
      <c r="F88" s="5">
        <v>690</v>
      </c>
      <c r="G88" s="5">
        <v>14</v>
      </c>
      <c r="H88" s="6">
        <f t="shared" si="5"/>
        <v>9.66</v>
      </c>
    </row>
    <row r="89" spans="1:8" hidden="1" x14ac:dyDescent="0.3">
      <c r="A89" s="4">
        <v>44964</v>
      </c>
      <c r="B89" s="5" t="s">
        <v>12</v>
      </c>
      <c r="C89" s="5" t="s">
        <v>33</v>
      </c>
      <c r="D89" s="5" t="s">
        <v>13</v>
      </c>
      <c r="E89" s="5" t="s">
        <v>14</v>
      </c>
      <c r="F89" s="5">
        <v>1320</v>
      </c>
      <c r="G89" s="5">
        <v>90</v>
      </c>
      <c r="H89" s="6">
        <f t="shared" si="5"/>
        <v>118.8</v>
      </c>
    </row>
    <row r="90" spans="1:8" hidden="1" x14ac:dyDescent="0.3">
      <c r="A90" s="4">
        <v>44964</v>
      </c>
      <c r="B90" s="5" t="s">
        <v>8</v>
      </c>
      <c r="C90" s="5" t="s">
        <v>33</v>
      </c>
      <c r="D90" s="5" t="s">
        <v>13</v>
      </c>
      <c r="E90" s="5" t="s">
        <v>38</v>
      </c>
      <c r="F90" s="5">
        <v>2400</v>
      </c>
      <c r="G90" s="5">
        <v>20</v>
      </c>
      <c r="H90" s="6">
        <f t="shared" si="5"/>
        <v>48</v>
      </c>
    </row>
    <row r="91" spans="1:8" hidden="1" x14ac:dyDescent="0.3">
      <c r="A91" s="4">
        <v>44964</v>
      </c>
      <c r="B91" s="5" t="s">
        <v>12</v>
      </c>
      <c r="C91" s="5" t="s">
        <v>33</v>
      </c>
      <c r="D91" s="5" t="s">
        <v>24</v>
      </c>
      <c r="E91" s="5" t="s">
        <v>30</v>
      </c>
      <c r="F91" s="5">
        <v>2970</v>
      </c>
      <c r="G91" s="5">
        <v>7</v>
      </c>
      <c r="H91" s="6">
        <f t="shared" si="5"/>
        <v>20.79</v>
      </c>
    </row>
    <row r="92" spans="1:8" hidden="1" x14ac:dyDescent="0.3">
      <c r="A92" s="4">
        <v>44964</v>
      </c>
      <c r="B92" s="5" t="s">
        <v>17</v>
      </c>
      <c r="C92" s="5" t="s">
        <v>35</v>
      </c>
      <c r="D92" s="5" t="s">
        <v>18</v>
      </c>
      <c r="E92" s="5" t="s">
        <v>31</v>
      </c>
      <c r="F92" s="5">
        <v>715</v>
      </c>
      <c r="G92" s="5">
        <v>87</v>
      </c>
      <c r="H92" s="6">
        <f t="shared" si="5"/>
        <v>62.204999999999998</v>
      </c>
    </row>
    <row r="93" spans="1:8" hidden="1" x14ac:dyDescent="0.3">
      <c r="A93" s="12" t="s">
        <v>52</v>
      </c>
      <c r="B93" s="5"/>
      <c r="C93" s="5"/>
      <c r="D93" s="5"/>
      <c r="E93" s="5"/>
      <c r="F93" s="5"/>
      <c r="G93" s="5"/>
      <c r="H93" s="6">
        <f>SUBTOTAL(9,H80:H92)</f>
        <v>0</v>
      </c>
    </row>
    <row r="94" spans="1:8" hidden="1" x14ac:dyDescent="0.3">
      <c r="A94" s="7">
        <v>44965</v>
      </c>
      <c r="B94" s="8" t="s">
        <v>17</v>
      </c>
      <c r="C94" s="8" t="s">
        <v>20</v>
      </c>
      <c r="D94" s="8" t="s">
        <v>13</v>
      </c>
      <c r="E94" s="8" t="s">
        <v>14</v>
      </c>
      <c r="F94" s="8">
        <v>1320</v>
      </c>
      <c r="G94" s="8">
        <v>25</v>
      </c>
      <c r="H94" s="6">
        <f t="shared" ref="H94:H101" si="6">F94*G94/1000</f>
        <v>33</v>
      </c>
    </row>
    <row r="95" spans="1:8" hidden="1" x14ac:dyDescent="0.3">
      <c r="A95" s="4">
        <v>44965</v>
      </c>
      <c r="B95" s="5" t="s">
        <v>45</v>
      </c>
      <c r="C95" s="5" t="s">
        <v>20</v>
      </c>
      <c r="D95" s="5" t="s">
        <v>24</v>
      </c>
      <c r="E95" s="5" t="s">
        <v>32</v>
      </c>
      <c r="F95" s="5">
        <v>1505</v>
      </c>
      <c r="G95" s="5">
        <v>89</v>
      </c>
      <c r="H95" s="6">
        <f t="shared" si="6"/>
        <v>133.94499999999999</v>
      </c>
    </row>
    <row r="96" spans="1:8" hidden="1" x14ac:dyDescent="0.3">
      <c r="A96" s="4">
        <v>44965</v>
      </c>
      <c r="B96" s="5" t="s">
        <v>17</v>
      </c>
      <c r="C96" s="5" t="s">
        <v>9</v>
      </c>
      <c r="D96" s="5" t="s">
        <v>10</v>
      </c>
      <c r="E96" s="5" t="s">
        <v>41</v>
      </c>
      <c r="F96" s="5">
        <v>650</v>
      </c>
      <c r="G96" s="5">
        <v>88</v>
      </c>
      <c r="H96" s="6">
        <f t="shared" si="6"/>
        <v>57.2</v>
      </c>
    </row>
    <row r="97" spans="1:8" hidden="1" x14ac:dyDescent="0.3">
      <c r="A97" s="4">
        <v>44965</v>
      </c>
      <c r="B97" s="5" t="s">
        <v>8</v>
      </c>
      <c r="C97" s="5" t="s">
        <v>15</v>
      </c>
      <c r="D97" s="5" t="s">
        <v>13</v>
      </c>
      <c r="E97" s="5" t="s">
        <v>14</v>
      </c>
      <c r="F97" s="5">
        <v>1320</v>
      </c>
      <c r="G97" s="5">
        <v>11</v>
      </c>
      <c r="H97" s="6">
        <f t="shared" si="6"/>
        <v>14.52</v>
      </c>
    </row>
    <row r="98" spans="1:8" hidden="1" x14ac:dyDescent="0.3">
      <c r="A98" s="4">
        <v>44965</v>
      </c>
      <c r="B98" s="5" t="s">
        <v>17</v>
      </c>
      <c r="C98" s="5" t="s">
        <v>33</v>
      </c>
      <c r="D98" s="5" t="s">
        <v>10</v>
      </c>
      <c r="E98" s="5" t="s">
        <v>11</v>
      </c>
      <c r="F98" s="5">
        <v>705</v>
      </c>
      <c r="G98" s="5">
        <v>90</v>
      </c>
      <c r="H98" s="6">
        <f t="shared" si="6"/>
        <v>63.45</v>
      </c>
    </row>
    <row r="99" spans="1:8" hidden="1" x14ac:dyDescent="0.3">
      <c r="A99" s="4">
        <v>44965</v>
      </c>
      <c r="B99" s="5" t="s">
        <v>45</v>
      </c>
      <c r="C99" s="5" t="s">
        <v>33</v>
      </c>
      <c r="D99" s="5" t="s">
        <v>18</v>
      </c>
      <c r="E99" s="5" t="s">
        <v>27</v>
      </c>
      <c r="F99" s="5">
        <v>460</v>
      </c>
      <c r="G99" s="5">
        <v>43</v>
      </c>
      <c r="H99" s="6">
        <f t="shared" si="6"/>
        <v>19.78</v>
      </c>
    </row>
    <row r="100" spans="1:8" hidden="1" x14ac:dyDescent="0.3">
      <c r="A100" s="4">
        <v>44965</v>
      </c>
      <c r="B100" s="5" t="s">
        <v>45</v>
      </c>
      <c r="C100" s="5" t="s">
        <v>33</v>
      </c>
      <c r="D100" s="5" t="s">
        <v>13</v>
      </c>
      <c r="E100" s="5" t="s">
        <v>44</v>
      </c>
      <c r="F100" s="5">
        <v>2540</v>
      </c>
      <c r="G100" s="5">
        <v>70</v>
      </c>
      <c r="H100" s="6">
        <f t="shared" si="6"/>
        <v>177.8</v>
      </c>
    </row>
    <row r="101" spans="1:8" hidden="1" x14ac:dyDescent="0.3">
      <c r="A101" s="4">
        <v>44965</v>
      </c>
      <c r="B101" s="5" t="s">
        <v>17</v>
      </c>
      <c r="C101" s="5" t="s">
        <v>35</v>
      </c>
      <c r="D101" s="5" t="s">
        <v>13</v>
      </c>
      <c r="E101" s="5" t="s">
        <v>43</v>
      </c>
      <c r="F101" s="5">
        <v>1420</v>
      </c>
      <c r="G101" s="5">
        <v>54</v>
      </c>
      <c r="H101" s="6">
        <f t="shared" si="6"/>
        <v>76.680000000000007</v>
      </c>
    </row>
    <row r="102" spans="1:8" hidden="1" x14ac:dyDescent="0.3">
      <c r="A102" s="12" t="s">
        <v>53</v>
      </c>
      <c r="B102" s="5"/>
      <c r="C102" s="5"/>
      <c r="D102" s="5"/>
      <c r="E102" s="5"/>
      <c r="F102" s="5"/>
      <c r="G102" s="5"/>
      <c r="H102" s="6">
        <f>SUBTOTAL(9,H94:H101)</f>
        <v>0</v>
      </c>
    </row>
    <row r="103" spans="1:8" hidden="1" x14ac:dyDescent="0.3">
      <c r="A103" s="7">
        <v>44966</v>
      </c>
      <c r="B103" s="8" t="s">
        <v>8</v>
      </c>
      <c r="C103" s="8" t="s">
        <v>20</v>
      </c>
      <c r="D103" s="8" t="s">
        <v>10</v>
      </c>
      <c r="E103" s="8" t="s">
        <v>11</v>
      </c>
      <c r="F103" s="8">
        <v>705</v>
      </c>
      <c r="G103" s="8">
        <v>95</v>
      </c>
      <c r="H103" s="6">
        <f t="shared" ref="H103:H112" si="7">F103*G103/1000</f>
        <v>66.974999999999994</v>
      </c>
    </row>
    <row r="104" spans="1:8" hidden="1" x14ac:dyDescent="0.3">
      <c r="A104" s="4">
        <v>44966</v>
      </c>
      <c r="B104" s="5" t="s">
        <v>12</v>
      </c>
      <c r="C104" s="5" t="s">
        <v>20</v>
      </c>
      <c r="D104" s="5" t="s">
        <v>24</v>
      </c>
      <c r="E104" s="5" t="s">
        <v>32</v>
      </c>
      <c r="F104" s="5">
        <v>1505</v>
      </c>
      <c r="G104" s="5">
        <v>58</v>
      </c>
      <c r="H104" s="6">
        <f t="shared" si="7"/>
        <v>87.29</v>
      </c>
    </row>
    <row r="105" spans="1:8" hidden="1" x14ac:dyDescent="0.3">
      <c r="A105" s="4">
        <v>44966</v>
      </c>
      <c r="B105" s="5" t="s">
        <v>17</v>
      </c>
      <c r="C105" s="5" t="s">
        <v>9</v>
      </c>
      <c r="D105" s="5" t="s">
        <v>10</v>
      </c>
      <c r="E105" s="5" t="s">
        <v>16</v>
      </c>
      <c r="F105" s="5">
        <v>1380</v>
      </c>
      <c r="G105" s="5">
        <v>71</v>
      </c>
      <c r="H105" s="6">
        <f t="shared" si="7"/>
        <v>97.98</v>
      </c>
    </row>
    <row r="106" spans="1:8" hidden="1" x14ac:dyDescent="0.3">
      <c r="A106" s="4">
        <v>44966</v>
      </c>
      <c r="B106" s="5" t="s">
        <v>45</v>
      </c>
      <c r="C106" s="5" t="s">
        <v>26</v>
      </c>
      <c r="D106" s="5" t="s">
        <v>10</v>
      </c>
      <c r="E106" s="5" t="s">
        <v>40</v>
      </c>
      <c r="F106" s="5">
        <v>540</v>
      </c>
      <c r="G106" s="5">
        <v>15</v>
      </c>
      <c r="H106" s="6">
        <f t="shared" si="7"/>
        <v>8.1</v>
      </c>
    </row>
    <row r="107" spans="1:8" hidden="1" x14ac:dyDescent="0.3">
      <c r="A107" s="4">
        <v>44966</v>
      </c>
      <c r="B107" s="5" t="s">
        <v>12</v>
      </c>
      <c r="C107" s="5" t="s">
        <v>33</v>
      </c>
      <c r="D107" s="5" t="s">
        <v>13</v>
      </c>
      <c r="E107" s="5" t="s">
        <v>14</v>
      </c>
      <c r="F107" s="5">
        <v>1320</v>
      </c>
      <c r="G107" s="5">
        <v>40</v>
      </c>
      <c r="H107" s="6">
        <f t="shared" si="7"/>
        <v>52.8</v>
      </c>
    </row>
    <row r="108" spans="1:8" hidden="1" x14ac:dyDescent="0.3">
      <c r="A108" s="4">
        <v>44966</v>
      </c>
      <c r="B108" s="5" t="s">
        <v>45</v>
      </c>
      <c r="C108" s="5" t="s">
        <v>33</v>
      </c>
      <c r="D108" s="5" t="s">
        <v>24</v>
      </c>
      <c r="E108" s="5" t="s">
        <v>25</v>
      </c>
      <c r="F108" s="5">
        <v>1760</v>
      </c>
      <c r="G108" s="5">
        <v>63</v>
      </c>
      <c r="H108" s="6">
        <f t="shared" si="7"/>
        <v>110.88</v>
      </c>
    </row>
    <row r="109" spans="1:8" hidden="1" x14ac:dyDescent="0.3">
      <c r="A109" s="4">
        <v>44966</v>
      </c>
      <c r="B109" s="5" t="s">
        <v>12</v>
      </c>
      <c r="C109" s="5" t="s">
        <v>33</v>
      </c>
      <c r="D109" s="5" t="s">
        <v>24</v>
      </c>
      <c r="E109" s="5" t="s">
        <v>25</v>
      </c>
      <c r="F109" s="5">
        <v>1760</v>
      </c>
      <c r="G109" s="5">
        <v>97</v>
      </c>
      <c r="H109" s="6">
        <f t="shared" si="7"/>
        <v>170.72</v>
      </c>
    </row>
    <row r="110" spans="1:8" hidden="1" x14ac:dyDescent="0.3">
      <c r="A110" s="4">
        <v>44966</v>
      </c>
      <c r="B110" s="5" t="s">
        <v>17</v>
      </c>
      <c r="C110" s="5" t="s">
        <v>33</v>
      </c>
      <c r="D110" s="5" t="s">
        <v>24</v>
      </c>
      <c r="E110" s="5" t="s">
        <v>34</v>
      </c>
      <c r="F110" s="5">
        <v>1670</v>
      </c>
      <c r="G110" s="5">
        <v>27</v>
      </c>
      <c r="H110" s="6">
        <f t="shared" si="7"/>
        <v>45.09</v>
      </c>
    </row>
    <row r="111" spans="1:8" hidden="1" x14ac:dyDescent="0.3">
      <c r="A111" s="4">
        <v>44966</v>
      </c>
      <c r="B111" s="5" t="s">
        <v>17</v>
      </c>
      <c r="C111" s="5" t="s">
        <v>35</v>
      </c>
      <c r="D111" s="5" t="s">
        <v>13</v>
      </c>
      <c r="E111" s="5" t="s">
        <v>44</v>
      </c>
      <c r="F111" s="5">
        <v>2540</v>
      </c>
      <c r="G111" s="5">
        <v>75</v>
      </c>
      <c r="H111" s="6">
        <f t="shared" si="7"/>
        <v>190.5</v>
      </c>
    </row>
    <row r="112" spans="1:8" hidden="1" x14ac:dyDescent="0.3">
      <c r="A112" s="4">
        <v>44966</v>
      </c>
      <c r="B112" s="5" t="s">
        <v>45</v>
      </c>
      <c r="C112" s="5" t="s">
        <v>35</v>
      </c>
      <c r="D112" s="5" t="s">
        <v>13</v>
      </c>
      <c r="E112" s="5" t="s">
        <v>22</v>
      </c>
      <c r="F112" s="5">
        <v>930</v>
      </c>
      <c r="G112" s="5">
        <v>60</v>
      </c>
      <c r="H112" s="6">
        <f t="shared" si="7"/>
        <v>55.8</v>
      </c>
    </row>
    <row r="113" spans="1:8" hidden="1" x14ac:dyDescent="0.3">
      <c r="A113" s="12" t="s">
        <v>54</v>
      </c>
      <c r="B113" s="5"/>
      <c r="C113" s="5"/>
      <c r="D113" s="5"/>
      <c r="E113" s="5"/>
      <c r="F113" s="5"/>
      <c r="G113" s="5"/>
      <c r="H113" s="6">
        <f>SUBTOTAL(9,H103:H112)</f>
        <v>0</v>
      </c>
    </row>
    <row r="114" spans="1:8" hidden="1" x14ac:dyDescent="0.3">
      <c r="A114" s="7">
        <v>44967</v>
      </c>
      <c r="B114" s="8" t="s">
        <v>17</v>
      </c>
      <c r="C114" s="8" t="s">
        <v>20</v>
      </c>
      <c r="D114" s="8" t="s">
        <v>10</v>
      </c>
      <c r="E114" s="8" t="s">
        <v>11</v>
      </c>
      <c r="F114" s="8">
        <v>705</v>
      </c>
      <c r="G114" s="8">
        <v>71</v>
      </c>
      <c r="H114" s="6">
        <f t="shared" ref="H114:H122" si="8">F114*G114/1000</f>
        <v>50.055</v>
      </c>
    </row>
    <row r="115" spans="1:8" hidden="1" x14ac:dyDescent="0.3">
      <c r="A115" s="4">
        <v>44967</v>
      </c>
      <c r="B115" s="5" t="s">
        <v>45</v>
      </c>
      <c r="C115" s="5" t="s">
        <v>20</v>
      </c>
      <c r="D115" s="5" t="s">
        <v>24</v>
      </c>
      <c r="E115" s="5" t="s">
        <v>34</v>
      </c>
      <c r="F115" s="5">
        <v>1670</v>
      </c>
      <c r="G115" s="5">
        <v>70</v>
      </c>
      <c r="H115" s="6">
        <f t="shared" si="8"/>
        <v>116.9</v>
      </c>
    </row>
    <row r="116" spans="1:8" hidden="1" x14ac:dyDescent="0.3">
      <c r="A116" s="4">
        <v>44967</v>
      </c>
      <c r="B116" s="5" t="s">
        <v>8</v>
      </c>
      <c r="C116" s="5" t="s">
        <v>9</v>
      </c>
      <c r="D116" s="5" t="s">
        <v>10</v>
      </c>
      <c r="E116" s="5" t="s">
        <v>23</v>
      </c>
      <c r="F116" s="5">
        <v>640</v>
      </c>
      <c r="G116" s="5">
        <v>70</v>
      </c>
      <c r="H116" s="6">
        <f t="shared" si="8"/>
        <v>44.8</v>
      </c>
    </row>
    <row r="117" spans="1:8" hidden="1" x14ac:dyDescent="0.3">
      <c r="A117" s="4">
        <v>44967</v>
      </c>
      <c r="B117" s="5" t="s">
        <v>45</v>
      </c>
      <c r="C117" s="5" t="s">
        <v>9</v>
      </c>
      <c r="D117" s="5" t="s">
        <v>18</v>
      </c>
      <c r="E117" s="5" t="s">
        <v>31</v>
      </c>
      <c r="F117" s="5">
        <v>715</v>
      </c>
      <c r="G117" s="5">
        <v>34</v>
      </c>
      <c r="H117" s="6">
        <f t="shared" si="8"/>
        <v>24.31</v>
      </c>
    </row>
    <row r="118" spans="1:8" hidden="1" x14ac:dyDescent="0.3">
      <c r="A118" s="4">
        <v>44967</v>
      </c>
      <c r="B118" s="5" t="s">
        <v>45</v>
      </c>
      <c r="C118" s="5" t="s">
        <v>26</v>
      </c>
      <c r="D118" s="5" t="s">
        <v>24</v>
      </c>
      <c r="E118" s="5" t="s">
        <v>32</v>
      </c>
      <c r="F118" s="5">
        <v>1505</v>
      </c>
      <c r="G118" s="5">
        <v>60</v>
      </c>
      <c r="H118" s="6">
        <f t="shared" si="8"/>
        <v>90.3</v>
      </c>
    </row>
    <row r="119" spans="1:8" hidden="1" x14ac:dyDescent="0.3">
      <c r="A119" s="4">
        <v>44967</v>
      </c>
      <c r="B119" s="5" t="s">
        <v>45</v>
      </c>
      <c r="C119" s="5" t="s">
        <v>15</v>
      </c>
      <c r="D119" s="5" t="s">
        <v>18</v>
      </c>
      <c r="E119" s="5" t="s">
        <v>21</v>
      </c>
      <c r="F119" s="5">
        <v>450</v>
      </c>
      <c r="G119" s="5">
        <v>50</v>
      </c>
      <c r="H119" s="6">
        <f t="shared" si="8"/>
        <v>22.5</v>
      </c>
    </row>
    <row r="120" spans="1:8" hidden="1" x14ac:dyDescent="0.3">
      <c r="A120" s="4">
        <v>44967</v>
      </c>
      <c r="B120" s="5" t="s">
        <v>12</v>
      </c>
      <c r="C120" s="5" t="s">
        <v>33</v>
      </c>
      <c r="D120" s="5" t="s">
        <v>13</v>
      </c>
      <c r="E120" s="5" t="s">
        <v>14</v>
      </c>
      <c r="F120" s="5">
        <v>1320</v>
      </c>
      <c r="G120" s="5">
        <v>96</v>
      </c>
      <c r="H120" s="6">
        <f t="shared" si="8"/>
        <v>126.72</v>
      </c>
    </row>
    <row r="121" spans="1:8" hidden="1" x14ac:dyDescent="0.3">
      <c r="A121" s="4">
        <v>44967</v>
      </c>
      <c r="B121" s="5" t="s">
        <v>45</v>
      </c>
      <c r="C121" s="5" t="s">
        <v>35</v>
      </c>
      <c r="D121" s="5" t="s">
        <v>24</v>
      </c>
      <c r="E121" s="5" t="s">
        <v>36</v>
      </c>
      <c r="F121" s="5">
        <v>2460</v>
      </c>
      <c r="G121" s="5">
        <v>13</v>
      </c>
      <c r="H121" s="6">
        <f t="shared" si="8"/>
        <v>31.98</v>
      </c>
    </row>
    <row r="122" spans="1:8" hidden="1" x14ac:dyDescent="0.3">
      <c r="A122" s="4">
        <v>44967</v>
      </c>
      <c r="B122" s="5" t="s">
        <v>12</v>
      </c>
      <c r="C122" s="5" t="s">
        <v>35</v>
      </c>
      <c r="D122" s="5" t="s">
        <v>24</v>
      </c>
      <c r="E122" s="5" t="s">
        <v>42</v>
      </c>
      <c r="F122" s="5">
        <v>3205</v>
      </c>
      <c r="G122" s="5">
        <v>59</v>
      </c>
      <c r="H122" s="6">
        <f t="shared" si="8"/>
        <v>189.095</v>
      </c>
    </row>
    <row r="123" spans="1:8" hidden="1" x14ac:dyDescent="0.3">
      <c r="A123" s="12" t="s">
        <v>55</v>
      </c>
      <c r="B123" s="5"/>
      <c r="C123" s="5"/>
      <c r="D123" s="5"/>
      <c r="E123" s="5"/>
      <c r="F123" s="5"/>
      <c r="G123" s="5"/>
      <c r="H123" s="6">
        <f>SUBTOTAL(9,H114:H122)</f>
        <v>0</v>
      </c>
    </row>
    <row r="124" spans="1:8" hidden="1" x14ac:dyDescent="0.3">
      <c r="A124" s="7">
        <v>44968</v>
      </c>
      <c r="B124" s="8" t="s">
        <v>12</v>
      </c>
      <c r="C124" s="8" t="s">
        <v>20</v>
      </c>
      <c r="D124" s="8" t="s">
        <v>13</v>
      </c>
      <c r="E124" s="8" t="s">
        <v>22</v>
      </c>
      <c r="F124" s="8">
        <v>930</v>
      </c>
      <c r="G124" s="8">
        <v>26</v>
      </c>
      <c r="H124" s="6">
        <f t="shared" ref="H124:H133" si="9">F124*G124/1000</f>
        <v>24.18</v>
      </c>
    </row>
    <row r="125" spans="1:8" hidden="1" x14ac:dyDescent="0.3">
      <c r="A125" s="4">
        <v>44968</v>
      </c>
      <c r="B125" s="5" t="s">
        <v>12</v>
      </c>
      <c r="C125" s="5" t="s">
        <v>9</v>
      </c>
      <c r="D125" s="5" t="s">
        <v>13</v>
      </c>
      <c r="E125" s="5" t="s">
        <v>38</v>
      </c>
      <c r="F125" s="5">
        <v>2400</v>
      </c>
      <c r="G125" s="5">
        <v>34</v>
      </c>
      <c r="H125" s="6">
        <f t="shared" si="9"/>
        <v>81.599999999999994</v>
      </c>
    </row>
    <row r="126" spans="1:8" hidden="1" x14ac:dyDescent="0.3">
      <c r="A126" s="4">
        <v>44968</v>
      </c>
      <c r="B126" s="5" t="s">
        <v>45</v>
      </c>
      <c r="C126" s="5" t="s">
        <v>9</v>
      </c>
      <c r="D126" s="5" t="s">
        <v>24</v>
      </c>
      <c r="E126" s="5" t="s">
        <v>25</v>
      </c>
      <c r="F126" s="5">
        <v>1760</v>
      </c>
      <c r="G126" s="5">
        <v>38</v>
      </c>
      <c r="H126" s="6">
        <f t="shared" si="9"/>
        <v>66.88</v>
      </c>
    </row>
    <row r="127" spans="1:8" hidden="1" x14ac:dyDescent="0.3">
      <c r="A127" s="4">
        <v>44968</v>
      </c>
      <c r="B127" s="5" t="s">
        <v>12</v>
      </c>
      <c r="C127" s="5" t="s">
        <v>26</v>
      </c>
      <c r="D127" s="5" t="s">
        <v>13</v>
      </c>
      <c r="E127" s="5" t="s">
        <v>38</v>
      </c>
      <c r="F127" s="5">
        <v>2400</v>
      </c>
      <c r="G127" s="5">
        <v>91</v>
      </c>
      <c r="H127" s="6">
        <f t="shared" si="9"/>
        <v>218.4</v>
      </c>
    </row>
    <row r="128" spans="1:8" hidden="1" x14ac:dyDescent="0.3">
      <c r="A128" s="4">
        <v>44968</v>
      </c>
      <c r="B128" s="5" t="s">
        <v>8</v>
      </c>
      <c r="C128" s="5" t="s">
        <v>15</v>
      </c>
      <c r="D128" s="5" t="s">
        <v>18</v>
      </c>
      <c r="E128" s="5" t="s">
        <v>27</v>
      </c>
      <c r="F128" s="5">
        <v>460</v>
      </c>
      <c r="G128" s="5">
        <v>26</v>
      </c>
      <c r="H128" s="6">
        <f t="shared" si="9"/>
        <v>11.96</v>
      </c>
    </row>
    <row r="129" spans="1:8" hidden="1" x14ac:dyDescent="0.3">
      <c r="A129" s="4">
        <v>44968</v>
      </c>
      <c r="B129" s="5" t="s">
        <v>8</v>
      </c>
      <c r="C129" s="5" t="s">
        <v>15</v>
      </c>
      <c r="D129" s="5" t="s">
        <v>13</v>
      </c>
      <c r="E129" s="5" t="s">
        <v>14</v>
      </c>
      <c r="F129" s="5">
        <v>1320</v>
      </c>
      <c r="G129" s="5">
        <v>71</v>
      </c>
      <c r="H129" s="6">
        <f t="shared" si="9"/>
        <v>93.72</v>
      </c>
    </row>
    <row r="130" spans="1:8" hidden="1" x14ac:dyDescent="0.3">
      <c r="A130" s="4">
        <v>44968</v>
      </c>
      <c r="B130" s="5" t="s">
        <v>45</v>
      </c>
      <c r="C130" s="5" t="s">
        <v>15</v>
      </c>
      <c r="D130" s="5" t="s">
        <v>24</v>
      </c>
      <c r="E130" s="5" t="s">
        <v>34</v>
      </c>
      <c r="F130" s="5">
        <v>1670</v>
      </c>
      <c r="G130" s="5">
        <v>70</v>
      </c>
      <c r="H130" s="6">
        <f t="shared" si="9"/>
        <v>116.9</v>
      </c>
    </row>
    <row r="131" spans="1:8" hidden="1" x14ac:dyDescent="0.3">
      <c r="A131" s="4">
        <v>44968</v>
      </c>
      <c r="B131" s="5" t="s">
        <v>12</v>
      </c>
      <c r="C131" s="5" t="s">
        <v>33</v>
      </c>
      <c r="D131" s="5" t="s">
        <v>18</v>
      </c>
      <c r="E131" s="5" t="s">
        <v>19</v>
      </c>
      <c r="F131" s="5">
        <v>325</v>
      </c>
      <c r="G131" s="5">
        <v>25</v>
      </c>
      <c r="H131" s="6">
        <f t="shared" si="9"/>
        <v>8.125</v>
      </c>
    </row>
    <row r="132" spans="1:8" hidden="1" x14ac:dyDescent="0.3">
      <c r="A132" s="4">
        <v>44968</v>
      </c>
      <c r="B132" s="5" t="s">
        <v>45</v>
      </c>
      <c r="C132" s="5" t="s">
        <v>33</v>
      </c>
      <c r="D132" s="5" t="s">
        <v>18</v>
      </c>
      <c r="E132" s="5" t="s">
        <v>37</v>
      </c>
      <c r="F132" s="5">
        <v>890</v>
      </c>
      <c r="G132" s="5">
        <v>31</v>
      </c>
      <c r="H132" s="6">
        <f t="shared" si="9"/>
        <v>27.59</v>
      </c>
    </row>
    <row r="133" spans="1:8" hidden="1" x14ac:dyDescent="0.3">
      <c r="A133" s="4">
        <v>44968</v>
      </c>
      <c r="B133" s="5" t="s">
        <v>8</v>
      </c>
      <c r="C133" s="5" t="s">
        <v>33</v>
      </c>
      <c r="D133" s="5" t="s">
        <v>18</v>
      </c>
      <c r="E133" s="5" t="s">
        <v>37</v>
      </c>
      <c r="F133" s="5">
        <v>890</v>
      </c>
      <c r="G133" s="5">
        <v>7</v>
      </c>
      <c r="H133" s="6">
        <f t="shared" si="9"/>
        <v>6.23</v>
      </c>
    </row>
    <row r="134" spans="1:8" hidden="1" x14ac:dyDescent="0.3">
      <c r="A134" s="12" t="s">
        <v>56</v>
      </c>
      <c r="B134" s="5"/>
      <c r="C134" s="5"/>
      <c r="D134" s="5"/>
      <c r="E134" s="5"/>
      <c r="F134" s="5"/>
      <c r="G134" s="5"/>
      <c r="H134" s="6">
        <f>SUBTOTAL(9,H124:H133)</f>
        <v>0</v>
      </c>
    </row>
    <row r="135" spans="1:8" hidden="1" x14ac:dyDescent="0.3">
      <c r="A135" s="4">
        <v>44969</v>
      </c>
      <c r="B135" s="5" t="s">
        <v>12</v>
      </c>
      <c r="C135" s="5" t="s">
        <v>20</v>
      </c>
      <c r="D135" s="5" t="s">
        <v>13</v>
      </c>
      <c r="E135" s="5" t="s">
        <v>22</v>
      </c>
      <c r="F135" s="5">
        <v>930</v>
      </c>
      <c r="G135" s="5">
        <v>22</v>
      </c>
      <c r="H135" s="6">
        <f t="shared" ref="H135:H144" si="10">F135*G135/1000</f>
        <v>20.46</v>
      </c>
    </row>
    <row r="136" spans="1:8" hidden="1" x14ac:dyDescent="0.3">
      <c r="A136" s="7">
        <v>44969</v>
      </c>
      <c r="B136" s="8" t="s">
        <v>12</v>
      </c>
      <c r="C136" s="8" t="s">
        <v>20</v>
      </c>
      <c r="D136" s="8" t="s">
        <v>13</v>
      </c>
      <c r="E136" s="8" t="s">
        <v>14</v>
      </c>
      <c r="F136" s="8">
        <v>1320</v>
      </c>
      <c r="G136" s="8">
        <v>93</v>
      </c>
      <c r="H136" s="6">
        <f t="shared" si="10"/>
        <v>122.76</v>
      </c>
    </row>
    <row r="137" spans="1:8" hidden="1" x14ac:dyDescent="0.3">
      <c r="A137" s="4">
        <v>44969</v>
      </c>
      <c r="B137" s="5" t="s">
        <v>8</v>
      </c>
      <c r="C137" s="5" t="s">
        <v>20</v>
      </c>
      <c r="D137" s="5" t="s">
        <v>24</v>
      </c>
      <c r="E137" s="5" t="s">
        <v>34</v>
      </c>
      <c r="F137" s="5">
        <v>1670</v>
      </c>
      <c r="G137" s="5">
        <v>97</v>
      </c>
      <c r="H137" s="6">
        <f t="shared" si="10"/>
        <v>161.99</v>
      </c>
    </row>
    <row r="138" spans="1:8" hidden="1" x14ac:dyDescent="0.3">
      <c r="A138" s="7">
        <v>44969</v>
      </c>
      <c r="B138" s="8" t="s">
        <v>12</v>
      </c>
      <c r="C138" s="8" t="s">
        <v>20</v>
      </c>
      <c r="D138" s="8" t="s">
        <v>24</v>
      </c>
      <c r="E138" s="8" t="s">
        <v>34</v>
      </c>
      <c r="F138" s="8">
        <v>1670</v>
      </c>
      <c r="G138" s="8">
        <v>27</v>
      </c>
      <c r="H138" s="6">
        <f t="shared" si="10"/>
        <v>45.09</v>
      </c>
    </row>
    <row r="139" spans="1:8" hidden="1" x14ac:dyDescent="0.3">
      <c r="A139" s="4">
        <v>44969</v>
      </c>
      <c r="B139" s="5" t="s">
        <v>45</v>
      </c>
      <c r="C139" s="5" t="s">
        <v>9</v>
      </c>
      <c r="D139" s="5" t="s">
        <v>24</v>
      </c>
      <c r="E139" s="5" t="s">
        <v>30</v>
      </c>
      <c r="F139" s="5">
        <v>2970</v>
      </c>
      <c r="G139" s="5">
        <v>55</v>
      </c>
      <c r="H139" s="6">
        <f t="shared" si="10"/>
        <v>163.35</v>
      </c>
    </row>
    <row r="140" spans="1:8" hidden="1" x14ac:dyDescent="0.3">
      <c r="A140" s="4">
        <v>44969</v>
      </c>
      <c r="B140" s="5" t="s">
        <v>45</v>
      </c>
      <c r="C140" s="5" t="s">
        <v>33</v>
      </c>
      <c r="D140" s="5" t="s">
        <v>18</v>
      </c>
      <c r="E140" s="5" t="s">
        <v>21</v>
      </c>
      <c r="F140" s="5">
        <v>450</v>
      </c>
      <c r="G140" s="5">
        <v>74</v>
      </c>
      <c r="H140" s="6">
        <f t="shared" si="10"/>
        <v>33.299999999999997</v>
      </c>
    </row>
    <row r="141" spans="1:8" hidden="1" x14ac:dyDescent="0.3">
      <c r="A141" s="4">
        <v>44969</v>
      </c>
      <c r="B141" s="5" t="s">
        <v>12</v>
      </c>
      <c r="C141" s="5" t="s">
        <v>33</v>
      </c>
      <c r="D141" s="5" t="s">
        <v>13</v>
      </c>
      <c r="E141" s="5" t="s">
        <v>14</v>
      </c>
      <c r="F141" s="5">
        <v>1320</v>
      </c>
      <c r="G141" s="5">
        <v>7</v>
      </c>
      <c r="H141" s="6">
        <f t="shared" si="10"/>
        <v>9.24</v>
      </c>
    </row>
    <row r="142" spans="1:8" hidden="1" x14ac:dyDescent="0.3">
      <c r="A142" s="4">
        <v>44969</v>
      </c>
      <c r="B142" s="5" t="s">
        <v>8</v>
      </c>
      <c r="C142" s="5" t="s">
        <v>33</v>
      </c>
      <c r="D142" s="5" t="s">
        <v>24</v>
      </c>
      <c r="E142" s="5" t="s">
        <v>42</v>
      </c>
      <c r="F142" s="5">
        <v>3205</v>
      </c>
      <c r="G142" s="5">
        <v>56</v>
      </c>
      <c r="H142" s="6">
        <f t="shared" si="10"/>
        <v>179.48</v>
      </c>
    </row>
    <row r="143" spans="1:8" hidden="1" x14ac:dyDescent="0.3">
      <c r="A143" s="4">
        <v>44969</v>
      </c>
      <c r="B143" s="5" t="s">
        <v>8</v>
      </c>
      <c r="C143" s="5" t="s">
        <v>35</v>
      </c>
      <c r="D143" s="5" t="s">
        <v>13</v>
      </c>
      <c r="E143" s="5" t="s">
        <v>44</v>
      </c>
      <c r="F143" s="5">
        <v>2540</v>
      </c>
      <c r="G143" s="5">
        <v>56</v>
      </c>
      <c r="H143" s="6">
        <f t="shared" si="10"/>
        <v>142.24</v>
      </c>
    </row>
    <row r="144" spans="1:8" hidden="1" x14ac:dyDescent="0.3">
      <c r="A144" s="4">
        <v>44969</v>
      </c>
      <c r="B144" s="5" t="s">
        <v>45</v>
      </c>
      <c r="C144" s="5" t="s">
        <v>9</v>
      </c>
      <c r="D144" s="5" t="s">
        <v>18</v>
      </c>
      <c r="E144" s="5" t="s">
        <v>28</v>
      </c>
      <c r="F144" s="5">
        <v>690</v>
      </c>
      <c r="G144" s="5">
        <v>29</v>
      </c>
      <c r="H144" s="6">
        <f t="shared" si="10"/>
        <v>20.010000000000002</v>
      </c>
    </row>
    <row r="145" spans="1:8" hidden="1" x14ac:dyDescent="0.3">
      <c r="A145" s="12" t="s">
        <v>57</v>
      </c>
      <c r="B145" s="5"/>
      <c r="C145" s="5"/>
      <c r="D145" s="5"/>
      <c r="E145" s="5"/>
      <c r="F145" s="5"/>
      <c r="G145" s="5"/>
      <c r="H145" s="6">
        <f>SUBTOTAL(9,H135:H144)</f>
        <v>0</v>
      </c>
    </row>
    <row r="146" spans="1:8" hidden="1" x14ac:dyDescent="0.3">
      <c r="A146" s="4">
        <v>44970</v>
      </c>
      <c r="B146" s="5" t="s">
        <v>17</v>
      </c>
      <c r="C146" s="5" t="s">
        <v>15</v>
      </c>
      <c r="D146" s="5" t="s">
        <v>10</v>
      </c>
      <c r="E146" s="5" t="s">
        <v>11</v>
      </c>
      <c r="F146" s="5">
        <v>705</v>
      </c>
      <c r="G146" s="5">
        <v>21</v>
      </c>
      <c r="H146" s="6">
        <f>F146*G146/1000</f>
        <v>14.805</v>
      </c>
    </row>
    <row r="147" spans="1:8" hidden="1" x14ac:dyDescent="0.3">
      <c r="A147" s="4">
        <v>44970</v>
      </c>
      <c r="B147" s="5" t="s">
        <v>17</v>
      </c>
      <c r="C147" s="5" t="s">
        <v>15</v>
      </c>
      <c r="D147" s="5" t="s">
        <v>13</v>
      </c>
      <c r="E147" s="5" t="s">
        <v>29</v>
      </c>
      <c r="F147" s="5">
        <v>1230</v>
      </c>
      <c r="G147" s="5">
        <v>22</v>
      </c>
      <c r="H147" s="6">
        <f>F147*G147/1000</f>
        <v>27.06</v>
      </c>
    </row>
    <row r="148" spans="1:8" hidden="1" x14ac:dyDescent="0.3">
      <c r="A148" s="4">
        <v>44970</v>
      </c>
      <c r="B148" s="5" t="s">
        <v>17</v>
      </c>
      <c r="C148" s="5" t="s">
        <v>15</v>
      </c>
      <c r="D148" s="5" t="s">
        <v>13</v>
      </c>
      <c r="E148" s="5" t="s">
        <v>44</v>
      </c>
      <c r="F148" s="5">
        <v>2540</v>
      </c>
      <c r="G148" s="5">
        <v>60</v>
      </c>
      <c r="H148" s="6">
        <f>F148*G148/1000</f>
        <v>152.4</v>
      </c>
    </row>
    <row r="149" spans="1:8" hidden="1" x14ac:dyDescent="0.3">
      <c r="A149" s="4">
        <v>44970</v>
      </c>
      <c r="B149" s="5" t="s">
        <v>12</v>
      </c>
      <c r="C149" s="5" t="s">
        <v>33</v>
      </c>
      <c r="D149" s="5" t="s">
        <v>24</v>
      </c>
      <c r="E149" s="5" t="s">
        <v>42</v>
      </c>
      <c r="F149" s="5">
        <v>3205</v>
      </c>
      <c r="G149" s="5">
        <v>54</v>
      </c>
      <c r="H149" s="6">
        <f>F149*G149/1000</f>
        <v>173.07</v>
      </c>
    </row>
    <row r="150" spans="1:8" hidden="1" x14ac:dyDescent="0.3">
      <c r="A150" s="4">
        <v>44970</v>
      </c>
      <c r="B150" s="5" t="s">
        <v>12</v>
      </c>
      <c r="C150" s="5" t="s">
        <v>9</v>
      </c>
      <c r="D150" s="5" t="s">
        <v>13</v>
      </c>
      <c r="E150" s="5" t="s">
        <v>43</v>
      </c>
      <c r="F150" s="5">
        <v>1420</v>
      </c>
      <c r="G150" s="5">
        <v>12</v>
      </c>
      <c r="H150" s="6">
        <f>F150*G150/1000</f>
        <v>17.04</v>
      </c>
    </row>
    <row r="151" spans="1:8" hidden="1" x14ac:dyDescent="0.3">
      <c r="A151" s="12" t="s">
        <v>58</v>
      </c>
      <c r="B151" s="5"/>
      <c r="C151" s="5"/>
      <c r="D151" s="5"/>
      <c r="E151" s="5"/>
      <c r="F151" s="5"/>
      <c r="G151" s="5"/>
      <c r="H151" s="6">
        <f>SUBTOTAL(9,H146:H150)</f>
        <v>0</v>
      </c>
    </row>
    <row r="152" spans="1:8" hidden="1" x14ac:dyDescent="0.3">
      <c r="A152" s="4">
        <v>44971</v>
      </c>
      <c r="B152" s="5" t="s">
        <v>12</v>
      </c>
      <c r="C152" s="5" t="s">
        <v>20</v>
      </c>
      <c r="D152" s="5" t="s">
        <v>10</v>
      </c>
      <c r="E152" s="5" t="s">
        <v>40</v>
      </c>
      <c r="F152" s="5">
        <v>540</v>
      </c>
      <c r="G152" s="5">
        <v>98</v>
      </c>
      <c r="H152" s="6">
        <f t="shared" ref="H152:H170" si="11">F152*G152/1000</f>
        <v>52.92</v>
      </c>
    </row>
    <row r="153" spans="1:8" hidden="1" x14ac:dyDescent="0.3">
      <c r="A153" s="4">
        <v>44971</v>
      </c>
      <c r="B153" s="5" t="s">
        <v>8</v>
      </c>
      <c r="C153" s="5" t="s">
        <v>9</v>
      </c>
      <c r="D153" s="5" t="s">
        <v>18</v>
      </c>
      <c r="E153" s="5" t="s">
        <v>37</v>
      </c>
      <c r="F153" s="5">
        <v>890</v>
      </c>
      <c r="G153" s="5">
        <v>74</v>
      </c>
      <c r="H153" s="6">
        <f t="shared" si="11"/>
        <v>65.86</v>
      </c>
    </row>
    <row r="154" spans="1:8" hidden="1" x14ac:dyDescent="0.3">
      <c r="A154" s="4">
        <v>44971</v>
      </c>
      <c r="B154" s="5" t="s">
        <v>17</v>
      </c>
      <c r="C154" s="5" t="s">
        <v>9</v>
      </c>
      <c r="D154" s="5" t="s">
        <v>18</v>
      </c>
      <c r="E154" s="5" t="s">
        <v>37</v>
      </c>
      <c r="F154" s="5">
        <v>890</v>
      </c>
      <c r="G154" s="5">
        <v>88</v>
      </c>
      <c r="H154" s="6">
        <f t="shared" si="11"/>
        <v>78.319999999999993</v>
      </c>
    </row>
    <row r="155" spans="1:8" hidden="1" x14ac:dyDescent="0.3">
      <c r="A155" s="4">
        <v>44971</v>
      </c>
      <c r="B155" s="5" t="s">
        <v>45</v>
      </c>
      <c r="C155" s="5" t="s">
        <v>9</v>
      </c>
      <c r="D155" s="5" t="s">
        <v>24</v>
      </c>
      <c r="E155" s="5" t="s">
        <v>42</v>
      </c>
      <c r="F155" s="5">
        <v>3205</v>
      </c>
      <c r="G155" s="5">
        <v>94</v>
      </c>
      <c r="H155" s="6">
        <f t="shared" si="11"/>
        <v>301.27</v>
      </c>
    </row>
    <row r="156" spans="1:8" hidden="1" x14ac:dyDescent="0.3">
      <c r="A156" s="4">
        <v>44971</v>
      </c>
      <c r="B156" s="5" t="s">
        <v>8</v>
      </c>
      <c r="C156" s="5" t="s">
        <v>9</v>
      </c>
      <c r="D156" s="5" t="s">
        <v>24</v>
      </c>
      <c r="E156" s="5" t="s">
        <v>34</v>
      </c>
      <c r="F156" s="5">
        <v>1670</v>
      </c>
      <c r="G156" s="5">
        <v>26</v>
      </c>
      <c r="H156" s="6">
        <f t="shared" si="11"/>
        <v>43.42</v>
      </c>
    </row>
    <row r="157" spans="1:8" hidden="1" x14ac:dyDescent="0.3">
      <c r="A157" s="4">
        <v>44971</v>
      </c>
      <c r="B157" s="5" t="s">
        <v>12</v>
      </c>
      <c r="C157" s="5" t="s">
        <v>26</v>
      </c>
      <c r="D157" s="5" t="s">
        <v>18</v>
      </c>
      <c r="E157" s="5" t="s">
        <v>31</v>
      </c>
      <c r="F157" s="5">
        <v>715</v>
      </c>
      <c r="G157" s="5">
        <v>22</v>
      </c>
      <c r="H157" s="6">
        <f t="shared" si="11"/>
        <v>15.73</v>
      </c>
    </row>
    <row r="158" spans="1:8" hidden="1" x14ac:dyDescent="0.3">
      <c r="A158" s="4">
        <v>44971</v>
      </c>
      <c r="B158" s="5" t="s">
        <v>8</v>
      </c>
      <c r="C158" s="5" t="s">
        <v>26</v>
      </c>
      <c r="D158" s="5" t="s">
        <v>13</v>
      </c>
      <c r="E158" s="5" t="s">
        <v>14</v>
      </c>
      <c r="F158" s="5">
        <v>1320</v>
      </c>
      <c r="G158" s="5">
        <v>41</v>
      </c>
      <c r="H158" s="6">
        <f t="shared" si="11"/>
        <v>54.12</v>
      </c>
    </row>
    <row r="159" spans="1:8" hidden="1" x14ac:dyDescent="0.3">
      <c r="A159" s="4">
        <v>44971</v>
      </c>
      <c r="B159" s="5" t="s">
        <v>8</v>
      </c>
      <c r="C159" s="5" t="s">
        <v>26</v>
      </c>
      <c r="D159" s="5" t="s">
        <v>13</v>
      </c>
      <c r="E159" s="5" t="s">
        <v>22</v>
      </c>
      <c r="F159" s="5">
        <v>930</v>
      </c>
      <c r="G159" s="5">
        <v>50</v>
      </c>
      <c r="H159" s="6">
        <f t="shared" si="11"/>
        <v>46.5</v>
      </c>
    </row>
    <row r="160" spans="1:8" hidden="1" x14ac:dyDescent="0.3">
      <c r="A160" s="4">
        <v>44971</v>
      </c>
      <c r="B160" s="5" t="s">
        <v>45</v>
      </c>
      <c r="C160" s="5" t="s">
        <v>26</v>
      </c>
      <c r="D160" s="5" t="s">
        <v>24</v>
      </c>
      <c r="E160" s="5" t="s">
        <v>32</v>
      </c>
      <c r="F160" s="5">
        <v>1505</v>
      </c>
      <c r="G160" s="5">
        <v>85</v>
      </c>
      <c r="H160" s="6">
        <f t="shared" si="11"/>
        <v>127.925</v>
      </c>
    </row>
    <row r="161" spans="1:8" hidden="1" x14ac:dyDescent="0.3">
      <c r="A161" s="4">
        <v>44971</v>
      </c>
      <c r="B161" s="5" t="s">
        <v>45</v>
      </c>
      <c r="C161" s="5" t="s">
        <v>15</v>
      </c>
      <c r="D161" s="5" t="s">
        <v>18</v>
      </c>
      <c r="E161" s="5" t="s">
        <v>31</v>
      </c>
      <c r="F161" s="5">
        <v>715</v>
      </c>
      <c r="G161" s="5">
        <v>14</v>
      </c>
      <c r="H161" s="6">
        <f t="shared" si="11"/>
        <v>10.01</v>
      </c>
    </row>
    <row r="162" spans="1:8" hidden="1" x14ac:dyDescent="0.3">
      <c r="A162" s="4">
        <v>44971</v>
      </c>
      <c r="B162" s="5" t="s">
        <v>17</v>
      </c>
      <c r="C162" s="5" t="s">
        <v>15</v>
      </c>
      <c r="D162" s="5" t="s">
        <v>13</v>
      </c>
      <c r="E162" s="5" t="s">
        <v>38</v>
      </c>
      <c r="F162" s="5">
        <v>2400</v>
      </c>
      <c r="G162" s="5">
        <v>33</v>
      </c>
      <c r="H162" s="6">
        <f t="shared" si="11"/>
        <v>79.2</v>
      </c>
    </row>
    <row r="163" spans="1:8" hidden="1" x14ac:dyDescent="0.3">
      <c r="A163" s="4">
        <v>44971</v>
      </c>
      <c r="B163" s="5" t="s">
        <v>45</v>
      </c>
      <c r="C163" s="5" t="s">
        <v>15</v>
      </c>
      <c r="D163" s="5" t="s">
        <v>13</v>
      </c>
      <c r="E163" s="5" t="s">
        <v>44</v>
      </c>
      <c r="F163" s="5">
        <v>2540</v>
      </c>
      <c r="G163" s="5">
        <v>12</v>
      </c>
      <c r="H163" s="6">
        <f t="shared" si="11"/>
        <v>30.48</v>
      </c>
    </row>
    <row r="164" spans="1:8" hidden="1" x14ac:dyDescent="0.3">
      <c r="A164" s="4">
        <v>44971</v>
      </c>
      <c r="B164" s="5" t="s">
        <v>12</v>
      </c>
      <c r="C164" s="5" t="s">
        <v>15</v>
      </c>
      <c r="D164" s="5" t="s">
        <v>13</v>
      </c>
      <c r="E164" s="5" t="s">
        <v>22</v>
      </c>
      <c r="F164" s="5">
        <v>930</v>
      </c>
      <c r="G164" s="5">
        <v>88</v>
      </c>
      <c r="H164" s="6">
        <f t="shared" si="11"/>
        <v>81.84</v>
      </c>
    </row>
    <row r="165" spans="1:8" hidden="1" x14ac:dyDescent="0.3">
      <c r="A165" s="4">
        <v>44971</v>
      </c>
      <c r="B165" s="5" t="s">
        <v>17</v>
      </c>
      <c r="C165" s="5" t="s">
        <v>33</v>
      </c>
      <c r="D165" s="5" t="s">
        <v>10</v>
      </c>
      <c r="E165" s="5" t="s">
        <v>16</v>
      </c>
      <c r="F165" s="5">
        <v>1380</v>
      </c>
      <c r="G165" s="5">
        <v>43</v>
      </c>
      <c r="H165" s="6">
        <f t="shared" si="11"/>
        <v>59.34</v>
      </c>
    </row>
    <row r="166" spans="1:8" hidden="1" x14ac:dyDescent="0.3">
      <c r="A166" s="4">
        <v>44971</v>
      </c>
      <c r="B166" s="5" t="s">
        <v>45</v>
      </c>
      <c r="C166" s="5" t="s">
        <v>33</v>
      </c>
      <c r="D166" s="5" t="s">
        <v>24</v>
      </c>
      <c r="E166" s="5" t="s">
        <v>42</v>
      </c>
      <c r="F166" s="5">
        <v>3205</v>
      </c>
      <c r="G166" s="5">
        <v>54</v>
      </c>
      <c r="H166" s="6">
        <f t="shared" si="11"/>
        <v>173.07</v>
      </c>
    </row>
    <row r="167" spans="1:8" hidden="1" x14ac:dyDescent="0.3">
      <c r="A167" s="4">
        <v>44971</v>
      </c>
      <c r="B167" s="5" t="s">
        <v>12</v>
      </c>
      <c r="C167" s="5" t="s">
        <v>35</v>
      </c>
      <c r="D167" s="5" t="s">
        <v>10</v>
      </c>
      <c r="E167" s="5" t="s">
        <v>40</v>
      </c>
      <c r="F167" s="5">
        <v>540</v>
      </c>
      <c r="G167" s="5">
        <v>10</v>
      </c>
      <c r="H167" s="6">
        <f t="shared" si="11"/>
        <v>5.4</v>
      </c>
    </row>
    <row r="168" spans="1:8" hidden="1" x14ac:dyDescent="0.3">
      <c r="A168" s="4">
        <v>44971</v>
      </c>
      <c r="B168" s="5" t="s">
        <v>8</v>
      </c>
      <c r="C168" s="5" t="s">
        <v>35</v>
      </c>
      <c r="D168" s="5" t="s">
        <v>18</v>
      </c>
      <c r="E168" s="5" t="s">
        <v>19</v>
      </c>
      <c r="F168" s="5">
        <v>325</v>
      </c>
      <c r="G168" s="5">
        <v>55</v>
      </c>
      <c r="H168" s="6">
        <f t="shared" si="11"/>
        <v>17.875</v>
      </c>
    </row>
    <row r="169" spans="1:8" hidden="1" x14ac:dyDescent="0.3">
      <c r="A169" s="4">
        <v>44971</v>
      </c>
      <c r="B169" s="5" t="s">
        <v>8</v>
      </c>
      <c r="C169" s="5" t="s">
        <v>35</v>
      </c>
      <c r="D169" s="5" t="s">
        <v>13</v>
      </c>
      <c r="E169" s="5" t="s">
        <v>44</v>
      </c>
      <c r="F169" s="5">
        <v>2540</v>
      </c>
      <c r="G169" s="5">
        <v>41</v>
      </c>
      <c r="H169" s="6">
        <f t="shared" si="11"/>
        <v>104.14</v>
      </c>
    </row>
    <row r="170" spans="1:8" hidden="1" x14ac:dyDescent="0.3">
      <c r="A170" s="4">
        <v>44971</v>
      </c>
      <c r="B170" s="5" t="s">
        <v>45</v>
      </c>
      <c r="C170" s="5" t="s">
        <v>9</v>
      </c>
      <c r="D170" s="5" t="s">
        <v>13</v>
      </c>
      <c r="E170" s="5" t="s">
        <v>14</v>
      </c>
      <c r="F170" s="5">
        <v>1320</v>
      </c>
      <c r="G170" s="5">
        <v>31</v>
      </c>
      <c r="H170" s="6">
        <f t="shared" si="11"/>
        <v>40.92</v>
      </c>
    </row>
    <row r="171" spans="1:8" hidden="1" x14ac:dyDescent="0.3">
      <c r="A171" s="12" t="s">
        <v>59</v>
      </c>
      <c r="B171" s="5"/>
      <c r="C171" s="5"/>
      <c r="D171" s="5"/>
      <c r="E171" s="5"/>
      <c r="F171" s="5"/>
      <c r="G171" s="5"/>
      <c r="H171" s="6">
        <f>SUBTOTAL(9,H152:H170)</f>
        <v>0</v>
      </c>
    </row>
    <row r="172" spans="1:8" hidden="1" x14ac:dyDescent="0.3">
      <c r="A172" s="7">
        <v>44972</v>
      </c>
      <c r="B172" s="8" t="s">
        <v>45</v>
      </c>
      <c r="C172" s="8" t="s">
        <v>20</v>
      </c>
      <c r="D172" s="8" t="s">
        <v>10</v>
      </c>
      <c r="E172" s="8" t="s">
        <v>39</v>
      </c>
      <c r="F172" s="8">
        <v>650</v>
      </c>
      <c r="G172" s="8">
        <v>88</v>
      </c>
      <c r="H172" s="6">
        <f t="shared" ref="H172:H191" si="12">F172*G172/1000</f>
        <v>57.2</v>
      </c>
    </row>
    <row r="173" spans="1:8" hidden="1" x14ac:dyDescent="0.3">
      <c r="A173" s="4">
        <v>44972</v>
      </c>
      <c r="B173" s="5" t="s">
        <v>12</v>
      </c>
      <c r="C173" s="5" t="s">
        <v>20</v>
      </c>
      <c r="D173" s="5" t="s">
        <v>13</v>
      </c>
      <c r="E173" s="5" t="s">
        <v>38</v>
      </c>
      <c r="F173" s="5">
        <v>2400</v>
      </c>
      <c r="G173" s="5">
        <v>51</v>
      </c>
      <c r="H173" s="6">
        <f t="shared" si="12"/>
        <v>122.4</v>
      </c>
    </row>
    <row r="174" spans="1:8" hidden="1" x14ac:dyDescent="0.3">
      <c r="A174" s="7">
        <v>44972</v>
      </c>
      <c r="B174" s="8" t="s">
        <v>17</v>
      </c>
      <c r="C174" s="8" t="s">
        <v>20</v>
      </c>
      <c r="D174" s="8" t="s">
        <v>24</v>
      </c>
      <c r="E174" s="8" t="s">
        <v>36</v>
      </c>
      <c r="F174" s="8">
        <v>2460</v>
      </c>
      <c r="G174" s="8">
        <v>90</v>
      </c>
      <c r="H174" s="6">
        <f t="shared" si="12"/>
        <v>221.4</v>
      </c>
    </row>
    <row r="175" spans="1:8" hidden="1" x14ac:dyDescent="0.3">
      <c r="A175" s="4">
        <v>44972</v>
      </c>
      <c r="B175" s="5" t="s">
        <v>8</v>
      </c>
      <c r="C175" s="5" t="s">
        <v>20</v>
      </c>
      <c r="D175" s="5" t="s">
        <v>24</v>
      </c>
      <c r="E175" s="5" t="s">
        <v>36</v>
      </c>
      <c r="F175" s="5">
        <v>2460</v>
      </c>
      <c r="G175" s="5">
        <v>6</v>
      </c>
      <c r="H175" s="6">
        <f t="shared" si="12"/>
        <v>14.76</v>
      </c>
    </row>
    <row r="176" spans="1:8" hidden="1" x14ac:dyDescent="0.3">
      <c r="A176" s="4">
        <v>44972</v>
      </c>
      <c r="B176" s="5" t="s">
        <v>17</v>
      </c>
      <c r="C176" s="5" t="s">
        <v>9</v>
      </c>
      <c r="D176" s="5" t="s">
        <v>10</v>
      </c>
      <c r="E176" s="5" t="s">
        <v>40</v>
      </c>
      <c r="F176" s="5">
        <v>540</v>
      </c>
      <c r="G176" s="5">
        <v>26</v>
      </c>
      <c r="H176" s="6">
        <f t="shared" si="12"/>
        <v>14.04</v>
      </c>
    </row>
    <row r="177" spans="1:8" hidden="1" x14ac:dyDescent="0.3">
      <c r="A177" s="4">
        <v>44972</v>
      </c>
      <c r="B177" s="5" t="s">
        <v>17</v>
      </c>
      <c r="C177" s="5" t="s">
        <v>9</v>
      </c>
      <c r="D177" s="5" t="s">
        <v>18</v>
      </c>
      <c r="E177" s="5" t="s">
        <v>28</v>
      </c>
      <c r="F177" s="5">
        <v>690</v>
      </c>
      <c r="G177" s="5">
        <v>87</v>
      </c>
      <c r="H177" s="6">
        <f t="shared" si="12"/>
        <v>60.03</v>
      </c>
    </row>
    <row r="178" spans="1:8" hidden="1" x14ac:dyDescent="0.3">
      <c r="A178" s="4">
        <v>44972</v>
      </c>
      <c r="B178" s="5" t="s">
        <v>12</v>
      </c>
      <c r="C178" s="5" t="s">
        <v>26</v>
      </c>
      <c r="D178" s="5" t="s">
        <v>10</v>
      </c>
      <c r="E178" s="5" t="s">
        <v>23</v>
      </c>
      <c r="F178" s="5">
        <v>640</v>
      </c>
      <c r="G178" s="5">
        <v>26</v>
      </c>
      <c r="H178" s="6">
        <f t="shared" si="12"/>
        <v>16.64</v>
      </c>
    </row>
    <row r="179" spans="1:8" hidden="1" x14ac:dyDescent="0.3">
      <c r="A179" s="4">
        <v>44972</v>
      </c>
      <c r="B179" s="5" t="s">
        <v>17</v>
      </c>
      <c r="C179" s="5" t="s">
        <v>26</v>
      </c>
      <c r="D179" s="5" t="s">
        <v>10</v>
      </c>
      <c r="E179" s="5" t="s">
        <v>39</v>
      </c>
      <c r="F179" s="5">
        <v>650</v>
      </c>
      <c r="G179" s="5">
        <v>54</v>
      </c>
      <c r="H179" s="6">
        <f t="shared" si="12"/>
        <v>35.1</v>
      </c>
    </row>
    <row r="180" spans="1:8" hidden="1" x14ac:dyDescent="0.3">
      <c r="A180" s="4">
        <v>44972</v>
      </c>
      <c r="B180" s="5" t="s">
        <v>8</v>
      </c>
      <c r="C180" s="5" t="s">
        <v>26</v>
      </c>
      <c r="D180" s="5" t="s">
        <v>24</v>
      </c>
      <c r="E180" s="5" t="s">
        <v>36</v>
      </c>
      <c r="F180" s="5">
        <v>2460</v>
      </c>
      <c r="G180" s="5">
        <v>56</v>
      </c>
      <c r="H180" s="6">
        <f t="shared" si="12"/>
        <v>137.76</v>
      </c>
    </row>
    <row r="181" spans="1:8" hidden="1" x14ac:dyDescent="0.3">
      <c r="A181" s="4">
        <v>44972</v>
      </c>
      <c r="B181" s="5" t="s">
        <v>8</v>
      </c>
      <c r="C181" s="5" t="s">
        <v>15</v>
      </c>
      <c r="D181" s="5" t="s">
        <v>18</v>
      </c>
      <c r="E181" s="5" t="s">
        <v>28</v>
      </c>
      <c r="F181" s="5">
        <v>690</v>
      </c>
      <c r="G181" s="5">
        <v>24</v>
      </c>
      <c r="H181" s="6">
        <f t="shared" si="12"/>
        <v>16.559999999999999</v>
      </c>
    </row>
    <row r="182" spans="1:8" hidden="1" x14ac:dyDescent="0.3">
      <c r="A182" s="4">
        <v>44972</v>
      </c>
      <c r="B182" s="5" t="s">
        <v>8</v>
      </c>
      <c r="C182" s="5" t="s">
        <v>33</v>
      </c>
      <c r="D182" s="5" t="s">
        <v>10</v>
      </c>
      <c r="E182" s="5" t="s">
        <v>39</v>
      </c>
      <c r="F182" s="5">
        <v>650</v>
      </c>
      <c r="G182" s="5">
        <v>71</v>
      </c>
      <c r="H182" s="6">
        <f t="shared" si="12"/>
        <v>46.15</v>
      </c>
    </row>
    <row r="183" spans="1:8" hidden="1" x14ac:dyDescent="0.3">
      <c r="A183" s="4">
        <v>44972</v>
      </c>
      <c r="B183" s="5" t="s">
        <v>45</v>
      </c>
      <c r="C183" s="5" t="s">
        <v>33</v>
      </c>
      <c r="D183" s="5" t="s">
        <v>18</v>
      </c>
      <c r="E183" s="5" t="s">
        <v>21</v>
      </c>
      <c r="F183" s="5">
        <v>450</v>
      </c>
      <c r="G183" s="5">
        <v>22</v>
      </c>
      <c r="H183" s="6">
        <f t="shared" si="12"/>
        <v>9.9</v>
      </c>
    </row>
    <row r="184" spans="1:8" hidden="1" x14ac:dyDescent="0.3">
      <c r="A184" s="4">
        <v>44972</v>
      </c>
      <c r="B184" s="5" t="s">
        <v>17</v>
      </c>
      <c r="C184" s="5" t="s">
        <v>33</v>
      </c>
      <c r="D184" s="5" t="s">
        <v>18</v>
      </c>
      <c r="E184" s="5" t="s">
        <v>19</v>
      </c>
      <c r="F184" s="5">
        <v>325</v>
      </c>
      <c r="G184" s="5">
        <v>98</v>
      </c>
      <c r="H184" s="6">
        <f t="shared" si="12"/>
        <v>31.85</v>
      </c>
    </row>
    <row r="185" spans="1:8" hidden="1" x14ac:dyDescent="0.3">
      <c r="A185" s="4">
        <v>44972</v>
      </c>
      <c r="B185" s="5" t="s">
        <v>17</v>
      </c>
      <c r="C185" s="5" t="s">
        <v>33</v>
      </c>
      <c r="D185" s="5" t="s">
        <v>24</v>
      </c>
      <c r="E185" s="5" t="s">
        <v>42</v>
      </c>
      <c r="F185" s="5">
        <v>3205</v>
      </c>
      <c r="G185" s="5">
        <v>86</v>
      </c>
      <c r="H185" s="6">
        <f t="shared" si="12"/>
        <v>275.63</v>
      </c>
    </row>
    <row r="186" spans="1:8" hidden="1" x14ac:dyDescent="0.3">
      <c r="A186" s="4">
        <v>44972</v>
      </c>
      <c r="B186" s="5" t="s">
        <v>17</v>
      </c>
      <c r="C186" s="5" t="s">
        <v>33</v>
      </c>
      <c r="D186" s="5" t="s">
        <v>24</v>
      </c>
      <c r="E186" s="5" t="s">
        <v>42</v>
      </c>
      <c r="F186" s="5">
        <v>3205</v>
      </c>
      <c r="G186" s="5">
        <v>47</v>
      </c>
      <c r="H186" s="6">
        <f t="shared" si="12"/>
        <v>150.63499999999999</v>
      </c>
    </row>
    <row r="187" spans="1:8" hidden="1" x14ac:dyDescent="0.3">
      <c r="A187" s="4">
        <v>44972</v>
      </c>
      <c r="B187" s="5" t="s">
        <v>8</v>
      </c>
      <c r="C187" s="5" t="s">
        <v>33</v>
      </c>
      <c r="D187" s="5" t="s">
        <v>24</v>
      </c>
      <c r="E187" s="5" t="s">
        <v>30</v>
      </c>
      <c r="F187" s="5">
        <v>2970</v>
      </c>
      <c r="G187" s="5">
        <v>28</v>
      </c>
      <c r="H187" s="6">
        <f t="shared" si="12"/>
        <v>83.16</v>
      </c>
    </row>
    <row r="188" spans="1:8" hidden="1" x14ac:dyDescent="0.3">
      <c r="A188" s="4">
        <v>44972</v>
      </c>
      <c r="B188" s="5" t="s">
        <v>8</v>
      </c>
      <c r="C188" s="5" t="s">
        <v>35</v>
      </c>
      <c r="D188" s="5" t="s">
        <v>10</v>
      </c>
      <c r="E188" s="5" t="s">
        <v>40</v>
      </c>
      <c r="F188" s="5">
        <v>540</v>
      </c>
      <c r="G188" s="5">
        <v>34</v>
      </c>
      <c r="H188" s="6">
        <f t="shared" si="12"/>
        <v>18.36</v>
      </c>
    </row>
    <row r="189" spans="1:8" hidden="1" x14ac:dyDescent="0.3">
      <c r="A189" s="4">
        <v>44972</v>
      </c>
      <c r="B189" s="5" t="s">
        <v>17</v>
      </c>
      <c r="C189" s="5" t="s">
        <v>35</v>
      </c>
      <c r="D189" s="5" t="s">
        <v>24</v>
      </c>
      <c r="E189" s="5" t="s">
        <v>36</v>
      </c>
      <c r="F189" s="5">
        <v>2460</v>
      </c>
      <c r="G189" s="5">
        <v>28</v>
      </c>
      <c r="H189" s="6">
        <f t="shared" si="12"/>
        <v>68.88</v>
      </c>
    </row>
    <row r="190" spans="1:8" hidden="1" x14ac:dyDescent="0.3">
      <c r="A190" s="4">
        <v>44972</v>
      </c>
      <c r="B190" s="5" t="s">
        <v>17</v>
      </c>
      <c r="C190" s="5" t="s">
        <v>35</v>
      </c>
      <c r="D190" s="5" t="s">
        <v>24</v>
      </c>
      <c r="E190" s="5" t="s">
        <v>42</v>
      </c>
      <c r="F190" s="5">
        <v>3205</v>
      </c>
      <c r="G190" s="5">
        <v>90</v>
      </c>
      <c r="H190" s="6">
        <f t="shared" si="12"/>
        <v>288.45</v>
      </c>
    </row>
    <row r="191" spans="1:8" hidden="1" x14ac:dyDescent="0.3">
      <c r="A191" s="4">
        <v>44972</v>
      </c>
      <c r="B191" s="5" t="s">
        <v>17</v>
      </c>
      <c r="C191" s="5" t="s">
        <v>26</v>
      </c>
      <c r="D191" s="5" t="s">
        <v>10</v>
      </c>
      <c r="E191" s="5" t="s">
        <v>11</v>
      </c>
      <c r="F191" s="5">
        <v>705</v>
      </c>
      <c r="G191" s="5">
        <v>12</v>
      </c>
      <c r="H191" s="6">
        <f t="shared" si="12"/>
        <v>8.4600000000000009</v>
      </c>
    </row>
    <row r="192" spans="1:8" hidden="1" x14ac:dyDescent="0.3">
      <c r="A192" s="12" t="s">
        <v>60</v>
      </c>
      <c r="B192" s="5"/>
      <c r="C192" s="5"/>
      <c r="D192" s="5"/>
      <c r="E192" s="5"/>
      <c r="F192" s="5"/>
      <c r="G192" s="5"/>
      <c r="H192" s="6">
        <f>SUBTOTAL(9,H172:H191)</f>
        <v>0</v>
      </c>
    </row>
    <row r="193" spans="1:8" hidden="1" x14ac:dyDescent="0.3">
      <c r="A193" s="7">
        <v>44973</v>
      </c>
      <c r="B193" s="8" t="s">
        <v>45</v>
      </c>
      <c r="C193" s="8" t="s">
        <v>20</v>
      </c>
      <c r="D193" s="8" t="s">
        <v>10</v>
      </c>
      <c r="E193" s="8" t="s">
        <v>23</v>
      </c>
      <c r="F193" s="8">
        <v>640</v>
      </c>
      <c r="G193" s="8">
        <v>23</v>
      </c>
      <c r="H193" s="6">
        <f t="shared" ref="H193:H220" si="13">F193*G193/1000</f>
        <v>14.72</v>
      </c>
    </row>
    <row r="194" spans="1:8" hidden="1" x14ac:dyDescent="0.3">
      <c r="A194" s="4">
        <v>44973</v>
      </c>
      <c r="B194" s="5" t="s">
        <v>17</v>
      </c>
      <c r="C194" s="5" t="s">
        <v>20</v>
      </c>
      <c r="D194" s="5" t="s">
        <v>18</v>
      </c>
      <c r="E194" s="5" t="s">
        <v>21</v>
      </c>
      <c r="F194" s="5">
        <v>450</v>
      </c>
      <c r="G194" s="5">
        <v>78</v>
      </c>
      <c r="H194" s="6">
        <f t="shared" si="13"/>
        <v>35.1</v>
      </c>
    </row>
    <row r="195" spans="1:8" hidden="1" x14ac:dyDescent="0.3">
      <c r="A195" s="4">
        <v>44973</v>
      </c>
      <c r="B195" s="5" t="s">
        <v>17</v>
      </c>
      <c r="C195" s="5" t="s">
        <v>9</v>
      </c>
      <c r="D195" s="5" t="s">
        <v>10</v>
      </c>
      <c r="E195" s="5" t="s">
        <v>39</v>
      </c>
      <c r="F195" s="5">
        <v>650</v>
      </c>
      <c r="G195" s="5">
        <v>58</v>
      </c>
      <c r="H195" s="6">
        <f t="shared" si="13"/>
        <v>37.700000000000003</v>
      </c>
    </row>
    <row r="196" spans="1:8" hidden="1" x14ac:dyDescent="0.3">
      <c r="A196" s="4">
        <v>44973</v>
      </c>
      <c r="B196" s="5" t="s">
        <v>8</v>
      </c>
      <c r="C196" s="5" t="s">
        <v>9</v>
      </c>
      <c r="D196" s="5" t="s">
        <v>10</v>
      </c>
      <c r="E196" s="5" t="s">
        <v>39</v>
      </c>
      <c r="F196" s="5">
        <v>650</v>
      </c>
      <c r="G196" s="5">
        <v>92</v>
      </c>
      <c r="H196" s="6">
        <f t="shared" si="13"/>
        <v>59.8</v>
      </c>
    </row>
    <row r="197" spans="1:8" hidden="1" x14ac:dyDescent="0.3">
      <c r="A197" s="4">
        <v>44973</v>
      </c>
      <c r="B197" s="5" t="s">
        <v>45</v>
      </c>
      <c r="C197" s="5" t="s">
        <v>9</v>
      </c>
      <c r="D197" s="5" t="s">
        <v>18</v>
      </c>
      <c r="E197" s="5" t="s">
        <v>21</v>
      </c>
      <c r="F197" s="5">
        <v>450</v>
      </c>
      <c r="G197" s="5">
        <v>91</v>
      </c>
      <c r="H197" s="6">
        <f t="shared" si="13"/>
        <v>40.950000000000003</v>
      </c>
    </row>
    <row r="198" spans="1:8" hidden="1" x14ac:dyDescent="0.3">
      <c r="A198" s="4">
        <v>44973</v>
      </c>
      <c r="B198" s="5" t="s">
        <v>8</v>
      </c>
      <c r="C198" s="5" t="s">
        <v>9</v>
      </c>
      <c r="D198" s="5" t="s">
        <v>24</v>
      </c>
      <c r="E198" s="5" t="s">
        <v>25</v>
      </c>
      <c r="F198" s="5">
        <v>1760</v>
      </c>
      <c r="G198" s="5">
        <v>92</v>
      </c>
      <c r="H198" s="6">
        <f t="shared" si="13"/>
        <v>161.91999999999999</v>
      </c>
    </row>
    <row r="199" spans="1:8" hidden="1" x14ac:dyDescent="0.3">
      <c r="A199" s="4">
        <v>44973</v>
      </c>
      <c r="B199" s="5" t="s">
        <v>17</v>
      </c>
      <c r="C199" s="5" t="s">
        <v>9</v>
      </c>
      <c r="D199" s="5" t="s">
        <v>24</v>
      </c>
      <c r="E199" s="5" t="s">
        <v>32</v>
      </c>
      <c r="F199" s="5">
        <v>1505</v>
      </c>
      <c r="G199" s="5">
        <v>14</v>
      </c>
      <c r="H199" s="6">
        <f t="shared" si="13"/>
        <v>21.07</v>
      </c>
    </row>
    <row r="200" spans="1:8" hidden="1" x14ac:dyDescent="0.3">
      <c r="A200" s="4">
        <v>44973</v>
      </c>
      <c r="B200" s="5" t="s">
        <v>17</v>
      </c>
      <c r="C200" s="5" t="s">
        <v>9</v>
      </c>
      <c r="D200" s="5" t="s">
        <v>24</v>
      </c>
      <c r="E200" s="5" t="s">
        <v>34</v>
      </c>
      <c r="F200" s="5">
        <v>1670</v>
      </c>
      <c r="G200" s="5">
        <v>5</v>
      </c>
      <c r="H200" s="6">
        <f t="shared" si="13"/>
        <v>8.35</v>
      </c>
    </row>
    <row r="201" spans="1:8" hidden="1" x14ac:dyDescent="0.3">
      <c r="A201" s="4">
        <v>44973</v>
      </c>
      <c r="B201" s="5" t="s">
        <v>17</v>
      </c>
      <c r="C201" s="5" t="s">
        <v>26</v>
      </c>
      <c r="D201" s="5" t="s">
        <v>10</v>
      </c>
      <c r="E201" s="5" t="s">
        <v>11</v>
      </c>
      <c r="F201" s="5">
        <v>705</v>
      </c>
      <c r="G201" s="5">
        <v>81</v>
      </c>
      <c r="H201" s="6">
        <f t="shared" si="13"/>
        <v>57.104999999999997</v>
      </c>
    </row>
    <row r="202" spans="1:8" hidden="1" x14ac:dyDescent="0.3">
      <c r="A202" s="4">
        <v>44973</v>
      </c>
      <c r="B202" s="5" t="s">
        <v>12</v>
      </c>
      <c r="C202" s="5" t="s">
        <v>26</v>
      </c>
      <c r="D202" s="5" t="s">
        <v>10</v>
      </c>
      <c r="E202" s="5" t="s">
        <v>16</v>
      </c>
      <c r="F202" s="5">
        <v>1380</v>
      </c>
      <c r="G202" s="5">
        <v>34</v>
      </c>
      <c r="H202" s="6">
        <f t="shared" si="13"/>
        <v>46.92</v>
      </c>
    </row>
    <row r="203" spans="1:8" hidden="1" x14ac:dyDescent="0.3">
      <c r="A203" s="4">
        <v>44973</v>
      </c>
      <c r="B203" s="5" t="s">
        <v>17</v>
      </c>
      <c r="C203" s="5" t="s">
        <v>26</v>
      </c>
      <c r="D203" s="5" t="s">
        <v>18</v>
      </c>
      <c r="E203" s="5" t="s">
        <v>21</v>
      </c>
      <c r="F203" s="5">
        <v>450</v>
      </c>
      <c r="G203" s="5">
        <v>9</v>
      </c>
      <c r="H203" s="6">
        <f t="shared" si="13"/>
        <v>4.05</v>
      </c>
    </row>
    <row r="204" spans="1:8" hidden="1" x14ac:dyDescent="0.3">
      <c r="A204" s="4">
        <v>44973</v>
      </c>
      <c r="B204" s="5" t="s">
        <v>45</v>
      </c>
      <c r="C204" s="5" t="s">
        <v>26</v>
      </c>
      <c r="D204" s="5" t="s">
        <v>13</v>
      </c>
      <c r="E204" s="5" t="s">
        <v>14</v>
      </c>
      <c r="F204" s="5">
        <v>1320</v>
      </c>
      <c r="G204" s="5">
        <v>5</v>
      </c>
      <c r="H204" s="6">
        <f t="shared" si="13"/>
        <v>6.6</v>
      </c>
    </row>
    <row r="205" spans="1:8" hidden="1" x14ac:dyDescent="0.3">
      <c r="A205" s="4">
        <v>44973</v>
      </c>
      <c r="B205" s="5" t="s">
        <v>45</v>
      </c>
      <c r="C205" s="5" t="s">
        <v>26</v>
      </c>
      <c r="D205" s="5" t="s">
        <v>24</v>
      </c>
      <c r="E205" s="5" t="s">
        <v>34</v>
      </c>
      <c r="F205" s="5">
        <v>1670</v>
      </c>
      <c r="G205" s="5">
        <v>63</v>
      </c>
      <c r="H205" s="6">
        <f t="shared" si="13"/>
        <v>105.21</v>
      </c>
    </row>
    <row r="206" spans="1:8" hidden="1" x14ac:dyDescent="0.3">
      <c r="A206" s="4">
        <v>44973</v>
      </c>
      <c r="B206" s="5" t="s">
        <v>45</v>
      </c>
      <c r="C206" s="5" t="s">
        <v>26</v>
      </c>
      <c r="D206" s="5" t="s">
        <v>24</v>
      </c>
      <c r="E206" s="5" t="s">
        <v>25</v>
      </c>
      <c r="F206" s="5">
        <v>1760</v>
      </c>
      <c r="G206" s="5">
        <v>12</v>
      </c>
      <c r="H206" s="6">
        <f t="shared" si="13"/>
        <v>21.12</v>
      </c>
    </row>
    <row r="207" spans="1:8" hidden="1" x14ac:dyDescent="0.3">
      <c r="A207" s="4">
        <v>44973</v>
      </c>
      <c r="B207" s="5" t="s">
        <v>12</v>
      </c>
      <c r="C207" s="5" t="s">
        <v>15</v>
      </c>
      <c r="D207" s="5" t="s">
        <v>18</v>
      </c>
      <c r="E207" s="5" t="s">
        <v>31</v>
      </c>
      <c r="F207" s="5">
        <v>715</v>
      </c>
      <c r="G207" s="5">
        <v>64</v>
      </c>
      <c r="H207" s="6">
        <f t="shared" si="13"/>
        <v>45.76</v>
      </c>
    </row>
    <row r="208" spans="1:8" hidden="1" x14ac:dyDescent="0.3">
      <c r="A208" s="4">
        <v>44973</v>
      </c>
      <c r="B208" s="5" t="s">
        <v>8</v>
      </c>
      <c r="C208" s="5" t="s">
        <v>15</v>
      </c>
      <c r="D208" s="5" t="s">
        <v>18</v>
      </c>
      <c r="E208" s="5" t="s">
        <v>37</v>
      </c>
      <c r="F208" s="5">
        <v>890</v>
      </c>
      <c r="G208" s="5">
        <v>84</v>
      </c>
      <c r="H208" s="6">
        <f t="shared" si="13"/>
        <v>74.760000000000005</v>
      </c>
    </row>
    <row r="209" spans="1:8" x14ac:dyDescent="0.3">
      <c r="A209" s="4">
        <v>44973</v>
      </c>
      <c r="B209" s="5" t="s">
        <v>45</v>
      </c>
      <c r="C209" s="5" t="s">
        <v>15</v>
      </c>
      <c r="D209" s="5" t="s">
        <v>13</v>
      </c>
      <c r="E209" s="5" t="s">
        <v>29</v>
      </c>
      <c r="F209" s="5">
        <v>1230</v>
      </c>
      <c r="G209" s="5">
        <v>34</v>
      </c>
      <c r="H209" s="6">
        <f t="shared" si="13"/>
        <v>41.82</v>
      </c>
    </row>
    <row r="210" spans="1:8" hidden="1" x14ac:dyDescent="0.3">
      <c r="A210" s="4">
        <v>44973</v>
      </c>
      <c r="B210" s="5" t="s">
        <v>8</v>
      </c>
      <c r="C210" s="5" t="s">
        <v>15</v>
      </c>
      <c r="D210" s="5" t="s">
        <v>24</v>
      </c>
      <c r="E210" s="5" t="s">
        <v>30</v>
      </c>
      <c r="F210" s="5">
        <v>2970</v>
      </c>
      <c r="G210" s="5">
        <v>74</v>
      </c>
      <c r="H210" s="6">
        <f t="shared" si="13"/>
        <v>219.78</v>
      </c>
    </row>
    <row r="211" spans="1:8" hidden="1" x14ac:dyDescent="0.3">
      <c r="A211" s="4">
        <v>44973</v>
      </c>
      <c r="B211" s="5" t="s">
        <v>17</v>
      </c>
      <c r="C211" s="5" t="s">
        <v>33</v>
      </c>
      <c r="D211" s="5" t="s">
        <v>10</v>
      </c>
      <c r="E211" s="5" t="s">
        <v>39</v>
      </c>
      <c r="F211" s="5">
        <v>650</v>
      </c>
      <c r="G211" s="5">
        <v>42</v>
      </c>
      <c r="H211" s="6">
        <f t="shared" si="13"/>
        <v>27.3</v>
      </c>
    </row>
    <row r="212" spans="1:8" hidden="1" x14ac:dyDescent="0.3">
      <c r="A212" s="4">
        <v>44973</v>
      </c>
      <c r="B212" s="5" t="s">
        <v>17</v>
      </c>
      <c r="C212" s="5" t="s">
        <v>33</v>
      </c>
      <c r="D212" s="5" t="s">
        <v>18</v>
      </c>
      <c r="E212" s="5" t="s">
        <v>19</v>
      </c>
      <c r="F212" s="5">
        <v>325</v>
      </c>
      <c r="G212" s="5">
        <v>81</v>
      </c>
      <c r="H212" s="6">
        <f t="shared" si="13"/>
        <v>26.324999999999999</v>
      </c>
    </row>
    <row r="213" spans="1:8" hidden="1" x14ac:dyDescent="0.3">
      <c r="A213" s="4">
        <v>44973</v>
      </c>
      <c r="B213" s="5" t="s">
        <v>17</v>
      </c>
      <c r="C213" s="5" t="s">
        <v>33</v>
      </c>
      <c r="D213" s="5" t="s">
        <v>13</v>
      </c>
      <c r="E213" s="5" t="s">
        <v>38</v>
      </c>
      <c r="F213" s="5">
        <v>2400</v>
      </c>
      <c r="G213" s="5">
        <v>8</v>
      </c>
      <c r="H213" s="6">
        <f t="shared" si="13"/>
        <v>19.2</v>
      </c>
    </row>
    <row r="214" spans="1:8" hidden="1" x14ac:dyDescent="0.3">
      <c r="A214" s="4">
        <v>44973</v>
      </c>
      <c r="B214" s="5" t="s">
        <v>8</v>
      </c>
      <c r="C214" s="5" t="s">
        <v>33</v>
      </c>
      <c r="D214" s="5" t="s">
        <v>24</v>
      </c>
      <c r="E214" s="5" t="s">
        <v>30</v>
      </c>
      <c r="F214" s="5">
        <v>2970</v>
      </c>
      <c r="G214" s="5">
        <v>28</v>
      </c>
      <c r="H214" s="6">
        <f t="shared" si="13"/>
        <v>83.16</v>
      </c>
    </row>
    <row r="215" spans="1:8" hidden="1" x14ac:dyDescent="0.3">
      <c r="A215" s="4">
        <v>44973</v>
      </c>
      <c r="B215" s="5" t="s">
        <v>12</v>
      </c>
      <c r="C215" s="5" t="s">
        <v>33</v>
      </c>
      <c r="D215" s="5" t="s">
        <v>24</v>
      </c>
      <c r="E215" s="5" t="s">
        <v>42</v>
      </c>
      <c r="F215" s="5">
        <v>3205</v>
      </c>
      <c r="G215" s="5">
        <v>53</v>
      </c>
      <c r="H215" s="6">
        <f t="shared" si="13"/>
        <v>169.86500000000001</v>
      </c>
    </row>
    <row r="216" spans="1:8" hidden="1" x14ac:dyDescent="0.3">
      <c r="A216" s="4">
        <v>44973</v>
      </c>
      <c r="B216" s="5" t="s">
        <v>45</v>
      </c>
      <c r="C216" s="5" t="s">
        <v>35</v>
      </c>
      <c r="D216" s="5" t="s">
        <v>13</v>
      </c>
      <c r="E216" s="5" t="s">
        <v>38</v>
      </c>
      <c r="F216" s="5">
        <v>2400</v>
      </c>
      <c r="G216" s="5">
        <v>16</v>
      </c>
      <c r="H216" s="6">
        <f t="shared" si="13"/>
        <v>38.4</v>
      </c>
    </row>
    <row r="217" spans="1:8" hidden="1" x14ac:dyDescent="0.3">
      <c r="A217" s="4">
        <v>44973</v>
      </c>
      <c r="B217" s="5" t="s">
        <v>8</v>
      </c>
      <c r="C217" s="5" t="s">
        <v>35</v>
      </c>
      <c r="D217" s="5" t="s">
        <v>13</v>
      </c>
      <c r="E217" s="5" t="s">
        <v>29</v>
      </c>
      <c r="F217" s="5">
        <v>1230</v>
      </c>
      <c r="G217" s="5">
        <v>66</v>
      </c>
      <c r="H217" s="6">
        <f t="shared" si="13"/>
        <v>81.180000000000007</v>
      </c>
    </row>
    <row r="218" spans="1:8" hidden="1" x14ac:dyDescent="0.3">
      <c r="A218" s="4">
        <v>44973</v>
      </c>
      <c r="B218" s="5" t="s">
        <v>12</v>
      </c>
      <c r="C218" s="5" t="s">
        <v>35</v>
      </c>
      <c r="D218" s="5" t="s">
        <v>24</v>
      </c>
      <c r="E218" s="5" t="s">
        <v>34</v>
      </c>
      <c r="F218" s="5">
        <v>1670</v>
      </c>
      <c r="G218" s="5">
        <v>72</v>
      </c>
      <c r="H218" s="6">
        <f t="shared" si="13"/>
        <v>120.24</v>
      </c>
    </row>
    <row r="219" spans="1:8" hidden="1" x14ac:dyDescent="0.3">
      <c r="A219" s="4">
        <v>44973</v>
      </c>
      <c r="B219" s="5" t="s">
        <v>45</v>
      </c>
      <c r="C219" s="5" t="s">
        <v>35</v>
      </c>
      <c r="D219" s="5" t="s">
        <v>24</v>
      </c>
      <c r="E219" s="5" t="s">
        <v>30</v>
      </c>
      <c r="F219" s="5">
        <v>2970</v>
      </c>
      <c r="G219" s="5">
        <v>81</v>
      </c>
      <c r="H219" s="6">
        <f t="shared" si="13"/>
        <v>240.57</v>
      </c>
    </row>
    <row r="220" spans="1:8" hidden="1" x14ac:dyDescent="0.3">
      <c r="A220" s="4">
        <v>44973</v>
      </c>
      <c r="B220" s="5" t="s">
        <v>45</v>
      </c>
      <c r="C220" s="5" t="s">
        <v>26</v>
      </c>
      <c r="D220" s="5" t="s">
        <v>18</v>
      </c>
      <c r="E220" s="5" t="s">
        <v>28</v>
      </c>
      <c r="F220" s="5">
        <v>690</v>
      </c>
      <c r="G220" s="5">
        <v>78</v>
      </c>
      <c r="H220" s="6">
        <f t="shared" si="13"/>
        <v>53.82</v>
      </c>
    </row>
    <row r="221" spans="1:8" hidden="1" x14ac:dyDescent="0.3">
      <c r="A221" s="12" t="s">
        <v>61</v>
      </c>
      <c r="B221" s="5"/>
      <c r="C221" s="5"/>
      <c r="D221" s="5"/>
      <c r="E221" s="5"/>
      <c r="F221" s="5"/>
      <c r="G221" s="5"/>
      <c r="H221" s="6">
        <f>SUBTOTAL(9,H193:H220)</f>
        <v>41.82</v>
      </c>
    </row>
    <row r="222" spans="1:8" hidden="1" x14ac:dyDescent="0.3">
      <c r="A222" s="4">
        <v>44974</v>
      </c>
      <c r="B222" s="5" t="s">
        <v>17</v>
      </c>
      <c r="C222" s="5" t="s">
        <v>9</v>
      </c>
      <c r="D222" s="5" t="s">
        <v>10</v>
      </c>
      <c r="E222" s="5" t="s">
        <v>41</v>
      </c>
      <c r="F222" s="5">
        <v>650</v>
      </c>
      <c r="G222" s="5">
        <v>34</v>
      </c>
      <c r="H222" s="6">
        <f t="shared" ref="H222:H236" si="14">F222*G222/1000</f>
        <v>22.1</v>
      </c>
    </row>
    <row r="223" spans="1:8" hidden="1" x14ac:dyDescent="0.3">
      <c r="A223" s="4">
        <v>44974</v>
      </c>
      <c r="B223" s="5" t="s">
        <v>17</v>
      </c>
      <c r="C223" s="5" t="s">
        <v>9</v>
      </c>
      <c r="D223" s="5" t="s">
        <v>10</v>
      </c>
      <c r="E223" s="5" t="s">
        <v>40</v>
      </c>
      <c r="F223" s="5">
        <v>540</v>
      </c>
      <c r="G223" s="5">
        <v>46</v>
      </c>
      <c r="H223" s="6">
        <f t="shared" si="14"/>
        <v>24.84</v>
      </c>
    </row>
    <row r="224" spans="1:8" hidden="1" x14ac:dyDescent="0.3">
      <c r="A224" s="4">
        <v>44974</v>
      </c>
      <c r="B224" s="5" t="s">
        <v>12</v>
      </c>
      <c r="C224" s="5" t="s">
        <v>9</v>
      </c>
      <c r="D224" s="5" t="s">
        <v>24</v>
      </c>
      <c r="E224" s="5" t="s">
        <v>42</v>
      </c>
      <c r="F224" s="5">
        <v>3205</v>
      </c>
      <c r="G224" s="5">
        <v>38</v>
      </c>
      <c r="H224" s="6">
        <f t="shared" si="14"/>
        <v>121.79</v>
      </c>
    </row>
    <row r="225" spans="1:8" hidden="1" x14ac:dyDescent="0.3">
      <c r="A225" s="4">
        <v>44974</v>
      </c>
      <c r="B225" s="5" t="s">
        <v>45</v>
      </c>
      <c r="C225" s="5" t="s">
        <v>26</v>
      </c>
      <c r="D225" s="5" t="s">
        <v>10</v>
      </c>
      <c r="E225" s="5" t="s">
        <v>40</v>
      </c>
      <c r="F225" s="5">
        <v>540</v>
      </c>
      <c r="G225" s="5">
        <v>32</v>
      </c>
      <c r="H225" s="6">
        <f t="shared" si="14"/>
        <v>17.28</v>
      </c>
    </row>
    <row r="226" spans="1:8" hidden="1" x14ac:dyDescent="0.3">
      <c r="A226" s="4">
        <v>44974</v>
      </c>
      <c r="B226" s="5" t="s">
        <v>12</v>
      </c>
      <c r="C226" s="5" t="s">
        <v>26</v>
      </c>
      <c r="D226" s="5" t="s">
        <v>24</v>
      </c>
      <c r="E226" s="5" t="s">
        <v>25</v>
      </c>
      <c r="F226" s="5">
        <v>1760</v>
      </c>
      <c r="G226" s="5">
        <v>36</v>
      </c>
      <c r="H226" s="6">
        <f t="shared" si="14"/>
        <v>63.36</v>
      </c>
    </row>
    <row r="227" spans="1:8" hidden="1" x14ac:dyDescent="0.3">
      <c r="A227" s="4">
        <v>44974</v>
      </c>
      <c r="B227" s="5" t="s">
        <v>8</v>
      </c>
      <c r="C227" s="5" t="s">
        <v>26</v>
      </c>
      <c r="D227" s="5" t="s">
        <v>24</v>
      </c>
      <c r="E227" s="5" t="s">
        <v>36</v>
      </c>
      <c r="F227" s="5">
        <v>2460</v>
      </c>
      <c r="G227" s="5">
        <v>95</v>
      </c>
      <c r="H227" s="6">
        <f t="shared" si="14"/>
        <v>233.7</v>
      </c>
    </row>
    <row r="228" spans="1:8" hidden="1" x14ac:dyDescent="0.3">
      <c r="A228" s="4">
        <v>44974</v>
      </c>
      <c r="B228" s="5" t="s">
        <v>8</v>
      </c>
      <c r="C228" s="5" t="s">
        <v>15</v>
      </c>
      <c r="D228" s="5" t="s">
        <v>10</v>
      </c>
      <c r="E228" s="5" t="s">
        <v>11</v>
      </c>
      <c r="F228" s="5">
        <v>705</v>
      </c>
      <c r="G228" s="5">
        <v>57</v>
      </c>
      <c r="H228" s="6">
        <f t="shared" si="14"/>
        <v>40.185000000000002</v>
      </c>
    </row>
    <row r="229" spans="1:8" hidden="1" x14ac:dyDescent="0.3">
      <c r="A229" s="4">
        <v>44974</v>
      </c>
      <c r="B229" s="5" t="s">
        <v>45</v>
      </c>
      <c r="C229" s="5" t="s">
        <v>15</v>
      </c>
      <c r="D229" s="5" t="s">
        <v>13</v>
      </c>
      <c r="E229" s="5" t="s">
        <v>22</v>
      </c>
      <c r="F229" s="5">
        <v>930</v>
      </c>
      <c r="G229" s="5">
        <v>36</v>
      </c>
      <c r="H229" s="6">
        <f t="shared" si="14"/>
        <v>33.479999999999997</v>
      </c>
    </row>
    <row r="230" spans="1:8" hidden="1" x14ac:dyDescent="0.3">
      <c r="A230" s="4">
        <v>44974</v>
      </c>
      <c r="B230" s="5" t="s">
        <v>8</v>
      </c>
      <c r="C230" s="5" t="s">
        <v>33</v>
      </c>
      <c r="D230" s="5" t="s">
        <v>13</v>
      </c>
      <c r="E230" s="5" t="s">
        <v>44</v>
      </c>
      <c r="F230" s="5">
        <v>2540</v>
      </c>
      <c r="G230" s="5">
        <v>55</v>
      </c>
      <c r="H230" s="6">
        <f t="shared" si="14"/>
        <v>139.69999999999999</v>
      </c>
    </row>
    <row r="231" spans="1:8" hidden="1" x14ac:dyDescent="0.3">
      <c r="A231" s="4">
        <v>44974</v>
      </c>
      <c r="B231" s="5" t="s">
        <v>17</v>
      </c>
      <c r="C231" s="5" t="s">
        <v>33</v>
      </c>
      <c r="D231" s="5" t="s">
        <v>13</v>
      </c>
      <c r="E231" s="5" t="s">
        <v>44</v>
      </c>
      <c r="F231" s="5">
        <v>2540</v>
      </c>
      <c r="G231" s="5">
        <v>7</v>
      </c>
      <c r="H231" s="6">
        <f t="shared" si="14"/>
        <v>17.78</v>
      </c>
    </row>
    <row r="232" spans="1:8" hidden="1" x14ac:dyDescent="0.3">
      <c r="A232" s="4">
        <v>44974</v>
      </c>
      <c r="B232" s="5" t="s">
        <v>8</v>
      </c>
      <c r="C232" s="5" t="s">
        <v>33</v>
      </c>
      <c r="D232" s="5" t="s">
        <v>24</v>
      </c>
      <c r="E232" s="5" t="s">
        <v>32</v>
      </c>
      <c r="F232" s="5">
        <v>1505</v>
      </c>
      <c r="G232" s="5">
        <v>90</v>
      </c>
      <c r="H232" s="6">
        <f t="shared" si="14"/>
        <v>135.44999999999999</v>
      </c>
    </row>
    <row r="233" spans="1:8" hidden="1" x14ac:dyDescent="0.3">
      <c r="A233" s="4">
        <v>44974</v>
      </c>
      <c r="B233" s="5" t="s">
        <v>8</v>
      </c>
      <c r="C233" s="5" t="s">
        <v>35</v>
      </c>
      <c r="D233" s="5" t="s">
        <v>18</v>
      </c>
      <c r="E233" s="5" t="s">
        <v>28</v>
      </c>
      <c r="F233" s="5">
        <v>690</v>
      </c>
      <c r="G233" s="5">
        <v>96</v>
      </c>
      <c r="H233" s="6">
        <f t="shared" si="14"/>
        <v>66.239999999999995</v>
      </c>
    </row>
    <row r="234" spans="1:8" hidden="1" x14ac:dyDescent="0.3">
      <c r="A234" s="4">
        <v>44974</v>
      </c>
      <c r="B234" s="5" t="s">
        <v>17</v>
      </c>
      <c r="C234" s="5" t="s">
        <v>35</v>
      </c>
      <c r="D234" s="5" t="s">
        <v>18</v>
      </c>
      <c r="E234" s="5" t="s">
        <v>31</v>
      </c>
      <c r="F234" s="5">
        <v>715</v>
      </c>
      <c r="G234" s="5">
        <v>73</v>
      </c>
      <c r="H234" s="6">
        <f t="shared" si="14"/>
        <v>52.195</v>
      </c>
    </row>
    <row r="235" spans="1:8" hidden="1" x14ac:dyDescent="0.3">
      <c r="A235" s="4">
        <v>44974</v>
      </c>
      <c r="B235" s="5" t="s">
        <v>12</v>
      </c>
      <c r="C235" s="5" t="s">
        <v>35</v>
      </c>
      <c r="D235" s="5" t="s">
        <v>13</v>
      </c>
      <c r="E235" s="5" t="s">
        <v>22</v>
      </c>
      <c r="F235" s="5">
        <v>930</v>
      </c>
      <c r="G235" s="5">
        <v>25</v>
      </c>
      <c r="H235" s="6">
        <f t="shared" si="14"/>
        <v>23.25</v>
      </c>
    </row>
    <row r="236" spans="1:8" hidden="1" x14ac:dyDescent="0.3">
      <c r="A236" s="4">
        <v>44974</v>
      </c>
      <c r="B236" s="5" t="s">
        <v>17</v>
      </c>
      <c r="C236" s="5" t="s">
        <v>26</v>
      </c>
      <c r="D236" s="5" t="s">
        <v>24</v>
      </c>
      <c r="E236" s="5" t="s">
        <v>32</v>
      </c>
      <c r="F236" s="5">
        <v>1505</v>
      </c>
      <c r="G236" s="5">
        <v>25</v>
      </c>
      <c r="H236" s="6">
        <f t="shared" si="14"/>
        <v>37.625</v>
      </c>
    </row>
    <row r="237" spans="1:8" hidden="1" x14ac:dyDescent="0.3">
      <c r="A237" s="12" t="s">
        <v>62</v>
      </c>
      <c r="B237" s="5"/>
      <c r="C237" s="5"/>
      <c r="D237" s="5"/>
      <c r="E237" s="5"/>
      <c r="F237" s="5"/>
      <c r="G237" s="5"/>
      <c r="H237" s="6">
        <f>SUBTOTAL(9,H222:H236)</f>
        <v>0</v>
      </c>
    </row>
    <row r="238" spans="1:8" hidden="1" x14ac:dyDescent="0.3">
      <c r="A238" s="7">
        <v>44975</v>
      </c>
      <c r="B238" s="8" t="s">
        <v>45</v>
      </c>
      <c r="C238" s="8" t="s">
        <v>20</v>
      </c>
      <c r="D238" s="8" t="s">
        <v>10</v>
      </c>
      <c r="E238" s="8" t="s">
        <v>16</v>
      </c>
      <c r="F238" s="8">
        <v>1380</v>
      </c>
      <c r="G238" s="8">
        <v>29</v>
      </c>
      <c r="H238" s="6">
        <f t="shared" ref="H238:H264" si="15">F238*G238/1000</f>
        <v>40.020000000000003</v>
      </c>
    </row>
    <row r="239" spans="1:8" hidden="1" x14ac:dyDescent="0.3">
      <c r="A239" s="4">
        <v>44975</v>
      </c>
      <c r="B239" s="5" t="s">
        <v>8</v>
      </c>
      <c r="C239" s="5" t="s">
        <v>20</v>
      </c>
      <c r="D239" s="5" t="s">
        <v>13</v>
      </c>
      <c r="E239" s="5" t="s">
        <v>43</v>
      </c>
      <c r="F239" s="5">
        <v>1420</v>
      </c>
      <c r="G239" s="5">
        <v>84</v>
      </c>
      <c r="H239" s="6">
        <f t="shared" si="15"/>
        <v>119.28</v>
      </c>
    </row>
    <row r="240" spans="1:8" hidden="1" x14ac:dyDescent="0.3">
      <c r="A240" s="4">
        <v>44975</v>
      </c>
      <c r="B240" s="5" t="s">
        <v>12</v>
      </c>
      <c r="C240" s="5" t="s">
        <v>9</v>
      </c>
      <c r="D240" s="5" t="s">
        <v>10</v>
      </c>
      <c r="E240" s="5" t="s">
        <v>16</v>
      </c>
      <c r="F240" s="5">
        <v>1380</v>
      </c>
      <c r="G240" s="5">
        <v>19</v>
      </c>
      <c r="H240" s="6">
        <f t="shared" si="15"/>
        <v>26.22</v>
      </c>
    </row>
    <row r="241" spans="1:8" hidden="1" x14ac:dyDescent="0.3">
      <c r="A241" s="4">
        <v>44975</v>
      </c>
      <c r="B241" s="5" t="s">
        <v>8</v>
      </c>
      <c r="C241" s="5" t="s">
        <v>9</v>
      </c>
      <c r="D241" s="5" t="s">
        <v>18</v>
      </c>
      <c r="E241" s="5" t="s">
        <v>37</v>
      </c>
      <c r="F241" s="5">
        <v>890</v>
      </c>
      <c r="G241" s="5">
        <v>65</v>
      </c>
      <c r="H241" s="6">
        <f t="shared" si="15"/>
        <v>57.85</v>
      </c>
    </row>
    <row r="242" spans="1:8" hidden="1" x14ac:dyDescent="0.3">
      <c r="A242" s="4">
        <v>44975</v>
      </c>
      <c r="B242" s="5" t="s">
        <v>17</v>
      </c>
      <c r="C242" s="5" t="s">
        <v>9</v>
      </c>
      <c r="D242" s="5" t="s">
        <v>13</v>
      </c>
      <c r="E242" s="5" t="s">
        <v>43</v>
      </c>
      <c r="F242" s="5">
        <v>1420</v>
      </c>
      <c r="G242" s="5">
        <v>55</v>
      </c>
      <c r="H242" s="6">
        <f t="shared" si="15"/>
        <v>78.099999999999994</v>
      </c>
    </row>
    <row r="243" spans="1:8" hidden="1" x14ac:dyDescent="0.3">
      <c r="A243" s="4">
        <v>44975</v>
      </c>
      <c r="B243" s="5" t="s">
        <v>17</v>
      </c>
      <c r="C243" s="5" t="s">
        <v>9</v>
      </c>
      <c r="D243" s="5" t="s">
        <v>24</v>
      </c>
      <c r="E243" s="5" t="s">
        <v>42</v>
      </c>
      <c r="F243" s="5">
        <v>3205</v>
      </c>
      <c r="G243" s="5">
        <v>5</v>
      </c>
      <c r="H243" s="6">
        <f t="shared" si="15"/>
        <v>16.024999999999999</v>
      </c>
    </row>
    <row r="244" spans="1:8" hidden="1" x14ac:dyDescent="0.3">
      <c r="A244" s="4">
        <v>44975</v>
      </c>
      <c r="B244" s="5" t="s">
        <v>45</v>
      </c>
      <c r="C244" s="5" t="s">
        <v>26</v>
      </c>
      <c r="D244" s="5" t="s">
        <v>10</v>
      </c>
      <c r="E244" s="5" t="s">
        <v>39</v>
      </c>
      <c r="F244" s="5">
        <v>650</v>
      </c>
      <c r="G244" s="5">
        <v>29</v>
      </c>
      <c r="H244" s="6">
        <f t="shared" si="15"/>
        <v>18.850000000000001</v>
      </c>
    </row>
    <row r="245" spans="1:8" hidden="1" x14ac:dyDescent="0.3">
      <c r="A245" s="4">
        <v>44975</v>
      </c>
      <c r="B245" s="5" t="s">
        <v>17</v>
      </c>
      <c r="C245" s="5" t="s">
        <v>26</v>
      </c>
      <c r="D245" s="5" t="s">
        <v>10</v>
      </c>
      <c r="E245" s="5" t="s">
        <v>40</v>
      </c>
      <c r="F245" s="5">
        <v>540</v>
      </c>
      <c r="G245" s="5">
        <v>79</v>
      </c>
      <c r="H245" s="6">
        <f t="shared" si="15"/>
        <v>42.66</v>
      </c>
    </row>
    <row r="246" spans="1:8" hidden="1" x14ac:dyDescent="0.3">
      <c r="A246" s="4">
        <v>44975</v>
      </c>
      <c r="B246" s="5" t="s">
        <v>45</v>
      </c>
      <c r="C246" s="5" t="s">
        <v>26</v>
      </c>
      <c r="D246" s="5" t="s">
        <v>10</v>
      </c>
      <c r="E246" s="5" t="s">
        <v>39</v>
      </c>
      <c r="F246" s="5">
        <v>650</v>
      </c>
      <c r="G246" s="5">
        <v>99</v>
      </c>
      <c r="H246" s="6">
        <f t="shared" si="15"/>
        <v>64.349999999999994</v>
      </c>
    </row>
    <row r="247" spans="1:8" hidden="1" x14ac:dyDescent="0.3">
      <c r="A247" s="4">
        <v>44975</v>
      </c>
      <c r="B247" s="5" t="s">
        <v>45</v>
      </c>
      <c r="C247" s="5" t="s">
        <v>26</v>
      </c>
      <c r="D247" s="5" t="s">
        <v>10</v>
      </c>
      <c r="E247" s="5" t="s">
        <v>23</v>
      </c>
      <c r="F247" s="5">
        <v>640</v>
      </c>
      <c r="G247" s="5">
        <v>79</v>
      </c>
      <c r="H247" s="6">
        <f t="shared" si="15"/>
        <v>50.56</v>
      </c>
    </row>
    <row r="248" spans="1:8" hidden="1" x14ac:dyDescent="0.3">
      <c r="A248" s="4">
        <v>44975</v>
      </c>
      <c r="B248" s="5" t="s">
        <v>17</v>
      </c>
      <c r="C248" s="5" t="s">
        <v>26</v>
      </c>
      <c r="D248" s="5" t="s">
        <v>18</v>
      </c>
      <c r="E248" s="5" t="s">
        <v>31</v>
      </c>
      <c r="F248" s="5">
        <v>715</v>
      </c>
      <c r="G248" s="5">
        <v>16</v>
      </c>
      <c r="H248" s="6">
        <f t="shared" si="15"/>
        <v>11.44</v>
      </c>
    </row>
    <row r="249" spans="1:8" hidden="1" x14ac:dyDescent="0.3">
      <c r="A249" s="4">
        <v>44975</v>
      </c>
      <c r="B249" s="5" t="s">
        <v>17</v>
      </c>
      <c r="C249" s="5" t="s">
        <v>26</v>
      </c>
      <c r="D249" s="5" t="s">
        <v>13</v>
      </c>
      <c r="E249" s="5" t="s">
        <v>22</v>
      </c>
      <c r="F249" s="5">
        <v>930</v>
      </c>
      <c r="G249" s="5">
        <v>46</v>
      </c>
      <c r="H249" s="6">
        <f t="shared" si="15"/>
        <v>42.78</v>
      </c>
    </row>
    <row r="250" spans="1:8" hidden="1" x14ac:dyDescent="0.3">
      <c r="A250" s="4">
        <v>44975</v>
      </c>
      <c r="B250" s="5" t="s">
        <v>12</v>
      </c>
      <c r="C250" s="5" t="s">
        <v>26</v>
      </c>
      <c r="D250" s="5" t="s">
        <v>24</v>
      </c>
      <c r="E250" s="5" t="s">
        <v>34</v>
      </c>
      <c r="F250" s="5">
        <v>1670</v>
      </c>
      <c r="G250" s="5">
        <v>13</v>
      </c>
      <c r="H250" s="6">
        <f t="shared" si="15"/>
        <v>21.71</v>
      </c>
    </row>
    <row r="251" spans="1:8" hidden="1" x14ac:dyDescent="0.3">
      <c r="A251" s="4">
        <v>44975</v>
      </c>
      <c r="B251" s="5" t="s">
        <v>45</v>
      </c>
      <c r="C251" s="5" t="s">
        <v>15</v>
      </c>
      <c r="D251" s="5" t="s">
        <v>10</v>
      </c>
      <c r="E251" s="5" t="s">
        <v>39</v>
      </c>
      <c r="F251" s="5">
        <v>650</v>
      </c>
      <c r="G251" s="5">
        <v>90</v>
      </c>
      <c r="H251" s="6">
        <f t="shared" si="15"/>
        <v>58.5</v>
      </c>
    </row>
    <row r="252" spans="1:8" hidden="1" x14ac:dyDescent="0.3">
      <c r="A252" s="4">
        <v>44975</v>
      </c>
      <c r="B252" s="5" t="s">
        <v>12</v>
      </c>
      <c r="C252" s="5" t="s">
        <v>15</v>
      </c>
      <c r="D252" s="5" t="s">
        <v>10</v>
      </c>
      <c r="E252" s="5" t="s">
        <v>40</v>
      </c>
      <c r="F252" s="5">
        <v>540</v>
      </c>
      <c r="G252" s="5">
        <v>55</v>
      </c>
      <c r="H252" s="6">
        <f t="shared" si="15"/>
        <v>29.7</v>
      </c>
    </row>
    <row r="253" spans="1:8" hidden="1" x14ac:dyDescent="0.3">
      <c r="A253" s="4">
        <v>44975</v>
      </c>
      <c r="B253" s="5" t="s">
        <v>45</v>
      </c>
      <c r="C253" s="5" t="s">
        <v>15</v>
      </c>
      <c r="D253" s="5" t="s">
        <v>18</v>
      </c>
      <c r="E253" s="5" t="s">
        <v>28</v>
      </c>
      <c r="F253" s="5">
        <v>690</v>
      </c>
      <c r="G253" s="5">
        <v>51</v>
      </c>
      <c r="H253" s="6">
        <f t="shared" si="15"/>
        <v>35.19</v>
      </c>
    </row>
    <row r="254" spans="1:8" hidden="1" x14ac:dyDescent="0.3">
      <c r="A254" s="4">
        <v>44975</v>
      </c>
      <c r="B254" s="5" t="s">
        <v>17</v>
      </c>
      <c r="C254" s="5" t="s">
        <v>15</v>
      </c>
      <c r="D254" s="5" t="s">
        <v>18</v>
      </c>
      <c r="E254" s="5" t="s">
        <v>19</v>
      </c>
      <c r="F254" s="5">
        <v>325</v>
      </c>
      <c r="G254" s="5">
        <v>59</v>
      </c>
      <c r="H254" s="6">
        <f t="shared" si="15"/>
        <v>19.175000000000001</v>
      </c>
    </row>
    <row r="255" spans="1:8" hidden="1" x14ac:dyDescent="0.3">
      <c r="A255" s="4">
        <v>44975</v>
      </c>
      <c r="B255" s="5" t="s">
        <v>17</v>
      </c>
      <c r="C255" s="5" t="s">
        <v>33</v>
      </c>
      <c r="D255" s="5" t="s">
        <v>18</v>
      </c>
      <c r="E255" s="5" t="s">
        <v>21</v>
      </c>
      <c r="F255" s="5">
        <v>450</v>
      </c>
      <c r="G255" s="5">
        <v>47</v>
      </c>
      <c r="H255" s="6">
        <f t="shared" si="15"/>
        <v>21.15</v>
      </c>
    </row>
    <row r="256" spans="1:8" hidden="1" x14ac:dyDescent="0.3">
      <c r="A256" s="4">
        <v>44975</v>
      </c>
      <c r="B256" s="5" t="s">
        <v>17</v>
      </c>
      <c r="C256" s="5" t="s">
        <v>33</v>
      </c>
      <c r="D256" s="5" t="s">
        <v>24</v>
      </c>
      <c r="E256" s="5" t="s">
        <v>42</v>
      </c>
      <c r="F256" s="5">
        <v>3205</v>
      </c>
      <c r="G256" s="5">
        <v>82</v>
      </c>
      <c r="H256" s="6">
        <f t="shared" si="15"/>
        <v>262.81</v>
      </c>
    </row>
    <row r="257" spans="1:8" hidden="1" x14ac:dyDescent="0.3">
      <c r="A257" s="4">
        <v>44975</v>
      </c>
      <c r="B257" s="5" t="s">
        <v>12</v>
      </c>
      <c r="C257" s="5" t="s">
        <v>35</v>
      </c>
      <c r="D257" s="5" t="s">
        <v>10</v>
      </c>
      <c r="E257" s="5" t="s">
        <v>23</v>
      </c>
      <c r="F257" s="5">
        <v>640</v>
      </c>
      <c r="G257" s="5">
        <v>33</v>
      </c>
      <c r="H257" s="6">
        <f t="shared" si="15"/>
        <v>21.12</v>
      </c>
    </row>
    <row r="258" spans="1:8" hidden="1" x14ac:dyDescent="0.3">
      <c r="A258" s="4">
        <v>44975</v>
      </c>
      <c r="B258" s="5" t="s">
        <v>45</v>
      </c>
      <c r="C258" s="5" t="s">
        <v>35</v>
      </c>
      <c r="D258" s="5" t="s">
        <v>10</v>
      </c>
      <c r="E258" s="5" t="s">
        <v>16</v>
      </c>
      <c r="F258" s="5">
        <v>1380</v>
      </c>
      <c r="G258" s="5">
        <v>34</v>
      </c>
      <c r="H258" s="6">
        <f t="shared" si="15"/>
        <v>46.92</v>
      </c>
    </row>
    <row r="259" spans="1:8" hidden="1" x14ac:dyDescent="0.3">
      <c r="A259" s="4">
        <v>44975</v>
      </c>
      <c r="B259" s="5" t="s">
        <v>8</v>
      </c>
      <c r="C259" s="5" t="s">
        <v>35</v>
      </c>
      <c r="D259" s="5" t="s">
        <v>13</v>
      </c>
      <c r="E259" s="5" t="s">
        <v>22</v>
      </c>
      <c r="F259" s="5">
        <v>930</v>
      </c>
      <c r="G259" s="5">
        <v>46</v>
      </c>
      <c r="H259" s="6">
        <f t="shared" si="15"/>
        <v>42.78</v>
      </c>
    </row>
    <row r="260" spans="1:8" hidden="1" x14ac:dyDescent="0.3">
      <c r="A260" s="4">
        <v>44975</v>
      </c>
      <c r="B260" s="5" t="s">
        <v>17</v>
      </c>
      <c r="C260" s="5" t="s">
        <v>35</v>
      </c>
      <c r="D260" s="5" t="s">
        <v>13</v>
      </c>
      <c r="E260" s="5" t="s">
        <v>43</v>
      </c>
      <c r="F260" s="5">
        <v>1420</v>
      </c>
      <c r="G260" s="5">
        <v>75</v>
      </c>
      <c r="H260" s="6">
        <f t="shared" si="15"/>
        <v>106.5</v>
      </c>
    </row>
    <row r="261" spans="1:8" hidden="1" x14ac:dyDescent="0.3">
      <c r="A261" s="4">
        <v>44975</v>
      </c>
      <c r="B261" s="5" t="s">
        <v>17</v>
      </c>
      <c r="C261" s="5" t="s">
        <v>35</v>
      </c>
      <c r="D261" s="5" t="s">
        <v>13</v>
      </c>
      <c r="E261" s="5" t="s">
        <v>14</v>
      </c>
      <c r="F261" s="5">
        <v>1320</v>
      </c>
      <c r="G261" s="5">
        <v>90</v>
      </c>
      <c r="H261" s="6">
        <f t="shared" si="15"/>
        <v>118.8</v>
      </c>
    </row>
    <row r="262" spans="1:8" x14ac:dyDescent="0.3">
      <c r="A262" s="4">
        <v>44975</v>
      </c>
      <c r="B262" s="5" t="s">
        <v>45</v>
      </c>
      <c r="C262" s="5" t="s">
        <v>35</v>
      </c>
      <c r="D262" s="5" t="s">
        <v>13</v>
      </c>
      <c r="E262" s="5" t="s">
        <v>29</v>
      </c>
      <c r="F262" s="5">
        <v>1230</v>
      </c>
      <c r="G262" s="5">
        <v>33</v>
      </c>
      <c r="H262" s="6">
        <f t="shared" si="15"/>
        <v>40.590000000000003</v>
      </c>
    </row>
    <row r="263" spans="1:8" hidden="1" x14ac:dyDescent="0.3">
      <c r="A263" s="4">
        <v>44975</v>
      </c>
      <c r="B263" s="5" t="s">
        <v>12</v>
      </c>
      <c r="C263" s="5" t="s">
        <v>35</v>
      </c>
      <c r="D263" s="5" t="s">
        <v>24</v>
      </c>
      <c r="E263" s="5" t="s">
        <v>25</v>
      </c>
      <c r="F263" s="5">
        <v>1760</v>
      </c>
      <c r="G263" s="5">
        <v>80</v>
      </c>
      <c r="H263" s="6">
        <f t="shared" si="15"/>
        <v>140.80000000000001</v>
      </c>
    </row>
    <row r="264" spans="1:8" hidden="1" x14ac:dyDescent="0.3">
      <c r="A264" s="4">
        <v>44975</v>
      </c>
      <c r="B264" s="5" t="s">
        <v>12</v>
      </c>
      <c r="C264" s="5" t="s">
        <v>26</v>
      </c>
      <c r="D264" s="5" t="s">
        <v>24</v>
      </c>
      <c r="E264" s="5" t="s">
        <v>32</v>
      </c>
      <c r="F264" s="5">
        <v>1505</v>
      </c>
      <c r="G264" s="5">
        <v>53</v>
      </c>
      <c r="H264" s="6">
        <f t="shared" si="15"/>
        <v>79.765000000000001</v>
      </c>
    </row>
    <row r="265" spans="1:8" hidden="1" x14ac:dyDescent="0.3">
      <c r="A265" s="12" t="s">
        <v>63</v>
      </c>
      <c r="B265" s="5"/>
      <c r="C265" s="5"/>
      <c r="D265" s="5"/>
      <c r="E265" s="5"/>
      <c r="F265" s="5"/>
      <c r="G265" s="5"/>
      <c r="H265" s="6">
        <f>SUBTOTAL(9,H238:H264)</f>
        <v>40.590000000000003</v>
      </c>
    </row>
    <row r="266" spans="1:8" hidden="1" x14ac:dyDescent="0.3">
      <c r="A266" s="7">
        <v>44976</v>
      </c>
      <c r="B266" s="8" t="s">
        <v>17</v>
      </c>
      <c r="C266" s="8" t="s">
        <v>20</v>
      </c>
      <c r="D266" s="8" t="s">
        <v>10</v>
      </c>
      <c r="E266" s="8" t="s">
        <v>41</v>
      </c>
      <c r="F266" s="8">
        <v>650</v>
      </c>
      <c r="G266" s="8">
        <v>32</v>
      </c>
      <c r="H266" s="6">
        <f t="shared" ref="H266:H279" si="16">F266*G266/1000</f>
        <v>20.8</v>
      </c>
    </row>
    <row r="267" spans="1:8" hidden="1" x14ac:dyDescent="0.3">
      <c r="A267" s="4">
        <v>44976</v>
      </c>
      <c r="B267" s="5" t="s">
        <v>8</v>
      </c>
      <c r="C267" s="5" t="s">
        <v>9</v>
      </c>
      <c r="D267" s="5" t="s">
        <v>24</v>
      </c>
      <c r="E267" s="5" t="s">
        <v>32</v>
      </c>
      <c r="F267" s="5">
        <v>1505</v>
      </c>
      <c r="G267" s="5">
        <v>55</v>
      </c>
      <c r="H267" s="6">
        <f t="shared" si="16"/>
        <v>82.775000000000006</v>
      </c>
    </row>
    <row r="268" spans="1:8" hidden="1" x14ac:dyDescent="0.3">
      <c r="A268" s="9">
        <v>44976</v>
      </c>
      <c r="B268" t="s">
        <v>12</v>
      </c>
      <c r="C268" t="s">
        <v>26</v>
      </c>
      <c r="D268" t="s">
        <v>18</v>
      </c>
      <c r="E268" t="s">
        <v>27</v>
      </c>
      <c r="F268">
        <v>460</v>
      </c>
      <c r="G268">
        <v>58</v>
      </c>
      <c r="H268" s="6">
        <f t="shared" si="16"/>
        <v>26.68</v>
      </c>
    </row>
    <row r="269" spans="1:8" hidden="1" x14ac:dyDescent="0.3">
      <c r="A269" s="9">
        <v>44976</v>
      </c>
      <c r="B269" t="s">
        <v>12</v>
      </c>
      <c r="C269" t="s">
        <v>15</v>
      </c>
      <c r="D269" t="s">
        <v>18</v>
      </c>
      <c r="E269" t="s">
        <v>31</v>
      </c>
      <c r="F269">
        <v>715</v>
      </c>
      <c r="G269">
        <v>79</v>
      </c>
      <c r="H269" s="6">
        <f t="shared" si="16"/>
        <v>56.484999999999999</v>
      </c>
    </row>
    <row r="270" spans="1:8" hidden="1" x14ac:dyDescent="0.3">
      <c r="A270" s="9">
        <v>44976</v>
      </c>
      <c r="B270" t="s">
        <v>8</v>
      </c>
      <c r="C270" t="s">
        <v>15</v>
      </c>
      <c r="D270" t="s">
        <v>18</v>
      </c>
      <c r="E270" t="s">
        <v>27</v>
      </c>
      <c r="F270">
        <v>460</v>
      </c>
      <c r="G270">
        <v>12</v>
      </c>
      <c r="H270" s="6">
        <f t="shared" si="16"/>
        <v>5.52</v>
      </c>
    </row>
    <row r="271" spans="1:8" hidden="1" x14ac:dyDescent="0.3">
      <c r="A271" s="9">
        <v>44976</v>
      </c>
      <c r="B271" t="s">
        <v>45</v>
      </c>
      <c r="C271" t="s">
        <v>15</v>
      </c>
      <c r="D271" t="s">
        <v>13</v>
      </c>
      <c r="E271" t="s">
        <v>38</v>
      </c>
      <c r="F271">
        <v>2400</v>
      </c>
      <c r="G271">
        <v>12</v>
      </c>
      <c r="H271" s="6">
        <f t="shared" si="16"/>
        <v>28.8</v>
      </c>
    </row>
    <row r="272" spans="1:8" hidden="1" x14ac:dyDescent="0.3">
      <c r="A272" s="9">
        <v>44976</v>
      </c>
      <c r="B272" t="s">
        <v>45</v>
      </c>
      <c r="C272" t="s">
        <v>15</v>
      </c>
      <c r="D272" t="s">
        <v>24</v>
      </c>
      <c r="E272" t="s">
        <v>30</v>
      </c>
      <c r="F272">
        <v>2970</v>
      </c>
      <c r="G272">
        <v>56</v>
      </c>
      <c r="H272" s="6">
        <f t="shared" si="16"/>
        <v>166.32</v>
      </c>
    </row>
    <row r="273" spans="1:8" hidden="1" x14ac:dyDescent="0.3">
      <c r="A273" s="9">
        <v>44976</v>
      </c>
      <c r="B273" t="s">
        <v>17</v>
      </c>
      <c r="C273" t="s">
        <v>33</v>
      </c>
      <c r="D273" t="s">
        <v>18</v>
      </c>
      <c r="E273" t="s">
        <v>28</v>
      </c>
      <c r="F273">
        <v>690</v>
      </c>
      <c r="G273">
        <v>12</v>
      </c>
      <c r="H273" s="6">
        <f t="shared" si="16"/>
        <v>8.2799999999999994</v>
      </c>
    </row>
    <row r="274" spans="1:8" hidden="1" x14ac:dyDescent="0.3">
      <c r="A274" s="9">
        <v>44976</v>
      </c>
      <c r="B274" t="s">
        <v>8</v>
      </c>
      <c r="C274" t="s">
        <v>33</v>
      </c>
      <c r="D274" t="s">
        <v>18</v>
      </c>
      <c r="E274" t="s">
        <v>21</v>
      </c>
      <c r="F274">
        <v>450</v>
      </c>
      <c r="G274">
        <v>36</v>
      </c>
      <c r="H274" s="6">
        <f t="shared" si="16"/>
        <v>16.2</v>
      </c>
    </row>
    <row r="275" spans="1:8" hidden="1" x14ac:dyDescent="0.3">
      <c r="A275" s="9">
        <v>44976</v>
      </c>
      <c r="B275" t="s">
        <v>45</v>
      </c>
      <c r="C275" t="s">
        <v>33</v>
      </c>
      <c r="D275" t="s">
        <v>24</v>
      </c>
      <c r="E275" t="s">
        <v>30</v>
      </c>
      <c r="F275">
        <v>2970</v>
      </c>
      <c r="G275">
        <v>53</v>
      </c>
      <c r="H275" s="6">
        <f t="shared" si="16"/>
        <v>157.41</v>
      </c>
    </row>
    <row r="276" spans="1:8" hidden="1" x14ac:dyDescent="0.3">
      <c r="A276" s="9">
        <v>44976</v>
      </c>
      <c r="B276" t="s">
        <v>45</v>
      </c>
      <c r="C276" t="s">
        <v>35</v>
      </c>
      <c r="D276" t="s">
        <v>10</v>
      </c>
      <c r="E276" t="s">
        <v>39</v>
      </c>
      <c r="F276">
        <v>650</v>
      </c>
      <c r="G276">
        <v>90</v>
      </c>
      <c r="H276" s="6">
        <f t="shared" si="16"/>
        <v>58.5</v>
      </c>
    </row>
    <row r="277" spans="1:8" hidden="1" x14ac:dyDescent="0.3">
      <c r="A277" s="9">
        <v>44976</v>
      </c>
      <c r="B277" t="s">
        <v>8</v>
      </c>
      <c r="C277" t="s">
        <v>35</v>
      </c>
      <c r="D277" t="s">
        <v>13</v>
      </c>
      <c r="E277" t="s">
        <v>29</v>
      </c>
      <c r="F277">
        <v>1230</v>
      </c>
      <c r="G277">
        <v>54</v>
      </c>
      <c r="H277" s="6">
        <f t="shared" si="16"/>
        <v>66.42</v>
      </c>
    </row>
    <row r="278" spans="1:8" hidden="1" x14ac:dyDescent="0.3">
      <c r="A278" s="9">
        <v>44976</v>
      </c>
      <c r="B278" t="s">
        <v>8</v>
      </c>
      <c r="C278" t="s">
        <v>9</v>
      </c>
      <c r="D278" t="s">
        <v>10</v>
      </c>
      <c r="E278" t="s">
        <v>11</v>
      </c>
      <c r="F278">
        <v>705</v>
      </c>
      <c r="G278">
        <v>54</v>
      </c>
      <c r="H278" s="6">
        <f t="shared" si="16"/>
        <v>38.07</v>
      </c>
    </row>
    <row r="279" spans="1:8" hidden="1" x14ac:dyDescent="0.3">
      <c r="A279" s="9">
        <v>44976</v>
      </c>
      <c r="B279" t="s">
        <v>12</v>
      </c>
      <c r="C279" t="s">
        <v>26</v>
      </c>
      <c r="D279" t="s">
        <v>24</v>
      </c>
      <c r="E279" t="s">
        <v>30</v>
      </c>
      <c r="F279">
        <v>2970</v>
      </c>
      <c r="G279">
        <v>17</v>
      </c>
      <c r="H279" s="6">
        <f t="shared" si="16"/>
        <v>50.49</v>
      </c>
    </row>
    <row r="280" spans="1:8" hidden="1" x14ac:dyDescent="0.3">
      <c r="A280" s="13" t="s">
        <v>64</v>
      </c>
      <c r="H280" s="6">
        <f>SUBTOTAL(9,H266:H279)</f>
        <v>0</v>
      </c>
    </row>
    <row r="281" spans="1:8" hidden="1" x14ac:dyDescent="0.3">
      <c r="A281" s="9">
        <v>44977</v>
      </c>
      <c r="B281" t="s">
        <v>12</v>
      </c>
      <c r="C281" t="s">
        <v>20</v>
      </c>
      <c r="D281" t="s">
        <v>10</v>
      </c>
      <c r="E281" t="s">
        <v>11</v>
      </c>
      <c r="F281">
        <v>705</v>
      </c>
      <c r="G281">
        <v>89</v>
      </c>
      <c r="H281" s="6">
        <f t="shared" ref="H281:H300" si="17">F281*G281/1000</f>
        <v>62.744999999999997</v>
      </c>
    </row>
    <row r="282" spans="1:8" hidden="1" x14ac:dyDescent="0.3">
      <c r="A282" s="10">
        <v>44977</v>
      </c>
      <c r="B282" s="11" t="s">
        <v>17</v>
      </c>
      <c r="C282" s="11" t="s">
        <v>20</v>
      </c>
      <c r="D282" s="11" t="s">
        <v>13</v>
      </c>
      <c r="E282" s="11" t="s">
        <v>43</v>
      </c>
      <c r="F282" s="11">
        <v>1420</v>
      </c>
      <c r="G282" s="11">
        <v>81</v>
      </c>
      <c r="H282" s="6">
        <f t="shared" si="17"/>
        <v>115.02</v>
      </c>
    </row>
    <row r="283" spans="1:8" hidden="1" x14ac:dyDescent="0.3">
      <c r="A283" s="9">
        <v>44977</v>
      </c>
      <c r="B283" t="s">
        <v>8</v>
      </c>
      <c r="C283" t="s">
        <v>20</v>
      </c>
      <c r="D283" t="s">
        <v>13</v>
      </c>
      <c r="E283" t="s">
        <v>14</v>
      </c>
      <c r="F283">
        <v>1320</v>
      </c>
      <c r="G283">
        <v>5</v>
      </c>
      <c r="H283" s="6">
        <f t="shared" si="17"/>
        <v>6.6</v>
      </c>
    </row>
    <row r="284" spans="1:8" hidden="1" x14ac:dyDescent="0.3">
      <c r="A284" s="9">
        <v>44977</v>
      </c>
      <c r="B284" t="s">
        <v>12</v>
      </c>
      <c r="C284" t="s">
        <v>9</v>
      </c>
      <c r="D284" t="s">
        <v>10</v>
      </c>
      <c r="E284" t="s">
        <v>40</v>
      </c>
      <c r="F284">
        <v>540</v>
      </c>
      <c r="G284">
        <v>46</v>
      </c>
      <c r="H284" s="6">
        <f t="shared" si="17"/>
        <v>24.84</v>
      </c>
    </row>
    <row r="285" spans="1:8" hidden="1" x14ac:dyDescent="0.3">
      <c r="A285" s="9">
        <v>44977</v>
      </c>
      <c r="B285" t="s">
        <v>8</v>
      </c>
      <c r="C285" t="s">
        <v>9</v>
      </c>
      <c r="D285" t="s">
        <v>18</v>
      </c>
      <c r="E285" t="s">
        <v>27</v>
      </c>
      <c r="F285">
        <v>460</v>
      </c>
      <c r="G285">
        <v>48</v>
      </c>
      <c r="H285" s="6">
        <f t="shared" si="17"/>
        <v>22.08</v>
      </c>
    </row>
    <row r="286" spans="1:8" hidden="1" x14ac:dyDescent="0.3">
      <c r="A286" s="9">
        <v>44977</v>
      </c>
      <c r="B286" t="s">
        <v>12</v>
      </c>
      <c r="C286" t="s">
        <v>9</v>
      </c>
      <c r="D286" t="s">
        <v>13</v>
      </c>
      <c r="E286" t="s">
        <v>29</v>
      </c>
      <c r="F286">
        <v>1230</v>
      </c>
      <c r="G286">
        <v>16</v>
      </c>
      <c r="H286" s="6">
        <f t="shared" si="17"/>
        <v>19.68</v>
      </c>
    </row>
    <row r="287" spans="1:8" hidden="1" x14ac:dyDescent="0.3">
      <c r="A287" s="9">
        <v>44977</v>
      </c>
      <c r="B287" t="s">
        <v>8</v>
      </c>
      <c r="C287" t="s">
        <v>9</v>
      </c>
      <c r="D287" t="s">
        <v>24</v>
      </c>
      <c r="E287" t="s">
        <v>42</v>
      </c>
      <c r="F287">
        <v>3205</v>
      </c>
      <c r="G287">
        <v>30</v>
      </c>
      <c r="H287" s="6">
        <f t="shared" si="17"/>
        <v>96.15</v>
      </c>
    </row>
    <row r="288" spans="1:8" hidden="1" x14ac:dyDescent="0.3">
      <c r="A288" s="9">
        <v>44977</v>
      </c>
      <c r="B288" t="s">
        <v>12</v>
      </c>
      <c r="C288" t="s">
        <v>26</v>
      </c>
      <c r="D288" t="s">
        <v>18</v>
      </c>
      <c r="E288" t="s">
        <v>28</v>
      </c>
      <c r="F288">
        <v>690</v>
      </c>
      <c r="G288">
        <v>49</v>
      </c>
      <c r="H288" s="6">
        <f t="shared" si="17"/>
        <v>33.81</v>
      </c>
    </row>
    <row r="289" spans="1:8" hidden="1" x14ac:dyDescent="0.3">
      <c r="A289" s="9">
        <v>44977</v>
      </c>
      <c r="B289" t="s">
        <v>17</v>
      </c>
      <c r="C289" t="s">
        <v>26</v>
      </c>
      <c r="D289" t="s">
        <v>13</v>
      </c>
      <c r="E289" t="s">
        <v>38</v>
      </c>
      <c r="F289">
        <v>2400</v>
      </c>
      <c r="G289">
        <v>11</v>
      </c>
      <c r="H289" s="6">
        <f t="shared" si="17"/>
        <v>26.4</v>
      </c>
    </row>
    <row r="290" spans="1:8" hidden="1" x14ac:dyDescent="0.3">
      <c r="A290" s="9">
        <v>44977</v>
      </c>
      <c r="B290" t="s">
        <v>45</v>
      </c>
      <c r="C290" t="s">
        <v>26</v>
      </c>
      <c r="D290" t="s">
        <v>24</v>
      </c>
      <c r="E290" t="s">
        <v>30</v>
      </c>
      <c r="F290">
        <v>2970</v>
      </c>
      <c r="G290">
        <v>70</v>
      </c>
      <c r="H290" s="6">
        <f t="shared" si="17"/>
        <v>207.9</v>
      </c>
    </row>
    <row r="291" spans="1:8" hidden="1" x14ac:dyDescent="0.3">
      <c r="A291" s="9">
        <v>44977</v>
      </c>
      <c r="B291" t="s">
        <v>17</v>
      </c>
      <c r="C291" t="s">
        <v>15</v>
      </c>
      <c r="D291" t="s">
        <v>24</v>
      </c>
      <c r="E291" t="s">
        <v>42</v>
      </c>
      <c r="F291">
        <v>3205</v>
      </c>
      <c r="G291">
        <v>97</v>
      </c>
      <c r="H291" s="6">
        <f t="shared" si="17"/>
        <v>310.88499999999999</v>
      </c>
    </row>
    <row r="292" spans="1:8" hidden="1" x14ac:dyDescent="0.3">
      <c r="A292" s="9">
        <v>44977</v>
      </c>
      <c r="B292" t="s">
        <v>8</v>
      </c>
      <c r="C292" t="s">
        <v>33</v>
      </c>
      <c r="D292" t="s">
        <v>10</v>
      </c>
      <c r="E292" t="s">
        <v>11</v>
      </c>
      <c r="F292">
        <v>705</v>
      </c>
      <c r="G292">
        <v>90</v>
      </c>
      <c r="H292" s="6">
        <f t="shared" si="17"/>
        <v>63.45</v>
      </c>
    </row>
    <row r="293" spans="1:8" hidden="1" x14ac:dyDescent="0.3">
      <c r="A293" s="9">
        <v>44977</v>
      </c>
      <c r="B293" t="s">
        <v>45</v>
      </c>
      <c r="C293" t="s">
        <v>33</v>
      </c>
      <c r="D293" t="s">
        <v>18</v>
      </c>
      <c r="E293" t="s">
        <v>19</v>
      </c>
      <c r="F293">
        <v>325</v>
      </c>
      <c r="G293">
        <v>37</v>
      </c>
      <c r="H293" s="6">
        <f t="shared" si="17"/>
        <v>12.025</v>
      </c>
    </row>
    <row r="294" spans="1:8" hidden="1" x14ac:dyDescent="0.3">
      <c r="A294" s="9">
        <v>44977</v>
      </c>
      <c r="B294" t="s">
        <v>17</v>
      </c>
      <c r="C294" t="s">
        <v>33</v>
      </c>
      <c r="D294" t="s">
        <v>24</v>
      </c>
      <c r="E294" t="s">
        <v>32</v>
      </c>
      <c r="F294">
        <v>1505</v>
      </c>
      <c r="G294">
        <v>43</v>
      </c>
      <c r="H294" s="6">
        <f t="shared" si="17"/>
        <v>64.715000000000003</v>
      </c>
    </row>
    <row r="295" spans="1:8" hidden="1" x14ac:dyDescent="0.3">
      <c r="A295" s="9">
        <v>44977</v>
      </c>
      <c r="B295" t="s">
        <v>17</v>
      </c>
      <c r="C295" t="s">
        <v>35</v>
      </c>
      <c r="D295" t="s">
        <v>13</v>
      </c>
      <c r="E295" t="s">
        <v>22</v>
      </c>
      <c r="F295">
        <v>930</v>
      </c>
      <c r="G295">
        <v>55</v>
      </c>
      <c r="H295" s="6">
        <f t="shared" si="17"/>
        <v>51.15</v>
      </c>
    </row>
    <row r="296" spans="1:8" hidden="1" x14ac:dyDescent="0.3">
      <c r="A296" s="9">
        <v>44977</v>
      </c>
      <c r="B296" t="s">
        <v>45</v>
      </c>
      <c r="C296" t="s">
        <v>35</v>
      </c>
      <c r="D296" t="s">
        <v>13</v>
      </c>
      <c r="E296" t="s">
        <v>44</v>
      </c>
      <c r="F296">
        <v>2540</v>
      </c>
      <c r="G296">
        <v>82</v>
      </c>
      <c r="H296" s="6">
        <f t="shared" si="17"/>
        <v>208.28</v>
      </c>
    </row>
    <row r="297" spans="1:8" hidden="1" x14ac:dyDescent="0.3">
      <c r="A297" s="9">
        <v>44977</v>
      </c>
      <c r="B297" t="s">
        <v>17</v>
      </c>
      <c r="C297" t="s">
        <v>35</v>
      </c>
      <c r="D297" t="s">
        <v>24</v>
      </c>
      <c r="E297" t="s">
        <v>34</v>
      </c>
      <c r="F297">
        <v>1670</v>
      </c>
      <c r="G297">
        <v>8</v>
      </c>
      <c r="H297" s="6">
        <f t="shared" si="17"/>
        <v>13.36</v>
      </c>
    </row>
    <row r="298" spans="1:8" hidden="1" x14ac:dyDescent="0.3">
      <c r="A298" s="9">
        <v>44977</v>
      </c>
      <c r="B298" t="s">
        <v>8</v>
      </c>
      <c r="C298" t="s">
        <v>20</v>
      </c>
      <c r="D298" t="s">
        <v>24</v>
      </c>
      <c r="E298" t="s">
        <v>34</v>
      </c>
      <c r="F298">
        <v>1670</v>
      </c>
      <c r="G298">
        <v>37</v>
      </c>
      <c r="H298" s="6">
        <f t="shared" si="17"/>
        <v>61.79</v>
      </c>
    </row>
    <row r="299" spans="1:8" hidden="1" x14ac:dyDescent="0.3">
      <c r="A299" s="9">
        <v>44977</v>
      </c>
      <c r="B299" t="s">
        <v>45</v>
      </c>
      <c r="C299" t="s">
        <v>9</v>
      </c>
      <c r="D299" t="s">
        <v>18</v>
      </c>
      <c r="E299" t="s">
        <v>19</v>
      </c>
      <c r="F299">
        <v>325</v>
      </c>
      <c r="G299">
        <v>89</v>
      </c>
      <c r="H299" s="6">
        <f t="shared" si="17"/>
        <v>28.925000000000001</v>
      </c>
    </row>
    <row r="300" spans="1:8" hidden="1" x14ac:dyDescent="0.3">
      <c r="A300" s="9">
        <v>44977</v>
      </c>
      <c r="B300" t="s">
        <v>17</v>
      </c>
      <c r="C300" t="s">
        <v>15</v>
      </c>
      <c r="D300" t="s">
        <v>10</v>
      </c>
      <c r="E300" t="s">
        <v>39</v>
      </c>
      <c r="F300">
        <v>650</v>
      </c>
      <c r="G300">
        <v>68</v>
      </c>
      <c r="H300" s="6">
        <f t="shared" si="17"/>
        <v>44.2</v>
      </c>
    </row>
    <row r="301" spans="1:8" hidden="1" x14ac:dyDescent="0.3">
      <c r="A301" s="13" t="s">
        <v>65</v>
      </c>
      <c r="H301" s="6">
        <f>SUBTOTAL(9,H281:H300)</f>
        <v>0</v>
      </c>
    </row>
    <row r="302" spans="1:8" hidden="1" x14ac:dyDescent="0.3">
      <c r="A302" s="10">
        <v>44978</v>
      </c>
      <c r="B302" s="11" t="s">
        <v>8</v>
      </c>
      <c r="C302" s="11" t="s">
        <v>20</v>
      </c>
      <c r="D302" s="11" t="s">
        <v>10</v>
      </c>
      <c r="E302" s="11" t="s">
        <v>40</v>
      </c>
      <c r="F302" s="11">
        <v>540</v>
      </c>
      <c r="G302" s="11">
        <v>80</v>
      </c>
      <c r="H302" s="6">
        <f t="shared" ref="H302:H319" si="18">F302*G302/1000</f>
        <v>43.2</v>
      </c>
    </row>
    <row r="303" spans="1:8" hidden="1" x14ac:dyDescent="0.3">
      <c r="A303" s="9">
        <v>44978</v>
      </c>
      <c r="B303" t="s">
        <v>17</v>
      </c>
      <c r="C303" t="s">
        <v>20</v>
      </c>
      <c r="D303" t="s">
        <v>18</v>
      </c>
      <c r="E303" t="s">
        <v>21</v>
      </c>
      <c r="F303">
        <v>450</v>
      </c>
      <c r="G303">
        <v>54</v>
      </c>
      <c r="H303" s="6">
        <f t="shared" si="18"/>
        <v>24.3</v>
      </c>
    </row>
    <row r="304" spans="1:8" hidden="1" x14ac:dyDescent="0.3">
      <c r="A304" s="9">
        <v>44978</v>
      </c>
      <c r="B304" t="s">
        <v>17</v>
      </c>
      <c r="C304" t="s">
        <v>9</v>
      </c>
      <c r="D304" t="s">
        <v>10</v>
      </c>
      <c r="E304" t="s">
        <v>16</v>
      </c>
      <c r="F304">
        <v>1380</v>
      </c>
      <c r="G304">
        <v>37</v>
      </c>
      <c r="H304" s="6">
        <f t="shared" si="18"/>
        <v>51.06</v>
      </c>
    </row>
    <row r="305" spans="1:8" hidden="1" x14ac:dyDescent="0.3">
      <c r="A305" s="9">
        <v>44978</v>
      </c>
      <c r="B305" t="s">
        <v>17</v>
      </c>
      <c r="C305" t="s">
        <v>9</v>
      </c>
      <c r="D305" t="s">
        <v>18</v>
      </c>
      <c r="E305" t="s">
        <v>31</v>
      </c>
      <c r="F305">
        <v>715</v>
      </c>
      <c r="G305">
        <v>5</v>
      </c>
      <c r="H305" s="6">
        <f t="shared" si="18"/>
        <v>3.5750000000000002</v>
      </c>
    </row>
    <row r="306" spans="1:8" hidden="1" x14ac:dyDescent="0.3">
      <c r="A306" s="9">
        <v>44978</v>
      </c>
      <c r="B306" t="s">
        <v>45</v>
      </c>
      <c r="C306" t="s">
        <v>9</v>
      </c>
      <c r="D306" t="s">
        <v>24</v>
      </c>
      <c r="E306" t="s">
        <v>36</v>
      </c>
      <c r="F306">
        <v>2460</v>
      </c>
      <c r="G306">
        <v>36</v>
      </c>
      <c r="H306" s="6">
        <f t="shared" si="18"/>
        <v>88.56</v>
      </c>
    </row>
    <row r="307" spans="1:8" hidden="1" x14ac:dyDescent="0.3">
      <c r="A307" s="9">
        <v>44978</v>
      </c>
      <c r="B307" t="s">
        <v>12</v>
      </c>
      <c r="C307" t="s">
        <v>9</v>
      </c>
      <c r="D307" t="s">
        <v>24</v>
      </c>
      <c r="E307" t="s">
        <v>42</v>
      </c>
      <c r="F307">
        <v>3205</v>
      </c>
      <c r="G307">
        <v>15</v>
      </c>
      <c r="H307" s="6">
        <f t="shared" si="18"/>
        <v>48.075000000000003</v>
      </c>
    </row>
    <row r="308" spans="1:8" hidden="1" x14ac:dyDescent="0.3">
      <c r="A308" s="9">
        <v>44978</v>
      </c>
      <c r="B308" t="s">
        <v>12</v>
      </c>
      <c r="C308" t="s">
        <v>26</v>
      </c>
      <c r="D308" t="s">
        <v>18</v>
      </c>
      <c r="E308" t="s">
        <v>37</v>
      </c>
      <c r="F308">
        <v>890</v>
      </c>
      <c r="G308">
        <v>16</v>
      </c>
      <c r="H308" s="6">
        <f t="shared" si="18"/>
        <v>14.24</v>
      </c>
    </row>
    <row r="309" spans="1:8" hidden="1" x14ac:dyDescent="0.3">
      <c r="A309" s="9">
        <v>44978</v>
      </c>
      <c r="B309" t="s">
        <v>8</v>
      </c>
      <c r="C309" t="s">
        <v>26</v>
      </c>
      <c r="D309" t="s">
        <v>18</v>
      </c>
      <c r="E309" t="s">
        <v>27</v>
      </c>
      <c r="F309">
        <v>460</v>
      </c>
      <c r="G309">
        <v>39</v>
      </c>
      <c r="H309" s="6">
        <f t="shared" si="18"/>
        <v>17.940000000000001</v>
      </c>
    </row>
    <row r="310" spans="1:8" hidden="1" x14ac:dyDescent="0.3">
      <c r="A310" s="9">
        <v>44978</v>
      </c>
      <c r="B310" t="s">
        <v>12</v>
      </c>
      <c r="C310" t="s">
        <v>33</v>
      </c>
      <c r="D310" t="s">
        <v>18</v>
      </c>
      <c r="E310" t="s">
        <v>37</v>
      </c>
      <c r="F310">
        <v>890</v>
      </c>
      <c r="G310">
        <v>84</v>
      </c>
      <c r="H310" s="6">
        <f t="shared" si="18"/>
        <v>74.760000000000005</v>
      </c>
    </row>
    <row r="311" spans="1:8" hidden="1" x14ac:dyDescent="0.3">
      <c r="A311" s="9">
        <v>44978</v>
      </c>
      <c r="B311" t="s">
        <v>45</v>
      </c>
      <c r="C311" t="s">
        <v>33</v>
      </c>
      <c r="D311" t="s">
        <v>13</v>
      </c>
      <c r="E311" t="s">
        <v>43</v>
      </c>
      <c r="F311">
        <v>1420</v>
      </c>
      <c r="G311">
        <v>37</v>
      </c>
      <c r="H311" s="6">
        <f t="shared" si="18"/>
        <v>52.54</v>
      </c>
    </row>
    <row r="312" spans="1:8" hidden="1" x14ac:dyDescent="0.3">
      <c r="A312" s="9">
        <v>44978</v>
      </c>
      <c r="B312" t="s">
        <v>12</v>
      </c>
      <c r="C312" t="s">
        <v>35</v>
      </c>
      <c r="D312" t="s">
        <v>10</v>
      </c>
      <c r="E312" t="s">
        <v>23</v>
      </c>
      <c r="F312">
        <v>640</v>
      </c>
      <c r="G312">
        <v>19</v>
      </c>
      <c r="H312" s="6">
        <f t="shared" si="18"/>
        <v>12.16</v>
      </c>
    </row>
    <row r="313" spans="1:8" hidden="1" x14ac:dyDescent="0.3">
      <c r="A313" s="9">
        <v>44978</v>
      </c>
      <c r="B313" t="s">
        <v>17</v>
      </c>
      <c r="C313" t="s">
        <v>35</v>
      </c>
      <c r="D313" t="s">
        <v>18</v>
      </c>
      <c r="E313" t="s">
        <v>27</v>
      </c>
      <c r="F313">
        <v>460</v>
      </c>
      <c r="G313">
        <v>7</v>
      </c>
      <c r="H313" s="6">
        <f t="shared" si="18"/>
        <v>3.22</v>
      </c>
    </row>
    <row r="314" spans="1:8" hidden="1" x14ac:dyDescent="0.3">
      <c r="A314" s="9">
        <v>44978</v>
      </c>
      <c r="B314" t="s">
        <v>45</v>
      </c>
      <c r="C314" t="s">
        <v>35</v>
      </c>
      <c r="D314" t="s">
        <v>13</v>
      </c>
      <c r="E314" t="s">
        <v>22</v>
      </c>
      <c r="F314">
        <v>930</v>
      </c>
      <c r="G314">
        <v>6</v>
      </c>
      <c r="H314" s="6">
        <f t="shared" si="18"/>
        <v>5.58</v>
      </c>
    </row>
    <row r="315" spans="1:8" hidden="1" x14ac:dyDescent="0.3">
      <c r="A315" s="9">
        <v>44978</v>
      </c>
      <c r="B315" t="s">
        <v>8</v>
      </c>
      <c r="C315" t="s">
        <v>35</v>
      </c>
      <c r="D315" t="s">
        <v>13</v>
      </c>
      <c r="E315" t="s">
        <v>14</v>
      </c>
      <c r="F315">
        <v>1320</v>
      </c>
      <c r="G315">
        <v>48</v>
      </c>
      <c r="H315" s="6">
        <f t="shared" si="18"/>
        <v>63.36</v>
      </c>
    </row>
    <row r="316" spans="1:8" hidden="1" x14ac:dyDescent="0.3">
      <c r="A316" s="9">
        <v>44978</v>
      </c>
      <c r="B316" t="s">
        <v>8</v>
      </c>
      <c r="C316" t="s">
        <v>35</v>
      </c>
      <c r="D316" t="s">
        <v>13</v>
      </c>
      <c r="E316" t="s">
        <v>22</v>
      </c>
      <c r="F316">
        <v>930</v>
      </c>
      <c r="G316">
        <v>38</v>
      </c>
      <c r="H316" s="6">
        <f t="shared" si="18"/>
        <v>35.340000000000003</v>
      </c>
    </row>
    <row r="317" spans="1:8" hidden="1" x14ac:dyDescent="0.3">
      <c r="A317" s="9">
        <v>44978</v>
      </c>
      <c r="B317" t="s">
        <v>8</v>
      </c>
      <c r="C317" t="s">
        <v>35</v>
      </c>
      <c r="D317" t="s">
        <v>24</v>
      </c>
      <c r="E317" t="s">
        <v>36</v>
      </c>
      <c r="F317">
        <v>2460</v>
      </c>
      <c r="G317">
        <v>34</v>
      </c>
      <c r="H317" s="6">
        <f t="shared" si="18"/>
        <v>83.64</v>
      </c>
    </row>
    <row r="318" spans="1:8" hidden="1" x14ac:dyDescent="0.3">
      <c r="A318" s="9">
        <v>44978</v>
      </c>
      <c r="B318" t="s">
        <v>45</v>
      </c>
      <c r="C318" t="s">
        <v>20</v>
      </c>
      <c r="D318" t="s">
        <v>24</v>
      </c>
      <c r="E318" t="s">
        <v>36</v>
      </c>
      <c r="F318">
        <v>2460</v>
      </c>
      <c r="G318">
        <v>11</v>
      </c>
      <c r="H318" s="6">
        <f t="shared" si="18"/>
        <v>27.06</v>
      </c>
    </row>
    <row r="319" spans="1:8" hidden="1" x14ac:dyDescent="0.3">
      <c r="A319" s="9">
        <v>44978</v>
      </c>
      <c r="B319" t="s">
        <v>12</v>
      </c>
      <c r="C319" t="s">
        <v>15</v>
      </c>
      <c r="D319" t="s">
        <v>10</v>
      </c>
      <c r="E319" t="s">
        <v>40</v>
      </c>
      <c r="F319">
        <v>540</v>
      </c>
      <c r="G319">
        <v>97</v>
      </c>
      <c r="H319" s="6">
        <f t="shared" si="18"/>
        <v>52.38</v>
      </c>
    </row>
    <row r="320" spans="1:8" hidden="1" x14ac:dyDescent="0.3">
      <c r="A320" s="13" t="s">
        <v>66</v>
      </c>
      <c r="H320" s="6">
        <f>SUBTOTAL(9,H302:H319)</f>
        <v>0</v>
      </c>
    </row>
    <row r="321" spans="1:8" hidden="1" x14ac:dyDescent="0.3">
      <c r="A321" s="10">
        <v>44979</v>
      </c>
      <c r="B321" s="11" t="s">
        <v>17</v>
      </c>
      <c r="C321" s="11" t="s">
        <v>20</v>
      </c>
      <c r="D321" s="11" t="s">
        <v>10</v>
      </c>
      <c r="E321" s="11" t="s">
        <v>16</v>
      </c>
      <c r="F321" s="11">
        <v>1380</v>
      </c>
      <c r="G321" s="11">
        <v>12</v>
      </c>
      <c r="H321" s="6">
        <f t="shared" ref="H321:H340" si="19">F321*G321/1000</f>
        <v>16.559999999999999</v>
      </c>
    </row>
    <row r="322" spans="1:8" hidden="1" x14ac:dyDescent="0.3">
      <c r="A322" s="9">
        <v>44979</v>
      </c>
      <c r="B322" t="s">
        <v>8</v>
      </c>
      <c r="C322" t="s">
        <v>20</v>
      </c>
      <c r="D322" t="s">
        <v>10</v>
      </c>
      <c r="E322" t="s">
        <v>16</v>
      </c>
      <c r="F322">
        <v>1380</v>
      </c>
      <c r="G322">
        <v>39</v>
      </c>
      <c r="H322" s="6">
        <f t="shared" si="19"/>
        <v>53.82</v>
      </c>
    </row>
    <row r="323" spans="1:8" hidden="1" x14ac:dyDescent="0.3">
      <c r="A323" s="9">
        <v>44979</v>
      </c>
      <c r="B323" t="s">
        <v>45</v>
      </c>
      <c r="C323" t="s">
        <v>9</v>
      </c>
      <c r="D323" t="s">
        <v>18</v>
      </c>
      <c r="E323" t="s">
        <v>28</v>
      </c>
      <c r="F323">
        <v>690</v>
      </c>
      <c r="G323">
        <v>26</v>
      </c>
      <c r="H323" s="6">
        <f t="shared" si="19"/>
        <v>17.940000000000001</v>
      </c>
    </row>
    <row r="324" spans="1:8" hidden="1" x14ac:dyDescent="0.3">
      <c r="A324" s="9">
        <v>44979</v>
      </c>
      <c r="B324" t="s">
        <v>8</v>
      </c>
      <c r="C324" t="s">
        <v>9</v>
      </c>
      <c r="D324" t="s">
        <v>24</v>
      </c>
      <c r="E324" t="s">
        <v>36</v>
      </c>
      <c r="F324">
        <v>2460</v>
      </c>
      <c r="G324">
        <v>50</v>
      </c>
      <c r="H324" s="6">
        <f t="shared" si="19"/>
        <v>123</v>
      </c>
    </row>
    <row r="325" spans="1:8" hidden="1" x14ac:dyDescent="0.3">
      <c r="A325" s="9">
        <v>44979</v>
      </c>
      <c r="B325" t="s">
        <v>8</v>
      </c>
      <c r="C325" t="s">
        <v>26</v>
      </c>
      <c r="D325" t="s">
        <v>10</v>
      </c>
      <c r="E325" t="s">
        <v>11</v>
      </c>
      <c r="F325">
        <v>705</v>
      </c>
      <c r="G325">
        <v>79</v>
      </c>
      <c r="H325" s="6">
        <f t="shared" si="19"/>
        <v>55.695</v>
      </c>
    </row>
    <row r="326" spans="1:8" hidden="1" x14ac:dyDescent="0.3">
      <c r="A326" s="9">
        <v>44979</v>
      </c>
      <c r="B326" t="s">
        <v>45</v>
      </c>
      <c r="C326" t="s">
        <v>26</v>
      </c>
      <c r="D326" t="s">
        <v>10</v>
      </c>
      <c r="E326" t="s">
        <v>40</v>
      </c>
      <c r="F326">
        <v>540</v>
      </c>
      <c r="G326">
        <v>21</v>
      </c>
      <c r="H326" s="6">
        <f t="shared" si="19"/>
        <v>11.34</v>
      </c>
    </row>
    <row r="327" spans="1:8" hidden="1" x14ac:dyDescent="0.3">
      <c r="A327" s="9">
        <v>44979</v>
      </c>
      <c r="B327" t="s">
        <v>45</v>
      </c>
      <c r="C327" t="s">
        <v>26</v>
      </c>
      <c r="D327" t="s">
        <v>18</v>
      </c>
      <c r="E327" t="s">
        <v>37</v>
      </c>
      <c r="F327">
        <v>890</v>
      </c>
      <c r="G327">
        <v>27</v>
      </c>
      <c r="H327" s="6">
        <f t="shared" si="19"/>
        <v>24.03</v>
      </c>
    </row>
    <row r="328" spans="1:8" hidden="1" x14ac:dyDescent="0.3">
      <c r="A328" s="9">
        <v>44979</v>
      </c>
      <c r="B328" t="s">
        <v>12</v>
      </c>
      <c r="C328" t="s">
        <v>26</v>
      </c>
      <c r="D328" t="s">
        <v>13</v>
      </c>
      <c r="E328" t="s">
        <v>22</v>
      </c>
      <c r="F328">
        <v>930</v>
      </c>
      <c r="G328">
        <v>79</v>
      </c>
      <c r="H328" s="6">
        <f t="shared" si="19"/>
        <v>73.47</v>
      </c>
    </row>
    <row r="329" spans="1:8" hidden="1" x14ac:dyDescent="0.3">
      <c r="A329" s="9">
        <v>44979</v>
      </c>
      <c r="B329" t="s">
        <v>12</v>
      </c>
      <c r="C329" t="s">
        <v>26</v>
      </c>
      <c r="D329" t="s">
        <v>13</v>
      </c>
      <c r="E329" t="s">
        <v>14</v>
      </c>
      <c r="F329">
        <v>1320</v>
      </c>
      <c r="G329">
        <v>97</v>
      </c>
      <c r="H329" s="6">
        <f t="shared" si="19"/>
        <v>128.04</v>
      </c>
    </row>
    <row r="330" spans="1:8" hidden="1" x14ac:dyDescent="0.3">
      <c r="A330" s="9">
        <v>44979</v>
      </c>
      <c r="B330" t="s">
        <v>12</v>
      </c>
      <c r="C330" t="s">
        <v>26</v>
      </c>
      <c r="D330" t="s">
        <v>24</v>
      </c>
      <c r="E330" t="s">
        <v>34</v>
      </c>
      <c r="F330">
        <v>1670</v>
      </c>
      <c r="G330">
        <v>93</v>
      </c>
      <c r="H330" s="6">
        <f t="shared" si="19"/>
        <v>155.31</v>
      </c>
    </row>
    <row r="331" spans="1:8" hidden="1" x14ac:dyDescent="0.3">
      <c r="A331" s="9">
        <v>44979</v>
      </c>
      <c r="B331" t="s">
        <v>8</v>
      </c>
      <c r="C331" t="s">
        <v>15</v>
      </c>
      <c r="D331" t="s">
        <v>18</v>
      </c>
      <c r="E331" t="s">
        <v>19</v>
      </c>
      <c r="F331">
        <v>325</v>
      </c>
      <c r="G331">
        <v>43</v>
      </c>
      <c r="H331" s="6">
        <f t="shared" si="19"/>
        <v>13.975</v>
      </c>
    </row>
    <row r="332" spans="1:8" hidden="1" x14ac:dyDescent="0.3">
      <c r="A332" s="9">
        <v>44979</v>
      </c>
      <c r="B332" t="s">
        <v>8</v>
      </c>
      <c r="C332" t="s">
        <v>15</v>
      </c>
      <c r="D332" t="s">
        <v>13</v>
      </c>
      <c r="E332" t="s">
        <v>44</v>
      </c>
      <c r="F332">
        <v>2540</v>
      </c>
      <c r="G332">
        <v>65</v>
      </c>
      <c r="H332" s="6">
        <f t="shared" si="19"/>
        <v>165.1</v>
      </c>
    </row>
    <row r="333" spans="1:8" hidden="1" x14ac:dyDescent="0.3">
      <c r="A333" s="9">
        <v>44979</v>
      </c>
      <c r="B333" t="s">
        <v>17</v>
      </c>
      <c r="C333" t="s">
        <v>15</v>
      </c>
      <c r="D333" t="s">
        <v>24</v>
      </c>
      <c r="E333" t="s">
        <v>34</v>
      </c>
      <c r="F333">
        <v>1670</v>
      </c>
      <c r="G333">
        <v>99</v>
      </c>
      <c r="H333" s="6">
        <f t="shared" si="19"/>
        <v>165.33</v>
      </c>
    </row>
    <row r="334" spans="1:8" hidden="1" x14ac:dyDescent="0.3">
      <c r="A334" s="9">
        <v>44979</v>
      </c>
      <c r="B334" t="s">
        <v>17</v>
      </c>
      <c r="C334" t="s">
        <v>33</v>
      </c>
      <c r="D334" t="s">
        <v>10</v>
      </c>
      <c r="E334" t="s">
        <v>23</v>
      </c>
      <c r="F334">
        <v>640</v>
      </c>
      <c r="G334">
        <v>20</v>
      </c>
      <c r="H334" s="6">
        <f t="shared" si="19"/>
        <v>12.8</v>
      </c>
    </row>
    <row r="335" spans="1:8" hidden="1" x14ac:dyDescent="0.3">
      <c r="A335" s="9">
        <v>44979</v>
      </c>
      <c r="B335" t="s">
        <v>45</v>
      </c>
      <c r="C335" t="s">
        <v>33</v>
      </c>
      <c r="D335" t="s">
        <v>24</v>
      </c>
      <c r="E335" t="s">
        <v>36</v>
      </c>
      <c r="F335">
        <v>2460</v>
      </c>
      <c r="G335">
        <v>51</v>
      </c>
      <c r="H335" s="6">
        <f t="shared" si="19"/>
        <v>125.46</v>
      </c>
    </row>
    <row r="336" spans="1:8" hidden="1" x14ac:dyDescent="0.3">
      <c r="A336" s="9">
        <v>44979</v>
      </c>
      <c r="B336" t="s">
        <v>8</v>
      </c>
      <c r="C336" t="s">
        <v>33</v>
      </c>
      <c r="D336" t="s">
        <v>24</v>
      </c>
      <c r="E336" t="s">
        <v>30</v>
      </c>
      <c r="F336">
        <v>2970</v>
      </c>
      <c r="G336">
        <v>48</v>
      </c>
      <c r="H336" s="6">
        <f t="shared" si="19"/>
        <v>142.56</v>
      </c>
    </row>
    <row r="337" spans="1:8" hidden="1" x14ac:dyDescent="0.3">
      <c r="A337" s="9">
        <v>44979</v>
      </c>
      <c r="B337" t="s">
        <v>12</v>
      </c>
      <c r="C337" t="s">
        <v>35</v>
      </c>
      <c r="D337" t="s">
        <v>10</v>
      </c>
      <c r="E337" t="s">
        <v>23</v>
      </c>
      <c r="F337">
        <v>640</v>
      </c>
      <c r="G337">
        <v>77</v>
      </c>
      <c r="H337" s="6">
        <f t="shared" si="19"/>
        <v>49.28</v>
      </c>
    </row>
    <row r="338" spans="1:8" hidden="1" x14ac:dyDescent="0.3">
      <c r="A338" s="9">
        <v>44979</v>
      </c>
      <c r="B338" t="s">
        <v>8</v>
      </c>
      <c r="C338" t="s">
        <v>35</v>
      </c>
      <c r="D338" t="s">
        <v>18</v>
      </c>
      <c r="E338" t="s">
        <v>31</v>
      </c>
      <c r="F338">
        <v>715</v>
      </c>
      <c r="G338">
        <v>91</v>
      </c>
      <c r="H338" s="6">
        <f t="shared" si="19"/>
        <v>65.064999999999998</v>
      </c>
    </row>
    <row r="339" spans="1:8" hidden="1" x14ac:dyDescent="0.3">
      <c r="A339" s="9">
        <v>44979</v>
      </c>
      <c r="B339" t="s">
        <v>8</v>
      </c>
      <c r="C339" t="s">
        <v>35</v>
      </c>
      <c r="D339" t="s">
        <v>24</v>
      </c>
      <c r="E339" t="s">
        <v>42</v>
      </c>
      <c r="F339">
        <v>3205</v>
      </c>
      <c r="G339">
        <v>85</v>
      </c>
      <c r="H339" s="6">
        <f t="shared" si="19"/>
        <v>272.42500000000001</v>
      </c>
    </row>
    <row r="340" spans="1:8" hidden="1" x14ac:dyDescent="0.3">
      <c r="A340" s="9">
        <v>44979</v>
      </c>
      <c r="B340" t="s">
        <v>45</v>
      </c>
      <c r="C340" t="s">
        <v>15</v>
      </c>
      <c r="D340" t="s">
        <v>13</v>
      </c>
      <c r="E340" t="s">
        <v>44</v>
      </c>
      <c r="F340">
        <v>2540</v>
      </c>
      <c r="G340">
        <v>37</v>
      </c>
      <c r="H340" s="6">
        <f t="shared" si="19"/>
        <v>93.98</v>
      </c>
    </row>
    <row r="341" spans="1:8" hidden="1" x14ac:dyDescent="0.3">
      <c r="A341" s="13" t="s">
        <v>67</v>
      </c>
      <c r="H341" s="6">
        <f>SUBTOTAL(9,H321:H340)</f>
        <v>0</v>
      </c>
    </row>
    <row r="342" spans="1:8" hidden="1" x14ac:dyDescent="0.3">
      <c r="A342" s="10">
        <v>44980</v>
      </c>
      <c r="B342" s="11" t="s">
        <v>8</v>
      </c>
      <c r="C342" s="11" t="s">
        <v>20</v>
      </c>
      <c r="D342" s="11" t="s">
        <v>10</v>
      </c>
      <c r="E342" s="11" t="s">
        <v>39</v>
      </c>
      <c r="F342" s="11">
        <v>650</v>
      </c>
      <c r="G342" s="11">
        <v>25</v>
      </c>
      <c r="H342" s="6">
        <f t="shared" ref="H342:H360" si="20">F342*G342/1000</f>
        <v>16.25</v>
      </c>
    </row>
    <row r="343" spans="1:8" hidden="1" x14ac:dyDescent="0.3">
      <c r="A343" s="9">
        <v>44980</v>
      </c>
      <c r="B343" t="s">
        <v>45</v>
      </c>
      <c r="C343" t="s">
        <v>20</v>
      </c>
      <c r="D343" t="s">
        <v>13</v>
      </c>
      <c r="E343" t="s">
        <v>22</v>
      </c>
      <c r="F343">
        <v>930</v>
      </c>
      <c r="G343">
        <v>39</v>
      </c>
      <c r="H343" s="6">
        <f t="shared" si="20"/>
        <v>36.270000000000003</v>
      </c>
    </row>
    <row r="344" spans="1:8" hidden="1" x14ac:dyDescent="0.3">
      <c r="A344" s="9">
        <v>44980</v>
      </c>
      <c r="B344" t="s">
        <v>12</v>
      </c>
      <c r="C344" t="s">
        <v>9</v>
      </c>
      <c r="D344" t="s">
        <v>10</v>
      </c>
      <c r="E344" t="s">
        <v>23</v>
      </c>
      <c r="F344">
        <v>640</v>
      </c>
      <c r="G344">
        <v>11</v>
      </c>
      <c r="H344" s="6">
        <f t="shared" si="20"/>
        <v>7.04</v>
      </c>
    </row>
    <row r="345" spans="1:8" hidden="1" x14ac:dyDescent="0.3">
      <c r="A345" s="9">
        <v>44980</v>
      </c>
      <c r="B345" t="s">
        <v>8</v>
      </c>
      <c r="C345" t="s">
        <v>9</v>
      </c>
      <c r="D345" t="s">
        <v>13</v>
      </c>
      <c r="E345" t="s">
        <v>44</v>
      </c>
      <c r="F345">
        <v>2540</v>
      </c>
      <c r="G345">
        <v>99</v>
      </c>
      <c r="H345" s="6">
        <f t="shared" si="20"/>
        <v>251.46</v>
      </c>
    </row>
    <row r="346" spans="1:8" hidden="1" x14ac:dyDescent="0.3">
      <c r="A346" s="9">
        <v>44980</v>
      </c>
      <c r="B346" t="s">
        <v>45</v>
      </c>
      <c r="C346" t="s">
        <v>9</v>
      </c>
      <c r="D346" t="s">
        <v>13</v>
      </c>
      <c r="E346" t="s">
        <v>43</v>
      </c>
      <c r="F346">
        <v>1420</v>
      </c>
      <c r="G346">
        <v>79</v>
      </c>
      <c r="H346" s="6">
        <f t="shared" si="20"/>
        <v>112.18</v>
      </c>
    </row>
    <row r="347" spans="1:8" hidden="1" x14ac:dyDescent="0.3">
      <c r="A347" s="9">
        <v>44980</v>
      </c>
      <c r="B347" t="s">
        <v>8</v>
      </c>
      <c r="C347" t="s">
        <v>26</v>
      </c>
      <c r="D347" t="s">
        <v>18</v>
      </c>
      <c r="E347" t="s">
        <v>19</v>
      </c>
      <c r="F347">
        <v>325</v>
      </c>
      <c r="G347">
        <v>62</v>
      </c>
      <c r="H347" s="6">
        <f t="shared" si="20"/>
        <v>20.149999999999999</v>
      </c>
    </row>
    <row r="348" spans="1:8" hidden="1" x14ac:dyDescent="0.3">
      <c r="A348" s="9">
        <v>44980</v>
      </c>
      <c r="B348" t="s">
        <v>17</v>
      </c>
      <c r="C348" t="s">
        <v>26</v>
      </c>
      <c r="D348" t="s">
        <v>13</v>
      </c>
      <c r="E348" t="s">
        <v>14</v>
      </c>
      <c r="F348">
        <v>1320</v>
      </c>
      <c r="G348">
        <v>96</v>
      </c>
      <c r="H348" s="6">
        <f t="shared" si="20"/>
        <v>126.72</v>
      </c>
    </row>
    <row r="349" spans="1:8" hidden="1" x14ac:dyDescent="0.3">
      <c r="A349" s="9">
        <v>44980</v>
      </c>
      <c r="B349" t="s">
        <v>8</v>
      </c>
      <c r="C349" t="s">
        <v>15</v>
      </c>
      <c r="D349" t="s">
        <v>10</v>
      </c>
      <c r="E349" t="s">
        <v>16</v>
      </c>
      <c r="F349">
        <v>1380</v>
      </c>
      <c r="G349">
        <v>76</v>
      </c>
      <c r="H349" s="6">
        <f t="shared" si="20"/>
        <v>104.88</v>
      </c>
    </row>
    <row r="350" spans="1:8" hidden="1" x14ac:dyDescent="0.3">
      <c r="A350" s="9">
        <v>44980</v>
      </c>
      <c r="B350" t="s">
        <v>8</v>
      </c>
      <c r="C350" t="s">
        <v>15</v>
      </c>
      <c r="D350" t="s">
        <v>18</v>
      </c>
      <c r="E350" t="s">
        <v>27</v>
      </c>
      <c r="F350">
        <v>460</v>
      </c>
      <c r="G350">
        <v>22</v>
      </c>
      <c r="H350" s="6">
        <f t="shared" si="20"/>
        <v>10.119999999999999</v>
      </c>
    </row>
    <row r="351" spans="1:8" hidden="1" x14ac:dyDescent="0.3">
      <c r="A351" s="9">
        <v>44980</v>
      </c>
      <c r="B351" t="s">
        <v>45</v>
      </c>
      <c r="C351" t="s">
        <v>15</v>
      </c>
      <c r="D351" t="s">
        <v>13</v>
      </c>
      <c r="E351" t="s">
        <v>43</v>
      </c>
      <c r="F351">
        <v>1420</v>
      </c>
      <c r="G351">
        <v>11</v>
      </c>
      <c r="H351" s="6">
        <f t="shared" si="20"/>
        <v>15.62</v>
      </c>
    </row>
    <row r="352" spans="1:8" hidden="1" x14ac:dyDescent="0.3">
      <c r="A352" s="9">
        <v>44980</v>
      </c>
      <c r="B352" t="s">
        <v>45</v>
      </c>
      <c r="C352" t="s">
        <v>15</v>
      </c>
      <c r="D352" t="s">
        <v>13</v>
      </c>
      <c r="E352" t="s">
        <v>43</v>
      </c>
      <c r="F352">
        <v>1420</v>
      </c>
      <c r="G352">
        <v>10</v>
      </c>
      <c r="H352" s="6">
        <f t="shared" si="20"/>
        <v>14.2</v>
      </c>
    </row>
    <row r="353" spans="1:8" hidden="1" x14ac:dyDescent="0.3">
      <c r="A353" s="9">
        <v>44980</v>
      </c>
      <c r="B353" t="s">
        <v>45</v>
      </c>
      <c r="C353" t="s">
        <v>15</v>
      </c>
      <c r="D353" t="s">
        <v>24</v>
      </c>
      <c r="E353" t="s">
        <v>42</v>
      </c>
      <c r="F353">
        <v>3205</v>
      </c>
      <c r="G353">
        <v>22</v>
      </c>
      <c r="H353" s="6">
        <f t="shared" si="20"/>
        <v>70.510000000000005</v>
      </c>
    </row>
    <row r="354" spans="1:8" hidden="1" x14ac:dyDescent="0.3">
      <c r="A354" s="9">
        <v>44980</v>
      </c>
      <c r="B354" t="s">
        <v>17</v>
      </c>
      <c r="C354" t="s">
        <v>33</v>
      </c>
      <c r="D354" t="s">
        <v>10</v>
      </c>
      <c r="E354" t="s">
        <v>41</v>
      </c>
      <c r="F354">
        <v>650</v>
      </c>
      <c r="G354">
        <v>100</v>
      </c>
      <c r="H354" s="6">
        <f t="shared" si="20"/>
        <v>65</v>
      </c>
    </row>
    <row r="355" spans="1:8" hidden="1" x14ac:dyDescent="0.3">
      <c r="A355" s="9">
        <v>44980</v>
      </c>
      <c r="B355" t="s">
        <v>17</v>
      </c>
      <c r="C355" t="s">
        <v>33</v>
      </c>
      <c r="D355" t="s">
        <v>13</v>
      </c>
      <c r="E355" t="s">
        <v>14</v>
      </c>
      <c r="F355">
        <v>1320</v>
      </c>
      <c r="G355">
        <v>97</v>
      </c>
      <c r="H355" s="6">
        <f t="shared" si="20"/>
        <v>128.04</v>
      </c>
    </row>
    <row r="356" spans="1:8" hidden="1" x14ac:dyDescent="0.3">
      <c r="A356" s="9">
        <v>44980</v>
      </c>
      <c r="B356" t="s">
        <v>12</v>
      </c>
      <c r="C356" t="s">
        <v>33</v>
      </c>
      <c r="D356" t="s">
        <v>13</v>
      </c>
      <c r="E356" t="s">
        <v>38</v>
      </c>
      <c r="F356">
        <v>2400</v>
      </c>
      <c r="G356">
        <v>67</v>
      </c>
      <c r="H356" s="6">
        <f t="shared" si="20"/>
        <v>160.80000000000001</v>
      </c>
    </row>
    <row r="357" spans="1:8" hidden="1" x14ac:dyDescent="0.3">
      <c r="A357" s="9">
        <v>44980</v>
      </c>
      <c r="B357" t="s">
        <v>8</v>
      </c>
      <c r="C357" t="s">
        <v>33</v>
      </c>
      <c r="D357" t="s">
        <v>24</v>
      </c>
      <c r="E357" t="s">
        <v>30</v>
      </c>
      <c r="F357">
        <v>2970</v>
      </c>
      <c r="G357">
        <v>60</v>
      </c>
      <c r="H357" s="6">
        <f t="shared" si="20"/>
        <v>178.2</v>
      </c>
    </row>
    <row r="358" spans="1:8" hidden="1" x14ac:dyDescent="0.3">
      <c r="A358" s="9">
        <v>44980</v>
      </c>
      <c r="B358" t="s">
        <v>17</v>
      </c>
      <c r="C358" t="s">
        <v>35</v>
      </c>
      <c r="D358" t="s">
        <v>10</v>
      </c>
      <c r="E358" t="s">
        <v>23</v>
      </c>
      <c r="F358">
        <v>640</v>
      </c>
      <c r="G358">
        <v>31</v>
      </c>
      <c r="H358" s="6">
        <f t="shared" si="20"/>
        <v>19.84</v>
      </c>
    </row>
    <row r="359" spans="1:8" hidden="1" x14ac:dyDescent="0.3">
      <c r="A359" s="9">
        <v>44980</v>
      </c>
      <c r="B359" t="s">
        <v>12</v>
      </c>
      <c r="C359" t="s">
        <v>20</v>
      </c>
      <c r="D359" t="s">
        <v>13</v>
      </c>
      <c r="E359" t="s">
        <v>44</v>
      </c>
      <c r="F359">
        <v>2540</v>
      </c>
      <c r="G359">
        <v>88</v>
      </c>
      <c r="H359" s="6">
        <f t="shared" si="20"/>
        <v>223.52</v>
      </c>
    </row>
    <row r="360" spans="1:8" hidden="1" x14ac:dyDescent="0.3">
      <c r="A360" s="9">
        <v>44980</v>
      </c>
      <c r="B360" t="s">
        <v>8</v>
      </c>
      <c r="C360" t="s">
        <v>15</v>
      </c>
      <c r="D360" t="s">
        <v>24</v>
      </c>
      <c r="E360" t="s">
        <v>30</v>
      </c>
      <c r="F360">
        <v>2970</v>
      </c>
      <c r="G360">
        <v>29</v>
      </c>
      <c r="H360" s="6">
        <f t="shared" si="20"/>
        <v>86.13</v>
      </c>
    </row>
    <row r="361" spans="1:8" hidden="1" x14ac:dyDescent="0.3">
      <c r="A361" s="13" t="s">
        <v>68</v>
      </c>
      <c r="H361" s="6">
        <f>SUBTOTAL(9,H342:H360)</f>
        <v>0</v>
      </c>
    </row>
    <row r="362" spans="1:8" hidden="1" x14ac:dyDescent="0.3">
      <c r="A362" s="10">
        <v>44981</v>
      </c>
      <c r="B362" s="11" t="s">
        <v>45</v>
      </c>
      <c r="C362" s="11" t="s">
        <v>20</v>
      </c>
      <c r="D362" s="11" t="s">
        <v>10</v>
      </c>
      <c r="E362" s="11" t="s">
        <v>39</v>
      </c>
      <c r="F362" s="11">
        <v>650</v>
      </c>
      <c r="G362" s="11">
        <v>69</v>
      </c>
      <c r="H362" s="6">
        <f t="shared" ref="H362:H374" si="21">F362*G362/1000</f>
        <v>44.85</v>
      </c>
    </row>
    <row r="363" spans="1:8" hidden="1" x14ac:dyDescent="0.3">
      <c r="A363" s="9">
        <v>44981</v>
      </c>
      <c r="B363" t="s">
        <v>12</v>
      </c>
      <c r="C363" t="s">
        <v>20</v>
      </c>
      <c r="D363" t="s">
        <v>10</v>
      </c>
      <c r="E363" t="s">
        <v>11</v>
      </c>
      <c r="F363">
        <v>705</v>
      </c>
      <c r="G363">
        <v>67</v>
      </c>
      <c r="H363" s="6">
        <f t="shared" si="21"/>
        <v>47.234999999999999</v>
      </c>
    </row>
    <row r="364" spans="1:8" hidden="1" x14ac:dyDescent="0.3">
      <c r="A364" s="10">
        <v>44981</v>
      </c>
      <c r="B364" s="11" t="s">
        <v>17</v>
      </c>
      <c r="C364" s="11" t="s">
        <v>20</v>
      </c>
      <c r="D364" s="11" t="s">
        <v>18</v>
      </c>
      <c r="E364" s="11" t="s">
        <v>31</v>
      </c>
      <c r="F364" s="11">
        <v>715</v>
      </c>
      <c r="G364" s="11">
        <v>56</v>
      </c>
      <c r="H364" s="6">
        <f t="shared" si="21"/>
        <v>40.04</v>
      </c>
    </row>
    <row r="365" spans="1:8" hidden="1" x14ac:dyDescent="0.3">
      <c r="A365" s="9">
        <v>44981</v>
      </c>
      <c r="B365" t="s">
        <v>45</v>
      </c>
      <c r="C365" t="s">
        <v>20</v>
      </c>
      <c r="D365" t="s">
        <v>24</v>
      </c>
      <c r="E365" t="s">
        <v>42</v>
      </c>
      <c r="F365">
        <v>3205</v>
      </c>
      <c r="G365">
        <v>21</v>
      </c>
      <c r="H365" s="6">
        <f t="shared" si="21"/>
        <v>67.305000000000007</v>
      </c>
    </row>
    <row r="366" spans="1:8" hidden="1" x14ac:dyDescent="0.3">
      <c r="A366" s="9">
        <v>44981</v>
      </c>
      <c r="B366" t="s">
        <v>12</v>
      </c>
      <c r="C366" t="s">
        <v>9</v>
      </c>
      <c r="D366" t="s">
        <v>10</v>
      </c>
      <c r="E366" t="s">
        <v>16</v>
      </c>
      <c r="F366">
        <v>1380</v>
      </c>
      <c r="G366">
        <v>42</v>
      </c>
      <c r="H366" s="6">
        <f t="shared" si="21"/>
        <v>57.96</v>
      </c>
    </row>
    <row r="367" spans="1:8" hidden="1" x14ac:dyDescent="0.3">
      <c r="A367" s="9">
        <v>44981</v>
      </c>
      <c r="B367" t="s">
        <v>17</v>
      </c>
      <c r="C367" t="s">
        <v>9</v>
      </c>
      <c r="D367" t="s">
        <v>18</v>
      </c>
      <c r="E367" t="s">
        <v>21</v>
      </c>
      <c r="F367">
        <v>450</v>
      </c>
      <c r="G367">
        <v>97</v>
      </c>
      <c r="H367" s="6">
        <f t="shared" si="21"/>
        <v>43.65</v>
      </c>
    </row>
    <row r="368" spans="1:8" hidden="1" x14ac:dyDescent="0.3">
      <c r="A368" s="9">
        <v>44981</v>
      </c>
      <c r="B368" t="s">
        <v>8</v>
      </c>
      <c r="C368" t="s">
        <v>9</v>
      </c>
      <c r="D368" t="s">
        <v>13</v>
      </c>
      <c r="E368" t="s">
        <v>44</v>
      </c>
      <c r="F368">
        <v>2540</v>
      </c>
      <c r="G368">
        <v>91</v>
      </c>
      <c r="H368" s="6">
        <f t="shared" si="21"/>
        <v>231.14</v>
      </c>
    </row>
    <row r="369" spans="1:8" hidden="1" x14ac:dyDescent="0.3">
      <c r="A369" s="9">
        <v>44981</v>
      </c>
      <c r="B369" t="s">
        <v>12</v>
      </c>
      <c r="C369" t="s">
        <v>26</v>
      </c>
      <c r="D369" t="s">
        <v>18</v>
      </c>
      <c r="E369" t="s">
        <v>28</v>
      </c>
      <c r="F369">
        <v>690</v>
      </c>
      <c r="G369">
        <v>9</v>
      </c>
      <c r="H369" s="6">
        <f t="shared" si="21"/>
        <v>6.21</v>
      </c>
    </row>
    <row r="370" spans="1:8" hidden="1" x14ac:dyDescent="0.3">
      <c r="A370" s="9">
        <v>44981</v>
      </c>
      <c r="B370" t="s">
        <v>12</v>
      </c>
      <c r="C370" t="s">
        <v>26</v>
      </c>
      <c r="D370" t="s">
        <v>24</v>
      </c>
      <c r="E370" t="s">
        <v>36</v>
      </c>
      <c r="F370">
        <v>2460</v>
      </c>
      <c r="G370">
        <v>75</v>
      </c>
      <c r="H370" s="6">
        <f t="shared" si="21"/>
        <v>184.5</v>
      </c>
    </row>
    <row r="371" spans="1:8" hidden="1" x14ac:dyDescent="0.3">
      <c r="A371" s="9">
        <v>44981</v>
      </c>
      <c r="B371" t="s">
        <v>8</v>
      </c>
      <c r="C371" t="s">
        <v>15</v>
      </c>
      <c r="D371" t="s">
        <v>18</v>
      </c>
      <c r="E371" t="s">
        <v>37</v>
      </c>
      <c r="F371">
        <v>890</v>
      </c>
      <c r="G371">
        <v>18</v>
      </c>
      <c r="H371" s="6">
        <f t="shared" si="21"/>
        <v>16.02</v>
      </c>
    </row>
    <row r="372" spans="1:8" hidden="1" x14ac:dyDescent="0.3">
      <c r="A372" s="9">
        <v>44981</v>
      </c>
      <c r="B372" t="s">
        <v>17</v>
      </c>
      <c r="C372" t="s">
        <v>35</v>
      </c>
      <c r="D372" t="s">
        <v>18</v>
      </c>
      <c r="E372" t="s">
        <v>21</v>
      </c>
      <c r="F372">
        <v>450</v>
      </c>
      <c r="G372">
        <v>37</v>
      </c>
      <c r="H372" s="6">
        <f t="shared" si="21"/>
        <v>16.649999999999999</v>
      </c>
    </row>
    <row r="373" spans="1:8" hidden="1" x14ac:dyDescent="0.3">
      <c r="A373" s="9">
        <v>44981</v>
      </c>
      <c r="B373" t="s">
        <v>8</v>
      </c>
      <c r="C373" t="s">
        <v>35</v>
      </c>
      <c r="D373" t="s">
        <v>13</v>
      </c>
      <c r="E373" t="s">
        <v>29</v>
      </c>
      <c r="F373">
        <v>1230</v>
      </c>
      <c r="G373">
        <v>99</v>
      </c>
      <c r="H373" s="6">
        <f t="shared" si="21"/>
        <v>121.77</v>
      </c>
    </row>
    <row r="374" spans="1:8" hidden="1" x14ac:dyDescent="0.3">
      <c r="A374" s="9">
        <v>44981</v>
      </c>
      <c r="B374" t="s">
        <v>8</v>
      </c>
      <c r="C374" t="s">
        <v>33</v>
      </c>
      <c r="D374" t="s">
        <v>10</v>
      </c>
      <c r="E374" t="s">
        <v>39</v>
      </c>
      <c r="F374">
        <v>650</v>
      </c>
      <c r="G374">
        <v>21</v>
      </c>
      <c r="H374" s="6">
        <f t="shared" si="21"/>
        <v>13.65</v>
      </c>
    </row>
    <row r="375" spans="1:8" hidden="1" x14ac:dyDescent="0.3">
      <c r="A375" s="13" t="s">
        <v>69</v>
      </c>
      <c r="H375" s="6">
        <f>SUBTOTAL(9,H362:H374)</f>
        <v>0</v>
      </c>
    </row>
    <row r="376" spans="1:8" hidden="1" x14ac:dyDescent="0.3">
      <c r="A376" s="10">
        <v>44982</v>
      </c>
      <c r="B376" s="11" t="s">
        <v>45</v>
      </c>
      <c r="C376" s="11" t="s">
        <v>20</v>
      </c>
      <c r="D376" s="11" t="s">
        <v>10</v>
      </c>
      <c r="E376" s="11" t="s">
        <v>16</v>
      </c>
      <c r="F376" s="11">
        <v>1380</v>
      </c>
      <c r="G376" s="11">
        <v>63</v>
      </c>
      <c r="H376" s="6">
        <f t="shared" ref="H376:H392" si="22">F376*G376/1000</f>
        <v>86.94</v>
      </c>
    </row>
    <row r="377" spans="1:8" hidden="1" x14ac:dyDescent="0.3">
      <c r="A377" s="9">
        <v>44982</v>
      </c>
      <c r="B377" t="s">
        <v>45</v>
      </c>
      <c r="C377" t="s">
        <v>20</v>
      </c>
      <c r="D377" t="s">
        <v>10</v>
      </c>
      <c r="E377" t="s">
        <v>39</v>
      </c>
      <c r="F377">
        <v>650</v>
      </c>
      <c r="G377">
        <v>21</v>
      </c>
      <c r="H377" s="6">
        <f t="shared" si="22"/>
        <v>13.65</v>
      </c>
    </row>
    <row r="378" spans="1:8" hidden="1" x14ac:dyDescent="0.3">
      <c r="A378" s="10">
        <v>44982</v>
      </c>
      <c r="B378" s="11" t="s">
        <v>12</v>
      </c>
      <c r="C378" s="11" t="s">
        <v>20</v>
      </c>
      <c r="D378" s="11" t="s">
        <v>13</v>
      </c>
      <c r="E378" s="11" t="s">
        <v>38</v>
      </c>
      <c r="F378" s="11">
        <v>2400</v>
      </c>
      <c r="G378" s="11">
        <v>70</v>
      </c>
      <c r="H378" s="6">
        <f t="shared" si="22"/>
        <v>168</v>
      </c>
    </row>
    <row r="379" spans="1:8" hidden="1" x14ac:dyDescent="0.3">
      <c r="A379" s="9">
        <v>44982</v>
      </c>
      <c r="B379" t="s">
        <v>12</v>
      </c>
      <c r="C379" t="s">
        <v>20</v>
      </c>
      <c r="D379" t="s">
        <v>13</v>
      </c>
      <c r="E379" t="s">
        <v>44</v>
      </c>
      <c r="F379">
        <v>2540</v>
      </c>
      <c r="G379">
        <v>89</v>
      </c>
      <c r="H379" s="6">
        <f t="shared" si="22"/>
        <v>226.06</v>
      </c>
    </row>
    <row r="380" spans="1:8" hidden="1" x14ac:dyDescent="0.3">
      <c r="A380" s="10">
        <v>44982</v>
      </c>
      <c r="B380" s="11" t="s">
        <v>45</v>
      </c>
      <c r="C380" s="11" t="s">
        <v>20</v>
      </c>
      <c r="D380" s="11" t="s">
        <v>24</v>
      </c>
      <c r="E380" s="11" t="s">
        <v>32</v>
      </c>
      <c r="F380" s="11">
        <v>1505</v>
      </c>
      <c r="G380" s="11">
        <v>53</v>
      </c>
      <c r="H380" s="6">
        <f t="shared" si="22"/>
        <v>79.765000000000001</v>
      </c>
    </row>
    <row r="381" spans="1:8" hidden="1" x14ac:dyDescent="0.3">
      <c r="A381" s="9">
        <v>44982</v>
      </c>
      <c r="B381" t="s">
        <v>12</v>
      </c>
      <c r="C381" t="s">
        <v>9</v>
      </c>
      <c r="D381" t="s">
        <v>10</v>
      </c>
      <c r="E381" t="s">
        <v>11</v>
      </c>
      <c r="F381">
        <v>705</v>
      </c>
      <c r="G381">
        <v>49</v>
      </c>
      <c r="H381" s="6">
        <f t="shared" si="22"/>
        <v>34.545000000000002</v>
      </c>
    </row>
    <row r="382" spans="1:8" hidden="1" x14ac:dyDescent="0.3">
      <c r="A382" s="9">
        <v>44982</v>
      </c>
      <c r="B382" t="s">
        <v>45</v>
      </c>
      <c r="C382" t="s">
        <v>26</v>
      </c>
      <c r="D382" t="s">
        <v>10</v>
      </c>
      <c r="E382" t="s">
        <v>40</v>
      </c>
      <c r="F382">
        <v>540</v>
      </c>
      <c r="G382">
        <v>27</v>
      </c>
      <c r="H382" s="6">
        <f t="shared" si="22"/>
        <v>14.58</v>
      </c>
    </row>
    <row r="383" spans="1:8" hidden="1" x14ac:dyDescent="0.3">
      <c r="A383" s="9">
        <v>44982</v>
      </c>
      <c r="B383" t="s">
        <v>8</v>
      </c>
      <c r="C383" t="s">
        <v>26</v>
      </c>
      <c r="D383" t="s">
        <v>13</v>
      </c>
      <c r="E383" t="s">
        <v>22</v>
      </c>
      <c r="F383">
        <v>930</v>
      </c>
      <c r="G383">
        <v>46</v>
      </c>
      <c r="H383" s="6">
        <f t="shared" si="22"/>
        <v>42.78</v>
      </c>
    </row>
    <row r="384" spans="1:8" hidden="1" x14ac:dyDescent="0.3">
      <c r="A384" s="9">
        <v>44982</v>
      </c>
      <c r="B384" t="s">
        <v>45</v>
      </c>
      <c r="C384" t="s">
        <v>26</v>
      </c>
      <c r="D384" t="s">
        <v>24</v>
      </c>
      <c r="E384" t="s">
        <v>32</v>
      </c>
      <c r="F384">
        <v>1505</v>
      </c>
      <c r="G384">
        <v>39</v>
      </c>
      <c r="H384" s="6">
        <f t="shared" si="22"/>
        <v>58.695</v>
      </c>
    </row>
    <row r="385" spans="1:8" hidden="1" x14ac:dyDescent="0.3">
      <c r="A385" s="9">
        <v>44982</v>
      </c>
      <c r="B385" t="s">
        <v>45</v>
      </c>
      <c r="C385" t="s">
        <v>15</v>
      </c>
      <c r="D385" t="s">
        <v>18</v>
      </c>
      <c r="E385" t="s">
        <v>19</v>
      </c>
      <c r="F385">
        <v>325</v>
      </c>
      <c r="G385">
        <v>98</v>
      </c>
      <c r="H385" s="6">
        <f t="shared" si="22"/>
        <v>31.85</v>
      </c>
    </row>
    <row r="386" spans="1:8" hidden="1" x14ac:dyDescent="0.3">
      <c r="A386" s="9">
        <v>44982</v>
      </c>
      <c r="B386" t="s">
        <v>12</v>
      </c>
      <c r="C386" t="s">
        <v>15</v>
      </c>
      <c r="D386" t="s">
        <v>24</v>
      </c>
      <c r="E386" t="s">
        <v>30</v>
      </c>
      <c r="F386">
        <v>2970</v>
      </c>
      <c r="G386">
        <v>82</v>
      </c>
      <c r="H386" s="6">
        <f t="shared" si="22"/>
        <v>243.54</v>
      </c>
    </row>
    <row r="387" spans="1:8" hidden="1" x14ac:dyDescent="0.3">
      <c r="A387" s="9">
        <v>44982</v>
      </c>
      <c r="B387" t="s">
        <v>12</v>
      </c>
      <c r="C387" t="s">
        <v>15</v>
      </c>
      <c r="D387" t="s">
        <v>24</v>
      </c>
      <c r="E387" t="s">
        <v>25</v>
      </c>
      <c r="F387">
        <v>1760</v>
      </c>
      <c r="G387">
        <v>51</v>
      </c>
      <c r="H387" s="6">
        <f t="shared" si="22"/>
        <v>89.76</v>
      </c>
    </row>
    <row r="388" spans="1:8" hidden="1" x14ac:dyDescent="0.3">
      <c r="A388" s="9">
        <v>44982</v>
      </c>
      <c r="B388" t="s">
        <v>8</v>
      </c>
      <c r="C388" t="s">
        <v>33</v>
      </c>
      <c r="D388" t="s">
        <v>18</v>
      </c>
      <c r="E388" t="s">
        <v>19</v>
      </c>
      <c r="F388">
        <v>325</v>
      </c>
      <c r="G388">
        <v>48</v>
      </c>
      <c r="H388" s="6">
        <f t="shared" si="22"/>
        <v>15.6</v>
      </c>
    </row>
    <row r="389" spans="1:8" hidden="1" x14ac:dyDescent="0.3">
      <c r="A389" s="9">
        <v>44982</v>
      </c>
      <c r="B389" t="s">
        <v>17</v>
      </c>
      <c r="C389" t="s">
        <v>35</v>
      </c>
      <c r="D389" t="s">
        <v>10</v>
      </c>
      <c r="E389" t="s">
        <v>16</v>
      </c>
      <c r="F389">
        <v>1380</v>
      </c>
      <c r="G389">
        <v>84</v>
      </c>
      <c r="H389" s="6">
        <f t="shared" si="22"/>
        <v>115.92</v>
      </c>
    </row>
    <row r="390" spans="1:8" hidden="1" x14ac:dyDescent="0.3">
      <c r="A390" s="9">
        <v>44982</v>
      </c>
      <c r="B390" t="s">
        <v>45</v>
      </c>
      <c r="C390" t="s">
        <v>35</v>
      </c>
      <c r="D390" t="s">
        <v>24</v>
      </c>
      <c r="E390" t="s">
        <v>34</v>
      </c>
      <c r="F390">
        <v>1670</v>
      </c>
      <c r="G390">
        <v>67</v>
      </c>
      <c r="H390" s="6">
        <f t="shared" si="22"/>
        <v>111.89</v>
      </c>
    </row>
    <row r="391" spans="1:8" hidden="1" x14ac:dyDescent="0.3">
      <c r="A391" s="9">
        <v>44982</v>
      </c>
      <c r="B391" t="s">
        <v>45</v>
      </c>
      <c r="C391" t="s">
        <v>35</v>
      </c>
      <c r="D391" t="s">
        <v>24</v>
      </c>
      <c r="E391" t="s">
        <v>42</v>
      </c>
      <c r="F391">
        <v>3205</v>
      </c>
      <c r="G391">
        <v>38</v>
      </c>
      <c r="H391" s="6">
        <f t="shared" si="22"/>
        <v>121.79</v>
      </c>
    </row>
    <row r="392" spans="1:8" hidden="1" x14ac:dyDescent="0.3">
      <c r="A392" s="9">
        <v>44982</v>
      </c>
      <c r="B392" t="s">
        <v>45</v>
      </c>
      <c r="C392" t="s">
        <v>33</v>
      </c>
      <c r="D392" t="s">
        <v>24</v>
      </c>
      <c r="E392" t="s">
        <v>42</v>
      </c>
      <c r="F392">
        <v>3205</v>
      </c>
      <c r="G392">
        <v>27</v>
      </c>
      <c r="H392" s="6">
        <f t="shared" si="22"/>
        <v>86.534999999999997</v>
      </c>
    </row>
    <row r="393" spans="1:8" hidden="1" x14ac:dyDescent="0.3">
      <c r="A393" s="13" t="s">
        <v>70</v>
      </c>
      <c r="H393" s="6">
        <f>SUBTOTAL(9,H376:H392)</f>
        <v>0</v>
      </c>
    </row>
    <row r="394" spans="1:8" hidden="1" x14ac:dyDescent="0.3">
      <c r="A394" s="9">
        <v>44983</v>
      </c>
      <c r="B394" t="s">
        <v>45</v>
      </c>
      <c r="C394" t="s">
        <v>20</v>
      </c>
      <c r="D394" t="s">
        <v>18</v>
      </c>
      <c r="E394" t="s">
        <v>19</v>
      </c>
      <c r="F394">
        <v>325</v>
      </c>
      <c r="G394">
        <v>12</v>
      </c>
      <c r="H394" s="6">
        <f t="shared" ref="H394:H409" si="23">F394*G394/1000</f>
        <v>3.9</v>
      </c>
    </row>
    <row r="395" spans="1:8" hidden="1" x14ac:dyDescent="0.3">
      <c r="A395" s="10">
        <v>44983</v>
      </c>
      <c r="B395" s="11" t="s">
        <v>45</v>
      </c>
      <c r="C395" s="11" t="s">
        <v>20</v>
      </c>
      <c r="D395" s="11" t="s">
        <v>24</v>
      </c>
      <c r="E395" s="11" t="s">
        <v>42</v>
      </c>
      <c r="F395" s="11">
        <v>3205</v>
      </c>
      <c r="G395" s="11">
        <v>69</v>
      </c>
      <c r="H395" s="6">
        <f t="shared" si="23"/>
        <v>221.14500000000001</v>
      </c>
    </row>
    <row r="396" spans="1:8" hidden="1" x14ac:dyDescent="0.3">
      <c r="A396" s="9">
        <v>44983</v>
      </c>
      <c r="B396" t="s">
        <v>12</v>
      </c>
      <c r="C396" t="s">
        <v>26</v>
      </c>
      <c r="D396" t="s">
        <v>13</v>
      </c>
      <c r="E396" t="s">
        <v>14</v>
      </c>
      <c r="F396">
        <v>1320</v>
      </c>
      <c r="G396">
        <v>60</v>
      </c>
      <c r="H396" s="6">
        <f t="shared" si="23"/>
        <v>79.2</v>
      </c>
    </row>
    <row r="397" spans="1:8" hidden="1" x14ac:dyDescent="0.3">
      <c r="A397" s="9">
        <v>44983</v>
      </c>
      <c r="B397" t="s">
        <v>8</v>
      </c>
      <c r="C397" t="s">
        <v>26</v>
      </c>
      <c r="D397" t="s">
        <v>24</v>
      </c>
      <c r="E397" t="s">
        <v>30</v>
      </c>
      <c r="F397">
        <v>2970</v>
      </c>
      <c r="G397">
        <v>76</v>
      </c>
      <c r="H397" s="6">
        <f t="shared" si="23"/>
        <v>225.72</v>
      </c>
    </row>
    <row r="398" spans="1:8" hidden="1" x14ac:dyDescent="0.3">
      <c r="A398" s="9">
        <v>44983</v>
      </c>
      <c r="B398" t="s">
        <v>12</v>
      </c>
      <c r="C398" t="s">
        <v>15</v>
      </c>
      <c r="D398" t="s">
        <v>18</v>
      </c>
      <c r="E398" t="s">
        <v>27</v>
      </c>
      <c r="F398">
        <v>460</v>
      </c>
      <c r="G398">
        <v>24</v>
      </c>
      <c r="H398" s="6">
        <f t="shared" si="23"/>
        <v>11.04</v>
      </c>
    </row>
    <row r="399" spans="1:8" hidden="1" x14ac:dyDescent="0.3">
      <c r="A399" s="9">
        <v>44983</v>
      </c>
      <c r="B399" t="s">
        <v>12</v>
      </c>
      <c r="C399" t="s">
        <v>15</v>
      </c>
      <c r="D399" t="s">
        <v>13</v>
      </c>
      <c r="E399" t="s">
        <v>22</v>
      </c>
      <c r="F399">
        <v>930</v>
      </c>
      <c r="G399">
        <v>92</v>
      </c>
      <c r="H399" s="6">
        <f t="shared" si="23"/>
        <v>85.56</v>
      </c>
    </row>
    <row r="400" spans="1:8" hidden="1" x14ac:dyDescent="0.3">
      <c r="A400" s="9">
        <v>44983</v>
      </c>
      <c r="B400" t="s">
        <v>17</v>
      </c>
      <c r="C400" t="s">
        <v>15</v>
      </c>
      <c r="D400" t="s">
        <v>24</v>
      </c>
      <c r="E400" t="s">
        <v>25</v>
      </c>
      <c r="F400">
        <v>1760</v>
      </c>
      <c r="G400">
        <v>88</v>
      </c>
      <c r="H400" s="6">
        <f t="shared" si="23"/>
        <v>154.88</v>
      </c>
    </row>
    <row r="401" spans="1:8" hidden="1" x14ac:dyDescent="0.3">
      <c r="A401" s="9">
        <v>44983</v>
      </c>
      <c r="B401" t="s">
        <v>8</v>
      </c>
      <c r="C401" t="s">
        <v>33</v>
      </c>
      <c r="D401" t="s">
        <v>13</v>
      </c>
      <c r="E401" t="s">
        <v>43</v>
      </c>
      <c r="F401">
        <v>1420</v>
      </c>
      <c r="G401">
        <v>63</v>
      </c>
      <c r="H401" s="6">
        <f t="shared" si="23"/>
        <v>89.46</v>
      </c>
    </row>
    <row r="402" spans="1:8" hidden="1" x14ac:dyDescent="0.3">
      <c r="A402" s="9">
        <v>44983</v>
      </c>
      <c r="B402" t="s">
        <v>17</v>
      </c>
      <c r="C402" t="s">
        <v>33</v>
      </c>
      <c r="D402" t="s">
        <v>24</v>
      </c>
      <c r="E402" t="s">
        <v>30</v>
      </c>
      <c r="F402">
        <v>2970</v>
      </c>
      <c r="G402">
        <v>79</v>
      </c>
      <c r="H402" s="6">
        <f t="shared" si="23"/>
        <v>234.63</v>
      </c>
    </row>
    <row r="403" spans="1:8" hidden="1" x14ac:dyDescent="0.3">
      <c r="A403" s="9">
        <v>44983</v>
      </c>
      <c r="B403" t="s">
        <v>45</v>
      </c>
      <c r="C403" t="s">
        <v>35</v>
      </c>
      <c r="D403" t="s">
        <v>10</v>
      </c>
      <c r="E403" t="s">
        <v>23</v>
      </c>
      <c r="F403">
        <v>640</v>
      </c>
      <c r="G403">
        <v>57</v>
      </c>
      <c r="H403" s="6">
        <f t="shared" si="23"/>
        <v>36.479999999999997</v>
      </c>
    </row>
    <row r="404" spans="1:8" hidden="1" x14ac:dyDescent="0.3">
      <c r="A404" s="9">
        <v>44983</v>
      </c>
      <c r="B404" t="s">
        <v>12</v>
      </c>
      <c r="C404" t="s">
        <v>35</v>
      </c>
      <c r="D404" t="s">
        <v>18</v>
      </c>
      <c r="E404" t="s">
        <v>31</v>
      </c>
      <c r="F404">
        <v>715</v>
      </c>
      <c r="G404">
        <v>32</v>
      </c>
      <c r="H404" s="6">
        <f t="shared" si="23"/>
        <v>22.88</v>
      </c>
    </row>
    <row r="405" spans="1:8" hidden="1" x14ac:dyDescent="0.3">
      <c r="A405" s="9">
        <v>44983</v>
      </c>
      <c r="B405" t="s">
        <v>12</v>
      </c>
      <c r="C405" t="s">
        <v>35</v>
      </c>
      <c r="D405" t="s">
        <v>13</v>
      </c>
      <c r="E405" t="s">
        <v>14</v>
      </c>
      <c r="F405">
        <v>1320</v>
      </c>
      <c r="G405">
        <v>43</v>
      </c>
      <c r="H405" s="6">
        <f t="shared" si="23"/>
        <v>56.76</v>
      </c>
    </row>
    <row r="406" spans="1:8" hidden="1" x14ac:dyDescent="0.3">
      <c r="A406" s="9">
        <v>44983</v>
      </c>
      <c r="B406" t="s">
        <v>17</v>
      </c>
      <c r="C406" t="s">
        <v>35</v>
      </c>
      <c r="D406" t="s">
        <v>13</v>
      </c>
      <c r="E406" t="s">
        <v>43</v>
      </c>
      <c r="F406">
        <v>1420</v>
      </c>
      <c r="G406">
        <v>54</v>
      </c>
      <c r="H406" s="6">
        <f t="shared" si="23"/>
        <v>76.680000000000007</v>
      </c>
    </row>
    <row r="407" spans="1:8" hidden="1" x14ac:dyDescent="0.3">
      <c r="A407" s="9">
        <v>44983</v>
      </c>
      <c r="B407" t="s">
        <v>17</v>
      </c>
      <c r="C407" t="s">
        <v>20</v>
      </c>
      <c r="D407" t="s">
        <v>13</v>
      </c>
      <c r="E407" t="s">
        <v>43</v>
      </c>
      <c r="F407">
        <v>1420</v>
      </c>
      <c r="G407">
        <v>31</v>
      </c>
      <c r="H407" s="6">
        <f t="shared" si="23"/>
        <v>44.02</v>
      </c>
    </row>
    <row r="408" spans="1:8" hidden="1" x14ac:dyDescent="0.3">
      <c r="A408" s="9">
        <v>44983</v>
      </c>
      <c r="B408" t="s">
        <v>45</v>
      </c>
      <c r="C408" t="s">
        <v>9</v>
      </c>
      <c r="D408" t="s">
        <v>18</v>
      </c>
      <c r="E408" t="s">
        <v>31</v>
      </c>
      <c r="F408">
        <v>715</v>
      </c>
      <c r="G408">
        <v>60</v>
      </c>
      <c r="H408" s="6">
        <f t="shared" si="23"/>
        <v>42.9</v>
      </c>
    </row>
    <row r="409" spans="1:8" hidden="1" x14ac:dyDescent="0.3">
      <c r="A409" s="9">
        <v>44983</v>
      </c>
      <c r="B409" t="s">
        <v>12</v>
      </c>
      <c r="C409" t="s">
        <v>33</v>
      </c>
      <c r="D409" t="s">
        <v>24</v>
      </c>
      <c r="E409" t="s">
        <v>30</v>
      </c>
      <c r="F409">
        <v>2970</v>
      </c>
      <c r="G409">
        <v>37</v>
      </c>
      <c r="H409" s="6">
        <f t="shared" si="23"/>
        <v>109.89</v>
      </c>
    </row>
    <row r="410" spans="1:8" hidden="1" x14ac:dyDescent="0.3">
      <c r="A410" s="13" t="s">
        <v>71</v>
      </c>
      <c r="H410" s="6">
        <f>SUBTOTAL(9,H394:H409)</f>
        <v>0</v>
      </c>
    </row>
    <row r="411" spans="1:8" hidden="1" x14ac:dyDescent="0.3">
      <c r="A411" s="9">
        <v>44984</v>
      </c>
      <c r="B411" t="s">
        <v>8</v>
      </c>
      <c r="C411" t="s">
        <v>20</v>
      </c>
      <c r="D411" t="s">
        <v>18</v>
      </c>
      <c r="E411" t="s">
        <v>27</v>
      </c>
      <c r="F411">
        <v>460</v>
      </c>
      <c r="G411">
        <v>90</v>
      </c>
      <c r="H411" s="6">
        <f t="shared" ref="H411:H425" si="24">F411*G411/1000</f>
        <v>41.4</v>
      </c>
    </row>
    <row r="412" spans="1:8" hidden="1" x14ac:dyDescent="0.3">
      <c r="A412" s="9">
        <v>44984</v>
      </c>
      <c r="B412" t="s">
        <v>12</v>
      </c>
      <c r="C412" t="s">
        <v>9</v>
      </c>
      <c r="D412" t="s">
        <v>18</v>
      </c>
      <c r="E412" t="s">
        <v>19</v>
      </c>
      <c r="F412">
        <v>325</v>
      </c>
      <c r="G412">
        <v>49</v>
      </c>
      <c r="H412" s="6">
        <f t="shared" si="24"/>
        <v>15.925000000000001</v>
      </c>
    </row>
    <row r="413" spans="1:8" hidden="1" x14ac:dyDescent="0.3">
      <c r="A413" s="9">
        <v>44984</v>
      </c>
      <c r="B413" t="s">
        <v>12</v>
      </c>
      <c r="C413" t="s">
        <v>9</v>
      </c>
      <c r="D413" t="s">
        <v>13</v>
      </c>
      <c r="E413" t="s">
        <v>44</v>
      </c>
      <c r="F413">
        <v>2540</v>
      </c>
      <c r="G413">
        <v>29</v>
      </c>
      <c r="H413" s="6">
        <f t="shared" si="24"/>
        <v>73.66</v>
      </c>
    </row>
    <row r="414" spans="1:8" hidden="1" x14ac:dyDescent="0.3">
      <c r="A414" s="9">
        <v>44984</v>
      </c>
      <c r="B414" t="s">
        <v>8</v>
      </c>
      <c r="C414" t="s">
        <v>26</v>
      </c>
      <c r="D414" t="s">
        <v>10</v>
      </c>
      <c r="E414" t="s">
        <v>41</v>
      </c>
      <c r="F414">
        <v>650</v>
      </c>
      <c r="G414">
        <v>75</v>
      </c>
      <c r="H414" s="6">
        <f t="shared" si="24"/>
        <v>48.75</v>
      </c>
    </row>
    <row r="415" spans="1:8" hidden="1" x14ac:dyDescent="0.3">
      <c r="A415" s="9">
        <v>44984</v>
      </c>
      <c r="B415" t="s">
        <v>8</v>
      </c>
      <c r="C415" t="s">
        <v>26</v>
      </c>
      <c r="D415" t="s">
        <v>10</v>
      </c>
      <c r="E415" t="s">
        <v>41</v>
      </c>
      <c r="F415">
        <v>650</v>
      </c>
      <c r="G415">
        <v>33</v>
      </c>
      <c r="H415" s="6">
        <f t="shared" si="24"/>
        <v>21.45</v>
      </c>
    </row>
    <row r="416" spans="1:8" hidden="1" x14ac:dyDescent="0.3">
      <c r="A416" s="9">
        <v>44984</v>
      </c>
      <c r="B416" t="s">
        <v>12</v>
      </c>
      <c r="C416" t="s">
        <v>26</v>
      </c>
      <c r="D416" t="s">
        <v>10</v>
      </c>
      <c r="E416" t="s">
        <v>16</v>
      </c>
      <c r="F416">
        <v>1380</v>
      </c>
      <c r="G416">
        <v>6</v>
      </c>
      <c r="H416" s="6">
        <f t="shared" si="24"/>
        <v>8.2799999999999994</v>
      </c>
    </row>
    <row r="417" spans="1:8" hidden="1" x14ac:dyDescent="0.3">
      <c r="A417" s="9">
        <v>44984</v>
      </c>
      <c r="B417" t="s">
        <v>8</v>
      </c>
      <c r="C417" t="s">
        <v>26</v>
      </c>
      <c r="D417" t="s">
        <v>18</v>
      </c>
      <c r="E417" t="s">
        <v>27</v>
      </c>
      <c r="F417">
        <v>460</v>
      </c>
      <c r="G417">
        <v>41</v>
      </c>
      <c r="H417" s="6">
        <f t="shared" si="24"/>
        <v>18.86</v>
      </c>
    </row>
    <row r="418" spans="1:8" hidden="1" x14ac:dyDescent="0.3">
      <c r="A418" s="9">
        <v>44984</v>
      </c>
      <c r="B418" t="s">
        <v>8</v>
      </c>
      <c r="C418" t="s">
        <v>26</v>
      </c>
      <c r="D418" t="s">
        <v>24</v>
      </c>
      <c r="E418" t="s">
        <v>25</v>
      </c>
      <c r="F418">
        <v>1760</v>
      </c>
      <c r="G418">
        <v>50</v>
      </c>
      <c r="H418" s="6">
        <f t="shared" si="24"/>
        <v>88</v>
      </c>
    </row>
    <row r="419" spans="1:8" hidden="1" x14ac:dyDescent="0.3">
      <c r="A419" s="9">
        <v>44984</v>
      </c>
      <c r="B419" t="s">
        <v>8</v>
      </c>
      <c r="C419" t="s">
        <v>26</v>
      </c>
      <c r="D419" t="s">
        <v>24</v>
      </c>
      <c r="E419" t="s">
        <v>25</v>
      </c>
      <c r="F419">
        <v>1760</v>
      </c>
      <c r="G419">
        <v>41</v>
      </c>
      <c r="H419" s="6">
        <f t="shared" si="24"/>
        <v>72.16</v>
      </c>
    </row>
    <row r="420" spans="1:8" hidden="1" x14ac:dyDescent="0.3">
      <c r="A420" s="9">
        <v>44984</v>
      </c>
      <c r="B420" t="s">
        <v>8</v>
      </c>
      <c r="C420" t="s">
        <v>15</v>
      </c>
      <c r="D420" t="s">
        <v>10</v>
      </c>
      <c r="E420" t="s">
        <v>40</v>
      </c>
      <c r="F420">
        <v>540</v>
      </c>
      <c r="G420">
        <v>48</v>
      </c>
      <c r="H420" s="6">
        <f t="shared" si="24"/>
        <v>25.92</v>
      </c>
    </row>
    <row r="421" spans="1:8" hidden="1" x14ac:dyDescent="0.3">
      <c r="A421" s="9">
        <v>44984</v>
      </c>
      <c r="B421" t="s">
        <v>12</v>
      </c>
      <c r="C421" t="s">
        <v>15</v>
      </c>
      <c r="D421" t="s">
        <v>18</v>
      </c>
      <c r="E421" t="s">
        <v>19</v>
      </c>
      <c r="F421">
        <v>325</v>
      </c>
      <c r="G421">
        <v>12</v>
      </c>
      <c r="H421" s="6">
        <f t="shared" si="24"/>
        <v>3.9</v>
      </c>
    </row>
    <row r="422" spans="1:8" hidden="1" x14ac:dyDescent="0.3">
      <c r="A422" s="9">
        <v>44984</v>
      </c>
      <c r="B422" t="s">
        <v>45</v>
      </c>
      <c r="C422" t="s">
        <v>33</v>
      </c>
      <c r="D422" t="s">
        <v>18</v>
      </c>
      <c r="E422" t="s">
        <v>21</v>
      </c>
      <c r="F422">
        <v>450</v>
      </c>
      <c r="G422">
        <v>69</v>
      </c>
      <c r="H422" s="6">
        <f t="shared" si="24"/>
        <v>31.05</v>
      </c>
    </row>
    <row r="423" spans="1:8" hidden="1" x14ac:dyDescent="0.3">
      <c r="A423" s="9">
        <v>44984</v>
      </c>
      <c r="B423" t="s">
        <v>12</v>
      </c>
      <c r="C423" t="s">
        <v>33</v>
      </c>
      <c r="D423" t="s">
        <v>18</v>
      </c>
      <c r="E423" t="s">
        <v>37</v>
      </c>
      <c r="F423">
        <v>890</v>
      </c>
      <c r="G423">
        <v>36</v>
      </c>
      <c r="H423" s="6">
        <f t="shared" si="24"/>
        <v>32.04</v>
      </c>
    </row>
    <row r="424" spans="1:8" hidden="1" x14ac:dyDescent="0.3">
      <c r="A424" s="9">
        <v>44984</v>
      </c>
      <c r="B424" t="s">
        <v>12</v>
      </c>
      <c r="C424" t="s">
        <v>35</v>
      </c>
      <c r="D424" t="s">
        <v>13</v>
      </c>
      <c r="E424" t="s">
        <v>43</v>
      </c>
      <c r="F424">
        <v>1420</v>
      </c>
      <c r="G424">
        <v>95</v>
      </c>
      <c r="H424" s="6">
        <f t="shared" si="24"/>
        <v>134.9</v>
      </c>
    </row>
    <row r="425" spans="1:8" hidden="1" x14ac:dyDescent="0.3">
      <c r="A425" s="9">
        <v>44984</v>
      </c>
      <c r="B425" t="s">
        <v>12</v>
      </c>
      <c r="C425" t="s">
        <v>33</v>
      </c>
      <c r="D425" t="s">
        <v>24</v>
      </c>
      <c r="E425" t="s">
        <v>30</v>
      </c>
      <c r="F425">
        <v>2970</v>
      </c>
      <c r="G425">
        <v>55</v>
      </c>
      <c r="H425" s="6">
        <f t="shared" si="24"/>
        <v>163.35</v>
      </c>
    </row>
    <row r="426" spans="1:8" hidden="1" x14ac:dyDescent="0.3">
      <c r="A426" s="13" t="s">
        <v>72</v>
      </c>
      <c r="H426" s="6">
        <f>SUBTOTAL(9,H411:H425)</f>
        <v>0</v>
      </c>
    </row>
    <row r="427" spans="1:8" hidden="1" x14ac:dyDescent="0.3">
      <c r="A427" s="10">
        <v>44985</v>
      </c>
      <c r="B427" s="11" t="s">
        <v>12</v>
      </c>
      <c r="C427" s="11" t="s">
        <v>20</v>
      </c>
      <c r="D427" s="11" t="s">
        <v>18</v>
      </c>
      <c r="E427" s="11" t="s">
        <v>19</v>
      </c>
      <c r="F427" s="11">
        <v>325</v>
      </c>
      <c r="G427" s="11">
        <v>41</v>
      </c>
      <c r="H427" s="6">
        <f t="shared" ref="H427:H452" si="25">F427*G427/1000</f>
        <v>13.324999999999999</v>
      </c>
    </row>
    <row r="428" spans="1:8" hidden="1" x14ac:dyDescent="0.3">
      <c r="A428" s="9">
        <v>44985</v>
      </c>
      <c r="B428" t="s">
        <v>12</v>
      </c>
      <c r="C428" t="s">
        <v>20</v>
      </c>
      <c r="D428" t="s">
        <v>13</v>
      </c>
      <c r="E428" t="s">
        <v>29</v>
      </c>
      <c r="F428">
        <v>1230</v>
      </c>
      <c r="G428">
        <v>40</v>
      </c>
      <c r="H428" s="6">
        <f t="shared" si="25"/>
        <v>49.2</v>
      </c>
    </row>
    <row r="429" spans="1:8" hidden="1" x14ac:dyDescent="0.3">
      <c r="A429" s="9">
        <v>44985</v>
      </c>
      <c r="B429" t="s">
        <v>17</v>
      </c>
      <c r="C429" t="s">
        <v>9</v>
      </c>
      <c r="D429" t="s">
        <v>10</v>
      </c>
      <c r="E429" t="s">
        <v>11</v>
      </c>
      <c r="F429">
        <v>705</v>
      </c>
      <c r="G429">
        <v>23</v>
      </c>
      <c r="H429" s="6">
        <f t="shared" si="25"/>
        <v>16.215</v>
      </c>
    </row>
    <row r="430" spans="1:8" hidden="1" x14ac:dyDescent="0.3">
      <c r="A430" s="9">
        <v>44985</v>
      </c>
      <c r="B430" t="s">
        <v>8</v>
      </c>
      <c r="C430" t="s">
        <v>9</v>
      </c>
      <c r="D430" t="s">
        <v>10</v>
      </c>
      <c r="E430" t="s">
        <v>40</v>
      </c>
      <c r="F430">
        <v>540</v>
      </c>
      <c r="G430">
        <v>46</v>
      </c>
      <c r="H430" s="6">
        <f t="shared" si="25"/>
        <v>24.84</v>
      </c>
    </row>
    <row r="431" spans="1:8" hidden="1" x14ac:dyDescent="0.3">
      <c r="A431" s="9">
        <v>44985</v>
      </c>
      <c r="B431" t="s">
        <v>8</v>
      </c>
      <c r="C431" t="s">
        <v>9</v>
      </c>
      <c r="D431" t="s">
        <v>18</v>
      </c>
      <c r="E431" t="s">
        <v>27</v>
      </c>
      <c r="F431">
        <v>460</v>
      </c>
      <c r="G431">
        <v>21</v>
      </c>
      <c r="H431" s="6">
        <f t="shared" si="25"/>
        <v>9.66</v>
      </c>
    </row>
    <row r="432" spans="1:8" hidden="1" x14ac:dyDescent="0.3">
      <c r="A432" s="9">
        <v>44985</v>
      </c>
      <c r="B432" t="s">
        <v>17</v>
      </c>
      <c r="C432" t="s">
        <v>9</v>
      </c>
      <c r="D432" t="s">
        <v>24</v>
      </c>
      <c r="E432" t="s">
        <v>42</v>
      </c>
      <c r="F432">
        <v>3205</v>
      </c>
      <c r="G432">
        <v>46</v>
      </c>
      <c r="H432" s="6">
        <f t="shared" si="25"/>
        <v>147.43</v>
      </c>
    </row>
    <row r="433" spans="1:8" hidden="1" x14ac:dyDescent="0.3">
      <c r="A433" s="9">
        <v>44985</v>
      </c>
      <c r="B433" t="s">
        <v>17</v>
      </c>
      <c r="C433" t="s">
        <v>26</v>
      </c>
      <c r="D433" t="s">
        <v>13</v>
      </c>
      <c r="E433" t="s">
        <v>22</v>
      </c>
      <c r="F433">
        <v>930</v>
      </c>
      <c r="G433">
        <v>40</v>
      </c>
      <c r="H433" s="6">
        <f t="shared" si="25"/>
        <v>37.200000000000003</v>
      </c>
    </row>
    <row r="434" spans="1:8" hidden="1" x14ac:dyDescent="0.3">
      <c r="A434" s="9">
        <v>44985</v>
      </c>
      <c r="B434" t="s">
        <v>17</v>
      </c>
      <c r="C434" t="s">
        <v>26</v>
      </c>
      <c r="D434" t="s">
        <v>13</v>
      </c>
      <c r="E434" t="s">
        <v>29</v>
      </c>
      <c r="F434">
        <v>1230</v>
      </c>
      <c r="G434">
        <v>81</v>
      </c>
      <c r="H434" s="6">
        <f t="shared" si="25"/>
        <v>99.63</v>
      </c>
    </row>
    <row r="435" spans="1:8" hidden="1" x14ac:dyDescent="0.3">
      <c r="A435" s="9">
        <v>44985</v>
      </c>
      <c r="B435" t="s">
        <v>8</v>
      </c>
      <c r="C435" t="s">
        <v>26</v>
      </c>
      <c r="D435" t="s">
        <v>24</v>
      </c>
      <c r="E435" t="s">
        <v>32</v>
      </c>
      <c r="F435">
        <v>1505</v>
      </c>
      <c r="G435">
        <v>31</v>
      </c>
      <c r="H435" s="6">
        <f t="shared" si="25"/>
        <v>46.655000000000001</v>
      </c>
    </row>
    <row r="436" spans="1:8" hidden="1" x14ac:dyDescent="0.3">
      <c r="A436" s="9">
        <v>44985</v>
      </c>
      <c r="B436" t="s">
        <v>8</v>
      </c>
      <c r="C436" t="s">
        <v>15</v>
      </c>
      <c r="D436" t="s">
        <v>10</v>
      </c>
      <c r="E436" t="s">
        <v>41</v>
      </c>
      <c r="F436">
        <v>650</v>
      </c>
      <c r="G436">
        <v>13</v>
      </c>
      <c r="H436" s="6">
        <f t="shared" si="25"/>
        <v>8.4499999999999993</v>
      </c>
    </row>
    <row r="437" spans="1:8" hidden="1" x14ac:dyDescent="0.3">
      <c r="A437" s="9">
        <v>44985</v>
      </c>
      <c r="B437" t="s">
        <v>45</v>
      </c>
      <c r="C437" t="s">
        <v>15</v>
      </c>
      <c r="D437" t="s">
        <v>18</v>
      </c>
      <c r="E437" t="s">
        <v>19</v>
      </c>
      <c r="F437">
        <v>325</v>
      </c>
      <c r="G437">
        <v>80</v>
      </c>
      <c r="H437" s="6">
        <f t="shared" si="25"/>
        <v>26</v>
      </c>
    </row>
    <row r="438" spans="1:8" hidden="1" x14ac:dyDescent="0.3">
      <c r="A438" s="9">
        <v>44985</v>
      </c>
      <c r="B438" t="s">
        <v>8</v>
      </c>
      <c r="C438" t="s">
        <v>15</v>
      </c>
      <c r="D438" t="s">
        <v>24</v>
      </c>
      <c r="E438" t="s">
        <v>25</v>
      </c>
      <c r="F438">
        <v>1760</v>
      </c>
      <c r="G438">
        <v>46</v>
      </c>
      <c r="H438" s="6">
        <f t="shared" si="25"/>
        <v>80.959999999999994</v>
      </c>
    </row>
    <row r="439" spans="1:8" hidden="1" x14ac:dyDescent="0.3">
      <c r="A439" s="9">
        <v>44985</v>
      </c>
      <c r="B439" t="s">
        <v>12</v>
      </c>
      <c r="C439" t="s">
        <v>33</v>
      </c>
      <c r="D439" t="s">
        <v>13</v>
      </c>
      <c r="E439" t="s">
        <v>22</v>
      </c>
      <c r="F439">
        <v>930</v>
      </c>
      <c r="G439">
        <v>18</v>
      </c>
      <c r="H439" s="6">
        <f t="shared" si="25"/>
        <v>16.739999999999998</v>
      </c>
    </row>
    <row r="440" spans="1:8" hidden="1" x14ac:dyDescent="0.3">
      <c r="A440" s="9">
        <v>44985</v>
      </c>
      <c r="B440" t="s">
        <v>12</v>
      </c>
      <c r="C440" t="s">
        <v>33</v>
      </c>
      <c r="D440" t="s">
        <v>24</v>
      </c>
      <c r="E440" t="s">
        <v>34</v>
      </c>
      <c r="F440">
        <v>1670</v>
      </c>
      <c r="G440">
        <v>97</v>
      </c>
      <c r="H440" s="6">
        <f t="shared" si="25"/>
        <v>161.99</v>
      </c>
    </row>
    <row r="441" spans="1:8" hidden="1" x14ac:dyDescent="0.3">
      <c r="A441" s="9">
        <v>44985</v>
      </c>
      <c r="B441" t="s">
        <v>45</v>
      </c>
      <c r="C441" t="s">
        <v>33</v>
      </c>
      <c r="D441" t="s">
        <v>24</v>
      </c>
      <c r="E441" t="s">
        <v>30</v>
      </c>
      <c r="F441">
        <v>2970</v>
      </c>
      <c r="G441">
        <v>9</v>
      </c>
      <c r="H441" s="6">
        <f t="shared" si="25"/>
        <v>26.73</v>
      </c>
    </row>
    <row r="442" spans="1:8" hidden="1" x14ac:dyDescent="0.3">
      <c r="A442" s="9">
        <v>44985</v>
      </c>
      <c r="B442" t="s">
        <v>8</v>
      </c>
      <c r="C442" t="s">
        <v>33</v>
      </c>
      <c r="D442" t="s">
        <v>24</v>
      </c>
      <c r="E442" t="s">
        <v>36</v>
      </c>
      <c r="F442">
        <v>2460</v>
      </c>
      <c r="G442">
        <v>78</v>
      </c>
      <c r="H442" s="6">
        <f t="shared" si="25"/>
        <v>191.88</v>
      </c>
    </row>
    <row r="443" spans="1:8" hidden="1" x14ac:dyDescent="0.3">
      <c r="A443" s="9">
        <v>44985</v>
      </c>
      <c r="B443" t="s">
        <v>17</v>
      </c>
      <c r="C443" t="s">
        <v>35</v>
      </c>
      <c r="D443" t="s">
        <v>13</v>
      </c>
      <c r="E443" t="s">
        <v>22</v>
      </c>
      <c r="F443">
        <v>930</v>
      </c>
      <c r="G443">
        <v>100</v>
      </c>
      <c r="H443" s="6">
        <f t="shared" si="25"/>
        <v>93</v>
      </c>
    </row>
    <row r="444" spans="1:8" hidden="1" x14ac:dyDescent="0.3">
      <c r="A444" s="9">
        <v>44985</v>
      </c>
      <c r="B444" t="s">
        <v>12</v>
      </c>
      <c r="C444" t="s">
        <v>35</v>
      </c>
      <c r="D444" t="s">
        <v>10</v>
      </c>
      <c r="E444" t="s">
        <v>40</v>
      </c>
      <c r="F444">
        <v>540</v>
      </c>
      <c r="G444">
        <v>98</v>
      </c>
      <c r="H444" s="6">
        <f t="shared" si="25"/>
        <v>52.92</v>
      </c>
    </row>
    <row r="445" spans="1:8" hidden="1" x14ac:dyDescent="0.3">
      <c r="A445" s="9">
        <v>44985</v>
      </c>
      <c r="B445" t="s">
        <v>12</v>
      </c>
      <c r="C445" t="s">
        <v>35</v>
      </c>
      <c r="D445" t="s">
        <v>10</v>
      </c>
      <c r="E445" t="s">
        <v>11</v>
      </c>
      <c r="F445">
        <v>705</v>
      </c>
      <c r="G445">
        <v>19</v>
      </c>
      <c r="H445" s="6">
        <f t="shared" si="25"/>
        <v>13.395</v>
      </c>
    </row>
    <row r="446" spans="1:8" hidden="1" x14ac:dyDescent="0.3">
      <c r="A446" s="9">
        <v>44985</v>
      </c>
      <c r="B446" t="s">
        <v>12</v>
      </c>
      <c r="C446" t="s">
        <v>35</v>
      </c>
      <c r="D446" t="s">
        <v>18</v>
      </c>
      <c r="E446" t="s">
        <v>28</v>
      </c>
      <c r="F446">
        <v>690</v>
      </c>
      <c r="G446">
        <v>27</v>
      </c>
      <c r="H446" s="6">
        <f t="shared" si="25"/>
        <v>18.63</v>
      </c>
    </row>
    <row r="447" spans="1:8" hidden="1" x14ac:dyDescent="0.3">
      <c r="A447" s="9">
        <v>44985</v>
      </c>
      <c r="B447" t="s">
        <v>17</v>
      </c>
      <c r="C447" t="s">
        <v>35</v>
      </c>
      <c r="D447" t="s">
        <v>13</v>
      </c>
      <c r="E447" t="s">
        <v>43</v>
      </c>
      <c r="F447">
        <v>1420</v>
      </c>
      <c r="G447">
        <v>74</v>
      </c>
      <c r="H447" s="6">
        <f t="shared" si="25"/>
        <v>105.08</v>
      </c>
    </row>
    <row r="448" spans="1:8" hidden="1" x14ac:dyDescent="0.3">
      <c r="A448" s="9">
        <v>44985</v>
      </c>
      <c r="B448" t="s">
        <v>17</v>
      </c>
      <c r="C448" t="s">
        <v>35</v>
      </c>
      <c r="D448" t="s">
        <v>13</v>
      </c>
      <c r="E448" t="s">
        <v>29</v>
      </c>
      <c r="F448">
        <v>1230</v>
      </c>
      <c r="G448">
        <v>25</v>
      </c>
      <c r="H448" s="6">
        <f t="shared" si="25"/>
        <v>30.75</v>
      </c>
    </row>
    <row r="449" spans="1:8" hidden="1" x14ac:dyDescent="0.3">
      <c r="A449" s="9">
        <v>44985</v>
      </c>
      <c r="B449" t="s">
        <v>45</v>
      </c>
      <c r="C449" t="s">
        <v>35</v>
      </c>
      <c r="D449" t="s">
        <v>24</v>
      </c>
      <c r="E449" t="s">
        <v>25</v>
      </c>
      <c r="F449">
        <v>1760</v>
      </c>
      <c r="G449">
        <v>99</v>
      </c>
      <c r="H449" s="6">
        <f t="shared" si="25"/>
        <v>174.24</v>
      </c>
    </row>
    <row r="450" spans="1:8" hidden="1" x14ac:dyDescent="0.3">
      <c r="A450" s="9">
        <v>44985</v>
      </c>
      <c r="B450" t="s">
        <v>45</v>
      </c>
      <c r="C450" t="s">
        <v>35</v>
      </c>
      <c r="D450" t="s">
        <v>24</v>
      </c>
      <c r="E450" t="s">
        <v>42</v>
      </c>
      <c r="F450">
        <v>3205</v>
      </c>
      <c r="G450">
        <v>53</v>
      </c>
      <c r="H450" s="6">
        <f t="shared" si="25"/>
        <v>169.86500000000001</v>
      </c>
    </row>
    <row r="451" spans="1:8" hidden="1" x14ac:dyDescent="0.3">
      <c r="A451" s="9">
        <v>44985</v>
      </c>
      <c r="B451" t="s">
        <v>17</v>
      </c>
      <c r="C451" t="s">
        <v>20</v>
      </c>
      <c r="D451" t="s">
        <v>18</v>
      </c>
      <c r="E451" t="s">
        <v>21</v>
      </c>
      <c r="F451">
        <v>450</v>
      </c>
      <c r="G451">
        <v>48</v>
      </c>
      <c r="H451" s="6">
        <f t="shared" si="25"/>
        <v>21.6</v>
      </c>
    </row>
    <row r="452" spans="1:8" hidden="1" x14ac:dyDescent="0.3">
      <c r="A452" s="9">
        <v>44985</v>
      </c>
      <c r="B452" t="s">
        <v>8</v>
      </c>
      <c r="C452" t="s">
        <v>20</v>
      </c>
      <c r="D452" t="s">
        <v>13</v>
      </c>
      <c r="E452" t="s">
        <v>44</v>
      </c>
      <c r="F452">
        <v>2540</v>
      </c>
      <c r="G452">
        <v>96</v>
      </c>
      <c r="H452" s="6">
        <f t="shared" si="25"/>
        <v>243.84</v>
      </c>
    </row>
    <row r="453" spans="1:8" hidden="1" x14ac:dyDescent="0.3">
      <c r="A453" s="13" t="s">
        <v>73</v>
      </c>
      <c r="H453" s="6">
        <f>SUBTOTAL(9,H427:H452)</f>
        <v>0</v>
      </c>
    </row>
    <row r="454" spans="1:8" hidden="1" x14ac:dyDescent="0.3">
      <c r="A454" s="10">
        <v>44986</v>
      </c>
      <c r="B454" s="11" t="s">
        <v>45</v>
      </c>
      <c r="C454" s="11" t="s">
        <v>20</v>
      </c>
      <c r="D454" s="11" t="s">
        <v>10</v>
      </c>
      <c r="E454" s="11" t="s">
        <v>16</v>
      </c>
      <c r="F454" s="11">
        <v>1380</v>
      </c>
      <c r="G454" s="11">
        <v>61</v>
      </c>
      <c r="H454" s="6">
        <f t="shared" ref="H454:H474" si="26">F454*G454/1000</f>
        <v>84.18</v>
      </c>
    </row>
    <row r="455" spans="1:8" hidden="1" x14ac:dyDescent="0.3">
      <c r="A455" s="9">
        <v>44986</v>
      </c>
      <c r="B455" t="s">
        <v>12</v>
      </c>
      <c r="C455" t="s">
        <v>9</v>
      </c>
      <c r="D455" t="s">
        <v>10</v>
      </c>
      <c r="E455" t="s">
        <v>41</v>
      </c>
      <c r="F455">
        <v>650</v>
      </c>
      <c r="G455">
        <v>97</v>
      </c>
      <c r="H455" s="6">
        <f t="shared" si="26"/>
        <v>63.05</v>
      </c>
    </row>
    <row r="456" spans="1:8" hidden="1" x14ac:dyDescent="0.3">
      <c r="A456" s="9">
        <v>44986</v>
      </c>
      <c r="B456" t="s">
        <v>12</v>
      </c>
      <c r="C456" t="s">
        <v>9</v>
      </c>
      <c r="D456" t="s">
        <v>18</v>
      </c>
      <c r="E456" t="s">
        <v>19</v>
      </c>
      <c r="F456">
        <v>325</v>
      </c>
      <c r="G456">
        <v>100</v>
      </c>
      <c r="H456" s="6">
        <f t="shared" si="26"/>
        <v>32.5</v>
      </c>
    </row>
    <row r="457" spans="1:8" hidden="1" x14ac:dyDescent="0.3">
      <c r="A457" s="9">
        <v>44986</v>
      </c>
      <c r="B457" t="s">
        <v>45</v>
      </c>
      <c r="C457" t="s">
        <v>9</v>
      </c>
      <c r="D457" t="s">
        <v>18</v>
      </c>
      <c r="E457" t="s">
        <v>28</v>
      </c>
      <c r="F457">
        <v>690</v>
      </c>
      <c r="G457">
        <v>68</v>
      </c>
      <c r="H457" s="6">
        <f t="shared" si="26"/>
        <v>46.92</v>
      </c>
    </row>
    <row r="458" spans="1:8" hidden="1" x14ac:dyDescent="0.3">
      <c r="A458" s="9">
        <v>44986</v>
      </c>
      <c r="B458" t="s">
        <v>45</v>
      </c>
      <c r="C458" t="s">
        <v>9</v>
      </c>
      <c r="D458" t="s">
        <v>18</v>
      </c>
      <c r="E458" t="s">
        <v>21</v>
      </c>
      <c r="F458">
        <v>450</v>
      </c>
      <c r="G458">
        <v>79</v>
      </c>
      <c r="H458" s="6">
        <f t="shared" si="26"/>
        <v>35.549999999999997</v>
      </c>
    </row>
    <row r="459" spans="1:8" hidden="1" x14ac:dyDescent="0.3">
      <c r="A459" s="9">
        <v>44986</v>
      </c>
      <c r="B459" t="s">
        <v>45</v>
      </c>
      <c r="C459" t="s">
        <v>9</v>
      </c>
      <c r="D459" t="s">
        <v>24</v>
      </c>
      <c r="E459" t="s">
        <v>34</v>
      </c>
      <c r="F459">
        <v>1670</v>
      </c>
      <c r="G459">
        <v>96</v>
      </c>
      <c r="H459" s="6">
        <f t="shared" si="26"/>
        <v>160.32</v>
      </c>
    </row>
    <row r="460" spans="1:8" hidden="1" x14ac:dyDescent="0.3">
      <c r="A460" s="9">
        <v>44986</v>
      </c>
      <c r="B460" t="s">
        <v>12</v>
      </c>
      <c r="C460" t="s">
        <v>26</v>
      </c>
      <c r="D460" t="s">
        <v>10</v>
      </c>
      <c r="E460" t="s">
        <v>39</v>
      </c>
      <c r="F460">
        <v>650</v>
      </c>
      <c r="G460">
        <v>64</v>
      </c>
      <c r="H460" s="6">
        <f t="shared" si="26"/>
        <v>41.6</v>
      </c>
    </row>
    <row r="461" spans="1:8" hidden="1" x14ac:dyDescent="0.3">
      <c r="A461" s="9">
        <v>44986</v>
      </c>
      <c r="B461" t="s">
        <v>45</v>
      </c>
      <c r="C461" t="s">
        <v>26</v>
      </c>
      <c r="D461" t="s">
        <v>18</v>
      </c>
      <c r="E461" t="s">
        <v>31</v>
      </c>
      <c r="F461">
        <v>715</v>
      </c>
      <c r="G461">
        <v>51</v>
      </c>
      <c r="H461" s="6">
        <f t="shared" si="26"/>
        <v>36.465000000000003</v>
      </c>
    </row>
    <row r="462" spans="1:8" hidden="1" x14ac:dyDescent="0.3">
      <c r="A462" s="9">
        <v>44986</v>
      </c>
      <c r="B462" t="s">
        <v>17</v>
      </c>
      <c r="C462" t="s">
        <v>26</v>
      </c>
      <c r="D462" t="s">
        <v>24</v>
      </c>
      <c r="E462" t="s">
        <v>34</v>
      </c>
      <c r="F462">
        <v>1670</v>
      </c>
      <c r="G462">
        <v>77</v>
      </c>
      <c r="H462" s="6">
        <f t="shared" si="26"/>
        <v>128.59</v>
      </c>
    </row>
    <row r="463" spans="1:8" hidden="1" x14ac:dyDescent="0.3">
      <c r="A463" s="9">
        <v>44986</v>
      </c>
      <c r="B463" t="s">
        <v>17</v>
      </c>
      <c r="C463" t="s">
        <v>15</v>
      </c>
      <c r="D463" t="s">
        <v>18</v>
      </c>
      <c r="E463" t="s">
        <v>37</v>
      </c>
      <c r="F463">
        <v>890</v>
      </c>
      <c r="G463">
        <v>22</v>
      </c>
      <c r="H463" s="6">
        <f t="shared" si="26"/>
        <v>19.579999999999998</v>
      </c>
    </row>
    <row r="464" spans="1:8" hidden="1" x14ac:dyDescent="0.3">
      <c r="A464" s="9">
        <v>44986</v>
      </c>
      <c r="B464" t="s">
        <v>12</v>
      </c>
      <c r="C464" t="s">
        <v>15</v>
      </c>
      <c r="D464" t="s">
        <v>18</v>
      </c>
      <c r="E464" t="s">
        <v>31</v>
      </c>
      <c r="F464">
        <v>715</v>
      </c>
      <c r="G464">
        <v>8</v>
      </c>
      <c r="H464" s="6">
        <f t="shared" si="26"/>
        <v>5.72</v>
      </c>
    </row>
    <row r="465" spans="1:8" hidden="1" x14ac:dyDescent="0.3">
      <c r="A465" s="9">
        <v>44986</v>
      </c>
      <c r="B465" t="s">
        <v>17</v>
      </c>
      <c r="C465" t="s">
        <v>15</v>
      </c>
      <c r="D465" t="s">
        <v>18</v>
      </c>
      <c r="E465" t="s">
        <v>21</v>
      </c>
      <c r="F465">
        <v>450</v>
      </c>
      <c r="G465">
        <v>12</v>
      </c>
      <c r="H465" s="6">
        <f t="shared" si="26"/>
        <v>5.4</v>
      </c>
    </row>
    <row r="466" spans="1:8" hidden="1" x14ac:dyDescent="0.3">
      <c r="A466" s="9">
        <v>44986</v>
      </c>
      <c r="B466" t="s">
        <v>8</v>
      </c>
      <c r="C466" t="s">
        <v>15</v>
      </c>
      <c r="D466" t="s">
        <v>24</v>
      </c>
      <c r="E466" t="s">
        <v>25</v>
      </c>
      <c r="F466">
        <v>1760</v>
      </c>
      <c r="G466">
        <v>49</v>
      </c>
      <c r="H466" s="6">
        <f t="shared" si="26"/>
        <v>86.24</v>
      </c>
    </row>
    <row r="467" spans="1:8" hidden="1" x14ac:dyDescent="0.3">
      <c r="A467" s="9">
        <v>44986</v>
      </c>
      <c r="B467" t="s">
        <v>8</v>
      </c>
      <c r="C467" t="s">
        <v>15</v>
      </c>
      <c r="D467" t="s">
        <v>24</v>
      </c>
      <c r="E467" t="s">
        <v>25</v>
      </c>
      <c r="F467">
        <v>1760</v>
      </c>
      <c r="G467">
        <v>99</v>
      </c>
      <c r="H467" s="6">
        <f t="shared" si="26"/>
        <v>174.24</v>
      </c>
    </row>
    <row r="468" spans="1:8" hidden="1" x14ac:dyDescent="0.3">
      <c r="A468" s="9">
        <v>44986</v>
      </c>
      <c r="B468" t="s">
        <v>45</v>
      </c>
      <c r="C468" t="s">
        <v>15</v>
      </c>
      <c r="D468" t="s">
        <v>24</v>
      </c>
      <c r="E468" t="s">
        <v>32</v>
      </c>
      <c r="F468">
        <v>1505</v>
      </c>
      <c r="G468">
        <v>96</v>
      </c>
      <c r="H468" s="6">
        <f t="shared" si="26"/>
        <v>144.47999999999999</v>
      </c>
    </row>
    <row r="469" spans="1:8" hidden="1" x14ac:dyDescent="0.3">
      <c r="A469" s="9">
        <v>44986</v>
      </c>
      <c r="B469" t="s">
        <v>8</v>
      </c>
      <c r="C469" t="s">
        <v>33</v>
      </c>
      <c r="D469" t="s">
        <v>10</v>
      </c>
      <c r="E469" t="s">
        <v>23</v>
      </c>
      <c r="F469">
        <v>640</v>
      </c>
      <c r="G469">
        <v>25</v>
      </c>
      <c r="H469" s="6">
        <f t="shared" si="26"/>
        <v>16</v>
      </c>
    </row>
    <row r="470" spans="1:8" hidden="1" x14ac:dyDescent="0.3">
      <c r="A470" s="9">
        <v>44986</v>
      </c>
      <c r="B470" t="s">
        <v>12</v>
      </c>
      <c r="C470" t="s">
        <v>33</v>
      </c>
      <c r="D470" t="s">
        <v>18</v>
      </c>
      <c r="E470" t="s">
        <v>21</v>
      </c>
      <c r="F470">
        <v>450</v>
      </c>
      <c r="G470">
        <v>12</v>
      </c>
      <c r="H470" s="6">
        <f t="shared" si="26"/>
        <v>5.4</v>
      </c>
    </row>
    <row r="471" spans="1:8" hidden="1" x14ac:dyDescent="0.3">
      <c r="A471" s="9">
        <v>44986</v>
      </c>
      <c r="B471" t="s">
        <v>45</v>
      </c>
      <c r="C471" t="s">
        <v>33</v>
      </c>
      <c r="D471" t="s">
        <v>18</v>
      </c>
      <c r="E471" t="s">
        <v>27</v>
      </c>
      <c r="F471">
        <v>460</v>
      </c>
      <c r="G471">
        <v>89</v>
      </c>
      <c r="H471" s="6">
        <f t="shared" si="26"/>
        <v>40.94</v>
      </c>
    </row>
    <row r="472" spans="1:8" hidden="1" x14ac:dyDescent="0.3">
      <c r="A472" s="9">
        <v>44986</v>
      </c>
      <c r="B472" t="s">
        <v>17</v>
      </c>
      <c r="C472" t="s">
        <v>33</v>
      </c>
      <c r="D472" t="s">
        <v>13</v>
      </c>
      <c r="E472" t="s">
        <v>14</v>
      </c>
      <c r="F472">
        <v>1320</v>
      </c>
      <c r="G472">
        <v>11</v>
      </c>
      <c r="H472" s="6">
        <f t="shared" si="26"/>
        <v>14.52</v>
      </c>
    </row>
    <row r="473" spans="1:8" hidden="1" x14ac:dyDescent="0.3">
      <c r="A473" s="9">
        <v>44986</v>
      </c>
      <c r="B473" t="s">
        <v>8</v>
      </c>
      <c r="C473" t="s">
        <v>35</v>
      </c>
      <c r="D473" t="s">
        <v>10</v>
      </c>
      <c r="E473" t="s">
        <v>16</v>
      </c>
      <c r="F473">
        <v>1380</v>
      </c>
      <c r="G473">
        <v>31</v>
      </c>
      <c r="H473" s="6">
        <f t="shared" si="26"/>
        <v>42.78</v>
      </c>
    </row>
    <row r="474" spans="1:8" hidden="1" x14ac:dyDescent="0.3">
      <c r="A474" s="9">
        <v>44986</v>
      </c>
      <c r="B474" t="s">
        <v>17</v>
      </c>
      <c r="C474" t="s">
        <v>35</v>
      </c>
      <c r="D474" t="s">
        <v>10</v>
      </c>
      <c r="E474" t="s">
        <v>16</v>
      </c>
      <c r="F474">
        <v>1380</v>
      </c>
      <c r="G474">
        <v>92</v>
      </c>
      <c r="H474" s="6">
        <f t="shared" si="26"/>
        <v>126.96</v>
      </c>
    </row>
    <row r="475" spans="1:8" hidden="1" x14ac:dyDescent="0.3">
      <c r="A475" s="13" t="s">
        <v>74</v>
      </c>
      <c r="H475" s="6">
        <f>SUBTOTAL(9,H454:H474)</f>
        <v>0</v>
      </c>
    </row>
    <row r="476" spans="1:8" hidden="1" x14ac:dyDescent="0.3">
      <c r="A476" s="9">
        <v>44987</v>
      </c>
      <c r="B476" t="s">
        <v>12</v>
      </c>
      <c r="C476" t="s">
        <v>20</v>
      </c>
      <c r="D476" t="s">
        <v>10</v>
      </c>
      <c r="E476" t="s">
        <v>40</v>
      </c>
      <c r="F476">
        <v>540</v>
      </c>
      <c r="G476">
        <v>21</v>
      </c>
      <c r="H476" s="6">
        <f t="shared" ref="H476:H495" si="27">F476*G476/1000</f>
        <v>11.34</v>
      </c>
    </row>
    <row r="477" spans="1:8" hidden="1" x14ac:dyDescent="0.3">
      <c r="A477" s="10">
        <v>44987</v>
      </c>
      <c r="B477" s="11" t="s">
        <v>12</v>
      </c>
      <c r="C477" s="11" t="s">
        <v>20</v>
      </c>
      <c r="D477" s="11" t="s">
        <v>10</v>
      </c>
      <c r="E477" s="11" t="s">
        <v>16</v>
      </c>
      <c r="F477" s="11">
        <v>1380</v>
      </c>
      <c r="G477" s="11">
        <v>70</v>
      </c>
      <c r="H477" s="6">
        <f t="shared" si="27"/>
        <v>96.6</v>
      </c>
    </row>
    <row r="478" spans="1:8" hidden="1" x14ac:dyDescent="0.3">
      <c r="A478" s="9">
        <v>44987</v>
      </c>
      <c r="B478" t="s">
        <v>8</v>
      </c>
      <c r="C478" t="s">
        <v>20</v>
      </c>
      <c r="D478" t="s">
        <v>18</v>
      </c>
      <c r="E478" t="s">
        <v>31</v>
      </c>
      <c r="F478">
        <v>715</v>
      </c>
      <c r="G478">
        <v>48</v>
      </c>
      <c r="H478" s="6">
        <f t="shared" si="27"/>
        <v>34.32</v>
      </c>
    </row>
    <row r="479" spans="1:8" hidden="1" x14ac:dyDescent="0.3">
      <c r="A479" s="9">
        <v>44987</v>
      </c>
      <c r="B479" t="s">
        <v>12</v>
      </c>
      <c r="C479" t="s">
        <v>9</v>
      </c>
      <c r="D479" t="s">
        <v>10</v>
      </c>
      <c r="E479" t="s">
        <v>39</v>
      </c>
      <c r="F479">
        <v>650</v>
      </c>
      <c r="G479">
        <v>49</v>
      </c>
      <c r="H479" s="6">
        <f t="shared" si="27"/>
        <v>31.85</v>
      </c>
    </row>
    <row r="480" spans="1:8" hidden="1" x14ac:dyDescent="0.3">
      <c r="A480" s="9">
        <v>44987</v>
      </c>
      <c r="B480" t="s">
        <v>17</v>
      </c>
      <c r="C480" t="s">
        <v>9</v>
      </c>
      <c r="D480" t="s">
        <v>18</v>
      </c>
      <c r="E480" t="s">
        <v>37</v>
      </c>
      <c r="F480">
        <v>890</v>
      </c>
      <c r="G480">
        <v>5</v>
      </c>
      <c r="H480" s="6">
        <f t="shared" si="27"/>
        <v>4.45</v>
      </c>
    </row>
    <row r="481" spans="1:8" hidden="1" x14ac:dyDescent="0.3">
      <c r="A481" s="9">
        <v>44987</v>
      </c>
      <c r="B481" t="s">
        <v>17</v>
      </c>
      <c r="C481" t="s">
        <v>9</v>
      </c>
      <c r="D481" t="s">
        <v>18</v>
      </c>
      <c r="E481" t="s">
        <v>27</v>
      </c>
      <c r="F481">
        <v>460</v>
      </c>
      <c r="G481">
        <v>71</v>
      </c>
      <c r="H481" s="6">
        <f t="shared" si="27"/>
        <v>32.659999999999997</v>
      </c>
    </row>
    <row r="482" spans="1:8" hidden="1" x14ac:dyDescent="0.3">
      <c r="A482" s="9">
        <v>44987</v>
      </c>
      <c r="B482" t="s">
        <v>17</v>
      </c>
      <c r="C482" t="s">
        <v>9</v>
      </c>
      <c r="D482" t="s">
        <v>18</v>
      </c>
      <c r="E482" t="s">
        <v>31</v>
      </c>
      <c r="F482">
        <v>715</v>
      </c>
      <c r="G482">
        <v>59</v>
      </c>
      <c r="H482" s="6">
        <f t="shared" si="27"/>
        <v>42.185000000000002</v>
      </c>
    </row>
    <row r="483" spans="1:8" hidden="1" x14ac:dyDescent="0.3">
      <c r="A483" s="9">
        <v>44987</v>
      </c>
      <c r="B483" t="s">
        <v>17</v>
      </c>
      <c r="C483" t="s">
        <v>9</v>
      </c>
      <c r="D483" t="s">
        <v>13</v>
      </c>
      <c r="E483" t="s">
        <v>38</v>
      </c>
      <c r="F483">
        <v>2400</v>
      </c>
      <c r="G483">
        <v>57</v>
      </c>
      <c r="H483" s="6">
        <f t="shared" si="27"/>
        <v>136.80000000000001</v>
      </c>
    </row>
    <row r="484" spans="1:8" hidden="1" x14ac:dyDescent="0.3">
      <c r="A484" s="9">
        <v>44987</v>
      </c>
      <c r="B484" t="s">
        <v>17</v>
      </c>
      <c r="C484" t="s">
        <v>9</v>
      </c>
      <c r="D484" t="s">
        <v>13</v>
      </c>
      <c r="E484" t="s">
        <v>43</v>
      </c>
      <c r="F484">
        <v>1420</v>
      </c>
      <c r="G484">
        <v>53</v>
      </c>
      <c r="H484" s="6">
        <f t="shared" si="27"/>
        <v>75.260000000000005</v>
      </c>
    </row>
    <row r="485" spans="1:8" hidden="1" x14ac:dyDescent="0.3">
      <c r="A485" s="9">
        <v>44987</v>
      </c>
      <c r="B485" t="s">
        <v>17</v>
      </c>
      <c r="C485" t="s">
        <v>15</v>
      </c>
      <c r="D485" t="s">
        <v>10</v>
      </c>
      <c r="E485" t="s">
        <v>40</v>
      </c>
      <c r="F485">
        <v>540</v>
      </c>
      <c r="G485">
        <v>5</v>
      </c>
      <c r="H485" s="6">
        <f t="shared" si="27"/>
        <v>2.7</v>
      </c>
    </row>
    <row r="486" spans="1:8" hidden="1" x14ac:dyDescent="0.3">
      <c r="A486" s="9">
        <v>44987</v>
      </c>
      <c r="B486" t="s">
        <v>17</v>
      </c>
      <c r="C486" t="s">
        <v>15</v>
      </c>
      <c r="D486" t="s">
        <v>13</v>
      </c>
      <c r="E486" t="s">
        <v>14</v>
      </c>
      <c r="F486">
        <v>1320</v>
      </c>
      <c r="G486">
        <v>36</v>
      </c>
      <c r="H486" s="6">
        <f t="shared" si="27"/>
        <v>47.52</v>
      </c>
    </row>
    <row r="487" spans="1:8" hidden="1" x14ac:dyDescent="0.3">
      <c r="A487" s="9">
        <v>44987</v>
      </c>
      <c r="B487" t="s">
        <v>8</v>
      </c>
      <c r="C487" t="s">
        <v>15</v>
      </c>
      <c r="D487" t="s">
        <v>24</v>
      </c>
      <c r="E487" t="s">
        <v>30</v>
      </c>
      <c r="F487">
        <v>2970</v>
      </c>
      <c r="G487">
        <v>15</v>
      </c>
      <c r="H487" s="6">
        <f t="shared" si="27"/>
        <v>44.55</v>
      </c>
    </row>
    <row r="488" spans="1:8" hidden="1" x14ac:dyDescent="0.3">
      <c r="A488" s="9">
        <v>44987</v>
      </c>
      <c r="B488" t="s">
        <v>12</v>
      </c>
      <c r="C488" t="s">
        <v>33</v>
      </c>
      <c r="D488" t="s">
        <v>10</v>
      </c>
      <c r="E488" t="s">
        <v>23</v>
      </c>
      <c r="F488">
        <v>640</v>
      </c>
      <c r="G488">
        <v>57</v>
      </c>
      <c r="H488" s="6">
        <f t="shared" si="27"/>
        <v>36.479999999999997</v>
      </c>
    </row>
    <row r="489" spans="1:8" hidden="1" x14ac:dyDescent="0.3">
      <c r="A489" s="9">
        <v>44987</v>
      </c>
      <c r="B489" t="s">
        <v>45</v>
      </c>
      <c r="C489" t="s">
        <v>33</v>
      </c>
      <c r="D489" t="s">
        <v>18</v>
      </c>
      <c r="E489" t="s">
        <v>19</v>
      </c>
      <c r="F489">
        <v>325</v>
      </c>
      <c r="G489">
        <v>21</v>
      </c>
      <c r="H489" s="6">
        <f t="shared" si="27"/>
        <v>6.8250000000000002</v>
      </c>
    </row>
    <row r="490" spans="1:8" hidden="1" x14ac:dyDescent="0.3">
      <c r="A490" s="9">
        <v>44987</v>
      </c>
      <c r="B490" t="s">
        <v>45</v>
      </c>
      <c r="C490" t="s">
        <v>33</v>
      </c>
      <c r="D490" t="s">
        <v>24</v>
      </c>
      <c r="E490" t="s">
        <v>34</v>
      </c>
      <c r="F490">
        <v>1670</v>
      </c>
      <c r="G490">
        <v>70</v>
      </c>
      <c r="H490" s="6">
        <f t="shared" si="27"/>
        <v>116.9</v>
      </c>
    </row>
    <row r="491" spans="1:8" hidden="1" x14ac:dyDescent="0.3">
      <c r="A491" s="9">
        <v>44987</v>
      </c>
      <c r="B491" t="s">
        <v>17</v>
      </c>
      <c r="C491" t="s">
        <v>33</v>
      </c>
      <c r="D491" t="s">
        <v>24</v>
      </c>
      <c r="E491" t="s">
        <v>36</v>
      </c>
      <c r="F491">
        <v>2460</v>
      </c>
      <c r="G491">
        <v>45</v>
      </c>
      <c r="H491" s="6">
        <f t="shared" si="27"/>
        <v>110.7</v>
      </c>
    </row>
    <row r="492" spans="1:8" hidden="1" x14ac:dyDescent="0.3">
      <c r="A492" s="9">
        <v>44987</v>
      </c>
      <c r="B492" t="s">
        <v>8</v>
      </c>
      <c r="C492" t="s">
        <v>35</v>
      </c>
      <c r="D492" t="s">
        <v>10</v>
      </c>
      <c r="E492" t="s">
        <v>11</v>
      </c>
      <c r="F492">
        <v>705</v>
      </c>
      <c r="G492">
        <v>51</v>
      </c>
      <c r="H492" s="6">
        <f t="shared" si="27"/>
        <v>35.954999999999998</v>
      </c>
    </row>
    <row r="493" spans="1:8" hidden="1" x14ac:dyDescent="0.3">
      <c r="A493" s="9">
        <v>44987</v>
      </c>
      <c r="B493" t="s">
        <v>17</v>
      </c>
      <c r="C493" t="s">
        <v>35</v>
      </c>
      <c r="D493" t="s">
        <v>10</v>
      </c>
      <c r="E493" t="s">
        <v>11</v>
      </c>
      <c r="F493">
        <v>705</v>
      </c>
      <c r="G493">
        <v>59</v>
      </c>
      <c r="H493" s="6">
        <f t="shared" si="27"/>
        <v>41.594999999999999</v>
      </c>
    </row>
    <row r="494" spans="1:8" hidden="1" x14ac:dyDescent="0.3">
      <c r="A494" s="9">
        <v>44987</v>
      </c>
      <c r="B494" t="s">
        <v>8</v>
      </c>
      <c r="C494" t="s">
        <v>35</v>
      </c>
      <c r="D494" t="s">
        <v>18</v>
      </c>
      <c r="E494" t="s">
        <v>21</v>
      </c>
      <c r="F494">
        <v>450</v>
      </c>
      <c r="G494">
        <v>55</v>
      </c>
      <c r="H494" s="6">
        <f t="shared" si="27"/>
        <v>24.75</v>
      </c>
    </row>
    <row r="495" spans="1:8" hidden="1" x14ac:dyDescent="0.3">
      <c r="A495" s="9">
        <v>44987</v>
      </c>
      <c r="B495" t="s">
        <v>12</v>
      </c>
      <c r="C495" t="s">
        <v>35</v>
      </c>
      <c r="D495" t="s">
        <v>13</v>
      </c>
      <c r="E495" t="s">
        <v>44</v>
      </c>
      <c r="F495">
        <v>2540</v>
      </c>
      <c r="G495">
        <v>93</v>
      </c>
      <c r="H495" s="6">
        <f t="shared" si="27"/>
        <v>236.22</v>
      </c>
    </row>
    <row r="496" spans="1:8" hidden="1" x14ac:dyDescent="0.3">
      <c r="A496" s="13" t="s">
        <v>75</v>
      </c>
      <c r="H496" s="6">
        <f>SUBTOTAL(9,H476:H495)</f>
        <v>0</v>
      </c>
    </row>
    <row r="497" spans="1:8" hidden="1" x14ac:dyDescent="0.3">
      <c r="A497" s="10">
        <v>44988</v>
      </c>
      <c r="B497" s="11" t="s">
        <v>45</v>
      </c>
      <c r="C497" s="11" t="s">
        <v>20</v>
      </c>
      <c r="D497" s="11" t="s">
        <v>10</v>
      </c>
      <c r="E497" s="11" t="s">
        <v>39</v>
      </c>
      <c r="F497" s="11">
        <v>650</v>
      </c>
      <c r="G497" s="11">
        <v>34</v>
      </c>
      <c r="H497" s="6">
        <f t="shared" ref="H497:H519" si="28">F497*G497/1000</f>
        <v>22.1</v>
      </c>
    </row>
    <row r="498" spans="1:8" hidden="1" x14ac:dyDescent="0.3">
      <c r="A498" s="9">
        <v>44988</v>
      </c>
      <c r="B498" t="s">
        <v>45</v>
      </c>
      <c r="C498" t="s">
        <v>20</v>
      </c>
      <c r="D498" t="s">
        <v>18</v>
      </c>
      <c r="E498" t="s">
        <v>21</v>
      </c>
      <c r="F498">
        <v>450</v>
      </c>
      <c r="G498">
        <v>15</v>
      </c>
      <c r="H498" s="6">
        <f t="shared" si="28"/>
        <v>6.75</v>
      </c>
    </row>
    <row r="499" spans="1:8" hidden="1" x14ac:dyDescent="0.3">
      <c r="A499" s="10">
        <v>44988</v>
      </c>
      <c r="B499" s="11" t="s">
        <v>12</v>
      </c>
      <c r="C499" s="11" t="s">
        <v>20</v>
      </c>
      <c r="D499" s="11" t="s">
        <v>18</v>
      </c>
      <c r="E499" s="11" t="s">
        <v>28</v>
      </c>
      <c r="F499" s="11">
        <v>690</v>
      </c>
      <c r="G499" s="11">
        <v>69</v>
      </c>
      <c r="H499" s="6">
        <f t="shared" si="28"/>
        <v>47.61</v>
      </c>
    </row>
    <row r="500" spans="1:8" hidden="1" x14ac:dyDescent="0.3">
      <c r="A500" s="9">
        <v>44988</v>
      </c>
      <c r="B500" t="s">
        <v>17</v>
      </c>
      <c r="C500" t="s">
        <v>20</v>
      </c>
      <c r="D500" t="s">
        <v>18</v>
      </c>
      <c r="E500" t="s">
        <v>21</v>
      </c>
      <c r="F500">
        <v>450</v>
      </c>
      <c r="G500">
        <v>44</v>
      </c>
      <c r="H500" s="6">
        <f t="shared" si="28"/>
        <v>19.8</v>
      </c>
    </row>
    <row r="501" spans="1:8" hidden="1" x14ac:dyDescent="0.3">
      <c r="A501" s="10">
        <v>44988</v>
      </c>
      <c r="B501" s="11" t="s">
        <v>8</v>
      </c>
      <c r="C501" s="11" t="s">
        <v>20</v>
      </c>
      <c r="D501" s="11" t="s">
        <v>13</v>
      </c>
      <c r="E501" s="11" t="s">
        <v>38</v>
      </c>
      <c r="F501" s="11">
        <v>2400</v>
      </c>
      <c r="G501" s="11">
        <v>26</v>
      </c>
      <c r="H501" s="6">
        <f t="shared" si="28"/>
        <v>62.4</v>
      </c>
    </row>
    <row r="502" spans="1:8" hidden="1" x14ac:dyDescent="0.3">
      <c r="A502" s="9">
        <v>44988</v>
      </c>
      <c r="B502" t="s">
        <v>8</v>
      </c>
      <c r="C502" t="s">
        <v>20</v>
      </c>
      <c r="D502" t="s">
        <v>24</v>
      </c>
      <c r="E502" t="s">
        <v>36</v>
      </c>
      <c r="F502">
        <v>2460</v>
      </c>
      <c r="G502">
        <v>32</v>
      </c>
      <c r="H502" s="6">
        <f t="shared" si="28"/>
        <v>78.72</v>
      </c>
    </row>
    <row r="503" spans="1:8" hidden="1" x14ac:dyDescent="0.3">
      <c r="A503" s="9">
        <v>44988</v>
      </c>
      <c r="B503" t="s">
        <v>12</v>
      </c>
      <c r="C503" t="s">
        <v>9</v>
      </c>
      <c r="D503" t="s">
        <v>18</v>
      </c>
      <c r="E503" t="s">
        <v>21</v>
      </c>
      <c r="F503">
        <v>450</v>
      </c>
      <c r="G503">
        <v>88</v>
      </c>
      <c r="H503" s="6">
        <f t="shared" si="28"/>
        <v>39.6</v>
      </c>
    </row>
    <row r="504" spans="1:8" hidden="1" x14ac:dyDescent="0.3">
      <c r="A504" s="9">
        <v>44988</v>
      </c>
      <c r="B504" t="s">
        <v>45</v>
      </c>
      <c r="C504" t="s">
        <v>9</v>
      </c>
      <c r="D504" t="s">
        <v>18</v>
      </c>
      <c r="E504" t="s">
        <v>19</v>
      </c>
      <c r="F504">
        <v>325</v>
      </c>
      <c r="G504">
        <v>21</v>
      </c>
      <c r="H504" s="6">
        <f t="shared" si="28"/>
        <v>6.8250000000000002</v>
      </c>
    </row>
    <row r="505" spans="1:8" hidden="1" x14ac:dyDescent="0.3">
      <c r="A505" s="9">
        <v>44988</v>
      </c>
      <c r="B505" t="s">
        <v>8</v>
      </c>
      <c r="C505" t="s">
        <v>9</v>
      </c>
      <c r="D505" t="s">
        <v>18</v>
      </c>
      <c r="E505" t="s">
        <v>37</v>
      </c>
      <c r="F505">
        <v>890</v>
      </c>
      <c r="G505">
        <v>32</v>
      </c>
      <c r="H505" s="6">
        <f t="shared" si="28"/>
        <v>28.48</v>
      </c>
    </row>
    <row r="506" spans="1:8" hidden="1" x14ac:dyDescent="0.3">
      <c r="A506" s="9">
        <v>44988</v>
      </c>
      <c r="B506" t="s">
        <v>12</v>
      </c>
      <c r="C506" t="s">
        <v>9</v>
      </c>
      <c r="D506" t="s">
        <v>24</v>
      </c>
      <c r="E506" t="s">
        <v>42</v>
      </c>
      <c r="F506">
        <v>3205</v>
      </c>
      <c r="G506">
        <v>8</v>
      </c>
      <c r="H506" s="6">
        <f t="shared" si="28"/>
        <v>25.64</v>
      </c>
    </row>
    <row r="507" spans="1:8" hidden="1" x14ac:dyDescent="0.3">
      <c r="A507" s="9">
        <v>44988</v>
      </c>
      <c r="B507" t="s">
        <v>12</v>
      </c>
      <c r="C507" t="s">
        <v>9</v>
      </c>
      <c r="D507" t="s">
        <v>24</v>
      </c>
      <c r="E507" t="s">
        <v>36</v>
      </c>
      <c r="F507">
        <v>2460</v>
      </c>
      <c r="G507">
        <v>77</v>
      </c>
      <c r="H507" s="6">
        <f t="shared" si="28"/>
        <v>189.42</v>
      </c>
    </row>
    <row r="508" spans="1:8" hidden="1" x14ac:dyDescent="0.3">
      <c r="A508" s="9">
        <v>44988</v>
      </c>
      <c r="B508" t="s">
        <v>8</v>
      </c>
      <c r="C508" t="s">
        <v>9</v>
      </c>
      <c r="D508" t="s">
        <v>24</v>
      </c>
      <c r="E508" t="s">
        <v>25</v>
      </c>
      <c r="F508">
        <v>1760</v>
      </c>
      <c r="G508">
        <v>32</v>
      </c>
      <c r="H508" s="6">
        <f t="shared" si="28"/>
        <v>56.32</v>
      </c>
    </row>
    <row r="509" spans="1:8" hidden="1" x14ac:dyDescent="0.3">
      <c r="A509" s="9">
        <v>44988</v>
      </c>
      <c r="B509" t="s">
        <v>8</v>
      </c>
      <c r="C509" t="s">
        <v>26</v>
      </c>
      <c r="D509" t="s">
        <v>10</v>
      </c>
      <c r="E509" t="s">
        <v>16</v>
      </c>
      <c r="F509">
        <v>1380</v>
      </c>
      <c r="G509">
        <v>70</v>
      </c>
      <c r="H509" s="6">
        <f t="shared" si="28"/>
        <v>96.6</v>
      </c>
    </row>
    <row r="510" spans="1:8" hidden="1" x14ac:dyDescent="0.3">
      <c r="A510" s="9">
        <v>44988</v>
      </c>
      <c r="B510" t="s">
        <v>12</v>
      </c>
      <c r="C510" t="s">
        <v>26</v>
      </c>
      <c r="D510" t="s">
        <v>10</v>
      </c>
      <c r="E510" t="s">
        <v>23</v>
      </c>
      <c r="F510">
        <v>640</v>
      </c>
      <c r="G510">
        <v>74</v>
      </c>
      <c r="H510" s="6">
        <f t="shared" si="28"/>
        <v>47.36</v>
      </c>
    </row>
    <row r="511" spans="1:8" hidden="1" x14ac:dyDescent="0.3">
      <c r="A511" s="9">
        <v>44988</v>
      </c>
      <c r="B511" t="s">
        <v>45</v>
      </c>
      <c r="C511" t="s">
        <v>15</v>
      </c>
      <c r="D511" t="s">
        <v>10</v>
      </c>
      <c r="E511" t="s">
        <v>40</v>
      </c>
      <c r="F511">
        <v>540</v>
      </c>
      <c r="G511">
        <v>16</v>
      </c>
      <c r="H511" s="6">
        <f t="shared" si="28"/>
        <v>8.64</v>
      </c>
    </row>
    <row r="512" spans="1:8" hidden="1" x14ac:dyDescent="0.3">
      <c r="A512" s="9">
        <v>44988</v>
      </c>
      <c r="B512" t="s">
        <v>17</v>
      </c>
      <c r="C512" t="s">
        <v>15</v>
      </c>
      <c r="D512" t="s">
        <v>24</v>
      </c>
      <c r="E512" t="s">
        <v>25</v>
      </c>
      <c r="F512">
        <v>1760</v>
      </c>
      <c r="G512">
        <v>48</v>
      </c>
      <c r="H512" s="6">
        <f t="shared" si="28"/>
        <v>84.48</v>
      </c>
    </row>
    <row r="513" spans="1:8" hidden="1" x14ac:dyDescent="0.3">
      <c r="A513" s="9">
        <v>44988</v>
      </c>
      <c r="B513" t="s">
        <v>8</v>
      </c>
      <c r="C513" t="s">
        <v>33</v>
      </c>
      <c r="D513" t="s">
        <v>10</v>
      </c>
      <c r="E513" t="s">
        <v>40</v>
      </c>
      <c r="F513">
        <v>540</v>
      </c>
      <c r="G513">
        <v>86</v>
      </c>
      <c r="H513" s="6">
        <f t="shared" si="28"/>
        <v>46.44</v>
      </c>
    </row>
    <row r="514" spans="1:8" hidden="1" x14ac:dyDescent="0.3">
      <c r="A514" s="9">
        <v>44988</v>
      </c>
      <c r="B514" t="s">
        <v>8</v>
      </c>
      <c r="C514" t="s">
        <v>33</v>
      </c>
      <c r="D514" t="s">
        <v>13</v>
      </c>
      <c r="E514" t="s">
        <v>43</v>
      </c>
      <c r="F514">
        <v>1420</v>
      </c>
      <c r="G514">
        <v>27</v>
      </c>
      <c r="H514" s="6">
        <f t="shared" si="28"/>
        <v>38.340000000000003</v>
      </c>
    </row>
    <row r="515" spans="1:8" hidden="1" x14ac:dyDescent="0.3">
      <c r="A515" s="9">
        <v>44988</v>
      </c>
      <c r="B515" t="s">
        <v>12</v>
      </c>
      <c r="C515" t="s">
        <v>33</v>
      </c>
      <c r="D515" t="s">
        <v>13</v>
      </c>
      <c r="E515" t="s">
        <v>29</v>
      </c>
      <c r="F515">
        <v>1230</v>
      </c>
      <c r="G515">
        <v>64</v>
      </c>
      <c r="H515" s="6">
        <f t="shared" si="28"/>
        <v>78.72</v>
      </c>
    </row>
    <row r="516" spans="1:8" hidden="1" x14ac:dyDescent="0.3">
      <c r="A516" s="9">
        <v>44988</v>
      </c>
      <c r="B516" t="s">
        <v>45</v>
      </c>
      <c r="C516" t="s">
        <v>33</v>
      </c>
      <c r="D516" t="s">
        <v>13</v>
      </c>
      <c r="E516" t="s">
        <v>38</v>
      </c>
      <c r="F516">
        <v>2400</v>
      </c>
      <c r="G516">
        <v>90</v>
      </c>
      <c r="H516" s="6">
        <f t="shared" si="28"/>
        <v>216</v>
      </c>
    </row>
    <row r="517" spans="1:8" hidden="1" x14ac:dyDescent="0.3">
      <c r="A517" s="9">
        <v>44988</v>
      </c>
      <c r="B517" t="s">
        <v>17</v>
      </c>
      <c r="C517" t="s">
        <v>35</v>
      </c>
      <c r="D517" t="s">
        <v>18</v>
      </c>
      <c r="E517" t="s">
        <v>21</v>
      </c>
      <c r="F517">
        <v>450</v>
      </c>
      <c r="G517">
        <v>12</v>
      </c>
      <c r="H517" s="6">
        <f t="shared" si="28"/>
        <v>5.4</v>
      </c>
    </row>
    <row r="518" spans="1:8" hidden="1" x14ac:dyDescent="0.3">
      <c r="A518" s="9">
        <v>44988</v>
      </c>
      <c r="B518" t="s">
        <v>8</v>
      </c>
      <c r="C518" t="s">
        <v>35</v>
      </c>
      <c r="D518" t="s">
        <v>24</v>
      </c>
      <c r="E518" t="s">
        <v>32</v>
      </c>
      <c r="F518">
        <v>1505</v>
      </c>
      <c r="G518">
        <v>25</v>
      </c>
      <c r="H518" s="6">
        <f t="shared" si="28"/>
        <v>37.625</v>
      </c>
    </row>
    <row r="519" spans="1:8" hidden="1" x14ac:dyDescent="0.3">
      <c r="A519" s="9">
        <v>44988</v>
      </c>
      <c r="B519" t="s">
        <v>17</v>
      </c>
      <c r="C519" t="s">
        <v>35</v>
      </c>
      <c r="D519" t="s">
        <v>24</v>
      </c>
      <c r="E519" t="s">
        <v>30</v>
      </c>
      <c r="F519">
        <v>2970</v>
      </c>
      <c r="G519">
        <v>62</v>
      </c>
      <c r="H519" s="6">
        <f t="shared" si="28"/>
        <v>184.14</v>
      </c>
    </row>
    <row r="520" spans="1:8" hidden="1" x14ac:dyDescent="0.3">
      <c r="A520" s="13" t="s">
        <v>76</v>
      </c>
      <c r="H520" s="6">
        <f>SUBTOTAL(9,H497:H519)</f>
        <v>0</v>
      </c>
    </row>
    <row r="521" spans="1:8" hidden="1" x14ac:dyDescent="0.3">
      <c r="A521" s="10">
        <v>44989</v>
      </c>
      <c r="B521" s="11" t="s">
        <v>45</v>
      </c>
      <c r="C521" s="11" t="s">
        <v>20</v>
      </c>
      <c r="D521" s="11" t="s">
        <v>10</v>
      </c>
      <c r="E521" s="11" t="s">
        <v>23</v>
      </c>
      <c r="F521" s="11">
        <v>640</v>
      </c>
      <c r="G521" s="11">
        <v>57</v>
      </c>
      <c r="H521" s="6">
        <f t="shared" ref="H521:H538" si="29">F521*G521/1000</f>
        <v>36.479999999999997</v>
      </c>
    </row>
    <row r="522" spans="1:8" hidden="1" x14ac:dyDescent="0.3">
      <c r="A522" s="9">
        <v>44989</v>
      </c>
      <c r="B522" t="s">
        <v>45</v>
      </c>
      <c r="C522" t="s">
        <v>20</v>
      </c>
      <c r="D522" t="s">
        <v>10</v>
      </c>
      <c r="E522" t="s">
        <v>40</v>
      </c>
      <c r="F522">
        <v>540</v>
      </c>
      <c r="G522">
        <v>6</v>
      </c>
      <c r="H522" s="6">
        <f t="shared" si="29"/>
        <v>3.24</v>
      </c>
    </row>
    <row r="523" spans="1:8" hidden="1" x14ac:dyDescent="0.3">
      <c r="A523" s="10">
        <v>44989</v>
      </c>
      <c r="B523" s="11" t="s">
        <v>8</v>
      </c>
      <c r="C523" s="11" t="s">
        <v>20</v>
      </c>
      <c r="D523" s="11" t="s">
        <v>24</v>
      </c>
      <c r="E523" s="11" t="s">
        <v>34</v>
      </c>
      <c r="F523" s="11">
        <v>1670</v>
      </c>
      <c r="G523" s="11">
        <v>65</v>
      </c>
      <c r="H523" s="6">
        <f t="shared" si="29"/>
        <v>108.55</v>
      </c>
    </row>
    <row r="524" spans="1:8" hidden="1" x14ac:dyDescent="0.3">
      <c r="A524" s="9">
        <v>44989</v>
      </c>
      <c r="B524" t="s">
        <v>17</v>
      </c>
      <c r="C524" t="s">
        <v>20</v>
      </c>
      <c r="D524" t="s">
        <v>24</v>
      </c>
      <c r="E524" t="s">
        <v>30</v>
      </c>
      <c r="F524">
        <v>2970</v>
      </c>
      <c r="G524">
        <v>38</v>
      </c>
      <c r="H524" s="6">
        <f t="shared" si="29"/>
        <v>112.86</v>
      </c>
    </row>
    <row r="525" spans="1:8" hidden="1" x14ac:dyDescent="0.3">
      <c r="A525" s="9">
        <v>44989</v>
      </c>
      <c r="B525" t="s">
        <v>17</v>
      </c>
      <c r="C525" t="s">
        <v>9</v>
      </c>
      <c r="D525" t="s">
        <v>10</v>
      </c>
      <c r="E525" t="s">
        <v>16</v>
      </c>
      <c r="F525">
        <v>1380</v>
      </c>
      <c r="G525">
        <v>24</v>
      </c>
      <c r="H525" s="6">
        <f t="shared" si="29"/>
        <v>33.119999999999997</v>
      </c>
    </row>
    <row r="526" spans="1:8" hidden="1" x14ac:dyDescent="0.3">
      <c r="A526" s="9">
        <v>44989</v>
      </c>
      <c r="B526" t="s">
        <v>17</v>
      </c>
      <c r="C526" t="s">
        <v>9</v>
      </c>
      <c r="D526" t="s">
        <v>10</v>
      </c>
      <c r="E526" t="s">
        <v>41</v>
      </c>
      <c r="F526">
        <v>650</v>
      </c>
      <c r="G526">
        <v>83</v>
      </c>
      <c r="H526" s="6">
        <f t="shared" si="29"/>
        <v>53.95</v>
      </c>
    </row>
    <row r="527" spans="1:8" hidden="1" x14ac:dyDescent="0.3">
      <c r="A527" s="9">
        <v>44989</v>
      </c>
      <c r="B527" t="s">
        <v>17</v>
      </c>
      <c r="C527" t="s">
        <v>9</v>
      </c>
      <c r="D527" t="s">
        <v>13</v>
      </c>
      <c r="E527" t="s">
        <v>43</v>
      </c>
      <c r="F527">
        <v>1420</v>
      </c>
      <c r="G527">
        <v>68</v>
      </c>
      <c r="H527" s="6">
        <f t="shared" si="29"/>
        <v>96.56</v>
      </c>
    </row>
    <row r="528" spans="1:8" hidden="1" x14ac:dyDescent="0.3">
      <c r="A528" s="9">
        <v>44989</v>
      </c>
      <c r="B528" t="s">
        <v>8</v>
      </c>
      <c r="C528" t="s">
        <v>9</v>
      </c>
      <c r="D528" t="s">
        <v>13</v>
      </c>
      <c r="E528" t="s">
        <v>43</v>
      </c>
      <c r="F528">
        <v>1420</v>
      </c>
      <c r="G528">
        <v>88</v>
      </c>
      <c r="H528" s="6">
        <f t="shared" si="29"/>
        <v>124.96</v>
      </c>
    </row>
    <row r="529" spans="1:8" hidden="1" x14ac:dyDescent="0.3">
      <c r="A529" s="9">
        <v>44989</v>
      </c>
      <c r="B529" t="s">
        <v>8</v>
      </c>
      <c r="C529" t="s">
        <v>26</v>
      </c>
      <c r="D529" t="s">
        <v>18</v>
      </c>
      <c r="E529" t="s">
        <v>37</v>
      </c>
      <c r="F529">
        <v>890</v>
      </c>
      <c r="G529">
        <v>10</v>
      </c>
      <c r="H529" s="6">
        <f t="shared" si="29"/>
        <v>8.9</v>
      </c>
    </row>
    <row r="530" spans="1:8" hidden="1" x14ac:dyDescent="0.3">
      <c r="A530" s="9">
        <v>44989</v>
      </c>
      <c r="B530" t="s">
        <v>45</v>
      </c>
      <c r="C530" t="s">
        <v>26</v>
      </c>
      <c r="D530" t="s">
        <v>13</v>
      </c>
      <c r="E530" t="s">
        <v>43</v>
      </c>
      <c r="F530">
        <v>1420</v>
      </c>
      <c r="G530">
        <v>59</v>
      </c>
      <c r="H530" s="6">
        <f t="shared" si="29"/>
        <v>83.78</v>
      </c>
    </row>
    <row r="531" spans="1:8" hidden="1" x14ac:dyDescent="0.3">
      <c r="A531" s="9">
        <v>44989</v>
      </c>
      <c r="B531" t="s">
        <v>8</v>
      </c>
      <c r="C531" t="s">
        <v>33</v>
      </c>
      <c r="D531" t="s">
        <v>10</v>
      </c>
      <c r="E531" t="s">
        <v>41</v>
      </c>
      <c r="F531">
        <v>650</v>
      </c>
      <c r="G531">
        <v>48</v>
      </c>
      <c r="H531" s="6">
        <f t="shared" si="29"/>
        <v>31.2</v>
      </c>
    </row>
    <row r="532" spans="1:8" hidden="1" x14ac:dyDescent="0.3">
      <c r="A532" s="9">
        <v>44989</v>
      </c>
      <c r="B532" t="s">
        <v>8</v>
      </c>
      <c r="C532" t="s">
        <v>33</v>
      </c>
      <c r="D532" t="s">
        <v>13</v>
      </c>
      <c r="E532" t="s">
        <v>43</v>
      </c>
      <c r="F532">
        <v>1420</v>
      </c>
      <c r="G532">
        <v>73</v>
      </c>
      <c r="H532" s="6">
        <f t="shared" si="29"/>
        <v>103.66</v>
      </c>
    </row>
    <row r="533" spans="1:8" hidden="1" x14ac:dyDescent="0.3">
      <c r="A533" s="9">
        <v>44989</v>
      </c>
      <c r="B533" t="s">
        <v>12</v>
      </c>
      <c r="C533" t="s">
        <v>33</v>
      </c>
      <c r="D533" t="s">
        <v>13</v>
      </c>
      <c r="E533" t="s">
        <v>43</v>
      </c>
      <c r="F533">
        <v>1420</v>
      </c>
      <c r="G533">
        <v>75</v>
      </c>
      <c r="H533" s="6">
        <f t="shared" si="29"/>
        <v>106.5</v>
      </c>
    </row>
    <row r="534" spans="1:8" hidden="1" x14ac:dyDescent="0.3">
      <c r="A534" s="9">
        <v>44989</v>
      </c>
      <c r="B534" t="s">
        <v>17</v>
      </c>
      <c r="C534" t="s">
        <v>35</v>
      </c>
      <c r="D534" t="s">
        <v>10</v>
      </c>
      <c r="E534" t="s">
        <v>40</v>
      </c>
      <c r="F534">
        <v>540</v>
      </c>
      <c r="G534">
        <v>59</v>
      </c>
      <c r="H534" s="6">
        <f t="shared" si="29"/>
        <v>31.86</v>
      </c>
    </row>
    <row r="535" spans="1:8" hidden="1" x14ac:dyDescent="0.3">
      <c r="A535" s="9">
        <v>44989</v>
      </c>
      <c r="B535" t="s">
        <v>17</v>
      </c>
      <c r="C535" t="s">
        <v>35</v>
      </c>
      <c r="D535" t="s">
        <v>18</v>
      </c>
      <c r="E535" t="s">
        <v>27</v>
      </c>
      <c r="F535">
        <v>460</v>
      </c>
      <c r="G535">
        <v>51</v>
      </c>
      <c r="H535" s="6">
        <f t="shared" si="29"/>
        <v>23.46</v>
      </c>
    </row>
    <row r="536" spans="1:8" hidden="1" x14ac:dyDescent="0.3">
      <c r="A536" s="9">
        <v>44989</v>
      </c>
      <c r="B536" t="s">
        <v>17</v>
      </c>
      <c r="C536" t="s">
        <v>35</v>
      </c>
      <c r="D536" t="s">
        <v>13</v>
      </c>
      <c r="E536" t="s">
        <v>14</v>
      </c>
      <c r="F536">
        <v>1320</v>
      </c>
      <c r="G536">
        <v>33</v>
      </c>
      <c r="H536" s="6">
        <f t="shared" si="29"/>
        <v>43.56</v>
      </c>
    </row>
    <row r="537" spans="1:8" hidden="1" x14ac:dyDescent="0.3">
      <c r="A537" s="9">
        <v>44989</v>
      </c>
      <c r="B537" t="s">
        <v>12</v>
      </c>
      <c r="C537" t="s">
        <v>35</v>
      </c>
      <c r="D537" t="s">
        <v>24</v>
      </c>
      <c r="E537" t="s">
        <v>30</v>
      </c>
      <c r="F537">
        <v>2970</v>
      </c>
      <c r="G537">
        <v>50</v>
      </c>
      <c r="H537" s="6">
        <f t="shared" si="29"/>
        <v>148.5</v>
      </c>
    </row>
    <row r="538" spans="1:8" hidden="1" x14ac:dyDescent="0.3">
      <c r="A538" s="9">
        <v>44989</v>
      </c>
      <c r="B538" t="s">
        <v>17</v>
      </c>
      <c r="C538" t="s">
        <v>35</v>
      </c>
      <c r="D538" t="s">
        <v>24</v>
      </c>
      <c r="E538" t="s">
        <v>36</v>
      </c>
      <c r="F538">
        <v>2460</v>
      </c>
      <c r="G538">
        <v>63</v>
      </c>
      <c r="H538" s="6">
        <f t="shared" si="29"/>
        <v>154.97999999999999</v>
      </c>
    </row>
    <row r="539" spans="1:8" hidden="1" x14ac:dyDescent="0.3">
      <c r="A539" s="13" t="s">
        <v>77</v>
      </c>
      <c r="H539" s="6">
        <f>SUBTOTAL(9,H521:H538)</f>
        <v>0</v>
      </c>
    </row>
    <row r="540" spans="1:8" hidden="1" x14ac:dyDescent="0.3">
      <c r="A540" s="10">
        <v>44990</v>
      </c>
      <c r="B540" s="11" t="s">
        <v>17</v>
      </c>
      <c r="C540" s="11" t="s">
        <v>20</v>
      </c>
      <c r="D540" s="11" t="s">
        <v>10</v>
      </c>
      <c r="E540" s="11" t="s">
        <v>16</v>
      </c>
      <c r="F540" s="11">
        <v>1380</v>
      </c>
      <c r="G540" s="11">
        <v>35</v>
      </c>
      <c r="H540" s="6">
        <f t="shared" ref="H540:H558" si="30">F540*G540/1000</f>
        <v>48.3</v>
      </c>
    </row>
    <row r="541" spans="1:8" hidden="1" x14ac:dyDescent="0.3">
      <c r="A541" s="9">
        <v>44990</v>
      </c>
      <c r="B541" t="s">
        <v>8</v>
      </c>
      <c r="C541" t="s">
        <v>20</v>
      </c>
      <c r="D541" t="s">
        <v>13</v>
      </c>
      <c r="E541" t="s">
        <v>29</v>
      </c>
      <c r="F541">
        <v>1230</v>
      </c>
      <c r="G541">
        <v>88</v>
      </c>
      <c r="H541" s="6">
        <f t="shared" si="30"/>
        <v>108.24</v>
      </c>
    </row>
    <row r="542" spans="1:8" hidden="1" x14ac:dyDescent="0.3">
      <c r="A542" s="10">
        <v>44990</v>
      </c>
      <c r="B542" s="11" t="s">
        <v>45</v>
      </c>
      <c r="C542" s="11" t="s">
        <v>20</v>
      </c>
      <c r="D542" s="11" t="s">
        <v>13</v>
      </c>
      <c r="E542" s="11" t="s">
        <v>22</v>
      </c>
      <c r="F542" s="11">
        <v>930</v>
      </c>
      <c r="G542" s="11">
        <v>64</v>
      </c>
      <c r="H542" s="6">
        <f t="shared" si="30"/>
        <v>59.52</v>
      </c>
    </row>
    <row r="543" spans="1:8" hidden="1" x14ac:dyDescent="0.3">
      <c r="A543" s="9">
        <v>44990</v>
      </c>
      <c r="B543" t="s">
        <v>45</v>
      </c>
      <c r="C543" t="s">
        <v>9</v>
      </c>
      <c r="D543" t="s">
        <v>18</v>
      </c>
      <c r="E543" t="s">
        <v>21</v>
      </c>
      <c r="F543">
        <v>450</v>
      </c>
      <c r="G543">
        <v>51</v>
      </c>
      <c r="H543" s="6">
        <f t="shared" si="30"/>
        <v>22.95</v>
      </c>
    </row>
    <row r="544" spans="1:8" hidden="1" x14ac:dyDescent="0.3">
      <c r="A544" s="9">
        <v>44990</v>
      </c>
      <c r="B544" t="s">
        <v>12</v>
      </c>
      <c r="C544" t="s">
        <v>9</v>
      </c>
      <c r="D544" t="s">
        <v>18</v>
      </c>
      <c r="E544" t="s">
        <v>37</v>
      </c>
      <c r="F544">
        <v>890</v>
      </c>
      <c r="G544">
        <v>8</v>
      </c>
      <c r="H544" s="6">
        <f t="shared" si="30"/>
        <v>7.12</v>
      </c>
    </row>
    <row r="545" spans="1:8" hidden="1" x14ac:dyDescent="0.3">
      <c r="A545" s="9">
        <v>44990</v>
      </c>
      <c r="B545" t="s">
        <v>45</v>
      </c>
      <c r="C545" t="s">
        <v>26</v>
      </c>
      <c r="D545" t="s">
        <v>10</v>
      </c>
      <c r="E545" t="s">
        <v>23</v>
      </c>
      <c r="F545">
        <v>640</v>
      </c>
      <c r="G545">
        <v>17</v>
      </c>
      <c r="H545" s="6">
        <f t="shared" si="30"/>
        <v>10.88</v>
      </c>
    </row>
    <row r="546" spans="1:8" hidden="1" x14ac:dyDescent="0.3">
      <c r="A546" s="9">
        <v>44990</v>
      </c>
      <c r="B546" t="s">
        <v>12</v>
      </c>
      <c r="C546" t="s">
        <v>26</v>
      </c>
      <c r="D546" t="s">
        <v>18</v>
      </c>
      <c r="E546" t="s">
        <v>37</v>
      </c>
      <c r="F546">
        <v>890</v>
      </c>
      <c r="G546">
        <v>16</v>
      </c>
      <c r="H546" s="6">
        <f t="shared" si="30"/>
        <v>14.24</v>
      </c>
    </row>
    <row r="547" spans="1:8" hidden="1" x14ac:dyDescent="0.3">
      <c r="A547" s="9">
        <v>44990</v>
      </c>
      <c r="B547" t="s">
        <v>17</v>
      </c>
      <c r="C547" t="s">
        <v>15</v>
      </c>
      <c r="D547" t="s">
        <v>10</v>
      </c>
      <c r="E547" t="s">
        <v>40</v>
      </c>
      <c r="F547">
        <v>540</v>
      </c>
      <c r="G547">
        <v>98</v>
      </c>
      <c r="H547" s="6">
        <f t="shared" si="30"/>
        <v>52.92</v>
      </c>
    </row>
    <row r="548" spans="1:8" hidden="1" x14ac:dyDescent="0.3">
      <c r="A548" s="9">
        <v>44990</v>
      </c>
      <c r="B548" t="s">
        <v>17</v>
      </c>
      <c r="C548" t="s">
        <v>15</v>
      </c>
      <c r="D548" t="s">
        <v>10</v>
      </c>
      <c r="E548" t="s">
        <v>16</v>
      </c>
      <c r="F548">
        <v>1380</v>
      </c>
      <c r="G548">
        <v>35</v>
      </c>
      <c r="H548" s="6">
        <f t="shared" si="30"/>
        <v>48.3</v>
      </c>
    </row>
    <row r="549" spans="1:8" hidden="1" x14ac:dyDescent="0.3">
      <c r="A549" s="9">
        <v>44990</v>
      </c>
      <c r="B549" t="s">
        <v>17</v>
      </c>
      <c r="C549" t="s">
        <v>33</v>
      </c>
      <c r="D549" t="s">
        <v>10</v>
      </c>
      <c r="E549" t="s">
        <v>39</v>
      </c>
      <c r="F549">
        <v>650</v>
      </c>
      <c r="G549">
        <v>99</v>
      </c>
      <c r="H549" s="6">
        <f t="shared" si="30"/>
        <v>64.349999999999994</v>
      </c>
    </row>
    <row r="550" spans="1:8" hidden="1" x14ac:dyDescent="0.3">
      <c r="A550" s="9">
        <v>44990</v>
      </c>
      <c r="B550" t="s">
        <v>12</v>
      </c>
      <c r="C550" t="s">
        <v>33</v>
      </c>
      <c r="D550" t="s">
        <v>13</v>
      </c>
      <c r="E550" t="s">
        <v>44</v>
      </c>
      <c r="F550">
        <v>2540</v>
      </c>
      <c r="G550">
        <v>46</v>
      </c>
      <c r="H550" s="6">
        <f t="shared" si="30"/>
        <v>116.84</v>
      </c>
    </row>
    <row r="551" spans="1:8" hidden="1" x14ac:dyDescent="0.3">
      <c r="A551" s="9">
        <v>44990</v>
      </c>
      <c r="B551" t="s">
        <v>12</v>
      </c>
      <c r="C551" t="s">
        <v>33</v>
      </c>
      <c r="D551" t="s">
        <v>13</v>
      </c>
      <c r="E551" t="s">
        <v>38</v>
      </c>
      <c r="F551">
        <v>2400</v>
      </c>
      <c r="G551">
        <v>58</v>
      </c>
      <c r="H551" s="6">
        <f t="shared" si="30"/>
        <v>139.19999999999999</v>
      </c>
    </row>
    <row r="552" spans="1:8" hidden="1" x14ac:dyDescent="0.3">
      <c r="A552" s="9">
        <v>44990</v>
      </c>
      <c r="B552" t="s">
        <v>8</v>
      </c>
      <c r="C552" t="s">
        <v>33</v>
      </c>
      <c r="D552" t="s">
        <v>13</v>
      </c>
      <c r="E552" t="s">
        <v>14</v>
      </c>
      <c r="F552">
        <v>1320</v>
      </c>
      <c r="G552">
        <v>83</v>
      </c>
      <c r="H552" s="6">
        <f t="shared" si="30"/>
        <v>109.56</v>
      </c>
    </row>
    <row r="553" spans="1:8" hidden="1" x14ac:dyDescent="0.3">
      <c r="A553" s="9">
        <v>44990</v>
      </c>
      <c r="B553" t="s">
        <v>8</v>
      </c>
      <c r="C553" t="s">
        <v>33</v>
      </c>
      <c r="D553" t="s">
        <v>13</v>
      </c>
      <c r="E553" t="s">
        <v>14</v>
      </c>
      <c r="F553">
        <v>1320</v>
      </c>
      <c r="G553">
        <v>57</v>
      </c>
      <c r="H553" s="6">
        <f t="shared" si="30"/>
        <v>75.239999999999995</v>
      </c>
    </row>
    <row r="554" spans="1:8" hidden="1" x14ac:dyDescent="0.3">
      <c r="A554" s="9">
        <v>44990</v>
      </c>
      <c r="B554" t="s">
        <v>12</v>
      </c>
      <c r="C554" t="s">
        <v>33</v>
      </c>
      <c r="D554" t="s">
        <v>24</v>
      </c>
      <c r="E554" t="s">
        <v>36</v>
      </c>
      <c r="F554">
        <v>2460</v>
      </c>
      <c r="G554">
        <v>43</v>
      </c>
      <c r="H554" s="6">
        <f t="shared" si="30"/>
        <v>105.78</v>
      </c>
    </row>
    <row r="555" spans="1:8" hidden="1" x14ac:dyDescent="0.3">
      <c r="A555" s="9">
        <v>44990</v>
      </c>
      <c r="B555" t="s">
        <v>17</v>
      </c>
      <c r="C555" t="s">
        <v>35</v>
      </c>
      <c r="D555" t="s">
        <v>10</v>
      </c>
      <c r="E555" t="s">
        <v>39</v>
      </c>
      <c r="F555">
        <v>650</v>
      </c>
      <c r="G555">
        <v>71</v>
      </c>
      <c r="H555" s="6">
        <f t="shared" si="30"/>
        <v>46.15</v>
      </c>
    </row>
    <row r="556" spans="1:8" hidden="1" x14ac:dyDescent="0.3">
      <c r="A556" s="9">
        <v>44990</v>
      </c>
      <c r="B556" t="s">
        <v>8</v>
      </c>
      <c r="C556" t="s">
        <v>35</v>
      </c>
      <c r="D556" t="s">
        <v>18</v>
      </c>
      <c r="E556" t="s">
        <v>37</v>
      </c>
      <c r="F556">
        <v>890</v>
      </c>
      <c r="G556">
        <v>39</v>
      </c>
      <c r="H556" s="6">
        <f t="shared" si="30"/>
        <v>34.71</v>
      </c>
    </row>
    <row r="557" spans="1:8" hidden="1" x14ac:dyDescent="0.3">
      <c r="A557" s="9">
        <v>44990</v>
      </c>
      <c r="B557" t="s">
        <v>17</v>
      </c>
      <c r="C557" t="s">
        <v>35</v>
      </c>
      <c r="D557" t="s">
        <v>18</v>
      </c>
      <c r="E557" t="s">
        <v>27</v>
      </c>
      <c r="F557">
        <v>460</v>
      </c>
      <c r="G557">
        <v>80</v>
      </c>
      <c r="H557" s="6">
        <f t="shared" si="30"/>
        <v>36.799999999999997</v>
      </c>
    </row>
    <row r="558" spans="1:8" hidden="1" x14ac:dyDescent="0.3">
      <c r="A558" s="9">
        <v>44990</v>
      </c>
      <c r="B558" t="s">
        <v>17</v>
      </c>
      <c r="C558" t="s">
        <v>35</v>
      </c>
      <c r="D558" t="s">
        <v>24</v>
      </c>
      <c r="E558" t="s">
        <v>42</v>
      </c>
      <c r="F558">
        <v>3205</v>
      </c>
      <c r="G558">
        <v>46</v>
      </c>
      <c r="H558" s="6">
        <f t="shared" si="30"/>
        <v>147.43</v>
      </c>
    </row>
    <row r="559" spans="1:8" hidden="1" x14ac:dyDescent="0.3">
      <c r="A559" s="13" t="s">
        <v>78</v>
      </c>
      <c r="H559" s="6">
        <f>SUBTOTAL(9,H540:H558)</f>
        <v>0</v>
      </c>
    </row>
    <row r="560" spans="1:8" hidden="1" x14ac:dyDescent="0.3">
      <c r="A560" s="9">
        <v>44991</v>
      </c>
      <c r="B560" t="s">
        <v>17</v>
      </c>
      <c r="C560" t="s">
        <v>20</v>
      </c>
      <c r="D560" t="s">
        <v>10</v>
      </c>
      <c r="E560" t="s">
        <v>41</v>
      </c>
      <c r="F560">
        <v>650</v>
      </c>
      <c r="G560">
        <v>30</v>
      </c>
      <c r="H560" s="6">
        <f t="shared" ref="H560:H584" si="31">F560*G560/1000</f>
        <v>19.5</v>
      </c>
    </row>
    <row r="561" spans="1:8" hidden="1" x14ac:dyDescent="0.3">
      <c r="A561" s="10">
        <v>44991</v>
      </c>
      <c r="B561" s="11" t="s">
        <v>17</v>
      </c>
      <c r="C561" s="11" t="s">
        <v>20</v>
      </c>
      <c r="D561" s="11" t="s">
        <v>18</v>
      </c>
      <c r="E561" s="11" t="s">
        <v>21</v>
      </c>
      <c r="F561" s="11">
        <v>450</v>
      </c>
      <c r="G561" s="11">
        <v>21</v>
      </c>
      <c r="H561" s="6">
        <f t="shared" si="31"/>
        <v>9.4499999999999993</v>
      </c>
    </row>
    <row r="562" spans="1:8" hidden="1" x14ac:dyDescent="0.3">
      <c r="A562" s="9">
        <v>44991</v>
      </c>
      <c r="B562" t="s">
        <v>17</v>
      </c>
      <c r="C562" t="s">
        <v>9</v>
      </c>
      <c r="D562" t="s">
        <v>10</v>
      </c>
      <c r="E562" t="s">
        <v>39</v>
      </c>
      <c r="F562">
        <v>650</v>
      </c>
      <c r="G562">
        <v>48</v>
      </c>
      <c r="H562" s="6">
        <f t="shared" si="31"/>
        <v>31.2</v>
      </c>
    </row>
    <row r="563" spans="1:8" hidden="1" x14ac:dyDescent="0.3">
      <c r="A563" s="9">
        <v>44991</v>
      </c>
      <c r="B563" t="s">
        <v>8</v>
      </c>
      <c r="C563" t="s">
        <v>9</v>
      </c>
      <c r="D563" t="s">
        <v>10</v>
      </c>
      <c r="E563" t="s">
        <v>16</v>
      </c>
      <c r="F563">
        <v>1380</v>
      </c>
      <c r="G563">
        <v>28</v>
      </c>
      <c r="H563" s="6">
        <f t="shared" si="31"/>
        <v>38.64</v>
      </c>
    </row>
    <row r="564" spans="1:8" hidden="1" x14ac:dyDescent="0.3">
      <c r="A564" s="9">
        <v>44991</v>
      </c>
      <c r="B564" t="s">
        <v>12</v>
      </c>
      <c r="C564" t="s">
        <v>9</v>
      </c>
      <c r="D564" t="s">
        <v>18</v>
      </c>
      <c r="E564" t="s">
        <v>21</v>
      </c>
      <c r="F564">
        <v>450</v>
      </c>
      <c r="G564">
        <v>55</v>
      </c>
      <c r="H564" s="6">
        <f t="shared" si="31"/>
        <v>24.75</v>
      </c>
    </row>
    <row r="565" spans="1:8" hidden="1" x14ac:dyDescent="0.3">
      <c r="A565" s="9">
        <v>44991</v>
      </c>
      <c r="B565" t="s">
        <v>17</v>
      </c>
      <c r="C565" t="s">
        <v>9</v>
      </c>
      <c r="D565" t="s">
        <v>18</v>
      </c>
      <c r="E565" t="s">
        <v>37</v>
      </c>
      <c r="F565">
        <v>890</v>
      </c>
      <c r="G565">
        <v>34</v>
      </c>
      <c r="H565" s="6">
        <f t="shared" si="31"/>
        <v>30.26</v>
      </c>
    </row>
    <row r="566" spans="1:8" hidden="1" x14ac:dyDescent="0.3">
      <c r="A566" s="9">
        <v>44991</v>
      </c>
      <c r="B566" t="s">
        <v>45</v>
      </c>
      <c r="C566" t="s">
        <v>9</v>
      </c>
      <c r="D566" t="s">
        <v>13</v>
      </c>
      <c r="E566" t="s">
        <v>14</v>
      </c>
      <c r="F566">
        <v>1320</v>
      </c>
      <c r="G566">
        <v>62</v>
      </c>
      <c r="H566" s="6">
        <f t="shared" si="31"/>
        <v>81.84</v>
      </c>
    </row>
    <row r="567" spans="1:8" hidden="1" x14ac:dyDescent="0.3">
      <c r="A567" s="9">
        <v>44991</v>
      </c>
      <c r="B567" t="s">
        <v>45</v>
      </c>
      <c r="C567" t="s">
        <v>9</v>
      </c>
      <c r="D567" t="s">
        <v>13</v>
      </c>
      <c r="E567" t="s">
        <v>22</v>
      </c>
      <c r="F567">
        <v>930</v>
      </c>
      <c r="G567">
        <v>97</v>
      </c>
      <c r="H567" s="6">
        <f t="shared" si="31"/>
        <v>90.21</v>
      </c>
    </row>
    <row r="568" spans="1:8" hidden="1" x14ac:dyDescent="0.3">
      <c r="A568" s="9">
        <v>44991</v>
      </c>
      <c r="B568" t="s">
        <v>45</v>
      </c>
      <c r="C568" t="s">
        <v>9</v>
      </c>
      <c r="D568" t="s">
        <v>13</v>
      </c>
      <c r="E568" t="s">
        <v>43</v>
      </c>
      <c r="F568">
        <v>1420</v>
      </c>
      <c r="G568">
        <v>84</v>
      </c>
      <c r="H568" s="6">
        <f t="shared" si="31"/>
        <v>119.28</v>
      </c>
    </row>
    <row r="569" spans="1:8" hidden="1" x14ac:dyDescent="0.3">
      <c r="A569" s="9">
        <v>44991</v>
      </c>
      <c r="B569" t="s">
        <v>12</v>
      </c>
      <c r="C569" t="s">
        <v>9</v>
      </c>
      <c r="D569" t="s">
        <v>13</v>
      </c>
      <c r="E569" t="s">
        <v>14</v>
      </c>
      <c r="F569">
        <v>1320</v>
      </c>
      <c r="G569">
        <v>77</v>
      </c>
      <c r="H569" s="6">
        <f t="shared" si="31"/>
        <v>101.64</v>
      </c>
    </row>
    <row r="570" spans="1:8" hidden="1" x14ac:dyDescent="0.3">
      <c r="A570" s="9">
        <v>44991</v>
      </c>
      <c r="B570" t="s">
        <v>8</v>
      </c>
      <c r="C570" t="s">
        <v>9</v>
      </c>
      <c r="D570" t="s">
        <v>13</v>
      </c>
      <c r="E570" t="s">
        <v>38</v>
      </c>
      <c r="F570">
        <v>2400</v>
      </c>
      <c r="G570">
        <v>30</v>
      </c>
      <c r="H570" s="6">
        <f t="shared" si="31"/>
        <v>72</v>
      </c>
    </row>
    <row r="571" spans="1:8" hidden="1" x14ac:dyDescent="0.3">
      <c r="A571" s="9">
        <v>44991</v>
      </c>
      <c r="B571" t="s">
        <v>17</v>
      </c>
      <c r="C571" t="s">
        <v>9</v>
      </c>
      <c r="D571" t="s">
        <v>24</v>
      </c>
      <c r="E571" t="s">
        <v>34</v>
      </c>
      <c r="F571">
        <v>1670</v>
      </c>
      <c r="G571">
        <v>80</v>
      </c>
      <c r="H571" s="6">
        <f t="shared" si="31"/>
        <v>133.6</v>
      </c>
    </row>
    <row r="572" spans="1:8" hidden="1" x14ac:dyDescent="0.3">
      <c r="A572" s="9">
        <v>44991</v>
      </c>
      <c r="B572" t="s">
        <v>17</v>
      </c>
      <c r="C572" t="s">
        <v>9</v>
      </c>
      <c r="D572" t="s">
        <v>24</v>
      </c>
      <c r="E572" t="s">
        <v>34</v>
      </c>
      <c r="F572">
        <v>1670</v>
      </c>
      <c r="G572">
        <v>57</v>
      </c>
      <c r="H572" s="6">
        <f t="shared" si="31"/>
        <v>95.19</v>
      </c>
    </row>
    <row r="573" spans="1:8" hidden="1" x14ac:dyDescent="0.3">
      <c r="A573" s="9">
        <v>44991</v>
      </c>
      <c r="B573" t="s">
        <v>45</v>
      </c>
      <c r="C573" t="s">
        <v>26</v>
      </c>
      <c r="D573" t="s">
        <v>13</v>
      </c>
      <c r="E573" t="s">
        <v>43</v>
      </c>
      <c r="F573">
        <v>1420</v>
      </c>
      <c r="G573">
        <v>28</v>
      </c>
      <c r="H573" s="6">
        <f t="shared" si="31"/>
        <v>39.76</v>
      </c>
    </row>
    <row r="574" spans="1:8" hidden="1" x14ac:dyDescent="0.3">
      <c r="A574" s="9">
        <v>44991</v>
      </c>
      <c r="B574" t="s">
        <v>8</v>
      </c>
      <c r="C574" t="s">
        <v>26</v>
      </c>
      <c r="D574" t="s">
        <v>24</v>
      </c>
      <c r="E574" t="s">
        <v>34</v>
      </c>
      <c r="F574">
        <v>1670</v>
      </c>
      <c r="G574">
        <v>46</v>
      </c>
      <c r="H574" s="6">
        <f t="shared" si="31"/>
        <v>76.819999999999993</v>
      </c>
    </row>
    <row r="575" spans="1:8" hidden="1" x14ac:dyDescent="0.3">
      <c r="A575" s="9">
        <v>44991</v>
      </c>
      <c r="B575" t="s">
        <v>17</v>
      </c>
      <c r="C575" t="s">
        <v>26</v>
      </c>
      <c r="D575" t="s">
        <v>24</v>
      </c>
      <c r="E575" t="s">
        <v>36</v>
      </c>
      <c r="F575">
        <v>2460</v>
      </c>
      <c r="G575">
        <v>64</v>
      </c>
      <c r="H575" s="6">
        <f t="shared" si="31"/>
        <v>157.44</v>
      </c>
    </row>
    <row r="576" spans="1:8" hidden="1" x14ac:dyDescent="0.3">
      <c r="A576" s="9">
        <v>44991</v>
      </c>
      <c r="B576" t="s">
        <v>12</v>
      </c>
      <c r="C576" t="s">
        <v>33</v>
      </c>
      <c r="D576" t="s">
        <v>10</v>
      </c>
      <c r="E576" t="s">
        <v>16</v>
      </c>
      <c r="F576">
        <v>1380</v>
      </c>
      <c r="G576">
        <v>7</v>
      </c>
      <c r="H576" s="6">
        <f t="shared" si="31"/>
        <v>9.66</v>
      </c>
    </row>
    <row r="577" spans="1:8" hidden="1" x14ac:dyDescent="0.3">
      <c r="A577" s="9">
        <v>44991</v>
      </c>
      <c r="B577" t="s">
        <v>45</v>
      </c>
      <c r="C577" t="s">
        <v>33</v>
      </c>
      <c r="D577" t="s">
        <v>18</v>
      </c>
      <c r="E577" t="s">
        <v>21</v>
      </c>
      <c r="F577">
        <v>450</v>
      </c>
      <c r="G577">
        <v>26</v>
      </c>
      <c r="H577" s="6">
        <f t="shared" si="31"/>
        <v>11.7</v>
      </c>
    </row>
    <row r="578" spans="1:8" hidden="1" x14ac:dyDescent="0.3">
      <c r="A578" s="9">
        <v>44991</v>
      </c>
      <c r="B578" t="s">
        <v>8</v>
      </c>
      <c r="C578" t="s">
        <v>33</v>
      </c>
      <c r="D578" t="s">
        <v>24</v>
      </c>
      <c r="E578" t="s">
        <v>36</v>
      </c>
      <c r="F578">
        <v>2460</v>
      </c>
      <c r="G578">
        <v>5</v>
      </c>
      <c r="H578" s="6">
        <f t="shared" si="31"/>
        <v>12.3</v>
      </c>
    </row>
    <row r="579" spans="1:8" hidden="1" x14ac:dyDescent="0.3">
      <c r="A579" s="9">
        <v>44991</v>
      </c>
      <c r="B579" t="s">
        <v>45</v>
      </c>
      <c r="C579" t="s">
        <v>35</v>
      </c>
      <c r="D579" t="s">
        <v>10</v>
      </c>
      <c r="E579" t="s">
        <v>41</v>
      </c>
      <c r="F579">
        <v>650</v>
      </c>
      <c r="G579">
        <v>13</v>
      </c>
      <c r="H579" s="6">
        <f t="shared" si="31"/>
        <v>8.4499999999999993</v>
      </c>
    </row>
    <row r="580" spans="1:8" hidden="1" x14ac:dyDescent="0.3">
      <c r="A580" s="9">
        <v>44991</v>
      </c>
      <c r="B580" t="s">
        <v>12</v>
      </c>
      <c r="C580" t="s">
        <v>35</v>
      </c>
      <c r="D580" t="s">
        <v>18</v>
      </c>
      <c r="E580" t="s">
        <v>21</v>
      </c>
      <c r="F580">
        <v>450</v>
      </c>
      <c r="G580">
        <v>35</v>
      </c>
      <c r="H580" s="6">
        <f t="shared" si="31"/>
        <v>15.75</v>
      </c>
    </row>
    <row r="581" spans="1:8" hidden="1" x14ac:dyDescent="0.3">
      <c r="A581" s="9">
        <v>44991</v>
      </c>
      <c r="B581" t="s">
        <v>12</v>
      </c>
      <c r="C581" t="s">
        <v>35</v>
      </c>
      <c r="D581" t="s">
        <v>13</v>
      </c>
      <c r="E581" t="s">
        <v>38</v>
      </c>
      <c r="F581">
        <v>2400</v>
      </c>
      <c r="G581">
        <v>13</v>
      </c>
      <c r="H581" s="6">
        <f t="shared" si="31"/>
        <v>31.2</v>
      </c>
    </row>
    <row r="582" spans="1:8" hidden="1" x14ac:dyDescent="0.3">
      <c r="A582" s="9">
        <v>44991</v>
      </c>
      <c r="B582" t="s">
        <v>8</v>
      </c>
      <c r="C582" t="s">
        <v>35</v>
      </c>
      <c r="D582" t="s">
        <v>24</v>
      </c>
      <c r="E582" t="s">
        <v>32</v>
      </c>
      <c r="F582">
        <v>1505</v>
      </c>
      <c r="G582">
        <v>36</v>
      </c>
      <c r="H582" s="6">
        <f t="shared" si="31"/>
        <v>54.18</v>
      </c>
    </row>
    <row r="583" spans="1:8" hidden="1" x14ac:dyDescent="0.3">
      <c r="A583" s="9">
        <v>44991</v>
      </c>
      <c r="B583" t="s">
        <v>8</v>
      </c>
      <c r="C583" t="s">
        <v>35</v>
      </c>
      <c r="D583" t="s">
        <v>24</v>
      </c>
      <c r="E583" t="s">
        <v>32</v>
      </c>
      <c r="F583">
        <v>1505</v>
      </c>
      <c r="G583">
        <v>87</v>
      </c>
      <c r="H583" s="6">
        <f t="shared" si="31"/>
        <v>130.935</v>
      </c>
    </row>
    <row r="584" spans="1:8" hidden="1" x14ac:dyDescent="0.3">
      <c r="A584" s="9">
        <v>44991</v>
      </c>
      <c r="B584" t="s">
        <v>45</v>
      </c>
      <c r="C584" t="s">
        <v>35</v>
      </c>
      <c r="D584" t="s">
        <v>24</v>
      </c>
      <c r="E584" t="s">
        <v>36</v>
      </c>
      <c r="F584">
        <v>2460</v>
      </c>
      <c r="G584">
        <v>38</v>
      </c>
      <c r="H584" s="6">
        <f t="shared" si="31"/>
        <v>93.48</v>
      </c>
    </row>
    <row r="585" spans="1:8" hidden="1" x14ac:dyDescent="0.3">
      <c r="A585" s="13" t="s">
        <v>79</v>
      </c>
      <c r="H585" s="6">
        <f>SUBTOTAL(9,H560:H584)</f>
        <v>0</v>
      </c>
    </row>
    <row r="586" spans="1:8" hidden="1" x14ac:dyDescent="0.3">
      <c r="A586" s="9">
        <v>44992</v>
      </c>
      <c r="B586" t="s">
        <v>17</v>
      </c>
      <c r="C586" t="s">
        <v>20</v>
      </c>
      <c r="D586" t="s">
        <v>10</v>
      </c>
      <c r="E586" t="s">
        <v>23</v>
      </c>
      <c r="F586">
        <v>640</v>
      </c>
      <c r="G586">
        <v>71</v>
      </c>
      <c r="H586" s="6">
        <f t="shared" ref="H586:H605" si="32">F586*G586/1000</f>
        <v>45.44</v>
      </c>
    </row>
    <row r="587" spans="1:8" hidden="1" x14ac:dyDescent="0.3">
      <c r="A587" s="10">
        <v>44992</v>
      </c>
      <c r="B587" s="11" t="s">
        <v>12</v>
      </c>
      <c r="C587" s="11" t="s">
        <v>20</v>
      </c>
      <c r="D587" s="11" t="s">
        <v>13</v>
      </c>
      <c r="E587" s="11" t="s">
        <v>22</v>
      </c>
      <c r="F587" s="11">
        <v>930</v>
      </c>
      <c r="G587" s="11">
        <v>42</v>
      </c>
      <c r="H587" s="6">
        <f t="shared" si="32"/>
        <v>39.06</v>
      </c>
    </row>
    <row r="588" spans="1:8" hidden="1" x14ac:dyDescent="0.3">
      <c r="A588" s="9">
        <v>44992</v>
      </c>
      <c r="B588" t="s">
        <v>45</v>
      </c>
      <c r="C588" t="s">
        <v>20</v>
      </c>
      <c r="D588" t="s">
        <v>24</v>
      </c>
      <c r="E588" t="s">
        <v>42</v>
      </c>
      <c r="F588">
        <v>3205</v>
      </c>
      <c r="G588">
        <v>76</v>
      </c>
      <c r="H588" s="6">
        <f t="shared" si="32"/>
        <v>243.58</v>
      </c>
    </row>
    <row r="589" spans="1:8" hidden="1" x14ac:dyDescent="0.3">
      <c r="A589" s="9">
        <v>44992</v>
      </c>
      <c r="B589" t="s">
        <v>17</v>
      </c>
      <c r="C589" t="s">
        <v>9</v>
      </c>
      <c r="D589" t="s">
        <v>10</v>
      </c>
      <c r="E589" t="s">
        <v>41</v>
      </c>
      <c r="F589">
        <v>650</v>
      </c>
      <c r="G589">
        <v>66</v>
      </c>
      <c r="H589" s="6">
        <f t="shared" si="32"/>
        <v>42.9</v>
      </c>
    </row>
    <row r="590" spans="1:8" hidden="1" x14ac:dyDescent="0.3">
      <c r="A590" s="9">
        <v>44992</v>
      </c>
      <c r="B590" t="s">
        <v>8</v>
      </c>
      <c r="C590" t="s">
        <v>9</v>
      </c>
      <c r="D590" t="s">
        <v>18</v>
      </c>
      <c r="E590" t="s">
        <v>28</v>
      </c>
      <c r="F590">
        <v>690</v>
      </c>
      <c r="G590">
        <v>37</v>
      </c>
      <c r="H590" s="6">
        <f t="shared" si="32"/>
        <v>25.53</v>
      </c>
    </row>
    <row r="591" spans="1:8" hidden="1" x14ac:dyDescent="0.3">
      <c r="A591" s="9">
        <v>44992</v>
      </c>
      <c r="B591" t="s">
        <v>8</v>
      </c>
      <c r="C591" t="s">
        <v>9</v>
      </c>
      <c r="D591" t="s">
        <v>24</v>
      </c>
      <c r="E591" t="s">
        <v>36</v>
      </c>
      <c r="F591">
        <v>2460</v>
      </c>
      <c r="G591">
        <v>48</v>
      </c>
      <c r="H591" s="6">
        <f t="shared" si="32"/>
        <v>118.08</v>
      </c>
    </row>
    <row r="592" spans="1:8" hidden="1" x14ac:dyDescent="0.3">
      <c r="A592" s="9">
        <v>44992</v>
      </c>
      <c r="B592" t="s">
        <v>8</v>
      </c>
      <c r="C592" t="s">
        <v>26</v>
      </c>
      <c r="D592" t="s">
        <v>24</v>
      </c>
      <c r="E592" t="s">
        <v>36</v>
      </c>
      <c r="F592">
        <v>2460</v>
      </c>
      <c r="G592">
        <v>17</v>
      </c>
      <c r="H592" s="6">
        <f t="shared" si="32"/>
        <v>41.82</v>
      </c>
    </row>
    <row r="593" spans="1:8" hidden="1" x14ac:dyDescent="0.3">
      <c r="A593" s="9">
        <v>44992</v>
      </c>
      <c r="B593" t="s">
        <v>12</v>
      </c>
      <c r="C593" t="s">
        <v>26</v>
      </c>
      <c r="D593" t="s">
        <v>24</v>
      </c>
      <c r="E593" t="s">
        <v>30</v>
      </c>
      <c r="F593">
        <v>2970</v>
      </c>
      <c r="G593">
        <v>72</v>
      </c>
      <c r="H593" s="6">
        <f t="shared" si="32"/>
        <v>213.84</v>
      </c>
    </row>
    <row r="594" spans="1:8" hidden="1" x14ac:dyDescent="0.3">
      <c r="A594" s="9">
        <v>44992</v>
      </c>
      <c r="B594" t="s">
        <v>8</v>
      </c>
      <c r="C594" t="s">
        <v>15</v>
      </c>
      <c r="D594" t="s">
        <v>10</v>
      </c>
      <c r="E594" t="s">
        <v>23</v>
      </c>
      <c r="F594">
        <v>640</v>
      </c>
      <c r="G594">
        <v>95</v>
      </c>
      <c r="H594" s="6">
        <f t="shared" si="32"/>
        <v>60.8</v>
      </c>
    </row>
    <row r="595" spans="1:8" hidden="1" x14ac:dyDescent="0.3">
      <c r="A595" s="9">
        <v>44992</v>
      </c>
      <c r="B595" t="s">
        <v>8</v>
      </c>
      <c r="C595" t="s">
        <v>15</v>
      </c>
      <c r="D595" t="s">
        <v>10</v>
      </c>
      <c r="E595" t="s">
        <v>11</v>
      </c>
      <c r="F595">
        <v>705</v>
      </c>
      <c r="G595">
        <v>23</v>
      </c>
      <c r="H595" s="6">
        <f t="shared" si="32"/>
        <v>16.215</v>
      </c>
    </row>
    <row r="596" spans="1:8" hidden="1" x14ac:dyDescent="0.3">
      <c r="A596" s="9">
        <v>44992</v>
      </c>
      <c r="B596" t="s">
        <v>17</v>
      </c>
      <c r="C596" t="s">
        <v>15</v>
      </c>
      <c r="D596" t="s">
        <v>10</v>
      </c>
      <c r="E596" t="s">
        <v>11</v>
      </c>
      <c r="F596">
        <v>705</v>
      </c>
      <c r="G596">
        <v>69</v>
      </c>
      <c r="H596" s="6">
        <f t="shared" si="32"/>
        <v>48.645000000000003</v>
      </c>
    </row>
    <row r="597" spans="1:8" hidden="1" x14ac:dyDescent="0.3">
      <c r="A597" s="9">
        <v>44992</v>
      </c>
      <c r="B597" t="s">
        <v>12</v>
      </c>
      <c r="C597" t="s">
        <v>15</v>
      </c>
      <c r="D597" t="s">
        <v>10</v>
      </c>
      <c r="E597" t="s">
        <v>41</v>
      </c>
      <c r="F597">
        <v>650</v>
      </c>
      <c r="G597">
        <v>24</v>
      </c>
      <c r="H597" s="6">
        <f t="shared" si="32"/>
        <v>15.6</v>
      </c>
    </row>
    <row r="598" spans="1:8" hidden="1" x14ac:dyDescent="0.3">
      <c r="A598" s="9">
        <v>44992</v>
      </c>
      <c r="B598" t="s">
        <v>45</v>
      </c>
      <c r="C598" t="s">
        <v>15</v>
      </c>
      <c r="D598" t="s">
        <v>18</v>
      </c>
      <c r="E598" t="s">
        <v>31</v>
      </c>
      <c r="F598">
        <v>715</v>
      </c>
      <c r="G598">
        <v>48</v>
      </c>
      <c r="H598" s="6">
        <f t="shared" si="32"/>
        <v>34.32</v>
      </c>
    </row>
    <row r="599" spans="1:8" hidden="1" x14ac:dyDescent="0.3">
      <c r="A599" s="9">
        <v>44992</v>
      </c>
      <c r="B599" t="s">
        <v>8</v>
      </c>
      <c r="C599" t="s">
        <v>15</v>
      </c>
      <c r="D599" t="s">
        <v>24</v>
      </c>
      <c r="E599" t="s">
        <v>42</v>
      </c>
      <c r="F599">
        <v>3205</v>
      </c>
      <c r="G599">
        <v>21</v>
      </c>
      <c r="H599" s="6">
        <f t="shared" si="32"/>
        <v>67.305000000000007</v>
      </c>
    </row>
    <row r="600" spans="1:8" hidden="1" x14ac:dyDescent="0.3">
      <c r="A600" s="9">
        <v>44992</v>
      </c>
      <c r="B600" t="s">
        <v>17</v>
      </c>
      <c r="C600" t="s">
        <v>33</v>
      </c>
      <c r="D600" t="s">
        <v>18</v>
      </c>
      <c r="E600" t="s">
        <v>28</v>
      </c>
      <c r="F600">
        <v>690</v>
      </c>
      <c r="G600">
        <v>7</v>
      </c>
      <c r="H600" s="6">
        <f t="shared" si="32"/>
        <v>4.83</v>
      </c>
    </row>
    <row r="601" spans="1:8" hidden="1" x14ac:dyDescent="0.3">
      <c r="A601" s="9">
        <v>44992</v>
      </c>
      <c r="B601" t="s">
        <v>8</v>
      </c>
      <c r="C601" t="s">
        <v>33</v>
      </c>
      <c r="D601" t="s">
        <v>13</v>
      </c>
      <c r="E601" t="s">
        <v>22</v>
      </c>
      <c r="F601">
        <v>930</v>
      </c>
      <c r="G601">
        <v>15</v>
      </c>
      <c r="H601" s="6">
        <f t="shared" si="32"/>
        <v>13.95</v>
      </c>
    </row>
    <row r="602" spans="1:8" hidden="1" x14ac:dyDescent="0.3">
      <c r="A602" s="9">
        <v>44992</v>
      </c>
      <c r="B602" t="s">
        <v>8</v>
      </c>
      <c r="C602" t="s">
        <v>33</v>
      </c>
      <c r="D602" t="s">
        <v>13</v>
      </c>
      <c r="E602" t="s">
        <v>44</v>
      </c>
      <c r="F602">
        <v>2540</v>
      </c>
      <c r="G602">
        <v>65</v>
      </c>
      <c r="H602" s="6">
        <f t="shared" si="32"/>
        <v>165.1</v>
      </c>
    </row>
    <row r="603" spans="1:8" hidden="1" x14ac:dyDescent="0.3">
      <c r="A603" s="9">
        <v>44992</v>
      </c>
      <c r="B603" t="s">
        <v>12</v>
      </c>
      <c r="C603" t="s">
        <v>35</v>
      </c>
      <c r="D603" t="s">
        <v>18</v>
      </c>
      <c r="E603" t="s">
        <v>21</v>
      </c>
      <c r="F603">
        <v>450</v>
      </c>
      <c r="G603">
        <v>47</v>
      </c>
      <c r="H603" s="6">
        <f t="shared" si="32"/>
        <v>21.15</v>
      </c>
    </row>
    <row r="604" spans="1:8" hidden="1" x14ac:dyDescent="0.3">
      <c r="A604" s="9">
        <v>44992</v>
      </c>
      <c r="B604" t="s">
        <v>17</v>
      </c>
      <c r="C604" t="s">
        <v>35</v>
      </c>
      <c r="D604" t="s">
        <v>18</v>
      </c>
      <c r="E604" t="s">
        <v>27</v>
      </c>
      <c r="F604">
        <v>460</v>
      </c>
      <c r="G604">
        <v>12</v>
      </c>
      <c r="H604" s="6">
        <f t="shared" si="32"/>
        <v>5.52</v>
      </c>
    </row>
    <row r="605" spans="1:8" hidden="1" x14ac:dyDescent="0.3">
      <c r="A605" s="9">
        <v>44992</v>
      </c>
      <c r="B605" t="s">
        <v>17</v>
      </c>
      <c r="C605" t="s">
        <v>35</v>
      </c>
      <c r="D605" t="s">
        <v>13</v>
      </c>
      <c r="E605" t="s">
        <v>43</v>
      </c>
      <c r="F605">
        <v>1420</v>
      </c>
      <c r="G605">
        <v>55</v>
      </c>
      <c r="H605" s="6">
        <f t="shared" si="32"/>
        <v>78.099999999999994</v>
      </c>
    </row>
    <row r="606" spans="1:8" hidden="1" x14ac:dyDescent="0.3">
      <c r="A606" s="13" t="s">
        <v>80</v>
      </c>
      <c r="H606" s="6">
        <f>SUBTOTAL(9,H586:H605)</f>
        <v>0</v>
      </c>
    </row>
    <row r="607" spans="1:8" hidden="1" x14ac:dyDescent="0.3">
      <c r="A607" s="10">
        <v>44993</v>
      </c>
      <c r="B607" s="11" t="s">
        <v>17</v>
      </c>
      <c r="C607" s="11" t="s">
        <v>20</v>
      </c>
      <c r="D607" s="11" t="s">
        <v>10</v>
      </c>
      <c r="E607" s="11" t="s">
        <v>39</v>
      </c>
      <c r="F607" s="11">
        <v>650</v>
      </c>
      <c r="G607" s="11">
        <v>67</v>
      </c>
      <c r="H607" s="6">
        <f t="shared" ref="H607:H617" si="33">F607*G607/1000</f>
        <v>43.55</v>
      </c>
    </row>
    <row r="608" spans="1:8" hidden="1" x14ac:dyDescent="0.3">
      <c r="A608" s="9">
        <v>44993</v>
      </c>
      <c r="B608" t="s">
        <v>45</v>
      </c>
      <c r="C608" t="s">
        <v>20</v>
      </c>
      <c r="D608" t="s">
        <v>10</v>
      </c>
      <c r="E608" t="s">
        <v>16</v>
      </c>
      <c r="F608">
        <v>1380</v>
      </c>
      <c r="G608">
        <v>84</v>
      </c>
      <c r="H608" s="6">
        <f t="shared" si="33"/>
        <v>115.92</v>
      </c>
    </row>
    <row r="609" spans="1:8" hidden="1" x14ac:dyDescent="0.3">
      <c r="A609" s="9">
        <v>44993</v>
      </c>
      <c r="B609" t="s">
        <v>17</v>
      </c>
      <c r="C609" t="s">
        <v>9</v>
      </c>
      <c r="D609" t="s">
        <v>24</v>
      </c>
      <c r="E609" t="s">
        <v>25</v>
      </c>
      <c r="F609">
        <v>1760</v>
      </c>
      <c r="G609">
        <v>44</v>
      </c>
      <c r="H609" s="6">
        <f t="shared" si="33"/>
        <v>77.44</v>
      </c>
    </row>
    <row r="610" spans="1:8" hidden="1" x14ac:dyDescent="0.3">
      <c r="A610" s="9">
        <v>44993</v>
      </c>
      <c r="B610" t="s">
        <v>8</v>
      </c>
      <c r="C610" t="s">
        <v>9</v>
      </c>
      <c r="D610" t="s">
        <v>24</v>
      </c>
      <c r="E610" t="s">
        <v>34</v>
      </c>
      <c r="F610">
        <v>1670</v>
      </c>
      <c r="G610">
        <v>36</v>
      </c>
      <c r="H610" s="6">
        <f t="shared" si="33"/>
        <v>60.12</v>
      </c>
    </row>
    <row r="611" spans="1:8" hidden="1" x14ac:dyDescent="0.3">
      <c r="A611" s="9">
        <v>44993</v>
      </c>
      <c r="B611" t="s">
        <v>12</v>
      </c>
      <c r="C611" t="s">
        <v>26</v>
      </c>
      <c r="D611" t="s">
        <v>18</v>
      </c>
      <c r="E611" t="s">
        <v>21</v>
      </c>
      <c r="F611">
        <v>450</v>
      </c>
      <c r="G611">
        <v>96</v>
      </c>
      <c r="H611" s="6">
        <f t="shared" si="33"/>
        <v>43.2</v>
      </c>
    </row>
    <row r="612" spans="1:8" hidden="1" x14ac:dyDescent="0.3">
      <c r="A612" s="9">
        <v>44993</v>
      </c>
      <c r="B612" t="s">
        <v>12</v>
      </c>
      <c r="C612" t="s">
        <v>26</v>
      </c>
      <c r="D612" t="s">
        <v>24</v>
      </c>
      <c r="E612" t="s">
        <v>34</v>
      </c>
      <c r="F612">
        <v>1670</v>
      </c>
      <c r="G612">
        <v>52</v>
      </c>
      <c r="H612" s="6">
        <f t="shared" si="33"/>
        <v>86.84</v>
      </c>
    </row>
    <row r="613" spans="1:8" hidden="1" x14ac:dyDescent="0.3">
      <c r="A613" s="9">
        <v>44993</v>
      </c>
      <c r="B613" t="s">
        <v>8</v>
      </c>
      <c r="C613" t="s">
        <v>26</v>
      </c>
      <c r="D613" t="s">
        <v>24</v>
      </c>
      <c r="E613" t="s">
        <v>34</v>
      </c>
      <c r="F613">
        <v>1670</v>
      </c>
      <c r="G613">
        <v>27</v>
      </c>
      <c r="H613" s="6">
        <f t="shared" si="33"/>
        <v>45.09</v>
      </c>
    </row>
    <row r="614" spans="1:8" hidden="1" x14ac:dyDescent="0.3">
      <c r="A614" s="9">
        <v>44993</v>
      </c>
      <c r="B614" t="s">
        <v>8</v>
      </c>
      <c r="C614" t="s">
        <v>26</v>
      </c>
      <c r="D614" t="s">
        <v>24</v>
      </c>
      <c r="E614" t="s">
        <v>42</v>
      </c>
      <c r="F614">
        <v>3205</v>
      </c>
      <c r="G614">
        <v>56</v>
      </c>
      <c r="H614" s="6">
        <f t="shared" si="33"/>
        <v>179.48</v>
      </c>
    </row>
    <row r="615" spans="1:8" hidden="1" x14ac:dyDescent="0.3">
      <c r="A615" s="9">
        <v>44993</v>
      </c>
      <c r="B615" t="s">
        <v>8</v>
      </c>
      <c r="C615" t="s">
        <v>33</v>
      </c>
      <c r="D615" t="s">
        <v>10</v>
      </c>
      <c r="E615" t="s">
        <v>39</v>
      </c>
      <c r="F615">
        <v>650</v>
      </c>
      <c r="G615">
        <v>90</v>
      </c>
      <c r="H615" s="6">
        <f t="shared" si="33"/>
        <v>58.5</v>
      </c>
    </row>
    <row r="616" spans="1:8" hidden="1" x14ac:dyDescent="0.3">
      <c r="A616" s="9">
        <v>44993</v>
      </c>
      <c r="B616" t="s">
        <v>8</v>
      </c>
      <c r="C616" t="s">
        <v>33</v>
      </c>
      <c r="D616" t="s">
        <v>24</v>
      </c>
      <c r="E616" t="s">
        <v>36</v>
      </c>
      <c r="F616">
        <v>2460</v>
      </c>
      <c r="G616">
        <v>61</v>
      </c>
      <c r="H616" s="6">
        <f t="shared" si="33"/>
        <v>150.06</v>
      </c>
    </row>
    <row r="617" spans="1:8" hidden="1" x14ac:dyDescent="0.3">
      <c r="A617" s="9">
        <v>44993</v>
      </c>
      <c r="B617" t="s">
        <v>17</v>
      </c>
      <c r="C617" t="s">
        <v>35</v>
      </c>
      <c r="D617" t="s">
        <v>10</v>
      </c>
      <c r="E617" t="s">
        <v>41</v>
      </c>
      <c r="F617">
        <v>650</v>
      </c>
      <c r="G617">
        <v>34</v>
      </c>
      <c r="H617" s="6">
        <f t="shared" si="33"/>
        <v>22.1</v>
      </c>
    </row>
    <row r="618" spans="1:8" hidden="1" x14ac:dyDescent="0.3">
      <c r="A618" s="13" t="s">
        <v>81</v>
      </c>
      <c r="H618" s="6">
        <f>SUBTOTAL(9,H607:H617)</f>
        <v>0</v>
      </c>
    </row>
    <row r="619" spans="1:8" hidden="1" x14ac:dyDescent="0.3">
      <c r="A619" s="10">
        <v>44994</v>
      </c>
      <c r="B619" s="11" t="s">
        <v>17</v>
      </c>
      <c r="C619" s="11" t="s">
        <v>20</v>
      </c>
      <c r="D619" s="11" t="s">
        <v>10</v>
      </c>
      <c r="E619" s="11" t="s">
        <v>11</v>
      </c>
      <c r="F619" s="11">
        <v>705</v>
      </c>
      <c r="G619" s="11">
        <v>61</v>
      </c>
      <c r="H619" s="6">
        <f t="shared" ref="H619:H632" si="34">F619*G619/1000</f>
        <v>43.005000000000003</v>
      </c>
    </row>
    <row r="620" spans="1:8" hidden="1" x14ac:dyDescent="0.3">
      <c r="A620" s="9">
        <v>44994</v>
      </c>
      <c r="B620" t="s">
        <v>8</v>
      </c>
      <c r="C620" t="s">
        <v>20</v>
      </c>
      <c r="D620" t="s">
        <v>18</v>
      </c>
      <c r="E620" t="s">
        <v>27</v>
      </c>
      <c r="F620">
        <v>460</v>
      </c>
      <c r="G620">
        <v>30</v>
      </c>
      <c r="H620" s="6">
        <f t="shared" si="34"/>
        <v>13.8</v>
      </c>
    </row>
    <row r="621" spans="1:8" hidden="1" x14ac:dyDescent="0.3">
      <c r="A621" s="10">
        <v>44994</v>
      </c>
      <c r="B621" s="11" t="s">
        <v>45</v>
      </c>
      <c r="C621" s="11" t="s">
        <v>20</v>
      </c>
      <c r="D621" s="11" t="s">
        <v>13</v>
      </c>
      <c r="E621" s="11" t="s">
        <v>22</v>
      </c>
      <c r="F621" s="11">
        <v>930</v>
      </c>
      <c r="G621" s="11">
        <v>23</v>
      </c>
      <c r="H621" s="6">
        <f t="shared" si="34"/>
        <v>21.39</v>
      </c>
    </row>
    <row r="622" spans="1:8" hidden="1" x14ac:dyDescent="0.3">
      <c r="A622" s="9">
        <v>44994</v>
      </c>
      <c r="B622" t="s">
        <v>17</v>
      </c>
      <c r="C622" t="s">
        <v>20</v>
      </c>
      <c r="D622" t="s">
        <v>13</v>
      </c>
      <c r="E622" t="s">
        <v>38</v>
      </c>
      <c r="F622">
        <v>2400</v>
      </c>
      <c r="G622">
        <v>89</v>
      </c>
      <c r="H622" s="6">
        <f t="shared" si="34"/>
        <v>213.6</v>
      </c>
    </row>
    <row r="623" spans="1:8" hidden="1" x14ac:dyDescent="0.3">
      <c r="A623" s="10">
        <v>44994</v>
      </c>
      <c r="B623" s="11" t="s">
        <v>12</v>
      </c>
      <c r="C623" s="11" t="s">
        <v>20</v>
      </c>
      <c r="D623" s="11" t="s">
        <v>13</v>
      </c>
      <c r="E623" s="11" t="s">
        <v>43</v>
      </c>
      <c r="F623" s="11">
        <v>1420</v>
      </c>
      <c r="G623" s="11">
        <v>92</v>
      </c>
      <c r="H623" s="6">
        <f t="shared" si="34"/>
        <v>130.63999999999999</v>
      </c>
    </row>
    <row r="624" spans="1:8" hidden="1" x14ac:dyDescent="0.3">
      <c r="A624" s="9">
        <v>44994</v>
      </c>
      <c r="B624" t="s">
        <v>17</v>
      </c>
      <c r="C624" t="s">
        <v>20</v>
      </c>
      <c r="D624" t="s">
        <v>24</v>
      </c>
      <c r="E624" t="s">
        <v>32</v>
      </c>
      <c r="F624">
        <v>1505</v>
      </c>
      <c r="G624">
        <v>8</v>
      </c>
      <c r="H624" s="6">
        <f t="shared" si="34"/>
        <v>12.04</v>
      </c>
    </row>
    <row r="625" spans="1:8" hidden="1" x14ac:dyDescent="0.3">
      <c r="A625" s="9">
        <v>44994</v>
      </c>
      <c r="B625" t="s">
        <v>8</v>
      </c>
      <c r="C625" t="s">
        <v>9</v>
      </c>
      <c r="D625" t="s">
        <v>13</v>
      </c>
      <c r="E625" t="s">
        <v>44</v>
      </c>
      <c r="F625">
        <v>2540</v>
      </c>
      <c r="G625">
        <v>49</v>
      </c>
      <c r="H625" s="6">
        <f t="shared" si="34"/>
        <v>124.46</v>
      </c>
    </row>
    <row r="626" spans="1:8" hidden="1" x14ac:dyDescent="0.3">
      <c r="A626" s="9">
        <v>44994</v>
      </c>
      <c r="B626" t="s">
        <v>17</v>
      </c>
      <c r="C626" t="s">
        <v>9</v>
      </c>
      <c r="D626" t="s">
        <v>24</v>
      </c>
      <c r="E626" t="s">
        <v>36</v>
      </c>
      <c r="F626">
        <v>2460</v>
      </c>
      <c r="G626">
        <v>70</v>
      </c>
      <c r="H626" s="6">
        <f t="shared" si="34"/>
        <v>172.2</v>
      </c>
    </row>
    <row r="627" spans="1:8" hidden="1" x14ac:dyDescent="0.3">
      <c r="A627" s="9">
        <v>44994</v>
      </c>
      <c r="B627" t="s">
        <v>45</v>
      </c>
      <c r="C627" t="s">
        <v>15</v>
      </c>
      <c r="D627" t="s">
        <v>10</v>
      </c>
      <c r="E627" t="s">
        <v>23</v>
      </c>
      <c r="F627">
        <v>640</v>
      </c>
      <c r="G627">
        <v>59</v>
      </c>
      <c r="H627" s="6">
        <f t="shared" si="34"/>
        <v>37.76</v>
      </c>
    </row>
    <row r="628" spans="1:8" hidden="1" x14ac:dyDescent="0.3">
      <c r="A628" s="9">
        <v>44994</v>
      </c>
      <c r="B628" t="s">
        <v>8</v>
      </c>
      <c r="C628" t="s">
        <v>15</v>
      </c>
      <c r="D628" t="s">
        <v>10</v>
      </c>
      <c r="E628" t="s">
        <v>23</v>
      </c>
      <c r="F628">
        <v>640</v>
      </c>
      <c r="G628">
        <v>36</v>
      </c>
      <c r="H628" s="6">
        <f t="shared" si="34"/>
        <v>23.04</v>
      </c>
    </row>
    <row r="629" spans="1:8" hidden="1" x14ac:dyDescent="0.3">
      <c r="A629" s="9">
        <v>44994</v>
      </c>
      <c r="B629" t="s">
        <v>8</v>
      </c>
      <c r="C629" t="s">
        <v>15</v>
      </c>
      <c r="D629" t="s">
        <v>13</v>
      </c>
      <c r="E629" t="s">
        <v>22</v>
      </c>
      <c r="F629">
        <v>930</v>
      </c>
      <c r="G629">
        <v>8</v>
      </c>
      <c r="H629" s="6">
        <f t="shared" si="34"/>
        <v>7.44</v>
      </c>
    </row>
    <row r="630" spans="1:8" hidden="1" x14ac:dyDescent="0.3">
      <c r="A630" s="9">
        <v>44994</v>
      </c>
      <c r="B630" t="s">
        <v>8</v>
      </c>
      <c r="C630" t="s">
        <v>33</v>
      </c>
      <c r="D630" t="s">
        <v>13</v>
      </c>
      <c r="E630" t="s">
        <v>44</v>
      </c>
      <c r="F630">
        <v>2540</v>
      </c>
      <c r="G630">
        <v>47</v>
      </c>
      <c r="H630" s="6">
        <f t="shared" si="34"/>
        <v>119.38</v>
      </c>
    </row>
    <row r="631" spans="1:8" hidden="1" x14ac:dyDescent="0.3">
      <c r="A631" s="9">
        <v>44994</v>
      </c>
      <c r="B631" t="s">
        <v>17</v>
      </c>
      <c r="C631" t="s">
        <v>33</v>
      </c>
      <c r="D631" t="s">
        <v>13</v>
      </c>
      <c r="E631" t="s">
        <v>44</v>
      </c>
      <c r="F631">
        <v>2540</v>
      </c>
      <c r="G631">
        <v>90</v>
      </c>
      <c r="H631" s="6">
        <f t="shared" si="34"/>
        <v>228.6</v>
      </c>
    </row>
    <row r="632" spans="1:8" hidden="1" x14ac:dyDescent="0.3">
      <c r="A632" s="9">
        <v>44994</v>
      </c>
      <c r="B632" t="s">
        <v>12</v>
      </c>
      <c r="C632" t="s">
        <v>35</v>
      </c>
      <c r="D632" t="s">
        <v>10</v>
      </c>
      <c r="E632" t="s">
        <v>41</v>
      </c>
      <c r="F632">
        <v>650</v>
      </c>
      <c r="G632">
        <v>51</v>
      </c>
      <c r="H632" s="6">
        <f t="shared" si="34"/>
        <v>33.15</v>
      </c>
    </row>
    <row r="633" spans="1:8" hidden="1" x14ac:dyDescent="0.3">
      <c r="A633" s="13" t="s">
        <v>82</v>
      </c>
      <c r="H633" s="6">
        <f>SUBTOTAL(9,H619:H632)</f>
        <v>0</v>
      </c>
    </row>
    <row r="634" spans="1:8" hidden="1" x14ac:dyDescent="0.3">
      <c r="A634" s="10">
        <v>44995</v>
      </c>
      <c r="B634" s="11" t="s">
        <v>17</v>
      </c>
      <c r="C634" s="11" t="s">
        <v>20</v>
      </c>
      <c r="D634" s="11" t="s">
        <v>13</v>
      </c>
      <c r="E634" s="11" t="s">
        <v>44</v>
      </c>
      <c r="F634" s="11">
        <v>2540</v>
      </c>
      <c r="G634" s="11">
        <v>95</v>
      </c>
      <c r="H634" s="6">
        <f t="shared" ref="H634:H655" si="35">F634*G634/1000</f>
        <v>241.3</v>
      </c>
    </row>
    <row r="635" spans="1:8" hidden="1" x14ac:dyDescent="0.3">
      <c r="A635" s="9">
        <v>44995</v>
      </c>
      <c r="B635" t="s">
        <v>12</v>
      </c>
      <c r="C635" t="s">
        <v>9</v>
      </c>
      <c r="D635" t="s">
        <v>10</v>
      </c>
      <c r="E635" t="s">
        <v>16</v>
      </c>
      <c r="F635">
        <v>1380</v>
      </c>
      <c r="G635">
        <v>30</v>
      </c>
      <c r="H635" s="6">
        <f t="shared" si="35"/>
        <v>41.4</v>
      </c>
    </row>
    <row r="636" spans="1:8" hidden="1" x14ac:dyDescent="0.3">
      <c r="A636" s="9">
        <v>44995</v>
      </c>
      <c r="B636" t="s">
        <v>8</v>
      </c>
      <c r="C636" t="s">
        <v>9</v>
      </c>
      <c r="D636" t="s">
        <v>18</v>
      </c>
      <c r="E636" t="s">
        <v>21</v>
      </c>
      <c r="F636">
        <v>450</v>
      </c>
      <c r="G636">
        <v>81</v>
      </c>
      <c r="H636" s="6">
        <f t="shared" si="35"/>
        <v>36.450000000000003</v>
      </c>
    </row>
    <row r="637" spans="1:8" hidden="1" x14ac:dyDescent="0.3">
      <c r="A637" s="9">
        <v>44995</v>
      </c>
      <c r="B637" t="s">
        <v>12</v>
      </c>
      <c r="C637" t="s">
        <v>9</v>
      </c>
      <c r="D637" t="s">
        <v>13</v>
      </c>
      <c r="E637" t="s">
        <v>22</v>
      </c>
      <c r="F637">
        <v>930</v>
      </c>
      <c r="G637">
        <v>98</v>
      </c>
      <c r="H637" s="6">
        <f t="shared" si="35"/>
        <v>91.14</v>
      </c>
    </row>
    <row r="638" spans="1:8" hidden="1" x14ac:dyDescent="0.3">
      <c r="A638" s="9">
        <v>44995</v>
      </c>
      <c r="B638" t="s">
        <v>17</v>
      </c>
      <c r="C638" t="s">
        <v>9</v>
      </c>
      <c r="D638" t="s">
        <v>13</v>
      </c>
      <c r="E638" t="s">
        <v>14</v>
      </c>
      <c r="F638">
        <v>1320</v>
      </c>
      <c r="G638">
        <v>91</v>
      </c>
      <c r="H638" s="6">
        <f t="shared" si="35"/>
        <v>120.12</v>
      </c>
    </row>
    <row r="639" spans="1:8" hidden="1" x14ac:dyDescent="0.3">
      <c r="A639" s="9">
        <v>44995</v>
      </c>
      <c r="B639" t="s">
        <v>17</v>
      </c>
      <c r="C639" t="s">
        <v>26</v>
      </c>
      <c r="D639" t="s">
        <v>10</v>
      </c>
      <c r="E639" t="s">
        <v>41</v>
      </c>
      <c r="F639">
        <v>650</v>
      </c>
      <c r="G639">
        <v>23</v>
      </c>
      <c r="H639" s="6">
        <f t="shared" si="35"/>
        <v>14.95</v>
      </c>
    </row>
    <row r="640" spans="1:8" hidden="1" x14ac:dyDescent="0.3">
      <c r="A640" s="9">
        <v>44995</v>
      </c>
      <c r="B640" t="s">
        <v>8</v>
      </c>
      <c r="C640" t="s">
        <v>26</v>
      </c>
      <c r="D640" t="s">
        <v>18</v>
      </c>
      <c r="E640" t="s">
        <v>31</v>
      </c>
      <c r="F640">
        <v>715</v>
      </c>
      <c r="G640">
        <v>83</v>
      </c>
      <c r="H640" s="6">
        <f t="shared" si="35"/>
        <v>59.344999999999999</v>
      </c>
    </row>
    <row r="641" spans="1:8" hidden="1" x14ac:dyDescent="0.3">
      <c r="A641" s="9">
        <v>44995</v>
      </c>
      <c r="B641" t="s">
        <v>8</v>
      </c>
      <c r="C641" t="s">
        <v>26</v>
      </c>
      <c r="D641" t="s">
        <v>13</v>
      </c>
      <c r="E641" t="s">
        <v>14</v>
      </c>
      <c r="F641">
        <v>1320</v>
      </c>
      <c r="G641">
        <v>100</v>
      </c>
      <c r="H641" s="6">
        <f t="shared" si="35"/>
        <v>132</v>
      </c>
    </row>
    <row r="642" spans="1:8" hidden="1" x14ac:dyDescent="0.3">
      <c r="A642" s="9">
        <v>44995</v>
      </c>
      <c r="B642" t="s">
        <v>8</v>
      </c>
      <c r="C642" t="s">
        <v>26</v>
      </c>
      <c r="D642" t="s">
        <v>13</v>
      </c>
      <c r="E642" t="s">
        <v>14</v>
      </c>
      <c r="F642">
        <v>1320</v>
      </c>
      <c r="G642">
        <v>87</v>
      </c>
      <c r="H642" s="6">
        <f t="shared" si="35"/>
        <v>114.84</v>
      </c>
    </row>
    <row r="643" spans="1:8" hidden="1" x14ac:dyDescent="0.3">
      <c r="A643" s="9">
        <v>44995</v>
      </c>
      <c r="B643" t="s">
        <v>17</v>
      </c>
      <c r="C643" t="s">
        <v>26</v>
      </c>
      <c r="D643" t="s">
        <v>24</v>
      </c>
      <c r="E643" t="s">
        <v>36</v>
      </c>
      <c r="F643">
        <v>2460</v>
      </c>
      <c r="G643">
        <v>48</v>
      </c>
      <c r="H643" s="6">
        <f t="shared" si="35"/>
        <v>118.08</v>
      </c>
    </row>
    <row r="644" spans="1:8" hidden="1" x14ac:dyDescent="0.3">
      <c r="A644" s="9">
        <v>44995</v>
      </c>
      <c r="B644" t="s">
        <v>17</v>
      </c>
      <c r="C644" t="s">
        <v>33</v>
      </c>
      <c r="D644" t="s">
        <v>10</v>
      </c>
      <c r="E644" t="s">
        <v>23</v>
      </c>
      <c r="F644">
        <v>640</v>
      </c>
      <c r="G644">
        <v>83</v>
      </c>
      <c r="H644" s="6">
        <f t="shared" si="35"/>
        <v>53.12</v>
      </c>
    </row>
    <row r="645" spans="1:8" hidden="1" x14ac:dyDescent="0.3">
      <c r="A645" s="9">
        <v>44995</v>
      </c>
      <c r="B645" t="s">
        <v>17</v>
      </c>
      <c r="C645" t="s">
        <v>33</v>
      </c>
      <c r="D645" t="s">
        <v>10</v>
      </c>
      <c r="E645" t="s">
        <v>23</v>
      </c>
      <c r="F645">
        <v>640</v>
      </c>
      <c r="G645">
        <v>26</v>
      </c>
      <c r="H645" s="6">
        <f t="shared" si="35"/>
        <v>16.64</v>
      </c>
    </row>
    <row r="646" spans="1:8" hidden="1" x14ac:dyDescent="0.3">
      <c r="A646" s="9">
        <v>44995</v>
      </c>
      <c r="B646" t="s">
        <v>17</v>
      </c>
      <c r="C646" t="s">
        <v>33</v>
      </c>
      <c r="D646" t="s">
        <v>18</v>
      </c>
      <c r="E646" t="s">
        <v>37</v>
      </c>
      <c r="F646">
        <v>890</v>
      </c>
      <c r="G646">
        <v>87</v>
      </c>
      <c r="H646" s="6">
        <f t="shared" si="35"/>
        <v>77.430000000000007</v>
      </c>
    </row>
    <row r="647" spans="1:8" hidden="1" x14ac:dyDescent="0.3">
      <c r="A647" s="9">
        <v>44995</v>
      </c>
      <c r="B647" t="s">
        <v>12</v>
      </c>
      <c r="C647" t="s">
        <v>33</v>
      </c>
      <c r="D647" t="s">
        <v>18</v>
      </c>
      <c r="E647" t="s">
        <v>21</v>
      </c>
      <c r="F647">
        <v>450</v>
      </c>
      <c r="G647">
        <v>19</v>
      </c>
      <c r="H647" s="6">
        <f t="shared" si="35"/>
        <v>8.5500000000000007</v>
      </c>
    </row>
    <row r="648" spans="1:8" hidden="1" x14ac:dyDescent="0.3">
      <c r="A648" s="9">
        <v>44995</v>
      </c>
      <c r="B648" t="s">
        <v>12</v>
      </c>
      <c r="C648" t="s">
        <v>33</v>
      </c>
      <c r="D648" t="s">
        <v>18</v>
      </c>
      <c r="E648" t="s">
        <v>21</v>
      </c>
      <c r="F648">
        <v>450</v>
      </c>
      <c r="G648">
        <v>19</v>
      </c>
      <c r="H648" s="6">
        <f t="shared" si="35"/>
        <v>8.5500000000000007</v>
      </c>
    </row>
    <row r="649" spans="1:8" hidden="1" x14ac:dyDescent="0.3">
      <c r="A649" s="9">
        <v>44995</v>
      </c>
      <c r="B649" t="s">
        <v>45</v>
      </c>
      <c r="C649" t="s">
        <v>33</v>
      </c>
      <c r="D649" t="s">
        <v>13</v>
      </c>
      <c r="E649" t="s">
        <v>38</v>
      </c>
      <c r="F649">
        <v>2400</v>
      </c>
      <c r="G649">
        <v>67</v>
      </c>
      <c r="H649" s="6">
        <f t="shared" si="35"/>
        <v>160.80000000000001</v>
      </c>
    </row>
    <row r="650" spans="1:8" hidden="1" x14ac:dyDescent="0.3">
      <c r="A650" s="9">
        <v>44995</v>
      </c>
      <c r="B650" t="s">
        <v>17</v>
      </c>
      <c r="C650" t="s">
        <v>35</v>
      </c>
      <c r="D650" t="s">
        <v>10</v>
      </c>
      <c r="E650" t="s">
        <v>11</v>
      </c>
      <c r="F650">
        <v>705</v>
      </c>
      <c r="G650">
        <v>13</v>
      </c>
      <c r="H650" s="6">
        <f t="shared" si="35"/>
        <v>9.1649999999999991</v>
      </c>
    </row>
    <row r="651" spans="1:8" hidden="1" x14ac:dyDescent="0.3">
      <c r="A651" s="9">
        <v>44995</v>
      </c>
      <c r="B651" t="s">
        <v>17</v>
      </c>
      <c r="C651" t="s">
        <v>35</v>
      </c>
      <c r="D651" t="s">
        <v>10</v>
      </c>
      <c r="E651" t="s">
        <v>23</v>
      </c>
      <c r="F651">
        <v>640</v>
      </c>
      <c r="G651">
        <v>68</v>
      </c>
      <c r="H651" s="6">
        <f t="shared" si="35"/>
        <v>43.52</v>
      </c>
    </row>
    <row r="652" spans="1:8" hidden="1" x14ac:dyDescent="0.3">
      <c r="A652" s="9">
        <v>44995</v>
      </c>
      <c r="B652" t="s">
        <v>17</v>
      </c>
      <c r="C652" t="s">
        <v>35</v>
      </c>
      <c r="D652" t="s">
        <v>18</v>
      </c>
      <c r="E652" t="s">
        <v>19</v>
      </c>
      <c r="F652">
        <v>325</v>
      </c>
      <c r="G652">
        <v>12</v>
      </c>
      <c r="H652" s="6">
        <f t="shared" si="35"/>
        <v>3.9</v>
      </c>
    </row>
    <row r="653" spans="1:8" hidden="1" x14ac:dyDescent="0.3">
      <c r="A653" s="9">
        <v>44995</v>
      </c>
      <c r="B653" t="s">
        <v>12</v>
      </c>
      <c r="C653" t="s">
        <v>35</v>
      </c>
      <c r="D653" t="s">
        <v>18</v>
      </c>
      <c r="E653" t="s">
        <v>21</v>
      </c>
      <c r="F653">
        <v>450</v>
      </c>
      <c r="G653">
        <v>5</v>
      </c>
      <c r="H653" s="6">
        <f t="shared" si="35"/>
        <v>2.25</v>
      </c>
    </row>
    <row r="654" spans="1:8" hidden="1" x14ac:dyDescent="0.3">
      <c r="A654" s="9">
        <v>44995</v>
      </c>
      <c r="B654" t="s">
        <v>12</v>
      </c>
      <c r="C654" t="s">
        <v>35</v>
      </c>
      <c r="D654" t="s">
        <v>13</v>
      </c>
      <c r="E654" t="s">
        <v>38</v>
      </c>
      <c r="F654">
        <v>2400</v>
      </c>
      <c r="G654">
        <v>97</v>
      </c>
      <c r="H654" s="6">
        <f t="shared" si="35"/>
        <v>232.8</v>
      </c>
    </row>
    <row r="655" spans="1:8" hidden="1" x14ac:dyDescent="0.3">
      <c r="A655" s="9">
        <v>44995</v>
      </c>
      <c r="B655" t="s">
        <v>8</v>
      </c>
      <c r="C655" t="s">
        <v>35</v>
      </c>
      <c r="D655" t="s">
        <v>24</v>
      </c>
      <c r="E655" t="s">
        <v>36</v>
      </c>
      <c r="F655">
        <v>2460</v>
      </c>
      <c r="G655">
        <v>9</v>
      </c>
      <c r="H655" s="6">
        <f t="shared" si="35"/>
        <v>22.14</v>
      </c>
    </row>
    <row r="656" spans="1:8" hidden="1" x14ac:dyDescent="0.3">
      <c r="A656" s="13" t="s">
        <v>83</v>
      </c>
      <c r="H656" s="6">
        <f>SUBTOTAL(9,H634:H655)</f>
        <v>0</v>
      </c>
    </row>
    <row r="657" spans="1:8" hidden="1" x14ac:dyDescent="0.3">
      <c r="A657" s="9">
        <v>44996</v>
      </c>
      <c r="B657" t="s">
        <v>45</v>
      </c>
      <c r="C657" t="s">
        <v>20</v>
      </c>
      <c r="D657" t="s">
        <v>13</v>
      </c>
      <c r="E657" t="s">
        <v>38</v>
      </c>
      <c r="F657">
        <v>2400</v>
      </c>
      <c r="G657">
        <v>35</v>
      </c>
      <c r="H657" s="6">
        <f t="shared" ref="H657:H680" si="36">F657*G657/1000</f>
        <v>84</v>
      </c>
    </row>
    <row r="658" spans="1:8" hidden="1" x14ac:dyDescent="0.3">
      <c r="A658" s="10">
        <v>44996</v>
      </c>
      <c r="B658" s="11" t="s">
        <v>45</v>
      </c>
      <c r="C658" s="11" t="s">
        <v>20</v>
      </c>
      <c r="D658" s="11" t="s">
        <v>13</v>
      </c>
      <c r="E658" s="11" t="s">
        <v>22</v>
      </c>
      <c r="F658" s="11">
        <v>930</v>
      </c>
      <c r="G658" s="11">
        <v>14</v>
      </c>
      <c r="H658" s="6">
        <f t="shared" si="36"/>
        <v>13.02</v>
      </c>
    </row>
    <row r="659" spans="1:8" hidden="1" x14ac:dyDescent="0.3">
      <c r="A659" s="9">
        <v>44996</v>
      </c>
      <c r="B659" t="s">
        <v>8</v>
      </c>
      <c r="C659" t="s">
        <v>20</v>
      </c>
      <c r="D659" t="s">
        <v>24</v>
      </c>
      <c r="E659" t="s">
        <v>25</v>
      </c>
      <c r="F659">
        <v>1760</v>
      </c>
      <c r="G659">
        <v>98</v>
      </c>
      <c r="H659" s="6">
        <f t="shared" si="36"/>
        <v>172.48</v>
      </c>
    </row>
    <row r="660" spans="1:8" hidden="1" x14ac:dyDescent="0.3">
      <c r="A660" s="10">
        <v>44996</v>
      </c>
      <c r="B660" s="11" t="s">
        <v>45</v>
      </c>
      <c r="C660" s="11" t="s">
        <v>20</v>
      </c>
      <c r="D660" s="11" t="s">
        <v>24</v>
      </c>
      <c r="E660" s="11" t="s">
        <v>34</v>
      </c>
      <c r="F660" s="11">
        <v>1670</v>
      </c>
      <c r="G660" s="11">
        <v>34</v>
      </c>
      <c r="H660" s="6">
        <f t="shared" si="36"/>
        <v>56.78</v>
      </c>
    </row>
    <row r="661" spans="1:8" hidden="1" x14ac:dyDescent="0.3">
      <c r="A661" s="9">
        <v>44996</v>
      </c>
      <c r="B661" t="s">
        <v>17</v>
      </c>
      <c r="C661" t="s">
        <v>9</v>
      </c>
      <c r="D661" t="s">
        <v>18</v>
      </c>
      <c r="E661" t="s">
        <v>28</v>
      </c>
      <c r="F661">
        <v>690</v>
      </c>
      <c r="G661">
        <v>97</v>
      </c>
      <c r="H661" s="6">
        <f t="shared" si="36"/>
        <v>66.930000000000007</v>
      </c>
    </row>
    <row r="662" spans="1:8" hidden="1" x14ac:dyDescent="0.3">
      <c r="A662" s="9">
        <v>44996</v>
      </c>
      <c r="B662" t="s">
        <v>12</v>
      </c>
      <c r="C662" t="s">
        <v>9</v>
      </c>
      <c r="D662" t="s">
        <v>24</v>
      </c>
      <c r="E662" t="s">
        <v>25</v>
      </c>
      <c r="F662">
        <v>1760</v>
      </c>
      <c r="G662">
        <v>23</v>
      </c>
      <c r="H662" s="6">
        <f t="shared" si="36"/>
        <v>40.479999999999997</v>
      </c>
    </row>
    <row r="663" spans="1:8" hidden="1" x14ac:dyDescent="0.3">
      <c r="A663" s="9">
        <v>44996</v>
      </c>
      <c r="B663" t="s">
        <v>17</v>
      </c>
      <c r="C663" t="s">
        <v>9</v>
      </c>
      <c r="D663" t="s">
        <v>24</v>
      </c>
      <c r="E663" t="s">
        <v>42</v>
      </c>
      <c r="F663">
        <v>3205</v>
      </c>
      <c r="G663">
        <v>81</v>
      </c>
      <c r="H663" s="6">
        <f t="shared" si="36"/>
        <v>259.60500000000002</v>
      </c>
    </row>
    <row r="664" spans="1:8" hidden="1" x14ac:dyDescent="0.3">
      <c r="A664" s="9">
        <v>44996</v>
      </c>
      <c r="B664" t="s">
        <v>45</v>
      </c>
      <c r="C664" t="s">
        <v>26</v>
      </c>
      <c r="D664" t="s">
        <v>10</v>
      </c>
      <c r="E664" t="s">
        <v>11</v>
      </c>
      <c r="F664">
        <v>705</v>
      </c>
      <c r="G664">
        <v>88</v>
      </c>
      <c r="H664" s="6">
        <f t="shared" si="36"/>
        <v>62.04</v>
      </c>
    </row>
    <row r="665" spans="1:8" hidden="1" x14ac:dyDescent="0.3">
      <c r="A665" s="9">
        <v>44996</v>
      </c>
      <c r="B665" t="s">
        <v>17</v>
      </c>
      <c r="C665" t="s">
        <v>15</v>
      </c>
      <c r="D665" t="s">
        <v>10</v>
      </c>
      <c r="E665" t="s">
        <v>39</v>
      </c>
      <c r="F665">
        <v>650</v>
      </c>
      <c r="G665">
        <v>58</v>
      </c>
      <c r="H665" s="6">
        <f t="shared" si="36"/>
        <v>37.700000000000003</v>
      </c>
    </row>
    <row r="666" spans="1:8" hidden="1" x14ac:dyDescent="0.3">
      <c r="A666" s="9">
        <v>44996</v>
      </c>
      <c r="B666" t="s">
        <v>8</v>
      </c>
      <c r="C666" t="s">
        <v>15</v>
      </c>
      <c r="D666" t="s">
        <v>18</v>
      </c>
      <c r="E666" t="s">
        <v>37</v>
      </c>
      <c r="F666">
        <v>890</v>
      </c>
      <c r="G666">
        <v>14</v>
      </c>
      <c r="H666" s="6">
        <f t="shared" si="36"/>
        <v>12.46</v>
      </c>
    </row>
    <row r="667" spans="1:8" hidden="1" x14ac:dyDescent="0.3">
      <c r="A667" s="9">
        <v>44996</v>
      </c>
      <c r="B667" t="s">
        <v>8</v>
      </c>
      <c r="C667" t="s">
        <v>15</v>
      </c>
      <c r="D667" t="s">
        <v>13</v>
      </c>
      <c r="E667" t="s">
        <v>22</v>
      </c>
      <c r="F667">
        <v>930</v>
      </c>
      <c r="G667">
        <v>24</v>
      </c>
      <c r="H667" s="6">
        <f t="shared" si="36"/>
        <v>22.32</v>
      </c>
    </row>
    <row r="668" spans="1:8" hidden="1" x14ac:dyDescent="0.3">
      <c r="A668" s="9">
        <v>44996</v>
      </c>
      <c r="B668" t="s">
        <v>45</v>
      </c>
      <c r="C668" t="s">
        <v>15</v>
      </c>
      <c r="D668" t="s">
        <v>24</v>
      </c>
      <c r="E668" t="s">
        <v>34</v>
      </c>
      <c r="F668">
        <v>1670</v>
      </c>
      <c r="G668">
        <v>45</v>
      </c>
      <c r="H668" s="6">
        <f t="shared" si="36"/>
        <v>75.150000000000006</v>
      </c>
    </row>
    <row r="669" spans="1:8" hidden="1" x14ac:dyDescent="0.3">
      <c r="A669" s="9">
        <v>44996</v>
      </c>
      <c r="B669" t="s">
        <v>45</v>
      </c>
      <c r="C669" t="s">
        <v>15</v>
      </c>
      <c r="D669" t="s">
        <v>24</v>
      </c>
      <c r="E669" t="s">
        <v>42</v>
      </c>
      <c r="F669">
        <v>3205</v>
      </c>
      <c r="G669">
        <v>80</v>
      </c>
      <c r="H669" s="6">
        <f t="shared" si="36"/>
        <v>256.39999999999998</v>
      </c>
    </row>
    <row r="670" spans="1:8" hidden="1" x14ac:dyDescent="0.3">
      <c r="A670" s="9">
        <v>44996</v>
      </c>
      <c r="B670" t="s">
        <v>45</v>
      </c>
      <c r="C670" t="s">
        <v>33</v>
      </c>
      <c r="D670" t="s">
        <v>18</v>
      </c>
      <c r="E670" t="s">
        <v>37</v>
      </c>
      <c r="F670">
        <v>890</v>
      </c>
      <c r="G670">
        <v>28</v>
      </c>
      <c r="H670" s="6">
        <f t="shared" si="36"/>
        <v>24.92</v>
      </c>
    </row>
    <row r="671" spans="1:8" hidden="1" x14ac:dyDescent="0.3">
      <c r="A671" s="9">
        <v>44996</v>
      </c>
      <c r="B671" t="s">
        <v>17</v>
      </c>
      <c r="C671" t="s">
        <v>33</v>
      </c>
      <c r="D671" t="s">
        <v>13</v>
      </c>
      <c r="E671" t="s">
        <v>43</v>
      </c>
      <c r="F671">
        <v>1420</v>
      </c>
      <c r="G671">
        <v>73</v>
      </c>
      <c r="H671" s="6">
        <f t="shared" si="36"/>
        <v>103.66</v>
      </c>
    </row>
    <row r="672" spans="1:8" hidden="1" x14ac:dyDescent="0.3">
      <c r="A672" s="9">
        <v>44996</v>
      </c>
      <c r="B672" t="s">
        <v>8</v>
      </c>
      <c r="C672" t="s">
        <v>35</v>
      </c>
      <c r="D672" t="s">
        <v>10</v>
      </c>
      <c r="E672" t="s">
        <v>11</v>
      </c>
      <c r="F672">
        <v>705</v>
      </c>
      <c r="G672">
        <v>52</v>
      </c>
      <c r="H672" s="6">
        <f t="shared" si="36"/>
        <v>36.659999999999997</v>
      </c>
    </row>
    <row r="673" spans="1:8" hidden="1" x14ac:dyDescent="0.3">
      <c r="A673" s="9">
        <v>44996</v>
      </c>
      <c r="B673" t="s">
        <v>45</v>
      </c>
      <c r="C673" t="s">
        <v>35</v>
      </c>
      <c r="D673" t="s">
        <v>18</v>
      </c>
      <c r="E673" t="s">
        <v>31</v>
      </c>
      <c r="F673">
        <v>715</v>
      </c>
      <c r="G673">
        <v>33</v>
      </c>
      <c r="H673" s="6">
        <f t="shared" si="36"/>
        <v>23.594999999999999</v>
      </c>
    </row>
    <row r="674" spans="1:8" hidden="1" x14ac:dyDescent="0.3">
      <c r="A674" s="9">
        <v>44996</v>
      </c>
      <c r="B674" t="s">
        <v>17</v>
      </c>
      <c r="C674" t="s">
        <v>35</v>
      </c>
      <c r="D674" t="s">
        <v>13</v>
      </c>
      <c r="E674" t="s">
        <v>38</v>
      </c>
      <c r="F674">
        <v>2400</v>
      </c>
      <c r="G674">
        <v>41</v>
      </c>
      <c r="H674" s="6">
        <f t="shared" si="36"/>
        <v>98.4</v>
      </c>
    </row>
    <row r="675" spans="1:8" hidden="1" x14ac:dyDescent="0.3">
      <c r="A675" s="9">
        <v>44996</v>
      </c>
      <c r="B675" t="s">
        <v>12</v>
      </c>
      <c r="C675" t="s">
        <v>35</v>
      </c>
      <c r="D675" t="s">
        <v>13</v>
      </c>
      <c r="E675" t="s">
        <v>44</v>
      </c>
      <c r="F675">
        <v>2540</v>
      </c>
      <c r="G675">
        <v>23</v>
      </c>
      <c r="H675" s="6">
        <f t="shared" si="36"/>
        <v>58.42</v>
      </c>
    </row>
    <row r="676" spans="1:8" x14ac:dyDescent="0.3">
      <c r="A676" s="9">
        <v>44996</v>
      </c>
      <c r="B676" t="s">
        <v>45</v>
      </c>
      <c r="C676" t="s">
        <v>35</v>
      </c>
      <c r="D676" t="s">
        <v>13</v>
      </c>
      <c r="E676" t="s">
        <v>29</v>
      </c>
      <c r="F676">
        <v>1230</v>
      </c>
      <c r="G676">
        <v>12</v>
      </c>
      <c r="H676" s="6">
        <f t="shared" si="36"/>
        <v>14.76</v>
      </c>
    </row>
    <row r="677" spans="1:8" hidden="1" x14ac:dyDescent="0.3">
      <c r="A677" s="9">
        <v>44996</v>
      </c>
      <c r="B677" t="s">
        <v>12</v>
      </c>
      <c r="C677" t="s">
        <v>35</v>
      </c>
      <c r="D677" t="s">
        <v>13</v>
      </c>
      <c r="E677" t="s">
        <v>22</v>
      </c>
      <c r="F677">
        <v>930</v>
      </c>
      <c r="G677">
        <v>22</v>
      </c>
      <c r="H677" s="6">
        <f t="shared" si="36"/>
        <v>20.46</v>
      </c>
    </row>
    <row r="678" spans="1:8" x14ac:dyDescent="0.3">
      <c r="A678" s="9">
        <v>44996</v>
      </c>
      <c r="B678" t="s">
        <v>45</v>
      </c>
      <c r="C678" t="s">
        <v>35</v>
      </c>
      <c r="D678" t="s">
        <v>13</v>
      </c>
      <c r="E678" t="s">
        <v>29</v>
      </c>
      <c r="F678">
        <v>1230</v>
      </c>
      <c r="G678">
        <v>88</v>
      </c>
      <c r="H678" s="6">
        <f t="shared" si="36"/>
        <v>108.24</v>
      </c>
    </row>
    <row r="679" spans="1:8" hidden="1" x14ac:dyDescent="0.3">
      <c r="A679" s="9">
        <v>44996</v>
      </c>
      <c r="B679" t="s">
        <v>17</v>
      </c>
      <c r="C679" t="s">
        <v>35</v>
      </c>
      <c r="D679" t="s">
        <v>24</v>
      </c>
      <c r="E679" t="s">
        <v>36</v>
      </c>
      <c r="F679">
        <v>2460</v>
      </c>
      <c r="G679">
        <v>55</v>
      </c>
      <c r="H679" s="6">
        <f t="shared" si="36"/>
        <v>135.30000000000001</v>
      </c>
    </row>
    <row r="680" spans="1:8" hidden="1" x14ac:dyDescent="0.3">
      <c r="A680" s="9">
        <v>44996</v>
      </c>
      <c r="B680" t="s">
        <v>8</v>
      </c>
      <c r="C680" t="s">
        <v>35</v>
      </c>
      <c r="D680" t="s">
        <v>24</v>
      </c>
      <c r="E680" t="s">
        <v>42</v>
      </c>
      <c r="F680">
        <v>3205</v>
      </c>
      <c r="G680">
        <v>58</v>
      </c>
      <c r="H680" s="6">
        <f t="shared" si="36"/>
        <v>185.89</v>
      </c>
    </row>
    <row r="681" spans="1:8" hidden="1" x14ac:dyDescent="0.3">
      <c r="A681" s="13" t="s">
        <v>84</v>
      </c>
      <c r="H681" s="6">
        <f>SUBTOTAL(9,H657:H680)</f>
        <v>123</v>
      </c>
    </row>
    <row r="682" spans="1:8" hidden="1" x14ac:dyDescent="0.3">
      <c r="A682" s="9">
        <v>44997</v>
      </c>
      <c r="B682" t="s">
        <v>8</v>
      </c>
      <c r="C682" t="s">
        <v>20</v>
      </c>
      <c r="D682" t="s">
        <v>10</v>
      </c>
      <c r="E682" t="s">
        <v>23</v>
      </c>
      <c r="F682">
        <v>640</v>
      </c>
      <c r="G682">
        <v>74</v>
      </c>
      <c r="H682" s="6">
        <f t="shared" ref="H682:H704" si="37">F682*G682/1000</f>
        <v>47.36</v>
      </c>
    </row>
    <row r="683" spans="1:8" hidden="1" x14ac:dyDescent="0.3">
      <c r="A683" s="10">
        <v>44997</v>
      </c>
      <c r="B683" s="11" t="s">
        <v>8</v>
      </c>
      <c r="C683" s="11" t="s">
        <v>20</v>
      </c>
      <c r="D683" s="11" t="s">
        <v>18</v>
      </c>
      <c r="E683" s="11" t="s">
        <v>27</v>
      </c>
      <c r="F683" s="11">
        <v>460</v>
      </c>
      <c r="G683" s="11">
        <v>63</v>
      </c>
      <c r="H683" s="6">
        <f t="shared" si="37"/>
        <v>28.98</v>
      </c>
    </row>
    <row r="684" spans="1:8" x14ac:dyDescent="0.3">
      <c r="A684" s="9">
        <v>44997</v>
      </c>
      <c r="B684" t="s">
        <v>45</v>
      </c>
      <c r="C684" t="s">
        <v>20</v>
      </c>
      <c r="D684" t="s">
        <v>13</v>
      </c>
      <c r="E684" t="s">
        <v>29</v>
      </c>
      <c r="F684">
        <v>1230</v>
      </c>
      <c r="G684">
        <v>28</v>
      </c>
      <c r="H684" s="6">
        <f t="shared" si="37"/>
        <v>34.44</v>
      </c>
    </row>
    <row r="685" spans="1:8" hidden="1" x14ac:dyDescent="0.3">
      <c r="A685" s="10">
        <v>44997</v>
      </c>
      <c r="B685" s="11" t="s">
        <v>45</v>
      </c>
      <c r="C685" s="11" t="s">
        <v>20</v>
      </c>
      <c r="D685" s="11" t="s">
        <v>24</v>
      </c>
      <c r="E685" s="11" t="s">
        <v>36</v>
      </c>
      <c r="F685" s="11">
        <v>2460</v>
      </c>
      <c r="G685" s="11">
        <v>23</v>
      </c>
      <c r="H685" s="6">
        <f t="shared" si="37"/>
        <v>56.58</v>
      </c>
    </row>
    <row r="686" spans="1:8" hidden="1" x14ac:dyDescent="0.3">
      <c r="A686" s="9">
        <v>44997</v>
      </c>
      <c r="B686" t="s">
        <v>45</v>
      </c>
      <c r="C686" t="s">
        <v>20</v>
      </c>
      <c r="D686" t="s">
        <v>24</v>
      </c>
      <c r="E686" t="s">
        <v>42</v>
      </c>
      <c r="F686">
        <v>3205</v>
      </c>
      <c r="G686">
        <v>74</v>
      </c>
      <c r="H686" s="6">
        <f t="shared" si="37"/>
        <v>237.17</v>
      </c>
    </row>
    <row r="687" spans="1:8" hidden="1" x14ac:dyDescent="0.3">
      <c r="A687" s="9">
        <v>44997</v>
      </c>
      <c r="B687" t="s">
        <v>8</v>
      </c>
      <c r="C687" t="s">
        <v>9</v>
      </c>
      <c r="D687" t="s">
        <v>18</v>
      </c>
      <c r="E687" t="s">
        <v>19</v>
      </c>
      <c r="F687">
        <v>325</v>
      </c>
      <c r="G687">
        <v>31</v>
      </c>
      <c r="H687" s="6">
        <f t="shared" si="37"/>
        <v>10.074999999999999</v>
      </c>
    </row>
    <row r="688" spans="1:8" hidden="1" x14ac:dyDescent="0.3">
      <c r="A688" s="9">
        <v>44997</v>
      </c>
      <c r="B688" t="s">
        <v>12</v>
      </c>
      <c r="C688" t="s">
        <v>9</v>
      </c>
      <c r="D688" t="s">
        <v>18</v>
      </c>
      <c r="E688" t="s">
        <v>27</v>
      </c>
      <c r="F688">
        <v>460</v>
      </c>
      <c r="G688">
        <v>100</v>
      </c>
      <c r="H688" s="6">
        <f t="shared" si="37"/>
        <v>46</v>
      </c>
    </row>
    <row r="689" spans="1:8" hidden="1" x14ac:dyDescent="0.3">
      <c r="A689" s="9">
        <v>44997</v>
      </c>
      <c r="B689" t="s">
        <v>12</v>
      </c>
      <c r="C689" t="s">
        <v>26</v>
      </c>
      <c r="D689" t="s">
        <v>10</v>
      </c>
      <c r="E689" t="s">
        <v>23</v>
      </c>
      <c r="F689">
        <v>640</v>
      </c>
      <c r="G689">
        <v>10</v>
      </c>
      <c r="H689" s="6">
        <f t="shared" si="37"/>
        <v>6.4</v>
      </c>
    </row>
    <row r="690" spans="1:8" hidden="1" x14ac:dyDescent="0.3">
      <c r="A690" s="9">
        <v>44997</v>
      </c>
      <c r="B690" t="s">
        <v>12</v>
      </c>
      <c r="C690" t="s">
        <v>15</v>
      </c>
      <c r="D690" t="s">
        <v>10</v>
      </c>
      <c r="E690" t="s">
        <v>40</v>
      </c>
      <c r="F690">
        <v>540</v>
      </c>
      <c r="G690">
        <v>59</v>
      </c>
      <c r="H690" s="6">
        <f t="shared" si="37"/>
        <v>31.86</v>
      </c>
    </row>
    <row r="691" spans="1:8" hidden="1" x14ac:dyDescent="0.3">
      <c r="A691" s="9">
        <v>44997</v>
      </c>
      <c r="B691" t="s">
        <v>8</v>
      </c>
      <c r="C691" t="s">
        <v>15</v>
      </c>
      <c r="D691" t="s">
        <v>10</v>
      </c>
      <c r="E691" t="s">
        <v>23</v>
      </c>
      <c r="F691">
        <v>640</v>
      </c>
      <c r="G691">
        <v>18</v>
      </c>
      <c r="H691" s="6">
        <f t="shared" si="37"/>
        <v>11.52</v>
      </c>
    </row>
    <row r="692" spans="1:8" hidden="1" x14ac:dyDescent="0.3">
      <c r="A692" s="9">
        <v>44997</v>
      </c>
      <c r="B692" t="s">
        <v>45</v>
      </c>
      <c r="C692" t="s">
        <v>15</v>
      </c>
      <c r="D692" t="s">
        <v>18</v>
      </c>
      <c r="E692" t="s">
        <v>19</v>
      </c>
      <c r="F692">
        <v>325</v>
      </c>
      <c r="G692">
        <v>62</v>
      </c>
      <c r="H692" s="6">
        <f t="shared" si="37"/>
        <v>20.149999999999999</v>
      </c>
    </row>
    <row r="693" spans="1:8" hidden="1" x14ac:dyDescent="0.3">
      <c r="A693" s="9">
        <v>44997</v>
      </c>
      <c r="B693" t="s">
        <v>12</v>
      </c>
      <c r="C693" t="s">
        <v>33</v>
      </c>
      <c r="D693" t="s">
        <v>10</v>
      </c>
      <c r="E693" t="s">
        <v>41</v>
      </c>
      <c r="F693">
        <v>650</v>
      </c>
      <c r="G693">
        <v>10</v>
      </c>
      <c r="H693" s="6">
        <f t="shared" si="37"/>
        <v>6.5</v>
      </c>
    </row>
    <row r="694" spans="1:8" hidden="1" x14ac:dyDescent="0.3">
      <c r="A694" s="9">
        <v>44997</v>
      </c>
      <c r="B694" t="s">
        <v>8</v>
      </c>
      <c r="C694" t="s">
        <v>33</v>
      </c>
      <c r="D694" t="s">
        <v>10</v>
      </c>
      <c r="E694" t="s">
        <v>16</v>
      </c>
      <c r="F694">
        <v>1380</v>
      </c>
      <c r="G694">
        <v>96</v>
      </c>
      <c r="H694" s="6">
        <f t="shared" si="37"/>
        <v>132.47999999999999</v>
      </c>
    </row>
    <row r="695" spans="1:8" hidden="1" x14ac:dyDescent="0.3">
      <c r="A695" s="9">
        <v>44997</v>
      </c>
      <c r="B695" t="s">
        <v>12</v>
      </c>
      <c r="C695" t="s">
        <v>33</v>
      </c>
      <c r="D695" t="s">
        <v>18</v>
      </c>
      <c r="E695" t="s">
        <v>37</v>
      </c>
      <c r="F695">
        <v>890</v>
      </c>
      <c r="G695">
        <v>87</v>
      </c>
      <c r="H695" s="6">
        <f t="shared" si="37"/>
        <v>77.430000000000007</v>
      </c>
    </row>
    <row r="696" spans="1:8" hidden="1" x14ac:dyDescent="0.3">
      <c r="A696" s="9">
        <v>44997</v>
      </c>
      <c r="B696" t="s">
        <v>45</v>
      </c>
      <c r="C696" t="s">
        <v>33</v>
      </c>
      <c r="D696" t="s">
        <v>18</v>
      </c>
      <c r="E696" t="s">
        <v>28</v>
      </c>
      <c r="F696">
        <v>690</v>
      </c>
      <c r="G696">
        <v>20</v>
      </c>
      <c r="H696" s="6">
        <f t="shared" si="37"/>
        <v>13.8</v>
      </c>
    </row>
    <row r="697" spans="1:8" hidden="1" x14ac:dyDescent="0.3">
      <c r="A697" s="9">
        <v>44997</v>
      </c>
      <c r="B697" t="s">
        <v>45</v>
      </c>
      <c r="C697" t="s">
        <v>33</v>
      </c>
      <c r="D697" t="s">
        <v>13</v>
      </c>
      <c r="E697" t="s">
        <v>38</v>
      </c>
      <c r="F697">
        <v>2400</v>
      </c>
      <c r="G697">
        <v>86</v>
      </c>
      <c r="H697" s="6">
        <f t="shared" si="37"/>
        <v>206.4</v>
      </c>
    </row>
    <row r="698" spans="1:8" hidden="1" x14ac:dyDescent="0.3">
      <c r="A698" s="9">
        <v>44997</v>
      </c>
      <c r="B698" t="s">
        <v>45</v>
      </c>
      <c r="C698" t="s">
        <v>33</v>
      </c>
      <c r="D698" t="s">
        <v>13</v>
      </c>
      <c r="E698" t="s">
        <v>38</v>
      </c>
      <c r="F698">
        <v>2400</v>
      </c>
      <c r="G698">
        <v>25</v>
      </c>
      <c r="H698" s="6">
        <f t="shared" si="37"/>
        <v>60</v>
      </c>
    </row>
    <row r="699" spans="1:8" hidden="1" x14ac:dyDescent="0.3">
      <c r="A699" s="9">
        <v>44997</v>
      </c>
      <c r="B699" t="s">
        <v>17</v>
      </c>
      <c r="C699" t="s">
        <v>33</v>
      </c>
      <c r="D699" t="s">
        <v>24</v>
      </c>
      <c r="E699" t="s">
        <v>30</v>
      </c>
      <c r="F699">
        <v>2970</v>
      </c>
      <c r="G699">
        <v>44</v>
      </c>
      <c r="H699" s="6">
        <f t="shared" si="37"/>
        <v>130.68</v>
      </c>
    </row>
    <row r="700" spans="1:8" hidden="1" x14ac:dyDescent="0.3">
      <c r="A700" s="9">
        <v>44997</v>
      </c>
      <c r="B700" t="s">
        <v>8</v>
      </c>
      <c r="C700" t="s">
        <v>35</v>
      </c>
      <c r="D700" t="s">
        <v>18</v>
      </c>
      <c r="E700" t="s">
        <v>21</v>
      </c>
      <c r="F700">
        <v>450</v>
      </c>
      <c r="G700">
        <v>36</v>
      </c>
      <c r="H700" s="6">
        <f t="shared" si="37"/>
        <v>16.2</v>
      </c>
    </row>
    <row r="701" spans="1:8" hidden="1" x14ac:dyDescent="0.3">
      <c r="A701" s="9">
        <v>44997</v>
      </c>
      <c r="B701" t="s">
        <v>17</v>
      </c>
      <c r="C701" t="s">
        <v>35</v>
      </c>
      <c r="D701" t="s">
        <v>18</v>
      </c>
      <c r="E701" t="s">
        <v>28</v>
      </c>
      <c r="F701">
        <v>690</v>
      </c>
      <c r="G701">
        <v>81</v>
      </c>
      <c r="H701" s="6">
        <f t="shared" si="37"/>
        <v>55.89</v>
      </c>
    </row>
    <row r="702" spans="1:8" hidden="1" x14ac:dyDescent="0.3">
      <c r="A702" s="9">
        <v>44997</v>
      </c>
      <c r="B702" t="s">
        <v>45</v>
      </c>
      <c r="C702" t="s">
        <v>35</v>
      </c>
      <c r="D702" t="s">
        <v>18</v>
      </c>
      <c r="E702" t="s">
        <v>31</v>
      </c>
      <c r="F702">
        <v>715</v>
      </c>
      <c r="G702">
        <v>94</v>
      </c>
      <c r="H702" s="6">
        <f t="shared" si="37"/>
        <v>67.209999999999994</v>
      </c>
    </row>
    <row r="703" spans="1:8" hidden="1" x14ac:dyDescent="0.3">
      <c r="A703" s="9">
        <v>44997</v>
      </c>
      <c r="B703" t="s">
        <v>17</v>
      </c>
      <c r="C703" t="s">
        <v>35</v>
      </c>
      <c r="D703" t="s">
        <v>18</v>
      </c>
      <c r="E703" t="s">
        <v>19</v>
      </c>
      <c r="F703">
        <v>325</v>
      </c>
      <c r="G703">
        <v>56</v>
      </c>
      <c r="H703" s="6">
        <f t="shared" si="37"/>
        <v>18.2</v>
      </c>
    </row>
    <row r="704" spans="1:8" hidden="1" x14ac:dyDescent="0.3">
      <c r="A704" s="9">
        <v>44997</v>
      </c>
      <c r="B704" t="s">
        <v>12</v>
      </c>
      <c r="C704" t="s">
        <v>35</v>
      </c>
      <c r="D704" t="s">
        <v>24</v>
      </c>
      <c r="E704" t="s">
        <v>36</v>
      </c>
      <c r="F704">
        <v>2460</v>
      </c>
      <c r="G704">
        <v>63</v>
      </c>
      <c r="H704" s="6">
        <f t="shared" si="37"/>
        <v>154.97999999999999</v>
      </c>
    </row>
    <row r="705" spans="1:8" hidden="1" x14ac:dyDescent="0.3">
      <c r="A705" s="13" t="s">
        <v>85</v>
      </c>
      <c r="H705" s="6">
        <f>SUBTOTAL(9,H682:H704)</f>
        <v>34.44</v>
      </c>
    </row>
    <row r="706" spans="1:8" hidden="1" x14ac:dyDescent="0.3">
      <c r="A706" s="10">
        <v>44998</v>
      </c>
      <c r="B706" s="11" t="s">
        <v>17</v>
      </c>
      <c r="C706" s="11" t="s">
        <v>20</v>
      </c>
      <c r="D706" s="11" t="s">
        <v>18</v>
      </c>
      <c r="E706" s="11" t="s">
        <v>21</v>
      </c>
      <c r="F706" s="11">
        <v>450</v>
      </c>
      <c r="G706" s="11">
        <v>76</v>
      </c>
      <c r="H706" s="6">
        <f t="shared" ref="H706:H722" si="38">F706*G706/1000</f>
        <v>34.200000000000003</v>
      </c>
    </row>
    <row r="707" spans="1:8" hidden="1" x14ac:dyDescent="0.3">
      <c r="A707" s="9">
        <v>44998</v>
      </c>
      <c r="B707" t="s">
        <v>45</v>
      </c>
      <c r="C707" t="s">
        <v>20</v>
      </c>
      <c r="D707" t="s">
        <v>13</v>
      </c>
      <c r="E707" t="s">
        <v>43</v>
      </c>
      <c r="F707">
        <v>1420</v>
      </c>
      <c r="G707">
        <v>51</v>
      </c>
      <c r="H707" s="6">
        <f t="shared" si="38"/>
        <v>72.42</v>
      </c>
    </row>
    <row r="708" spans="1:8" hidden="1" x14ac:dyDescent="0.3">
      <c r="A708" s="10">
        <v>44998</v>
      </c>
      <c r="B708" s="11" t="s">
        <v>17</v>
      </c>
      <c r="C708" s="11" t="s">
        <v>20</v>
      </c>
      <c r="D708" s="11" t="s">
        <v>13</v>
      </c>
      <c r="E708" s="11" t="s">
        <v>43</v>
      </c>
      <c r="F708" s="11">
        <v>1420</v>
      </c>
      <c r="G708" s="11">
        <v>94</v>
      </c>
      <c r="H708" s="6">
        <f t="shared" si="38"/>
        <v>133.47999999999999</v>
      </c>
    </row>
    <row r="709" spans="1:8" hidden="1" x14ac:dyDescent="0.3">
      <c r="A709" s="9">
        <v>44998</v>
      </c>
      <c r="B709" t="s">
        <v>12</v>
      </c>
      <c r="C709" t="s">
        <v>20</v>
      </c>
      <c r="D709" t="s">
        <v>24</v>
      </c>
      <c r="E709" t="s">
        <v>34</v>
      </c>
      <c r="F709">
        <v>1670</v>
      </c>
      <c r="G709">
        <v>36</v>
      </c>
      <c r="H709" s="6">
        <f t="shared" si="38"/>
        <v>60.12</v>
      </c>
    </row>
    <row r="710" spans="1:8" hidden="1" x14ac:dyDescent="0.3">
      <c r="A710" s="9">
        <v>44998</v>
      </c>
      <c r="B710" t="s">
        <v>17</v>
      </c>
      <c r="C710" t="s">
        <v>9</v>
      </c>
      <c r="D710" t="s">
        <v>10</v>
      </c>
      <c r="E710" t="s">
        <v>41</v>
      </c>
      <c r="F710">
        <v>650</v>
      </c>
      <c r="G710">
        <v>38</v>
      </c>
      <c r="H710" s="6">
        <f t="shared" si="38"/>
        <v>24.7</v>
      </c>
    </row>
    <row r="711" spans="1:8" hidden="1" x14ac:dyDescent="0.3">
      <c r="A711" s="9">
        <v>44998</v>
      </c>
      <c r="B711" t="s">
        <v>17</v>
      </c>
      <c r="C711" t="s">
        <v>9</v>
      </c>
      <c r="D711" t="s">
        <v>18</v>
      </c>
      <c r="E711" t="s">
        <v>19</v>
      </c>
      <c r="F711">
        <v>325</v>
      </c>
      <c r="G711">
        <v>7</v>
      </c>
      <c r="H711" s="6">
        <f t="shared" si="38"/>
        <v>2.2749999999999999</v>
      </c>
    </row>
    <row r="712" spans="1:8" hidden="1" x14ac:dyDescent="0.3">
      <c r="A712" s="9">
        <v>44998</v>
      </c>
      <c r="B712" t="s">
        <v>8</v>
      </c>
      <c r="C712" t="s">
        <v>9</v>
      </c>
      <c r="D712" t="s">
        <v>13</v>
      </c>
      <c r="E712" t="s">
        <v>38</v>
      </c>
      <c r="F712">
        <v>2400</v>
      </c>
      <c r="G712">
        <v>31</v>
      </c>
      <c r="H712" s="6">
        <f t="shared" si="38"/>
        <v>74.400000000000006</v>
      </c>
    </row>
    <row r="713" spans="1:8" hidden="1" x14ac:dyDescent="0.3">
      <c r="A713" s="9">
        <v>44998</v>
      </c>
      <c r="B713" t="s">
        <v>8</v>
      </c>
      <c r="C713" t="s">
        <v>9</v>
      </c>
      <c r="D713" t="s">
        <v>24</v>
      </c>
      <c r="E713" t="s">
        <v>30</v>
      </c>
      <c r="F713">
        <v>2970</v>
      </c>
      <c r="G713">
        <v>27</v>
      </c>
      <c r="H713" s="6">
        <f t="shared" si="38"/>
        <v>80.19</v>
      </c>
    </row>
    <row r="714" spans="1:8" hidden="1" x14ac:dyDescent="0.3">
      <c r="A714" s="9">
        <v>44998</v>
      </c>
      <c r="B714" t="s">
        <v>17</v>
      </c>
      <c r="C714" t="s">
        <v>9</v>
      </c>
      <c r="D714" t="s">
        <v>24</v>
      </c>
      <c r="E714" t="s">
        <v>30</v>
      </c>
      <c r="F714">
        <v>2970</v>
      </c>
      <c r="G714">
        <v>62</v>
      </c>
      <c r="H714" s="6">
        <f t="shared" si="38"/>
        <v>184.14</v>
      </c>
    </row>
    <row r="715" spans="1:8" hidden="1" x14ac:dyDescent="0.3">
      <c r="A715" s="9">
        <v>44998</v>
      </c>
      <c r="B715" t="s">
        <v>8</v>
      </c>
      <c r="C715" t="s">
        <v>9</v>
      </c>
      <c r="D715" t="s">
        <v>24</v>
      </c>
      <c r="E715" t="s">
        <v>30</v>
      </c>
      <c r="F715">
        <v>2970</v>
      </c>
      <c r="G715">
        <v>12</v>
      </c>
      <c r="H715" s="6">
        <f t="shared" si="38"/>
        <v>35.64</v>
      </c>
    </row>
    <row r="716" spans="1:8" hidden="1" x14ac:dyDescent="0.3">
      <c r="A716" s="9">
        <v>44998</v>
      </c>
      <c r="B716" t="s">
        <v>45</v>
      </c>
      <c r="C716" t="s">
        <v>26</v>
      </c>
      <c r="D716" t="s">
        <v>18</v>
      </c>
      <c r="E716" t="s">
        <v>37</v>
      </c>
      <c r="F716">
        <v>890</v>
      </c>
      <c r="G716">
        <v>70</v>
      </c>
      <c r="H716" s="6">
        <f t="shared" si="38"/>
        <v>62.3</v>
      </c>
    </row>
    <row r="717" spans="1:8" hidden="1" x14ac:dyDescent="0.3">
      <c r="A717" s="9">
        <v>44998</v>
      </c>
      <c r="B717" t="s">
        <v>8</v>
      </c>
      <c r="C717" t="s">
        <v>26</v>
      </c>
      <c r="D717" t="s">
        <v>24</v>
      </c>
      <c r="E717" t="s">
        <v>30</v>
      </c>
      <c r="F717">
        <v>2970</v>
      </c>
      <c r="G717">
        <v>31</v>
      </c>
      <c r="H717" s="6">
        <f t="shared" si="38"/>
        <v>92.07</v>
      </c>
    </row>
    <row r="718" spans="1:8" hidden="1" x14ac:dyDescent="0.3">
      <c r="A718" s="9">
        <v>44998</v>
      </c>
      <c r="B718" t="s">
        <v>17</v>
      </c>
      <c r="C718" t="s">
        <v>26</v>
      </c>
      <c r="D718" t="s">
        <v>24</v>
      </c>
      <c r="E718" t="s">
        <v>30</v>
      </c>
      <c r="F718">
        <v>2970</v>
      </c>
      <c r="G718">
        <v>42</v>
      </c>
      <c r="H718" s="6">
        <f t="shared" si="38"/>
        <v>124.74</v>
      </c>
    </row>
    <row r="719" spans="1:8" x14ac:dyDescent="0.3">
      <c r="A719" s="9">
        <v>44998</v>
      </c>
      <c r="B719" t="s">
        <v>45</v>
      </c>
      <c r="C719" t="s">
        <v>15</v>
      </c>
      <c r="D719" t="s">
        <v>13</v>
      </c>
      <c r="E719" t="s">
        <v>29</v>
      </c>
      <c r="F719">
        <v>1230</v>
      </c>
      <c r="G719">
        <v>32</v>
      </c>
      <c r="H719" s="6">
        <f t="shared" si="38"/>
        <v>39.36</v>
      </c>
    </row>
    <row r="720" spans="1:8" hidden="1" x14ac:dyDescent="0.3">
      <c r="A720" s="9">
        <v>44998</v>
      </c>
      <c r="B720" t="s">
        <v>45</v>
      </c>
      <c r="C720" t="s">
        <v>33</v>
      </c>
      <c r="D720" t="s">
        <v>10</v>
      </c>
      <c r="E720" t="s">
        <v>23</v>
      </c>
      <c r="F720">
        <v>640</v>
      </c>
      <c r="G720">
        <v>46</v>
      </c>
      <c r="H720" s="6">
        <f t="shared" si="38"/>
        <v>29.44</v>
      </c>
    </row>
    <row r="721" spans="1:8" hidden="1" x14ac:dyDescent="0.3">
      <c r="A721" s="9">
        <v>44998</v>
      </c>
      <c r="B721" t="s">
        <v>12</v>
      </c>
      <c r="C721" t="s">
        <v>35</v>
      </c>
      <c r="D721" t="s">
        <v>10</v>
      </c>
      <c r="E721" t="s">
        <v>16</v>
      </c>
      <c r="F721">
        <v>1380</v>
      </c>
      <c r="G721">
        <v>90</v>
      </c>
      <c r="H721" s="6">
        <f t="shared" si="38"/>
        <v>124.2</v>
      </c>
    </row>
    <row r="722" spans="1:8" hidden="1" x14ac:dyDescent="0.3">
      <c r="A722" s="9">
        <v>44998</v>
      </c>
      <c r="B722" t="s">
        <v>17</v>
      </c>
      <c r="C722" t="s">
        <v>35</v>
      </c>
      <c r="D722" t="s">
        <v>18</v>
      </c>
      <c r="E722" t="s">
        <v>28</v>
      </c>
      <c r="F722">
        <v>690</v>
      </c>
      <c r="G722">
        <v>49</v>
      </c>
      <c r="H722" s="6">
        <f t="shared" si="38"/>
        <v>33.81</v>
      </c>
    </row>
    <row r="723" spans="1:8" hidden="1" x14ac:dyDescent="0.3">
      <c r="A723" s="13" t="s">
        <v>86</v>
      </c>
      <c r="H723" s="6">
        <f>SUBTOTAL(9,H706:H722)</f>
        <v>39.36</v>
      </c>
    </row>
    <row r="724" spans="1:8" hidden="1" x14ac:dyDescent="0.3">
      <c r="A724" s="10">
        <v>44999</v>
      </c>
      <c r="B724" s="11" t="s">
        <v>8</v>
      </c>
      <c r="C724" s="11" t="s">
        <v>20</v>
      </c>
      <c r="D724" s="11" t="s">
        <v>10</v>
      </c>
      <c r="E724" s="11" t="s">
        <v>40</v>
      </c>
      <c r="F724" s="11">
        <v>540</v>
      </c>
      <c r="G724" s="11">
        <v>34</v>
      </c>
      <c r="H724" s="6">
        <f t="shared" ref="H724:H734" si="39">F724*G724/1000</f>
        <v>18.36</v>
      </c>
    </row>
    <row r="725" spans="1:8" hidden="1" x14ac:dyDescent="0.3">
      <c r="A725" s="9">
        <v>44999</v>
      </c>
      <c r="B725" t="s">
        <v>17</v>
      </c>
      <c r="C725" t="s">
        <v>9</v>
      </c>
      <c r="D725" t="s">
        <v>13</v>
      </c>
      <c r="E725" t="s">
        <v>22</v>
      </c>
      <c r="F725">
        <v>930</v>
      </c>
      <c r="G725">
        <v>8</v>
      </c>
      <c r="H725" s="6">
        <f t="shared" si="39"/>
        <v>7.44</v>
      </c>
    </row>
    <row r="726" spans="1:8" hidden="1" x14ac:dyDescent="0.3">
      <c r="A726" s="9">
        <v>44999</v>
      </c>
      <c r="B726" t="s">
        <v>8</v>
      </c>
      <c r="C726" t="s">
        <v>9</v>
      </c>
      <c r="D726" t="s">
        <v>24</v>
      </c>
      <c r="E726" t="s">
        <v>32</v>
      </c>
      <c r="F726">
        <v>1505</v>
      </c>
      <c r="G726">
        <v>84</v>
      </c>
      <c r="H726" s="6">
        <f t="shared" si="39"/>
        <v>126.42</v>
      </c>
    </row>
    <row r="727" spans="1:8" hidden="1" x14ac:dyDescent="0.3">
      <c r="A727" s="9">
        <v>44999</v>
      </c>
      <c r="B727" t="s">
        <v>17</v>
      </c>
      <c r="C727" t="s">
        <v>26</v>
      </c>
      <c r="D727" t="s">
        <v>10</v>
      </c>
      <c r="E727" t="s">
        <v>11</v>
      </c>
      <c r="F727">
        <v>705</v>
      </c>
      <c r="G727">
        <v>86</v>
      </c>
      <c r="H727" s="6">
        <f t="shared" si="39"/>
        <v>60.63</v>
      </c>
    </row>
    <row r="728" spans="1:8" hidden="1" x14ac:dyDescent="0.3">
      <c r="A728" s="9">
        <v>44999</v>
      </c>
      <c r="B728" t="s">
        <v>8</v>
      </c>
      <c r="C728" t="s">
        <v>26</v>
      </c>
      <c r="D728" t="s">
        <v>18</v>
      </c>
      <c r="E728" t="s">
        <v>27</v>
      </c>
      <c r="F728">
        <v>460</v>
      </c>
      <c r="G728">
        <v>44</v>
      </c>
      <c r="H728" s="6">
        <f t="shared" si="39"/>
        <v>20.239999999999998</v>
      </c>
    </row>
    <row r="729" spans="1:8" hidden="1" x14ac:dyDescent="0.3">
      <c r="A729" s="9">
        <v>44999</v>
      </c>
      <c r="B729" t="s">
        <v>17</v>
      </c>
      <c r="C729" t="s">
        <v>26</v>
      </c>
      <c r="D729" t="s">
        <v>18</v>
      </c>
      <c r="E729" t="s">
        <v>21</v>
      </c>
      <c r="F729">
        <v>450</v>
      </c>
      <c r="G729">
        <v>85</v>
      </c>
      <c r="H729" s="6">
        <f t="shared" si="39"/>
        <v>38.25</v>
      </c>
    </row>
    <row r="730" spans="1:8" hidden="1" x14ac:dyDescent="0.3">
      <c r="A730" s="9">
        <v>44999</v>
      </c>
      <c r="B730" t="s">
        <v>12</v>
      </c>
      <c r="C730" t="s">
        <v>26</v>
      </c>
      <c r="D730" t="s">
        <v>13</v>
      </c>
      <c r="E730" t="s">
        <v>38</v>
      </c>
      <c r="F730">
        <v>2400</v>
      </c>
      <c r="G730">
        <v>81</v>
      </c>
      <c r="H730" s="6">
        <f t="shared" si="39"/>
        <v>194.4</v>
      </c>
    </row>
    <row r="731" spans="1:8" hidden="1" x14ac:dyDescent="0.3">
      <c r="A731" s="9">
        <v>44999</v>
      </c>
      <c r="B731" t="s">
        <v>12</v>
      </c>
      <c r="C731" t="s">
        <v>15</v>
      </c>
      <c r="D731" t="s">
        <v>10</v>
      </c>
      <c r="E731" t="s">
        <v>40</v>
      </c>
      <c r="F731">
        <v>540</v>
      </c>
      <c r="G731">
        <v>45</v>
      </c>
      <c r="H731" s="6">
        <f t="shared" si="39"/>
        <v>24.3</v>
      </c>
    </row>
    <row r="732" spans="1:8" hidden="1" x14ac:dyDescent="0.3">
      <c r="A732" s="9">
        <v>44999</v>
      </c>
      <c r="B732" t="s">
        <v>12</v>
      </c>
      <c r="C732" t="s">
        <v>15</v>
      </c>
      <c r="D732" t="s">
        <v>13</v>
      </c>
      <c r="E732" t="s">
        <v>29</v>
      </c>
      <c r="F732">
        <v>1230</v>
      </c>
      <c r="G732">
        <v>13</v>
      </c>
      <c r="H732" s="6">
        <f t="shared" si="39"/>
        <v>15.99</v>
      </c>
    </row>
    <row r="733" spans="1:8" hidden="1" x14ac:dyDescent="0.3">
      <c r="A733" s="9">
        <v>44999</v>
      </c>
      <c r="B733" t="s">
        <v>45</v>
      </c>
      <c r="C733" t="s">
        <v>33</v>
      </c>
      <c r="D733" t="s">
        <v>24</v>
      </c>
      <c r="E733" t="s">
        <v>32</v>
      </c>
      <c r="F733">
        <v>1505</v>
      </c>
      <c r="G733">
        <v>70</v>
      </c>
      <c r="H733" s="6">
        <f t="shared" si="39"/>
        <v>105.35</v>
      </c>
    </row>
    <row r="734" spans="1:8" hidden="1" x14ac:dyDescent="0.3">
      <c r="A734" s="9">
        <v>44999</v>
      </c>
      <c r="B734" t="s">
        <v>45</v>
      </c>
      <c r="C734" t="s">
        <v>35</v>
      </c>
      <c r="D734" t="s">
        <v>24</v>
      </c>
      <c r="E734" t="s">
        <v>32</v>
      </c>
      <c r="F734">
        <v>1505</v>
      </c>
      <c r="G734">
        <v>75</v>
      </c>
      <c r="H734" s="6">
        <f t="shared" si="39"/>
        <v>112.875</v>
      </c>
    </row>
    <row r="735" spans="1:8" hidden="1" x14ac:dyDescent="0.3">
      <c r="A735" s="13" t="s">
        <v>87</v>
      </c>
      <c r="H735" s="6">
        <f>SUBTOTAL(9,H724:H734)</f>
        <v>0</v>
      </c>
    </row>
    <row r="736" spans="1:8" hidden="1" x14ac:dyDescent="0.3">
      <c r="A736" s="9">
        <v>45000</v>
      </c>
      <c r="B736" t="s">
        <v>8</v>
      </c>
      <c r="C736" t="s">
        <v>20</v>
      </c>
      <c r="D736" t="s">
        <v>18</v>
      </c>
      <c r="E736" t="s">
        <v>37</v>
      </c>
      <c r="F736">
        <v>890</v>
      </c>
      <c r="G736">
        <v>48</v>
      </c>
      <c r="H736" s="6">
        <f t="shared" ref="H736:H743" si="40">F736*G736/1000</f>
        <v>42.72</v>
      </c>
    </row>
    <row r="737" spans="1:8" hidden="1" x14ac:dyDescent="0.3">
      <c r="A737" s="10">
        <v>45000</v>
      </c>
      <c r="B737" s="11" t="s">
        <v>45</v>
      </c>
      <c r="C737" s="11" t="s">
        <v>20</v>
      </c>
      <c r="D737" s="11" t="s">
        <v>18</v>
      </c>
      <c r="E737" s="11" t="s">
        <v>37</v>
      </c>
      <c r="F737" s="11">
        <v>890</v>
      </c>
      <c r="G737" s="11">
        <v>92</v>
      </c>
      <c r="H737" s="6">
        <f t="shared" si="40"/>
        <v>81.88</v>
      </c>
    </row>
    <row r="738" spans="1:8" hidden="1" x14ac:dyDescent="0.3">
      <c r="A738" s="9">
        <v>45000</v>
      </c>
      <c r="B738" t="s">
        <v>17</v>
      </c>
      <c r="C738" t="s">
        <v>20</v>
      </c>
      <c r="D738" t="s">
        <v>13</v>
      </c>
      <c r="E738" t="s">
        <v>29</v>
      </c>
      <c r="F738">
        <v>1230</v>
      </c>
      <c r="G738">
        <v>73</v>
      </c>
      <c r="H738" s="6">
        <f t="shared" si="40"/>
        <v>89.79</v>
      </c>
    </row>
    <row r="739" spans="1:8" hidden="1" x14ac:dyDescent="0.3">
      <c r="A739" s="9">
        <v>45000</v>
      </c>
      <c r="B739" t="s">
        <v>12</v>
      </c>
      <c r="C739" t="s">
        <v>9</v>
      </c>
      <c r="D739" t="s">
        <v>13</v>
      </c>
      <c r="E739" t="s">
        <v>14</v>
      </c>
      <c r="F739">
        <v>1320</v>
      </c>
      <c r="G739">
        <v>28</v>
      </c>
      <c r="H739" s="6">
        <f t="shared" si="40"/>
        <v>36.96</v>
      </c>
    </row>
    <row r="740" spans="1:8" hidden="1" x14ac:dyDescent="0.3">
      <c r="A740" s="9">
        <v>45000</v>
      </c>
      <c r="B740" t="s">
        <v>8</v>
      </c>
      <c r="C740" t="s">
        <v>9</v>
      </c>
      <c r="D740" t="s">
        <v>24</v>
      </c>
      <c r="E740" t="s">
        <v>30</v>
      </c>
      <c r="F740">
        <v>2970</v>
      </c>
      <c r="G740">
        <v>59</v>
      </c>
      <c r="H740" s="6">
        <f t="shared" si="40"/>
        <v>175.23</v>
      </c>
    </row>
    <row r="741" spans="1:8" hidden="1" x14ac:dyDescent="0.3">
      <c r="A741" s="9">
        <v>45000</v>
      </c>
      <c r="B741" t="s">
        <v>45</v>
      </c>
      <c r="C741" t="s">
        <v>26</v>
      </c>
      <c r="D741" t="s">
        <v>18</v>
      </c>
      <c r="E741" t="s">
        <v>37</v>
      </c>
      <c r="F741">
        <v>890</v>
      </c>
      <c r="G741">
        <v>73</v>
      </c>
      <c r="H741" s="6">
        <f t="shared" si="40"/>
        <v>64.97</v>
      </c>
    </row>
    <row r="742" spans="1:8" hidden="1" x14ac:dyDescent="0.3">
      <c r="A742" s="9">
        <v>45000</v>
      </c>
      <c r="B742" t="s">
        <v>8</v>
      </c>
      <c r="C742" t="s">
        <v>26</v>
      </c>
      <c r="D742" t="s">
        <v>24</v>
      </c>
      <c r="E742" t="s">
        <v>36</v>
      </c>
      <c r="F742">
        <v>2460</v>
      </c>
      <c r="G742">
        <v>12</v>
      </c>
      <c r="H742" s="6">
        <f t="shared" si="40"/>
        <v>29.52</v>
      </c>
    </row>
    <row r="743" spans="1:8" hidden="1" x14ac:dyDescent="0.3">
      <c r="A743" s="9">
        <v>45000</v>
      </c>
      <c r="B743" t="s">
        <v>8</v>
      </c>
      <c r="C743" t="s">
        <v>15</v>
      </c>
      <c r="D743" t="s">
        <v>18</v>
      </c>
      <c r="E743" t="s">
        <v>31</v>
      </c>
      <c r="F743">
        <v>715</v>
      </c>
      <c r="G743">
        <v>51</v>
      </c>
      <c r="H743" s="6">
        <f t="shared" si="40"/>
        <v>36.465000000000003</v>
      </c>
    </row>
    <row r="744" spans="1:8" hidden="1" x14ac:dyDescent="0.3">
      <c r="A744" s="13" t="s">
        <v>88</v>
      </c>
      <c r="H744" s="6">
        <f>SUBTOTAL(9,H736:H743)</f>
        <v>0</v>
      </c>
    </row>
    <row r="745" spans="1:8" hidden="1" x14ac:dyDescent="0.3">
      <c r="A745" s="10">
        <v>45001</v>
      </c>
      <c r="B745" s="11" t="s">
        <v>8</v>
      </c>
      <c r="C745" s="11" t="s">
        <v>20</v>
      </c>
      <c r="D745" s="11" t="s">
        <v>10</v>
      </c>
      <c r="E745" s="11" t="s">
        <v>16</v>
      </c>
      <c r="F745" s="11">
        <v>1380</v>
      </c>
      <c r="G745" s="11">
        <v>74</v>
      </c>
      <c r="H745" s="6">
        <f t="shared" ref="H745:H754" si="41">F745*G745/1000</f>
        <v>102.12</v>
      </c>
    </row>
    <row r="746" spans="1:8" hidden="1" x14ac:dyDescent="0.3">
      <c r="A746" s="9">
        <v>45001</v>
      </c>
      <c r="B746" t="s">
        <v>45</v>
      </c>
      <c r="C746" t="s">
        <v>20</v>
      </c>
      <c r="D746" t="s">
        <v>24</v>
      </c>
      <c r="E746" t="s">
        <v>30</v>
      </c>
      <c r="F746">
        <v>2970</v>
      </c>
      <c r="G746">
        <v>13</v>
      </c>
      <c r="H746" s="6">
        <f t="shared" si="41"/>
        <v>38.61</v>
      </c>
    </row>
    <row r="747" spans="1:8" hidden="1" x14ac:dyDescent="0.3">
      <c r="A747" s="9">
        <v>45001</v>
      </c>
      <c r="B747" t="s">
        <v>45</v>
      </c>
      <c r="C747" t="s">
        <v>9</v>
      </c>
      <c r="D747" t="s">
        <v>18</v>
      </c>
      <c r="E747" t="s">
        <v>37</v>
      </c>
      <c r="F747">
        <v>890</v>
      </c>
      <c r="G747">
        <v>100</v>
      </c>
      <c r="H747" s="6">
        <f t="shared" si="41"/>
        <v>89</v>
      </c>
    </row>
    <row r="748" spans="1:8" hidden="1" x14ac:dyDescent="0.3">
      <c r="A748" s="9">
        <v>45001</v>
      </c>
      <c r="B748" t="s">
        <v>8</v>
      </c>
      <c r="C748" t="s">
        <v>9</v>
      </c>
      <c r="D748" t="s">
        <v>24</v>
      </c>
      <c r="E748" t="s">
        <v>25</v>
      </c>
      <c r="F748">
        <v>1760</v>
      </c>
      <c r="G748">
        <v>21</v>
      </c>
      <c r="H748" s="6">
        <f t="shared" si="41"/>
        <v>36.96</v>
      </c>
    </row>
    <row r="749" spans="1:8" hidden="1" x14ac:dyDescent="0.3">
      <c r="A749" s="9">
        <v>45001</v>
      </c>
      <c r="B749" t="s">
        <v>12</v>
      </c>
      <c r="C749" t="s">
        <v>26</v>
      </c>
      <c r="D749" t="s">
        <v>24</v>
      </c>
      <c r="E749" t="s">
        <v>30</v>
      </c>
      <c r="F749">
        <v>2970</v>
      </c>
      <c r="G749">
        <v>7</v>
      </c>
      <c r="H749" s="6">
        <f t="shared" si="41"/>
        <v>20.79</v>
      </c>
    </row>
    <row r="750" spans="1:8" hidden="1" x14ac:dyDescent="0.3">
      <c r="A750" s="9">
        <v>45001</v>
      </c>
      <c r="B750" t="s">
        <v>12</v>
      </c>
      <c r="C750" t="s">
        <v>15</v>
      </c>
      <c r="D750" t="s">
        <v>13</v>
      </c>
      <c r="E750" t="s">
        <v>38</v>
      </c>
      <c r="F750">
        <v>2400</v>
      </c>
      <c r="G750">
        <v>24</v>
      </c>
      <c r="H750" s="6">
        <f t="shared" si="41"/>
        <v>57.6</v>
      </c>
    </row>
    <row r="751" spans="1:8" hidden="1" x14ac:dyDescent="0.3">
      <c r="A751" s="9">
        <v>45001</v>
      </c>
      <c r="B751" t="s">
        <v>45</v>
      </c>
      <c r="C751" t="s">
        <v>15</v>
      </c>
      <c r="D751" t="s">
        <v>24</v>
      </c>
      <c r="E751" t="s">
        <v>30</v>
      </c>
      <c r="F751">
        <v>2970</v>
      </c>
      <c r="G751">
        <v>89</v>
      </c>
      <c r="H751" s="6">
        <f t="shared" si="41"/>
        <v>264.33</v>
      </c>
    </row>
    <row r="752" spans="1:8" hidden="1" x14ac:dyDescent="0.3">
      <c r="A752" s="9">
        <v>45001</v>
      </c>
      <c r="B752" t="s">
        <v>45</v>
      </c>
      <c r="C752" t="s">
        <v>33</v>
      </c>
      <c r="D752" t="s">
        <v>10</v>
      </c>
      <c r="E752" t="s">
        <v>40</v>
      </c>
      <c r="F752">
        <v>540</v>
      </c>
      <c r="G752">
        <v>89</v>
      </c>
      <c r="H752" s="6">
        <f t="shared" si="41"/>
        <v>48.06</v>
      </c>
    </row>
    <row r="753" spans="1:8" hidden="1" x14ac:dyDescent="0.3">
      <c r="A753" s="9">
        <v>45001</v>
      </c>
      <c r="B753" t="s">
        <v>8</v>
      </c>
      <c r="C753" t="s">
        <v>35</v>
      </c>
      <c r="D753" t="s">
        <v>18</v>
      </c>
      <c r="E753" t="s">
        <v>31</v>
      </c>
      <c r="F753">
        <v>715</v>
      </c>
      <c r="G753">
        <v>79</v>
      </c>
      <c r="H753" s="6">
        <f t="shared" si="41"/>
        <v>56.484999999999999</v>
      </c>
    </row>
    <row r="754" spans="1:8" hidden="1" x14ac:dyDescent="0.3">
      <c r="A754" s="9">
        <v>45001</v>
      </c>
      <c r="B754" t="s">
        <v>45</v>
      </c>
      <c r="C754" t="s">
        <v>35</v>
      </c>
      <c r="D754" t="s">
        <v>24</v>
      </c>
      <c r="E754" t="s">
        <v>42</v>
      </c>
      <c r="F754">
        <v>3205</v>
      </c>
      <c r="G754">
        <v>17</v>
      </c>
      <c r="H754" s="6">
        <f t="shared" si="41"/>
        <v>54.484999999999999</v>
      </c>
    </row>
    <row r="755" spans="1:8" hidden="1" x14ac:dyDescent="0.3">
      <c r="A755" s="13" t="s">
        <v>89</v>
      </c>
      <c r="H755" s="6">
        <f>SUBTOTAL(9,H745:H754)</f>
        <v>0</v>
      </c>
    </row>
    <row r="756" spans="1:8" hidden="1" x14ac:dyDescent="0.3">
      <c r="A756" s="10">
        <v>45002</v>
      </c>
      <c r="B756" s="11" t="s">
        <v>12</v>
      </c>
      <c r="C756" s="11" t="s">
        <v>20</v>
      </c>
      <c r="D756" s="11" t="s">
        <v>10</v>
      </c>
      <c r="E756" s="11" t="s">
        <v>40</v>
      </c>
      <c r="F756" s="11">
        <v>540</v>
      </c>
      <c r="G756" s="11">
        <v>89</v>
      </c>
      <c r="H756" s="6">
        <f t="shared" ref="H756:H765" si="42">F756*G756/1000</f>
        <v>48.06</v>
      </c>
    </row>
    <row r="757" spans="1:8" hidden="1" x14ac:dyDescent="0.3">
      <c r="A757" s="9">
        <v>45002</v>
      </c>
      <c r="B757" t="s">
        <v>17</v>
      </c>
      <c r="C757" t="s">
        <v>20</v>
      </c>
      <c r="D757" t="s">
        <v>18</v>
      </c>
      <c r="E757" t="s">
        <v>28</v>
      </c>
      <c r="F757">
        <v>690</v>
      </c>
      <c r="G757">
        <v>46</v>
      </c>
      <c r="H757" s="6">
        <f t="shared" si="42"/>
        <v>31.74</v>
      </c>
    </row>
    <row r="758" spans="1:8" hidden="1" x14ac:dyDescent="0.3">
      <c r="A758" s="10">
        <v>45002</v>
      </c>
      <c r="B758" s="11" t="s">
        <v>12</v>
      </c>
      <c r="C758" s="11" t="s">
        <v>20</v>
      </c>
      <c r="D758" s="11" t="s">
        <v>18</v>
      </c>
      <c r="E758" s="11" t="s">
        <v>19</v>
      </c>
      <c r="F758" s="11">
        <v>325</v>
      </c>
      <c r="G758" s="11">
        <v>5</v>
      </c>
      <c r="H758" s="6">
        <f t="shared" si="42"/>
        <v>1.625</v>
      </c>
    </row>
    <row r="759" spans="1:8" hidden="1" x14ac:dyDescent="0.3">
      <c r="A759" s="9">
        <v>45002</v>
      </c>
      <c r="B759" t="s">
        <v>12</v>
      </c>
      <c r="C759" t="s">
        <v>20</v>
      </c>
      <c r="D759" t="s">
        <v>18</v>
      </c>
      <c r="E759" t="s">
        <v>21</v>
      </c>
      <c r="F759">
        <v>450</v>
      </c>
      <c r="G759">
        <v>33</v>
      </c>
      <c r="H759" s="6">
        <f t="shared" si="42"/>
        <v>14.85</v>
      </c>
    </row>
    <row r="760" spans="1:8" hidden="1" x14ac:dyDescent="0.3">
      <c r="A760" s="9">
        <v>45002</v>
      </c>
      <c r="B760" t="s">
        <v>17</v>
      </c>
      <c r="C760" t="s">
        <v>9</v>
      </c>
      <c r="D760" t="s">
        <v>13</v>
      </c>
      <c r="E760" t="s">
        <v>29</v>
      </c>
      <c r="F760">
        <v>1230</v>
      </c>
      <c r="G760">
        <v>58</v>
      </c>
      <c r="H760" s="6">
        <f t="shared" si="42"/>
        <v>71.34</v>
      </c>
    </row>
    <row r="761" spans="1:8" hidden="1" x14ac:dyDescent="0.3">
      <c r="A761" s="9">
        <v>45002</v>
      </c>
      <c r="B761" t="s">
        <v>8</v>
      </c>
      <c r="C761" t="s">
        <v>26</v>
      </c>
      <c r="D761" t="s">
        <v>10</v>
      </c>
      <c r="E761" t="s">
        <v>41</v>
      </c>
      <c r="F761">
        <v>650</v>
      </c>
      <c r="G761">
        <v>87</v>
      </c>
      <c r="H761" s="6">
        <f t="shared" si="42"/>
        <v>56.55</v>
      </c>
    </row>
    <row r="762" spans="1:8" hidden="1" x14ac:dyDescent="0.3">
      <c r="A762" s="9">
        <v>45002</v>
      </c>
      <c r="B762" t="s">
        <v>8</v>
      </c>
      <c r="C762" t="s">
        <v>26</v>
      </c>
      <c r="D762" t="s">
        <v>18</v>
      </c>
      <c r="E762" t="s">
        <v>31</v>
      </c>
      <c r="F762">
        <v>715</v>
      </c>
      <c r="G762">
        <v>31</v>
      </c>
      <c r="H762" s="6">
        <f t="shared" si="42"/>
        <v>22.164999999999999</v>
      </c>
    </row>
    <row r="763" spans="1:8" hidden="1" x14ac:dyDescent="0.3">
      <c r="A763" s="9">
        <v>45002</v>
      </c>
      <c r="B763" t="s">
        <v>17</v>
      </c>
      <c r="C763" t="s">
        <v>15</v>
      </c>
      <c r="D763" t="s">
        <v>10</v>
      </c>
      <c r="E763" t="s">
        <v>41</v>
      </c>
      <c r="F763">
        <v>650</v>
      </c>
      <c r="G763">
        <v>48</v>
      </c>
      <c r="H763" s="6">
        <f t="shared" si="42"/>
        <v>31.2</v>
      </c>
    </row>
    <row r="764" spans="1:8" hidden="1" x14ac:dyDescent="0.3">
      <c r="A764" s="9">
        <v>45002</v>
      </c>
      <c r="B764" t="s">
        <v>45</v>
      </c>
      <c r="C764" t="s">
        <v>15</v>
      </c>
      <c r="D764" t="s">
        <v>10</v>
      </c>
      <c r="E764" t="s">
        <v>39</v>
      </c>
      <c r="F764">
        <v>650</v>
      </c>
      <c r="G764">
        <v>13</v>
      </c>
      <c r="H764" s="6">
        <f t="shared" si="42"/>
        <v>8.4499999999999993</v>
      </c>
    </row>
    <row r="765" spans="1:8" hidden="1" x14ac:dyDescent="0.3">
      <c r="A765" s="9">
        <v>45002</v>
      </c>
      <c r="B765" t="s">
        <v>45</v>
      </c>
      <c r="C765" t="s">
        <v>35</v>
      </c>
      <c r="D765" t="s">
        <v>10</v>
      </c>
      <c r="E765" t="s">
        <v>16</v>
      </c>
      <c r="F765">
        <v>1380</v>
      </c>
      <c r="G765">
        <v>31</v>
      </c>
      <c r="H765" s="6">
        <f t="shared" si="42"/>
        <v>42.78</v>
      </c>
    </row>
    <row r="766" spans="1:8" hidden="1" x14ac:dyDescent="0.3">
      <c r="A766" s="13" t="s">
        <v>90</v>
      </c>
      <c r="H766" s="6">
        <f>SUBTOTAL(9,H756:H765)</f>
        <v>0</v>
      </c>
    </row>
    <row r="767" spans="1:8" hidden="1" x14ac:dyDescent="0.3">
      <c r="A767" s="9">
        <v>45003</v>
      </c>
      <c r="B767" t="s">
        <v>17</v>
      </c>
      <c r="C767" t="s">
        <v>9</v>
      </c>
      <c r="D767" t="s">
        <v>24</v>
      </c>
      <c r="E767" t="s">
        <v>32</v>
      </c>
      <c r="F767">
        <v>1505</v>
      </c>
      <c r="G767">
        <v>56</v>
      </c>
      <c r="H767" s="6">
        <f t="shared" ref="H767:H778" si="43">F767*G767/1000</f>
        <v>84.28</v>
      </c>
    </row>
    <row r="768" spans="1:8" hidden="1" x14ac:dyDescent="0.3">
      <c r="A768" s="9">
        <v>45003</v>
      </c>
      <c r="B768" t="s">
        <v>8</v>
      </c>
      <c r="C768" t="s">
        <v>26</v>
      </c>
      <c r="D768" t="s">
        <v>10</v>
      </c>
      <c r="E768" t="s">
        <v>16</v>
      </c>
      <c r="F768">
        <v>1380</v>
      </c>
      <c r="G768">
        <v>58</v>
      </c>
      <c r="H768" s="6">
        <f t="shared" si="43"/>
        <v>80.040000000000006</v>
      </c>
    </row>
    <row r="769" spans="1:8" hidden="1" x14ac:dyDescent="0.3">
      <c r="A769" s="9">
        <v>45003</v>
      </c>
      <c r="B769" t="s">
        <v>8</v>
      </c>
      <c r="C769" t="s">
        <v>26</v>
      </c>
      <c r="D769" t="s">
        <v>10</v>
      </c>
      <c r="E769" t="s">
        <v>41</v>
      </c>
      <c r="F769">
        <v>650</v>
      </c>
      <c r="G769">
        <v>26</v>
      </c>
      <c r="H769" s="6">
        <f t="shared" si="43"/>
        <v>16.899999999999999</v>
      </c>
    </row>
    <row r="770" spans="1:8" hidden="1" x14ac:dyDescent="0.3">
      <c r="A770" s="9">
        <v>45003</v>
      </c>
      <c r="B770" t="s">
        <v>12</v>
      </c>
      <c r="C770" t="s">
        <v>26</v>
      </c>
      <c r="D770" t="s">
        <v>18</v>
      </c>
      <c r="E770" t="s">
        <v>21</v>
      </c>
      <c r="F770">
        <v>450</v>
      </c>
      <c r="G770">
        <v>58</v>
      </c>
      <c r="H770" s="6">
        <f t="shared" si="43"/>
        <v>26.1</v>
      </c>
    </row>
    <row r="771" spans="1:8" hidden="1" x14ac:dyDescent="0.3">
      <c r="A771" s="9">
        <v>45003</v>
      </c>
      <c r="B771" t="s">
        <v>8</v>
      </c>
      <c r="C771" t="s">
        <v>15</v>
      </c>
      <c r="D771" t="s">
        <v>18</v>
      </c>
      <c r="E771" t="s">
        <v>28</v>
      </c>
      <c r="F771">
        <v>690</v>
      </c>
      <c r="G771">
        <v>69</v>
      </c>
      <c r="H771" s="6">
        <f t="shared" si="43"/>
        <v>47.61</v>
      </c>
    </row>
    <row r="772" spans="1:8" hidden="1" x14ac:dyDescent="0.3">
      <c r="A772" s="9">
        <v>45003</v>
      </c>
      <c r="B772" t="s">
        <v>12</v>
      </c>
      <c r="C772" t="s">
        <v>15</v>
      </c>
      <c r="D772" t="s">
        <v>13</v>
      </c>
      <c r="E772" t="s">
        <v>29</v>
      </c>
      <c r="F772">
        <v>1230</v>
      </c>
      <c r="G772">
        <v>60</v>
      </c>
      <c r="H772" s="6">
        <f t="shared" si="43"/>
        <v>73.8</v>
      </c>
    </row>
    <row r="773" spans="1:8" hidden="1" x14ac:dyDescent="0.3">
      <c r="A773" s="9">
        <v>45003</v>
      </c>
      <c r="B773" t="s">
        <v>45</v>
      </c>
      <c r="C773" t="s">
        <v>15</v>
      </c>
      <c r="D773" t="s">
        <v>13</v>
      </c>
      <c r="E773" t="s">
        <v>22</v>
      </c>
      <c r="F773">
        <v>930</v>
      </c>
      <c r="G773">
        <v>6</v>
      </c>
      <c r="H773" s="6">
        <f t="shared" si="43"/>
        <v>5.58</v>
      </c>
    </row>
    <row r="774" spans="1:8" hidden="1" x14ac:dyDescent="0.3">
      <c r="A774" s="9">
        <v>45003</v>
      </c>
      <c r="B774" t="s">
        <v>12</v>
      </c>
      <c r="C774" t="s">
        <v>15</v>
      </c>
      <c r="D774" t="s">
        <v>13</v>
      </c>
      <c r="E774" t="s">
        <v>44</v>
      </c>
      <c r="F774">
        <v>2540</v>
      </c>
      <c r="G774">
        <v>13</v>
      </c>
      <c r="H774" s="6">
        <f t="shared" si="43"/>
        <v>33.020000000000003</v>
      </c>
    </row>
    <row r="775" spans="1:8" hidden="1" x14ac:dyDescent="0.3">
      <c r="A775" s="9">
        <v>45003</v>
      </c>
      <c r="B775" t="s">
        <v>45</v>
      </c>
      <c r="C775" t="s">
        <v>15</v>
      </c>
      <c r="D775" t="s">
        <v>13</v>
      </c>
      <c r="E775" t="s">
        <v>14</v>
      </c>
      <c r="F775">
        <v>1320</v>
      </c>
      <c r="G775">
        <v>39</v>
      </c>
      <c r="H775" s="6">
        <f t="shared" si="43"/>
        <v>51.48</v>
      </c>
    </row>
    <row r="776" spans="1:8" hidden="1" x14ac:dyDescent="0.3">
      <c r="A776" s="9">
        <v>45003</v>
      </c>
      <c r="B776" t="s">
        <v>17</v>
      </c>
      <c r="C776" t="s">
        <v>35</v>
      </c>
      <c r="D776" t="s">
        <v>10</v>
      </c>
      <c r="E776" t="s">
        <v>11</v>
      </c>
      <c r="F776">
        <v>705</v>
      </c>
      <c r="G776">
        <v>55</v>
      </c>
      <c r="H776" s="6">
        <f t="shared" si="43"/>
        <v>38.774999999999999</v>
      </c>
    </row>
    <row r="777" spans="1:8" hidden="1" x14ac:dyDescent="0.3">
      <c r="A777" s="9">
        <v>45003</v>
      </c>
      <c r="B777" t="s">
        <v>45</v>
      </c>
      <c r="C777" t="s">
        <v>35</v>
      </c>
      <c r="D777" t="s">
        <v>10</v>
      </c>
      <c r="E777" t="s">
        <v>41</v>
      </c>
      <c r="F777">
        <v>650</v>
      </c>
      <c r="G777">
        <v>12</v>
      </c>
      <c r="H777" s="6">
        <f t="shared" si="43"/>
        <v>7.8</v>
      </c>
    </row>
    <row r="778" spans="1:8" hidden="1" x14ac:dyDescent="0.3">
      <c r="A778" s="9">
        <v>45003</v>
      </c>
      <c r="B778" t="s">
        <v>17</v>
      </c>
      <c r="C778" t="s">
        <v>35</v>
      </c>
      <c r="D778" t="s">
        <v>10</v>
      </c>
      <c r="E778" t="s">
        <v>39</v>
      </c>
      <c r="F778">
        <v>650</v>
      </c>
      <c r="G778">
        <v>18</v>
      </c>
      <c r="H778" s="6">
        <f t="shared" si="43"/>
        <v>11.7</v>
      </c>
    </row>
    <row r="779" spans="1:8" hidden="1" x14ac:dyDescent="0.3">
      <c r="A779" s="13" t="s">
        <v>91</v>
      </c>
      <c r="H779" s="6">
        <f>SUBTOTAL(9,H767:H778)</f>
        <v>0</v>
      </c>
    </row>
    <row r="780" spans="1:8" hidden="1" x14ac:dyDescent="0.3">
      <c r="A780" s="10">
        <v>45004</v>
      </c>
      <c r="B780" s="11" t="s">
        <v>17</v>
      </c>
      <c r="C780" s="11" t="s">
        <v>20</v>
      </c>
      <c r="D780" s="11" t="s">
        <v>18</v>
      </c>
      <c r="E780" s="11" t="s">
        <v>28</v>
      </c>
      <c r="F780" s="11">
        <v>690</v>
      </c>
      <c r="G780" s="11">
        <v>85</v>
      </c>
      <c r="H780" s="6">
        <f t="shared" ref="H780:H794" si="44">F780*G780/1000</f>
        <v>58.65</v>
      </c>
    </row>
    <row r="781" spans="1:8" hidden="1" x14ac:dyDescent="0.3">
      <c r="A781" s="9">
        <v>45004</v>
      </c>
      <c r="B781" t="s">
        <v>17</v>
      </c>
      <c r="C781" t="s">
        <v>20</v>
      </c>
      <c r="D781" t="s">
        <v>13</v>
      </c>
      <c r="E781" t="s">
        <v>43</v>
      </c>
      <c r="F781">
        <v>1420</v>
      </c>
      <c r="G781">
        <v>81</v>
      </c>
      <c r="H781" s="6">
        <f t="shared" si="44"/>
        <v>115.02</v>
      </c>
    </row>
    <row r="782" spans="1:8" hidden="1" x14ac:dyDescent="0.3">
      <c r="A782" s="9">
        <v>45004</v>
      </c>
      <c r="B782" t="s">
        <v>8</v>
      </c>
      <c r="C782" t="s">
        <v>9</v>
      </c>
      <c r="D782" t="s">
        <v>10</v>
      </c>
      <c r="E782" t="s">
        <v>23</v>
      </c>
      <c r="F782">
        <v>640</v>
      </c>
      <c r="G782">
        <v>77</v>
      </c>
      <c r="H782" s="6">
        <f t="shared" si="44"/>
        <v>49.28</v>
      </c>
    </row>
    <row r="783" spans="1:8" hidden="1" x14ac:dyDescent="0.3">
      <c r="A783" s="9">
        <v>45004</v>
      </c>
      <c r="B783" t="s">
        <v>45</v>
      </c>
      <c r="C783" t="s">
        <v>9</v>
      </c>
      <c r="D783" t="s">
        <v>18</v>
      </c>
      <c r="E783" t="s">
        <v>27</v>
      </c>
      <c r="F783">
        <v>460</v>
      </c>
      <c r="G783">
        <v>33</v>
      </c>
      <c r="H783" s="6">
        <f t="shared" si="44"/>
        <v>15.18</v>
      </c>
    </row>
    <row r="784" spans="1:8" hidden="1" x14ac:dyDescent="0.3">
      <c r="A784" s="9">
        <v>45004</v>
      </c>
      <c r="B784" t="s">
        <v>8</v>
      </c>
      <c r="C784" t="s">
        <v>26</v>
      </c>
      <c r="D784" t="s">
        <v>10</v>
      </c>
      <c r="E784" t="s">
        <v>40</v>
      </c>
      <c r="F784">
        <v>540</v>
      </c>
      <c r="G784">
        <v>83</v>
      </c>
      <c r="H784" s="6">
        <f t="shared" si="44"/>
        <v>44.82</v>
      </c>
    </row>
    <row r="785" spans="1:8" hidden="1" x14ac:dyDescent="0.3">
      <c r="A785" s="9">
        <v>45004</v>
      </c>
      <c r="B785" t="s">
        <v>17</v>
      </c>
      <c r="C785" t="s">
        <v>26</v>
      </c>
      <c r="D785" t="s">
        <v>18</v>
      </c>
      <c r="E785" t="s">
        <v>37</v>
      </c>
      <c r="F785">
        <v>890</v>
      </c>
      <c r="G785">
        <v>72</v>
      </c>
      <c r="H785" s="6">
        <f t="shared" si="44"/>
        <v>64.08</v>
      </c>
    </row>
    <row r="786" spans="1:8" hidden="1" x14ac:dyDescent="0.3">
      <c r="A786" s="9">
        <v>45004</v>
      </c>
      <c r="B786" t="s">
        <v>45</v>
      </c>
      <c r="C786" t="s">
        <v>26</v>
      </c>
      <c r="D786" t="s">
        <v>13</v>
      </c>
      <c r="E786" t="s">
        <v>38</v>
      </c>
      <c r="F786">
        <v>2400</v>
      </c>
      <c r="G786">
        <v>9</v>
      </c>
      <c r="H786" s="6">
        <f t="shared" si="44"/>
        <v>21.6</v>
      </c>
    </row>
    <row r="787" spans="1:8" hidden="1" x14ac:dyDescent="0.3">
      <c r="A787" s="9">
        <v>45004</v>
      </c>
      <c r="B787" t="s">
        <v>8</v>
      </c>
      <c r="C787" t="s">
        <v>15</v>
      </c>
      <c r="D787" t="s">
        <v>18</v>
      </c>
      <c r="E787" t="s">
        <v>27</v>
      </c>
      <c r="F787">
        <v>460</v>
      </c>
      <c r="G787">
        <v>44</v>
      </c>
      <c r="H787" s="6">
        <f t="shared" si="44"/>
        <v>20.239999999999998</v>
      </c>
    </row>
    <row r="788" spans="1:8" hidden="1" x14ac:dyDescent="0.3">
      <c r="A788" s="9">
        <v>45004</v>
      </c>
      <c r="B788" t="s">
        <v>8</v>
      </c>
      <c r="C788" t="s">
        <v>15</v>
      </c>
      <c r="D788" t="s">
        <v>18</v>
      </c>
      <c r="E788" t="s">
        <v>21</v>
      </c>
      <c r="F788">
        <v>450</v>
      </c>
      <c r="G788">
        <v>61</v>
      </c>
      <c r="H788" s="6">
        <f t="shared" si="44"/>
        <v>27.45</v>
      </c>
    </row>
    <row r="789" spans="1:8" hidden="1" x14ac:dyDescent="0.3">
      <c r="A789" s="9">
        <v>45004</v>
      </c>
      <c r="B789" t="s">
        <v>17</v>
      </c>
      <c r="C789" t="s">
        <v>15</v>
      </c>
      <c r="D789" t="s">
        <v>13</v>
      </c>
      <c r="E789" t="s">
        <v>43</v>
      </c>
      <c r="F789">
        <v>1420</v>
      </c>
      <c r="G789">
        <v>82</v>
      </c>
      <c r="H789" s="6">
        <f t="shared" si="44"/>
        <v>116.44</v>
      </c>
    </row>
    <row r="790" spans="1:8" hidden="1" x14ac:dyDescent="0.3">
      <c r="A790" s="9">
        <v>45004</v>
      </c>
      <c r="B790" t="s">
        <v>8</v>
      </c>
      <c r="C790" t="s">
        <v>33</v>
      </c>
      <c r="D790" t="s">
        <v>10</v>
      </c>
      <c r="E790" t="s">
        <v>16</v>
      </c>
      <c r="F790">
        <v>1380</v>
      </c>
      <c r="G790">
        <v>43</v>
      </c>
      <c r="H790" s="6">
        <f t="shared" si="44"/>
        <v>59.34</v>
      </c>
    </row>
    <row r="791" spans="1:8" hidden="1" x14ac:dyDescent="0.3">
      <c r="A791" s="9">
        <v>45004</v>
      </c>
      <c r="B791" t="s">
        <v>17</v>
      </c>
      <c r="C791" t="s">
        <v>33</v>
      </c>
      <c r="D791" t="s">
        <v>18</v>
      </c>
      <c r="E791" t="s">
        <v>37</v>
      </c>
      <c r="F791">
        <v>890</v>
      </c>
      <c r="G791">
        <v>33</v>
      </c>
      <c r="H791" s="6">
        <f t="shared" si="44"/>
        <v>29.37</v>
      </c>
    </row>
    <row r="792" spans="1:8" hidden="1" x14ac:dyDescent="0.3">
      <c r="A792" s="9">
        <v>45004</v>
      </c>
      <c r="B792" t="s">
        <v>12</v>
      </c>
      <c r="C792" t="s">
        <v>33</v>
      </c>
      <c r="D792" t="s">
        <v>18</v>
      </c>
      <c r="E792" t="s">
        <v>19</v>
      </c>
      <c r="F792">
        <v>325</v>
      </c>
      <c r="G792">
        <v>48</v>
      </c>
      <c r="H792" s="6">
        <f t="shared" si="44"/>
        <v>15.6</v>
      </c>
    </row>
    <row r="793" spans="1:8" hidden="1" x14ac:dyDescent="0.3">
      <c r="A793" s="9">
        <v>45004</v>
      </c>
      <c r="B793" t="s">
        <v>45</v>
      </c>
      <c r="C793" t="s">
        <v>33</v>
      </c>
      <c r="D793" t="s">
        <v>13</v>
      </c>
      <c r="E793" t="s">
        <v>14</v>
      </c>
      <c r="F793">
        <v>1320</v>
      </c>
      <c r="G793">
        <v>27</v>
      </c>
      <c r="H793" s="6">
        <f t="shared" si="44"/>
        <v>35.64</v>
      </c>
    </row>
    <row r="794" spans="1:8" hidden="1" x14ac:dyDescent="0.3">
      <c r="A794" s="9">
        <v>45004</v>
      </c>
      <c r="B794" t="s">
        <v>12</v>
      </c>
      <c r="C794" t="s">
        <v>33</v>
      </c>
      <c r="D794" t="s">
        <v>13</v>
      </c>
      <c r="E794" t="s">
        <v>29</v>
      </c>
      <c r="F794">
        <v>1230</v>
      </c>
      <c r="G794">
        <v>71</v>
      </c>
      <c r="H794" s="6">
        <f t="shared" si="44"/>
        <v>87.33</v>
      </c>
    </row>
    <row r="795" spans="1:8" hidden="1" x14ac:dyDescent="0.3">
      <c r="A795" s="13" t="s">
        <v>92</v>
      </c>
      <c r="H795" s="6">
        <f>SUBTOTAL(9,H780:H794)</f>
        <v>0</v>
      </c>
    </row>
    <row r="796" spans="1:8" hidden="1" x14ac:dyDescent="0.3">
      <c r="A796" s="10">
        <v>45005</v>
      </c>
      <c r="B796" s="11" t="s">
        <v>8</v>
      </c>
      <c r="C796" s="11" t="s">
        <v>20</v>
      </c>
      <c r="D796" s="11" t="s">
        <v>10</v>
      </c>
      <c r="E796" s="11" t="s">
        <v>40</v>
      </c>
      <c r="F796" s="11">
        <v>540</v>
      </c>
      <c r="G796" s="11">
        <v>86</v>
      </c>
      <c r="H796" s="6">
        <f t="shared" ref="H796:H808" si="45">F796*G796/1000</f>
        <v>46.44</v>
      </c>
    </row>
    <row r="797" spans="1:8" hidden="1" x14ac:dyDescent="0.3">
      <c r="A797" s="9">
        <v>45005</v>
      </c>
      <c r="B797" t="s">
        <v>8</v>
      </c>
      <c r="C797" t="s">
        <v>20</v>
      </c>
      <c r="D797" t="s">
        <v>13</v>
      </c>
      <c r="E797" t="s">
        <v>14</v>
      </c>
      <c r="F797">
        <v>1320</v>
      </c>
      <c r="G797">
        <v>84</v>
      </c>
      <c r="H797" s="6">
        <f t="shared" si="45"/>
        <v>110.88</v>
      </c>
    </row>
    <row r="798" spans="1:8" hidden="1" x14ac:dyDescent="0.3">
      <c r="A798" s="9">
        <v>45005</v>
      </c>
      <c r="B798" t="s">
        <v>8</v>
      </c>
      <c r="C798" t="s">
        <v>26</v>
      </c>
      <c r="D798" t="s">
        <v>10</v>
      </c>
      <c r="E798" t="s">
        <v>39</v>
      </c>
      <c r="F798">
        <v>650</v>
      </c>
      <c r="G798">
        <v>89</v>
      </c>
      <c r="H798" s="6">
        <f t="shared" si="45"/>
        <v>57.85</v>
      </c>
    </row>
    <row r="799" spans="1:8" hidden="1" x14ac:dyDescent="0.3">
      <c r="A799" s="9">
        <v>45005</v>
      </c>
      <c r="B799" t="s">
        <v>12</v>
      </c>
      <c r="C799" t="s">
        <v>15</v>
      </c>
      <c r="D799" t="s">
        <v>18</v>
      </c>
      <c r="E799" t="s">
        <v>31</v>
      </c>
      <c r="F799">
        <v>715</v>
      </c>
      <c r="G799">
        <v>5</v>
      </c>
      <c r="H799" s="6">
        <f t="shared" si="45"/>
        <v>3.5750000000000002</v>
      </c>
    </row>
    <row r="800" spans="1:8" hidden="1" x14ac:dyDescent="0.3">
      <c r="A800" s="9">
        <v>45005</v>
      </c>
      <c r="B800" t="s">
        <v>17</v>
      </c>
      <c r="C800" t="s">
        <v>15</v>
      </c>
      <c r="D800" t="s">
        <v>24</v>
      </c>
      <c r="E800" t="s">
        <v>34</v>
      </c>
      <c r="F800">
        <v>1670</v>
      </c>
      <c r="G800">
        <v>52</v>
      </c>
      <c r="H800" s="6">
        <f t="shared" si="45"/>
        <v>86.84</v>
      </c>
    </row>
    <row r="801" spans="1:8" hidden="1" x14ac:dyDescent="0.3">
      <c r="A801" s="9">
        <v>45005</v>
      </c>
      <c r="B801" t="s">
        <v>45</v>
      </c>
      <c r="C801" t="s">
        <v>33</v>
      </c>
      <c r="D801" t="s">
        <v>18</v>
      </c>
      <c r="E801" t="s">
        <v>27</v>
      </c>
      <c r="F801">
        <v>460</v>
      </c>
      <c r="G801">
        <v>48</v>
      </c>
      <c r="H801" s="6">
        <f t="shared" si="45"/>
        <v>22.08</v>
      </c>
    </row>
    <row r="802" spans="1:8" hidden="1" x14ac:dyDescent="0.3">
      <c r="A802" s="9">
        <v>45005</v>
      </c>
      <c r="B802" t="s">
        <v>12</v>
      </c>
      <c r="C802" t="s">
        <v>33</v>
      </c>
      <c r="D802" t="s">
        <v>18</v>
      </c>
      <c r="E802" t="s">
        <v>37</v>
      </c>
      <c r="F802">
        <v>890</v>
      </c>
      <c r="G802">
        <v>38</v>
      </c>
      <c r="H802" s="6">
        <f t="shared" si="45"/>
        <v>33.82</v>
      </c>
    </row>
    <row r="803" spans="1:8" hidden="1" x14ac:dyDescent="0.3">
      <c r="A803" s="9">
        <v>45005</v>
      </c>
      <c r="B803" t="s">
        <v>8</v>
      </c>
      <c r="C803" t="s">
        <v>33</v>
      </c>
      <c r="D803" t="s">
        <v>18</v>
      </c>
      <c r="E803" t="s">
        <v>21</v>
      </c>
      <c r="F803">
        <v>450</v>
      </c>
      <c r="G803">
        <v>77</v>
      </c>
      <c r="H803" s="6">
        <f t="shared" si="45"/>
        <v>34.65</v>
      </c>
    </row>
    <row r="804" spans="1:8" hidden="1" x14ac:dyDescent="0.3">
      <c r="A804" s="9">
        <v>45005</v>
      </c>
      <c r="B804" t="s">
        <v>12</v>
      </c>
      <c r="C804" t="s">
        <v>33</v>
      </c>
      <c r="D804" t="s">
        <v>13</v>
      </c>
      <c r="E804" t="s">
        <v>22</v>
      </c>
      <c r="F804">
        <v>930</v>
      </c>
      <c r="G804">
        <v>29</v>
      </c>
      <c r="H804" s="6">
        <f t="shared" si="45"/>
        <v>26.97</v>
      </c>
    </row>
    <row r="805" spans="1:8" hidden="1" x14ac:dyDescent="0.3">
      <c r="A805" s="9">
        <v>45005</v>
      </c>
      <c r="B805" t="s">
        <v>17</v>
      </c>
      <c r="C805" t="s">
        <v>33</v>
      </c>
      <c r="D805" t="s">
        <v>13</v>
      </c>
      <c r="E805" t="s">
        <v>43</v>
      </c>
      <c r="F805">
        <v>1420</v>
      </c>
      <c r="G805">
        <v>37</v>
      </c>
      <c r="H805" s="6">
        <f t="shared" si="45"/>
        <v>52.54</v>
      </c>
    </row>
    <row r="806" spans="1:8" hidden="1" x14ac:dyDescent="0.3">
      <c r="A806" s="9">
        <v>45005</v>
      </c>
      <c r="B806" t="s">
        <v>12</v>
      </c>
      <c r="C806" t="s">
        <v>33</v>
      </c>
      <c r="D806" t="s">
        <v>24</v>
      </c>
      <c r="E806" t="s">
        <v>32</v>
      </c>
      <c r="F806">
        <v>1505</v>
      </c>
      <c r="G806">
        <v>6</v>
      </c>
      <c r="H806" s="6">
        <f t="shared" si="45"/>
        <v>9.0299999999999994</v>
      </c>
    </row>
    <row r="807" spans="1:8" hidden="1" x14ac:dyDescent="0.3">
      <c r="A807" s="9">
        <v>45005</v>
      </c>
      <c r="B807" t="s">
        <v>12</v>
      </c>
      <c r="C807" t="s">
        <v>35</v>
      </c>
      <c r="D807" t="s">
        <v>10</v>
      </c>
      <c r="E807" t="s">
        <v>41</v>
      </c>
      <c r="F807">
        <v>650</v>
      </c>
      <c r="G807">
        <v>71</v>
      </c>
      <c r="H807" s="6">
        <f t="shared" si="45"/>
        <v>46.15</v>
      </c>
    </row>
    <row r="808" spans="1:8" hidden="1" x14ac:dyDescent="0.3">
      <c r="A808" s="9">
        <v>45005</v>
      </c>
      <c r="B808" t="s">
        <v>8</v>
      </c>
      <c r="C808" t="s">
        <v>35</v>
      </c>
      <c r="D808" t="s">
        <v>24</v>
      </c>
      <c r="E808" t="s">
        <v>25</v>
      </c>
      <c r="F808">
        <v>1760</v>
      </c>
      <c r="G808">
        <v>27</v>
      </c>
      <c r="H808" s="6">
        <f t="shared" si="45"/>
        <v>47.52</v>
      </c>
    </row>
    <row r="809" spans="1:8" hidden="1" x14ac:dyDescent="0.3">
      <c r="A809" s="13" t="s">
        <v>93</v>
      </c>
      <c r="H809" s="6">
        <f>SUBTOTAL(9,H796:H808)</f>
        <v>0</v>
      </c>
    </row>
    <row r="810" spans="1:8" hidden="1" x14ac:dyDescent="0.3">
      <c r="A810" s="10">
        <v>45006</v>
      </c>
      <c r="B810" s="11" t="s">
        <v>17</v>
      </c>
      <c r="C810" s="11" t="s">
        <v>20</v>
      </c>
      <c r="D810" s="11" t="s">
        <v>10</v>
      </c>
      <c r="E810" s="11" t="s">
        <v>16</v>
      </c>
      <c r="F810" s="11">
        <v>1380</v>
      </c>
      <c r="G810" s="11">
        <v>75</v>
      </c>
      <c r="H810" s="6">
        <f t="shared" ref="H810:H822" si="46">F810*G810/1000</f>
        <v>103.5</v>
      </c>
    </row>
    <row r="811" spans="1:8" hidden="1" x14ac:dyDescent="0.3">
      <c r="A811" s="9">
        <v>45006</v>
      </c>
      <c r="B811" t="s">
        <v>8</v>
      </c>
      <c r="C811" t="s">
        <v>20</v>
      </c>
      <c r="D811" t="s">
        <v>10</v>
      </c>
      <c r="E811" t="s">
        <v>40</v>
      </c>
      <c r="F811">
        <v>540</v>
      </c>
      <c r="G811">
        <v>47</v>
      </c>
      <c r="H811" s="6">
        <f t="shared" si="46"/>
        <v>25.38</v>
      </c>
    </row>
    <row r="812" spans="1:8" hidden="1" x14ac:dyDescent="0.3">
      <c r="A812" s="10">
        <v>45006</v>
      </c>
      <c r="B812" s="11" t="s">
        <v>12</v>
      </c>
      <c r="C812" s="11" t="s">
        <v>20</v>
      </c>
      <c r="D812" s="11" t="s">
        <v>18</v>
      </c>
      <c r="E812" s="11" t="s">
        <v>28</v>
      </c>
      <c r="F812" s="11">
        <v>690</v>
      </c>
      <c r="G812" s="11">
        <v>84</v>
      </c>
      <c r="H812" s="6">
        <f t="shared" si="46"/>
        <v>57.96</v>
      </c>
    </row>
    <row r="813" spans="1:8" hidden="1" x14ac:dyDescent="0.3">
      <c r="A813" s="9">
        <v>45006</v>
      </c>
      <c r="B813" t="s">
        <v>12</v>
      </c>
      <c r="C813" t="s">
        <v>20</v>
      </c>
      <c r="D813" t="s">
        <v>24</v>
      </c>
      <c r="E813" t="s">
        <v>42</v>
      </c>
      <c r="F813">
        <v>3205</v>
      </c>
      <c r="G813">
        <v>42</v>
      </c>
      <c r="H813" s="6">
        <f t="shared" si="46"/>
        <v>134.61000000000001</v>
      </c>
    </row>
    <row r="814" spans="1:8" hidden="1" x14ac:dyDescent="0.3">
      <c r="A814" s="10">
        <v>45006</v>
      </c>
      <c r="B814" s="11" t="s">
        <v>17</v>
      </c>
      <c r="C814" s="11" t="s">
        <v>20</v>
      </c>
      <c r="D814" s="11" t="s">
        <v>24</v>
      </c>
      <c r="E814" s="11" t="s">
        <v>34</v>
      </c>
      <c r="F814" s="11">
        <v>1670</v>
      </c>
      <c r="G814" s="11">
        <v>95</v>
      </c>
      <c r="H814" s="6">
        <f t="shared" si="46"/>
        <v>158.65</v>
      </c>
    </row>
    <row r="815" spans="1:8" hidden="1" x14ac:dyDescent="0.3">
      <c r="A815" s="9">
        <v>45006</v>
      </c>
      <c r="B815" t="s">
        <v>17</v>
      </c>
      <c r="C815" t="s">
        <v>9</v>
      </c>
      <c r="D815" t="s">
        <v>10</v>
      </c>
      <c r="E815" t="s">
        <v>41</v>
      </c>
      <c r="F815">
        <v>650</v>
      </c>
      <c r="G815">
        <v>73</v>
      </c>
      <c r="H815" s="6">
        <f t="shared" si="46"/>
        <v>47.45</v>
      </c>
    </row>
    <row r="816" spans="1:8" hidden="1" x14ac:dyDescent="0.3">
      <c r="A816" s="9">
        <v>45006</v>
      </c>
      <c r="B816" t="s">
        <v>8</v>
      </c>
      <c r="C816" t="s">
        <v>26</v>
      </c>
      <c r="D816" t="s">
        <v>10</v>
      </c>
      <c r="E816" t="s">
        <v>40</v>
      </c>
      <c r="F816">
        <v>540</v>
      </c>
      <c r="G816">
        <v>10</v>
      </c>
      <c r="H816" s="6">
        <f t="shared" si="46"/>
        <v>5.4</v>
      </c>
    </row>
    <row r="817" spans="1:8" hidden="1" x14ac:dyDescent="0.3">
      <c r="A817" s="9">
        <v>45006</v>
      </c>
      <c r="B817" t="s">
        <v>12</v>
      </c>
      <c r="C817" t="s">
        <v>26</v>
      </c>
      <c r="D817" t="s">
        <v>13</v>
      </c>
      <c r="E817" t="s">
        <v>43</v>
      </c>
      <c r="F817">
        <v>1420</v>
      </c>
      <c r="G817">
        <v>97</v>
      </c>
      <c r="H817" s="6">
        <f t="shared" si="46"/>
        <v>137.74</v>
      </c>
    </row>
    <row r="818" spans="1:8" hidden="1" x14ac:dyDescent="0.3">
      <c r="A818" s="9">
        <v>45006</v>
      </c>
      <c r="B818" t="s">
        <v>45</v>
      </c>
      <c r="C818" t="s">
        <v>15</v>
      </c>
      <c r="D818" t="s">
        <v>10</v>
      </c>
      <c r="E818" t="s">
        <v>41</v>
      </c>
      <c r="F818">
        <v>650</v>
      </c>
      <c r="G818">
        <v>41</v>
      </c>
      <c r="H818" s="6">
        <f t="shared" si="46"/>
        <v>26.65</v>
      </c>
    </row>
    <row r="819" spans="1:8" hidden="1" x14ac:dyDescent="0.3">
      <c r="A819" s="9">
        <v>45006</v>
      </c>
      <c r="B819" t="s">
        <v>17</v>
      </c>
      <c r="C819" t="s">
        <v>15</v>
      </c>
      <c r="D819" t="s">
        <v>18</v>
      </c>
      <c r="E819" t="s">
        <v>19</v>
      </c>
      <c r="F819">
        <v>325</v>
      </c>
      <c r="G819">
        <v>80</v>
      </c>
      <c r="H819" s="6">
        <f t="shared" si="46"/>
        <v>26</v>
      </c>
    </row>
    <row r="820" spans="1:8" hidden="1" x14ac:dyDescent="0.3">
      <c r="A820" s="9">
        <v>45006</v>
      </c>
      <c r="B820" t="s">
        <v>45</v>
      </c>
      <c r="C820" t="s">
        <v>15</v>
      </c>
      <c r="D820" t="s">
        <v>24</v>
      </c>
      <c r="E820" t="s">
        <v>30</v>
      </c>
      <c r="F820">
        <v>2970</v>
      </c>
      <c r="G820">
        <v>85</v>
      </c>
      <c r="H820" s="6">
        <f t="shared" si="46"/>
        <v>252.45</v>
      </c>
    </row>
    <row r="821" spans="1:8" hidden="1" x14ac:dyDescent="0.3">
      <c r="A821" s="9">
        <v>45006</v>
      </c>
      <c r="B821" t="s">
        <v>17</v>
      </c>
      <c r="C821" t="s">
        <v>33</v>
      </c>
      <c r="D821" t="s">
        <v>10</v>
      </c>
      <c r="E821" t="s">
        <v>16</v>
      </c>
      <c r="F821">
        <v>1380</v>
      </c>
      <c r="G821">
        <v>73</v>
      </c>
      <c r="H821" s="6">
        <f t="shared" si="46"/>
        <v>100.74</v>
      </c>
    </row>
    <row r="822" spans="1:8" hidden="1" x14ac:dyDescent="0.3">
      <c r="A822" s="9">
        <v>45006</v>
      </c>
      <c r="B822" t="s">
        <v>8</v>
      </c>
      <c r="C822" t="s">
        <v>35</v>
      </c>
      <c r="D822" t="s">
        <v>10</v>
      </c>
      <c r="E822" t="s">
        <v>39</v>
      </c>
      <c r="F822">
        <v>650</v>
      </c>
      <c r="G822">
        <v>63</v>
      </c>
      <c r="H822" s="6">
        <f t="shared" si="46"/>
        <v>40.950000000000003</v>
      </c>
    </row>
    <row r="823" spans="1:8" hidden="1" x14ac:dyDescent="0.3">
      <c r="A823" s="13" t="s">
        <v>94</v>
      </c>
      <c r="H823" s="6">
        <f>SUBTOTAL(9,H810:H822)</f>
        <v>0</v>
      </c>
    </row>
    <row r="824" spans="1:8" hidden="1" x14ac:dyDescent="0.3">
      <c r="A824" s="9">
        <v>45007</v>
      </c>
      <c r="B824" t="s">
        <v>8</v>
      </c>
      <c r="C824" t="s">
        <v>20</v>
      </c>
      <c r="D824" t="s">
        <v>10</v>
      </c>
      <c r="E824" t="s">
        <v>23</v>
      </c>
      <c r="F824">
        <v>640</v>
      </c>
      <c r="G824">
        <v>98</v>
      </c>
      <c r="H824" s="6">
        <f t="shared" ref="H824:H832" si="47">F824*G824/1000</f>
        <v>62.72</v>
      </c>
    </row>
    <row r="825" spans="1:8" hidden="1" x14ac:dyDescent="0.3">
      <c r="A825" s="9">
        <v>45007</v>
      </c>
      <c r="B825" t="s">
        <v>17</v>
      </c>
      <c r="C825" t="s">
        <v>9</v>
      </c>
      <c r="D825" t="s">
        <v>18</v>
      </c>
      <c r="E825" t="s">
        <v>27</v>
      </c>
      <c r="F825">
        <v>460</v>
      </c>
      <c r="G825">
        <v>61</v>
      </c>
      <c r="H825" s="6">
        <f t="shared" si="47"/>
        <v>28.06</v>
      </c>
    </row>
    <row r="826" spans="1:8" hidden="1" x14ac:dyDescent="0.3">
      <c r="A826" s="9">
        <v>45007</v>
      </c>
      <c r="B826" t="s">
        <v>17</v>
      </c>
      <c r="C826" t="s">
        <v>9</v>
      </c>
      <c r="D826" t="s">
        <v>24</v>
      </c>
      <c r="E826" t="s">
        <v>32</v>
      </c>
      <c r="F826">
        <v>1505</v>
      </c>
      <c r="G826">
        <v>51</v>
      </c>
      <c r="H826" s="6">
        <f t="shared" si="47"/>
        <v>76.754999999999995</v>
      </c>
    </row>
    <row r="827" spans="1:8" hidden="1" x14ac:dyDescent="0.3">
      <c r="A827" s="9">
        <v>45007</v>
      </c>
      <c r="B827" t="s">
        <v>45</v>
      </c>
      <c r="C827" t="s">
        <v>26</v>
      </c>
      <c r="D827" t="s">
        <v>10</v>
      </c>
      <c r="E827" t="s">
        <v>23</v>
      </c>
      <c r="F827">
        <v>640</v>
      </c>
      <c r="G827">
        <v>78</v>
      </c>
      <c r="H827" s="6">
        <f t="shared" si="47"/>
        <v>49.92</v>
      </c>
    </row>
    <row r="828" spans="1:8" hidden="1" x14ac:dyDescent="0.3">
      <c r="A828" s="9">
        <v>45007</v>
      </c>
      <c r="B828" t="s">
        <v>45</v>
      </c>
      <c r="C828" t="s">
        <v>26</v>
      </c>
      <c r="D828" t="s">
        <v>13</v>
      </c>
      <c r="E828" t="s">
        <v>22</v>
      </c>
      <c r="F828">
        <v>930</v>
      </c>
      <c r="G828">
        <v>34</v>
      </c>
      <c r="H828" s="6">
        <f t="shared" si="47"/>
        <v>31.62</v>
      </c>
    </row>
    <row r="829" spans="1:8" hidden="1" x14ac:dyDescent="0.3">
      <c r="A829" s="9">
        <v>45007</v>
      </c>
      <c r="B829" t="s">
        <v>45</v>
      </c>
      <c r="C829" t="s">
        <v>15</v>
      </c>
      <c r="D829" t="s">
        <v>13</v>
      </c>
      <c r="E829" t="s">
        <v>44</v>
      </c>
      <c r="F829">
        <v>2540</v>
      </c>
      <c r="G829">
        <v>91</v>
      </c>
      <c r="H829" s="6">
        <f t="shared" si="47"/>
        <v>231.14</v>
      </c>
    </row>
    <row r="830" spans="1:8" x14ac:dyDescent="0.3">
      <c r="A830" s="9">
        <v>45007</v>
      </c>
      <c r="B830" t="s">
        <v>45</v>
      </c>
      <c r="C830" t="s">
        <v>15</v>
      </c>
      <c r="D830" t="s">
        <v>13</v>
      </c>
      <c r="E830" t="s">
        <v>29</v>
      </c>
      <c r="F830">
        <v>1230</v>
      </c>
      <c r="G830">
        <v>40</v>
      </c>
      <c r="H830" s="6">
        <f t="shared" si="47"/>
        <v>49.2</v>
      </c>
    </row>
    <row r="831" spans="1:8" hidden="1" x14ac:dyDescent="0.3">
      <c r="A831" s="9">
        <v>45007</v>
      </c>
      <c r="B831" t="s">
        <v>8</v>
      </c>
      <c r="C831" t="s">
        <v>33</v>
      </c>
      <c r="D831" t="s">
        <v>10</v>
      </c>
      <c r="E831" t="s">
        <v>40</v>
      </c>
      <c r="F831">
        <v>540</v>
      </c>
      <c r="G831">
        <v>52</v>
      </c>
      <c r="H831" s="6">
        <f t="shared" si="47"/>
        <v>28.08</v>
      </c>
    </row>
    <row r="832" spans="1:8" hidden="1" x14ac:dyDescent="0.3">
      <c r="A832" s="9">
        <v>45007</v>
      </c>
      <c r="B832" t="s">
        <v>12</v>
      </c>
      <c r="C832" t="s">
        <v>33</v>
      </c>
      <c r="D832" t="s">
        <v>13</v>
      </c>
      <c r="E832" t="s">
        <v>43</v>
      </c>
      <c r="F832">
        <v>1420</v>
      </c>
      <c r="G832">
        <v>89</v>
      </c>
      <c r="H832" s="6">
        <f t="shared" si="47"/>
        <v>126.38</v>
      </c>
    </row>
    <row r="833" spans="1:8" hidden="1" x14ac:dyDescent="0.3">
      <c r="A833" s="13" t="s">
        <v>95</v>
      </c>
      <c r="H833" s="6">
        <f>SUBTOTAL(9,H824:H832)</f>
        <v>49.2</v>
      </c>
    </row>
    <row r="834" spans="1:8" hidden="1" x14ac:dyDescent="0.3">
      <c r="A834" s="10">
        <v>45008</v>
      </c>
      <c r="B834" s="11" t="s">
        <v>8</v>
      </c>
      <c r="C834" s="11" t="s">
        <v>20</v>
      </c>
      <c r="D834" s="11" t="s">
        <v>13</v>
      </c>
      <c r="E834" s="11" t="s">
        <v>43</v>
      </c>
      <c r="F834" s="11">
        <v>1420</v>
      </c>
      <c r="G834" s="11">
        <v>20</v>
      </c>
      <c r="H834" s="6">
        <f t="shared" ref="H834:H842" si="48">F834*G834/1000</f>
        <v>28.4</v>
      </c>
    </row>
    <row r="835" spans="1:8" hidden="1" x14ac:dyDescent="0.3">
      <c r="A835" s="9">
        <v>45008</v>
      </c>
      <c r="B835" t="s">
        <v>8</v>
      </c>
      <c r="C835" t="s">
        <v>20</v>
      </c>
      <c r="D835" t="s">
        <v>13</v>
      </c>
      <c r="E835" t="s">
        <v>44</v>
      </c>
      <c r="F835">
        <v>2540</v>
      </c>
      <c r="G835">
        <v>21</v>
      </c>
      <c r="H835" s="6">
        <f t="shared" si="48"/>
        <v>53.34</v>
      </c>
    </row>
    <row r="836" spans="1:8" hidden="1" x14ac:dyDescent="0.3">
      <c r="A836" s="9">
        <v>45008</v>
      </c>
      <c r="B836" t="s">
        <v>17</v>
      </c>
      <c r="C836" t="s">
        <v>9</v>
      </c>
      <c r="D836" t="s">
        <v>10</v>
      </c>
      <c r="E836" t="s">
        <v>40</v>
      </c>
      <c r="F836">
        <v>540</v>
      </c>
      <c r="G836">
        <v>6</v>
      </c>
      <c r="H836" s="6">
        <f t="shared" si="48"/>
        <v>3.24</v>
      </c>
    </row>
    <row r="837" spans="1:8" hidden="1" x14ac:dyDescent="0.3">
      <c r="A837" s="9">
        <v>45008</v>
      </c>
      <c r="B837" t="s">
        <v>17</v>
      </c>
      <c r="C837" t="s">
        <v>9</v>
      </c>
      <c r="D837" t="s">
        <v>18</v>
      </c>
      <c r="E837" t="s">
        <v>21</v>
      </c>
      <c r="F837">
        <v>450</v>
      </c>
      <c r="G837">
        <v>33</v>
      </c>
      <c r="H837" s="6">
        <f t="shared" si="48"/>
        <v>14.85</v>
      </c>
    </row>
    <row r="838" spans="1:8" hidden="1" x14ac:dyDescent="0.3">
      <c r="A838" s="9">
        <v>45008</v>
      </c>
      <c r="B838" t="s">
        <v>45</v>
      </c>
      <c r="C838" t="s">
        <v>26</v>
      </c>
      <c r="D838" t="s">
        <v>18</v>
      </c>
      <c r="E838" t="s">
        <v>27</v>
      </c>
      <c r="F838">
        <v>460</v>
      </c>
      <c r="G838">
        <v>83</v>
      </c>
      <c r="H838" s="6">
        <f t="shared" si="48"/>
        <v>38.18</v>
      </c>
    </row>
    <row r="839" spans="1:8" hidden="1" x14ac:dyDescent="0.3">
      <c r="A839" s="9">
        <v>45008</v>
      </c>
      <c r="B839" t="s">
        <v>12</v>
      </c>
      <c r="C839" t="s">
        <v>15</v>
      </c>
      <c r="D839" t="s">
        <v>13</v>
      </c>
      <c r="E839" t="s">
        <v>14</v>
      </c>
      <c r="F839">
        <v>1320</v>
      </c>
      <c r="G839">
        <v>17</v>
      </c>
      <c r="H839" s="6">
        <f t="shared" si="48"/>
        <v>22.44</v>
      </c>
    </row>
    <row r="840" spans="1:8" hidden="1" x14ac:dyDescent="0.3">
      <c r="A840" s="9">
        <v>45008</v>
      </c>
      <c r="B840" t="s">
        <v>17</v>
      </c>
      <c r="C840" t="s">
        <v>33</v>
      </c>
      <c r="D840" t="s">
        <v>24</v>
      </c>
      <c r="E840" t="s">
        <v>25</v>
      </c>
      <c r="F840">
        <v>1760</v>
      </c>
      <c r="G840">
        <v>33</v>
      </c>
      <c r="H840" s="6">
        <f t="shared" si="48"/>
        <v>58.08</v>
      </c>
    </row>
    <row r="841" spans="1:8" hidden="1" x14ac:dyDescent="0.3">
      <c r="A841" s="9">
        <v>45008</v>
      </c>
      <c r="B841" t="s">
        <v>12</v>
      </c>
      <c r="C841" t="s">
        <v>33</v>
      </c>
      <c r="D841" t="s">
        <v>24</v>
      </c>
      <c r="E841" t="s">
        <v>42</v>
      </c>
      <c r="F841">
        <v>3205</v>
      </c>
      <c r="G841">
        <v>11</v>
      </c>
      <c r="H841" s="6">
        <f t="shared" si="48"/>
        <v>35.255000000000003</v>
      </c>
    </row>
    <row r="842" spans="1:8" hidden="1" x14ac:dyDescent="0.3">
      <c r="A842" s="9">
        <v>45008</v>
      </c>
      <c r="B842" t="s">
        <v>8</v>
      </c>
      <c r="C842" t="s">
        <v>35</v>
      </c>
      <c r="D842" t="s">
        <v>24</v>
      </c>
      <c r="E842" t="s">
        <v>42</v>
      </c>
      <c r="F842">
        <v>3205</v>
      </c>
      <c r="G842">
        <v>41</v>
      </c>
      <c r="H842" s="6">
        <f t="shared" si="48"/>
        <v>131.405</v>
      </c>
    </row>
    <row r="843" spans="1:8" hidden="1" x14ac:dyDescent="0.3">
      <c r="A843" s="13" t="s">
        <v>96</v>
      </c>
      <c r="H843" s="6">
        <f>SUBTOTAL(9,H834:H842)</f>
        <v>0</v>
      </c>
    </row>
    <row r="844" spans="1:8" hidden="1" x14ac:dyDescent="0.3">
      <c r="A844" s="9">
        <v>45009</v>
      </c>
      <c r="B844" t="s">
        <v>12</v>
      </c>
      <c r="C844" t="s">
        <v>26</v>
      </c>
      <c r="D844" t="s">
        <v>10</v>
      </c>
      <c r="E844" t="s">
        <v>39</v>
      </c>
      <c r="F844">
        <v>650</v>
      </c>
      <c r="G844">
        <v>71</v>
      </c>
      <c r="H844" s="6">
        <f>F844*G844/1000</f>
        <v>46.15</v>
      </c>
    </row>
    <row r="845" spans="1:8" hidden="1" x14ac:dyDescent="0.3">
      <c r="A845" s="9">
        <v>45009</v>
      </c>
      <c r="B845" t="s">
        <v>8</v>
      </c>
      <c r="C845" t="s">
        <v>26</v>
      </c>
      <c r="D845" t="s">
        <v>18</v>
      </c>
      <c r="E845" t="s">
        <v>21</v>
      </c>
      <c r="F845">
        <v>450</v>
      </c>
      <c r="G845">
        <v>27</v>
      </c>
      <c r="H845" s="6">
        <f>F845*G845/1000</f>
        <v>12.15</v>
      </c>
    </row>
    <row r="846" spans="1:8" hidden="1" x14ac:dyDescent="0.3">
      <c r="A846" s="9">
        <v>45009</v>
      </c>
      <c r="B846" t="s">
        <v>17</v>
      </c>
      <c r="C846" t="s">
        <v>26</v>
      </c>
      <c r="D846" t="s">
        <v>18</v>
      </c>
      <c r="E846" t="s">
        <v>28</v>
      </c>
      <c r="F846">
        <v>690</v>
      </c>
      <c r="G846">
        <v>27</v>
      </c>
      <c r="H846" s="6">
        <f>F846*G846/1000</f>
        <v>18.63</v>
      </c>
    </row>
    <row r="847" spans="1:8" hidden="1" x14ac:dyDescent="0.3">
      <c r="A847" s="9">
        <v>45009</v>
      </c>
      <c r="B847" t="s">
        <v>17</v>
      </c>
      <c r="C847" t="s">
        <v>33</v>
      </c>
      <c r="D847" t="s">
        <v>10</v>
      </c>
      <c r="E847" t="s">
        <v>41</v>
      </c>
      <c r="F847">
        <v>650</v>
      </c>
      <c r="G847">
        <v>14</v>
      </c>
      <c r="H847" s="6">
        <f>F847*G847/1000</f>
        <v>9.1</v>
      </c>
    </row>
    <row r="848" spans="1:8" hidden="1" x14ac:dyDescent="0.3">
      <c r="A848" s="9">
        <v>45009</v>
      </c>
      <c r="B848" t="s">
        <v>12</v>
      </c>
      <c r="C848" t="s">
        <v>35</v>
      </c>
      <c r="D848" t="s">
        <v>18</v>
      </c>
      <c r="E848" t="s">
        <v>21</v>
      </c>
      <c r="F848">
        <v>450</v>
      </c>
      <c r="G848">
        <v>78</v>
      </c>
      <c r="H848" s="6">
        <f>F848*G848/1000</f>
        <v>35.1</v>
      </c>
    </row>
    <row r="849" spans="1:8" hidden="1" x14ac:dyDescent="0.3">
      <c r="A849" s="13" t="s">
        <v>97</v>
      </c>
      <c r="H849" s="6">
        <f>SUBTOTAL(9,H844:H848)</f>
        <v>0</v>
      </c>
    </row>
    <row r="850" spans="1:8" hidden="1" x14ac:dyDescent="0.3">
      <c r="A850" s="9">
        <v>45010</v>
      </c>
      <c r="B850" t="s">
        <v>45</v>
      </c>
      <c r="C850" t="s">
        <v>9</v>
      </c>
      <c r="D850" t="s">
        <v>18</v>
      </c>
      <c r="E850" t="s">
        <v>28</v>
      </c>
      <c r="F850">
        <v>690</v>
      </c>
      <c r="G850">
        <v>32</v>
      </c>
      <c r="H850" s="6">
        <f>F850*G850/1000</f>
        <v>22.08</v>
      </c>
    </row>
    <row r="851" spans="1:8" hidden="1" x14ac:dyDescent="0.3">
      <c r="A851" s="9">
        <v>45010</v>
      </c>
      <c r="B851" t="s">
        <v>8</v>
      </c>
      <c r="C851" t="s">
        <v>15</v>
      </c>
      <c r="D851" t="s">
        <v>10</v>
      </c>
      <c r="E851" t="s">
        <v>39</v>
      </c>
      <c r="F851">
        <v>650</v>
      </c>
      <c r="G851">
        <v>46</v>
      </c>
      <c r="H851" s="6">
        <f>F851*G851/1000</f>
        <v>29.9</v>
      </c>
    </row>
    <row r="852" spans="1:8" hidden="1" x14ac:dyDescent="0.3">
      <c r="A852" s="9">
        <v>45010</v>
      </c>
      <c r="B852" t="s">
        <v>8</v>
      </c>
      <c r="C852" t="s">
        <v>15</v>
      </c>
      <c r="D852" t="s">
        <v>24</v>
      </c>
      <c r="E852" t="s">
        <v>25</v>
      </c>
      <c r="F852">
        <v>1760</v>
      </c>
      <c r="G852">
        <v>75</v>
      </c>
      <c r="H852" s="6">
        <f>F852*G852/1000</f>
        <v>132</v>
      </c>
    </row>
    <row r="853" spans="1:8" hidden="1" x14ac:dyDescent="0.3">
      <c r="A853" s="9">
        <v>45010</v>
      </c>
      <c r="B853" t="s">
        <v>45</v>
      </c>
      <c r="C853" t="s">
        <v>33</v>
      </c>
      <c r="D853" t="s">
        <v>13</v>
      </c>
      <c r="E853" t="s">
        <v>22</v>
      </c>
      <c r="F853">
        <v>930</v>
      </c>
      <c r="G853">
        <v>67</v>
      </c>
      <c r="H853" s="6">
        <f>F853*G853/1000</f>
        <v>62.31</v>
      </c>
    </row>
    <row r="854" spans="1:8" hidden="1" x14ac:dyDescent="0.3">
      <c r="A854" s="9">
        <v>45010</v>
      </c>
      <c r="B854" t="s">
        <v>12</v>
      </c>
      <c r="C854" t="s">
        <v>33</v>
      </c>
      <c r="D854" t="s">
        <v>13</v>
      </c>
      <c r="E854" t="s">
        <v>29</v>
      </c>
      <c r="F854">
        <v>1230</v>
      </c>
      <c r="G854">
        <v>95</v>
      </c>
      <c r="H854" s="6">
        <f>F854*G854/1000</f>
        <v>116.85</v>
      </c>
    </row>
    <row r="855" spans="1:8" hidden="1" x14ac:dyDescent="0.3">
      <c r="A855" s="13" t="s">
        <v>98</v>
      </c>
      <c r="H855" s="6">
        <f>SUBTOTAL(9,H850:H854)</f>
        <v>0</v>
      </c>
    </row>
    <row r="856" spans="1:8" hidden="1" x14ac:dyDescent="0.3">
      <c r="A856" s="10">
        <v>45011</v>
      </c>
      <c r="B856" s="11" t="s">
        <v>8</v>
      </c>
      <c r="C856" s="11" t="s">
        <v>20</v>
      </c>
      <c r="D856" s="11" t="s">
        <v>10</v>
      </c>
      <c r="E856" s="11" t="s">
        <v>11</v>
      </c>
      <c r="F856" s="11">
        <v>705</v>
      </c>
      <c r="G856" s="11">
        <v>22</v>
      </c>
      <c r="H856" s="6">
        <f t="shared" ref="H856:H866" si="49">F856*G856/1000</f>
        <v>15.51</v>
      </c>
    </row>
    <row r="857" spans="1:8" hidden="1" x14ac:dyDescent="0.3">
      <c r="A857" s="9">
        <v>45011</v>
      </c>
      <c r="B857" t="s">
        <v>12</v>
      </c>
      <c r="C857" t="s">
        <v>20</v>
      </c>
      <c r="D857" t="s">
        <v>10</v>
      </c>
      <c r="E857" t="s">
        <v>41</v>
      </c>
      <c r="F857">
        <v>650</v>
      </c>
      <c r="G857">
        <v>8</v>
      </c>
      <c r="H857" s="6">
        <f t="shared" si="49"/>
        <v>5.2</v>
      </c>
    </row>
    <row r="858" spans="1:8" hidden="1" x14ac:dyDescent="0.3">
      <c r="A858" s="9">
        <v>45011</v>
      </c>
      <c r="B858" t="s">
        <v>45</v>
      </c>
      <c r="C858" t="s">
        <v>9</v>
      </c>
      <c r="D858" t="s">
        <v>18</v>
      </c>
      <c r="E858" t="s">
        <v>28</v>
      </c>
      <c r="F858">
        <v>690</v>
      </c>
      <c r="G858">
        <v>97</v>
      </c>
      <c r="H858" s="6">
        <f t="shared" si="49"/>
        <v>66.930000000000007</v>
      </c>
    </row>
    <row r="859" spans="1:8" hidden="1" x14ac:dyDescent="0.3">
      <c r="A859" s="9">
        <v>45011</v>
      </c>
      <c r="B859" t="s">
        <v>8</v>
      </c>
      <c r="C859" t="s">
        <v>9</v>
      </c>
      <c r="D859" t="s">
        <v>18</v>
      </c>
      <c r="E859" t="s">
        <v>19</v>
      </c>
      <c r="F859">
        <v>325</v>
      </c>
      <c r="G859">
        <v>32</v>
      </c>
      <c r="H859" s="6">
        <f t="shared" si="49"/>
        <v>10.4</v>
      </c>
    </row>
    <row r="860" spans="1:8" hidden="1" x14ac:dyDescent="0.3">
      <c r="A860" s="9">
        <v>45011</v>
      </c>
      <c r="B860" t="s">
        <v>45</v>
      </c>
      <c r="C860" t="s">
        <v>9</v>
      </c>
      <c r="D860" t="s">
        <v>24</v>
      </c>
      <c r="E860" t="s">
        <v>32</v>
      </c>
      <c r="F860">
        <v>1505</v>
      </c>
      <c r="G860">
        <v>34</v>
      </c>
      <c r="H860" s="6">
        <f t="shared" si="49"/>
        <v>51.17</v>
      </c>
    </row>
    <row r="861" spans="1:8" hidden="1" x14ac:dyDescent="0.3">
      <c r="A861" s="9">
        <v>45011</v>
      </c>
      <c r="B861" t="s">
        <v>8</v>
      </c>
      <c r="C861" t="s">
        <v>9</v>
      </c>
      <c r="D861" t="s">
        <v>24</v>
      </c>
      <c r="E861" t="s">
        <v>30</v>
      </c>
      <c r="F861">
        <v>2970</v>
      </c>
      <c r="G861">
        <v>92</v>
      </c>
      <c r="H861" s="6">
        <f t="shared" si="49"/>
        <v>273.24</v>
      </c>
    </row>
    <row r="862" spans="1:8" hidden="1" x14ac:dyDescent="0.3">
      <c r="A862" s="9">
        <v>45011</v>
      </c>
      <c r="B862" t="s">
        <v>12</v>
      </c>
      <c r="C862" t="s">
        <v>26</v>
      </c>
      <c r="D862" t="s">
        <v>13</v>
      </c>
      <c r="E862" t="s">
        <v>44</v>
      </c>
      <c r="F862">
        <v>2540</v>
      </c>
      <c r="G862">
        <v>65</v>
      </c>
      <c r="H862" s="6">
        <f t="shared" si="49"/>
        <v>165.1</v>
      </c>
    </row>
    <row r="863" spans="1:8" hidden="1" x14ac:dyDescent="0.3">
      <c r="A863" s="9">
        <v>45011</v>
      </c>
      <c r="B863" t="s">
        <v>8</v>
      </c>
      <c r="C863" t="s">
        <v>15</v>
      </c>
      <c r="D863" t="s">
        <v>10</v>
      </c>
      <c r="E863" t="s">
        <v>23</v>
      </c>
      <c r="F863">
        <v>640</v>
      </c>
      <c r="G863">
        <v>40</v>
      </c>
      <c r="H863" s="6">
        <f t="shared" si="49"/>
        <v>25.6</v>
      </c>
    </row>
    <row r="864" spans="1:8" hidden="1" x14ac:dyDescent="0.3">
      <c r="A864" s="9">
        <v>45011</v>
      </c>
      <c r="B864" t="s">
        <v>12</v>
      </c>
      <c r="C864" t="s">
        <v>15</v>
      </c>
      <c r="D864" t="s">
        <v>18</v>
      </c>
      <c r="E864" t="s">
        <v>31</v>
      </c>
      <c r="F864">
        <v>715</v>
      </c>
      <c r="G864">
        <v>50</v>
      </c>
      <c r="H864" s="6">
        <f t="shared" si="49"/>
        <v>35.75</v>
      </c>
    </row>
    <row r="865" spans="1:8" hidden="1" x14ac:dyDescent="0.3">
      <c r="A865" s="9">
        <v>45011</v>
      </c>
      <c r="B865" t="s">
        <v>12</v>
      </c>
      <c r="C865" t="s">
        <v>15</v>
      </c>
      <c r="D865" t="s">
        <v>18</v>
      </c>
      <c r="E865" t="s">
        <v>37</v>
      </c>
      <c r="F865">
        <v>890</v>
      </c>
      <c r="G865">
        <v>89</v>
      </c>
      <c r="H865" s="6">
        <f t="shared" si="49"/>
        <v>79.209999999999994</v>
      </c>
    </row>
    <row r="866" spans="1:8" hidden="1" x14ac:dyDescent="0.3">
      <c r="A866" s="9">
        <v>45011</v>
      </c>
      <c r="B866" t="s">
        <v>17</v>
      </c>
      <c r="C866" t="s">
        <v>35</v>
      </c>
      <c r="D866" t="s">
        <v>18</v>
      </c>
      <c r="E866" t="s">
        <v>37</v>
      </c>
      <c r="F866">
        <v>890</v>
      </c>
      <c r="G866">
        <v>99</v>
      </c>
      <c r="H866" s="6">
        <f t="shared" si="49"/>
        <v>88.11</v>
      </c>
    </row>
    <row r="867" spans="1:8" hidden="1" x14ac:dyDescent="0.3">
      <c r="A867" s="13" t="s">
        <v>99</v>
      </c>
      <c r="H867" s="6">
        <f>SUBTOTAL(9,H856:H866)</f>
        <v>0</v>
      </c>
    </row>
    <row r="868" spans="1:8" hidden="1" x14ac:dyDescent="0.3">
      <c r="A868" s="10">
        <v>45012</v>
      </c>
      <c r="B868" s="11" t="s">
        <v>8</v>
      </c>
      <c r="C868" s="11" t="s">
        <v>20</v>
      </c>
      <c r="D868" s="11" t="s">
        <v>18</v>
      </c>
      <c r="E868" s="11" t="s">
        <v>27</v>
      </c>
      <c r="F868" s="11">
        <v>460</v>
      </c>
      <c r="G868" s="11">
        <v>34</v>
      </c>
      <c r="H868" s="6">
        <f t="shared" ref="H868:H881" si="50">F868*G868/1000</f>
        <v>15.64</v>
      </c>
    </row>
    <row r="869" spans="1:8" hidden="1" x14ac:dyDescent="0.3">
      <c r="A869" s="9">
        <v>45012</v>
      </c>
      <c r="B869" t="s">
        <v>17</v>
      </c>
      <c r="C869" t="s">
        <v>9</v>
      </c>
      <c r="D869" t="s">
        <v>10</v>
      </c>
      <c r="E869" t="s">
        <v>40</v>
      </c>
      <c r="F869">
        <v>540</v>
      </c>
      <c r="G869">
        <v>55</v>
      </c>
      <c r="H869" s="6">
        <f t="shared" si="50"/>
        <v>29.7</v>
      </c>
    </row>
    <row r="870" spans="1:8" hidden="1" x14ac:dyDescent="0.3">
      <c r="A870" s="9">
        <v>45012</v>
      </c>
      <c r="B870" t="s">
        <v>17</v>
      </c>
      <c r="C870" t="s">
        <v>26</v>
      </c>
      <c r="D870" t="s">
        <v>10</v>
      </c>
      <c r="E870" t="s">
        <v>39</v>
      </c>
      <c r="F870">
        <v>650</v>
      </c>
      <c r="G870">
        <v>67</v>
      </c>
      <c r="H870" s="6">
        <f t="shared" si="50"/>
        <v>43.55</v>
      </c>
    </row>
    <row r="871" spans="1:8" hidden="1" x14ac:dyDescent="0.3">
      <c r="A871" s="9">
        <v>45012</v>
      </c>
      <c r="B871" t="s">
        <v>8</v>
      </c>
      <c r="C871" t="s">
        <v>26</v>
      </c>
      <c r="D871" t="s">
        <v>18</v>
      </c>
      <c r="E871" t="s">
        <v>19</v>
      </c>
      <c r="F871">
        <v>325</v>
      </c>
      <c r="G871">
        <v>37</v>
      </c>
      <c r="H871" s="6">
        <f t="shared" si="50"/>
        <v>12.025</v>
      </c>
    </row>
    <row r="872" spans="1:8" hidden="1" x14ac:dyDescent="0.3">
      <c r="A872" s="9">
        <v>45012</v>
      </c>
      <c r="B872" t="s">
        <v>45</v>
      </c>
      <c r="C872" t="s">
        <v>26</v>
      </c>
      <c r="D872" t="s">
        <v>24</v>
      </c>
      <c r="E872" t="s">
        <v>42</v>
      </c>
      <c r="F872">
        <v>3205</v>
      </c>
      <c r="G872">
        <v>90</v>
      </c>
      <c r="H872" s="6">
        <f t="shared" si="50"/>
        <v>288.45</v>
      </c>
    </row>
    <row r="873" spans="1:8" hidden="1" x14ac:dyDescent="0.3">
      <c r="A873" s="9">
        <v>45012</v>
      </c>
      <c r="B873" t="s">
        <v>8</v>
      </c>
      <c r="C873" t="s">
        <v>15</v>
      </c>
      <c r="D873" t="s">
        <v>13</v>
      </c>
      <c r="E873" t="s">
        <v>38</v>
      </c>
      <c r="F873">
        <v>2400</v>
      </c>
      <c r="G873">
        <v>8</v>
      </c>
      <c r="H873" s="6">
        <f t="shared" si="50"/>
        <v>19.2</v>
      </c>
    </row>
    <row r="874" spans="1:8" hidden="1" x14ac:dyDescent="0.3">
      <c r="A874" s="9">
        <v>45012</v>
      </c>
      <c r="B874" t="s">
        <v>12</v>
      </c>
      <c r="C874" t="s">
        <v>15</v>
      </c>
      <c r="D874" t="s">
        <v>13</v>
      </c>
      <c r="E874" t="s">
        <v>22</v>
      </c>
      <c r="F874">
        <v>930</v>
      </c>
      <c r="G874">
        <v>38</v>
      </c>
      <c r="H874" s="6">
        <f t="shared" si="50"/>
        <v>35.340000000000003</v>
      </c>
    </row>
    <row r="875" spans="1:8" hidden="1" x14ac:dyDescent="0.3">
      <c r="A875" s="9">
        <v>45012</v>
      </c>
      <c r="B875" t="s">
        <v>8</v>
      </c>
      <c r="C875" t="s">
        <v>15</v>
      </c>
      <c r="D875" t="s">
        <v>13</v>
      </c>
      <c r="E875" t="s">
        <v>44</v>
      </c>
      <c r="F875">
        <v>2540</v>
      </c>
      <c r="G875">
        <v>51</v>
      </c>
      <c r="H875" s="6">
        <f t="shared" si="50"/>
        <v>129.54</v>
      </c>
    </row>
    <row r="876" spans="1:8" hidden="1" x14ac:dyDescent="0.3">
      <c r="A876" s="9">
        <v>45012</v>
      </c>
      <c r="B876" t="s">
        <v>12</v>
      </c>
      <c r="C876" t="s">
        <v>33</v>
      </c>
      <c r="D876" t="s">
        <v>10</v>
      </c>
      <c r="E876" t="s">
        <v>41</v>
      </c>
      <c r="F876">
        <v>650</v>
      </c>
      <c r="G876">
        <v>9</v>
      </c>
      <c r="H876" s="6">
        <f t="shared" si="50"/>
        <v>5.85</v>
      </c>
    </row>
    <row r="877" spans="1:8" hidden="1" x14ac:dyDescent="0.3">
      <c r="A877" s="9">
        <v>45012</v>
      </c>
      <c r="B877" t="s">
        <v>17</v>
      </c>
      <c r="C877" t="s">
        <v>33</v>
      </c>
      <c r="D877" t="s">
        <v>10</v>
      </c>
      <c r="E877" t="s">
        <v>11</v>
      </c>
      <c r="F877">
        <v>705</v>
      </c>
      <c r="G877">
        <v>17</v>
      </c>
      <c r="H877" s="6">
        <f t="shared" si="50"/>
        <v>11.984999999999999</v>
      </c>
    </row>
    <row r="878" spans="1:8" hidden="1" x14ac:dyDescent="0.3">
      <c r="A878" s="9">
        <v>45012</v>
      </c>
      <c r="B878" t="s">
        <v>8</v>
      </c>
      <c r="C878" t="s">
        <v>33</v>
      </c>
      <c r="D878" t="s">
        <v>18</v>
      </c>
      <c r="E878" t="s">
        <v>31</v>
      </c>
      <c r="F878">
        <v>715</v>
      </c>
      <c r="G878">
        <v>54</v>
      </c>
      <c r="H878" s="6">
        <f t="shared" si="50"/>
        <v>38.61</v>
      </c>
    </row>
    <row r="879" spans="1:8" x14ac:dyDescent="0.3">
      <c r="A879" s="9">
        <v>45012</v>
      </c>
      <c r="B879" t="s">
        <v>45</v>
      </c>
      <c r="C879" t="s">
        <v>33</v>
      </c>
      <c r="D879" t="s">
        <v>13</v>
      </c>
      <c r="E879" t="s">
        <v>29</v>
      </c>
      <c r="F879">
        <v>1230</v>
      </c>
      <c r="G879">
        <v>58</v>
      </c>
      <c r="H879" s="6">
        <f t="shared" si="50"/>
        <v>71.34</v>
      </c>
    </row>
    <row r="880" spans="1:8" hidden="1" x14ac:dyDescent="0.3">
      <c r="A880" s="9">
        <v>45012</v>
      </c>
      <c r="B880" t="s">
        <v>45</v>
      </c>
      <c r="C880" t="s">
        <v>35</v>
      </c>
      <c r="D880" t="s">
        <v>24</v>
      </c>
      <c r="E880" t="s">
        <v>30</v>
      </c>
      <c r="F880">
        <v>2970</v>
      </c>
      <c r="G880">
        <v>49</v>
      </c>
      <c r="H880" s="6">
        <f t="shared" si="50"/>
        <v>145.53</v>
      </c>
    </row>
    <row r="881" spans="1:8" hidden="1" x14ac:dyDescent="0.3">
      <c r="A881" s="9">
        <v>45012</v>
      </c>
      <c r="B881" t="s">
        <v>8</v>
      </c>
      <c r="C881" t="s">
        <v>35</v>
      </c>
      <c r="D881" t="s">
        <v>24</v>
      </c>
      <c r="E881" t="s">
        <v>42</v>
      </c>
      <c r="F881">
        <v>3205</v>
      </c>
      <c r="G881">
        <v>80</v>
      </c>
      <c r="H881" s="6">
        <f t="shared" si="50"/>
        <v>256.39999999999998</v>
      </c>
    </row>
    <row r="882" spans="1:8" hidden="1" x14ac:dyDescent="0.3">
      <c r="A882" s="13" t="s">
        <v>100</v>
      </c>
      <c r="H882" s="6">
        <f>SUBTOTAL(9,H868:H881)</f>
        <v>71.34</v>
      </c>
    </row>
    <row r="883" spans="1:8" hidden="1" x14ac:dyDescent="0.3">
      <c r="A883" s="9">
        <v>45013</v>
      </c>
      <c r="B883" t="s">
        <v>8</v>
      </c>
      <c r="C883" t="s">
        <v>20</v>
      </c>
      <c r="D883" t="s">
        <v>10</v>
      </c>
      <c r="E883" t="s">
        <v>39</v>
      </c>
      <c r="F883">
        <v>650</v>
      </c>
      <c r="G883">
        <v>54</v>
      </c>
      <c r="H883" s="6">
        <f t="shared" ref="H883:H893" si="51">F883*G883/1000</f>
        <v>35.1</v>
      </c>
    </row>
    <row r="884" spans="1:8" hidden="1" x14ac:dyDescent="0.3">
      <c r="A884" s="10">
        <v>45013</v>
      </c>
      <c r="B884" s="11" t="s">
        <v>45</v>
      </c>
      <c r="C884" s="11" t="s">
        <v>20</v>
      </c>
      <c r="D884" s="11" t="s">
        <v>13</v>
      </c>
      <c r="E884" s="11" t="s">
        <v>22</v>
      </c>
      <c r="F884" s="11">
        <v>930</v>
      </c>
      <c r="G884" s="11">
        <v>90</v>
      </c>
      <c r="H884" s="6">
        <f t="shared" si="51"/>
        <v>83.7</v>
      </c>
    </row>
    <row r="885" spans="1:8" hidden="1" x14ac:dyDescent="0.3">
      <c r="A885" s="9">
        <v>45013</v>
      </c>
      <c r="B885" t="s">
        <v>45</v>
      </c>
      <c r="C885" t="s">
        <v>9</v>
      </c>
      <c r="D885" t="s">
        <v>24</v>
      </c>
      <c r="E885" t="s">
        <v>42</v>
      </c>
      <c r="F885">
        <v>3205</v>
      </c>
      <c r="G885">
        <v>74</v>
      </c>
      <c r="H885" s="6">
        <f t="shared" si="51"/>
        <v>237.17</v>
      </c>
    </row>
    <row r="886" spans="1:8" hidden="1" x14ac:dyDescent="0.3">
      <c r="A886" s="9">
        <v>45013</v>
      </c>
      <c r="B886" t="s">
        <v>17</v>
      </c>
      <c r="C886" t="s">
        <v>26</v>
      </c>
      <c r="D886" t="s">
        <v>24</v>
      </c>
      <c r="E886" t="s">
        <v>42</v>
      </c>
      <c r="F886">
        <v>3205</v>
      </c>
      <c r="G886">
        <v>18</v>
      </c>
      <c r="H886" s="6">
        <f t="shared" si="51"/>
        <v>57.69</v>
      </c>
    </row>
    <row r="887" spans="1:8" hidden="1" x14ac:dyDescent="0.3">
      <c r="A887" s="9">
        <v>45013</v>
      </c>
      <c r="B887" t="s">
        <v>45</v>
      </c>
      <c r="C887" t="s">
        <v>15</v>
      </c>
      <c r="D887" t="s">
        <v>10</v>
      </c>
      <c r="E887" t="s">
        <v>41</v>
      </c>
      <c r="F887">
        <v>650</v>
      </c>
      <c r="G887">
        <v>27</v>
      </c>
      <c r="H887" s="6">
        <f t="shared" si="51"/>
        <v>17.55</v>
      </c>
    </row>
    <row r="888" spans="1:8" hidden="1" x14ac:dyDescent="0.3">
      <c r="A888" s="9">
        <v>45013</v>
      </c>
      <c r="B888" t="s">
        <v>12</v>
      </c>
      <c r="C888" t="s">
        <v>15</v>
      </c>
      <c r="D888" t="s">
        <v>18</v>
      </c>
      <c r="E888" t="s">
        <v>28</v>
      </c>
      <c r="F888">
        <v>690</v>
      </c>
      <c r="G888">
        <v>52</v>
      </c>
      <c r="H888" s="6">
        <f t="shared" si="51"/>
        <v>35.880000000000003</v>
      </c>
    </row>
    <row r="889" spans="1:8" hidden="1" x14ac:dyDescent="0.3">
      <c r="A889" s="9">
        <v>45013</v>
      </c>
      <c r="B889" t="s">
        <v>12</v>
      </c>
      <c r="C889" t="s">
        <v>33</v>
      </c>
      <c r="D889" t="s">
        <v>18</v>
      </c>
      <c r="E889" t="s">
        <v>31</v>
      </c>
      <c r="F889">
        <v>715</v>
      </c>
      <c r="G889">
        <v>79</v>
      </c>
      <c r="H889" s="6">
        <f t="shared" si="51"/>
        <v>56.484999999999999</v>
      </c>
    </row>
    <row r="890" spans="1:8" hidden="1" x14ac:dyDescent="0.3">
      <c r="A890" s="9">
        <v>45013</v>
      </c>
      <c r="B890" t="s">
        <v>8</v>
      </c>
      <c r="C890" t="s">
        <v>33</v>
      </c>
      <c r="D890" t="s">
        <v>18</v>
      </c>
      <c r="E890" t="s">
        <v>28</v>
      </c>
      <c r="F890">
        <v>690</v>
      </c>
      <c r="G890">
        <v>98</v>
      </c>
      <c r="H890" s="6">
        <f t="shared" si="51"/>
        <v>67.62</v>
      </c>
    </row>
    <row r="891" spans="1:8" hidden="1" x14ac:dyDescent="0.3">
      <c r="A891" s="9">
        <v>45013</v>
      </c>
      <c r="B891" t="s">
        <v>17</v>
      </c>
      <c r="C891" t="s">
        <v>33</v>
      </c>
      <c r="D891" t="s">
        <v>13</v>
      </c>
      <c r="E891" t="s">
        <v>29</v>
      </c>
      <c r="F891">
        <v>1230</v>
      </c>
      <c r="G891">
        <v>32</v>
      </c>
      <c r="H891" s="6">
        <f t="shared" si="51"/>
        <v>39.36</v>
      </c>
    </row>
    <row r="892" spans="1:8" hidden="1" x14ac:dyDescent="0.3">
      <c r="A892" s="9">
        <v>45013</v>
      </c>
      <c r="B892" t="s">
        <v>12</v>
      </c>
      <c r="C892" t="s">
        <v>35</v>
      </c>
      <c r="D892" t="s">
        <v>10</v>
      </c>
      <c r="E892" t="s">
        <v>23</v>
      </c>
      <c r="F892">
        <v>640</v>
      </c>
      <c r="G892">
        <v>51</v>
      </c>
      <c r="H892" s="6">
        <f t="shared" si="51"/>
        <v>32.64</v>
      </c>
    </row>
    <row r="893" spans="1:8" hidden="1" x14ac:dyDescent="0.3">
      <c r="A893" s="9">
        <v>45013</v>
      </c>
      <c r="B893" t="s">
        <v>17</v>
      </c>
      <c r="C893" t="s">
        <v>35</v>
      </c>
      <c r="D893" t="s">
        <v>13</v>
      </c>
      <c r="E893" t="s">
        <v>43</v>
      </c>
      <c r="F893">
        <v>1420</v>
      </c>
      <c r="G893">
        <v>99</v>
      </c>
      <c r="H893" s="6">
        <f t="shared" si="51"/>
        <v>140.58000000000001</v>
      </c>
    </row>
    <row r="894" spans="1:8" hidden="1" x14ac:dyDescent="0.3">
      <c r="A894" s="13" t="s">
        <v>101</v>
      </c>
      <c r="H894" s="6">
        <f>SUBTOTAL(9,H883:H893)</f>
        <v>0</v>
      </c>
    </row>
    <row r="895" spans="1:8" hidden="1" x14ac:dyDescent="0.3">
      <c r="A895" s="9">
        <v>45014</v>
      </c>
      <c r="B895" t="s">
        <v>45</v>
      </c>
      <c r="C895" t="s">
        <v>26</v>
      </c>
      <c r="D895" t="s">
        <v>24</v>
      </c>
      <c r="E895" t="s">
        <v>34</v>
      </c>
      <c r="F895">
        <v>1670</v>
      </c>
      <c r="G895">
        <v>11</v>
      </c>
      <c r="H895" s="6">
        <f t="shared" ref="H895:H900" si="52">F895*G895/1000</f>
        <v>18.37</v>
      </c>
    </row>
    <row r="896" spans="1:8" hidden="1" x14ac:dyDescent="0.3">
      <c r="A896" s="9">
        <v>45014</v>
      </c>
      <c r="B896" t="s">
        <v>12</v>
      </c>
      <c r="C896" t="s">
        <v>15</v>
      </c>
      <c r="D896" t="s">
        <v>10</v>
      </c>
      <c r="E896" t="s">
        <v>16</v>
      </c>
      <c r="F896">
        <v>1380</v>
      </c>
      <c r="G896">
        <v>23</v>
      </c>
      <c r="H896" s="6">
        <f t="shared" si="52"/>
        <v>31.74</v>
      </c>
    </row>
    <row r="897" spans="1:8" hidden="1" x14ac:dyDescent="0.3">
      <c r="A897" s="9">
        <v>45014</v>
      </c>
      <c r="B897" t="s">
        <v>8</v>
      </c>
      <c r="C897" t="s">
        <v>15</v>
      </c>
      <c r="D897" t="s">
        <v>24</v>
      </c>
      <c r="E897" t="s">
        <v>34</v>
      </c>
      <c r="F897">
        <v>1670</v>
      </c>
      <c r="G897">
        <v>77</v>
      </c>
      <c r="H897" s="6">
        <f t="shared" si="52"/>
        <v>128.59</v>
      </c>
    </row>
    <row r="898" spans="1:8" hidden="1" x14ac:dyDescent="0.3">
      <c r="A898" s="9">
        <v>45014</v>
      </c>
      <c r="B898" t="s">
        <v>12</v>
      </c>
      <c r="C898" t="s">
        <v>33</v>
      </c>
      <c r="D898" t="s">
        <v>10</v>
      </c>
      <c r="E898" t="s">
        <v>16</v>
      </c>
      <c r="F898">
        <v>1380</v>
      </c>
      <c r="G898">
        <v>81</v>
      </c>
      <c r="H898" s="6">
        <f t="shared" si="52"/>
        <v>111.78</v>
      </c>
    </row>
    <row r="899" spans="1:8" hidden="1" x14ac:dyDescent="0.3">
      <c r="A899" s="9">
        <v>45014</v>
      </c>
      <c r="B899" t="s">
        <v>45</v>
      </c>
      <c r="C899" t="s">
        <v>33</v>
      </c>
      <c r="D899" t="s">
        <v>10</v>
      </c>
      <c r="E899" t="s">
        <v>39</v>
      </c>
      <c r="F899">
        <v>650</v>
      </c>
      <c r="G899">
        <v>58</v>
      </c>
      <c r="H899" s="6">
        <f t="shared" si="52"/>
        <v>37.700000000000003</v>
      </c>
    </row>
    <row r="900" spans="1:8" hidden="1" x14ac:dyDescent="0.3">
      <c r="A900" s="9">
        <v>45014</v>
      </c>
      <c r="B900" t="s">
        <v>8</v>
      </c>
      <c r="C900" t="s">
        <v>33</v>
      </c>
      <c r="D900" t="s">
        <v>24</v>
      </c>
      <c r="E900" t="s">
        <v>30</v>
      </c>
      <c r="F900">
        <v>2970</v>
      </c>
      <c r="G900">
        <v>78</v>
      </c>
      <c r="H900" s="6">
        <f t="shared" si="52"/>
        <v>231.66</v>
      </c>
    </row>
    <row r="901" spans="1:8" hidden="1" x14ac:dyDescent="0.3">
      <c r="A901" s="13" t="s">
        <v>102</v>
      </c>
      <c r="H901" s="6">
        <f>SUBTOTAL(9,H895:H900)</f>
        <v>0</v>
      </c>
    </row>
    <row r="902" spans="1:8" hidden="1" x14ac:dyDescent="0.3">
      <c r="A902" s="9">
        <v>45015</v>
      </c>
      <c r="B902" t="s">
        <v>12</v>
      </c>
      <c r="C902" t="s">
        <v>20</v>
      </c>
      <c r="D902" t="s">
        <v>10</v>
      </c>
      <c r="E902" t="s">
        <v>39</v>
      </c>
      <c r="F902">
        <v>650</v>
      </c>
      <c r="G902">
        <v>62</v>
      </c>
      <c r="H902" s="6">
        <f t="shared" ref="H902:H910" si="53">F902*G902/1000</f>
        <v>40.299999999999997</v>
      </c>
    </row>
    <row r="903" spans="1:8" hidden="1" x14ac:dyDescent="0.3">
      <c r="A903" s="10">
        <v>45015</v>
      </c>
      <c r="B903" s="11" t="s">
        <v>8</v>
      </c>
      <c r="C903" s="11" t="s">
        <v>20</v>
      </c>
      <c r="D903" s="11" t="s">
        <v>13</v>
      </c>
      <c r="E903" s="11" t="s">
        <v>29</v>
      </c>
      <c r="F903" s="11">
        <v>1230</v>
      </c>
      <c r="G903" s="11">
        <v>47</v>
      </c>
      <c r="H903" s="6">
        <f t="shared" si="53"/>
        <v>57.81</v>
      </c>
    </row>
    <row r="904" spans="1:8" hidden="1" x14ac:dyDescent="0.3">
      <c r="A904" s="9">
        <v>45015</v>
      </c>
      <c r="B904" t="s">
        <v>45</v>
      </c>
      <c r="C904" t="s">
        <v>20</v>
      </c>
      <c r="D904" t="s">
        <v>13</v>
      </c>
      <c r="E904" t="s">
        <v>43</v>
      </c>
      <c r="F904">
        <v>1420</v>
      </c>
      <c r="G904">
        <v>83</v>
      </c>
      <c r="H904" s="6">
        <f t="shared" si="53"/>
        <v>117.86</v>
      </c>
    </row>
    <row r="905" spans="1:8" hidden="1" x14ac:dyDescent="0.3">
      <c r="A905" s="9">
        <v>45015</v>
      </c>
      <c r="B905" t="s">
        <v>45</v>
      </c>
      <c r="C905" t="s">
        <v>9</v>
      </c>
      <c r="D905" t="s">
        <v>18</v>
      </c>
      <c r="E905" t="s">
        <v>28</v>
      </c>
      <c r="F905">
        <v>690</v>
      </c>
      <c r="G905">
        <v>82</v>
      </c>
      <c r="H905" s="6">
        <f t="shared" si="53"/>
        <v>56.58</v>
      </c>
    </row>
    <row r="906" spans="1:8" hidden="1" x14ac:dyDescent="0.3">
      <c r="A906" s="9">
        <v>45015</v>
      </c>
      <c r="B906" t="s">
        <v>8</v>
      </c>
      <c r="C906" t="s">
        <v>9</v>
      </c>
      <c r="D906" t="s">
        <v>13</v>
      </c>
      <c r="E906" t="s">
        <v>14</v>
      </c>
      <c r="F906">
        <v>1320</v>
      </c>
      <c r="G906">
        <v>47</v>
      </c>
      <c r="H906" s="6">
        <f t="shared" si="53"/>
        <v>62.04</v>
      </c>
    </row>
    <row r="907" spans="1:8" hidden="1" x14ac:dyDescent="0.3">
      <c r="A907" s="9">
        <v>45015</v>
      </c>
      <c r="B907" t="s">
        <v>45</v>
      </c>
      <c r="C907" t="s">
        <v>26</v>
      </c>
      <c r="D907" t="s">
        <v>24</v>
      </c>
      <c r="E907" t="s">
        <v>32</v>
      </c>
      <c r="F907">
        <v>1505</v>
      </c>
      <c r="G907">
        <v>78</v>
      </c>
      <c r="H907" s="6">
        <f t="shared" si="53"/>
        <v>117.39</v>
      </c>
    </row>
    <row r="908" spans="1:8" hidden="1" x14ac:dyDescent="0.3">
      <c r="A908" s="9">
        <v>45015</v>
      </c>
      <c r="B908" t="s">
        <v>12</v>
      </c>
      <c r="C908" t="s">
        <v>15</v>
      </c>
      <c r="D908" t="s">
        <v>24</v>
      </c>
      <c r="E908" t="s">
        <v>25</v>
      </c>
      <c r="F908">
        <v>1760</v>
      </c>
      <c r="G908">
        <v>91</v>
      </c>
      <c r="H908" s="6">
        <f t="shared" si="53"/>
        <v>160.16</v>
      </c>
    </row>
    <row r="909" spans="1:8" hidden="1" x14ac:dyDescent="0.3">
      <c r="A909" s="9">
        <v>45015</v>
      </c>
      <c r="B909" t="s">
        <v>8</v>
      </c>
      <c r="C909" t="s">
        <v>33</v>
      </c>
      <c r="D909" t="s">
        <v>10</v>
      </c>
      <c r="E909" t="s">
        <v>40</v>
      </c>
      <c r="F909">
        <v>540</v>
      </c>
      <c r="G909">
        <v>18</v>
      </c>
      <c r="H909" s="6">
        <f t="shared" si="53"/>
        <v>9.7200000000000006</v>
      </c>
    </row>
    <row r="910" spans="1:8" hidden="1" x14ac:dyDescent="0.3">
      <c r="A910" s="9">
        <v>45015</v>
      </c>
      <c r="B910" t="s">
        <v>17</v>
      </c>
      <c r="C910" t="s">
        <v>33</v>
      </c>
      <c r="D910" t="s">
        <v>10</v>
      </c>
      <c r="E910" t="s">
        <v>11</v>
      </c>
      <c r="F910">
        <v>705</v>
      </c>
      <c r="G910">
        <v>90</v>
      </c>
      <c r="H910" s="6">
        <f t="shared" si="53"/>
        <v>63.45</v>
      </c>
    </row>
    <row r="911" spans="1:8" hidden="1" x14ac:dyDescent="0.3">
      <c r="A911" s="13" t="s">
        <v>103</v>
      </c>
      <c r="H911" s="6">
        <f>SUBTOTAL(9,H902:H910)</f>
        <v>0</v>
      </c>
    </row>
    <row r="912" spans="1:8" hidden="1" x14ac:dyDescent="0.3">
      <c r="A912" s="10">
        <v>45016</v>
      </c>
      <c r="B912" s="11" t="s">
        <v>12</v>
      </c>
      <c r="C912" s="11" t="s">
        <v>20</v>
      </c>
      <c r="D912" s="11" t="s">
        <v>13</v>
      </c>
      <c r="E912" s="11" t="s">
        <v>44</v>
      </c>
      <c r="F912" s="11">
        <v>2540</v>
      </c>
      <c r="G912" s="11">
        <v>48</v>
      </c>
      <c r="H912" s="6">
        <f t="shared" ref="H912:H921" si="54">F912*G912/1000</f>
        <v>121.92</v>
      </c>
    </row>
    <row r="913" spans="1:8" hidden="1" x14ac:dyDescent="0.3">
      <c r="A913" s="9">
        <v>45016</v>
      </c>
      <c r="B913" t="s">
        <v>17</v>
      </c>
      <c r="C913" t="s">
        <v>20</v>
      </c>
      <c r="D913" t="s">
        <v>24</v>
      </c>
      <c r="E913" t="s">
        <v>25</v>
      </c>
      <c r="F913">
        <v>1760</v>
      </c>
      <c r="G913">
        <v>84</v>
      </c>
      <c r="H913" s="6">
        <f t="shared" si="54"/>
        <v>147.84</v>
      </c>
    </row>
    <row r="914" spans="1:8" hidden="1" x14ac:dyDescent="0.3">
      <c r="A914" s="9">
        <v>45016</v>
      </c>
      <c r="B914" t="s">
        <v>45</v>
      </c>
      <c r="C914" t="s">
        <v>9</v>
      </c>
      <c r="D914" t="s">
        <v>24</v>
      </c>
      <c r="E914" t="s">
        <v>32</v>
      </c>
      <c r="F914">
        <v>1505</v>
      </c>
      <c r="G914">
        <v>46</v>
      </c>
      <c r="H914" s="6">
        <f t="shared" si="54"/>
        <v>69.23</v>
      </c>
    </row>
    <row r="915" spans="1:8" hidden="1" x14ac:dyDescent="0.3">
      <c r="A915" s="9">
        <v>45016</v>
      </c>
      <c r="B915" t="s">
        <v>8</v>
      </c>
      <c r="C915" t="s">
        <v>15</v>
      </c>
      <c r="D915" t="s">
        <v>10</v>
      </c>
      <c r="E915" t="s">
        <v>11</v>
      </c>
      <c r="F915">
        <v>705</v>
      </c>
      <c r="G915">
        <v>5</v>
      </c>
      <c r="H915" s="6">
        <f t="shared" si="54"/>
        <v>3.5249999999999999</v>
      </c>
    </row>
    <row r="916" spans="1:8" hidden="1" x14ac:dyDescent="0.3">
      <c r="A916" s="9">
        <v>45016</v>
      </c>
      <c r="B916" t="s">
        <v>12</v>
      </c>
      <c r="C916" t="s">
        <v>15</v>
      </c>
      <c r="D916" t="s">
        <v>10</v>
      </c>
      <c r="E916" t="s">
        <v>40</v>
      </c>
      <c r="F916">
        <v>540</v>
      </c>
      <c r="G916">
        <v>76</v>
      </c>
      <c r="H916" s="6">
        <f t="shared" si="54"/>
        <v>41.04</v>
      </c>
    </row>
    <row r="917" spans="1:8" hidden="1" x14ac:dyDescent="0.3">
      <c r="A917" s="9">
        <v>45016</v>
      </c>
      <c r="B917" t="s">
        <v>45</v>
      </c>
      <c r="C917" t="s">
        <v>15</v>
      </c>
      <c r="D917" t="s">
        <v>10</v>
      </c>
      <c r="E917" t="s">
        <v>39</v>
      </c>
      <c r="F917">
        <v>650</v>
      </c>
      <c r="G917">
        <v>90</v>
      </c>
      <c r="H917" s="6">
        <f t="shared" si="54"/>
        <v>58.5</v>
      </c>
    </row>
    <row r="918" spans="1:8" hidden="1" x14ac:dyDescent="0.3">
      <c r="A918" s="9">
        <v>45016</v>
      </c>
      <c r="B918" t="s">
        <v>45</v>
      </c>
      <c r="C918" t="s">
        <v>15</v>
      </c>
      <c r="D918" t="s">
        <v>13</v>
      </c>
      <c r="E918" t="s">
        <v>43</v>
      </c>
      <c r="F918">
        <v>1420</v>
      </c>
      <c r="G918">
        <v>98</v>
      </c>
      <c r="H918" s="6">
        <f t="shared" si="54"/>
        <v>139.16</v>
      </c>
    </row>
    <row r="919" spans="1:8" hidden="1" x14ac:dyDescent="0.3">
      <c r="A919" s="9">
        <v>45016</v>
      </c>
      <c r="B919" t="s">
        <v>45</v>
      </c>
      <c r="C919" t="s">
        <v>33</v>
      </c>
      <c r="D919" t="s">
        <v>10</v>
      </c>
      <c r="E919" t="s">
        <v>16</v>
      </c>
      <c r="F919">
        <v>1380</v>
      </c>
      <c r="G919">
        <v>43</v>
      </c>
      <c r="H919" s="6">
        <f t="shared" si="54"/>
        <v>59.34</v>
      </c>
    </row>
    <row r="920" spans="1:8" hidden="1" x14ac:dyDescent="0.3">
      <c r="A920" s="9">
        <v>45016</v>
      </c>
      <c r="B920" t="s">
        <v>45</v>
      </c>
      <c r="C920" t="s">
        <v>35</v>
      </c>
      <c r="D920" t="s">
        <v>10</v>
      </c>
      <c r="E920" t="s">
        <v>16</v>
      </c>
      <c r="F920">
        <v>1380</v>
      </c>
      <c r="G920">
        <v>74</v>
      </c>
      <c r="H920" s="6">
        <f t="shared" si="54"/>
        <v>102.12</v>
      </c>
    </row>
    <row r="921" spans="1:8" hidden="1" x14ac:dyDescent="0.3">
      <c r="A921" s="9">
        <v>45016</v>
      </c>
      <c r="B921" t="s">
        <v>17</v>
      </c>
      <c r="C921" t="s">
        <v>35</v>
      </c>
      <c r="D921" t="s">
        <v>10</v>
      </c>
      <c r="E921" t="s">
        <v>23</v>
      </c>
      <c r="F921">
        <v>640</v>
      </c>
      <c r="G921">
        <v>53</v>
      </c>
      <c r="H921" s="6">
        <f t="shared" si="54"/>
        <v>33.92</v>
      </c>
    </row>
    <row r="922" spans="1:8" hidden="1" x14ac:dyDescent="0.3">
      <c r="A922" s="13" t="s">
        <v>104</v>
      </c>
      <c r="H922" s="6">
        <f>SUBTOTAL(9,H912:H921)</f>
        <v>0</v>
      </c>
    </row>
    <row r="923" spans="1:8" hidden="1" x14ac:dyDescent="0.3">
      <c r="A923" s="9">
        <v>45017</v>
      </c>
      <c r="B923" t="s">
        <v>17</v>
      </c>
      <c r="C923" t="s">
        <v>9</v>
      </c>
      <c r="D923" t="s">
        <v>13</v>
      </c>
      <c r="E923" t="s">
        <v>22</v>
      </c>
      <c r="F923">
        <v>930</v>
      </c>
      <c r="G923">
        <v>47</v>
      </c>
      <c r="H923" s="6">
        <f t="shared" ref="H923:H930" si="55">F923*G923/1000</f>
        <v>43.71</v>
      </c>
    </row>
    <row r="924" spans="1:8" hidden="1" x14ac:dyDescent="0.3">
      <c r="A924" s="9">
        <v>45017</v>
      </c>
      <c r="B924" t="s">
        <v>17</v>
      </c>
      <c r="C924" t="s">
        <v>26</v>
      </c>
      <c r="D924" t="s">
        <v>10</v>
      </c>
      <c r="E924" t="s">
        <v>39</v>
      </c>
      <c r="F924">
        <v>650</v>
      </c>
      <c r="G924">
        <v>52</v>
      </c>
      <c r="H924" s="6">
        <f t="shared" si="55"/>
        <v>33.799999999999997</v>
      </c>
    </row>
    <row r="925" spans="1:8" hidden="1" x14ac:dyDescent="0.3">
      <c r="A925" s="9">
        <v>45017</v>
      </c>
      <c r="B925" t="s">
        <v>17</v>
      </c>
      <c r="C925" t="s">
        <v>26</v>
      </c>
      <c r="D925" t="s">
        <v>10</v>
      </c>
      <c r="E925" t="s">
        <v>11</v>
      </c>
      <c r="F925">
        <v>705</v>
      </c>
      <c r="G925">
        <v>5</v>
      </c>
      <c r="H925" s="6">
        <f t="shared" si="55"/>
        <v>3.5249999999999999</v>
      </c>
    </row>
    <row r="926" spans="1:8" hidden="1" x14ac:dyDescent="0.3">
      <c r="A926" s="9">
        <v>45017</v>
      </c>
      <c r="B926" t="s">
        <v>45</v>
      </c>
      <c r="C926" t="s">
        <v>26</v>
      </c>
      <c r="D926" t="s">
        <v>18</v>
      </c>
      <c r="E926" t="s">
        <v>21</v>
      </c>
      <c r="F926">
        <v>450</v>
      </c>
      <c r="G926">
        <v>56</v>
      </c>
      <c r="H926" s="6">
        <f t="shared" si="55"/>
        <v>25.2</v>
      </c>
    </row>
    <row r="927" spans="1:8" hidden="1" x14ac:dyDescent="0.3">
      <c r="A927" s="9">
        <v>45017</v>
      </c>
      <c r="B927" t="s">
        <v>17</v>
      </c>
      <c r="C927" t="s">
        <v>15</v>
      </c>
      <c r="D927" t="s">
        <v>10</v>
      </c>
      <c r="E927" t="s">
        <v>16</v>
      </c>
      <c r="F927">
        <v>1380</v>
      </c>
      <c r="G927">
        <v>34</v>
      </c>
      <c r="H927" s="6">
        <f t="shared" si="55"/>
        <v>46.92</v>
      </c>
    </row>
    <row r="928" spans="1:8" hidden="1" x14ac:dyDescent="0.3">
      <c r="A928" s="9">
        <v>45017</v>
      </c>
      <c r="B928" t="s">
        <v>12</v>
      </c>
      <c r="C928" t="s">
        <v>15</v>
      </c>
      <c r="D928" t="s">
        <v>18</v>
      </c>
      <c r="E928" t="s">
        <v>19</v>
      </c>
      <c r="F928">
        <v>325</v>
      </c>
      <c r="G928">
        <v>18</v>
      </c>
      <c r="H928" s="6">
        <f t="shared" si="55"/>
        <v>5.85</v>
      </c>
    </row>
    <row r="929" spans="1:8" hidden="1" x14ac:dyDescent="0.3">
      <c r="A929" s="9">
        <v>45017</v>
      </c>
      <c r="B929" t="s">
        <v>45</v>
      </c>
      <c r="C929" t="s">
        <v>15</v>
      </c>
      <c r="D929" t="s">
        <v>18</v>
      </c>
      <c r="E929" t="s">
        <v>19</v>
      </c>
      <c r="F929">
        <v>325</v>
      </c>
      <c r="G929">
        <v>23</v>
      </c>
      <c r="H929" s="6">
        <f t="shared" si="55"/>
        <v>7.4749999999999996</v>
      </c>
    </row>
    <row r="930" spans="1:8" hidden="1" x14ac:dyDescent="0.3">
      <c r="A930" s="9">
        <v>45017</v>
      </c>
      <c r="B930" t="s">
        <v>8</v>
      </c>
      <c r="C930" t="s">
        <v>33</v>
      </c>
      <c r="D930" t="s">
        <v>10</v>
      </c>
      <c r="E930" t="s">
        <v>11</v>
      </c>
      <c r="F930">
        <v>705</v>
      </c>
      <c r="G930">
        <v>78</v>
      </c>
      <c r="H930" s="6">
        <f t="shared" si="55"/>
        <v>54.99</v>
      </c>
    </row>
    <row r="931" spans="1:8" hidden="1" x14ac:dyDescent="0.3">
      <c r="A931" s="13" t="s">
        <v>105</v>
      </c>
      <c r="H931" s="6">
        <f>SUBTOTAL(9,H923:H930)</f>
        <v>0</v>
      </c>
    </row>
    <row r="932" spans="1:8" hidden="1" x14ac:dyDescent="0.3">
      <c r="A932" s="10">
        <v>45018</v>
      </c>
      <c r="B932" s="11" t="s">
        <v>12</v>
      </c>
      <c r="C932" s="11" t="s">
        <v>20</v>
      </c>
      <c r="D932" s="11" t="s">
        <v>13</v>
      </c>
      <c r="E932" s="11" t="s">
        <v>29</v>
      </c>
      <c r="F932" s="11">
        <v>1230</v>
      </c>
      <c r="G932" s="11">
        <v>29</v>
      </c>
      <c r="H932" s="6">
        <f t="shared" ref="H932:H938" si="56">F932*G932/1000</f>
        <v>35.67</v>
      </c>
    </row>
    <row r="933" spans="1:8" hidden="1" x14ac:dyDescent="0.3">
      <c r="A933" s="9">
        <v>45018</v>
      </c>
      <c r="B933" t="s">
        <v>8</v>
      </c>
      <c r="C933" t="s">
        <v>20</v>
      </c>
      <c r="D933" t="s">
        <v>24</v>
      </c>
      <c r="E933" t="s">
        <v>34</v>
      </c>
      <c r="F933">
        <v>1670</v>
      </c>
      <c r="G933">
        <v>78</v>
      </c>
      <c r="H933" s="6">
        <f t="shared" si="56"/>
        <v>130.26</v>
      </c>
    </row>
    <row r="934" spans="1:8" hidden="1" x14ac:dyDescent="0.3">
      <c r="A934" s="9">
        <v>45018</v>
      </c>
      <c r="B934" t="s">
        <v>45</v>
      </c>
      <c r="C934" t="s">
        <v>15</v>
      </c>
      <c r="D934" t="s">
        <v>24</v>
      </c>
      <c r="E934" t="s">
        <v>25</v>
      </c>
      <c r="F934">
        <v>1760</v>
      </c>
      <c r="G934">
        <v>92</v>
      </c>
      <c r="H934" s="6">
        <f t="shared" si="56"/>
        <v>161.91999999999999</v>
      </c>
    </row>
    <row r="935" spans="1:8" hidden="1" x14ac:dyDescent="0.3">
      <c r="A935" s="9">
        <v>45018</v>
      </c>
      <c r="B935" t="s">
        <v>8</v>
      </c>
      <c r="C935" t="s">
        <v>33</v>
      </c>
      <c r="D935" t="s">
        <v>10</v>
      </c>
      <c r="E935" t="s">
        <v>16</v>
      </c>
      <c r="F935">
        <v>1380</v>
      </c>
      <c r="G935">
        <v>68</v>
      </c>
      <c r="H935" s="6">
        <f t="shared" si="56"/>
        <v>93.84</v>
      </c>
    </row>
    <row r="936" spans="1:8" hidden="1" x14ac:dyDescent="0.3">
      <c r="A936" s="9">
        <v>45018</v>
      </c>
      <c r="B936" t="s">
        <v>12</v>
      </c>
      <c r="C936" t="s">
        <v>35</v>
      </c>
      <c r="D936" t="s">
        <v>18</v>
      </c>
      <c r="E936" t="s">
        <v>19</v>
      </c>
      <c r="F936">
        <v>325</v>
      </c>
      <c r="G936">
        <v>5</v>
      </c>
      <c r="H936" s="6">
        <f t="shared" si="56"/>
        <v>1.625</v>
      </c>
    </row>
    <row r="937" spans="1:8" hidden="1" x14ac:dyDescent="0.3">
      <c r="A937" s="9">
        <v>45018</v>
      </c>
      <c r="B937" t="s">
        <v>17</v>
      </c>
      <c r="C937" t="s">
        <v>35</v>
      </c>
      <c r="D937" t="s">
        <v>13</v>
      </c>
      <c r="E937" t="s">
        <v>38</v>
      </c>
      <c r="F937">
        <v>2400</v>
      </c>
      <c r="G937">
        <v>76</v>
      </c>
      <c r="H937" s="6">
        <f t="shared" si="56"/>
        <v>182.4</v>
      </c>
    </row>
    <row r="938" spans="1:8" hidden="1" x14ac:dyDescent="0.3">
      <c r="A938" s="9">
        <v>45018</v>
      </c>
      <c r="B938" t="s">
        <v>17</v>
      </c>
      <c r="C938" t="s">
        <v>35</v>
      </c>
      <c r="D938" t="s">
        <v>24</v>
      </c>
      <c r="E938" t="s">
        <v>32</v>
      </c>
      <c r="F938">
        <v>1505</v>
      </c>
      <c r="G938">
        <v>34</v>
      </c>
      <c r="H938" s="6">
        <f t="shared" si="56"/>
        <v>51.17</v>
      </c>
    </row>
    <row r="939" spans="1:8" hidden="1" x14ac:dyDescent="0.3">
      <c r="A939" s="13" t="s">
        <v>106</v>
      </c>
      <c r="H939" s="6">
        <f>SUBTOTAL(9,H932:H938)</f>
        <v>0</v>
      </c>
    </row>
    <row r="940" spans="1:8" hidden="1" x14ac:dyDescent="0.3">
      <c r="A940" s="10">
        <v>45019</v>
      </c>
      <c r="B940" s="11" t="s">
        <v>8</v>
      </c>
      <c r="C940" s="11" t="s">
        <v>20</v>
      </c>
      <c r="D940" s="11" t="s">
        <v>13</v>
      </c>
      <c r="E940" s="11" t="s">
        <v>38</v>
      </c>
      <c r="F940" s="11">
        <v>2400</v>
      </c>
      <c r="G940" s="11">
        <v>21</v>
      </c>
      <c r="H940" s="6">
        <f t="shared" ref="H940:H949" si="57">F940*G940/1000</f>
        <v>50.4</v>
      </c>
    </row>
    <row r="941" spans="1:8" hidden="1" x14ac:dyDescent="0.3">
      <c r="A941" s="9">
        <v>45019</v>
      </c>
      <c r="B941" t="s">
        <v>12</v>
      </c>
      <c r="C941" t="s">
        <v>9</v>
      </c>
      <c r="D941" t="s">
        <v>13</v>
      </c>
      <c r="E941" t="s">
        <v>38</v>
      </c>
      <c r="F941">
        <v>2400</v>
      </c>
      <c r="G941">
        <v>27</v>
      </c>
      <c r="H941" s="6">
        <f t="shared" si="57"/>
        <v>64.8</v>
      </c>
    </row>
    <row r="942" spans="1:8" hidden="1" x14ac:dyDescent="0.3">
      <c r="A942" s="9">
        <v>45019</v>
      </c>
      <c r="B942" t="s">
        <v>17</v>
      </c>
      <c r="C942" t="s">
        <v>9</v>
      </c>
      <c r="D942" t="s">
        <v>24</v>
      </c>
      <c r="E942" t="s">
        <v>42</v>
      </c>
      <c r="F942">
        <v>3205</v>
      </c>
      <c r="G942">
        <v>81</v>
      </c>
      <c r="H942" s="6">
        <f t="shared" si="57"/>
        <v>259.60500000000002</v>
      </c>
    </row>
    <row r="943" spans="1:8" hidden="1" x14ac:dyDescent="0.3">
      <c r="A943" s="9">
        <v>45019</v>
      </c>
      <c r="B943" t="s">
        <v>8</v>
      </c>
      <c r="C943" t="s">
        <v>26</v>
      </c>
      <c r="D943" t="s">
        <v>18</v>
      </c>
      <c r="E943" t="s">
        <v>28</v>
      </c>
      <c r="F943">
        <v>690</v>
      </c>
      <c r="G943">
        <v>10</v>
      </c>
      <c r="H943" s="6">
        <f t="shared" si="57"/>
        <v>6.9</v>
      </c>
    </row>
    <row r="944" spans="1:8" hidden="1" x14ac:dyDescent="0.3">
      <c r="A944" s="9">
        <v>45019</v>
      </c>
      <c r="B944" t="s">
        <v>17</v>
      </c>
      <c r="C944" t="s">
        <v>26</v>
      </c>
      <c r="D944" t="s">
        <v>18</v>
      </c>
      <c r="E944" t="s">
        <v>21</v>
      </c>
      <c r="F944">
        <v>450</v>
      </c>
      <c r="G944">
        <v>74</v>
      </c>
      <c r="H944" s="6">
        <f t="shared" si="57"/>
        <v>33.299999999999997</v>
      </c>
    </row>
    <row r="945" spans="1:8" hidden="1" x14ac:dyDescent="0.3">
      <c r="A945" s="9">
        <v>45019</v>
      </c>
      <c r="B945" t="s">
        <v>8</v>
      </c>
      <c r="C945" t="s">
        <v>26</v>
      </c>
      <c r="D945" t="s">
        <v>13</v>
      </c>
      <c r="E945" t="s">
        <v>38</v>
      </c>
      <c r="F945">
        <v>2400</v>
      </c>
      <c r="G945">
        <v>72</v>
      </c>
      <c r="H945" s="6">
        <f t="shared" si="57"/>
        <v>172.8</v>
      </c>
    </row>
    <row r="946" spans="1:8" hidden="1" x14ac:dyDescent="0.3">
      <c r="A946" s="9">
        <v>45019</v>
      </c>
      <c r="B946" t="s">
        <v>12</v>
      </c>
      <c r="C946" t="s">
        <v>26</v>
      </c>
      <c r="D946" t="s">
        <v>13</v>
      </c>
      <c r="E946" t="s">
        <v>44</v>
      </c>
      <c r="F946">
        <v>2540</v>
      </c>
      <c r="G946">
        <v>79</v>
      </c>
      <c r="H946" s="6">
        <f t="shared" si="57"/>
        <v>200.66</v>
      </c>
    </row>
    <row r="947" spans="1:8" hidden="1" x14ac:dyDescent="0.3">
      <c r="A947" s="9">
        <v>45019</v>
      </c>
      <c r="B947" t="s">
        <v>45</v>
      </c>
      <c r="C947" t="s">
        <v>15</v>
      </c>
      <c r="D947" t="s">
        <v>18</v>
      </c>
      <c r="E947" t="s">
        <v>19</v>
      </c>
      <c r="F947">
        <v>325</v>
      </c>
      <c r="G947">
        <v>81</v>
      </c>
      <c r="H947" s="6">
        <f t="shared" si="57"/>
        <v>26.324999999999999</v>
      </c>
    </row>
    <row r="948" spans="1:8" hidden="1" x14ac:dyDescent="0.3">
      <c r="A948" s="9">
        <v>45019</v>
      </c>
      <c r="B948" t="s">
        <v>8</v>
      </c>
      <c r="C948" t="s">
        <v>15</v>
      </c>
      <c r="D948" t="s">
        <v>13</v>
      </c>
      <c r="E948" t="s">
        <v>22</v>
      </c>
      <c r="F948">
        <v>930</v>
      </c>
      <c r="G948">
        <v>89</v>
      </c>
      <c r="H948" s="6">
        <f t="shared" si="57"/>
        <v>82.77</v>
      </c>
    </row>
    <row r="949" spans="1:8" hidden="1" x14ac:dyDescent="0.3">
      <c r="A949" s="9">
        <v>45019</v>
      </c>
      <c r="B949" t="s">
        <v>12</v>
      </c>
      <c r="C949" t="s">
        <v>33</v>
      </c>
      <c r="D949" t="s">
        <v>18</v>
      </c>
      <c r="E949" t="s">
        <v>37</v>
      </c>
      <c r="F949">
        <v>890</v>
      </c>
      <c r="G949">
        <v>8</v>
      </c>
      <c r="H949" s="6">
        <f t="shared" si="57"/>
        <v>7.12</v>
      </c>
    </row>
    <row r="950" spans="1:8" hidden="1" x14ac:dyDescent="0.3">
      <c r="A950" s="13" t="s">
        <v>107</v>
      </c>
      <c r="H950" s="6">
        <f>SUBTOTAL(9,H940:H949)</f>
        <v>0</v>
      </c>
    </row>
    <row r="951" spans="1:8" hidden="1" x14ac:dyDescent="0.3">
      <c r="A951" s="9">
        <v>45020</v>
      </c>
      <c r="B951" t="s">
        <v>17</v>
      </c>
      <c r="C951" t="s">
        <v>20</v>
      </c>
      <c r="D951" t="s">
        <v>13</v>
      </c>
      <c r="E951" t="s">
        <v>22</v>
      </c>
      <c r="F951">
        <v>930</v>
      </c>
      <c r="G951">
        <v>40</v>
      </c>
      <c r="H951" s="6">
        <f t="shared" ref="H951:H962" si="58">F951*G951/1000</f>
        <v>37.200000000000003</v>
      </c>
    </row>
    <row r="952" spans="1:8" hidden="1" x14ac:dyDescent="0.3">
      <c r="A952" s="10">
        <v>45020</v>
      </c>
      <c r="B952" s="11" t="s">
        <v>8</v>
      </c>
      <c r="C952" s="11" t="s">
        <v>20</v>
      </c>
      <c r="D952" s="11" t="s">
        <v>13</v>
      </c>
      <c r="E952" s="11" t="s">
        <v>29</v>
      </c>
      <c r="F952" s="11">
        <v>1230</v>
      </c>
      <c r="G952" s="11">
        <v>33</v>
      </c>
      <c r="H952" s="6">
        <f t="shared" si="58"/>
        <v>40.590000000000003</v>
      </c>
    </row>
    <row r="953" spans="1:8" hidden="1" x14ac:dyDescent="0.3">
      <c r="A953" s="9">
        <v>45020</v>
      </c>
      <c r="B953" t="s">
        <v>45</v>
      </c>
      <c r="C953" t="s">
        <v>20</v>
      </c>
      <c r="D953" t="s">
        <v>24</v>
      </c>
      <c r="E953" t="s">
        <v>32</v>
      </c>
      <c r="F953">
        <v>1505</v>
      </c>
      <c r="G953">
        <v>74</v>
      </c>
      <c r="H953" s="6">
        <f t="shared" si="58"/>
        <v>111.37</v>
      </c>
    </row>
    <row r="954" spans="1:8" hidden="1" x14ac:dyDescent="0.3">
      <c r="A954" s="9">
        <v>45020</v>
      </c>
      <c r="B954" t="s">
        <v>17</v>
      </c>
      <c r="C954" t="s">
        <v>26</v>
      </c>
      <c r="D954" t="s">
        <v>18</v>
      </c>
      <c r="E954" t="s">
        <v>21</v>
      </c>
      <c r="F954">
        <v>450</v>
      </c>
      <c r="G954">
        <v>99</v>
      </c>
      <c r="H954" s="6">
        <f t="shared" si="58"/>
        <v>44.55</v>
      </c>
    </row>
    <row r="955" spans="1:8" hidden="1" x14ac:dyDescent="0.3">
      <c r="A955" s="9">
        <v>45020</v>
      </c>
      <c r="B955" t="s">
        <v>45</v>
      </c>
      <c r="C955" t="s">
        <v>26</v>
      </c>
      <c r="D955" t="s">
        <v>13</v>
      </c>
      <c r="E955" t="s">
        <v>22</v>
      </c>
      <c r="F955">
        <v>930</v>
      </c>
      <c r="G955">
        <v>22</v>
      </c>
      <c r="H955" s="6">
        <f t="shared" si="58"/>
        <v>20.46</v>
      </c>
    </row>
    <row r="956" spans="1:8" hidden="1" x14ac:dyDescent="0.3">
      <c r="A956" s="9">
        <v>45020</v>
      </c>
      <c r="B956" t="s">
        <v>8</v>
      </c>
      <c r="C956" t="s">
        <v>15</v>
      </c>
      <c r="D956" t="s">
        <v>13</v>
      </c>
      <c r="E956" t="s">
        <v>14</v>
      </c>
      <c r="F956">
        <v>1320</v>
      </c>
      <c r="G956">
        <v>17</v>
      </c>
      <c r="H956" s="6">
        <f t="shared" si="58"/>
        <v>22.44</v>
      </c>
    </row>
    <row r="957" spans="1:8" hidden="1" x14ac:dyDescent="0.3">
      <c r="A957" s="9">
        <v>45020</v>
      </c>
      <c r="B957" t="s">
        <v>17</v>
      </c>
      <c r="C957" t="s">
        <v>15</v>
      </c>
      <c r="D957" t="s">
        <v>13</v>
      </c>
      <c r="E957" t="s">
        <v>29</v>
      </c>
      <c r="F957">
        <v>1230</v>
      </c>
      <c r="G957">
        <v>94</v>
      </c>
      <c r="H957" s="6">
        <f t="shared" si="58"/>
        <v>115.62</v>
      </c>
    </row>
    <row r="958" spans="1:8" hidden="1" x14ac:dyDescent="0.3">
      <c r="A958" s="9">
        <v>45020</v>
      </c>
      <c r="B958" t="s">
        <v>45</v>
      </c>
      <c r="C958" t="s">
        <v>33</v>
      </c>
      <c r="D958" t="s">
        <v>24</v>
      </c>
      <c r="E958" t="s">
        <v>34</v>
      </c>
      <c r="F958">
        <v>1670</v>
      </c>
      <c r="G958">
        <v>51</v>
      </c>
      <c r="H958" s="6">
        <f t="shared" si="58"/>
        <v>85.17</v>
      </c>
    </row>
    <row r="959" spans="1:8" hidden="1" x14ac:dyDescent="0.3">
      <c r="A959" s="9">
        <v>45020</v>
      </c>
      <c r="B959" t="s">
        <v>45</v>
      </c>
      <c r="C959" t="s">
        <v>35</v>
      </c>
      <c r="D959" t="s">
        <v>10</v>
      </c>
      <c r="E959" t="s">
        <v>16</v>
      </c>
      <c r="F959">
        <v>1380</v>
      </c>
      <c r="G959">
        <v>53</v>
      </c>
      <c r="H959" s="6">
        <f t="shared" si="58"/>
        <v>73.14</v>
      </c>
    </row>
    <row r="960" spans="1:8" hidden="1" x14ac:dyDescent="0.3">
      <c r="A960" s="9">
        <v>45020</v>
      </c>
      <c r="B960" t="s">
        <v>45</v>
      </c>
      <c r="C960" t="s">
        <v>35</v>
      </c>
      <c r="D960" t="s">
        <v>18</v>
      </c>
      <c r="E960" t="s">
        <v>27</v>
      </c>
      <c r="F960">
        <v>460</v>
      </c>
      <c r="G960">
        <v>28</v>
      </c>
      <c r="H960" s="6">
        <f t="shared" si="58"/>
        <v>12.88</v>
      </c>
    </row>
    <row r="961" spans="1:8" hidden="1" x14ac:dyDescent="0.3">
      <c r="A961" s="9">
        <v>45020</v>
      </c>
      <c r="B961" t="s">
        <v>17</v>
      </c>
      <c r="C961" t="s">
        <v>35</v>
      </c>
      <c r="D961" t="s">
        <v>18</v>
      </c>
      <c r="E961" t="s">
        <v>37</v>
      </c>
      <c r="F961">
        <v>890</v>
      </c>
      <c r="G961">
        <v>18</v>
      </c>
      <c r="H961" s="6">
        <f t="shared" si="58"/>
        <v>16.02</v>
      </c>
    </row>
    <row r="962" spans="1:8" hidden="1" x14ac:dyDescent="0.3">
      <c r="A962" s="9">
        <v>45020</v>
      </c>
      <c r="B962" t="s">
        <v>17</v>
      </c>
      <c r="C962" t="s">
        <v>35</v>
      </c>
      <c r="D962" t="s">
        <v>13</v>
      </c>
      <c r="E962" t="s">
        <v>43</v>
      </c>
      <c r="F962">
        <v>1420</v>
      </c>
      <c r="G962">
        <v>90</v>
      </c>
      <c r="H962" s="6">
        <f t="shared" si="58"/>
        <v>127.8</v>
      </c>
    </row>
    <row r="963" spans="1:8" hidden="1" x14ac:dyDescent="0.3">
      <c r="A963" s="13" t="s">
        <v>108</v>
      </c>
      <c r="H963" s="6">
        <f>SUBTOTAL(9,H951:H962)</f>
        <v>0</v>
      </c>
    </row>
    <row r="964" spans="1:8" hidden="1" x14ac:dyDescent="0.3">
      <c r="A964" s="10">
        <v>45021</v>
      </c>
      <c r="B964" s="11" t="s">
        <v>12</v>
      </c>
      <c r="C964" s="11" t="s">
        <v>20</v>
      </c>
      <c r="D964" s="11" t="s">
        <v>18</v>
      </c>
      <c r="E964" s="11" t="s">
        <v>28</v>
      </c>
      <c r="F964" s="11">
        <v>690</v>
      </c>
      <c r="G964" s="11">
        <v>41</v>
      </c>
      <c r="H964" s="6">
        <f t="shared" ref="H964:H969" si="59">F964*G964/1000</f>
        <v>28.29</v>
      </c>
    </row>
    <row r="965" spans="1:8" hidden="1" x14ac:dyDescent="0.3">
      <c r="A965" s="9">
        <v>45021</v>
      </c>
      <c r="B965" t="s">
        <v>17</v>
      </c>
      <c r="C965" t="s">
        <v>9</v>
      </c>
      <c r="D965" t="s">
        <v>18</v>
      </c>
      <c r="E965" t="s">
        <v>27</v>
      </c>
      <c r="F965">
        <v>460</v>
      </c>
      <c r="G965">
        <v>12</v>
      </c>
      <c r="H965" s="6">
        <f t="shared" si="59"/>
        <v>5.52</v>
      </c>
    </row>
    <row r="966" spans="1:8" hidden="1" x14ac:dyDescent="0.3">
      <c r="A966" s="9">
        <v>45021</v>
      </c>
      <c r="B966" t="s">
        <v>12</v>
      </c>
      <c r="C966" t="s">
        <v>26</v>
      </c>
      <c r="D966" t="s">
        <v>13</v>
      </c>
      <c r="E966" t="s">
        <v>14</v>
      </c>
      <c r="F966">
        <v>1320</v>
      </c>
      <c r="G966">
        <v>94</v>
      </c>
      <c r="H966" s="6">
        <f t="shared" si="59"/>
        <v>124.08</v>
      </c>
    </row>
    <row r="967" spans="1:8" hidden="1" x14ac:dyDescent="0.3">
      <c r="A967" s="9">
        <v>45021</v>
      </c>
      <c r="B967" t="s">
        <v>12</v>
      </c>
      <c r="C967" t="s">
        <v>15</v>
      </c>
      <c r="D967" t="s">
        <v>10</v>
      </c>
      <c r="E967" t="s">
        <v>16</v>
      </c>
      <c r="F967">
        <v>1380</v>
      </c>
      <c r="G967">
        <v>69</v>
      </c>
      <c r="H967" s="6">
        <f t="shared" si="59"/>
        <v>95.22</v>
      </c>
    </row>
    <row r="968" spans="1:8" hidden="1" x14ac:dyDescent="0.3">
      <c r="A968" s="9">
        <v>45021</v>
      </c>
      <c r="B968" t="s">
        <v>17</v>
      </c>
      <c r="C968" t="s">
        <v>35</v>
      </c>
      <c r="D968" t="s">
        <v>10</v>
      </c>
      <c r="E968" t="s">
        <v>16</v>
      </c>
      <c r="F968">
        <v>1380</v>
      </c>
      <c r="G968">
        <v>95</v>
      </c>
      <c r="H968" s="6">
        <f t="shared" si="59"/>
        <v>131.1</v>
      </c>
    </row>
    <row r="969" spans="1:8" hidden="1" x14ac:dyDescent="0.3">
      <c r="A969" s="9">
        <v>45021</v>
      </c>
      <c r="B969" t="s">
        <v>17</v>
      </c>
      <c r="C969" t="s">
        <v>35</v>
      </c>
      <c r="D969" t="s">
        <v>10</v>
      </c>
      <c r="E969" t="s">
        <v>39</v>
      </c>
      <c r="F969">
        <v>650</v>
      </c>
      <c r="G969">
        <v>73</v>
      </c>
      <c r="H969" s="6">
        <f t="shared" si="59"/>
        <v>47.45</v>
      </c>
    </row>
    <row r="970" spans="1:8" hidden="1" x14ac:dyDescent="0.3">
      <c r="A970" s="13" t="s">
        <v>109</v>
      </c>
      <c r="H970" s="6">
        <f>SUBTOTAL(9,H964:H969)</f>
        <v>0</v>
      </c>
    </row>
    <row r="971" spans="1:8" hidden="1" x14ac:dyDescent="0.3">
      <c r="A971" s="9">
        <v>45022</v>
      </c>
      <c r="B971" t="s">
        <v>17</v>
      </c>
      <c r="C971" t="s">
        <v>20</v>
      </c>
      <c r="D971" t="s">
        <v>18</v>
      </c>
      <c r="E971" t="s">
        <v>21</v>
      </c>
      <c r="F971">
        <v>450</v>
      </c>
      <c r="G971">
        <v>38</v>
      </c>
      <c r="H971" s="6">
        <f t="shared" ref="H971:H983" si="60">F971*G971/1000</f>
        <v>17.100000000000001</v>
      </c>
    </row>
    <row r="972" spans="1:8" hidden="1" x14ac:dyDescent="0.3">
      <c r="A972" s="10">
        <v>45022</v>
      </c>
      <c r="B972" s="11" t="s">
        <v>12</v>
      </c>
      <c r="C972" s="11" t="s">
        <v>20</v>
      </c>
      <c r="D972" s="11" t="s">
        <v>18</v>
      </c>
      <c r="E972" s="11" t="s">
        <v>28</v>
      </c>
      <c r="F972" s="11">
        <v>690</v>
      </c>
      <c r="G972" s="11">
        <v>66</v>
      </c>
      <c r="H972" s="6">
        <f t="shared" si="60"/>
        <v>45.54</v>
      </c>
    </row>
    <row r="973" spans="1:8" hidden="1" x14ac:dyDescent="0.3">
      <c r="A973" s="9">
        <v>45022</v>
      </c>
      <c r="B973" t="s">
        <v>45</v>
      </c>
      <c r="C973" t="s">
        <v>20</v>
      </c>
      <c r="D973" t="s">
        <v>18</v>
      </c>
      <c r="E973" t="s">
        <v>19</v>
      </c>
      <c r="F973">
        <v>325</v>
      </c>
      <c r="G973">
        <v>64</v>
      </c>
      <c r="H973" s="6">
        <f t="shared" si="60"/>
        <v>20.8</v>
      </c>
    </row>
    <row r="974" spans="1:8" hidden="1" x14ac:dyDescent="0.3">
      <c r="A974" s="9">
        <v>45022</v>
      </c>
      <c r="B974" t="s">
        <v>17</v>
      </c>
      <c r="C974" t="s">
        <v>9</v>
      </c>
      <c r="D974" t="s">
        <v>18</v>
      </c>
      <c r="E974" t="s">
        <v>21</v>
      </c>
      <c r="F974">
        <v>450</v>
      </c>
      <c r="G974">
        <v>48</v>
      </c>
      <c r="H974" s="6">
        <f t="shared" si="60"/>
        <v>21.6</v>
      </c>
    </row>
    <row r="975" spans="1:8" hidden="1" x14ac:dyDescent="0.3">
      <c r="A975" s="9">
        <v>45022</v>
      </c>
      <c r="B975" t="s">
        <v>12</v>
      </c>
      <c r="C975" t="s">
        <v>9</v>
      </c>
      <c r="D975" t="s">
        <v>24</v>
      </c>
      <c r="E975" t="s">
        <v>25</v>
      </c>
      <c r="F975">
        <v>1760</v>
      </c>
      <c r="G975">
        <v>49</v>
      </c>
      <c r="H975" s="6">
        <f t="shared" si="60"/>
        <v>86.24</v>
      </c>
    </row>
    <row r="976" spans="1:8" hidden="1" x14ac:dyDescent="0.3">
      <c r="A976" s="9">
        <v>45022</v>
      </c>
      <c r="B976" t="s">
        <v>17</v>
      </c>
      <c r="C976" t="s">
        <v>26</v>
      </c>
      <c r="D976" t="s">
        <v>18</v>
      </c>
      <c r="E976" t="s">
        <v>28</v>
      </c>
      <c r="F976">
        <v>690</v>
      </c>
      <c r="G976">
        <v>40</v>
      </c>
      <c r="H976" s="6">
        <f t="shared" si="60"/>
        <v>27.6</v>
      </c>
    </row>
    <row r="977" spans="1:8" x14ac:dyDescent="0.3">
      <c r="A977" s="9">
        <v>45022</v>
      </c>
      <c r="B977" t="s">
        <v>45</v>
      </c>
      <c r="C977" t="s">
        <v>26</v>
      </c>
      <c r="D977" t="s">
        <v>13</v>
      </c>
      <c r="E977" t="s">
        <v>29</v>
      </c>
      <c r="F977">
        <v>1230</v>
      </c>
      <c r="G977">
        <v>28</v>
      </c>
      <c r="H977" s="6">
        <f t="shared" si="60"/>
        <v>34.44</v>
      </c>
    </row>
    <row r="978" spans="1:8" hidden="1" x14ac:dyDescent="0.3">
      <c r="A978" s="9">
        <v>45022</v>
      </c>
      <c r="B978" t="s">
        <v>12</v>
      </c>
      <c r="C978" t="s">
        <v>26</v>
      </c>
      <c r="D978" t="s">
        <v>24</v>
      </c>
      <c r="E978" t="s">
        <v>36</v>
      </c>
      <c r="F978">
        <v>2460</v>
      </c>
      <c r="G978">
        <v>67</v>
      </c>
      <c r="H978" s="6">
        <f t="shared" si="60"/>
        <v>164.82</v>
      </c>
    </row>
    <row r="979" spans="1:8" hidden="1" x14ac:dyDescent="0.3">
      <c r="A979" s="9">
        <v>45022</v>
      </c>
      <c r="B979" t="s">
        <v>8</v>
      </c>
      <c r="C979" t="s">
        <v>15</v>
      </c>
      <c r="D979" t="s">
        <v>18</v>
      </c>
      <c r="E979" t="s">
        <v>27</v>
      </c>
      <c r="F979">
        <v>460</v>
      </c>
      <c r="G979">
        <v>71</v>
      </c>
      <c r="H979" s="6">
        <f t="shared" si="60"/>
        <v>32.659999999999997</v>
      </c>
    </row>
    <row r="980" spans="1:8" hidden="1" x14ac:dyDescent="0.3">
      <c r="A980" s="9">
        <v>45022</v>
      </c>
      <c r="B980" t="s">
        <v>12</v>
      </c>
      <c r="C980" t="s">
        <v>15</v>
      </c>
      <c r="D980" t="s">
        <v>18</v>
      </c>
      <c r="E980" t="s">
        <v>31</v>
      </c>
      <c r="F980">
        <v>715</v>
      </c>
      <c r="G980">
        <v>44</v>
      </c>
      <c r="H980" s="6">
        <f t="shared" si="60"/>
        <v>31.46</v>
      </c>
    </row>
    <row r="981" spans="1:8" hidden="1" x14ac:dyDescent="0.3">
      <c r="A981" s="9">
        <v>45022</v>
      </c>
      <c r="B981" t="s">
        <v>8</v>
      </c>
      <c r="C981" t="s">
        <v>33</v>
      </c>
      <c r="D981" t="s">
        <v>10</v>
      </c>
      <c r="E981" t="s">
        <v>39</v>
      </c>
      <c r="F981">
        <v>650</v>
      </c>
      <c r="G981">
        <v>84</v>
      </c>
      <c r="H981" s="6">
        <f t="shared" si="60"/>
        <v>54.6</v>
      </c>
    </row>
    <row r="982" spans="1:8" hidden="1" x14ac:dyDescent="0.3">
      <c r="A982" s="9">
        <v>45022</v>
      </c>
      <c r="B982" t="s">
        <v>8</v>
      </c>
      <c r="C982" t="s">
        <v>35</v>
      </c>
      <c r="D982" t="s">
        <v>10</v>
      </c>
      <c r="E982" t="s">
        <v>23</v>
      </c>
      <c r="F982">
        <v>640</v>
      </c>
      <c r="G982">
        <v>88</v>
      </c>
      <c r="H982" s="6">
        <f t="shared" si="60"/>
        <v>56.32</v>
      </c>
    </row>
    <row r="983" spans="1:8" hidden="1" x14ac:dyDescent="0.3">
      <c r="A983" s="9">
        <v>45022</v>
      </c>
      <c r="B983" t="s">
        <v>17</v>
      </c>
      <c r="C983" t="s">
        <v>35</v>
      </c>
      <c r="D983" t="s">
        <v>13</v>
      </c>
      <c r="E983" t="s">
        <v>38</v>
      </c>
      <c r="F983">
        <v>2400</v>
      </c>
      <c r="G983">
        <v>29</v>
      </c>
      <c r="H983" s="6">
        <f t="shared" si="60"/>
        <v>69.599999999999994</v>
      </c>
    </row>
    <row r="984" spans="1:8" hidden="1" x14ac:dyDescent="0.3">
      <c r="A984" s="13" t="s">
        <v>110</v>
      </c>
      <c r="H984" s="6">
        <f>SUBTOTAL(9,H971:H983)</f>
        <v>34.44</v>
      </c>
    </row>
    <row r="985" spans="1:8" hidden="1" x14ac:dyDescent="0.3">
      <c r="A985" s="10">
        <v>45023</v>
      </c>
      <c r="B985" s="11" t="s">
        <v>8</v>
      </c>
      <c r="C985" s="11" t="s">
        <v>20</v>
      </c>
      <c r="D985" s="11" t="s">
        <v>18</v>
      </c>
      <c r="E985" s="11" t="s">
        <v>21</v>
      </c>
      <c r="F985" s="11">
        <v>450</v>
      </c>
      <c r="G985" s="11">
        <v>27</v>
      </c>
      <c r="H985" s="6">
        <f t="shared" ref="H985:H997" si="61">F985*G985/1000</f>
        <v>12.15</v>
      </c>
    </row>
    <row r="986" spans="1:8" hidden="1" x14ac:dyDescent="0.3">
      <c r="A986" s="9">
        <v>45023</v>
      </c>
      <c r="B986" t="s">
        <v>8</v>
      </c>
      <c r="C986" t="s">
        <v>20</v>
      </c>
      <c r="D986" t="s">
        <v>18</v>
      </c>
      <c r="E986" t="s">
        <v>27</v>
      </c>
      <c r="F986">
        <v>460</v>
      </c>
      <c r="G986">
        <v>55</v>
      </c>
      <c r="H986" s="6">
        <f t="shared" si="61"/>
        <v>25.3</v>
      </c>
    </row>
    <row r="987" spans="1:8" hidden="1" x14ac:dyDescent="0.3">
      <c r="A987" s="10">
        <v>45023</v>
      </c>
      <c r="B987" s="11" t="s">
        <v>17</v>
      </c>
      <c r="C987" s="11" t="s">
        <v>20</v>
      </c>
      <c r="D987" s="11" t="s">
        <v>24</v>
      </c>
      <c r="E987" s="11" t="s">
        <v>42</v>
      </c>
      <c r="F987" s="11">
        <v>3205</v>
      </c>
      <c r="G987" s="11">
        <v>89</v>
      </c>
      <c r="H987" s="6">
        <f t="shared" si="61"/>
        <v>285.245</v>
      </c>
    </row>
    <row r="988" spans="1:8" hidden="1" x14ac:dyDescent="0.3">
      <c r="A988" s="9">
        <v>45023</v>
      </c>
      <c r="B988" t="s">
        <v>12</v>
      </c>
      <c r="C988" t="s">
        <v>9</v>
      </c>
      <c r="D988" t="s">
        <v>10</v>
      </c>
      <c r="E988" t="s">
        <v>11</v>
      </c>
      <c r="F988">
        <v>705</v>
      </c>
      <c r="G988">
        <v>92</v>
      </c>
      <c r="H988" s="6">
        <f t="shared" si="61"/>
        <v>64.86</v>
      </c>
    </row>
    <row r="989" spans="1:8" hidden="1" x14ac:dyDescent="0.3">
      <c r="A989" s="9">
        <v>45023</v>
      </c>
      <c r="B989" t="s">
        <v>17</v>
      </c>
      <c r="C989" t="s">
        <v>9</v>
      </c>
      <c r="D989" t="s">
        <v>18</v>
      </c>
      <c r="E989" t="s">
        <v>28</v>
      </c>
      <c r="F989">
        <v>690</v>
      </c>
      <c r="G989">
        <v>52</v>
      </c>
      <c r="H989" s="6">
        <f t="shared" si="61"/>
        <v>35.880000000000003</v>
      </c>
    </row>
    <row r="990" spans="1:8" hidden="1" x14ac:dyDescent="0.3">
      <c r="A990" s="9">
        <v>45023</v>
      </c>
      <c r="B990" t="s">
        <v>45</v>
      </c>
      <c r="C990" t="s">
        <v>9</v>
      </c>
      <c r="D990" t="s">
        <v>24</v>
      </c>
      <c r="E990" t="s">
        <v>30</v>
      </c>
      <c r="F990">
        <v>2970</v>
      </c>
      <c r="G990">
        <v>85</v>
      </c>
      <c r="H990" s="6">
        <f t="shared" si="61"/>
        <v>252.45</v>
      </c>
    </row>
    <row r="991" spans="1:8" hidden="1" x14ac:dyDescent="0.3">
      <c r="A991" s="9">
        <v>45023</v>
      </c>
      <c r="B991" t="s">
        <v>17</v>
      </c>
      <c r="C991" t="s">
        <v>15</v>
      </c>
      <c r="D991" t="s">
        <v>18</v>
      </c>
      <c r="E991" t="s">
        <v>31</v>
      </c>
      <c r="F991">
        <v>715</v>
      </c>
      <c r="G991">
        <v>73</v>
      </c>
      <c r="H991" s="6">
        <f t="shared" si="61"/>
        <v>52.195</v>
      </c>
    </row>
    <row r="992" spans="1:8" hidden="1" x14ac:dyDescent="0.3">
      <c r="A992" s="9">
        <v>45023</v>
      </c>
      <c r="B992" t="s">
        <v>12</v>
      </c>
      <c r="C992" t="s">
        <v>15</v>
      </c>
      <c r="D992" t="s">
        <v>18</v>
      </c>
      <c r="E992" t="s">
        <v>19</v>
      </c>
      <c r="F992">
        <v>325</v>
      </c>
      <c r="G992">
        <v>29</v>
      </c>
      <c r="H992" s="6">
        <f t="shared" si="61"/>
        <v>9.4250000000000007</v>
      </c>
    </row>
    <row r="993" spans="1:8" hidden="1" x14ac:dyDescent="0.3">
      <c r="A993" s="9">
        <v>45023</v>
      </c>
      <c r="B993" t="s">
        <v>8</v>
      </c>
      <c r="C993" t="s">
        <v>15</v>
      </c>
      <c r="D993" t="s">
        <v>24</v>
      </c>
      <c r="E993" t="s">
        <v>32</v>
      </c>
      <c r="F993">
        <v>1505</v>
      </c>
      <c r="G993">
        <v>59</v>
      </c>
      <c r="H993" s="6">
        <f t="shared" si="61"/>
        <v>88.795000000000002</v>
      </c>
    </row>
    <row r="994" spans="1:8" hidden="1" x14ac:dyDescent="0.3">
      <c r="A994" s="9">
        <v>45023</v>
      </c>
      <c r="B994" t="s">
        <v>17</v>
      </c>
      <c r="C994" t="s">
        <v>33</v>
      </c>
      <c r="D994" t="s">
        <v>13</v>
      </c>
      <c r="E994" t="s">
        <v>44</v>
      </c>
      <c r="F994">
        <v>2540</v>
      </c>
      <c r="G994">
        <v>40</v>
      </c>
      <c r="H994" s="6">
        <f t="shared" si="61"/>
        <v>101.6</v>
      </c>
    </row>
    <row r="995" spans="1:8" hidden="1" x14ac:dyDescent="0.3">
      <c r="A995" s="9">
        <v>45023</v>
      </c>
      <c r="B995" t="s">
        <v>45</v>
      </c>
      <c r="C995" t="s">
        <v>35</v>
      </c>
      <c r="D995" t="s">
        <v>18</v>
      </c>
      <c r="E995" t="s">
        <v>27</v>
      </c>
      <c r="F995">
        <v>460</v>
      </c>
      <c r="G995">
        <v>93</v>
      </c>
      <c r="H995" s="6">
        <f t="shared" si="61"/>
        <v>42.78</v>
      </c>
    </row>
    <row r="996" spans="1:8" hidden="1" x14ac:dyDescent="0.3">
      <c r="A996" s="9">
        <v>45023</v>
      </c>
      <c r="B996" t="s">
        <v>12</v>
      </c>
      <c r="C996" t="s">
        <v>35</v>
      </c>
      <c r="D996" t="s">
        <v>18</v>
      </c>
      <c r="E996" t="s">
        <v>19</v>
      </c>
      <c r="F996">
        <v>325</v>
      </c>
      <c r="G996">
        <v>72</v>
      </c>
      <c r="H996" s="6">
        <f t="shared" si="61"/>
        <v>23.4</v>
      </c>
    </row>
    <row r="997" spans="1:8" hidden="1" x14ac:dyDescent="0.3">
      <c r="A997" s="9">
        <v>45023</v>
      </c>
      <c r="B997" t="s">
        <v>8</v>
      </c>
      <c r="C997" t="s">
        <v>35</v>
      </c>
      <c r="D997" t="s">
        <v>13</v>
      </c>
      <c r="E997" t="s">
        <v>14</v>
      </c>
      <c r="F997">
        <v>1320</v>
      </c>
      <c r="G997">
        <v>51</v>
      </c>
      <c r="H997" s="6">
        <f t="shared" si="61"/>
        <v>67.319999999999993</v>
      </c>
    </row>
    <row r="998" spans="1:8" hidden="1" x14ac:dyDescent="0.3">
      <c r="A998" s="13" t="s">
        <v>111</v>
      </c>
      <c r="H998" s="6">
        <f>SUBTOTAL(9,H985:H997)</f>
        <v>0</v>
      </c>
    </row>
    <row r="999" spans="1:8" hidden="1" x14ac:dyDescent="0.3">
      <c r="A999" s="9">
        <v>45024</v>
      </c>
      <c r="B999" t="s">
        <v>45</v>
      </c>
      <c r="C999" t="s">
        <v>20</v>
      </c>
      <c r="D999" t="s">
        <v>24</v>
      </c>
      <c r="E999" t="s">
        <v>25</v>
      </c>
      <c r="F999">
        <v>1760</v>
      </c>
      <c r="G999">
        <v>57</v>
      </c>
      <c r="H999" s="6">
        <f>F999*G999/1000</f>
        <v>100.32</v>
      </c>
    </row>
    <row r="1000" spans="1:8" hidden="1" x14ac:dyDescent="0.3">
      <c r="A1000" s="9">
        <v>45024</v>
      </c>
      <c r="B1000" t="s">
        <v>12</v>
      </c>
      <c r="C1000" t="s">
        <v>9</v>
      </c>
      <c r="D1000" t="s">
        <v>10</v>
      </c>
      <c r="E1000" t="s">
        <v>41</v>
      </c>
      <c r="F1000">
        <v>650</v>
      </c>
      <c r="G1000">
        <v>99</v>
      </c>
      <c r="H1000" s="6">
        <f>F1000*G1000/1000</f>
        <v>64.349999999999994</v>
      </c>
    </row>
    <row r="1001" spans="1:8" hidden="1" x14ac:dyDescent="0.3">
      <c r="A1001" s="9">
        <v>45024</v>
      </c>
      <c r="B1001" t="s">
        <v>17</v>
      </c>
      <c r="C1001" t="s">
        <v>9</v>
      </c>
      <c r="D1001" t="s">
        <v>10</v>
      </c>
      <c r="E1001" t="s">
        <v>11</v>
      </c>
      <c r="F1001">
        <v>705</v>
      </c>
      <c r="G1001">
        <v>76</v>
      </c>
      <c r="H1001" s="6">
        <f>F1001*G1001/1000</f>
        <v>53.58</v>
      </c>
    </row>
    <row r="1002" spans="1:8" hidden="1" x14ac:dyDescent="0.3">
      <c r="A1002" s="9">
        <v>45024</v>
      </c>
      <c r="B1002" t="s">
        <v>45</v>
      </c>
      <c r="C1002" t="s">
        <v>26</v>
      </c>
      <c r="D1002" t="s">
        <v>13</v>
      </c>
      <c r="E1002" t="s">
        <v>44</v>
      </c>
      <c r="F1002">
        <v>2540</v>
      </c>
      <c r="G1002">
        <v>91</v>
      </c>
      <c r="H1002" s="6">
        <f>F1002*G1002/1000</f>
        <v>231.14</v>
      </c>
    </row>
    <row r="1003" spans="1:8" hidden="1" x14ac:dyDescent="0.3">
      <c r="A1003" s="9">
        <v>45024</v>
      </c>
      <c r="B1003" t="s">
        <v>45</v>
      </c>
      <c r="C1003" t="s">
        <v>33</v>
      </c>
      <c r="D1003" t="s">
        <v>18</v>
      </c>
      <c r="E1003" t="s">
        <v>31</v>
      </c>
      <c r="F1003">
        <v>715</v>
      </c>
      <c r="G1003">
        <v>25</v>
      </c>
      <c r="H1003" s="6">
        <f>F1003*G1003/1000</f>
        <v>17.875</v>
      </c>
    </row>
    <row r="1004" spans="1:8" hidden="1" x14ac:dyDescent="0.3">
      <c r="A1004" s="13" t="s">
        <v>112</v>
      </c>
      <c r="H1004" s="6">
        <f>SUBTOTAL(9,H999:H1003)</f>
        <v>0</v>
      </c>
    </row>
    <row r="1005" spans="1:8" hidden="1" x14ac:dyDescent="0.3">
      <c r="A1005" s="10">
        <v>45025</v>
      </c>
      <c r="B1005" s="11" t="s">
        <v>12</v>
      </c>
      <c r="C1005" s="11" t="s">
        <v>20</v>
      </c>
      <c r="D1005" s="11" t="s">
        <v>18</v>
      </c>
      <c r="E1005" s="11" t="s">
        <v>19</v>
      </c>
      <c r="F1005" s="11">
        <v>325</v>
      </c>
      <c r="G1005" s="11">
        <v>81</v>
      </c>
      <c r="H1005" s="6">
        <f t="shared" ref="H1005:H1014" si="62">F1005*G1005/1000</f>
        <v>26.324999999999999</v>
      </c>
    </row>
    <row r="1006" spans="1:8" hidden="1" x14ac:dyDescent="0.3">
      <c r="A1006" s="9">
        <v>45025</v>
      </c>
      <c r="B1006" t="s">
        <v>8</v>
      </c>
      <c r="C1006" t="s">
        <v>20</v>
      </c>
      <c r="D1006" t="s">
        <v>18</v>
      </c>
      <c r="E1006" t="s">
        <v>37</v>
      </c>
      <c r="F1006">
        <v>890</v>
      </c>
      <c r="G1006">
        <v>27</v>
      </c>
      <c r="H1006" s="6">
        <f t="shared" si="62"/>
        <v>24.03</v>
      </c>
    </row>
    <row r="1007" spans="1:8" hidden="1" x14ac:dyDescent="0.3">
      <c r="A1007" s="9">
        <v>45025</v>
      </c>
      <c r="B1007" t="s">
        <v>8</v>
      </c>
      <c r="C1007" t="s">
        <v>9</v>
      </c>
      <c r="D1007" t="s">
        <v>18</v>
      </c>
      <c r="E1007" t="s">
        <v>19</v>
      </c>
      <c r="F1007">
        <v>325</v>
      </c>
      <c r="G1007">
        <v>85</v>
      </c>
      <c r="H1007" s="6">
        <f t="shared" si="62"/>
        <v>27.625</v>
      </c>
    </row>
    <row r="1008" spans="1:8" hidden="1" x14ac:dyDescent="0.3">
      <c r="A1008" s="9">
        <v>45025</v>
      </c>
      <c r="B1008" t="s">
        <v>8</v>
      </c>
      <c r="C1008" t="s">
        <v>9</v>
      </c>
      <c r="D1008" t="s">
        <v>13</v>
      </c>
      <c r="E1008" t="s">
        <v>22</v>
      </c>
      <c r="F1008">
        <v>930</v>
      </c>
      <c r="G1008">
        <v>6</v>
      </c>
      <c r="H1008" s="6">
        <f t="shared" si="62"/>
        <v>5.58</v>
      </c>
    </row>
    <row r="1009" spans="1:8" hidden="1" x14ac:dyDescent="0.3">
      <c r="A1009" s="9">
        <v>45025</v>
      </c>
      <c r="B1009" t="s">
        <v>12</v>
      </c>
      <c r="C1009" t="s">
        <v>9</v>
      </c>
      <c r="D1009" t="s">
        <v>24</v>
      </c>
      <c r="E1009" t="s">
        <v>30</v>
      </c>
      <c r="F1009">
        <v>2970</v>
      </c>
      <c r="G1009">
        <v>12</v>
      </c>
      <c r="H1009" s="6">
        <f t="shared" si="62"/>
        <v>35.64</v>
      </c>
    </row>
    <row r="1010" spans="1:8" hidden="1" x14ac:dyDescent="0.3">
      <c r="A1010" s="9">
        <v>45025</v>
      </c>
      <c r="B1010" t="s">
        <v>8</v>
      </c>
      <c r="C1010" t="s">
        <v>26</v>
      </c>
      <c r="D1010" t="s">
        <v>10</v>
      </c>
      <c r="E1010" t="s">
        <v>41</v>
      </c>
      <c r="F1010">
        <v>650</v>
      </c>
      <c r="G1010">
        <v>52</v>
      </c>
      <c r="H1010" s="6">
        <f t="shared" si="62"/>
        <v>33.799999999999997</v>
      </c>
    </row>
    <row r="1011" spans="1:8" hidden="1" x14ac:dyDescent="0.3">
      <c r="A1011" s="9">
        <v>45025</v>
      </c>
      <c r="B1011" t="s">
        <v>12</v>
      </c>
      <c r="C1011" t="s">
        <v>26</v>
      </c>
      <c r="D1011" t="s">
        <v>13</v>
      </c>
      <c r="E1011" t="s">
        <v>14</v>
      </c>
      <c r="F1011">
        <v>1320</v>
      </c>
      <c r="G1011">
        <v>100</v>
      </c>
      <c r="H1011" s="6">
        <f t="shared" si="62"/>
        <v>132</v>
      </c>
    </row>
    <row r="1012" spans="1:8" hidden="1" x14ac:dyDescent="0.3">
      <c r="A1012" s="9">
        <v>45025</v>
      </c>
      <c r="B1012" t="s">
        <v>8</v>
      </c>
      <c r="C1012" t="s">
        <v>15</v>
      </c>
      <c r="D1012" t="s">
        <v>18</v>
      </c>
      <c r="E1012" t="s">
        <v>31</v>
      </c>
      <c r="F1012">
        <v>715</v>
      </c>
      <c r="G1012">
        <v>61</v>
      </c>
      <c r="H1012" s="6">
        <f t="shared" si="62"/>
        <v>43.615000000000002</v>
      </c>
    </row>
    <row r="1013" spans="1:8" hidden="1" x14ac:dyDescent="0.3">
      <c r="A1013" s="9">
        <v>45025</v>
      </c>
      <c r="B1013" t="s">
        <v>17</v>
      </c>
      <c r="C1013" t="s">
        <v>15</v>
      </c>
      <c r="D1013" t="s">
        <v>24</v>
      </c>
      <c r="E1013" t="s">
        <v>42</v>
      </c>
      <c r="F1013">
        <v>3205</v>
      </c>
      <c r="G1013">
        <v>80</v>
      </c>
      <c r="H1013" s="6">
        <f t="shared" si="62"/>
        <v>256.39999999999998</v>
      </c>
    </row>
    <row r="1014" spans="1:8" hidden="1" x14ac:dyDescent="0.3">
      <c r="A1014" s="9">
        <v>45025</v>
      </c>
      <c r="B1014" t="s">
        <v>45</v>
      </c>
      <c r="C1014" t="s">
        <v>33</v>
      </c>
      <c r="D1014" t="s">
        <v>24</v>
      </c>
      <c r="E1014" t="s">
        <v>34</v>
      </c>
      <c r="F1014">
        <v>1670</v>
      </c>
      <c r="G1014">
        <v>79</v>
      </c>
      <c r="H1014" s="6">
        <f t="shared" si="62"/>
        <v>131.93</v>
      </c>
    </row>
    <row r="1015" spans="1:8" hidden="1" x14ac:dyDescent="0.3">
      <c r="A1015" s="13" t="s">
        <v>113</v>
      </c>
      <c r="H1015" s="6">
        <f>SUBTOTAL(9,H1005:H1014)</f>
        <v>0</v>
      </c>
    </row>
    <row r="1016" spans="1:8" hidden="1" x14ac:dyDescent="0.3">
      <c r="A1016" s="10">
        <v>45026</v>
      </c>
      <c r="B1016" s="11" t="s">
        <v>8</v>
      </c>
      <c r="C1016" s="11" t="s">
        <v>20</v>
      </c>
      <c r="D1016" s="11" t="s">
        <v>18</v>
      </c>
      <c r="E1016" s="11" t="s">
        <v>27</v>
      </c>
      <c r="F1016" s="11">
        <v>460</v>
      </c>
      <c r="G1016" s="11">
        <v>55</v>
      </c>
      <c r="H1016" s="6">
        <f t="shared" ref="H1016:H1028" si="63">F1016*G1016/1000</f>
        <v>25.3</v>
      </c>
    </row>
    <row r="1017" spans="1:8" hidden="1" x14ac:dyDescent="0.3">
      <c r="A1017" s="9">
        <v>45026</v>
      </c>
      <c r="B1017" t="s">
        <v>17</v>
      </c>
      <c r="C1017" t="s">
        <v>20</v>
      </c>
      <c r="D1017" t="s">
        <v>13</v>
      </c>
      <c r="E1017" t="s">
        <v>43</v>
      </c>
      <c r="F1017">
        <v>1420</v>
      </c>
      <c r="G1017">
        <v>39</v>
      </c>
      <c r="H1017" s="6">
        <f t="shared" si="63"/>
        <v>55.38</v>
      </c>
    </row>
    <row r="1018" spans="1:8" hidden="1" x14ac:dyDescent="0.3">
      <c r="A1018" s="9">
        <v>45026</v>
      </c>
      <c r="B1018" t="s">
        <v>45</v>
      </c>
      <c r="C1018" t="s">
        <v>9</v>
      </c>
      <c r="D1018" t="s">
        <v>18</v>
      </c>
      <c r="E1018" t="s">
        <v>28</v>
      </c>
      <c r="F1018">
        <v>690</v>
      </c>
      <c r="G1018">
        <v>16</v>
      </c>
      <c r="H1018" s="6">
        <f t="shared" si="63"/>
        <v>11.04</v>
      </c>
    </row>
    <row r="1019" spans="1:8" hidden="1" x14ac:dyDescent="0.3">
      <c r="A1019" s="9">
        <v>45026</v>
      </c>
      <c r="B1019" t="s">
        <v>45</v>
      </c>
      <c r="C1019" t="s">
        <v>9</v>
      </c>
      <c r="D1019" t="s">
        <v>13</v>
      </c>
      <c r="E1019" t="s">
        <v>43</v>
      </c>
      <c r="F1019">
        <v>1420</v>
      </c>
      <c r="G1019">
        <v>33</v>
      </c>
      <c r="H1019" s="6">
        <f t="shared" si="63"/>
        <v>46.86</v>
      </c>
    </row>
    <row r="1020" spans="1:8" hidden="1" x14ac:dyDescent="0.3">
      <c r="A1020" s="9">
        <v>45026</v>
      </c>
      <c r="B1020" t="s">
        <v>17</v>
      </c>
      <c r="C1020" t="s">
        <v>26</v>
      </c>
      <c r="D1020" t="s">
        <v>18</v>
      </c>
      <c r="E1020" t="s">
        <v>19</v>
      </c>
      <c r="F1020">
        <v>325</v>
      </c>
      <c r="G1020">
        <v>77</v>
      </c>
      <c r="H1020" s="6">
        <f t="shared" si="63"/>
        <v>25.024999999999999</v>
      </c>
    </row>
    <row r="1021" spans="1:8" hidden="1" x14ac:dyDescent="0.3">
      <c r="A1021" s="9">
        <v>45026</v>
      </c>
      <c r="B1021" t="s">
        <v>45</v>
      </c>
      <c r="C1021" t="s">
        <v>15</v>
      </c>
      <c r="D1021" t="s">
        <v>13</v>
      </c>
      <c r="E1021" t="s">
        <v>14</v>
      </c>
      <c r="F1021">
        <v>1320</v>
      </c>
      <c r="G1021">
        <v>80</v>
      </c>
      <c r="H1021" s="6">
        <f t="shared" si="63"/>
        <v>105.6</v>
      </c>
    </row>
    <row r="1022" spans="1:8" hidden="1" x14ac:dyDescent="0.3">
      <c r="A1022" s="9">
        <v>45026</v>
      </c>
      <c r="B1022" t="s">
        <v>45</v>
      </c>
      <c r="C1022" t="s">
        <v>15</v>
      </c>
      <c r="D1022" t="s">
        <v>13</v>
      </c>
      <c r="E1022" t="s">
        <v>38</v>
      </c>
      <c r="F1022">
        <v>2400</v>
      </c>
      <c r="G1022">
        <v>15</v>
      </c>
      <c r="H1022" s="6">
        <f t="shared" si="63"/>
        <v>36</v>
      </c>
    </row>
    <row r="1023" spans="1:8" hidden="1" x14ac:dyDescent="0.3">
      <c r="A1023" s="9">
        <v>45026</v>
      </c>
      <c r="B1023" t="s">
        <v>8</v>
      </c>
      <c r="C1023" t="s">
        <v>15</v>
      </c>
      <c r="D1023" t="s">
        <v>24</v>
      </c>
      <c r="E1023" t="s">
        <v>34</v>
      </c>
      <c r="F1023">
        <v>1670</v>
      </c>
      <c r="G1023">
        <v>8</v>
      </c>
      <c r="H1023" s="6">
        <f t="shared" si="63"/>
        <v>13.36</v>
      </c>
    </row>
    <row r="1024" spans="1:8" hidden="1" x14ac:dyDescent="0.3">
      <c r="A1024" s="9">
        <v>45026</v>
      </c>
      <c r="B1024" t="s">
        <v>45</v>
      </c>
      <c r="C1024" t="s">
        <v>33</v>
      </c>
      <c r="D1024" t="s">
        <v>18</v>
      </c>
      <c r="E1024" t="s">
        <v>37</v>
      </c>
      <c r="F1024">
        <v>890</v>
      </c>
      <c r="G1024">
        <v>86</v>
      </c>
      <c r="H1024" s="6">
        <f t="shared" si="63"/>
        <v>76.540000000000006</v>
      </c>
    </row>
    <row r="1025" spans="1:8" x14ac:dyDescent="0.3">
      <c r="A1025" s="9">
        <v>45026</v>
      </c>
      <c r="B1025" t="s">
        <v>45</v>
      </c>
      <c r="C1025" t="s">
        <v>33</v>
      </c>
      <c r="D1025" t="s">
        <v>13</v>
      </c>
      <c r="E1025" t="s">
        <v>29</v>
      </c>
      <c r="F1025">
        <v>1230</v>
      </c>
      <c r="G1025">
        <v>15</v>
      </c>
      <c r="H1025" s="6">
        <f t="shared" si="63"/>
        <v>18.45</v>
      </c>
    </row>
    <row r="1026" spans="1:8" hidden="1" x14ac:dyDescent="0.3">
      <c r="A1026" s="9">
        <v>45026</v>
      </c>
      <c r="B1026" t="s">
        <v>8</v>
      </c>
      <c r="C1026" t="s">
        <v>33</v>
      </c>
      <c r="D1026" t="s">
        <v>24</v>
      </c>
      <c r="E1026" t="s">
        <v>30</v>
      </c>
      <c r="F1026">
        <v>2970</v>
      </c>
      <c r="G1026">
        <v>12</v>
      </c>
      <c r="H1026" s="6">
        <f t="shared" si="63"/>
        <v>35.64</v>
      </c>
    </row>
    <row r="1027" spans="1:8" hidden="1" x14ac:dyDescent="0.3">
      <c r="A1027" s="9">
        <v>45026</v>
      </c>
      <c r="B1027" t="s">
        <v>12</v>
      </c>
      <c r="C1027" t="s">
        <v>35</v>
      </c>
      <c r="D1027" t="s">
        <v>18</v>
      </c>
      <c r="E1027" t="s">
        <v>37</v>
      </c>
      <c r="F1027">
        <v>890</v>
      </c>
      <c r="G1027">
        <v>51</v>
      </c>
      <c r="H1027" s="6">
        <f t="shared" si="63"/>
        <v>45.39</v>
      </c>
    </row>
    <row r="1028" spans="1:8" hidden="1" x14ac:dyDescent="0.3">
      <c r="A1028" s="9">
        <v>45026</v>
      </c>
      <c r="B1028" t="s">
        <v>45</v>
      </c>
      <c r="C1028" t="s">
        <v>35</v>
      </c>
      <c r="D1028" t="s">
        <v>13</v>
      </c>
      <c r="E1028" t="s">
        <v>14</v>
      </c>
      <c r="F1028">
        <v>1320</v>
      </c>
      <c r="G1028">
        <v>55</v>
      </c>
      <c r="H1028" s="6">
        <f t="shared" si="63"/>
        <v>72.599999999999994</v>
      </c>
    </row>
    <row r="1029" spans="1:8" hidden="1" x14ac:dyDescent="0.3">
      <c r="A1029" s="13" t="s">
        <v>114</v>
      </c>
      <c r="H1029" s="6">
        <f>SUBTOTAL(9,H1016:H1028)</f>
        <v>18.45</v>
      </c>
    </row>
    <row r="1030" spans="1:8" hidden="1" x14ac:dyDescent="0.3">
      <c r="A1030" s="10">
        <v>45027</v>
      </c>
      <c r="B1030" s="11" t="s">
        <v>17</v>
      </c>
      <c r="C1030" s="11" t="s">
        <v>20</v>
      </c>
      <c r="D1030" s="11" t="s">
        <v>24</v>
      </c>
      <c r="E1030" s="11" t="s">
        <v>30</v>
      </c>
      <c r="F1030" s="11">
        <v>2970</v>
      </c>
      <c r="G1030" s="11">
        <v>48</v>
      </c>
      <c r="H1030" s="6">
        <f t="shared" ref="H1030:H1037" si="64">F1030*G1030/1000</f>
        <v>142.56</v>
      </c>
    </row>
    <row r="1031" spans="1:8" hidden="1" x14ac:dyDescent="0.3">
      <c r="A1031" s="9">
        <v>45027</v>
      </c>
      <c r="B1031" t="s">
        <v>17</v>
      </c>
      <c r="C1031" t="s">
        <v>9</v>
      </c>
      <c r="D1031" t="s">
        <v>24</v>
      </c>
      <c r="E1031" t="s">
        <v>25</v>
      </c>
      <c r="F1031">
        <v>1760</v>
      </c>
      <c r="G1031">
        <v>34</v>
      </c>
      <c r="H1031" s="6">
        <f t="shared" si="64"/>
        <v>59.84</v>
      </c>
    </row>
    <row r="1032" spans="1:8" hidden="1" x14ac:dyDescent="0.3">
      <c r="A1032" s="9">
        <v>45027</v>
      </c>
      <c r="B1032" t="s">
        <v>12</v>
      </c>
      <c r="C1032" t="s">
        <v>26</v>
      </c>
      <c r="D1032" t="s">
        <v>13</v>
      </c>
      <c r="E1032" t="s">
        <v>29</v>
      </c>
      <c r="F1032">
        <v>1230</v>
      </c>
      <c r="G1032">
        <v>26</v>
      </c>
      <c r="H1032" s="6">
        <f t="shared" si="64"/>
        <v>31.98</v>
      </c>
    </row>
    <row r="1033" spans="1:8" hidden="1" x14ac:dyDescent="0.3">
      <c r="A1033" s="9">
        <v>45027</v>
      </c>
      <c r="B1033" t="s">
        <v>8</v>
      </c>
      <c r="C1033" t="s">
        <v>15</v>
      </c>
      <c r="D1033" t="s">
        <v>13</v>
      </c>
      <c r="E1033" t="s">
        <v>43</v>
      </c>
      <c r="F1033">
        <v>1420</v>
      </c>
      <c r="G1033">
        <v>43</v>
      </c>
      <c r="H1033" s="6">
        <f t="shared" si="64"/>
        <v>61.06</v>
      </c>
    </row>
    <row r="1034" spans="1:8" hidden="1" x14ac:dyDescent="0.3">
      <c r="A1034" s="9">
        <v>45027</v>
      </c>
      <c r="B1034" t="s">
        <v>8</v>
      </c>
      <c r="C1034" t="s">
        <v>15</v>
      </c>
      <c r="D1034" t="s">
        <v>13</v>
      </c>
      <c r="E1034" t="s">
        <v>38</v>
      </c>
      <c r="F1034">
        <v>2400</v>
      </c>
      <c r="G1034">
        <v>48</v>
      </c>
      <c r="H1034" s="6">
        <f t="shared" si="64"/>
        <v>115.2</v>
      </c>
    </row>
    <row r="1035" spans="1:8" hidden="1" x14ac:dyDescent="0.3">
      <c r="A1035" s="9">
        <v>45027</v>
      </c>
      <c r="B1035" t="s">
        <v>12</v>
      </c>
      <c r="C1035" t="s">
        <v>33</v>
      </c>
      <c r="D1035" t="s">
        <v>13</v>
      </c>
      <c r="E1035" t="s">
        <v>14</v>
      </c>
      <c r="F1035">
        <v>1320</v>
      </c>
      <c r="G1035">
        <v>89</v>
      </c>
      <c r="H1035" s="6">
        <f t="shared" si="64"/>
        <v>117.48</v>
      </c>
    </row>
    <row r="1036" spans="1:8" hidden="1" x14ac:dyDescent="0.3">
      <c r="A1036" s="9">
        <v>45027</v>
      </c>
      <c r="B1036" t="s">
        <v>17</v>
      </c>
      <c r="C1036" t="s">
        <v>35</v>
      </c>
      <c r="D1036" t="s">
        <v>10</v>
      </c>
      <c r="E1036" t="s">
        <v>39</v>
      </c>
      <c r="F1036">
        <v>650</v>
      </c>
      <c r="G1036">
        <v>64</v>
      </c>
      <c r="H1036" s="6">
        <f t="shared" si="64"/>
        <v>41.6</v>
      </c>
    </row>
    <row r="1037" spans="1:8" hidden="1" x14ac:dyDescent="0.3">
      <c r="A1037" s="9">
        <v>45027</v>
      </c>
      <c r="B1037" t="s">
        <v>8</v>
      </c>
      <c r="C1037" t="s">
        <v>35</v>
      </c>
      <c r="D1037" t="s">
        <v>18</v>
      </c>
      <c r="E1037" t="s">
        <v>19</v>
      </c>
      <c r="F1037">
        <v>325</v>
      </c>
      <c r="G1037">
        <v>58</v>
      </c>
      <c r="H1037" s="6">
        <f t="shared" si="64"/>
        <v>18.850000000000001</v>
      </c>
    </row>
    <row r="1038" spans="1:8" hidden="1" x14ac:dyDescent="0.3">
      <c r="A1038" s="13" t="s">
        <v>115</v>
      </c>
      <c r="H1038" s="6">
        <f>SUBTOTAL(9,H1030:H1037)</f>
        <v>0</v>
      </c>
    </row>
    <row r="1039" spans="1:8" hidden="1" x14ac:dyDescent="0.3">
      <c r="A1039" s="9">
        <v>45028</v>
      </c>
      <c r="B1039" t="s">
        <v>45</v>
      </c>
      <c r="C1039" t="s">
        <v>20</v>
      </c>
      <c r="D1039" t="s">
        <v>24</v>
      </c>
      <c r="E1039" t="s">
        <v>30</v>
      </c>
      <c r="F1039">
        <v>2970</v>
      </c>
      <c r="G1039">
        <v>66</v>
      </c>
      <c r="H1039" s="6">
        <f t="shared" ref="H1039:H1050" si="65">F1039*G1039/1000</f>
        <v>196.02</v>
      </c>
    </row>
    <row r="1040" spans="1:8" hidden="1" x14ac:dyDescent="0.3">
      <c r="A1040" s="9">
        <v>45028</v>
      </c>
      <c r="B1040" t="s">
        <v>45</v>
      </c>
      <c r="C1040" t="s">
        <v>9</v>
      </c>
      <c r="D1040" t="s">
        <v>10</v>
      </c>
      <c r="E1040" t="s">
        <v>39</v>
      </c>
      <c r="F1040">
        <v>650</v>
      </c>
      <c r="G1040">
        <v>53</v>
      </c>
      <c r="H1040" s="6">
        <f t="shared" si="65"/>
        <v>34.450000000000003</v>
      </c>
    </row>
    <row r="1041" spans="1:8" hidden="1" x14ac:dyDescent="0.3">
      <c r="A1041" s="9">
        <v>45028</v>
      </c>
      <c r="B1041" t="s">
        <v>17</v>
      </c>
      <c r="C1041" t="s">
        <v>9</v>
      </c>
      <c r="D1041" t="s">
        <v>18</v>
      </c>
      <c r="E1041" t="s">
        <v>21</v>
      </c>
      <c r="F1041">
        <v>450</v>
      </c>
      <c r="G1041">
        <v>92</v>
      </c>
      <c r="H1041" s="6">
        <f t="shared" si="65"/>
        <v>41.4</v>
      </c>
    </row>
    <row r="1042" spans="1:8" hidden="1" x14ac:dyDescent="0.3">
      <c r="A1042" s="9">
        <v>45028</v>
      </c>
      <c r="B1042" t="s">
        <v>17</v>
      </c>
      <c r="C1042" t="s">
        <v>9</v>
      </c>
      <c r="D1042" t="s">
        <v>13</v>
      </c>
      <c r="E1042" t="s">
        <v>38</v>
      </c>
      <c r="F1042">
        <v>2400</v>
      </c>
      <c r="G1042">
        <v>42</v>
      </c>
      <c r="H1042" s="6">
        <f t="shared" si="65"/>
        <v>100.8</v>
      </c>
    </row>
    <row r="1043" spans="1:8" hidden="1" x14ac:dyDescent="0.3">
      <c r="A1043" s="9">
        <v>45028</v>
      </c>
      <c r="B1043" t="s">
        <v>17</v>
      </c>
      <c r="C1043" t="s">
        <v>26</v>
      </c>
      <c r="D1043" t="s">
        <v>24</v>
      </c>
      <c r="E1043" t="s">
        <v>30</v>
      </c>
      <c r="F1043">
        <v>2970</v>
      </c>
      <c r="G1043">
        <v>45</v>
      </c>
      <c r="H1043" s="6">
        <f t="shared" si="65"/>
        <v>133.65</v>
      </c>
    </row>
    <row r="1044" spans="1:8" hidden="1" x14ac:dyDescent="0.3">
      <c r="A1044" s="9">
        <v>45028</v>
      </c>
      <c r="B1044" t="s">
        <v>12</v>
      </c>
      <c r="C1044" t="s">
        <v>15</v>
      </c>
      <c r="D1044" t="s">
        <v>13</v>
      </c>
      <c r="E1044" t="s">
        <v>43</v>
      </c>
      <c r="F1044">
        <v>1420</v>
      </c>
      <c r="G1044">
        <v>37</v>
      </c>
      <c r="H1044" s="6">
        <f t="shared" si="65"/>
        <v>52.54</v>
      </c>
    </row>
    <row r="1045" spans="1:8" hidden="1" x14ac:dyDescent="0.3">
      <c r="A1045" s="9">
        <v>45028</v>
      </c>
      <c r="B1045" t="s">
        <v>8</v>
      </c>
      <c r="C1045" t="s">
        <v>15</v>
      </c>
      <c r="D1045" t="s">
        <v>24</v>
      </c>
      <c r="E1045" t="s">
        <v>42</v>
      </c>
      <c r="F1045">
        <v>3205</v>
      </c>
      <c r="G1045">
        <v>54</v>
      </c>
      <c r="H1045" s="6">
        <f t="shared" si="65"/>
        <v>173.07</v>
      </c>
    </row>
    <row r="1046" spans="1:8" hidden="1" x14ac:dyDescent="0.3">
      <c r="A1046" s="9">
        <v>45028</v>
      </c>
      <c r="B1046" t="s">
        <v>12</v>
      </c>
      <c r="C1046" t="s">
        <v>33</v>
      </c>
      <c r="D1046" t="s">
        <v>18</v>
      </c>
      <c r="E1046" t="s">
        <v>19</v>
      </c>
      <c r="F1046">
        <v>325</v>
      </c>
      <c r="G1046">
        <v>97</v>
      </c>
      <c r="H1046" s="6">
        <f t="shared" si="65"/>
        <v>31.524999999999999</v>
      </c>
    </row>
    <row r="1047" spans="1:8" hidden="1" x14ac:dyDescent="0.3">
      <c r="A1047" s="9">
        <v>45028</v>
      </c>
      <c r="B1047" t="s">
        <v>12</v>
      </c>
      <c r="C1047" t="s">
        <v>33</v>
      </c>
      <c r="D1047" t="s">
        <v>18</v>
      </c>
      <c r="E1047" t="s">
        <v>28</v>
      </c>
      <c r="F1047">
        <v>690</v>
      </c>
      <c r="G1047">
        <v>98</v>
      </c>
      <c r="H1047" s="6">
        <f t="shared" si="65"/>
        <v>67.62</v>
      </c>
    </row>
    <row r="1048" spans="1:8" hidden="1" x14ac:dyDescent="0.3">
      <c r="A1048" s="9">
        <v>45028</v>
      </c>
      <c r="B1048" t="s">
        <v>12</v>
      </c>
      <c r="C1048" t="s">
        <v>33</v>
      </c>
      <c r="D1048" t="s">
        <v>18</v>
      </c>
      <c r="E1048" t="s">
        <v>27</v>
      </c>
      <c r="F1048">
        <v>460</v>
      </c>
      <c r="G1048">
        <v>84</v>
      </c>
      <c r="H1048" s="6">
        <f t="shared" si="65"/>
        <v>38.64</v>
      </c>
    </row>
    <row r="1049" spans="1:8" hidden="1" x14ac:dyDescent="0.3">
      <c r="A1049" s="9">
        <v>45028</v>
      </c>
      <c r="B1049" t="s">
        <v>45</v>
      </c>
      <c r="C1049" t="s">
        <v>33</v>
      </c>
      <c r="D1049" t="s">
        <v>24</v>
      </c>
      <c r="E1049" t="s">
        <v>34</v>
      </c>
      <c r="F1049">
        <v>1670</v>
      </c>
      <c r="G1049">
        <v>47</v>
      </c>
      <c r="H1049" s="6">
        <f t="shared" si="65"/>
        <v>78.489999999999995</v>
      </c>
    </row>
    <row r="1050" spans="1:8" hidden="1" x14ac:dyDescent="0.3">
      <c r="A1050" s="9">
        <v>45028</v>
      </c>
      <c r="B1050" t="s">
        <v>45</v>
      </c>
      <c r="C1050" t="s">
        <v>35</v>
      </c>
      <c r="D1050" t="s">
        <v>24</v>
      </c>
      <c r="E1050" t="s">
        <v>34</v>
      </c>
      <c r="F1050">
        <v>1670</v>
      </c>
      <c r="G1050">
        <v>20</v>
      </c>
      <c r="H1050" s="6">
        <f t="shared" si="65"/>
        <v>33.4</v>
      </c>
    </row>
    <row r="1051" spans="1:8" hidden="1" x14ac:dyDescent="0.3">
      <c r="A1051" s="13" t="s">
        <v>116</v>
      </c>
      <c r="H1051" s="6">
        <f>SUBTOTAL(9,H1039:H1050)</f>
        <v>0</v>
      </c>
    </row>
    <row r="1052" spans="1:8" hidden="1" x14ac:dyDescent="0.3">
      <c r="A1052" s="9">
        <v>45029</v>
      </c>
      <c r="B1052" t="s">
        <v>8</v>
      </c>
      <c r="C1052" t="s">
        <v>15</v>
      </c>
      <c r="D1052" t="s">
        <v>10</v>
      </c>
      <c r="E1052" t="s">
        <v>40</v>
      </c>
      <c r="F1052">
        <v>540</v>
      </c>
      <c r="G1052">
        <v>54</v>
      </c>
      <c r="H1052" s="6">
        <f t="shared" ref="H1052:H1060" si="66">F1052*G1052/1000</f>
        <v>29.16</v>
      </c>
    </row>
    <row r="1053" spans="1:8" hidden="1" x14ac:dyDescent="0.3">
      <c r="A1053" s="9">
        <v>45029</v>
      </c>
      <c r="B1053" t="s">
        <v>17</v>
      </c>
      <c r="C1053" t="s">
        <v>15</v>
      </c>
      <c r="D1053" t="s">
        <v>24</v>
      </c>
      <c r="E1053" t="s">
        <v>30</v>
      </c>
      <c r="F1053">
        <v>2970</v>
      </c>
      <c r="G1053">
        <v>98</v>
      </c>
      <c r="H1053" s="6">
        <f t="shared" si="66"/>
        <v>291.06</v>
      </c>
    </row>
    <row r="1054" spans="1:8" hidden="1" x14ac:dyDescent="0.3">
      <c r="A1054" s="9">
        <v>45029</v>
      </c>
      <c r="B1054" t="s">
        <v>8</v>
      </c>
      <c r="C1054" t="s">
        <v>33</v>
      </c>
      <c r="D1054" t="s">
        <v>18</v>
      </c>
      <c r="E1054" t="s">
        <v>28</v>
      </c>
      <c r="F1054">
        <v>690</v>
      </c>
      <c r="G1054">
        <v>11</v>
      </c>
      <c r="H1054" s="6">
        <f t="shared" si="66"/>
        <v>7.59</v>
      </c>
    </row>
    <row r="1055" spans="1:8" hidden="1" x14ac:dyDescent="0.3">
      <c r="A1055" s="9">
        <v>45029</v>
      </c>
      <c r="B1055" t="s">
        <v>45</v>
      </c>
      <c r="C1055" t="s">
        <v>33</v>
      </c>
      <c r="D1055" t="s">
        <v>18</v>
      </c>
      <c r="E1055" t="s">
        <v>28</v>
      </c>
      <c r="F1055">
        <v>690</v>
      </c>
      <c r="G1055">
        <v>32</v>
      </c>
      <c r="H1055" s="6">
        <f t="shared" si="66"/>
        <v>22.08</v>
      </c>
    </row>
    <row r="1056" spans="1:8" hidden="1" x14ac:dyDescent="0.3">
      <c r="A1056" s="9">
        <v>45029</v>
      </c>
      <c r="B1056" t="s">
        <v>12</v>
      </c>
      <c r="C1056" t="s">
        <v>33</v>
      </c>
      <c r="D1056" t="s">
        <v>13</v>
      </c>
      <c r="E1056" t="s">
        <v>29</v>
      </c>
      <c r="F1056">
        <v>1230</v>
      </c>
      <c r="G1056">
        <v>85</v>
      </c>
      <c r="H1056" s="6">
        <f t="shared" si="66"/>
        <v>104.55</v>
      </c>
    </row>
    <row r="1057" spans="1:8" hidden="1" x14ac:dyDescent="0.3">
      <c r="A1057" s="9">
        <v>45029</v>
      </c>
      <c r="B1057" t="s">
        <v>12</v>
      </c>
      <c r="C1057" t="s">
        <v>33</v>
      </c>
      <c r="D1057" t="s">
        <v>24</v>
      </c>
      <c r="E1057" t="s">
        <v>42</v>
      </c>
      <c r="F1057">
        <v>3205</v>
      </c>
      <c r="G1057">
        <v>63</v>
      </c>
      <c r="H1057" s="6">
        <f t="shared" si="66"/>
        <v>201.91499999999999</v>
      </c>
    </row>
    <row r="1058" spans="1:8" hidden="1" x14ac:dyDescent="0.3">
      <c r="A1058" s="9">
        <v>45029</v>
      </c>
      <c r="B1058" t="s">
        <v>12</v>
      </c>
      <c r="C1058" t="s">
        <v>35</v>
      </c>
      <c r="D1058" t="s">
        <v>10</v>
      </c>
      <c r="E1058" t="s">
        <v>23</v>
      </c>
      <c r="F1058">
        <v>640</v>
      </c>
      <c r="G1058">
        <v>74</v>
      </c>
      <c r="H1058" s="6">
        <f t="shared" si="66"/>
        <v>47.36</v>
      </c>
    </row>
    <row r="1059" spans="1:8" hidden="1" x14ac:dyDescent="0.3">
      <c r="A1059" s="9">
        <v>45029</v>
      </c>
      <c r="B1059" t="s">
        <v>17</v>
      </c>
      <c r="C1059" t="s">
        <v>35</v>
      </c>
      <c r="D1059" t="s">
        <v>18</v>
      </c>
      <c r="E1059" t="s">
        <v>19</v>
      </c>
      <c r="F1059">
        <v>325</v>
      </c>
      <c r="G1059">
        <v>82</v>
      </c>
      <c r="H1059" s="6">
        <f t="shared" si="66"/>
        <v>26.65</v>
      </c>
    </row>
    <row r="1060" spans="1:8" hidden="1" x14ac:dyDescent="0.3">
      <c r="A1060" s="9">
        <v>45029</v>
      </c>
      <c r="B1060" t="s">
        <v>8</v>
      </c>
      <c r="C1060" t="s">
        <v>35</v>
      </c>
      <c r="D1060" t="s">
        <v>13</v>
      </c>
      <c r="E1060" t="s">
        <v>43</v>
      </c>
      <c r="F1060">
        <v>1420</v>
      </c>
      <c r="G1060">
        <v>69</v>
      </c>
      <c r="H1060" s="6">
        <f t="shared" si="66"/>
        <v>97.98</v>
      </c>
    </row>
    <row r="1061" spans="1:8" hidden="1" x14ac:dyDescent="0.3">
      <c r="A1061" s="13" t="s">
        <v>117</v>
      </c>
      <c r="H1061" s="6">
        <f>SUBTOTAL(9,H1052:H1060)</f>
        <v>0</v>
      </c>
    </row>
    <row r="1062" spans="1:8" hidden="1" x14ac:dyDescent="0.3">
      <c r="A1062" s="10">
        <v>45030</v>
      </c>
      <c r="B1062" s="11" t="s">
        <v>12</v>
      </c>
      <c r="C1062" s="11" t="s">
        <v>20</v>
      </c>
      <c r="D1062" s="11" t="s">
        <v>10</v>
      </c>
      <c r="E1062" s="11" t="s">
        <v>41</v>
      </c>
      <c r="F1062" s="11">
        <v>650</v>
      </c>
      <c r="G1062" s="11">
        <v>61</v>
      </c>
      <c r="H1062" s="6">
        <f t="shared" ref="H1062:H1069" si="67">F1062*G1062/1000</f>
        <v>39.65</v>
      </c>
    </row>
    <row r="1063" spans="1:8" hidden="1" x14ac:dyDescent="0.3">
      <c r="A1063" s="9">
        <v>45030</v>
      </c>
      <c r="B1063" t="s">
        <v>45</v>
      </c>
      <c r="C1063" t="s">
        <v>20</v>
      </c>
      <c r="D1063" t="s">
        <v>13</v>
      </c>
      <c r="E1063" t="s">
        <v>38</v>
      </c>
      <c r="F1063">
        <v>2400</v>
      </c>
      <c r="G1063">
        <v>72</v>
      </c>
      <c r="H1063" s="6">
        <f t="shared" si="67"/>
        <v>172.8</v>
      </c>
    </row>
    <row r="1064" spans="1:8" hidden="1" x14ac:dyDescent="0.3">
      <c r="A1064" s="10">
        <v>45030</v>
      </c>
      <c r="B1064" s="11" t="s">
        <v>12</v>
      </c>
      <c r="C1064" s="11" t="s">
        <v>20</v>
      </c>
      <c r="D1064" s="11" t="s">
        <v>13</v>
      </c>
      <c r="E1064" s="11" t="s">
        <v>14</v>
      </c>
      <c r="F1064" s="11">
        <v>1320</v>
      </c>
      <c r="G1064" s="11">
        <v>55</v>
      </c>
      <c r="H1064" s="6">
        <f t="shared" si="67"/>
        <v>72.599999999999994</v>
      </c>
    </row>
    <row r="1065" spans="1:8" hidden="1" x14ac:dyDescent="0.3">
      <c r="A1065" s="9">
        <v>45030</v>
      </c>
      <c r="B1065" t="s">
        <v>17</v>
      </c>
      <c r="C1065" t="s">
        <v>15</v>
      </c>
      <c r="D1065" t="s">
        <v>10</v>
      </c>
      <c r="E1065" t="s">
        <v>23</v>
      </c>
      <c r="F1065">
        <v>640</v>
      </c>
      <c r="G1065">
        <v>65</v>
      </c>
      <c r="H1065" s="6">
        <f t="shared" si="67"/>
        <v>41.6</v>
      </c>
    </row>
    <row r="1066" spans="1:8" hidden="1" x14ac:dyDescent="0.3">
      <c r="A1066" s="9">
        <v>45030</v>
      </c>
      <c r="B1066" t="s">
        <v>17</v>
      </c>
      <c r="C1066" t="s">
        <v>15</v>
      </c>
      <c r="D1066" t="s">
        <v>13</v>
      </c>
      <c r="E1066" t="s">
        <v>44</v>
      </c>
      <c r="F1066">
        <v>2540</v>
      </c>
      <c r="G1066">
        <v>29</v>
      </c>
      <c r="H1066" s="6">
        <f t="shared" si="67"/>
        <v>73.66</v>
      </c>
    </row>
    <row r="1067" spans="1:8" hidden="1" x14ac:dyDescent="0.3">
      <c r="A1067" s="9">
        <v>45030</v>
      </c>
      <c r="B1067" t="s">
        <v>45</v>
      </c>
      <c r="C1067" t="s">
        <v>15</v>
      </c>
      <c r="D1067" t="s">
        <v>13</v>
      </c>
      <c r="E1067" t="s">
        <v>22</v>
      </c>
      <c r="F1067">
        <v>930</v>
      </c>
      <c r="G1067">
        <v>41</v>
      </c>
      <c r="H1067" s="6">
        <f t="shared" si="67"/>
        <v>38.130000000000003</v>
      </c>
    </row>
    <row r="1068" spans="1:8" hidden="1" x14ac:dyDescent="0.3">
      <c r="A1068" s="9">
        <v>45030</v>
      </c>
      <c r="B1068" t="s">
        <v>12</v>
      </c>
      <c r="C1068" t="s">
        <v>33</v>
      </c>
      <c r="D1068" t="s">
        <v>24</v>
      </c>
      <c r="E1068" t="s">
        <v>36</v>
      </c>
      <c r="F1068">
        <v>2460</v>
      </c>
      <c r="G1068">
        <v>45</v>
      </c>
      <c r="H1068" s="6">
        <f t="shared" si="67"/>
        <v>110.7</v>
      </c>
    </row>
    <row r="1069" spans="1:8" hidden="1" x14ac:dyDescent="0.3">
      <c r="A1069" s="9">
        <v>45030</v>
      </c>
      <c r="B1069" t="s">
        <v>12</v>
      </c>
      <c r="C1069" t="s">
        <v>35</v>
      </c>
      <c r="D1069" t="s">
        <v>18</v>
      </c>
      <c r="E1069" t="s">
        <v>27</v>
      </c>
      <c r="F1069">
        <v>460</v>
      </c>
      <c r="G1069">
        <v>96</v>
      </c>
      <c r="H1069" s="6">
        <f t="shared" si="67"/>
        <v>44.16</v>
      </c>
    </row>
    <row r="1070" spans="1:8" hidden="1" x14ac:dyDescent="0.3">
      <c r="A1070" s="13" t="s">
        <v>118</v>
      </c>
      <c r="H1070" s="6">
        <f>SUBTOTAL(9,H1062:H1069)</f>
        <v>0</v>
      </c>
    </row>
    <row r="1071" spans="1:8" hidden="1" x14ac:dyDescent="0.3">
      <c r="A1071" s="9">
        <v>45031</v>
      </c>
      <c r="B1071" t="s">
        <v>45</v>
      </c>
      <c r="C1071" t="s">
        <v>20</v>
      </c>
      <c r="D1071" t="s">
        <v>10</v>
      </c>
      <c r="E1071" t="s">
        <v>11</v>
      </c>
      <c r="F1071">
        <v>705</v>
      </c>
      <c r="G1071">
        <v>29</v>
      </c>
      <c r="H1071" s="6">
        <f t="shared" ref="H1071:H1078" si="68">F1071*G1071/1000</f>
        <v>20.445</v>
      </c>
    </row>
    <row r="1072" spans="1:8" hidden="1" x14ac:dyDescent="0.3">
      <c r="A1072" s="9">
        <v>45031</v>
      </c>
      <c r="B1072" t="s">
        <v>17</v>
      </c>
      <c r="C1072" t="s">
        <v>9</v>
      </c>
      <c r="D1072" t="s">
        <v>10</v>
      </c>
      <c r="E1072" t="s">
        <v>16</v>
      </c>
      <c r="F1072">
        <v>1380</v>
      </c>
      <c r="G1072">
        <v>73</v>
      </c>
      <c r="H1072" s="6">
        <f t="shared" si="68"/>
        <v>100.74</v>
      </c>
    </row>
    <row r="1073" spans="1:8" hidden="1" x14ac:dyDescent="0.3">
      <c r="A1073" s="9">
        <v>45031</v>
      </c>
      <c r="B1073" t="s">
        <v>45</v>
      </c>
      <c r="C1073" t="s">
        <v>9</v>
      </c>
      <c r="D1073" t="s">
        <v>10</v>
      </c>
      <c r="E1073" t="s">
        <v>23</v>
      </c>
      <c r="F1073">
        <v>640</v>
      </c>
      <c r="G1073">
        <v>34</v>
      </c>
      <c r="H1073" s="6">
        <f t="shared" si="68"/>
        <v>21.76</v>
      </c>
    </row>
    <row r="1074" spans="1:8" hidden="1" x14ac:dyDescent="0.3">
      <c r="A1074" s="9">
        <v>45031</v>
      </c>
      <c r="B1074" t="s">
        <v>17</v>
      </c>
      <c r="C1074" t="s">
        <v>9</v>
      </c>
      <c r="D1074" t="s">
        <v>13</v>
      </c>
      <c r="E1074" t="s">
        <v>29</v>
      </c>
      <c r="F1074">
        <v>1230</v>
      </c>
      <c r="G1074">
        <v>33</v>
      </c>
      <c r="H1074" s="6">
        <f t="shared" si="68"/>
        <v>40.590000000000003</v>
      </c>
    </row>
    <row r="1075" spans="1:8" hidden="1" x14ac:dyDescent="0.3">
      <c r="A1075" s="9">
        <v>45031</v>
      </c>
      <c r="B1075" t="s">
        <v>17</v>
      </c>
      <c r="C1075" t="s">
        <v>26</v>
      </c>
      <c r="D1075" t="s">
        <v>13</v>
      </c>
      <c r="E1075" t="s">
        <v>22</v>
      </c>
      <c r="F1075">
        <v>930</v>
      </c>
      <c r="G1075">
        <v>42</v>
      </c>
      <c r="H1075" s="6">
        <f t="shared" si="68"/>
        <v>39.06</v>
      </c>
    </row>
    <row r="1076" spans="1:8" hidden="1" x14ac:dyDescent="0.3">
      <c r="A1076" s="9">
        <v>45031</v>
      </c>
      <c r="B1076" t="s">
        <v>45</v>
      </c>
      <c r="C1076" t="s">
        <v>33</v>
      </c>
      <c r="D1076" t="s">
        <v>24</v>
      </c>
      <c r="E1076" t="s">
        <v>36</v>
      </c>
      <c r="F1076">
        <v>2460</v>
      </c>
      <c r="G1076">
        <v>8</v>
      </c>
      <c r="H1076" s="6">
        <f t="shared" si="68"/>
        <v>19.68</v>
      </c>
    </row>
    <row r="1077" spans="1:8" hidden="1" x14ac:dyDescent="0.3">
      <c r="A1077" s="9">
        <v>45031</v>
      </c>
      <c r="B1077" t="s">
        <v>45</v>
      </c>
      <c r="C1077" t="s">
        <v>35</v>
      </c>
      <c r="D1077" t="s">
        <v>10</v>
      </c>
      <c r="E1077" t="s">
        <v>11</v>
      </c>
      <c r="F1077">
        <v>705</v>
      </c>
      <c r="G1077">
        <v>100</v>
      </c>
      <c r="H1077" s="6">
        <f t="shared" si="68"/>
        <v>70.5</v>
      </c>
    </row>
    <row r="1078" spans="1:8" hidden="1" x14ac:dyDescent="0.3">
      <c r="A1078" s="9">
        <v>45031</v>
      </c>
      <c r="B1078" t="s">
        <v>17</v>
      </c>
      <c r="C1078" t="s">
        <v>35</v>
      </c>
      <c r="D1078" t="s">
        <v>24</v>
      </c>
      <c r="E1078" t="s">
        <v>36</v>
      </c>
      <c r="F1078">
        <v>2460</v>
      </c>
      <c r="G1078">
        <v>60</v>
      </c>
      <c r="H1078" s="6">
        <f t="shared" si="68"/>
        <v>147.6</v>
      </c>
    </row>
    <row r="1079" spans="1:8" hidden="1" x14ac:dyDescent="0.3">
      <c r="A1079" s="13" t="s">
        <v>119</v>
      </c>
      <c r="H1079" s="6">
        <f>SUBTOTAL(9,H1071:H1078)</f>
        <v>0</v>
      </c>
    </row>
    <row r="1080" spans="1:8" hidden="1" x14ac:dyDescent="0.3">
      <c r="A1080" s="10">
        <v>45032</v>
      </c>
      <c r="B1080" s="11" t="s">
        <v>45</v>
      </c>
      <c r="C1080" s="11" t="s">
        <v>20</v>
      </c>
      <c r="D1080" s="11" t="s">
        <v>10</v>
      </c>
      <c r="E1080" s="11" t="s">
        <v>40</v>
      </c>
      <c r="F1080" s="11">
        <v>540</v>
      </c>
      <c r="G1080" s="11">
        <v>99</v>
      </c>
      <c r="H1080" s="6">
        <f t="shared" ref="H1080:H1089" si="69">F1080*G1080/1000</f>
        <v>53.46</v>
      </c>
    </row>
    <row r="1081" spans="1:8" hidden="1" x14ac:dyDescent="0.3">
      <c r="A1081" s="9">
        <v>45032</v>
      </c>
      <c r="B1081" t="s">
        <v>17</v>
      </c>
      <c r="C1081" t="s">
        <v>20</v>
      </c>
      <c r="D1081" t="s">
        <v>10</v>
      </c>
      <c r="E1081" t="s">
        <v>23</v>
      </c>
      <c r="F1081">
        <v>640</v>
      </c>
      <c r="G1081">
        <v>80</v>
      </c>
      <c r="H1081" s="6">
        <f t="shared" si="69"/>
        <v>51.2</v>
      </c>
    </row>
    <row r="1082" spans="1:8" hidden="1" x14ac:dyDescent="0.3">
      <c r="A1082" s="9">
        <v>45032</v>
      </c>
      <c r="B1082" t="s">
        <v>45</v>
      </c>
      <c r="C1082" t="s">
        <v>9</v>
      </c>
      <c r="D1082" t="s">
        <v>24</v>
      </c>
      <c r="E1082" t="s">
        <v>25</v>
      </c>
      <c r="F1082">
        <v>1760</v>
      </c>
      <c r="G1082">
        <v>57</v>
      </c>
      <c r="H1082" s="6">
        <f t="shared" si="69"/>
        <v>100.32</v>
      </c>
    </row>
    <row r="1083" spans="1:8" hidden="1" x14ac:dyDescent="0.3">
      <c r="A1083" s="9">
        <v>45032</v>
      </c>
      <c r="B1083" t="s">
        <v>12</v>
      </c>
      <c r="C1083" t="s">
        <v>26</v>
      </c>
      <c r="D1083" t="s">
        <v>24</v>
      </c>
      <c r="E1083" t="s">
        <v>32</v>
      </c>
      <c r="F1083">
        <v>1505</v>
      </c>
      <c r="G1083">
        <v>6</v>
      </c>
      <c r="H1083" s="6">
        <f t="shared" si="69"/>
        <v>9.0299999999999994</v>
      </c>
    </row>
    <row r="1084" spans="1:8" hidden="1" x14ac:dyDescent="0.3">
      <c r="A1084" s="9">
        <v>45032</v>
      </c>
      <c r="B1084" t="s">
        <v>12</v>
      </c>
      <c r="C1084" t="s">
        <v>15</v>
      </c>
      <c r="D1084" t="s">
        <v>10</v>
      </c>
      <c r="E1084" t="s">
        <v>16</v>
      </c>
      <c r="F1084">
        <v>1380</v>
      </c>
      <c r="G1084">
        <v>85</v>
      </c>
      <c r="H1084" s="6">
        <f t="shared" si="69"/>
        <v>117.3</v>
      </c>
    </row>
    <row r="1085" spans="1:8" hidden="1" x14ac:dyDescent="0.3">
      <c r="A1085" s="9">
        <v>45032</v>
      </c>
      <c r="B1085" t="s">
        <v>12</v>
      </c>
      <c r="C1085" t="s">
        <v>15</v>
      </c>
      <c r="D1085" t="s">
        <v>18</v>
      </c>
      <c r="E1085" t="s">
        <v>37</v>
      </c>
      <c r="F1085">
        <v>890</v>
      </c>
      <c r="G1085">
        <v>33</v>
      </c>
      <c r="H1085" s="6">
        <f t="shared" si="69"/>
        <v>29.37</v>
      </c>
    </row>
    <row r="1086" spans="1:8" hidden="1" x14ac:dyDescent="0.3">
      <c r="A1086" s="9">
        <v>45032</v>
      </c>
      <c r="B1086" t="s">
        <v>12</v>
      </c>
      <c r="C1086" t="s">
        <v>35</v>
      </c>
      <c r="D1086" t="s">
        <v>18</v>
      </c>
      <c r="E1086" t="s">
        <v>31</v>
      </c>
      <c r="F1086">
        <v>715</v>
      </c>
      <c r="G1086">
        <v>45</v>
      </c>
      <c r="H1086" s="6">
        <f t="shared" si="69"/>
        <v>32.174999999999997</v>
      </c>
    </row>
    <row r="1087" spans="1:8" hidden="1" x14ac:dyDescent="0.3">
      <c r="A1087" s="9">
        <v>45032</v>
      </c>
      <c r="B1087" t="s">
        <v>12</v>
      </c>
      <c r="C1087" t="s">
        <v>35</v>
      </c>
      <c r="D1087" t="s">
        <v>13</v>
      </c>
      <c r="E1087" t="s">
        <v>29</v>
      </c>
      <c r="F1087">
        <v>1230</v>
      </c>
      <c r="G1087">
        <v>79</v>
      </c>
      <c r="H1087" s="6">
        <f t="shared" si="69"/>
        <v>97.17</v>
      </c>
    </row>
    <row r="1088" spans="1:8" hidden="1" x14ac:dyDescent="0.3">
      <c r="A1088" s="9">
        <v>45032</v>
      </c>
      <c r="B1088" t="s">
        <v>8</v>
      </c>
      <c r="C1088" t="s">
        <v>35</v>
      </c>
      <c r="D1088" t="s">
        <v>13</v>
      </c>
      <c r="E1088" t="s">
        <v>22</v>
      </c>
      <c r="F1088">
        <v>930</v>
      </c>
      <c r="G1088">
        <v>67</v>
      </c>
      <c r="H1088" s="6">
        <f t="shared" si="69"/>
        <v>62.31</v>
      </c>
    </row>
    <row r="1089" spans="1:8" hidden="1" x14ac:dyDescent="0.3">
      <c r="A1089" s="9">
        <v>45032</v>
      </c>
      <c r="B1089" t="s">
        <v>12</v>
      </c>
      <c r="C1089" t="s">
        <v>35</v>
      </c>
      <c r="D1089" t="s">
        <v>24</v>
      </c>
      <c r="E1089" t="s">
        <v>30</v>
      </c>
      <c r="F1089">
        <v>2970</v>
      </c>
      <c r="G1089">
        <v>62</v>
      </c>
      <c r="H1089" s="6">
        <f t="shared" si="69"/>
        <v>184.14</v>
      </c>
    </row>
    <row r="1090" spans="1:8" hidden="1" x14ac:dyDescent="0.3">
      <c r="A1090" s="13" t="s">
        <v>120</v>
      </c>
      <c r="H1090" s="6">
        <f>SUBTOTAL(9,H1080:H1089)</f>
        <v>0</v>
      </c>
    </row>
    <row r="1091" spans="1:8" hidden="1" x14ac:dyDescent="0.3">
      <c r="A1091" s="9">
        <v>45033</v>
      </c>
      <c r="B1091" t="s">
        <v>8</v>
      </c>
      <c r="C1091" t="s">
        <v>26</v>
      </c>
      <c r="D1091" t="s">
        <v>13</v>
      </c>
      <c r="E1091" t="s">
        <v>22</v>
      </c>
      <c r="F1091">
        <v>930</v>
      </c>
      <c r="G1091">
        <v>53</v>
      </c>
      <c r="H1091" s="6">
        <f>F1091*G1091/1000</f>
        <v>49.29</v>
      </c>
    </row>
    <row r="1092" spans="1:8" hidden="1" x14ac:dyDescent="0.3">
      <c r="A1092" s="9">
        <v>45033</v>
      </c>
      <c r="B1092" t="s">
        <v>8</v>
      </c>
      <c r="C1092" t="s">
        <v>15</v>
      </c>
      <c r="D1092" t="s">
        <v>10</v>
      </c>
      <c r="E1092" t="s">
        <v>40</v>
      </c>
      <c r="F1092">
        <v>540</v>
      </c>
      <c r="G1092">
        <v>10</v>
      </c>
      <c r="H1092" s="6">
        <f>F1092*G1092/1000</f>
        <v>5.4</v>
      </c>
    </row>
    <row r="1093" spans="1:8" hidden="1" x14ac:dyDescent="0.3">
      <c r="A1093" s="9">
        <v>45033</v>
      </c>
      <c r="B1093" t="s">
        <v>17</v>
      </c>
      <c r="C1093" t="s">
        <v>33</v>
      </c>
      <c r="D1093" t="s">
        <v>10</v>
      </c>
      <c r="E1093" t="s">
        <v>16</v>
      </c>
      <c r="F1093">
        <v>1380</v>
      </c>
      <c r="G1093">
        <v>92</v>
      </c>
      <c r="H1093" s="6">
        <f>F1093*G1093/1000</f>
        <v>126.96</v>
      </c>
    </row>
    <row r="1094" spans="1:8" hidden="1" x14ac:dyDescent="0.3">
      <c r="A1094" s="9">
        <v>45033</v>
      </c>
      <c r="B1094" t="s">
        <v>17</v>
      </c>
      <c r="C1094" t="s">
        <v>33</v>
      </c>
      <c r="D1094" t="s">
        <v>24</v>
      </c>
      <c r="E1094" t="s">
        <v>34</v>
      </c>
      <c r="F1094">
        <v>1670</v>
      </c>
      <c r="G1094">
        <v>71</v>
      </c>
      <c r="H1094" s="6">
        <f>F1094*G1094/1000</f>
        <v>118.57</v>
      </c>
    </row>
    <row r="1095" spans="1:8" hidden="1" x14ac:dyDescent="0.3">
      <c r="A1095" s="9">
        <v>45033</v>
      </c>
      <c r="B1095" t="s">
        <v>17</v>
      </c>
      <c r="C1095" t="s">
        <v>35</v>
      </c>
      <c r="D1095" t="s">
        <v>18</v>
      </c>
      <c r="E1095" t="s">
        <v>28</v>
      </c>
      <c r="F1095">
        <v>690</v>
      </c>
      <c r="G1095">
        <v>30</v>
      </c>
      <c r="H1095" s="6">
        <f>F1095*G1095/1000</f>
        <v>20.7</v>
      </c>
    </row>
    <row r="1096" spans="1:8" hidden="1" x14ac:dyDescent="0.3">
      <c r="A1096" s="13" t="s">
        <v>121</v>
      </c>
      <c r="H1096" s="6">
        <f>SUBTOTAL(9,H1091:H1095)</f>
        <v>0</v>
      </c>
    </row>
    <row r="1097" spans="1:8" hidden="1" x14ac:dyDescent="0.3">
      <c r="A1097" s="10">
        <v>45034</v>
      </c>
      <c r="B1097" s="11" t="s">
        <v>8</v>
      </c>
      <c r="C1097" s="11" t="s">
        <v>20</v>
      </c>
      <c r="D1097" s="11" t="s">
        <v>10</v>
      </c>
      <c r="E1097" s="11" t="s">
        <v>40</v>
      </c>
      <c r="F1097" s="11">
        <v>540</v>
      </c>
      <c r="G1097" s="11">
        <v>8</v>
      </c>
      <c r="H1097" s="6">
        <f t="shared" ref="H1097:H1106" si="70">F1097*G1097/1000</f>
        <v>4.32</v>
      </c>
    </row>
    <row r="1098" spans="1:8" hidden="1" x14ac:dyDescent="0.3">
      <c r="A1098" s="9">
        <v>45034</v>
      </c>
      <c r="B1098" t="s">
        <v>17</v>
      </c>
      <c r="C1098" t="s">
        <v>20</v>
      </c>
      <c r="D1098" t="s">
        <v>10</v>
      </c>
      <c r="E1098" t="s">
        <v>39</v>
      </c>
      <c r="F1098">
        <v>650</v>
      </c>
      <c r="G1098">
        <v>23</v>
      </c>
      <c r="H1098" s="6">
        <f t="shared" si="70"/>
        <v>14.95</v>
      </c>
    </row>
    <row r="1099" spans="1:8" hidden="1" x14ac:dyDescent="0.3">
      <c r="A1099" s="10">
        <v>45034</v>
      </c>
      <c r="B1099" s="11" t="s">
        <v>45</v>
      </c>
      <c r="C1099" s="11" t="s">
        <v>20</v>
      </c>
      <c r="D1099" s="11" t="s">
        <v>24</v>
      </c>
      <c r="E1099" s="11" t="s">
        <v>34</v>
      </c>
      <c r="F1099" s="11">
        <v>1670</v>
      </c>
      <c r="G1099" s="11">
        <v>98</v>
      </c>
      <c r="H1099" s="6">
        <f t="shared" si="70"/>
        <v>163.66</v>
      </c>
    </row>
    <row r="1100" spans="1:8" hidden="1" x14ac:dyDescent="0.3">
      <c r="A1100" s="9">
        <v>45034</v>
      </c>
      <c r="B1100" t="s">
        <v>8</v>
      </c>
      <c r="C1100" t="s">
        <v>9</v>
      </c>
      <c r="D1100" t="s">
        <v>10</v>
      </c>
      <c r="E1100" t="s">
        <v>11</v>
      </c>
      <c r="F1100">
        <v>705</v>
      </c>
      <c r="G1100">
        <v>46</v>
      </c>
      <c r="H1100" s="6">
        <f t="shared" si="70"/>
        <v>32.43</v>
      </c>
    </row>
    <row r="1101" spans="1:8" hidden="1" x14ac:dyDescent="0.3">
      <c r="A1101" s="9">
        <v>45034</v>
      </c>
      <c r="B1101" t="s">
        <v>8</v>
      </c>
      <c r="C1101" t="s">
        <v>26</v>
      </c>
      <c r="D1101" t="s">
        <v>18</v>
      </c>
      <c r="E1101" t="s">
        <v>27</v>
      </c>
      <c r="F1101">
        <v>460</v>
      </c>
      <c r="G1101">
        <v>87</v>
      </c>
      <c r="H1101" s="6">
        <f t="shared" si="70"/>
        <v>40.020000000000003</v>
      </c>
    </row>
    <row r="1102" spans="1:8" hidden="1" x14ac:dyDescent="0.3">
      <c r="A1102" s="9">
        <v>45034</v>
      </c>
      <c r="B1102" t="s">
        <v>8</v>
      </c>
      <c r="C1102" t="s">
        <v>26</v>
      </c>
      <c r="D1102" t="s">
        <v>13</v>
      </c>
      <c r="E1102" t="s">
        <v>22</v>
      </c>
      <c r="F1102">
        <v>930</v>
      </c>
      <c r="G1102">
        <v>20</v>
      </c>
      <c r="H1102" s="6">
        <f t="shared" si="70"/>
        <v>18.600000000000001</v>
      </c>
    </row>
    <row r="1103" spans="1:8" hidden="1" x14ac:dyDescent="0.3">
      <c r="A1103" s="9">
        <v>45034</v>
      </c>
      <c r="B1103" t="s">
        <v>8</v>
      </c>
      <c r="C1103" t="s">
        <v>15</v>
      </c>
      <c r="D1103" t="s">
        <v>18</v>
      </c>
      <c r="E1103" t="s">
        <v>28</v>
      </c>
      <c r="F1103">
        <v>690</v>
      </c>
      <c r="G1103">
        <v>55</v>
      </c>
      <c r="H1103" s="6">
        <f t="shared" si="70"/>
        <v>37.950000000000003</v>
      </c>
    </row>
    <row r="1104" spans="1:8" hidden="1" x14ac:dyDescent="0.3">
      <c r="A1104" s="9">
        <v>45034</v>
      </c>
      <c r="B1104" t="s">
        <v>8</v>
      </c>
      <c r="C1104" t="s">
        <v>15</v>
      </c>
      <c r="D1104" t="s">
        <v>13</v>
      </c>
      <c r="E1104" t="s">
        <v>14</v>
      </c>
      <c r="F1104">
        <v>1320</v>
      </c>
      <c r="G1104">
        <v>61</v>
      </c>
      <c r="H1104" s="6">
        <f t="shared" si="70"/>
        <v>80.52</v>
      </c>
    </row>
    <row r="1105" spans="1:8" hidden="1" x14ac:dyDescent="0.3">
      <c r="A1105" s="9">
        <v>45034</v>
      </c>
      <c r="B1105" t="s">
        <v>12</v>
      </c>
      <c r="C1105" t="s">
        <v>15</v>
      </c>
      <c r="D1105" t="s">
        <v>13</v>
      </c>
      <c r="E1105" t="s">
        <v>22</v>
      </c>
      <c r="F1105">
        <v>930</v>
      </c>
      <c r="G1105">
        <v>45</v>
      </c>
      <c r="H1105" s="6">
        <f t="shared" si="70"/>
        <v>41.85</v>
      </c>
    </row>
    <row r="1106" spans="1:8" hidden="1" x14ac:dyDescent="0.3">
      <c r="A1106" s="9">
        <v>45034</v>
      </c>
      <c r="B1106" t="s">
        <v>17</v>
      </c>
      <c r="C1106" t="s">
        <v>35</v>
      </c>
      <c r="D1106" t="s">
        <v>18</v>
      </c>
      <c r="E1106" t="s">
        <v>37</v>
      </c>
      <c r="F1106">
        <v>890</v>
      </c>
      <c r="G1106">
        <v>80</v>
      </c>
      <c r="H1106" s="6">
        <f t="shared" si="70"/>
        <v>71.2</v>
      </c>
    </row>
    <row r="1107" spans="1:8" hidden="1" x14ac:dyDescent="0.3">
      <c r="A1107" s="13" t="s">
        <v>122</v>
      </c>
      <c r="H1107" s="6">
        <f>SUBTOTAL(9,H1097:H1106)</f>
        <v>0</v>
      </c>
    </row>
    <row r="1108" spans="1:8" hidden="1" x14ac:dyDescent="0.3">
      <c r="A1108" s="9">
        <v>45035</v>
      </c>
      <c r="B1108" t="s">
        <v>8</v>
      </c>
      <c r="C1108" t="s">
        <v>20</v>
      </c>
      <c r="D1108" t="s">
        <v>10</v>
      </c>
      <c r="E1108" t="s">
        <v>39</v>
      </c>
      <c r="F1108">
        <v>650</v>
      </c>
      <c r="G1108">
        <v>75</v>
      </c>
      <c r="H1108" s="6">
        <f t="shared" ref="H1108:H1117" si="71">F1108*G1108/1000</f>
        <v>48.75</v>
      </c>
    </row>
    <row r="1109" spans="1:8" hidden="1" x14ac:dyDescent="0.3">
      <c r="A1109" s="10">
        <v>45035</v>
      </c>
      <c r="B1109" s="11" t="s">
        <v>12</v>
      </c>
      <c r="C1109" s="11" t="s">
        <v>20</v>
      </c>
      <c r="D1109" s="11" t="s">
        <v>13</v>
      </c>
      <c r="E1109" s="11" t="s">
        <v>38</v>
      </c>
      <c r="F1109" s="11">
        <v>2400</v>
      </c>
      <c r="G1109" s="11">
        <v>74</v>
      </c>
      <c r="H1109" s="6">
        <f t="shared" si="71"/>
        <v>177.6</v>
      </c>
    </row>
    <row r="1110" spans="1:8" hidden="1" x14ac:dyDescent="0.3">
      <c r="A1110" s="9">
        <v>45035</v>
      </c>
      <c r="B1110" t="s">
        <v>12</v>
      </c>
      <c r="C1110" t="s">
        <v>9</v>
      </c>
      <c r="D1110" t="s">
        <v>13</v>
      </c>
      <c r="E1110" t="s">
        <v>43</v>
      </c>
      <c r="F1110">
        <v>1420</v>
      </c>
      <c r="G1110">
        <v>81</v>
      </c>
      <c r="H1110" s="6">
        <f t="shared" si="71"/>
        <v>115.02</v>
      </c>
    </row>
    <row r="1111" spans="1:8" hidden="1" x14ac:dyDescent="0.3">
      <c r="A1111" s="9">
        <v>45035</v>
      </c>
      <c r="B1111" t="s">
        <v>12</v>
      </c>
      <c r="C1111" t="s">
        <v>26</v>
      </c>
      <c r="D1111" t="s">
        <v>10</v>
      </c>
      <c r="E1111" t="s">
        <v>23</v>
      </c>
      <c r="F1111">
        <v>640</v>
      </c>
      <c r="G1111">
        <v>46</v>
      </c>
      <c r="H1111" s="6">
        <f t="shared" si="71"/>
        <v>29.44</v>
      </c>
    </row>
    <row r="1112" spans="1:8" hidden="1" x14ac:dyDescent="0.3">
      <c r="A1112" s="9">
        <v>45035</v>
      </c>
      <c r="B1112" t="s">
        <v>45</v>
      </c>
      <c r="C1112" t="s">
        <v>26</v>
      </c>
      <c r="D1112" t="s">
        <v>18</v>
      </c>
      <c r="E1112" t="s">
        <v>31</v>
      </c>
      <c r="F1112">
        <v>715</v>
      </c>
      <c r="G1112">
        <v>92</v>
      </c>
      <c r="H1112" s="6">
        <f t="shared" si="71"/>
        <v>65.78</v>
      </c>
    </row>
    <row r="1113" spans="1:8" hidden="1" x14ac:dyDescent="0.3">
      <c r="A1113" s="9">
        <v>45035</v>
      </c>
      <c r="B1113" t="s">
        <v>12</v>
      </c>
      <c r="C1113" t="s">
        <v>26</v>
      </c>
      <c r="D1113" t="s">
        <v>13</v>
      </c>
      <c r="E1113" t="s">
        <v>14</v>
      </c>
      <c r="F1113">
        <v>1320</v>
      </c>
      <c r="G1113">
        <v>49</v>
      </c>
      <c r="H1113" s="6">
        <f t="shared" si="71"/>
        <v>64.680000000000007</v>
      </c>
    </row>
    <row r="1114" spans="1:8" hidden="1" x14ac:dyDescent="0.3">
      <c r="A1114" s="9">
        <v>45035</v>
      </c>
      <c r="B1114" t="s">
        <v>45</v>
      </c>
      <c r="C1114" t="s">
        <v>26</v>
      </c>
      <c r="D1114" t="s">
        <v>24</v>
      </c>
      <c r="E1114" t="s">
        <v>36</v>
      </c>
      <c r="F1114">
        <v>2460</v>
      </c>
      <c r="G1114">
        <v>36</v>
      </c>
      <c r="H1114" s="6">
        <f t="shared" si="71"/>
        <v>88.56</v>
      </c>
    </row>
    <row r="1115" spans="1:8" hidden="1" x14ac:dyDescent="0.3">
      <c r="A1115" s="9">
        <v>45035</v>
      </c>
      <c r="B1115" t="s">
        <v>17</v>
      </c>
      <c r="C1115" t="s">
        <v>15</v>
      </c>
      <c r="D1115" t="s">
        <v>10</v>
      </c>
      <c r="E1115" t="s">
        <v>39</v>
      </c>
      <c r="F1115">
        <v>650</v>
      </c>
      <c r="G1115">
        <v>96</v>
      </c>
      <c r="H1115" s="6">
        <f t="shared" si="71"/>
        <v>62.4</v>
      </c>
    </row>
    <row r="1116" spans="1:8" hidden="1" x14ac:dyDescent="0.3">
      <c r="A1116" s="9">
        <v>45035</v>
      </c>
      <c r="B1116" t="s">
        <v>12</v>
      </c>
      <c r="C1116" t="s">
        <v>15</v>
      </c>
      <c r="D1116" t="s">
        <v>13</v>
      </c>
      <c r="E1116" t="s">
        <v>43</v>
      </c>
      <c r="F1116">
        <v>1420</v>
      </c>
      <c r="G1116">
        <v>80</v>
      </c>
      <c r="H1116" s="6">
        <f t="shared" si="71"/>
        <v>113.6</v>
      </c>
    </row>
    <row r="1117" spans="1:8" hidden="1" x14ac:dyDescent="0.3">
      <c r="A1117" s="9">
        <v>45035</v>
      </c>
      <c r="B1117" t="s">
        <v>17</v>
      </c>
      <c r="C1117" t="s">
        <v>33</v>
      </c>
      <c r="D1117" t="s">
        <v>18</v>
      </c>
      <c r="E1117" t="s">
        <v>31</v>
      </c>
      <c r="F1117">
        <v>715</v>
      </c>
      <c r="G1117">
        <v>23</v>
      </c>
      <c r="H1117" s="6">
        <f t="shared" si="71"/>
        <v>16.445</v>
      </c>
    </row>
    <row r="1118" spans="1:8" hidden="1" x14ac:dyDescent="0.3">
      <c r="A1118" s="13" t="s">
        <v>123</v>
      </c>
      <c r="H1118" s="6">
        <f>SUBTOTAL(9,H1108:H1117)</f>
        <v>0</v>
      </c>
    </row>
    <row r="1119" spans="1:8" hidden="1" x14ac:dyDescent="0.3">
      <c r="A1119" s="9">
        <v>45036</v>
      </c>
      <c r="B1119" t="s">
        <v>45</v>
      </c>
      <c r="C1119" t="s">
        <v>20</v>
      </c>
      <c r="D1119" t="s">
        <v>13</v>
      </c>
      <c r="E1119" t="s">
        <v>44</v>
      </c>
      <c r="F1119">
        <v>2540</v>
      </c>
      <c r="G1119">
        <v>24</v>
      </c>
      <c r="H1119" s="6">
        <f t="shared" ref="H1119:H1128" si="72">F1119*G1119/1000</f>
        <v>60.96</v>
      </c>
    </row>
    <row r="1120" spans="1:8" hidden="1" x14ac:dyDescent="0.3">
      <c r="A1120" s="10">
        <v>45036</v>
      </c>
      <c r="B1120" s="11" t="s">
        <v>45</v>
      </c>
      <c r="C1120" s="11" t="s">
        <v>20</v>
      </c>
      <c r="D1120" s="11" t="s">
        <v>24</v>
      </c>
      <c r="E1120" s="11" t="s">
        <v>30</v>
      </c>
      <c r="F1120" s="11">
        <v>2970</v>
      </c>
      <c r="G1120" s="11">
        <v>37</v>
      </c>
      <c r="H1120" s="6">
        <f t="shared" si="72"/>
        <v>109.89</v>
      </c>
    </row>
    <row r="1121" spans="1:8" hidden="1" x14ac:dyDescent="0.3">
      <c r="A1121" s="9">
        <v>45036</v>
      </c>
      <c r="B1121" t="s">
        <v>45</v>
      </c>
      <c r="C1121" t="s">
        <v>9</v>
      </c>
      <c r="D1121" t="s">
        <v>10</v>
      </c>
      <c r="E1121" t="s">
        <v>16</v>
      </c>
      <c r="F1121">
        <v>1380</v>
      </c>
      <c r="G1121">
        <v>5</v>
      </c>
      <c r="H1121" s="6">
        <f t="shared" si="72"/>
        <v>6.9</v>
      </c>
    </row>
    <row r="1122" spans="1:8" hidden="1" x14ac:dyDescent="0.3">
      <c r="A1122" s="9">
        <v>45036</v>
      </c>
      <c r="B1122" t="s">
        <v>8</v>
      </c>
      <c r="C1122" t="s">
        <v>9</v>
      </c>
      <c r="D1122" t="s">
        <v>10</v>
      </c>
      <c r="E1122" t="s">
        <v>39</v>
      </c>
      <c r="F1122">
        <v>650</v>
      </c>
      <c r="G1122">
        <v>39</v>
      </c>
      <c r="H1122" s="6">
        <f t="shared" si="72"/>
        <v>25.35</v>
      </c>
    </row>
    <row r="1123" spans="1:8" hidden="1" x14ac:dyDescent="0.3">
      <c r="A1123" s="9">
        <v>45036</v>
      </c>
      <c r="B1123" t="s">
        <v>8</v>
      </c>
      <c r="C1123" t="s">
        <v>9</v>
      </c>
      <c r="D1123" t="s">
        <v>13</v>
      </c>
      <c r="E1123" t="s">
        <v>29</v>
      </c>
      <c r="F1123">
        <v>1230</v>
      </c>
      <c r="G1123">
        <v>82</v>
      </c>
      <c r="H1123" s="6">
        <f t="shared" si="72"/>
        <v>100.86</v>
      </c>
    </row>
    <row r="1124" spans="1:8" hidden="1" x14ac:dyDescent="0.3">
      <c r="A1124" s="9">
        <v>45036</v>
      </c>
      <c r="B1124" t="s">
        <v>8</v>
      </c>
      <c r="C1124" t="s">
        <v>26</v>
      </c>
      <c r="D1124" t="s">
        <v>13</v>
      </c>
      <c r="E1124" t="s">
        <v>44</v>
      </c>
      <c r="F1124">
        <v>2540</v>
      </c>
      <c r="G1124">
        <v>68</v>
      </c>
      <c r="H1124" s="6">
        <f t="shared" si="72"/>
        <v>172.72</v>
      </c>
    </row>
    <row r="1125" spans="1:8" hidden="1" x14ac:dyDescent="0.3">
      <c r="A1125" s="9">
        <v>45036</v>
      </c>
      <c r="B1125" t="s">
        <v>12</v>
      </c>
      <c r="C1125" t="s">
        <v>33</v>
      </c>
      <c r="D1125" t="s">
        <v>10</v>
      </c>
      <c r="E1125" t="s">
        <v>39</v>
      </c>
      <c r="F1125">
        <v>650</v>
      </c>
      <c r="G1125">
        <v>98</v>
      </c>
      <c r="H1125" s="6">
        <f t="shared" si="72"/>
        <v>63.7</v>
      </c>
    </row>
    <row r="1126" spans="1:8" hidden="1" x14ac:dyDescent="0.3">
      <c r="A1126" s="9">
        <v>45036</v>
      </c>
      <c r="B1126" t="s">
        <v>45</v>
      </c>
      <c r="C1126" t="s">
        <v>33</v>
      </c>
      <c r="D1126" t="s">
        <v>18</v>
      </c>
      <c r="E1126" t="s">
        <v>28</v>
      </c>
      <c r="F1126">
        <v>690</v>
      </c>
      <c r="G1126">
        <v>99</v>
      </c>
      <c r="H1126" s="6">
        <f t="shared" si="72"/>
        <v>68.31</v>
      </c>
    </row>
    <row r="1127" spans="1:8" hidden="1" x14ac:dyDescent="0.3">
      <c r="A1127" s="9">
        <v>45036</v>
      </c>
      <c r="B1127" t="s">
        <v>45</v>
      </c>
      <c r="C1127" t="s">
        <v>33</v>
      </c>
      <c r="D1127" t="s">
        <v>18</v>
      </c>
      <c r="E1127" t="s">
        <v>28</v>
      </c>
      <c r="F1127">
        <v>690</v>
      </c>
      <c r="G1127">
        <v>68</v>
      </c>
      <c r="H1127" s="6">
        <f t="shared" si="72"/>
        <v>46.92</v>
      </c>
    </row>
    <row r="1128" spans="1:8" hidden="1" x14ac:dyDescent="0.3">
      <c r="A1128" s="9">
        <v>45036</v>
      </c>
      <c r="B1128" t="s">
        <v>12</v>
      </c>
      <c r="C1128" t="s">
        <v>33</v>
      </c>
      <c r="D1128" t="s">
        <v>24</v>
      </c>
      <c r="E1128" t="s">
        <v>30</v>
      </c>
      <c r="F1128">
        <v>2970</v>
      </c>
      <c r="G1128">
        <v>78</v>
      </c>
      <c r="H1128" s="6">
        <f t="shared" si="72"/>
        <v>231.66</v>
      </c>
    </row>
    <row r="1129" spans="1:8" hidden="1" x14ac:dyDescent="0.3">
      <c r="A1129" s="13" t="s">
        <v>124</v>
      </c>
      <c r="H1129" s="6">
        <f>SUBTOTAL(9,H1119:H1128)</f>
        <v>0</v>
      </c>
    </row>
    <row r="1130" spans="1:8" hidden="1" x14ac:dyDescent="0.3">
      <c r="A1130" s="9">
        <v>45037</v>
      </c>
      <c r="B1130" t="s">
        <v>45</v>
      </c>
      <c r="C1130" t="s">
        <v>20</v>
      </c>
      <c r="D1130" t="s">
        <v>13</v>
      </c>
      <c r="E1130" t="s">
        <v>14</v>
      </c>
      <c r="F1130">
        <v>1320</v>
      </c>
      <c r="G1130">
        <v>17</v>
      </c>
      <c r="H1130" s="6">
        <f t="shared" ref="H1130:H1140" si="73">F1130*G1130/1000</f>
        <v>22.44</v>
      </c>
    </row>
    <row r="1131" spans="1:8" hidden="1" x14ac:dyDescent="0.3">
      <c r="A1131" s="10">
        <v>45037</v>
      </c>
      <c r="B1131" s="11" t="s">
        <v>17</v>
      </c>
      <c r="C1131" s="11" t="s">
        <v>20</v>
      </c>
      <c r="D1131" s="11" t="s">
        <v>24</v>
      </c>
      <c r="E1131" s="11" t="s">
        <v>34</v>
      </c>
      <c r="F1131" s="11">
        <v>1670</v>
      </c>
      <c r="G1131" s="11">
        <v>11</v>
      </c>
      <c r="H1131" s="6">
        <f t="shared" si="73"/>
        <v>18.37</v>
      </c>
    </row>
    <row r="1132" spans="1:8" hidden="1" x14ac:dyDescent="0.3">
      <c r="A1132" s="9">
        <v>45037</v>
      </c>
      <c r="B1132" t="s">
        <v>17</v>
      </c>
      <c r="C1132" t="s">
        <v>20</v>
      </c>
      <c r="D1132" t="s">
        <v>24</v>
      </c>
      <c r="E1132" t="s">
        <v>42</v>
      </c>
      <c r="F1132">
        <v>3205</v>
      </c>
      <c r="G1132">
        <v>25</v>
      </c>
      <c r="H1132" s="6">
        <f t="shared" si="73"/>
        <v>80.125</v>
      </c>
    </row>
    <row r="1133" spans="1:8" hidden="1" x14ac:dyDescent="0.3">
      <c r="A1133" s="9">
        <v>45037</v>
      </c>
      <c r="B1133" t="s">
        <v>8</v>
      </c>
      <c r="C1133" t="s">
        <v>9</v>
      </c>
      <c r="D1133" t="s">
        <v>18</v>
      </c>
      <c r="E1133" t="s">
        <v>21</v>
      </c>
      <c r="F1133">
        <v>450</v>
      </c>
      <c r="G1133">
        <v>96</v>
      </c>
      <c r="H1133" s="6">
        <f t="shared" si="73"/>
        <v>43.2</v>
      </c>
    </row>
    <row r="1134" spans="1:8" hidden="1" x14ac:dyDescent="0.3">
      <c r="A1134" s="9">
        <v>45037</v>
      </c>
      <c r="B1134" t="s">
        <v>17</v>
      </c>
      <c r="C1134" t="s">
        <v>9</v>
      </c>
      <c r="D1134" t="s">
        <v>18</v>
      </c>
      <c r="E1134" t="s">
        <v>19</v>
      </c>
      <c r="F1134">
        <v>325</v>
      </c>
      <c r="G1134">
        <v>46</v>
      </c>
      <c r="H1134" s="6">
        <f t="shared" si="73"/>
        <v>14.95</v>
      </c>
    </row>
    <row r="1135" spans="1:8" hidden="1" x14ac:dyDescent="0.3">
      <c r="A1135" s="9">
        <v>45037</v>
      </c>
      <c r="B1135" t="s">
        <v>45</v>
      </c>
      <c r="C1135" t="s">
        <v>26</v>
      </c>
      <c r="D1135" t="s">
        <v>10</v>
      </c>
      <c r="E1135" t="s">
        <v>23</v>
      </c>
      <c r="F1135">
        <v>640</v>
      </c>
      <c r="G1135">
        <v>28</v>
      </c>
      <c r="H1135" s="6">
        <f t="shared" si="73"/>
        <v>17.920000000000002</v>
      </c>
    </row>
    <row r="1136" spans="1:8" hidden="1" x14ac:dyDescent="0.3">
      <c r="A1136" s="9">
        <v>45037</v>
      </c>
      <c r="B1136" t="s">
        <v>17</v>
      </c>
      <c r="C1136" t="s">
        <v>15</v>
      </c>
      <c r="D1136" t="s">
        <v>10</v>
      </c>
      <c r="E1136" t="s">
        <v>39</v>
      </c>
      <c r="F1136">
        <v>650</v>
      </c>
      <c r="G1136">
        <v>73</v>
      </c>
      <c r="H1136" s="6">
        <f t="shared" si="73"/>
        <v>47.45</v>
      </c>
    </row>
    <row r="1137" spans="1:8" hidden="1" x14ac:dyDescent="0.3">
      <c r="A1137" s="9">
        <v>45037</v>
      </c>
      <c r="B1137" t="s">
        <v>17</v>
      </c>
      <c r="C1137" t="s">
        <v>15</v>
      </c>
      <c r="D1137" t="s">
        <v>18</v>
      </c>
      <c r="E1137" t="s">
        <v>27</v>
      </c>
      <c r="F1137">
        <v>460</v>
      </c>
      <c r="G1137">
        <v>91</v>
      </c>
      <c r="H1137" s="6">
        <f t="shared" si="73"/>
        <v>41.86</v>
      </c>
    </row>
    <row r="1138" spans="1:8" hidden="1" x14ac:dyDescent="0.3">
      <c r="A1138" s="9">
        <v>45037</v>
      </c>
      <c r="B1138" t="s">
        <v>45</v>
      </c>
      <c r="C1138" t="s">
        <v>33</v>
      </c>
      <c r="D1138" t="s">
        <v>18</v>
      </c>
      <c r="E1138" t="s">
        <v>31</v>
      </c>
      <c r="F1138">
        <v>715</v>
      </c>
      <c r="G1138">
        <v>7</v>
      </c>
      <c r="H1138" s="6">
        <f t="shared" si="73"/>
        <v>5.0049999999999999</v>
      </c>
    </row>
    <row r="1139" spans="1:8" hidden="1" x14ac:dyDescent="0.3">
      <c r="A1139" s="9">
        <v>45037</v>
      </c>
      <c r="B1139" t="s">
        <v>17</v>
      </c>
      <c r="C1139" t="s">
        <v>33</v>
      </c>
      <c r="D1139" t="s">
        <v>18</v>
      </c>
      <c r="E1139" t="s">
        <v>27</v>
      </c>
      <c r="F1139">
        <v>460</v>
      </c>
      <c r="G1139">
        <v>59</v>
      </c>
      <c r="H1139" s="6">
        <f t="shared" si="73"/>
        <v>27.14</v>
      </c>
    </row>
    <row r="1140" spans="1:8" hidden="1" x14ac:dyDescent="0.3">
      <c r="A1140" s="9">
        <v>45037</v>
      </c>
      <c r="B1140" t="s">
        <v>17</v>
      </c>
      <c r="C1140" t="s">
        <v>35</v>
      </c>
      <c r="D1140" t="s">
        <v>18</v>
      </c>
      <c r="E1140" t="s">
        <v>31</v>
      </c>
      <c r="F1140">
        <v>715</v>
      </c>
      <c r="G1140">
        <v>45</v>
      </c>
      <c r="H1140" s="6">
        <f t="shared" si="73"/>
        <v>32.174999999999997</v>
      </c>
    </row>
    <row r="1141" spans="1:8" hidden="1" x14ac:dyDescent="0.3">
      <c r="A1141" s="13" t="s">
        <v>125</v>
      </c>
      <c r="H1141" s="6">
        <f>SUBTOTAL(9,H1130:H1140)</f>
        <v>0</v>
      </c>
    </row>
    <row r="1142" spans="1:8" hidden="1" x14ac:dyDescent="0.3">
      <c r="A1142" s="10">
        <v>45038</v>
      </c>
      <c r="B1142" s="11" t="s">
        <v>17</v>
      </c>
      <c r="C1142" s="11" t="s">
        <v>20</v>
      </c>
      <c r="D1142" s="11" t="s">
        <v>10</v>
      </c>
      <c r="E1142" s="11" t="s">
        <v>11</v>
      </c>
      <c r="F1142" s="11">
        <v>705</v>
      </c>
      <c r="G1142" s="11">
        <v>17</v>
      </c>
      <c r="H1142" s="6">
        <f t="shared" ref="H1142:H1153" si="74">F1142*G1142/1000</f>
        <v>11.984999999999999</v>
      </c>
    </row>
    <row r="1143" spans="1:8" hidden="1" x14ac:dyDescent="0.3">
      <c r="A1143" s="9">
        <v>45038</v>
      </c>
      <c r="B1143" t="s">
        <v>12</v>
      </c>
      <c r="C1143" t="s">
        <v>9</v>
      </c>
      <c r="D1143" t="s">
        <v>18</v>
      </c>
      <c r="E1143" t="s">
        <v>31</v>
      </c>
      <c r="F1143">
        <v>715</v>
      </c>
      <c r="G1143">
        <v>82</v>
      </c>
      <c r="H1143" s="6">
        <f t="shared" si="74"/>
        <v>58.63</v>
      </c>
    </row>
    <row r="1144" spans="1:8" hidden="1" x14ac:dyDescent="0.3">
      <c r="A1144" s="9">
        <v>45038</v>
      </c>
      <c r="B1144" t="s">
        <v>17</v>
      </c>
      <c r="C1144" t="s">
        <v>9</v>
      </c>
      <c r="D1144" t="s">
        <v>24</v>
      </c>
      <c r="E1144" t="s">
        <v>25</v>
      </c>
      <c r="F1144">
        <v>1760</v>
      </c>
      <c r="G1144">
        <v>37</v>
      </c>
      <c r="H1144" s="6">
        <f t="shared" si="74"/>
        <v>65.12</v>
      </c>
    </row>
    <row r="1145" spans="1:8" hidden="1" x14ac:dyDescent="0.3">
      <c r="A1145" s="9">
        <v>45038</v>
      </c>
      <c r="B1145" t="s">
        <v>8</v>
      </c>
      <c r="C1145" t="s">
        <v>9</v>
      </c>
      <c r="D1145" t="s">
        <v>24</v>
      </c>
      <c r="E1145" t="s">
        <v>30</v>
      </c>
      <c r="F1145">
        <v>2970</v>
      </c>
      <c r="G1145">
        <v>19</v>
      </c>
      <c r="H1145" s="6">
        <f t="shared" si="74"/>
        <v>56.43</v>
      </c>
    </row>
    <row r="1146" spans="1:8" hidden="1" x14ac:dyDescent="0.3">
      <c r="A1146" s="9">
        <v>45038</v>
      </c>
      <c r="B1146" t="s">
        <v>17</v>
      </c>
      <c r="C1146" t="s">
        <v>26</v>
      </c>
      <c r="D1146" t="s">
        <v>13</v>
      </c>
      <c r="E1146" t="s">
        <v>43</v>
      </c>
      <c r="F1146">
        <v>1420</v>
      </c>
      <c r="G1146">
        <v>64</v>
      </c>
      <c r="H1146" s="6">
        <f t="shared" si="74"/>
        <v>90.88</v>
      </c>
    </row>
    <row r="1147" spans="1:8" hidden="1" x14ac:dyDescent="0.3">
      <c r="A1147" s="9">
        <v>45038</v>
      </c>
      <c r="B1147" t="s">
        <v>12</v>
      </c>
      <c r="C1147" t="s">
        <v>26</v>
      </c>
      <c r="D1147" t="s">
        <v>24</v>
      </c>
      <c r="E1147" t="s">
        <v>30</v>
      </c>
      <c r="F1147">
        <v>2970</v>
      </c>
      <c r="G1147">
        <v>51</v>
      </c>
      <c r="H1147" s="6">
        <f t="shared" si="74"/>
        <v>151.47</v>
      </c>
    </row>
    <row r="1148" spans="1:8" hidden="1" x14ac:dyDescent="0.3">
      <c r="A1148" s="9">
        <v>45038</v>
      </c>
      <c r="B1148" t="s">
        <v>17</v>
      </c>
      <c r="C1148" t="s">
        <v>26</v>
      </c>
      <c r="D1148" t="s">
        <v>24</v>
      </c>
      <c r="E1148" t="s">
        <v>32</v>
      </c>
      <c r="F1148">
        <v>1505</v>
      </c>
      <c r="G1148">
        <v>17</v>
      </c>
      <c r="H1148" s="6">
        <f t="shared" si="74"/>
        <v>25.585000000000001</v>
      </c>
    </row>
    <row r="1149" spans="1:8" hidden="1" x14ac:dyDescent="0.3">
      <c r="A1149" s="9">
        <v>45038</v>
      </c>
      <c r="B1149" t="s">
        <v>17</v>
      </c>
      <c r="C1149" t="s">
        <v>26</v>
      </c>
      <c r="D1149" t="s">
        <v>24</v>
      </c>
      <c r="E1149" t="s">
        <v>36</v>
      </c>
      <c r="F1149">
        <v>2460</v>
      </c>
      <c r="G1149">
        <v>77</v>
      </c>
      <c r="H1149" s="6">
        <f t="shared" si="74"/>
        <v>189.42</v>
      </c>
    </row>
    <row r="1150" spans="1:8" hidden="1" x14ac:dyDescent="0.3">
      <c r="A1150" s="9">
        <v>45038</v>
      </c>
      <c r="B1150" t="s">
        <v>45</v>
      </c>
      <c r="C1150" t="s">
        <v>15</v>
      </c>
      <c r="D1150" t="s">
        <v>18</v>
      </c>
      <c r="E1150" t="s">
        <v>21</v>
      </c>
      <c r="F1150">
        <v>450</v>
      </c>
      <c r="G1150">
        <v>9</v>
      </c>
      <c r="H1150" s="6">
        <f t="shared" si="74"/>
        <v>4.05</v>
      </c>
    </row>
    <row r="1151" spans="1:8" hidden="1" x14ac:dyDescent="0.3">
      <c r="A1151" s="9">
        <v>45038</v>
      </c>
      <c r="B1151" t="s">
        <v>12</v>
      </c>
      <c r="C1151" t="s">
        <v>15</v>
      </c>
      <c r="D1151" t="s">
        <v>13</v>
      </c>
      <c r="E1151" t="s">
        <v>38</v>
      </c>
      <c r="F1151">
        <v>2400</v>
      </c>
      <c r="G1151">
        <v>75</v>
      </c>
      <c r="H1151" s="6">
        <f t="shared" si="74"/>
        <v>180</v>
      </c>
    </row>
    <row r="1152" spans="1:8" hidden="1" x14ac:dyDescent="0.3">
      <c r="A1152" s="9">
        <v>45038</v>
      </c>
      <c r="B1152" t="s">
        <v>17</v>
      </c>
      <c r="C1152" t="s">
        <v>33</v>
      </c>
      <c r="D1152" t="s">
        <v>18</v>
      </c>
      <c r="E1152" t="s">
        <v>21</v>
      </c>
      <c r="F1152">
        <v>450</v>
      </c>
      <c r="G1152">
        <v>93</v>
      </c>
      <c r="H1152" s="6">
        <f t="shared" si="74"/>
        <v>41.85</v>
      </c>
    </row>
    <row r="1153" spans="1:8" hidden="1" x14ac:dyDescent="0.3">
      <c r="A1153" s="9">
        <v>45038</v>
      </c>
      <c r="B1153" t="s">
        <v>17</v>
      </c>
      <c r="C1153" t="s">
        <v>33</v>
      </c>
      <c r="D1153" t="s">
        <v>13</v>
      </c>
      <c r="E1153" t="s">
        <v>43</v>
      </c>
      <c r="F1153">
        <v>1420</v>
      </c>
      <c r="G1153">
        <v>29</v>
      </c>
      <c r="H1153" s="6">
        <f t="shared" si="74"/>
        <v>41.18</v>
      </c>
    </row>
    <row r="1154" spans="1:8" hidden="1" x14ac:dyDescent="0.3">
      <c r="A1154" s="13" t="s">
        <v>126</v>
      </c>
      <c r="H1154" s="6">
        <f>SUBTOTAL(9,H1142:H1153)</f>
        <v>0</v>
      </c>
    </row>
    <row r="1155" spans="1:8" hidden="1" x14ac:dyDescent="0.3">
      <c r="A1155" s="9">
        <v>45039</v>
      </c>
      <c r="B1155" t="s">
        <v>8</v>
      </c>
      <c r="C1155" t="s">
        <v>20</v>
      </c>
      <c r="D1155" t="s">
        <v>18</v>
      </c>
      <c r="E1155" t="s">
        <v>19</v>
      </c>
      <c r="F1155">
        <v>325</v>
      </c>
      <c r="G1155">
        <v>84</v>
      </c>
      <c r="H1155" s="6">
        <f t="shared" ref="H1155:H1164" si="75">F1155*G1155/1000</f>
        <v>27.3</v>
      </c>
    </row>
    <row r="1156" spans="1:8" hidden="1" x14ac:dyDescent="0.3">
      <c r="A1156" s="9">
        <v>45039</v>
      </c>
      <c r="B1156" t="s">
        <v>17</v>
      </c>
      <c r="C1156" t="s">
        <v>9</v>
      </c>
      <c r="D1156" t="s">
        <v>18</v>
      </c>
      <c r="E1156" t="s">
        <v>28</v>
      </c>
      <c r="F1156">
        <v>690</v>
      </c>
      <c r="G1156">
        <v>43</v>
      </c>
      <c r="H1156" s="6">
        <f t="shared" si="75"/>
        <v>29.67</v>
      </c>
    </row>
    <row r="1157" spans="1:8" hidden="1" x14ac:dyDescent="0.3">
      <c r="A1157" s="9">
        <v>45039</v>
      </c>
      <c r="B1157" t="s">
        <v>8</v>
      </c>
      <c r="C1157" t="s">
        <v>9</v>
      </c>
      <c r="D1157" t="s">
        <v>24</v>
      </c>
      <c r="E1157" t="s">
        <v>25</v>
      </c>
      <c r="F1157">
        <v>1760</v>
      </c>
      <c r="G1157">
        <v>82</v>
      </c>
      <c r="H1157" s="6">
        <f t="shared" si="75"/>
        <v>144.32</v>
      </c>
    </row>
    <row r="1158" spans="1:8" hidden="1" x14ac:dyDescent="0.3">
      <c r="A1158" s="9">
        <v>45039</v>
      </c>
      <c r="B1158" t="s">
        <v>45</v>
      </c>
      <c r="C1158" t="s">
        <v>26</v>
      </c>
      <c r="D1158" t="s">
        <v>10</v>
      </c>
      <c r="E1158" t="s">
        <v>41</v>
      </c>
      <c r="F1158">
        <v>650</v>
      </c>
      <c r="G1158">
        <v>44</v>
      </c>
      <c r="H1158" s="6">
        <f t="shared" si="75"/>
        <v>28.6</v>
      </c>
    </row>
    <row r="1159" spans="1:8" hidden="1" x14ac:dyDescent="0.3">
      <c r="A1159" s="9">
        <v>45039</v>
      </c>
      <c r="B1159" t="s">
        <v>8</v>
      </c>
      <c r="C1159" t="s">
        <v>26</v>
      </c>
      <c r="D1159" t="s">
        <v>24</v>
      </c>
      <c r="E1159" t="s">
        <v>42</v>
      </c>
      <c r="F1159">
        <v>3205</v>
      </c>
      <c r="G1159">
        <v>32</v>
      </c>
      <c r="H1159" s="6">
        <f t="shared" si="75"/>
        <v>102.56</v>
      </c>
    </row>
    <row r="1160" spans="1:8" hidden="1" x14ac:dyDescent="0.3">
      <c r="A1160" s="9">
        <v>45039</v>
      </c>
      <c r="B1160" t="s">
        <v>12</v>
      </c>
      <c r="C1160" t="s">
        <v>26</v>
      </c>
      <c r="D1160" t="s">
        <v>24</v>
      </c>
      <c r="E1160" t="s">
        <v>32</v>
      </c>
      <c r="F1160">
        <v>1505</v>
      </c>
      <c r="G1160">
        <v>63</v>
      </c>
      <c r="H1160" s="6">
        <f t="shared" si="75"/>
        <v>94.814999999999998</v>
      </c>
    </row>
    <row r="1161" spans="1:8" hidden="1" x14ac:dyDescent="0.3">
      <c r="A1161" s="9">
        <v>45039</v>
      </c>
      <c r="B1161" t="s">
        <v>17</v>
      </c>
      <c r="C1161" t="s">
        <v>15</v>
      </c>
      <c r="D1161" t="s">
        <v>13</v>
      </c>
      <c r="E1161" t="s">
        <v>43</v>
      </c>
      <c r="F1161">
        <v>1420</v>
      </c>
      <c r="G1161">
        <v>98</v>
      </c>
      <c r="H1161" s="6">
        <f t="shared" si="75"/>
        <v>139.16</v>
      </c>
    </row>
    <row r="1162" spans="1:8" hidden="1" x14ac:dyDescent="0.3">
      <c r="A1162" s="9">
        <v>45039</v>
      </c>
      <c r="B1162" t="s">
        <v>8</v>
      </c>
      <c r="C1162" t="s">
        <v>15</v>
      </c>
      <c r="D1162" t="s">
        <v>24</v>
      </c>
      <c r="E1162" t="s">
        <v>32</v>
      </c>
      <c r="F1162">
        <v>1505</v>
      </c>
      <c r="G1162">
        <v>9</v>
      </c>
      <c r="H1162" s="6">
        <f t="shared" si="75"/>
        <v>13.545</v>
      </c>
    </row>
    <row r="1163" spans="1:8" hidden="1" x14ac:dyDescent="0.3">
      <c r="A1163" s="9">
        <v>45039</v>
      </c>
      <c r="B1163" t="s">
        <v>45</v>
      </c>
      <c r="C1163" t="s">
        <v>33</v>
      </c>
      <c r="D1163" t="s">
        <v>18</v>
      </c>
      <c r="E1163" t="s">
        <v>19</v>
      </c>
      <c r="F1163">
        <v>325</v>
      </c>
      <c r="G1163">
        <v>30</v>
      </c>
      <c r="H1163" s="6">
        <f t="shared" si="75"/>
        <v>9.75</v>
      </c>
    </row>
    <row r="1164" spans="1:8" hidden="1" x14ac:dyDescent="0.3">
      <c r="A1164" s="9">
        <v>45039</v>
      </c>
      <c r="B1164" t="s">
        <v>17</v>
      </c>
      <c r="C1164" t="s">
        <v>35</v>
      </c>
      <c r="D1164" t="s">
        <v>24</v>
      </c>
      <c r="E1164" t="s">
        <v>36</v>
      </c>
      <c r="F1164">
        <v>2460</v>
      </c>
      <c r="G1164">
        <v>78</v>
      </c>
      <c r="H1164" s="6">
        <f t="shared" si="75"/>
        <v>191.88</v>
      </c>
    </row>
    <row r="1165" spans="1:8" hidden="1" x14ac:dyDescent="0.3">
      <c r="A1165" s="13" t="s">
        <v>127</v>
      </c>
      <c r="H1165" s="6">
        <f>SUBTOTAL(9,H1155:H1164)</f>
        <v>0</v>
      </c>
    </row>
    <row r="1166" spans="1:8" hidden="1" x14ac:dyDescent="0.3">
      <c r="A1166" s="10">
        <v>45040</v>
      </c>
      <c r="B1166" s="11" t="s">
        <v>45</v>
      </c>
      <c r="C1166" s="11" t="s">
        <v>20</v>
      </c>
      <c r="D1166" s="11" t="s">
        <v>10</v>
      </c>
      <c r="E1166" s="11" t="s">
        <v>23</v>
      </c>
      <c r="F1166" s="11">
        <v>640</v>
      </c>
      <c r="G1166" s="11">
        <v>79</v>
      </c>
      <c r="H1166" s="6">
        <f t="shared" ref="H1166:H1176" si="76">F1166*G1166/1000</f>
        <v>50.56</v>
      </c>
    </row>
    <row r="1167" spans="1:8" hidden="1" x14ac:dyDescent="0.3">
      <c r="A1167" s="9">
        <v>45040</v>
      </c>
      <c r="B1167" t="s">
        <v>45</v>
      </c>
      <c r="C1167" t="s">
        <v>20</v>
      </c>
      <c r="D1167" t="s">
        <v>18</v>
      </c>
      <c r="E1167" t="s">
        <v>37</v>
      </c>
      <c r="F1167">
        <v>890</v>
      </c>
      <c r="G1167">
        <v>100</v>
      </c>
      <c r="H1167" s="6">
        <f t="shared" si="76"/>
        <v>89</v>
      </c>
    </row>
    <row r="1168" spans="1:8" hidden="1" x14ac:dyDescent="0.3">
      <c r="A1168" s="9">
        <v>45040</v>
      </c>
      <c r="B1168" t="s">
        <v>8</v>
      </c>
      <c r="C1168" t="s">
        <v>9</v>
      </c>
      <c r="D1168" t="s">
        <v>24</v>
      </c>
      <c r="E1168" t="s">
        <v>42</v>
      </c>
      <c r="F1168">
        <v>3205</v>
      </c>
      <c r="G1168">
        <v>48</v>
      </c>
      <c r="H1168" s="6">
        <f t="shared" si="76"/>
        <v>153.84</v>
      </c>
    </row>
    <row r="1169" spans="1:8" hidden="1" x14ac:dyDescent="0.3">
      <c r="A1169" s="9">
        <v>45040</v>
      </c>
      <c r="B1169" t="s">
        <v>12</v>
      </c>
      <c r="C1169" t="s">
        <v>26</v>
      </c>
      <c r="D1169" t="s">
        <v>10</v>
      </c>
      <c r="E1169" t="s">
        <v>16</v>
      </c>
      <c r="F1169">
        <v>1380</v>
      </c>
      <c r="G1169">
        <v>19</v>
      </c>
      <c r="H1169" s="6">
        <f t="shared" si="76"/>
        <v>26.22</v>
      </c>
    </row>
    <row r="1170" spans="1:8" hidden="1" x14ac:dyDescent="0.3">
      <c r="A1170" s="9">
        <v>45040</v>
      </c>
      <c r="B1170" t="s">
        <v>8</v>
      </c>
      <c r="C1170" t="s">
        <v>26</v>
      </c>
      <c r="D1170" t="s">
        <v>24</v>
      </c>
      <c r="E1170" t="s">
        <v>34</v>
      </c>
      <c r="F1170">
        <v>1670</v>
      </c>
      <c r="G1170">
        <v>72</v>
      </c>
      <c r="H1170" s="6">
        <f t="shared" si="76"/>
        <v>120.24</v>
      </c>
    </row>
    <row r="1171" spans="1:8" hidden="1" x14ac:dyDescent="0.3">
      <c r="A1171" s="9">
        <v>45040</v>
      </c>
      <c r="B1171" t="s">
        <v>8</v>
      </c>
      <c r="C1171" t="s">
        <v>26</v>
      </c>
      <c r="D1171" t="s">
        <v>24</v>
      </c>
      <c r="E1171" t="s">
        <v>34</v>
      </c>
      <c r="F1171">
        <v>1670</v>
      </c>
      <c r="G1171">
        <v>56</v>
      </c>
      <c r="H1171" s="6">
        <f t="shared" si="76"/>
        <v>93.52</v>
      </c>
    </row>
    <row r="1172" spans="1:8" hidden="1" x14ac:dyDescent="0.3">
      <c r="A1172" s="9">
        <v>45040</v>
      </c>
      <c r="B1172" t="s">
        <v>12</v>
      </c>
      <c r="C1172" t="s">
        <v>15</v>
      </c>
      <c r="D1172" t="s">
        <v>13</v>
      </c>
      <c r="E1172" t="s">
        <v>43</v>
      </c>
      <c r="F1172">
        <v>1420</v>
      </c>
      <c r="G1172">
        <v>70</v>
      </c>
      <c r="H1172" s="6">
        <f t="shared" si="76"/>
        <v>99.4</v>
      </c>
    </row>
    <row r="1173" spans="1:8" hidden="1" x14ac:dyDescent="0.3">
      <c r="A1173" s="9">
        <v>45040</v>
      </c>
      <c r="B1173" t="s">
        <v>8</v>
      </c>
      <c r="C1173" t="s">
        <v>15</v>
      </c>
      <c r="D1173" t="s">
        <v>24</v>
      </c>
      <c r="E1173" t="s">
        <v>36</v>
      </c>
      <c r="F1173">
        <v>2460</v>
      </c>
      <c r="G1173">
        <v>44</v>
      </c>
      <c r="H1173" s="6">
        <f t="shared" si="76"/>
        <v>108.24</v>
      </c>
    </row>
    <row r="1174" spans="1:8" hidden="1" x14ac:dyDescent="0.3">
      <c r="A1174" s="9">
        <v>45040</v>
      </c>
      <c r="B1174" t="s">
        <v>12</v>
      </c>
      <c r="C1174" t="s">
        <v>15</v>
      </c>
      <c r="D1174" t="s">
        <v>24</v>
      </c>
      <c r="E1174" t="s">
        <v>30</v>
      </c>
      <c r="F1174">
        <v>2970</v>
      </c>
      <c r="G1174">
        <v>17</v>
      </c>
      <c r="H1174" s="6">
        <f t="shared" si="76"/>
        <v>50.49</v>
      </c>
    </row>
    <row r="1175" spans="1:8" hidden="1" x14ac:dyDescent="0.3">
      <c r="A1175" s="9">
        <v>45040</v>
      </c>
      <c r="B1175" t="s">
        <v>8</v>
      </c>
      <c r="C1175" t="s">
        <v>33</v>
      </c>
      <c r="D1175" t="s">
        <v>18</v>
      </c>
      <c r="E1175" t="s">
        <v>21</v>
      </c>
      <c r="F1175">
        <v>450</v>
      </c>
      <c r="G1175">
        <v>10</v>
      </c>
      <c r="H1175" s="6">
        <f t="shared" si="76"/>
        <v>4.5</v>
      </c>
    </row>
    <row r="1176" spans="1:8" hidden="1" x14ac:dyDescent="0.3">
      <c r="A1176" s="9">
        <v>45040</v>
      </c>
      <c r="B1176" t="s">
        <v>17</v>
      </c>
      <c r="C1176" t="s">
        <v>35</v>
      </c>
      <c r="D1176" t="s">
        <v>10</v>
      </c>
      <c r="E1176" t="s">
        <v>40</v>
      </c>
      <c r="F1176">
        <v>540</v>
      </c>
      <c r="G1176">
        <v>76</v>
      </c>
      <c r="H1176" s="6">
        <f t="shared" si="76"/>
        <v>41.04</v>
      </c>
    </row>
    <row r="1177" spans="1:8" hidden="1" x14ac:dyDescent="0.3">
      <c r="A1177" s="13" t="s">
        <v>128</v>
      </c>
      <c r="H1177" s="6">
        <f>SUBTOTAL(9,H1166:H1176)</f>
        <v>0</v>
      </c>
    </row>
    <row r="1178" spans="1:8" hidden="1" x14ac:dyDescent="0.3">
      <c r="A1178" s="10">
        <v>45041</v>
      </c>
      <c r="B1178" s="11" t="s">
        <v>17</v>
      </c>
      <c r="C1178" s="11" t="s">
        <v>20</v>
      </c>
      <c r="D1178" s="11" t="s">
        <v>18</v>
      </c>
      <c r="E1178" s="11" t="s">
        <v>37</v>
      </c>
      <c r="F1178" s="11">
        <v>890</v>
      </c>
      <c r="G1178" s="11">
        <v>73</v>
      </c>
      <c r="H1178" s="6">
        <f t="shared" ref="H1178:H1187" si="77">F1178*G1178/1000</f>
        <v>64.97</v>
      </c>
    </row>
    <row r="1179" spans="1:8" hidden="1" x14ac:dyDescent="0.3">
      <c r="A1179" s="9">
        <v>45041</v>
      </c>
      <c r="B1179" t="s">
        <v>17</v>
      </c>
      <c r="C1179" t="s">
        <v>9</v>
      </c>
      <c r="D1179" t="s">
        <v>10</v>
      </c>
      <c r="E1179" t="s">
        <v>23</v>
      </c>
      <c r="F1179">
        <v>640</v>
      </c>
      <c r="G1179">
        <v>68</v>
      </c>
      <c r="H1179" s="6">
        <f t="shared" si="77"/>
        <v>43.52</v>
      </c>
    </row>
    <row r="1180" spans="1:8" x14ac:dyDescent="0.3">
      <c r="A1180" s="9">
        <v>45041</v>
      </c>
      <c r="B1180" t="s">
        <v>45</v>
      </c>
      <c r="C1180" t="s">
        <v>9</v>
      </c>
      <c r="D1180" t="s">
        <v>13</v>
      </c>
      <c r="E1180" t="s">
        <v>29</v>
      </c>
      <c r="F1180">
        <v>1230</v>
      </c>
      <c r="G1180">
        <v>20</v>
      </c>
      <c r="H1180" s="6">
        <f t="shared" si="77"/>
        <v>24.6</v>
      </c>
    </row>
    <row r="1181" spans="1:8" hidden="1" x14ac:dyDescent="0.3">
      <c r="A1181" s="9">
        <v>45041</v>
      </c>
      <c r="B1181" t="s">
        <v>45</v>
      </c>
      <c r="C1181" t="s">
        <v>9</v>
      </c>
      <c r="D1181" t="s">
        <v>24</v>
      </c>
      <c r="E1181" t="s">
        <v>25</v>
      </c>
      <c r="F1181">
        <v>1760</v>
      </c>
      <c r="G1181">
        <v>53</v>
      </c>
      <c r="H1181" s="6">
        <f t="shared" si="77"/>
        <v>93.28</v>
      </c>
    </row>
    <row r="1182" spans="1:8" hidden="1" x14ac:dyDescent="0.3">
      <c r="A1182" s="9">
        <v>45041</v>
      </c>
      <c r="B1182" t="s">
        <v>12</v>
      </c>
      <c r="C1182" t="s">
        <v>26</v>
      </c>
      <c r="D1182" t="s">
        <v>18</v>
      </c>
      <c r="E1182" t="s">
        <v>37</v>
      </c>
      <c r="F1182">
        <v>890</v>
      </c>
      <c r="G1182">
        <v>68</v>
      </c>
      <c r="H1182" s="6">
        <f t="shared" si="77"/>
        <v>60.52</v>
      </c>
    </row>
    <row r="1183" spans="1:8" hidden="1" x14ac:dyDescent="0.3">
      <c r="A1183" s="9">
        <v>45041</v>
      </c>
      <c r="B1183" t="s">
        <v>45</v>
      </c>
      <c r="C1183" t="s">
        <v>15</v>
      </c>
      <c r="D1183" t="s">
        <v>24</v>
      </c>
      <c r="E1183" t="s">
        <v>42</v>
      </c>
      <c r="F1183">
        <v>3205</v>
      </c>
      <c r="G1183">
        <v>24</v>
      </c>
      <c r="H1183" s="6">
        <f t="shared" si="77"/>
        <v>76.92</v>
      </c>
    </row>
    <row r="1184" spans="1:8" hidden="1" x14ac:dyDescent="0.3">
      <c r="A1184" s="9">
        <v>45041</v>
      </c>
      <c r="B1184" t="s">
        <v>45</v>
      </c>
      <c r="C1184" t="s">
        <v>33</v>
      </c>
      <c r="D1184" t="s">
        <v>18</v>
      </c>
      <c r="E1184" t="s">
        <v>27</v>
      </c>
      <c r="F1184">
        <v>460</v>
      </c>
      <c r="G1184">
        <v>73</v>
      </c>
      <c r="H1184" s="6">
        <f t="shared" si="77"/>
        <v>33.58</v>
      </c>
    </row>
    <row r="1185" spans="1:8" hidden="1" x14ac:dyDescent="0.3">
      <c r="A1185" s="9">
        <v>45041</v>
      </c>
      <c r="B1185" t="s">
        <v>12</v>
      </c>
      <c r="C1185" t="s">
        <v>33</v>
      </c>
      <c r="D1185" t="s">
        <v>13</v>
      </c>
      <c r="E1185" t="s">
        <v>43</v>
      </c>
      <c r="F1185">
        <v>1420</v>
      </c>
      <c r="G1185">
        <v>12</v>
      </c>
      <c r="H1185" s="6">
        <f t="shared" si="77"/>
        <v>17.04</v>
      </c>
    </row>
    <row r="1186" spans="1:8" hidden="1" x14ac:dyDescent="0.3">
      <c r="A1186" s="9">
        <v>45041</v>
      </c>
      <c r="B1186" t="s">
        <v>45</v>
      </c>
      <c r="C1186" t="s">
        <v>33</v>
      </c>
      <c r="D1186" t="s">
        <v>24</v>
      </c>
      <c r="E1186" t="s">
        <v>36</v>
      </c>
      <c r="F1186">
        <v>2460</v>
      </c>
      <c r="G1186">
        <v>92</v>
      </c>
      <c r="H1186" s="6">
        <f t="shared" si="77"/>
        <v>226.32</v>
      </c>
    </row>
    <row r="1187" spans="1:8" hidden="1" x14ac:dyDescent="0.3">
      <c r="A1187" s="9">
        <v>45041</v>
      </c>
      <c r="B1187" t="s">
        <v>45</v>
      </c>
      <c r="C1187" t="s">
        <v>35</v>
      </c>
      <c r="D1187" t="s">
        <v>24</v>
      </c>
      <c r="E1187" t="s">
        <v>36</v>
      </c>
      <c r="F1187">
        <v>2460</v>
      </c>
      <c r="G1187">
        <v>14</v>
      </c>
      <c r="H1187" s="6">
        <f t="shared" si="77"/>
        <v>34.44</v>
      </c>
    </row>
    <row r="1188" spans="1:8" hidden="1" x14ac:dyDescent="0.3">
      <c r="A1188" s="13" t="s">
        <v>129</v>
      </c>
      <c r="H1188" s="6">
        <f>SUBTOTAL(9,H1178:H1187)</f>
        <v>24.6</v>
      </c>
    </row>
    <row r="1189" spans="1:8" hidden="1" x14ac:dyDescent="0.3">
      <c r="A1189" s="9">
        <v>45042</v>
      </c>
      <c r="B1189" t="s">
        <v>8</v>
      </c>
      <c r="C1189" t="s">
        <v>9</v>
      </c>
      <c r="D1189" t="s">
        <v>24</v>
      </c>
      <c r="E1189" t="s">
        <v>32</v>
      </c>
      <c r="F1189">
        <v>1505</v>
      </c>
      <c r="G1189">
        <v>43</v>
      </c>
      <c r="H1189" s="6">
        <f t="shared" ref="H1189:H1195" si="78">F1189*G1189/1000</f>
        <v>64.715000000000003</v>
      </c>
    </row>
    <row r="1190" spans="1:8" hidden="1" x14ac:dyDescent="0.3">
      <c r="A1190" s="9">
        <v>45042</v>
      </c>
      <c r="B1190" t="s">
        <v>8</v>
      </c>
      <c r="C1190" t="s">
        <v>26</v>
      </c>
      <c r="D1190" t="s">
        <v>24</v>
      </c>
      <c r="E1190" t="s">
        <v>42</v>
      </c>
      <c r="F1190">
        <v>3205</v>
      </c>
      <c r="G1190">
        <v>44</v>
      </c>
      <c r="H1190" s="6">
        <f t="shared" si="78"/>
        <v>141.02000000000001</v>
      </c>
    </row>
    <row r="1191" spans="1:8" hidden="1" x14ac:dyDescent="0.3">
      <c r="A1191" s="9">
        <v>45042</v>
      </c>
      <c r="B1191" t="s">
        <v>12</v>
      </c>
      <c r="C1191" t="s">
        <v>26</v>
      </c>
      <c r="D1191" t="s">
        <v>24</v>
      </c>
      <c r="E1191" t="s">
        <v>30</v>
      </c>
      <c r="F1191">
        <v>2970</v>
      </c>
      <c r="G1191">
        <v>49</v>
      </c>
      <c r="H1191" s="6">
        <f t="shared" si="78"/>
        <v>145.53</v>
      </c>
    </row>
    <row r="1192" spans="1:8" hidden="1" x14ac:dyDescent="0.3">
      <c r="A1192" s="9">
        <v>45042</v>
      </c>
      <c r="B1192" t="s">
        <v>12</v>
      </c>
      <c r="C1192" t="s">
        <v>33</v>
      </c>
      <c r="D1192" t="s">
        <v>10</v>
      </c>
      <c r="E1192" t="s">
        <v>41</v>
      </c>
      <c r="F1192">
        <v>650</v>
      </c>
      <c r="G1192">
        <v>32</v>
      </c>
      <c r="H1192" s="6">
        <f t="shared" si="78"/>
        <v>20.8</v>
      </c>
    </row>
    <row r="1193" spans="1:8" hidden="1" x14ac:dyDescent="0.3">
      <c r="A1193" s="9">
        <v>45042</v>
      </c>
      <c r="B1193" t="s">
        <v>12</v>
      </c>
      <c r="C1193" t="s">
        <v>35</v>
      </c>
      <c r="D1193" t="s">
        <v>13</v>
      </c>
      <c r="E1193" t="s">
        <v>44</v>
      </c>
      <c r="F1193">
        <v>2540</v>
      </c>
      <c r="G1193">
        <v>60</v>
      </c>
      <c r="H1193" s="6">
        <f t="shared" si="78"/>
        <v>152.4</v>
      </c>
    </row>
    <row r="1194" spans="1:8" hidden="1" x14ac:dyDescent="0.3">
      <c r="A1194" s="9">
        <v>45042</v>
      </c>
      <c r="B1194" t="s">
        <v>17</v>
      </c>
      <c r="C1194" t="s">
        <v>35</v>
      </c>
      <c r="D1194" t="s">
        <v>13</v>
      </c>
      <c r="E1194" t="s">
        <v>38</v>
      </c>
      <c r="F1194">
        <v>2400</v>
      </c>
      <c r="G1194">
        <v>16</v>
      </c>
      <c r="H1194" s="6">
        <f t="shared" si="78"/>
        <v>38.4</v>
      </c>
    </row>
    <row r="1195" spans="1:8" hidden="1" x14ac:dyDescent="0.3">
      <c r="A1195" s="9">
        <v>45042</v>
      </c>
      <c r="B1195" t="s">
        <v>17</v>
      </c>
      <c r="C1195" t="s">
        <v>35</v>
      </c>
      <c r="D1195" t="s">
        <v>13</v>
      </c>
      <c r="E1195" t="s">
        <v>22</v>
      </c>
      <c r="F1195">
        <v>930</v>
      </c>
      <c r="G1195">
        <v>95</v>
      </c>
      <c r="H1195" s="6">
        <f t="shared" si="78"/>
        <v>88.35</v>
      </c>
    </row>
    <row r="1196" spans="1:8" hidden="1" x14ac:dyDescent="0.3">
      <c r="A1196" s="13" t="s">
        <v>130</v>
      </c>
      <c r="H1196" s="6">
        <f>SUBTOTAL(9,H1189:H1195)</f>
        <v>0</v>
      </c>
    </row>
    <row r="1197" spans="1:8" hidden="1" x14ac:dyDescent="0.3">
      <c r="A1197" s="9">
        <v>45043</v>
      </c>
      <c r="B1197" t="s">
        <v>45</v>
      </c>
      <c r="C1197" t="s">
        <v>26</v>
      </c>
      <c r="D1197" t="s">
        <v>24</v>
      </c>
      <c r="E1197" t="s">
        <v>34</v>
      </c>
      <c r="F1197">
        <v>1670</v>
      </c>
      <c r="G1197">
        <v>8</v>
      </c>
      <c r="H1197" s="6">
        <f t="shared" ref="H1197:H1203" si="79">F1197*G1197/1000</f>
        <v>13.36</v>
      </c>
    </row>
    <row r="1198" spans="1:8" hidden="1" x14ac:dyDescent="0.3">
      <c r="A1198" s="9">
        <v>45043</v>
      </c>
      <c r="B1198" t="s">
        <v>8</v>
      </c>
      <c r="C1198" t="s">
        <v>26</v>
      </c>
      <c r="D1198" t="s">
        <v>24</v>
      </c>
      <c r="E1198" t="s">
        <v>32</v>
      </c>
      <c r="F1198">
        <v>1505</v>
      </c>
      <c r="G1198">
        <v>48</v>
      </c>
      <c r="H1198" s="6">
        <f t="shared" si="79"/>
        <v>72.239999999999995</v>
      </c>
    </row>
    <row r="1199" spans="1:8" hidden="1" x14ac:dyDescent="0.3">
      <c r="A1199" s="9">
        <v>45043</v>
      </c>
      <c r="B1199" t="s">
        <v>12</v>
      </c>
      <c r="C1199" t="s">
        <v>15</v>
      </c>
      <c r="D1199" t="s">
        <v>18</v>
      </c>
      <c r="E1199" t="s">
        <v>19</v>
      </c>
      <c r="F1199">
        <v>325</v>
      </c>
      <c r="G1199">
        <v>59</v>
      </c>
      <c r="H1199" s="6">
        <f t="shared" si="79"/>
        <v>19.175000000000001</v>
      </c>
    </row>
    <row r="1200" spans="1:8" hidden="1" x14ac:dyDescent="0.3">
      <c r="A1200" s="9">
        <v>45043</v>
      </c>
      <c r="B1200" t="s">
        <v>17</v>
      </c>
      <c r="C1200" t="s">
        <v>33</v>
      </c>
      <c r="D1200" t="s">
        <v>10</v>
      </c>
      <c r="E1200" t="s">
        <v>39</v>
      </c>
      <c r="F1200">
        <v>650</v>
      </c>
      <c r="G1200">
        <v>44</v>
      </c>
      <c r="H1200" s="6">
        <f t="shared" si="79"/>
        <v>28.6</v>
      </c>
    </row>
    <row r="1201" spans="1:8" hidden="1" x14ac:dyDescent="0.3">
      <c r="A1201" s="9">
        <v>45043</v>
      </c>
      <c r="B1201" t="s">
        <v>45</v>
      </c>
      <c r="C1201" t="s">
        <v>35</v>
      </c>
      <c r="D1201" t="s">
        <v>10</v>
      </c>
      <c r="E1201" t="s">
        <v>16</v>
      </c>
      <c r="F1201">
        <v>1380</v>
      </c>
      <c r="G1201">
        <v>92</v>
      </c>
      <c r="H1201" s="6">
        <f t="shared" si="79"/>
        <v>126.96</v>
      </c>
    </row>
    <row r="1202" spans="1:8" hidden="1" x14ac:dyDescent="0.3">
      <c r="A1202" s="9">
        <v>45043</v>
      </c>
      <c r="B1202" t="s">
        <v>45</v>
      </c>
      <c r="C1202" t="s">
        <v>35</v>
      </c>
      <c r="D1202" t="s">
        <v>13</v>
      </c>
      <c r="E1202" t="s">
        <v>22</v>
      </c>
      <c r="F1202">
        <v>930</v>
      </c>
      <c r="G1202">
        <v>65</v>
      </c>
      <c r="H1202" s="6">
        <f t="shared" si="79"/>
        <v>60.45</v>
      </c>
    </row>
    <row r="1203" spans="1:8" hidden="1" x14ac:dyDescent="0.3">
      <c r="A1203" s="9">
        <v>45043</v>
      </c>
      <c r="B1203" t="s">
        <v>45</v>
      </c>
      <c r="C1203" t="s">
        <v>35</v>
      </c>
      <c r="D1203" t="s">
        <v>24</v>
      </c>
      <c r="E1203" t="s">
        <v>30</v>
      </c>
      <c r="F1203">
        <v>2970</v>
      </c>
      <c r="G1203">
        <v>38</v>
      </c>
      <c r="H1203" s="6">
        <f t="shared" si="79"/>
        <v>112.86</v>
      </c>
    </row>
    <row r="1204" spans="1:8" hidden="1" x14ac:dyDescent="0.3">
      <c r="A1204" s="13" t="s">
        <v>131</v>
      </c>
      <c r="H1204" s="6">
        <f>SUBTOTAL(9,H1197:H1203)</f>
        <v>0</v>
      </c>
    </row>
    <row r="1205" spans="1:8" hidden="1" x14ac:dyDescent="0.3">
      <c r="A1205" s="9">
        <v>45044</v>
      </c>
      <c r="B1205" t="s">
        <v>17</v>
      </c>
      <c r="C1205" t="s">
        <v>20</v>
      </c>
      <c r="D1205" t="s">
        <v>18</v>
      </c>
      <c r="E1205" t="s">
        <v>37</v>
      </c>
      <c r="F1205">
        <v>890</v>
      </c>
      <c r="G1205">
        <v>40</v>
      </c>
      <c r="H1205" s="6">
        <f>F1205*G1205/1000</f>
        <v>35.6</v>
      </c>
    </row>
    <row r="1206" spans="1:8" hidden="1" x14ac:dyDescent="0.3">
      <c r="A1206" s="10">
        <v>45044</v>
      </c>
      <c r="B1206" s="11" t="s">
        <v>8</v>
      </c>
      <c r="C1206" s="11" t="s">
        <v>20</v>
      </c>
      <c r="D1206" s="11" t="s">
        <v>24</v>
      </c>
      <c r="E1206" s="11" t="s">
        <v>30</v>
      </c>
      <c r="F1206" s="11">
        <v>2970</v>
      </c>
      <c r="G1206" s="11">
        <v>11</v>
      </c>
      <c r="H1206" s="6">
        <f>F1206*G1206/1000</f>
        <v>32.67</v>
      </c>
    </row>
    <row r="1207" spans="1:8" hidden="1" x14ac:dyDescent="0.3">
      <c r="A1207" s="14" t="s">
        <v>132</v>
      </c>
      <c r="B1207" s="11"/>
      <c r="C1207" s="11"/>
      <c r="D1207" s="11"/>
      <c r="E1207" s="11"/>
      <c r="F1207" s="11"/>
      <c r="G1207" s="11"/>
      <c r="H1207" s="6">
        <f>SUBTOTAL(9,H1205:H1206)</f>
        <v>0</v>
      </c>
    </row>
    <row r="1208" spans="1:8" hidden="1" x14ac:dyDescent="0.3">
      <c r="A1208" s="9">
        <v>45045</v>
      </c>
      <c r="B1208" t="s">
        <v>8</v>
      </c>
      <c r="C1208" t="s">
        <v>20</v>
      </c>
      <c r="D1208" t="s">
        <v>10</v>
      </c>
      <c r="E1208" t="s">
        <v>41</v>
      </c>
      <c r="F1208">
        <v>650</v>
      </c>
      <c r="G1208">
        <v>23</v>
      </c>
      <c r="H1208" s="6">
        <f t="shared" ref="H1208:H1220" si="80">F1208*G1208/1000</f>
        <v>14.95</v>
      </c>
    </row>
    <row r="1209" spans="1:8" hidden="1" x14ac:dyDescent="0.3">
      <c r="A1209" s="9">
        <v>45045</v>
      </c>
      <c r="B1209" t="s">
        <v>17</v>
      </c>
      <c r="C1209" t="s">
        <v>9</v>
      </c>
      <c r="D1209" t="s">
        <v>10</v>
      </c>
      <c r="E1209" t="s">
        <v>23</v>
      </c>
      <c r="F1209">
        <v>640</v>
      </c>
      <c r="G1209">
        <v>57</v>
      </c>
      <c r="H1209" s="6">
        <f t="shared" si="80"/>
        <v>36.479999999999997</v>
      </c>
    </row>
    <row r="1210" spans="1:8" hidden="1" x14ac:dyDescent="0.3">
      <c r="A1210" s="9">
        <v>45045</v>
      </c>
      <c r="B1210" t="s">
        <v>45</v>
      </c>
      <c r="C1210" t="s">
        <v>9</v>
      </c>
      <c r="D1210" t="s">
        <v>10</v>
      </c>
      <c r="E1210" t="s">
        <v>23</v>
      </c>
      <c r="F1210">
        <v>640</v>
      </c>
      <c r="G1210">
        <v>89</v>
      </c>
      <c r="H1210" s="6">
        <f t="shared" si="80"/>
        <v>56.96</v>
      </c>
    </row>
    <row r="1211" spans="1:8" hidden="1" x14ac:dyDescent="0.3">
      <c r="A1211" s="9">
        <v>45045</v>
      </c>
      <c r="B1211" t="s">
        <v>12</v>
      </c>
      <c r="C1211" t="s">
        <v>9</v>
      </c>
      <c r="D1211" t="s">
        <v>18</v>
      </c>
      <c r="E1211" t="s">
        <v>27</v>
      </c>
      <c r="F1211">
        <v>460</v>
      </c>
      <c r="G1211">
        <v>6</v>
      </c>
      <c r="H1211" s="6">
        <f t="shared" si="80"/>
        <v>2.76</v>
      </c>
    </row>
    <row r="1212" spans="1:8" hidden="1" x14ac:dyDescent="0.3">
      <c r="A1212" s="9">
        <v>45045</v>
      </c>
      <c r="B1212" t="s">
        <v>8</v>
      </c>
      <c r="C1212" t="s">
        <v>9</v>
      </c>
      <c r="D1212" t="s">
        <v>13</v>
      </c>
      <c r="E1212" t="s">
        <v>29</v>
      </c>
      <c r="F1212">
        <v>1230</v>
      </c>
      <c r="G1212">
        <v>45</v>
      </c>
      <c r="H1212" s="6">
        <f t="shared" si="80"/>
        <v>55.35</v>
      </c>
    </row>
    <row r="1213" spans="1:8" hidden="1" x14ac:dyDescent="0.3">
      <c r="A1213" s="9">
        <v>45045</v>
      </c>
      <c r="B1213" t="s">
        <v>12</v>
      </c>
      <c r="C1213" t="s">
        <v>9</v>
      </c>
      <c r="D1213" t="s">
        <v>24</v>
      </c>
      <c r="E1213" t="s">
        <v>30</v>
      </c>
      <c r="F1213">
        <v>2970</v>
      </c>
      <c r="G1213">
        <v>96</v>
      </c>
      <c r="H1213" s="6">
        <f t="shared" si="80"/>
        <v>285.12</v>
      </c>
    </row>
    <row r="1214" spans="1:8" hidden="1" x14ac:dyDescent="0.3">
      <c r="A1214" s="9">
        <v>45045</v>
      </c>
      <c r="B1214" t="s">
        <v>12</v>
      </c>
      <c r="C1214" t="s">
        <v>26</v>
      </c>
      <c r="D1214" t="s">
        <v>13</v>
      </c>
      <c r="E1214" t="s">
        <v>44</v>
      </c>
      <c r="F1214">
        <v>2540</v>
      </c>
      <c r="G1214">
        <v>42</v>
      </c>
      <c r="H1214" s="6">
        <f t="shared" si="80"/>
        <v>106.68</v>
      </c>
    </row>
    <row r="1215" spans="1:8" hidden="1" x14ac:dyDescent="0.3">
      <c r="A1215" s="9">
        <v>45045</v>
      </c>
      <c r="B1215" t="s">
        <v>12</v>
      </c>
      <c r="C1215" t="s">
        <v>26</v>
      </c>
      <c r="D1215" t="s">
        <v>24</v>
      </c>
      <c r="E1215" t="s">
        <v>42</v>
      </c>
      <c r="F1215">
        <v>3205</v>
      </c>
      <c r="G1215">
        <v>85</v>
      </c>
      <c r="H1215" s="6">
        <f t="shared" si="80"/>
        <v>272.42500000000001</v>
      </c>
    </row>
    <row r="1216" spans="1:8" hidden="1" x14ac:dyDescent="0.3">
      <c r="A1216" s="9">
        <v>45045</v>
      </c>
      <c r="B1216" t="s">
        <v>12</v>
      </c>
      <c r="C1216" t="s">
        <v>33</v>
      </c>
      <c r="D1216" t="s">
        <v>10</v>
      </c>
      <c r="E1216" t="s">
        <v>16</v>
      </c>
      <c r="F1216">
        <v>1380</v>
      </c>
      <c r="G1216">
        <v>69</v>
      </c>
      <c r="H1216" s="6">
        <f t="shared" si="80"/>
        <v>95.22</v>
      </c>
    </row>
    <row r="1217" spans="1:8" hidden="1" x14ac:dyDescent="0.3">
      <c r="A1217" s="9">
        <v>45045</v>
      </c>
      <c r="B1217" t="s">
        <v>17</v>
      </c>
      <c r="C1217" t="s">
        <v>35</v>
      </c>
      <c r="D1217" t="s">
        <v>10</v>
      </c>
      <c r="E1217" t="s">
        <v>41</v>
      </c>
      <c r="F1217">
        <v>650</v>
      </c>
      <c r="G1217">
        <v>51</v>
      </c>
      <c r="H1217" s="6">
        <f t="shared" si="80"/>
        <v>33.15</v>
      </c>
    </row>
    <row r="1218" spans="1:8" hidden="1" x14ac:dyDescent="0.3">
      <c r="A1218" s="9">
        <v>45045</v>
      </c>
      <c r="B1218" t="s">
        <v>12</v>
      </c>
      <c r="C1218" t="s">
        <v>35</v>
      </c>
      <c r="D1218" t="s">
        <v>10</v>
      </c>
      <c r="E1218" t="s">
        <v>39</v>
      </c>
      <c r="F1218">
        <v>650</v>
      </c>
      <c r="G1218">
        <v>30</v>
      </c>
      <c r="H1218" s="6">
        <f t="shared" si="80"/>
        <v>19.5</v>
      </c>
    </row>
    <row r="1219" spans="1:8" hidden="1" x14ac:dyDescent="0.3">
      <c r="A1219" s="9">
        <v>45045</v>
      </c>
      <c r="B1219" t="s">
        <v>12</v>
      </c>
      <c r="C1219" t="s">
        <v>35</v>
      </c>
      <c r="D1219" t="s">
        <v>10</v>
      </c>
      <c r="E1219" t="s">
        <v>40</v>
      </c>
      <c r="F1219">
        <v>540</v>
      </c>
      <c r="G1219">
        <v>49</v>
      </c>
      <c r="H1219" s="6">
        <f t="shared" si="80"/>
        <v>26.46</v>
      </c>
    </row>
    <row r="1220" spans="1:8" hidden="1" x14ac:dyDescent="0.3">
      <c r="A1220" s="9">
        <v>45045</v>
      </c>
      <c r="B1220" t="s">
        <v>45</v>
      </c>
      <c r="C1220" t="s">
        <v>35</v>
      </c>
      <c r="D1220" t="s">
        <v>24</v>
      </c>
      <c r="E1220" t="s">
        <v>32</v>
      </c>
      <c r="F1220">
        <v>1505</v>
      </c>
      <c r="G1220">
        <v>49</v>
      </c>
      <c r="H1220" s="6">
        <f t="shared" si="80"/>
        <v>73.745000000000005</v>
      </c>
    </row>
    <row r="1221" spans="1:8" hidden="1" x14ac:dyDescent="0.3">
      <c r="A1221" s="13" t="s">
        <v>133</v>
      </c>
      <c r="H1221" s="6">
        <f>SUBTOTAL(9,H1208:H1220)</f>
        <v>0</v>
      </c>
    </row>
    <row r="1222" spans="1:8" hidden="1" x14ac:dyDescent="0.3">
      <c r="A1222" s="10">
        <v>45046</v>
      </c>
      <c r="B1222" s="11" t="s">
        <v>12</v>
      </c>
      <c r="C1222" s="11" t="s">
        <v>20</v>
      </c>
      <c r="D1222" s="11" t="s">
        <v>10</v>
      </c>
      <c r="E1222" s="11" t="s">
        <v>40</v>
      </c>
      <c r="F1222" s="11">
        <v>540</v>
      </c>
      <c r="G1222" s="11">
        <v>15</v>
      </c>
      <c r="H1222" s="6">
        <f t="shared" ref="H1222:H1235" si="81">F1222*G1222/1000</f>
        <v>8.1</v>
      </c>
    </row>
    <row r="1223" spans="1:8" hidden="1" x14ac:dyDescent="0.3">
      <c r="A1223" s="9">
        <v>45046</v>
      </c>
      <c r="B1223" t="s">
        <v>17</v>
      </c>
      <c r="C1223" t="s">
        <v>20</v>
      </c>
      <c r="D1223" t="s">
        <v>13</v>
      </c>
      <c r="E1223" t="s">
        <v>43</v>
      </c>
      <c r="F1223">
        <v>1420</v>
      </c>
      <c r="G1223">
        <v>58</v>
      </c>
      <c r="H1223" s="6">
        <f t="shared" si="81"/>
        <v>82.36</v>
      </c>
    </row>
    <row r="1224" spans="1:8" hidden="1" x14ac:dyDescent="0.3">
      <c r="A1224" s="10">
        <v>45046</v>
      </c>
      <c r="B1224" s="11" t="s">
        <v>45</v>
      </c>
      <c r="C1224" s="11" t="s">
        <v>20</v>
      </c>
      <c r="D1224" s="11" t="s">
        <v>24</v>
      </c>
      <c r="E1224" s="11" t="s">
        <v>25</v>
      </c>
      <c r="F1224" s="11">
        <v>1760</v>
      </c>
      <c r="G1224" s="11">
        <v>61</v>
      </c>
      <c r="H1224" s="6">
        <f t="shared" si="81"/>
        <v>107.36</v>
      </c>
    </row>
    <row r="1225" spans="1:8" hidden="1" x14ac:dyDescent="0.3">
      <c r="A1225" s="9">
        <v>45046</v>
      </c>
      <c r="B1225" t="s">
        <v>45</v>
      </c>
      <c r="C1225" t="s">
        <v>9</v>
      </c>
      <c r="D1225" t="s">
        <v>10</v>
      </c>
      <c r="E1225" t="s">
        <v>16</v>
      </c>
      <c r="F1225">
        <v>1380</v>
      </c>
      <c r="G1225">
        <v>57</v>
      </c>
      <c r="H1225" s="6">
        <f t="shared" si="81"/>
        <v>78.66</v>
      </c>
    </row>
    <row r="1226" spans="1:8" hidden="1" x14ac:dyDescent="0.3">
      <c r="A1226" s="9">
        <v>45046</v>
      </c>
      <c r="B1226" t="s">
        <v>8</v>
      </c>
      <c r="C1226" t="s">
        <v>9</v>
      </c>
      <c r="D1226" t="s">
        <v>18</v>
      </c>
      <c r="E1226" t="s">
        <v>21</v>
      </c>
      <c r="F1226">
        <v>450</v>
      </c>
      <c r="G1226">
        <v>6</v>
      </c>
      <c r="H1226" s="6">
        <f t="shared" si="81"/>
        <v>2.7</v>
      </c>
    </row>
    <row r="1227" spans="1:8" hidden="1" x14ac:dyDescent="0.3">
      <c r="A1227" s="9">
        <v>45046</v>
      </c>
      <c r="B1227" t="s">
        <v>8</v>
      </c>
      <c r="C1227" t="s">
        <v>26</v>
      </c>
      <c r="D1227" t="s">
        <v>10</v>
      </c>
      <c r="E1227" t="s">
        <v>16</v>
      </c>
      <c r="F1227">
        <v>1380</v>
      </c>
      <c r="G1227">
        <v>6</v>
      </c>
      <c r="H1227" s="6">
        <f t="shared" si="81"/>
        <v>8.2799999999999994</v>
      </c>
    </row>
    <row r="1228" spans="1:8" hidden="1" x14ac:dyDescent="0.3">
      <c r="A1228" s="9">
        <v>45046</v>
      </c>
      <c r="B1228" t="s">
        <v>45</v>
      </c>
      <c r="C1228" t="s">
        <v>26</v>
      </c>
      <c r="D1228" t="s">
        <v>10</v>
      </c>
      <c r="E1228" t="s">
        <v>16</v>
      </c>
      <c r="F1228">
        <v>1380</v>
      </c>
      <c r="G1228">
        <v>69</v>
      </c>
      <c r="H1228" s="6">
        <f t="shared" si="81"/>
        <v>95.22</v>
      </c>
    </row>
    <row r="1229" spans="1:8" hidden="1" x14ac:dyDescent="0.3">
      <c r="A1229" s="9">
        <v>45046</v>
      </c>
      <c r="B1229" t="s">
        <v>12</v>
      </c>
      <c r="C1229" t="s">
        <v>26</v>
      </c>
      <c r="D1229" t="s">
        <v>13</v>
      </c>
      <c r="E1229" t="s">
        <v>29</v>
      </c>
      <c r="F1229">
        <v>1230</v>
      </c>
      <c r="G1229">
        <v>55</v>
      </c>
      <c r="H1229" s="6">
        <f t="shared" si="81"/>
        <v>67.650000000000006</v>
      </c>
    </row>
    <row r="1230" spans="1:8" hidden="1" x14ac:dyDescent="0.3">
      <c r="A1230" s="9">
        <v>45046</v>
      </c>
      <c r="B1230" t="s">
        <v>17</v>
      </c>
      <c r="C1230" t="s">
        <v>26</v>
      </c>
      <c r="D1230" t="s">
        <v>13</v>
      </c>
      <c r="E1230" t="s">
        <v>44</v>
      </c>
      <c r="F1230">
        <v>2540</v>
      </c>
      <c r="G1230">
        <v>65</v>
      </c>
      <c r="H1230" s="6">
        <f t="shared" si="81"/>
        <v>165.1</v>
      </c>
    </row>
    <row r="1231" spans="1:8" hidden="1" x14ac:dyDescent="0.3">
      <c r="A1231" s="9">
        <v>45046</v>
      </c>
      <c r="B1231" t="s">
        <v>45</v>
      </c>
      <c r="C1231" t="s">
        <v>15</v>
      </c>
      <c r="D1231" t="s">
        <v>10</v>
      </c>
      <c r="E1231" t="s">
        <v>16</v>
      </c>
      <c r="F1231">
        <v>1380</v>
      </c>
      <c r="G1231">
        <v>16</v>
      </c>
      <c r="H1231" s="6">
        <f t="shared" si="81"/>
        <v>22.08</v>
      </c>
    </row>
    <row r="1232" spans="1:8" hidden="1" x14ac:dyDescent="0.3">
      <c r="A1232" s="9">
        <v>45046</v>
      </c>
      <c r="B1232" t="s">
        <v>12</v>
      </c>
      <c r="C1232" t="s">
        <v>15</v>
      </c>
      <c r="D1232" t="s">
        <v>24</v>
      </c>
      <c r="E1232" t="s">
        <v>30</v>
      </c>
      <c r="F1232">
        <v>2970</v>
      </c>
      <c r="G1232">
        <v>26</v>
      </c>
      <c r="H1232" s="6">
        <f t="shared" si="81"/>
        <v>77.22</v>
      </c>
    </row>
    <row r="1233" spans="1:8" hidden="1" x14ac:dyDescent="0.3">
      <c r="A1233" s="9">
        <v>45046</v>
      </c>
      <c r="B1233" t="s">
        <v>12</v>
      </c>
      <c r="C1233" t="s">
        <v>33</v>
      </c>
      <c r="D1233" t="s">
        <v>10</v>
      </c>
      <c r="E1233" t="s">
        <v>11</v>
      </c>
      <c r="F1233">
        <v>705</v>
      </c>
      <c r="G1233">
        <v>15</v>
      </c>
      <c r="H1233" s="6">
        <f t="shared" si="81"/>
        <v>10.574999999999999</v>
      </c>
    </row>
    <row r="1234" spans="1:8" hidden="1" x14ac:dyDescent="0.3">
      <c r="A1234" s="9">
        <v>45046</v>
      </c>
      <c r="B1234" t="s">
        <v>8</v>
      </c>
      <c r="C1234" t="s">
        <v>33</v>
      </c>
      <c r="D1234" t="s">
        <v>18</v>
      </c>
      <c r="E1234" t="s">
        <v>28</v>
      </c>
      <c r="F1234">
        <v>690</v>
      </c>
      <c r="G1234">
        <v>32</v>
      </c>
      <c r="H1234" s="6">
        <f t="shared" si="81"/>
        <v>22.08</v>
      </c>
    </row>
    <row r="1235" spans="1:8" hidden="1" x14ac:dyDescent="0.3">
      <c r="A1235" s="9">
        <v>45046</v>
      </c>
      <c r="B1235" t="s">
        <v>17</v>
      </c>
      <c r="C1235" t="s">
        <v>33</v>
      </c>
      <c r="D1235" t="s">
        <v>13</v>
      </c>
      <c r="E1235" t="s">
        <v>44</v>
      </c>
      <c r="F1235">
        <v>2540</v>
      </c>
      <c r="G1235">
        <v>52</v>
      </c>
      <c r="H1235" s="6">
        <f t="shared" si="81"/>
        <v>132.08000000000001</v>
      </c>
    </row>
    <row r="1236" spans="1:8" hidden="1" x14ac:dyDescent="0.3">
      <c r="A1236" s="13" t="s">
        <v>134</v>
      </c>
      <c r="H1236" s="6">
        <f>SUBTOTAL(9,H1222:H1235)</f>
        <v>0</v>
      </c>
    </row>
    <row r="1237" spans="1:8" hidden="1" x14ac:dyDescent="0.3">
      <c r="A1237" s="9">
        <v>45047</v>
      </c>
      <c r="B1237" t="s">
        <v>17</v>
      </c>
      <c r="C1237" t="s">
        <v>20</v>
      </c>
      <c r="D1237" t="s">
        <v>10</v>
      </c>
      <c r="E1237" t="s">
        <v>11</v>
      </c>
      <c r="F1237">
        <v>705</v>
      </c>
      <c r="G1237">
        <v>23</v>
      </c>
      <c r="H1237" s="6">
        <f t="shared" ref="H1237:H1247" si="82">F1237*G1237/1000</f>
        <v>16.215</v>
      </c>
    </row>
    <row r="1238" spans="1:8" hidden="1" x14ac:dyDescent="0.3">
      <c r="A1238" s="10">
        <v>45047</v>
      </c>
      <c r="B1238" s="11" t="s">
        <v>8</v>
      </c>
      <c r="C1238" s="11" t="s">
        <v>20</v>
      </c>
      <c r="D1238" s="11" t="s">
        <v>13</v>
      </c>
      <c r="E1238" s="11" t="s">
        <v>43</v>
      </c>
      <c r="F1238" s="11">
        <v>1420</v>
      </c>
      <c r="G1238" s="11">
        <v>63</v>
      </c>
      <c r="H1238" s="6">
        <f t="shared" si="82"/>
        <v>89.46</v>
      </c>
    </row>
    <row r="1239" spans="1:8" hidden="1" x14ac:dyDescent="0.3">
      <c r="A1239" s="9">
        <v>45047</v>
      </c>
      <c r="B1239" t="s">
        <v>12</v>
      </c>
      <c r="C1239" t="s">
        <v>20</v>
      </c>
      <c r="D1239" t="s">
        <v>24</v>
      </c>
      <c r="E1239" t="s">
        <v>32</v>
      </c>
      <c r="F1239">
        <v>1505</v>
      </c>
      <c r="G1239">
        <v>97</v>
      </c>
      <c r="H1239" s="6">
        <f t="shared" si="82"/>
        <v>145.98500000000001</v>
      </c>
    </row>
    <row r="1240" spans="1:8" hidden="1" x14ac:dyDescent="0.3">
      <c r="A1240" s="9">
        <v>45047</v>
      </c>
      <c r="B1240" t="s">
        <v>8</v>
      </c>
      <c r="C1240" t="s">
        <v>9</v>
      </c>
      <c r="D1240" t="s">
        <v>10</v>
      </c>
      <c r="E1240" t="s">
        <v>39</v>
      </c>
      <c r="F1240">
        <v>650</v>
      </c>
      <c r="G1240">
        <v>12</v>
      </c>
      <c r="H1240" s="6">
        <f t="shared" si="82"/>
        <v>7.8</v>
      </c>
    </row>
    <row r="1241" spans="1:8" hidden="1" x14ac:dyDescent="0.3">
      <c r="A1241" s="9">
        <v>45047</v>
      </c>
      <c r="B1241" t="s">
        <v>12</v>
      </c>
      <c r="C1241" t="s">
        <v>26</v>
      </c>
      <c r="D1241" t="s">
        <v>10</v>
      </c>
      <c r="E1241" t="s">
        <v>40</v>
      </c>
      <c r="F1241">
        <v>540</v>
      </c>
      <c r="G1241">
        <v>98</v>
      </c>
      <c r="H1241" s="6">
        <f t="shared" si="82"/>
        <v>52.92</v>
      </c>
    </row>
    <row r="1242" spans="1:8" hidden="1" x14ac:dyDescent="0.3">
      <c r="A1242" s="9">
        <v>45047</v>
      </c>
      <c r="B1242" t="s">
        <v>45</v>
      </c>
      <c r="C1242" t="s">
        <v>26</v>
      </c>
      <c r="D1242" t="s">
        <v>24</v>
      </c>
      <c r="E1242" t="s">
        <v>36</v>
      </c>
      <c r="F1242">
        <v>2460</v>
      </c>
      <c r="G1242">
        <v>73</v>
      </c>
      <c r="H1242" s="6">
        <f t="shared" si="82"/>
        <v>179.58</v>
      </c>
    </row>
    <row r="1243" spans="1:8" hidden="1" x14ac:dyDescent="0.3">
      <c r="A1243" s="9">
        <v>45047</v>
      </c>
      <c r="B1243" t="s">
        <v>45</v>
      </c>
      <c r="C1243" t="s">
        <v>15</v>
      </c>
      <c r="D1243" t="s">
        <v>10</v>
      </c>
      <c r="E1243" t="s">
        <v>23</v>
      </c>
      <c r="F1243">
        <v>640</v>
      </c>
      <c r="G1243">
        <v>25</v>
      </c>
      <c r="H1243" s="6">
        <f t="shared" si="82"/>
        <v>16</v>
      </c>
    </row>
    <row r="1244" spans="1:8" hidden="1" x14ac:dyDescent="0.3">
      <c r="A1244" s="9">
        <v>45047</v>
      </c>
      <c r="B1244" t="s">
        <v>8</v>
      </c>
      <c r="C1244" t="s">
        <v>33</v>
      </c>
      <c r="D1244" t="s">
        <v>10</v>
      </c>
      <c r="E1244" t="s">
        <v>39</v>
      </c>
      <c r="F1244">
        <v>650</v>
      </c>
      <c r="G1244">
        <v>61</v>
      </c>
      <c r="H1244" s="6">
        <f t="shared" si="82"/>
        <v>39.65</v>
      </c>
    </row>
    <row r="1245" spans="1:8" hidden="1" x14ac:dyDescent="0.3">
      <c r="A1245" s="9">
        <v>45047</v>
      </c>
      <c r="B1245" t="s">
        <v>8</v>
      </c>
      <c r="C1245" t="s">
        <v>33</v>
      </c>
      <c r="D1245" t="s">
        <v>13</v>
      </c>
      <c r="E1245" t="s">
        <v>43</v>
      </c>
      <c r="F1245">
        <v>1420</v>
      </c>
      <c r="G1245">
        <v>78</v>
      </c>
      <c r="H1245" s="6">
        <f t="shared" si="82"/>
        <v>110.76</v>
      </c>
    </row>
    <row r="1246" spans="1:8" hidden="1" x14ac:dyDescent="0.3">
      <c r="A1246" s="9">
        <v>45047</v>
      </c>
      <c r="B1246" t="s">
        <v>45</v>
      </c>
      <c r="C1246" t="s">
        <v>35</v>
      </c>
      <c r="D1246" t="s">
        <v>13</v>
      </c>
      <c r="E1246" t="s">
        <v>22</v>
      </c>
      <c r="F1246">
        <v>930</v>
      </c>
      <c r="G1246">
        <v>49</v>
      </c>
      <c r="H1246" s="6">
        <f t="shared" si="82"/>
        <v>45.57</v>
      </c>
    </row>
    <row r="1247" spans="1:8" hidden="1" x14ac:dyDescent="0.3">
      <c r="A1247" s="9">
        <v>45047</v>
      </c>
      <c r="B1247" t="s">
        <v>12</v>
      </c>
      <c r="C1247" t="s">
        <v>35</v>
      </c>
      <c r="D1247" t="s">
        <v>13</v>
      </c>
      <c r="E1247" t="s">
        <v>43</v>
      </c>
      <c r="F1247">
        <v>1420</v>
      </c>
      <c r="G1247">
        <v>86</v>
      </c>
      <c r="H1247" s="6">
        <f t="shared" si="82"/>
        <v>122.12</v>
      </c>
    </row>
    <row r="1248" spans="1:8" hidden="1" x14ac:dyDescent="0.3">
      <c r="A1248" s="13" t="s">
        <v>135</v>
      </c>
      <c r="H1248" s="6">
        <f>SUBTOTAL(9,H1237:H1247)</f>
        <v>0</v>
      </c>
    </row>
    <row r="1249" spans="1:8" hidden="1" x14ac:dyDescent="0.3">
      <c r="A1249" s="10">
        <v>45048</v>
      </c>
      <c r="B1249" s="11" t="s">
        <v>12</v>
      </c>
      <c r="C1249" s="11" t="s">
        <v>20</v>
      </c>
      <c r="D1249" s="11" t="s">
        <v>10</v>
      </c>
      <c r="E1249" s="11" t="s">
        <v>16</v>
      </c>
      <c r="F1249" s="11">
        <v>1380</v>
      </c>
      <c r="G1249" s="11">
        <v>93</v>
      </c>
      <c r="H1249" s="6">
        <f t="shared" ref="H1249:H1256" si="83">F1249*G1249/1000</f>
        <v>128.34</v>
      </c>
    </row>
    <row r="1250" spans="1:8" hidden="1" x14ac:dyDescent="0.3">
      <c r="A1250" s="9">
        <v>45048</v>
      </c>
      <c r="B1250" t="s">
        <v>12</v>
      </c>
      <c r="C1250" t="s">
        <v>26</v>
      </c>
      <c r="D1250" t="s">
        <v>18</v>
      </c>
      <c r="E1250" t="s">
        <v>27</v>
      </c>
      <c r="F1250">
        <v>460</v>
      </c>
      <c r="G1250">
        <v>55</v>
      </c>
      <c r="H1250" s="6">
        <f t="shared" si="83"/>
        <v>25.3</v>
      </c>
    </row>
    <row r="1251" spans="1:8" hidden="1" x14ac:dyDescent="0.3">
      <c r="A1251" s="9">
        <v>45048</v>
      </c>
      <c r="B1251" t="s">
        <v>45</v>
      </c>
      <c r="C1251" t="s">
        <v>26</v>
      </c>
      <c r="D1251" t="s">
        <v>18</v>
      </c>
      <c r="E1251" t="s">
        <v>21</v>
      </c>
      <c r="F1251">
        <v>450</v>
      </c>
      <c r="G1251">
        <v>87</v>
      </c>
      <c r="H1251" s="6">
        <f t="shared" si="83"/>
        <v>39.15</v>
      </c>
    </row>
    <row r="1252" spans="1:8" hidden="1" x14ac:dyDescent="0.3">
      <c r="A1252" s="9">
        <v>45048</v>
      </c>
      <c r="B1252" t="s">
        <v>45</v>
      </c>
      <c r="C1252" t="s">
        <v>26</v>
      </c>
      <c r="D1252" t="s">
        <v>24</v>
      </c>
      <c r="E1252" t="s">
        <v>25</v>
      </c>
      <c r="F1252">
        <v>1760</v>
      </c>
      <c r="G1252">
        <v>8</v>
      </c>
      <c r="H1252" s="6">
        <f t="shared" si="83"/>
        <v>14.08</v>
      </c>
    </row>
    <row r="1253" spans="1:8" hidden="1" x14ac:dyDescent="0.3">
      <c r="A1253" s="9">
        <v>45048</v>
      </c>
      <c r="B1253" t="s">
        <v>8</v>
      </c>
      <c r="C1253" t="s">
        <v>26</v>
      </c>
      <c r="D1253" t="s">
        <v>24</v>
      </c>
      <c r="E1253" t="s">
        <v>32</v>
      </c>
      <c r="F1253">
        <v>1505</v>
      </c>
      <c r="G1253">
        <v>61</v>
      </c>
      <c r="H1253" s="6">
        <f t="shared" si="83"/>
        <v>91.805000000000007</v>
      </c>
    </row>
    <row r="1254" spans="1:8" hidden="1" x14ac:dyDescent="0.3">
      <c r="A1254" s="9">
        <v>45048</v>
      </c>
      <c r="B1254" t="s">
        <v>12</v>
      </c>
      <c r="C1254" t="s">
        <v>15</v>
      </c>
      <c r="D1254" t="s">
        <v>24</v>
      </c>
      <c r="E1254" t="s">
        <v>36</v>
      </c>
      <c r="F1254">
        <v>2460</v>
      </c>
      <c r="G1254">
        <v>39</v>
      </c>
      <c r="H1254" s="6">
        <f t="shared" si="83"/>
        <v>95.94</v>
      </c>
    </row>
    <row r="1255" spans="1:8" hidden="1" x14ac:dyDescent="0.3">
      <c r="A1255" s="9">
        <v>45048</v>
      </c>
      <c r="B1255" t="s">
        <v>45</v>
      </c>
      <c r="C1255" t="s">
        <v>33</v>
      </c>
      <c r="D1255" t="s">
        <v>24</v>
      </c>
      <c r="E1255" t="s">
        <v>30</v>
      </c>
      <c r="F1255">
        <v>2970</v>
      </c>
      <c r="G1255">
        <v>56</v>
      </c>
      <c r="H1255" s="6">
        <f t="shared" si="83"/>
        <v>166.32</v>
      </c>
    </row>
    <row r="1256" spans="1:8" hidden="1" x14ac:dyDescent="0.3">
      <c r="A1256" s="9">
        <v>45048</v>
      </c>
      <c r="B1256" t="s">
        <v>12</v>
      </c>
      <c r="C1256" t="s">
        <v>35</v>
      </c>
      <c r="D1256" t="s">
        <v>13</v>
      </c>
      <c r="E1256" t="s">
        <v>14</v>
      </c>
      <c r="F1256">
        <v>1320</v>
      </c>
      <c r="G1256">
        <v>29</v>
      </c>
      <c r="H1256" s="6">
        <f t="shared" si="83"/>
        <v>38.28</v>
      </c>
    </row>
    <row r="1257" spans="1:8" hidden="1" x14ac:dyDescent="0.3">
      <c r="A1257" s="13" t="s">
        <v>136</v>
      </c>
      <c r="H1257" s="6">
        <f>SUBTOTAL(9,H1249:H1256)</f>
        <v>0</v>
      </c>
    </row>
    <row r="1258" spans="1:8" hidden="1" x14ac:dyDescent="0.3">
      <c r="A1258" s="9">
        <v>45049</v>
      </c>
      <c r="B1258" t="s">
        <v>45</v>
      </c>
      <c r="C1258" t="s">
        <v>20</v>
      </c>
      <c r="D1258" t="s">
        <v>13</v>
      </c>
      <c r="E1258" t="s">
        <v>22</v>
      </c>
      <c r="F1258">
        <v>930</v>
      </c>
      <c r="G1258">
        <v>84</v>
      </c>
      <c r="H1258" s="6">
        <f t="shared" ref="H1258:H1265" si="84">F1258*G1258/1000</f>
        <v>78.12</v>
      </c>
    </row>
    <row r="1259" spans="1:8" x14ac:dyDescent="0.3">
      <c r="A1259" s="10">
        <v>45049</v>
      </c>
      <c r="B1259" s="11" t="s">
        <v>45</v>
      </c>
      <c r="C1259" s="11" t="s">
        <v>20</v>
      </c>
      <c r="D1259" s="11" t="s">
        <v>13</v>
      </c>
      <c r="E1259" s="11" t="s">
        <v>29</v>
      </c>
      <c r="F1259" s="11">
        <v>1230</v>
      </c>
      <c r="G1259" s="11">
        <v>96</v>
      </c>
      <c r="H1259" s="6">
        <f t="shared" si="84"/>
        <v>118.08</v>
      </c>
    </row>
    <row r="1260" spans="1:8" hidden="1" x14ac:dyDescent="0.3">
      <c r="A1260" s="9">
        <v>45049</v>
      </c>
      <c r="B1260" t="s">
        <v>17</v>
      </c>
      <c r="C1260" t="s">
        <v>20</v>
      </c>
      <c r="D1260" t="s">
        <v>24</v>
      </c>
      <c r="E1260" t="s">
        <v>32</v>
      </c>
      <c r="F1260">
        <v>1505</v>
      </c>
      <c r="G1260">
        <v>80</v>
      </c>
      <c r="H1260" s="6">
        <f t="shared" si="84"/>
        <v>120.4</v>
      </c>
    </row>
    <row r="1261" spans="1:8" hidden="1" x14ac:dyDescent="0.3">
      <c r="A1261" s="9">
        <v>45049</v>
      </c>
      <c r="B1261" t="s">
        <v>12</v>
      </c>
      <c r="C1261" t="s">
        <v>9</v>
      </c>
      <c r="D1261" t="s">
        <v>10</v>
      </c>
      <c r="E1261" t="s">
        <v>41</v>
      </c>
      <c r="F1261">
        <v>650</v>
      </c>
      <c r="G1261">
        <v>34</v>
      </c>
      <c r="H1261" s="6">
        <f t="shared" si="84"/>
        <v>22.1</v>
      </c>
    </row>
    <row r="1262" spans="1:8" hidden="1" x14ac:dyDescent="0.3">
      <c r="A1262" s="9">
        <v>45049</v>
      </c>
      <c r="B1262" t="s">
        <v>8</v>
      </c>
      <c r="C1262" t="s">
        <v>9</v>
      </c>
      <c r="D1262" t="s">
        <v>24</v>
      </c>
      <c r="E1262" t="s">
        <v>34</v>
      </c>
      <c r="F1262">
        <v>1670</v>
      </c>
      <c r="G1262">
        <v>49</v>
      </c>
      <c r="H1262" s="6">
        <f t="shared" si="84"/>
        <v>81.83</v>
      </c>
    </row>
    <row r="1263" spans="1:8" hidden="1" x14ac:dyDescent="0.3">
      <c r="A1263" s="9">
        <v>45049</v>
      </c>
      <c r="B1263" t="s">
        <v>12</v>
      </c>
      <c r="C1263" t="s">
        <v>33</v>
      </c>
      <c r="D1263" t="s">
        <v>13</v>
      </c>
      <c r="E1263" t="s">
        <v>14</v>
      </c>
      <c r="F1263">
        <v>1320</v>
      </c>
      <c r="G1263">
        <v>32</v>
      </c>
      <c r="H1263" s="6">
        <f t="shared" si="84"/>
        <v>42.24</v>
      </c>
    </row>
    <row r="1264" spans="1:8" hidden="1" x14ac:dyDescent="0.3">
      <c r="A1264" s="9">
        <v>45049</v>
      </c>
      <c r="B1264" t="s">
        <v>8</v>
      </c>
      <c r="C1264" t="s">
        <v>33</v>
      </c>
      <c r="D1264" t="s">
        <v>24</v>
      </c>
      <c r="E1264" t="s">
        <v>32</v>
      </c>
      <c r="F1264">
        <v>1505</v>
      </c>
      <c r="G1264">
        <v>65</v>
      </c>
      <c r="H1264" s="6">
        <f t="shared" si="84"/>
        <v>97.825000000000003</v>
      </c>
    </row>
    <row r="1265" spans="1:8" hidden="1" x14ac:dyDescent="0.3">
      <c r="A1265" s="9">
        <v>45049</v>
      </c>
      <c r="B1265" t="s">
        <v>17</v>
      </c>
      <c r="C1265" t="s">
        <v>35</v>
      </c>
      <c r="D1265" t="s">
        <v>13</v>
      </c>
      <c r="E1265" t="s">
        <v>22</v>
      </c>
      <c r="F1265">
        <v>930</v>
      </c>
      <c r="G1265">
        <v>71</v>
      </c>
      <c r="H1265" s="6">
        <f t="shared" si="84"/>
        <v>66.03</v>
      </c>
    </row>
    <row r="1266" spans="1:8" hidden="1" x14ac:dyDescent="0.3">
      <c r="A1266" s="13" t="s">
        <v>137</v>
      </c>
      <c r="H1266" s="6">
        <f>SUBTOTAL(9,H1258:H1265)</f>
        <v>118.08</v>
      </c>
    </row>
    <row r="1267" spans="1:8" hidden="1" x14ac:dyDescent="0.3">
      <c r="A1267" s="10">
        <v>45050</v>
      </c>
      <c r="B1267" s="11" t="s">
        <v>8</v>
      </c>
      <c r="C1267" s="11" t="s">
        <v>20</v>
      </c>
      <c r="D1267" s="11" t="s">
        <v>24</v>
      </c>
      <c r="E1267" s="11" t="s">
        <v>36</v>
      </c>
      <c r="F1267" s="11">
        <v>2460</v>
      </c>
      <c r="G1267" s="11">
        <v>83</v>
      </c>
      <c r="H1267" s="6">
        <f t="shared" ref="H1267:H1275" si="85">F1267*G1267/1000</f>
        <v>204.18</v>
      </c>
    </row>
    <row r="1268" spans="1:8" hidden="1" x14ac:dyDescent="0.3">
      <c r="A1268" s="9">
        <v>45050</v>
      </c>
      <c r="B1268" t="s">
        <v>45</v>
      </c>
      <c r="C1268" t="s">
        <v>26</v>
      </c>
      <c r="D1268" t="s">
        <v>10</v>
      </c>
      <c r="E1268" t="s">
        <v>40</v>
      </c>
      <c r="F1268">
        <v>540</v>
      </c>
      <c r="G1268">
        <v>81</v>
      </c>
      <c r="H1268" s="6">
        <f t="shared" si="85"/>
        <v>43.74</v>
      </c>
    </row>
    <row r="1269" spans="1:8" hidden="1" x14ac:dyDescent="0.3">
      <c r="A1269" s="9">
        <v>45050</v>
      </c>
      <c r="B1269" t="s">
        <v>45</v>
      </c>
      <c r="C1269" t="s">
        <v>33</v>
      </c>
      <c r="D1269" t="s">
        <v>18</v>
      </c>
      <c r="E1269" t="s">
        <v>37</v>
      </c>
      <c r="F1269">
        <v>890</v>
      </c>
      <c r="G1269">
        <v>50</v>
      </c>
      <c r="H1269" s="6">
        <f t="shared" si="85"/>
        <v>44.5</v>
      </c>
    </row>
    <row r="1270" spans="1:8" hidden="1" x14ac:dyDescent="0.3">
      <c r="A1270" s="9">
        <v>45050</v>
      </c>
      <c r="B1270" t="s">
        <v>17</v>
      </c>
      <c r="C1270" t="s">
        <v>33</v>
      </c>
      <c r="D1270" t="s">
        <v>18</v>
      </c>
      <c r="E1270" t="s">
        <v>31</v>
      </c>
      <c r="F1270">
        <v>715</v>
      </c>
      <c r="G1270">
        <v>49</v>
      </c>
      <c r="H1270" s="6">
        <f t="shared" si="85"/>
        <v>35.034999999999997</v>
      </c>
    </row>
    <row r="1271" spans="1:8" hidden="1" x14ac:dyDescent="0.3">
      <c r="A1271" s="9">
        <v>45050</v>
      </c>
      <c r="B1271" t="s">
        <v>45</v>
      </c>
      <c r="C1271" t="s">
        <v>33</v>
      </c>
      <c r="D1271" t="s">
        <v>13</v>
      </c>
      <c r="E1271" t="s">
        <v>14</v>
      </c>
      <c r="F1271">
        <v>1320</v>
      </c>
      <c r="G1271">
        <v>70</v>
      </c>
      <c r="H1271" s="6">
        <f t="shared" si="85"/>
        <v>92.4</v>
      </c>
    </row>
    <row r="1272" spans="1:8" hidden="1" x14ac:dyDescent="0.3">
      <c r="A1272" s="9">
        <v>45050</v>
      </c>
      <c r="B1272" t="s">
        <v>12</v>
      </c>
      <c r="C1272" t="s">
        <v>33</v>
      </c>
      <c r="D1272" t="s">
        <v>24</v>
      </c>
      <c r="E1272" t="s">
        <v>32</v>
      </c>
      <c r="F1272">
        <v>1505</v>
      </c>
      <c r="G1272">
        <v>27</v>
      </c>
      <c r="H1272" s="6">
        <f t="shared" si="85"/>
        <v>40.634999999999998</v>
      </c>
    </row>
    <row r="1273" spans="1:8" hidden="1" x14ac:dyDescent="0.3">
      <c r="A1273" s="9">
        <v>45050</v>
      </c>
      <c r="B1273" t="s">
        <v>45</v>
      </c>
      <c r="C1273" t="s">
        <v>33</v>
      </c>
      <c r="D1273" t="s">
        <v>24</v>
      </c>
      <c r="E1273" t="s">
        <v>32</v>
      </c>
      <c r="F1273">
        <v>1505</v>
      </c>
      <c r="G1273">
        <v>100</v>
      </c>
      <c r="H1273" s="6">
        <f t="shared" si="85"/>
        <v>150.5</v>
      </c>
    </row>
    <row r="1274" spans="1:8" hidden="1" x14ac:dyDescent="0.3">
      <c r="A1274" s="9">
        <v>45050</v>
      </c>
      <c r="B1274" t="s">
        <v>12</v>
      </c>
      <c r="C1274" t="s">
        <v>35</v>
      </c>
      <c r="D1274" t="s">
        <v>13</v>
      </c>
      <c r="E1274" t="s">
        <v>14</v>
      </c>
      <c r="F1274">
        <v>1320</v>
      </c>
      <c r="G1274">
        <v>86</v>
      </c>
      <c r="H1274" s="6">
        <f t="shared" si="85"/>
        <v>113.52</v>
      </c>
    </row>
    <row r="1275" spans="1:8" hidden="1" x14ac:dyDescent="0.3">
      <c r="A1275" s="9">
        <v>45050</v>
      </c>
      <c r="B1275" t="s">
        <v>8</v>
      </c>
      <c r="C1275" t="s">
        <v>35</v>
      </c>
      <c r="D1275" t="s">
        <v>13</v>
      </c>
      <c r="E1275" t="s">
        <v>44</v>
      </c>
      <c r="F1275">
        <v>2540</v>
      </c>
      <c r="G1275">
        <v>19</v>
      </c>
      <c r="H1275" s="6">
        <f t="shared" si="85"/>
        <v>48.26</v>
      </c>
    </row>
    <row r="1276" spans="1:8" hidden="1" x14ac:dyDescent="0.3">
      <c r="A1276" s="13" t="s">
        <v>138</v>
      </c>
      <c r="H1276" s="6">
        <f>SUBTOTAL(9,H1267:H1275)</f>
        <v>0</v>
      </c>
    </row>
    <row r="1277" spans="1:8" hidden="1" x14ac:dyDescent="0.3">
      <c r="A1277" s="9">
        <v>45051</v>
      </c>
      <c r="B1277" t="s">
        <v>12</v>
      </c>
      <c r="C1277" t="s">
        <v>9</v>
      </c>
      <c r="D1277" t="s">
        <v>18</v>
      </c>
      <c r="E1277" t="s">
        <v>28</v>
      </c>
      <c r="F1277">
        <v>690</v>
      </c>
      <c r="G1277">
        <v>34</v>
      </c>
      <c r="H1277" s="6">
        <f t="shared" ref="H1277:H1284" si="86">F1277*G1277/1000</f>
        <v>23.46</v>
      </c>
    </row>
    <row r="1278" spans="1:8" hidden="1" x14ac:dyDescent="0.3">
      <c r="A1278" s="9">
        <v>45051</v>
      </c>
      <c r="B1278" t="s">
        <v>17</v>
      </c>
      <c r="C1278" t="s">
        <v>9</v>
      </c>
      <c r="D1278" t="s">
        <v>24</v>
      </c>
      <c r="E1278" t="s">
        <v>30</v>
      </c>
      <c r="F1278">
        <v>2970</v>
      </c>
      <c r="G1278">
        <v>6</v>
      </c>
      <c r="H1278" s="6">
        <f t="shared" si="86"/>
        <v>17.82</v>
      </c>
    </row>
    <row r="1279" spans="1:8" hidden="1" x14ac:dyDescent="0.3">
      <c r="A1279" s="9">
        <v>45051</v>
      </c>
      <c r="B1279" t="s">
        <v>17</v>
      </c>
      <c r="C1279" t="s">
        <v>26</v>
      </c>
      <c r="D1279" t="s">
        <v>10</v>
      </c>
      <c r="E1279" t="s">
        <v>41</v>
      </c>
      <c r="F1279">
        <v>650</v>
      </c>
      <c r="G1279">
        <v>72</v>
      </c>
      <c r="H1279" s="6">
        <f t="shared" si="86"/>
        <v>46.8</v>
      </c>
    </row>
    <row r="1280" spans="1:8" hidden="1" x14ac:dyDescent="0.3">
      <c r="A1280" s="9">
        <v>45051</v>
      </c>
      <c r="B1280" t="s">
        <v>17</v>
      </c>
      <c r="C1280" t="s">
        <v>26</v>
      </c>
      <c r="D1280" t="s">
        <v>13</v>
      </c>
      <c r="E1280" t="s">
        <v>29</v>
      </c>
      <c r="F1280">
        <v>1230</v>
      </c>
      <c r="G1280">
        <v>84</v>
      </c>
      <c r="H1280" s="6">
        <f t="shared" si="86"/>
        <v>103.32</v>
      </c>
    </row>
    <row r="1281" spans="1:8" hidden="1" x14ac:dyDescent="0.3">
      <c r="A1281" s="9">
        <v>45051</v>
      </c>
      <c r="B1281" t="s">
        <v>8</v>
      </c>
      <c r="C1281" t="s">
        <v>15</v>
      </c>
      <c r="D1281" t="s">
        <v>18</v>
      </c>
      <c r="E1281" t="s">
        <v>28</v>
      </c>
      <c r="F1281">
        <v>690</v>
      </c>
      <c r="G1281">
        <v>60</v>
      </c>
      <c r="H1281" s="6">
        <f t="shared" si="86"/>
        <v>41.4</v>
      </c>
    </row>
    <row r="1282" spans="1:8" hidden="1" x14ac:dyDescent="0.3">
      <c r="A1282" s="9">
        <v>45051</v>
      </c>
      <c r="B1282" t="s">
        <v>12</v>
      </c>
      <c r="C1282" t="s">
        <v>35</v>
      </c>
      <c r="D1282" t="s">
        <v>10</v>
      </c>
      <c r="E1282" t="s">
        <v>39</v>
      </c>
      <c r="F1282">
        <v>650</v>
      </c>
      <c r="G1282">
        <v>42</v>
      </c>
      <c r="H1282" s="6">
        <f t="shared" si="86"/>
        <v>27.3</v>
      </c>
    </row>
    <row r="1283" spans="1:8" hidden="1" x14ac:dyDescent="0.3">
      <c r="A1283" s="9">
        <v>45051</v>
      </c>
      <c r="B1283" t="s">
        <v>17</v>
      </c>
      <c r="C1283" t="s">
        <v>35</v>
      </c>
      <c r="D1283" t="s">
        <v>13</v>
      </c>
      <c r="E1283" t="s">
        <v>22</v>
      </c>
      <c r="F1283">
        <v>930</v>
      </c>
      <c r="G1283">
        <v>39</v>
      </c>
      <c r="H1283" s="6">
        <f t="shared" si="86"/>
        <v>36.270000000000003</v>
      </c>
    </row>
    <row r="1284" spans="1:8" hidden="1" x14ac:dyDescent="0.3">
      <c r="A1284" s="9">
        <v>45051</v>
      </c>
      <c r="B1284" t="s">
        <v>12</v>
      </c>
      <c r="C1284" t="s">
        <v>35</v>
      </c>
      <c r="D1284" t="s">
        <v>24</v>
      </c>
      <c r="E1284" t="s">
        <v>32</v>
      </c>
      <c r="F1284">
        <v>1505</v>
      </c>
      <c r="G1284">
        <v>9</v>
      </c>
      <c r="H1284" s="6">
        <f t="shared" si="86"/>
        <v>13.545</v>
      </c>
    </row>
    <row r="1285" spans="1:8" hidden="1" x14ac:dyDescent="0.3">
      <c r="A1285" s="13" t="s">
        <v>139</v>
      </c>
      <c r="H1285" s="6">
        <f>SUBTOTAL(9,H1277:H1284)</f>
        <v>0</v>
      </c>
    </row>
    <row r="1286" spans="1:8" hidden="1" x14ac:dyDescent="0.3">
      <c r="A1286" s="9">
        <v>45052</v>
      </c>
      <c r="B1286" t="s">
        <v>12</v>
      </c>
      <c r="C1286" t="s">
        <v>20</v>
      </c>
      <c r="D1286" t="s">
        <v>18</v>
      </c>
      <c r="E1286" t="s">
        <v>19</v>
      </c>
      <c r="F1286">
        <v>325</v>
      </c>
      <c r="G1286">
        <v>14</v>
      </c>
      <c r="H1286" s="6">
        <f t="shared" ref="H1286:H1297" si="87">F1286*G1286/1000</f>
        <v>4.55</v>
      </c>
    </row>
    <row r="1287" spans="1:8" hidden="1" x14ac:dyDescent="0.3">
      <c r="A1287" s="9">
        <v>45052</v>
      </c>
      <c r="B1287" t="s">
        <v>12</v>
      </c>
      <c r="C1287" t="s">
        <v>9</v>
      </c>
      <c r="D1287" t="s">
        <v>10</v>
      </c>
      <c r="E1287" t="s">
        <v>41</v>
      </c>
      <c r="F1287">
        <v>650</v>
      </c>
      <c r="G1287">
        <v>73</v>
      </c>
      <c r="H1287" s="6">
        <f t="shared" si="87"/>
        <v>47.45</v>
      </c>
    </row>
    <row r="1288" spans="1:8" hidden="1" x14ac:dyDescent="0.3">
      <c r="A1288" s="9">
        <v>45052</v>
      </c>
      <c r="B1288" t="s">
        <v>45</v>
      </c>
      <c r="C1288" t="s">
        <v>9</v>
      </c>
      <c r="D1288" t="s">
        <v>18</v>
      </c>
      <c r="E1288" t="s">
        <v>21</v>
      </c>
      <c r="F1288">
        <v>450</v>
      </c>
      <c r="G1288">
        <v>98</v>
      </c>
      <c r="H1288" s="6">
        <f t="shared" si="87"/>
        <v>44.1</v>
      </c>
    </row>
    <row r="1289" spans="1:8" hidden="1" x14ac:dyDescent="0.3">
      <c r="A1289" s="9">
        <v>45052</v>
      </c>
      <c r="B1289" t="s">
        <v>12</v>
      </c>
      <c r="C1289" t="s">
        <v>9</v>
      </c>
      <c r="D1289" t="s">
        <v>24</v>
      </c>
      <c r="E1289" t="s">
        <v>36</v>
      </c>
      <c r="F1289">
        <v>2460</v>
      </c>
      <c r="G1289">
        <v>21</v>
      </c>
      <c r="H1289" s="6">
        <f t="shared" si="87"/>
        <v>51.66</v>
      </c>
    </row>
    <row r="1290" spans="1:8" hidden="1" x14ac:dyDescent="0.3">
      <c r="A1290" s="9">
        <v>45052</v>
      </c>
      <c r="B1290" t="s">
        <v>12</v>
      </c>
      <c r="C1290" t="s">
        <v>26</v>
      </c>
      <c r="D1290" t="s">
        <v>10</v>
      </c>
      <c r="E1290" t="s">
        <v>41</v>
      </c>
      <c r="F1290">
        <v>650</v>
      </c>
      <c r="G1290">
        <v>88</v>
      </c>
      <c r="H1290" s="6">
        <f t="shared" si="87"/>
        <v>57.2</v>
      </c>
    </row>
    <row r="1291" spans="1:8" hidden="1" x14ac:dyDescent="0.3">
      <c r="A1291" s="9">
        <v>45052</v>
      </c>
      <c r="B1291" t="s">
        <v>8</v>
      </c>
      <c r="C1291" t="s">
        <v>26</v>
      </c>
      <c r="D1291" t="s">
        <v>13</v>
      </c>
      <c r="E1291" t="s">
        <v>43</v>
      </c>
      <c r="F1291">
        <v>1420</v>
      </c>
      <c r="G1291">
        <v>89</v>
      </c>
      <c r="H1291" s="6">
        <f t="shared" si="87"/>
        <v>126.38</v>
      </c>
    </row>
    <row r="1292" spans="1:8" hidden="1" x14ac:dyDescent="0.3">
      <c r="A1292" s="9">
        <v>45052</v>
      </c>
      <c r="B1292" t="s">
        <v>45</v>
      </c>
      <c r="C1292" t="s">
        <v>26</v>
      </c>
      <c r="D1292" t="s">
        <v>24</v>
      </c>
      <c r="E1292" t="s">
        <v>34</v>
      </c>
      <c r="F1292">
        <v>1670</v>
      </c>
      <c r="G1292">
        <v>64</v>
      </c>
      <c r="H1292" s="6">
        <f t="shared" si="87"/>
        <v>106.88</v>
      </c>
    </row>
    <row r="1293" spans="1:8" hidden="1" x14ac:dyDescent="0.3">
      <c r="A1293" s="9">
        <v>45052</v>
      </c>
      <c r="B1293" t="s">
        <v>17</v>
      </c>
      <c r="C1293" t="s">
        <v>15</v>
      </c>
      <c r="D1293" t="s">
        <v>10</v>
      </c>
      <c r="E1293" t="s">
        <v>39</v>
      </c>
      <c r="F1293">
        <v>650</v>
      </c>
      <c r="G1293">
        <v>100</v>
      </c>
      <c r="H1293" s="6">
        <f t="shared" si="87"/>
        <v>65</v>
      </c>
    </row>
    <row r="1294" spans="1:8" hidden="1" x14ac:dyDescent="0.3">
      <c r="A1294" s="9">
        <v>45052</v>
      </c>
      <c r="B1294" t="s">
        <v>45</v>
      </c>
      <c r="C1294" t="s">
        <v>33</v>
      </c>
      <c r="D1294" t="s">
        <v>10</v>
      </c>
      <c r="E1294" t="s">
        <v>16</v>
      </c>
      <c r="F1294">
        <v>1380</v>
      </c>
      <c r="G1294">
        <v>86</v>
      </c>
      <c r="H1294" s="6">
        <f t="shared" si="87"/>
        <v>118.68</v>
      </c>
    </row>
    <row r="1295" spans="1:8" hidden="1" x14ac:dyDescent="0.3">
      <c r="A1295" s="9">
        <v>45052</v>
      </c>
      <c r="B1295" t="s">
        <v>45</v>
      </c>
      <c r="C1295" t="s">
        <v>33</v>
      </c>
      <c r="D1295" t="s">
        <v>18</v>
      </c>
      <c r="E1295" t="s">
        <v>27</v>
      </c>
      <c r="F1295">
        <v>460</v>
      </c>
      <c r="G1295">
        <v>51</v>
      </c>
      <c r="H1295" s="6">
        <f t="shared" si="87"/>
        <v>23.46</v>
      </c>
    </row>
    <row r="1296" spans="1:8" hidden="1" x14ac:dyDescent="0.3">
      <c r="A1296" s="9">
        <v>45052</v>
      </c>
      <c r="B1296" t="s">
        <v>8</v>
      </c>
      <c r="C1296" t="s">
        <v>33</v>
      </c>
      <c r="D1296" t="s">
        <v>24</v>
      </c>
      <c r="E1296" t="s">
        <v>25</v>
      </c>
      <c r="F1296">
        <v>1760</v>
      </c>
      <c r="G1296">
        <v>82</v>
      </c>
      <c r="H1296" s="6">
        <f t="shared" si="87"/>
        <v>144.32</v>
      </c>
    </row>
    <row r="1297" spans="1:8" hidden="1" x14ac:dyDescent="0.3">
      <c r="A1297" s="9">
        <v>45052</v>
      </c>
      <c r="B1297" t="s">
        <v>45</v>
      </c>
      <c r="C1297" t="s">
        <v>33</v>
      </c>
      <c r="D1297" t="s">
        <v>24</v>
      </c>
      <c r="E1297" t="s">
        <v>34</v>
      </c>
      <c r="F1297">
        <v>1670</v>
      </c>
      <c r="G1297">
        <v>76</v>
      </c>
      <c r="H1297" s="6">
        <f t="shared" si="87"/>
        <v>126.92</v>
      </c>
    </row>
    <row r="1298" spans="1:8" hidden="1" x14ac:dyDescent="0.3">
      <c r="A1298" s="13" t="s">
        <v>140</v>
      </c>
      <c r="H1298" s="6">
        <f>SUBTOTAL(9,H1286:H1297)</f>
        <v>0</v>
      </c>
    </row>
    <row r="1299" spans="1:8" hidden="1" x14ac:dyDescent="0.3">
      <c r="A1299" s="9">
        <v>45053</v>
      </c>
      <c r="B1299" t="s">
        <v>8</v>
      </c>
      <c r="C1299" t="s">
        <v>9</v>
      </c>
      <c r="D1299" t="s">
        <v>13</v>
      </c>
      <c r="E1299" t="s">
        <v>22</v>
      </c>
      <c r="F1299">
        <v>930</v>
      </c>
      <c r="G1299">
        <v>38</v>
      </c>
      <c r="H1299" s="6">
        <f>F1299*G1299/1000</f>
        <v>35.340000000000003</v>
      </c>
    </row>
    <row r="1300" spans="1:8" hidden="1" x14ac:dyDescent="0.3">
      <c r="A1300" s="9">
        <v>45053</v>
      </c>
      <c r="B1300" t="s">
        <v>45</v>
      </c>
      <c r="C1300" t="s">
        <v>9</v>
      </c>
      <c r="D1300" t="s">
        <v>24</v>
      </c>
      <c r="E1300" t="s">
        <v>36</v>
      </c>
      <c r="F1300">
        <v>2460</v>
      </c>
      <c r="G1300">
        <v>50</v>
      </c>
      <c r="H1300" s="6">
        <f>F1300*G1300/1000</f>
        <v>123</v>
      </c>
    </row>
    <row r="1301" spans="1:8" hidden="1" x14ac:dyDescent="0.3">
      <c r="A1301" s="9">
        <v>45053</v>
      </c>
      <c r="B1301" t="s">
        <v>45</v>
      </c>
      <c r="C1301" t="s">
        <v>33</v>
      </c>
      <c r="D1301" t="s">
        <v>24</v>
      </c>
      <c r="E1301" t="s">
        <v>25</v>
      </c>
      <c r="F1301">
        <v>1760</v>
      </c>
      <c r="G1301">
        <v>69</v>
      </c>
      <c r="H1301" s="6">
        <f>F1301*G1301/1000</f>
        <v>121.44</v>
      </c>
    </row>
    <row r="1302" spans="1:8" hidden="1" x14ac:dyDescent="0.3">
      <c r="A1302" s="9">
        <v>45053</v>
      </c>
      <c r="B1302" t="s">
        <v>8</v>
      </c>
      <c r="C1302" t="s">
        <v>35</v>
      </c>
      <c r="D1302" t="s">
        <v>10</v>
      </c>
      <c r="E1302" t="s">
        <v>41</v>
      </c>
      <c r="F1302">
        <v>650</v>
      </c>
      <c r="G1302">
        <v>12</v>
      </c>
      <c r="H1302" s="6">
        <f>F1302*G1302/1000</f>
        <v>7.8</v>
      </c>
    </row>
    <row r="1303" spans="1:8" hidden="1" x14ac:dyDescent="0.3">
      <c r="A1303" s="9">
        <v>45053</v>
      </c>
      <c r="B1303" t="s">
        <v>8</v>
      </c>
      <c r="C1303" t="s">
        <v>35</v>
      </c>
      <c r="D1303" t="s">
        <v>24</v>
      </c>
      <c r="E1303" t="s">
        <v>32</v>
      </c>
      <c r="F1303">
        <v>1505</v>
      </c>
      <c r="G1303">
        <v>42</v>
      </c>
      <c r="H1303" s="6">
        <f>F1303*G1303/1000</f>
        <v>63.21</v>
      </c>
    </row>
    <row r="1304" spans="1:8" hidden="1" x14ac:dyDescent="0.3">
      <c r="A1304" s="13" t="s">
        <v>141</v>
      </c>
      <c r="H1304" s="6">
        <f>SUBTOTAL(9,H1299:H1303)</f>
        <v>0</v>
      </c>
    </row>
    <row r="1305" spans="1:8" hidden="1" x14ac:dyDescent="0.3">
      <c r="A1305" s="10">
        <v>45054</v>
      </c>
      <c r="B1305" s="11" t="s">
        <v>45</v>
      </c>
      <c r="C1305" s="11" t="s">
        <v>20</v>
      </c>
      <c r="D1305" s="11" t="s">
        <v>10</v>
      </c>
      <c r="E1305" s="11" t="s">
        <v>11</v>
      </c>
      <c r="F1305" s="11">
        <v>705</v>
      </c>
      <c r="G1305" s="11">
        <v>43</v>
      </c>
      <c r="H1305" s="6">
        <f t="shared" ref="H1305:H1311" si="88">F1305*G1305/1000</f>
        <v>30.315000000000001</v>
      </c>
    </row>
    <row r="1306" spans="1:8" hidden="1" x14ac:dyDescent="0.3">
      <c r="A1306" s="9">
        <v>45054</v>
      </c>
      <c r="B1306" t="s">
        <v>8</v>
      </c>
      <c r="C1306" t="s">
        <v>15</v>
      </c>
      <c r="D1306" t="s">
        <v>10</v>
      </c>
      <c r="E1306" t="s">
        <v>16</v>
      </c>
      <c r="F1306">
        <v>1380</v>
      </c>
      <c r="G1306">
        <v>83</v>
      </c>
      <c r="H1306" s="6">
        <f t="shared" si="88"/>
        <v>114.54</v>
      </c>
    </row>
    <row r="1307" spans="1:8" hidden="1" x14ac:dyDescent="0.3">
      <c r="A1307" s="9">
        <v>45054</v>
      </c>
      <c r="B1307" t="s">
        <v>12</v>
      </c>
      <c r="C1307" t="s">
        <v>15</v>
      </c>
      <c r="D1307" t="s">
        <v>18</v>
      </c>
      <c r="E1307" t="s">
        <v>27</v>
      </c>
      <c r="F1307">
        <v>460</v>
      </c>
      <c r="G1307">
        <v>49</v>
      </c>
      <c r="H1307" s="6">
        <f t="shared" si="88"/>
        <v>22.54</v>
      </c>
    </row>
    <row r="1308" spans="1:8" hidden="1" x14ac:dyDescent="0.3">
      <c r="A1308" s="9">
        <v>45054</v>
      </c>
      <c r="B1308" t="s">
        <v>45</v>
      </c>
      <c r="C1308" t="s">
        <v>33</v>
      </c>
      <c r="D1308" t="s">
        <v>13</v>
      </c>
      <c r="E1308" t="s">
        <v>22</v>
      </c>
      <c r="F1308">
        <v>930</v>
      </c>
      <c r="G1308">
        <v>49</v>
      </c>
      <c r="H1308" s="6">
        <f t="shared" si="88"/>
        <v>45.57</v>
      </c>
    </row>
    <row r="1309" spans="1:8" hidden="1" x14ac:dyDescent="0.3">
      <c r="A1309" s="9">
        <v>45054</v>
      </c>
      <c r="B1309" t="s">
        <v>8</v>
      </c>
      <c r="C1309" t="s">
        <v>35</v>
      </c>
      <c r="D1309" t="s">
        <v>10</v>
      </c>
      <c r="E1309" t="s">
        <v>39</v>
      </c>
      <c r="F1309">
        <v>650</v>
      </c>
      <c r="G1309">
        <v>12</v>
      </c>
      <c r="H1309" s="6">
        <f t="shared" si="88"/>
        <v>7.8</v>
      </c>
    </row>
    <row r="1310" spans="1:8" hidden="1" x14ac:dyDescent="0.3">
      <c r="A1310" s="9">
        <v>45054</v>
      </c>
      <c r="B1310" t="s">
        <v>17</v>
      </c>
      <c r="C1310" t="s">
        <v>35</v>
      </c>
      <c r="D1310" t="s">
        <v>18</v>
      </c>
      <c r="E1310" t="s">
        <v>28</v>
      </c>
      <c r="F1310">
        <v>690</v>
      </c>
      <c r="G1310">
        <v>61</v>
      </c>
      <c r="H1310" s="6">
        <f t="shared" si="88"/>
        <v>42.09</v>
      </c>
    </row>
    <row r="1311" spans="1:8" hidden="1" x14ac:dyDescent="0.3">
      <c r="A1311" s="9">
        <v>45054</v>
      </c>
      <c r="B1311" t="s">
        <v>8</v>
      </c>
      <c r="C1311" t="s">
        <v>35</v>
      </c>
      <c r="D1311" t="s">
        <v>13</v>
      </c>
      <c r="E1311" t="s">
        <v>43</v>
      </c>
      <c r="F1311">
        <v>1420</v>
      </c>
      <c r="G1311">
        <v>57</v>
      </c>
      <c r="H1311" s="6">
        <f t="shared" si="88"/>
        <v>80.94</v>
      </c>
    </row>
    <row r="1312" spans="1:8" hidden="1" x14ac:dyDescent="0.3">
      <c r="A1312" s="13" t="s">
        <v>142</v>
      </c>
      <c r="H1312" s="6">
        <f>SUBTOTAL(9,H1305:H1311)</f>
        <v>0</v>
      </c>
    </row>
    <row r="1313" spans="1:8" hidden="1" x14ac:dyDescent="0.3">
      <c r="A1313" s="9">
        <v>45055</v>
      </c>
      <c r="B1313" t="s">
        <v>12</v>
      </c>
      <c r="C1313" t="s">
        <v>20</v>
      </c>
      <c r="D1313" t="s">
        <v>24</v>
      </c>
      <c r="E1313" t="s">
        <v>42</v>
      </c>
      <c r="F1313">
        <v>3205</v>
      </c>
      <c r="G1313">
        <v>63</v>
      </c>
      <c r="H1313" s="6">
        <f t="shared" ref="H1313:H1321" si="89">F1313*G1313/1000</f>
        <v>201.91499999999999</v>
      </c>
    </row>
    <row r="1314" spans="1:8" hidden="1" x14ac:dyDescent="0.3">
      <c r="A1314" s="9">
        <v>45055</v>
      </c>
      <c r="B1314" t="s">
        <v>45</v>
      </c>
      <c r="C1314" t="s">
        <v>9</v>
      </c>
      <c r="D1314" t="s">
        <v>13</v>
      </c>
      <c r="E1314" t="s">
        <v>44</v>
      </c>
      <c r="F1314">
        <v>2540</v>
      </c>
      <c r="G1314">
        <v>78</v>
      </c>
      <c r="H1314" s="6">
        <f t="shared" si="89"/>
        <v>198.12</v>
      </c>
    </row>
    <row r="1315" spans="1:8" hidden="1" x14ac:dyDescent="0.3">
      <c r="A1315" s="9">
        <v>45055</v>
      </c>
      <c r="B1315" t="s">
        <v>17</v>
      </c>
      <c r="C1315" t="s">
        <v>15</v>
      </c>
      <c r="D1315" t="s">
        <v>10</v>
      </c>
      <c r="E1315" t="s">
        <v>23</v>
      </c>
      <c r="F1315">
        <v>640</v>
      </c>
      <c r="G1315">
        <v>93</v>
      </c>
      <c r="H1315" s="6">
        <f t="shared" si="89"/>
        <v>59.52</v>
      </c>
    </row>
    <row r="1316" spans="1:8" hidden="1" x14ac:dyDescent="0.3">
      <c r="A1316" s="9">
        <v>45055</v>
      </c>
      <c r="B1316" t="s">
        <v>12</v>
      </c>
      <c r="C1316" t="s">
        <v>15</v>
      </c>
      <c r="D1316" t="s">
        <v>10</v>
      </c>
      <c r="E1316" t="s">
        <v>41</v>
      </c>
      <c r="F1316">
        <v>650</v>
      </c>
      <c r="G1316">
        <v>84</v>
      </c>
      <c r="H1316" s="6">
        <f t="shared" si="89"/>
        <v>54.6</v>
      </c>
    </row>
    <row r="1317" spans="1:8" hidden="1" x14ac:dyDescent="0.3">
      <c r="A1317" s="9">
        <v>45055</v>
      </c>
      <c r="B1317" t="s">
        <v>8</v>
      </c>
      <c r="C1317" t="s">
        <v>15</v>
      </c>
      <c r="D1317" t="s">
        <v>24</v>
      </c>
      <c r="E1317" t="s">
        <v>32</v>
      </c>
      <c r="F1317">
        <v>1505</v>
      </c>
      <c r="G1317">
        <v>19</v>
      </c>
      <c r="H1317" s="6">
        <f t="shared" si="89"/>
        <v>28.594999999999999</v>
      </c>
    </row>
    <row r="1318" spans="1:8" hidden="1" x14ac:dyDescent="0.3">
      <c r="A1318" s="9">
        <v>45055</v>
      </c>
      <c r="B1318" t="s">
        <v>17</v>
      </c>
      <c r="C1318" t="s">
        <v>15</v>
      </c>
      <c r="D1318" t="s">
        <v>24</v>
      </c>
      <c r="E1318" t="s">
        <v>42</v>
      </c>
      <c r="F1318">
        <v>3205</v>
      </c>
      <c r="G1318">
        <v>27</v>
      </c>
      <c r="H1318" s="6">
        <f t="shared" si="89"/>
        <v>86.534999999999997</v>
      </c>
    </row>
    <row r="1319" spans="1:8" hidden="1" x14ac:dyDescent="0.3">
      <c r="A1319" s="9">
        <v>45055</v>
      </c>
      <c r="B1319" t="s">
        <v>12</v>
      </c>
      <c r="C1319" t="s">
        <v>33</v>
      </c>
      <c r="D1319" t="s">
        <v>24</v>
      </c>
      <c r="E1319" t="s">
        <v>42</v>
      </c>
      <c r="F1319">
        <v>3205</v>
      </c>
      <c r="G1319">
        <v>81</v>
      </c>
      <c r="H1319" s="6">
        <f t="shared" si="89"/>
        <v>259.60500000000002</v>
      </c>
    </row>
    <row r="1320" spans="1:8" hidden="1" x14ac:dyDescent="0.3">
      <c r="A1320" s="9">
        <v>45055</v>
      </c>
      <c r="B1320" t="s">
        <v>45</v>
      </c>
      <c r="C1320" t="s">
        <v>35</v>
      </c>
      <c r="D1320" t="s">
        <v>10</v>
      </c>
      <c r="E1320" t="s">
        <v>23</v>
      </c>
      <c r="F1320">
        <v>640</v>
      </c>
      <c r="G1320">
        <v>85</v>
      </c>
      <c r="H1320" s="6">
        <f t="shared" si="89"/>
        <v>54.4</v>
      </c>
    </row>
    <row r="1321" spans="1:8" hidden="1" x14ac:dyDescent="0.3">
      <c r="A1321" s="9">
        <v>45055</v>
      </c>
      <c r="B1321" t="s">
        <v>17</v>
      </c>
      <c r="C1321" t="s">
        <v>35</v>
      </c>
      <c r="D1321" t="s">
        <v>13</v>
      </c>
      <c r="E1321" t="s">
        <v>43</v>
      </c>
      <c r="F1321">
        <v>1420</v>
      </c>
      <c r="G1321">
        <v>14</v>
      </c>
      <c r="H1321" s="6">
        <f t="shared" si="89"/>
        <v>19.88</v>
      </c>
    </row>
    <row r="1322" spans="1:8" hidden="1" x14ac:dyDescent="0.3">
      <c r="A1322" s="13" t="s">
        <v>143</v>
      </c>
      <c r="H1322" s="6">
        <f>SUBTOTAL(9,H1313:H1321)</f>
        <v>0</v>
      </c>
    </row>
    <row r="1323" spans="1:8" hidden="1" x14ac:dyDescent="0.3">
      <c r="A1323" s="10">
        <v>45056</v>
      </c>
      <c r="B1323" s="11" t="s">
        <v>45</v>
      </c>
      <c r="C1323" s="11" t="s">
        <v>20</v>
      </c>
      <c r="D1323" s="11" t="s">
        <v>24</v>
      </c>
      <c r="E1323" s="11" t="s">
        <v>42</v>
      </c>
      <c r="F1323" s="11">
        <v>3205</v>
      </c>
      <c r="G1323" s="11">
        <v>43</v>
      </c>
      <c r="H1323" s="6">
        <f>F1323*G1323/1000</f>
        <v>137.815</v>
      </c>
    </row>
    <row r="1324" spans="1:8" hidden="1" x14ac:dyDescent="0.3">
      <c r="A1324" s="9">
        <v>45056</v>
      </c>
      <c r="B1324" t="s">
        <v>12</v>
      </c>
      <c r="C1324" t="s">
        <v>33</v>
      </c>
      <c r="D1324" t="s">
        <v>10</v>
      </c>
      <c r="E1324" t="s">
        <v>39</v>
      </c>
      <c r="F1324">
        <v>650</v>
      </c>
      <c r="G1324">
        <v>31</v>
      </c>
      <c r="H1324" s="6">
        <f>F1324*G1324/1000</f>
        <v>20.149999999999999</v>
      </c>
    </row>
    <row r="1325" spans="1:8" hidden="1" x14ac:dyDescent="0.3">
      <c r="A1325" s="9">
        <v>45056</v>
      </c>
      <c r="B1325" t="s">
        <v>12</v>
      </c>
      <c r="C1325" t="s">
        <v>33</v>
      </c>
      <c r="D1325" t="s">
        <v>18</v>
      </c>
      <c r="E1325" t="s">
        <v>28</v>
      </c>
      <c r="F1325">
        <v>690</v>
      </c>
      <c r="G1325">
        <v>82</v>
      </c>
      <c r="H1325" s="6">
        <f>F1325*G1325/1000</f>
        <v>56.58</v>
      </c>
    </row>
    <row r="1326" spans="1:8" hidden="1" x14ac:dyDescent="0.3">
      <c r="A1326" s="9">
        <v>45056</v>
      </c>
      <c r="B1326" t="s">
        <v>8</v>
      </c>
      <c r="C1326" t="s">
        <v>33</v>
      </c>
      <c r="D1326" t="s">
        <v>13</v>
      </c>
      <c r="E1326" t="s">
        <v>29</v>
      </c>
      <c r="F1326">
        <v>1230</v>
      </c>
      <c r="G1326">
        <v>84</v>
      </c>
      <c r="H1326" s="6">
        <f>F1326*G1326/1000</f>
        <v>103.32</v>
      </c>
    </row>
    <row r="1327" spans="1:8" hidden="1" x14ac:dyDescent="0.3">
      <c r="A1327" s="9">
        <v>45056</v>
      </c>
      <c r="B1327" t="s">
        <v>12</v>
      </c>
      <c r="C1327" t="s">
        <v>35</v>
      </c>
      <c r="D1327" t="s">
        <v>10</v>
      </c>
      <c r="E1327" t="s">
        <v>41</v>
      </c>
      <c r="F1327">
        <v>650</v>
      </c>
      <c r="G1327">
        <v>89</v>
      </c>
      <c r="H1327" s="6">
        <f>F1327*G1327/1000</f>
        <v>57.85</v>
      </c>
    </row>
    <row r="1328" spans="1:8" hidden="1" x14ac:dyDescent="0.3">
      <c r="A1328" s="13" t="s">
        <v>144</v>
      </c>
      <c r="H1328" s="6">
        <f>SUBTOTAL(9,H1323:H1327)</f>
        <v>0</v>
      </c>
    </row>
    <row r="1329" spans="1:8" hidden="1" x14ac:dyDescent="0.3">
      <c r="A1329" s="9">
        <v>45057</v>
      </c>
      <c r="B1329" t="s">
        <v>12</v>
      </c>
      <c r="C1329" t="s">
        <v>20</v>
      </c>
      <c r="D1329" t="s">
        <v>18</v>
      </c>
      <c r="E1329" t="s">
        <v>28</v>
      </c>
      <c r="F1329">
        <v>690</v>
      </c>
      <c r="G1329">
        <v>15</v>
      </c>
      <c r="H1329" s="6">
        <f t="shared" ref="H1329:H1334" si="90">F1329*G1329/1000</f>
        <v>10.35</v>
      </c>
    </row>
    <row r="1330" spans="1:8" hidden="1" x14ac:dyDescent="0.3">
      <c r="A1330" s="10">
        <v>45057</v>
      </c>
      <c r="B1330" s="11" t="s">
        <v>12</v>
      </c>
      <c r="C1330" s="11" t="s">
        <v>20</v>
      </c>
      <c r="D1330" s="11" t="s">
        <v>13</v>
      </c>
      <c r="E1330" s="11" t="s">
        <v>14</v>
      </c>
      <c r="F1330" s="11">
        <v>1320</v>
      </c>
      <c r="G1330" s="11">
        <v>17</v>
      </c>
      <c r="H1330" s="6">
        <f t="shared" si="90"/>
        <v>22.44</v>
      </c>
    </row>
    <row r="1331" spans="1:8" hidden="1" x14ac:dyDescent="0.3">
      <c r="A1331" s="9">
        <v>45057</v>
      </c>
      <c r="B1331" t="s">
        <v>12</v>
      </c>
      <c r="C1331" t="s">
        <v>9</v>
      </c>
      <c r="D1331" t="s">
        <v>13</v>
      </c>
      <c r="E1331" t="s">
        <v>43</v>
      </c>
      <c r="F1331">
        <v>1420</v>
      </c>
      <c r="G1331">
        <v>19</v>
      </c>
      <c r="H1331" s="6">
        <f t="shared" si="90"/>
        <v>26.98</v>
      </c>
    </row>
    <row r="1332" spans="1:8" hidden="1" x14ac:dyDescent="0.3">
      <c r="A1332" s="9">
        <v>45057</v>
      </c>
      <c r="B1332" t="s">
        <v>8</v>
      </c>
      <c r="C1332" t="s">
        <v>35</v>
      </c>
      <c r="D1332" t="s">
        <v>18</v>
      </c>
      <c r="E1332" t="s">
        <v>21</v>
      </c>
      <c r="F1332">
        <v>450</v>
      </c>
      <c r="G1332">
        <v>56</v>
      </c>
      <c r="H1332" s="6">
        <f t="shared" si="90"/>
        <v>25.2</v>
      </c>
    </row>
    <row r="1333" spans="1:8" hidden="1" x14ac:dyDescent="0.3">
      <c r="A1333" s="9">
        <v>45057</v>
      </c>
      <c r="B1333" t="s">
        <v>45</v>
      </c>
      <c r="C1333" t="s">
        <v>35</v>
      </c>
      <c r="D1333" t="s">
        <v>13</v>
      </c>
      <c r="E1333" t="s">
        <v>38</v>
      </c>
      <c r="F1333">
        <v>2400</v>
      </c>
      <c r="G1333">
        <v>95</v>
      </c>
      <c r="H1333" s="6">
        <f t="shared" si="90"/>
        <v>228</v>
      </c>
    </row>
    <row r="1334" spans="1:8" hidden="1" x14ac:dyDescent="0.3">
      <c r="A1334" s="9">
        <v>45057</v>
      </c>
      <c r="B1334" t="s">
        <v>17</v>
      </c>
      <c r="C1334" t="s">
        <v>35</v>
      </c>
      <c r="D1334" t="s">
        <v>24</v>
      </c>
      <c r="E1334" t="s">
        <v>42</v>
      </c>
      <c r="F1334">
        <v>3205</v>
      </c>
      <c r="G1334">
        <v>45</v>
      </c>
      <c r="H1334" s="6">
        <f t="shared" si="90"/>
        <v>144.22499999999999</v>
      </c>
    </row>
    <row r="1335" spans="1:8" hidden="1" x14ac:dyDescent="0.3">
      <c r="A1335" s="13" t="s">
        <v>145</v>
      </c>
      <c r="H1335" s="6">
        <f>SUBTOTAL(9,H1329:H1334)</f>
        <v>0</v>
      </c>
    </row>
    <row r="1336" spans="1:8" hidden="1" x14ac:dyDescent="0.3">
      <c r="A1336" s="9">
        <v>45058</v>
      </c>
      <c r="B1336" t="s">
        <v>12</v>
      </c>
      <c r="C1336" t="s">
        <v>20</v>
      </c>
      <c r="D1336" t="s">
        <v>24</v>
      </c>
      <c r="E1336" t="s">
        <v>42</v>
      </c>
      <c r="F1336">
        <v>3205</v>
      </c>
      <c r="G1336">
        <v>43</v>
      </c>
      <c r="H1336" s="6">
        <f t="shared" ref="H1336:H1341" si="91">F1336*G1336/1000</f>
        <v>137.815</v>
      </c>
    </row>
    <row r="1337" spans="1:8" hidden="1" x14ac:dyDescent="0.3">
      <c r="A1337" s="9">
        <v>45058</v>
      </c>
      <c r="B1337" t="s">
        <v>45</v>
      </c>
      <c r="C1337" t="s">
        <v>9</v>
      </c>
      <c r="D1337" t="s">
        <v>10</v>
      </c>
      <c r="E1337" t="s">
        <v>40</v>
      </c>
      <c r="F1337">
        <v>540</v>
      </c>
      <c r="G1337">
        <v>93</v>
      </c>
      <c r="H1337" s="6">
        <f t="shared" si="91"/>
        <v>50.22</v>
      </c>
    </row>
    <row r="1338" spans="1:8" hidden="1" x14ac:dyDescent="0.3">
      <c r="A1338" s="9">
        <v>45058</v>
      </c>
      <c r="B1338" t="s">
        <v>8</v>
      </c>
      <c r="C1338" t="s">
        <v>26</v>
      </c>
      <c r="D1338" t="s">
        <v>18</v>
      </c>
      <c r="E1338" t="s">
        <v>27</v>
      </c>
      <c r="F1338">
        <v>460</v>
      </c>
      <c r="G1338">
        <v>20</v>
      </c>
      <c r="H1338" s="6">
        <f t="shared" si="91"/>
        <v>9.1999999999999993</v>
      </c>
    </row>
    <row r="1339" spans="1:8" hidden="1" x14ac:dyDescent="0.3">
      <c r="A1339" s="9">
        <v>45058</v>
      </c>
      <c r="B1339" t="s">
        <v>12</v>
      </c>
      <c r="C1339" t="s">
        <v>15</v>
      </c>
      <c r="D1339" t="s">
        <v>18</v>
      </c>
      <c r="E1339" t="s">
        <v>21</v>
      </c>
      <c r="F1339">
        <v>450</v>
      </c>
      <c r="G1339">
        <v>29</v>
      </c>
      <c r="H1339" s="6">
        <f t="shared" si="91"/>
        <v>13.05</v>
      </c>
    </row>
    <row r="1340" spans="1:8" hidden="1" x14ac:dyDescent="0.3">
      <c r="A1340" s="9">
        <v>45058</v>
      </c>
      <c r="B1340" t="s">
        <v>12</v>
      </c>
      <c r="C1340" t="s">
        <v>33</v>
      </c>
      <c r="D1340" t="s">
        <v>10</v>
      </c>
      <c r="E1340" t="s">
        <v>16</v>
      </c>
      <c r="F1340">
        <v>1380</v>
      </c>
      <c r="G1340">
        <v>32</v>
      </c>
      <c r="H1340" s="6">
        <f t="shared" si="91"/>
        <v>44.16</v>
      </c>
    </row>
    <row r="1341" spans="1:8" hidden="1" x14ac:dyDescent="0.3">
      <c r="A1341" s="9">
        <v>45058</v>
      </c>
      <c r="B1341" t="s">
        <v>45</v>
      </c>
      <c r="C1341" t="s">
        <v>35</v>
      </c>
      <c r="D1341" t="s">
        <v>24</v>
      </c>
      <c r="E1341" t="s">
        <v>25</v>
      </c>
      <c r="F1341">
        <v>1760</v>
      </c>
      <c r="G1341">
        <v>52</v>
      </c>
      <c r="H1341" s="6">
        <f t="shared" si="91"/>
        <v>91.52</v>
      </c>
    </row>
    <row r="1342" spans="1:8" hidden="1" x14ac:dyDescent="0.3">
      <c r="A1342" s="13" t="s">
        <v>146</v>
      </c>
      <c r="H1342" s="6">
        <f>SUBTOTAL(9,H1336:H1341)</f>
        <v>0</v>
      </c>
    </row>
    <row r="1343" spans="1:8" hidden="1" x14ac:dyDescent="0.3">
      <c r="A1343" s="10">
        <v>45059</v>
      </c>
      <c r="B1343" s="11" t="s">
        <v>45</v>
      </c>
      <c r="C1343" s="11" t="s">
        <v>20</v>
      </c>
      <c r="D1343" s="11" t="s">
        <v>13</v>
      </c>
      <c r="E1343" s="11" t="s">
        <v>38</v>
      </c>
      <c r="F1343" s="11">
        <v>2400</v>
      </c>
      <c r="G1343" s="11">
        <v>90</v>
      </c>
      <c r="H1343" s="6">
        <f t="shared" ref="H1343:H1354" si="92">F1343*G1343/1000</f>
        <v>216</v>
      </c>
    </row>
    <row r="1344" spans="1:8" hidden="1" x14ac:dyDescent="0.3">
      <c r="A1344" s="9">
        <v>45059</v>
      </c>
      <c r="B1344" t="s">
        <v>12</v>
      </c>
      <c r="C1344" t="s">
        <v>9</v>
      </c>
      <c r="D1344" t="s">
        <v>10</v>
      </c>
      <c r="E1344" t="s">
        <v>11</v>
      </c>
      <c r="F1344">
        <v>705</v>
      </c>
      <c r="G1344">
        <v>54</v>
      </c>
      <c r="H1344" s="6">
        <f t="shared" si="92"/>
        <v>38.07</v>
      </c>
    </row>
    <row r="1345" spans="1:8" hidden="1" x14ac:dyDescent="0.3">
      <c r="A1345" s="9">
        <v>45059</v>
      </c>
      <c r="B1345" t="s">
        <v>45</v>
      </c>
      <c r="C1345" t="s">
        <v>9</v>
      </c>
      <c r="D1345" t="s">
        <v>18</v>
      </c>
      <c r="E1345" t="s">
        <v>37</v>
      </c>
      <c r="F1345">
        <v>890</v>
      </c>
      <c r="G1345">
        <v>51</v>
      </c>
      <c r="H1345" s="6">
        <f t="shared" si="92"/>
        <v>45.39</v>
      </c>
    </row>
    <row r="1346" spans="1:8" hidden="1" x14ac:dyDescent="0.3">
      <c r="A1346" s="9">
        <v>45059</v>
      </c>
      <c r="B1346" t="s">
        <v>8</v>
      </c>
      <c r="C1346" t="s">
        <v>26</v>
      </c>
      <c r="D1346" t="s">
        <v>18</v>
      </c>
      <c r="E1346" t="s">
        <v>31</v>
      </c>
      <c r="F1346">
        <v>715</v>
      </c>
      <c r="G1346">
        <v>39</v>
      </c>
      <c r="H1346" s="6">
        <f t="shared" si="92"/>
        <v>27.885000000000002</v>
      </c>
    </row>
    <row r="1347" spans="1:8" hidden="1" x14ac:dyDescent="0.3">
      <c r="A1347" s="9">
        <v>45059</v>
      </c>
      <c r="B1347" t="s">
        <v>8</v>
      </c>
      <c r="C1347" t="s">
        <v>15</v>
      </c>
      <c r="D1347" t="s">
        <v>10</v>
      </c>
      <c r="E1347" t="s">
        <v>23</v>
      </c>
      <c r="F1347">
        <v>640</v>
      </c>
      <c r="G1347">
        <v>82</v>
      </c>
      <c r="H1347" s="6">
        <f t="shared" si="92"/>
        <v>52.48</v>
      </c>
    </row>
    <row r="1348" spans="1:8" hidden="1" x14ac:dyDescent="0.3">
      <c r="A1348" s="9">
        <v>45059</v>
      </c>
      <c r="B1348" t="s">
        <v>17</v>
      </c>
      <c r="C1348" t="s">
        <v>15</v>
      </c>
      <c r="D1348" t="s">
        <v>10</v>
      </c>
      <c r="E1348" t="s">
        <v>16</v>
      </c>
      <c r="F1348">
        <v>1380</v>
      </c>
      <c r="G1348">
        <v>41</v>
      </c>
      <c r="H1348" s="6">
        <f t="shared" si="92"/>
        <v>56.58</v>
      </c>
    </row>
    <row r="1349" spans="1:8" hidden="1" x14ac:dyDescent="0.3">
      <c r="A1349" s="9">
        <v>45059</v>
      </c>
      <c r="B1349" t="s">
        <v>17</v>
      </c>
      <c r="C1349" t="s">
        <v>15</v>
      </c>
      <c r="D1349" t="s">
        <v>10</v>
      </c>
      <c r="E1349" t="s">
        <v>23</v>
      </c>
      <c r="F1349">
        <v>640</v>
      </c>
      <c r="G1349">
        <v>42</v>
      </c>
      <c r="H1349" s="6">
        <f t="shared" si="92"/>
        <v>26.88</v>
      </c>
    </row>
    <row r="1350" spans="1:8" hidden="1" x14ac:dyDescent="0.3">
      <c r="A1350" s="9">
        <v>45059</v>
      </c>
      <c r="B1350" t="s">
        <v>17</v>
      </c>
      <c r="C1350" t="s">
        <v>15</v>
      </c>
      <c r="D1350" t="s">
        <v>13</v>
      </c>
      <c r="E1350" t="s">
        <v>44</v>
      </c>
      <c r="F1350">
        <v>2540</v>
      </c>
      <c r="G1350">
        <v>87</v>
      </c>
      <c r="H1350" s="6">
        <f t="shared" si="92"/>
        <v>220.98</v>
      </c>
    </row>
    <row r="1351" spans="1:8" hidden="1" x14ac:dyDescent="0.3">
      <c r="A1351" s="9">
        <v>45059</v>
      </c>
      <c r="B1351" t="s">
        <v>45</v>
      </c>
      <c r="C1351" t="s">
        <v>15</v>
      </c>
      <c r="D1351" t="s">
        <v>24</v>
      </c>
      <c r="E1351" t="s">
        <v>32</v>
      </c>
      <c r="F1351">
        <v>1505</v>
      </c>
      <c r="G1351">
        <v>46</v>
      </c>
      <c r="H1351" s="6">
        <f t="shared" si="92"/>
        <v>69.23</v>
      </c>
    </row>
    <row r="1352" spans="1:8" hidden="1" x14ac:dyDescent="0.3">
      <c r="A1352" s="9">
        <v>45059</v>
      </c>
      <c r="B1352" t="s">
        <v>45</v>
      </c>
      <c r="C1352" t="s">
        <v>33</v>
      </c>
      <c r="D1352" t="s">
        <v>13</v>
      </c>
      <c r="E1352" t="s">
        <v>43</v>
      </c>
      <c r="F1352">
        <v>1420</v>
      </c>
      <c r="G1352">
        <v>40</v>
      </c>
      <c r="H1352" s="6">
        <f t="shared" si="92"/>
        <v>56.8</v>
      </c>
    </row>
    <row r="1353" spans="1:8" hidden="1" x14ac:dyDescent="0.3">
      <c r="A1353" s="9">
        <v>45059</v>
      </c>
      <c r="B1353" t="s">
        <v>17</v>
      </c>
      <c r="C1353" t="s">
        <v>35</v>
      </c>
      <c r="D1353" t="s">
        <v>10</v>
      </c>
      <c r="E1353" t="s">
        <v>41</v>
      </c>
      <c r="F1353">
        <v>650</v>
      </c>
      <c r="G1353">
        <v>23</v>
      </c>
      <c r="H1353" s="6">
        <f t="shared" si="92"/>
        <v>14.95</v>
      </c>
    </row>
    <row r="1354" spans="1:8" hidden="1" x14ac:dyDescent="0.3">
      <c r="A1354" s="9">
        <v>45059</v>
      </c>
      <c r="B1354" t="s">
        <v>8</v>
      </c>
      <c r="C1354" t="s">
        <v>35</v>
      </c>
      <c r="D1354" t="s">
        <v>18</v>
      </c>
      <c r="E1354" t="s">
        <v>28</v>
      </c>
      <c r="F1354">
        <v>690</v>
      </c>
      <c r="G1354">
        <v>66</v>
      </c>
      <c r="H1354" s="6">
        <f t="shared" si="92"/>
        <v>45.54</v>
      </c>
    </row>
    <row r="1355" spans="1:8" hidden="1" x14ac:dyDescent="0.3">
      <c r="A1355" s="13" t="s">
        <v>147</v>
      </c>
      <c r="H1355" s="6">
        <f>SUBTOTAL(9,H1343:H1354)</f>
        <v>0</v>
      </c>
    </row>
    <row r="1356" spans="1:8" hidden="1" x14ac:dyDescent="0.3">
      <c r="A1356" s="9">
        <v>45060</v>
      </c>
      <c r="B1356" t="s">
        <v>45</v>
      </c>
      <c r="C1356" t="s">
        <v>20</v>
      </c>
      <c r="D1356" t="s">
        <v>10</v>
      </c>
      <c r="E1356" t="s">
        <v>41</v>
      </c>
      <c r="F1356">
        <v>650</v>
      </c>
      <c r="G1356">
        <v>96</v>
      </c>
      <c r="H1356" s="6">
        <f t="shared" ref="H1356:H1362" si="93">F1356*G1356/1000</f>
        <v>62.4</v>
      </c>
    </row>
    <row r="1357" spans="1:8" hidden="1" x14ac:dyDescent="0.3">
      <c r="A1357" s="9">
        <v>45060</v>
      </c>
      <c r="B1357" t="s">
        <v>8</v>
      </c>
      <c r="C1357" t="s">
        <v>9</v>
      </c>
      <c r="D1357" t="s">
        <v>10</v>
      </c>
      <c r="E1357" t="s">
        <v>41</v>
      </c>
      <c r="F1357">
        <v>650</v>
      </c>
      <c r="G1357">
        <v>32</v>
      </c>
      <c r="H1357" s="6">
        <f t="shared" si="93"/>
        <v>20.8</v>
      </c>
    </row>
    <row r="1358" spans="1:8" hidden="1" x14ac:dyDescent="0.3">
      <c r="A1358" s="9">
        <v>45060</v>
      </c>
      <c r="B1358" t="s">
        <v>8</v>
      </c>
      <c r="C1358" t="s">
        <v>26</v>
      </c>
      <c r="D1358" t="s">
        <v>18</v>
      </c>
      <c r="E1358" t="s">
        <v>37</v>
      </c>
      <c r="F1358">
        <v>890</v>
      </c>
      <c r="G1358">
        <v>38</v>
      </c>
      <c r="H1358" s="6">
        <f t="shared" si="93"/>
        <v>33.82</v>
      </c>
    </row>
    <row r="1359" spans="1:8" hidden="1" x14ac:dyDescent="0.3">
      <c r="A1359" s="9">
        <v>45060</v>
      </c>
      <c r="B1359" t="s">
        <v>45</v>
      </c>
      <c r="C1359" t="s">
        <v>15</v>
      </c>
      <c r="D1359" t="s">
        <v>10</v>
      </c>
      <c r="E1359" t="s">
        <v>40</v>
      </c>
      <c r="F1359">
        <v>540</v>
      </c>
      <c r="G1359">
        <v>73</v>
      </c>
      <c r="H1359" s="6">
        <f t="shared" si="93"/>
        <v>39.42</v>
      </c>
    </row>
    <row r="1360" spans="1:8" hidden="1" x14ac:dyDescent="0.3">
      <c r="A1360" s="9">
        <v>45060</v>
      </c>
      <c r="B1360" t="s">
        <v>8</v>
      </c>
      <c r="C1360" t="s">
        <v>33</v>
      </c>
      <c r="D1360" t="s">
        <v>10</v>
      </c>
      <c r="E1360" t="s">
        <v>40</v>
      </c>
      <c r="F1360">
        <v>540</v>
      </c>
      <c r="G1360">
        <v>81</v>
      </c>
      <c r="H1360" s="6">
        <f t="shared" si="93"/>
        <v>43.74</v>
      </c>
    </row>
    <row r="1361" spans="1:8" hidden="1" x14ac:dyDescent="0.3">
      <c r="A1361" s="9">
        <v>45060</v>
      </c>
      <c r="B1361" t="s">
        <v>12</v>
      </c>
      <c r="C1361" t="s">
        <v>33</v>
      </c>
      <c r="D1361" t="s">
        <v>10</v>
      </c>
      <c r="E1361" t="s">
        <v>40</v>
      </c>
      <c r="F1361">
        <v>540</v>
      </c>
      <c r="G1361">
        <v>36</v>
      </c>
      <c r="H1361" s="6">
        <f t="shared" si="93"/>
        <v>19.440000000000001</v>
      </c>
    </row>
    <row r="1362" spans="1:8" hidden="1" x14ac:dyDescent="0.3">
      <c r="A1362" s="9">
        <v>45060</v>
      </c>
      <c r="B1362" t="s">
        <v>12</v>
      </c>
      <c r="C1362" t="s">
        <v>33</v>
      </c>
      <c r="D1362" t="s">
        <v>13</v>
      </c>
      <c r="E1362" t="s">
        <v>38</v>
      </c>
      <c r="F1362">
        <v>2400</v>
      </c>
      <c r="G1362">
        <v>22</v>
      </c>
      <c r="H1362" s="6">
        <f t="shared" si="93"/>
        <v>52.8</v>
      </c>
    </row>
    <row r="1363" spans="1:8" hidden="1" x14ac:dyDescent="0.3">
      <c r="A1363" s="13" t="s">
        <v>148</v>
      </c>
      <c r="H1363" s="6">
        <f>SUBTOTAL(9,H1356:H1362)</f>
        <v>0</v>
      </c>
    </row>
    <row r="1364" spans="1:8" hidden="1" x14ac:dyDescent="0.3">
      <c r="A1364" s="10">
        <v>45061</v>
      </c>
      <c r="B1364" s="11" t="s">
        <v>8</v>
      </c>
      <c r="C1364" s="11" t="s">
        <v>20</v>
      </c>
      <c r="D1364" s="11" t="s">
        <v>18</v>
      </c>
      <c r="E1364" s="11" t="s">
        <v>37</v>
      </c>
      <c r="F1364" s="11">
        <v>890</v>
      </c>
      <c r="G1364" s="11">
        <v>50</v>
      </c>
      <c r="H1364" s="6">
        <f t="shared" ref="H1364:H1371" si="94">F1364*G1364/1000</f>
        <v>44.5</v>
      </c>
    </row>
    <row r="1365" spans="1:8" hidden="1" x14ac:dyDescent="0.3">
      <c r="A1365" s="9">
        <v>45061</v>
      </c>
      <c r="B1365" t="s">
        <v>17</v>
      </c>
      <c r="C1365" t="s">
        <v>20</v>
      </c>
      <c r="D1365" t="s">
        <v>13</v>
      </c>
      <c r="E1365" t="s">
        <v>14</v>
      </c>
      <c r="F1365">
        <v>1320</v>
      </c>
      <c r="G1365">
        <v>91</v>
      </c>
      <c r="H1365" s="6">
        <f t="shared" si="94"/>
        <v>120.12</v>
      </c>
    </row>
    <row r="1366" spans="1:8" x14ac:dyDescent="0.3">
      <c r="A1366" s="9">
        <v>45061</v>
      </c>
      <c r="B1366" t="s">
        <v>45</v>
      </c>
      <c r="C1366" t="s">
        <v>9</v>
      </c>
      <c r="D1366" t="s">
        <v>13</v>
      </c>
      <c r="E1366" t="s">
        <v>29</v>
      </c>
      <c r="F1366">
        <v>1230</v>
      </c>
      <c r="G1366">
        <v>20</v>
      </c>
      <c r="H1366" s="6">
        <f t="shared" si="94"/>
        <v>24.6</v>
      </c>
    </row>
    <row r="1367" spans="1:8" hidden="1" x14ac:dyDescent="0.3">
      <c r="A1367" s="9">
        <v>45061</v>
      </c>
      <c r="B1367" t="s">
        <v>8</v>
      </c>
      <c r="C1367" t="s">
        <v>9</v>
      </c>
      <c r="D1367" t="s">
        <v>24</v>
      </c>
      <c r="E1367" t="s">
        <v>25</v>
      </c>
      <c r="F1367">
        <v>1760</v>
      </c>
      <c r="G1367">
        <v>44</v>
      </c>
      <c r="H1367" s="6">
        <f t="shared" si="94"/>
        <v>77.44</v>
      </c>
    </row>
    <row r="1368" spans="1:8" hidden="1" x14ac:dyDescent="0.3">
      <c r="A1368" s="9">
        <v>45061</v>
      </c>
      <c r="B1368" t="s">
        <v>8</v>
      </c>
      <c r="C1368" t="s">
        <v>26</v>
      </c>
      <c r="D1368" t="s">
        <v>18</v>
      </c>
      <c r="E1368" t="s">
        <v>31</v>
      </c>
      <c r="F1368">
        <v>715</v>
      </c>
      <c r="G1368">
        <v>31</v>
      </c>
      <c r="H1368" s="6">
        <f t="shared" si="94"/>
        <v>22.164999999999999</v>
      </c>
    </row>
    <row r="1369" spans="1:8" hidden="1" x14ac:dyDescent="0.3">
      <c r="A1369" s="9">
        <v>45061</v>
      </c>
      <c r="B1369" t="s">
        <v>17</v>
      </c>
      <c r="C1369" t="s">
        <v>26</v>
      </c>
      <c r="D1369" t="s">
        <v>24</v>
      </c>
      <c r="E1369" t="s">
        <v>34</v>
      </c>
      <c r="F1369">
        <v>1670</v>
      </c>
      <c r="G1369">
        <v>69</v>
      </c>
      <c r="H1369" s="6">
        <f t="shared" si="94"/>
        <v>115.23</v>
      </c>
    </row>
    <row r="1370" spans="1:8" hidden="1" x14ac:dyDescent="0.3">
      <c r="A1370" s="9">
        <v>45061</v>
      </c>
      <c r="B1370" t="s">
        <v>45</v>
      </c>
      <c r="C1370" t="s">
        <v>15</v>
      </c>
      <c r="D1370" t="s">
        <v>18</v>
      </c>
      <c r="E1370" t="s">
        <v>37</v>
      </c>
      <c r="F1370">
        <v>890</v>
      </c>
      <c r="G1370">
        <v>46</v>
      </c>
      <c r="H1370" s="6">
        <f t="shared" si="94"/>
        <v>40.94</v>
      </c>
    </row>
    <row r="1371" spans="1:8" hidden="1" x14ac:dyDescent="0.3">
      <c r="A1371" s="9">
        <v>45061</v>
      </c>
      <c r="B1371" t="s">
        <v>45</v>
      </c>
      <c r="C1371" t="s">
        <v>33</v>
      </c>
      <c r="D1371" t="s">
        <v>24</v>
      </c>
      <c r="E1371" t="s">
        <v>34</v>
      </c>
      <c r="F1371">
        <v>1670</v>
      </c>
      <c r="G1371">
        <v>18</v>
      </c>
      <c r="H1371" s="6">
        <f t="shared" si="94"/>
        <v>30.06</v>
      </c>
    </row>
    <row r="1372" spans="1:8" hidden="1" x14ac:dyDescent="0.3">
      <c r="A1372" s="13" t="s">
        <v>149</v>
      </c>
      <c r="H1372" s="6">
        <f>SUBTOTAL(9,H1364:H1371)</f>
        <v>24.6</v>
      </c>
    </row>
    <row r="1373" spans="1:8" hidden="1" x14ac:dyDescent="0.3">
      <c r="A1373" s="10">
        <v>45062</v>
      </c>
      <c r="B1373" s="11" t="s">
        <v>45</v>
      </c>
      <c r="C1373" s="11" t="s">
        <v>20</v>
      </c>
      <c r="D1373" s="11" t="s">
        <v>10</v>
      </c>
      <c r="E1373" s="11" t="s">
        <v>16</v>
      </c>
      <c r="F1373" s="11">
        <v>1380</v>
      </c>
      <c r="G1373" s="11">
        <v>43</v>
      </c>
      <c r="H1373" s="6">
        <f t="shared" ref="H1373:H1382" si="95">F1373*G1373/1000</f>
        <v>59.34</v>
      </c>
    </row>
    <row r="1374" spans="1:8" hidden="1" x14ac:dyDescent="0.3">
      <c r="A1374" s="9">
        <v>45062</v>
      </c>
      <c r="B1374" t="s">
        <v>17</v>
      </c>
      <c r="C1374" t="s">
        <v>20</v>
      </c>
      <c r="D1374" t="s">
        <v>13</v>
      </c>
      <c r="E1374" t="s">
        <v>44</v>
      </c>
      <c r="F1374">
        <v>2540</v>
      </c>
      <c r="G1374">
        <v>21</v>
      </c>
      <c r="H1374" s="6">
        <f t="shared" si="95"/>
        <v>53.34</v>
      </c>
    </row>
    <row r="1375" spans="1:8" hidden="1" x14ac:dyDescent="0.3">
      <c r="A1375" s="10">
        <v>45062</v>
      </c>
      <c r="B1375" s="11" t="s">
        <v>17</v>
      </c>
      <c r="C1375" s="11" t="s">
        <v>20</v>
      </c>
      <c r="D1375" s="11" t="s">
        <v>24</v>
      </c>
      <c r="E1375" s="11" t="s">
        <v>36</v>
      </c>
      <c r="F1375" s="11">
        <v>2460</v>
      </c>
      <c r="G1375" s="11">
        <v>72</v>
      </c>
      <c r="H1375" s="6">
        <f t="shared" si="95"/>
        <v>177.12</v>
      </c>
    </row>
    <row r="1376" spans="1:8" hidden="1" x14ac:dyDescent="0.3">
      <c r="A1376" s="9">
        <v>45062</v>
      </c>
      <c r="B1376" t="s">
        <v>12</v>
      </c>
      <c r="C1376" t="s">
        <v>9</v>
      </c>
      <c r="D1376" t="s">
        <v>10</v>
      </c>
      <c r="E1376" t="s">
        <v>16</v>
      </c>
      <c r="F1376">
        <v>1380</v>
      </c>
      <c r="G1376">
        <v>79</v>
      </c>
      <c r="H1376" s="6">
        <f t="shared" si="95"/>
        <v>109.02</v>
      </c>
    </row>
    <row r="1377" spans="1:8" hidden="1" x14ac:dyDescent="0.3">
      <c r="A1377" s="9">
        <v>45062</v>
      </c>
      <c r="B1377" t="s">
        <v>45</v>
      </c>
      <c r="C1377" t="s">
        <v>9</v>
      </c>
      <c r="D1377" t="s">
        <v>10</v>
      </c>
      <c r="E1377" t="s">
        <v>11</v>
      </c>
      <c r="F1377">
        <v>705</v>
      </c>
      <c r="G1377">
        <v>74</v>
      </c>
      <c r="H1377" s="6">
        <f t="shared" si="95"/>
        <v>52.17</v>
      </c>
    </row>
    <row r="1378" spans="1:8" hidden="1" x14ac:dyDescent="0.3">
      <c r="A1378" s="9">
        <v>45062</v>
      </c>
      <c r="B1378" t="s">
        <v>8</v>
      </c>
      <c r="C1378" t="s">
        <v>26</v>
      </c>
      <c r="D1378" t="s">
        <v>10</v>
      </c>
      <c r="E1378" t="s">
        <v>23</v>
      </c>
      <c r="F1378">
        <v>640</v>
      </c>
      <c r="G1378">
        <v>98</v>
      </c>
      <c r="H1378" s="6">
        <f t="shared" si="95"/>
        <v>62.72</v>
      </c>
    </row>
    <row r="1379" spans="1:8" hidden="1" x14ac:dyDescent="0.3">
      <c r="A1379" s="9">
        <v>45062</v>
      </c>
      <c r="B1379" t="s">
        <v>8</v>
      </c>
      <c r="C1379" t="s">
        <v>15</v>
      </c>
      <c r="D1379" t="s">
        <v>24</v>
      </c>
      <c r="E1379" t="s">
        <v>42</v>
      </c>
      <c r="F1379">
        <v>3205</v>
      </c>
      <c r="G1379">
        <v>38</v>
      </c>
      <c r="H1379" s="6">
        <f t="shared" si="95"/>
        <v>121.79</v>
      </c>
    </row>
    <row r="1380" spans="1:8" hidden="1" x14ac:dyDescent="0.3">
      <c r="A1380" s="9">
        <v>45062</v>
      </c>
      <c r="B1380" t="s">
        <v>45</v>
      </c>
      <c r="C1380" t="s">
        <v>33</v>
      </c>
      <c r="D1380" t="s">
        <v>18</v>
      </c>
      <c r="E1380" t="s">
        <v>28</v>
      </c>
      <c r="F1380">
        <v>690</v>
      </c>
      <c r="G1380">
        <v>19</v>
      </c>
      <c r="H1380" s="6">
        <f t="shared" si="95"/>
        <v>13.11</v>
      </c>
    </row>
    <row r="1381" spans="1:8" hidden="1" x14ac:dyDescent="0.3">
      <c r="A1381" s="9">
        <v>45062</v>
      </c>
      <c r="B1381" t="s">
        <v>45</v>
      </c>
      <c r="C1381" t="s">
        <v>35</v>
      </c>
      <c r="D1381" t="s">
        <v>10</v>
      </c>
      <c r="E1381" t="s">
        <v>39</v>
      </c>
      <c r="F1381">
        <v>650</v>
      </c>
      <c r="G1381">
        <v>34</v>
      </c>
      <c r="H1381" s="6">
        <f t="shared" si="95"/>
        <v>22.1</v>
      </c>
    </row>
    <row r="1382" spans="1:8" hidden="1" x14ac:dyDescent="0.3">
      <c r="A1382" s="9">
        <v>45062</v>
      </c>
      <c r="B1382" t="s">
        <v>17</v>
      </c>
      <c r="C1382" t="s">
        <v>35</v>
      </c>
      <c r="D1382" t="s">
        <v>10</v>
      </c>
      <c r="E1382" t="s">
        <v>23</v>
      </c>
      <c r="F1382">
        <v>640</v>
      </c>
      <c r="G1382">
        <v>21</v>
      </c>
      <c r="H1382" s="6">
        <f t="shared" si="95"/>
        <v>13.44</v>
      </c>
    </row>
    <row r="1383" spans="1:8" hidden="1" x14ac:dyDescent="0.3">
      <c r="A1383" s="13" t="s">
        <v>150</v>
      </c>
      <c r="H1383" s="6">
        <f>SUBTOTAL(9,H1373:H1382)</f>
        <v>0</v>
      </c>
    </row>
    <row r="1384" spans="1:8" hidden="1" x14ac:dyDescent="0.3">
      <c r="A1384" s="9">
        <v>45063</v>
      </c>
      <c r="B1384" t="s">
        <v>45</v>
      </c>
      <c r="C1384" t="s">
        <v>20</v>
      </c>
      <c r="D1384" t="s">
        <v>10</v>
      </c>
      <c r="E1384" t="s">
        <v>39</v>
      </c>
      <c r="F1384">
        <v>650</v>
      </c>
      <c r="G1384">
        <v>27</v>
      </c>
      <c r="H1384" s="6">
        <f t="shared" ref="H1384:H1393" si="96">F1384*G1384/1000</f>
        <v>17.55</v>
      </c>
    </row>
    <row r="1385" spans="1:8" hidden="1" x14ac:dyDescent="0.3">
      <c r="A1385" s="10">
        <v>45063</v>
      </c>
      <c r="B1385" s="11" t="s">
        <v>17</v>
      </c>
      <c r="C1385" s="11" t="s">
        <v>20</v>
      </c>
      <c r="D1385" s="11" t="s">
        <v>10</v>
      </c>
      <c r="E1385" s="11" t="s">
        <v>11</v>
      </c>
      <c r="F1385" s="11">
        <v>705</v>
      </c>
      <c r="G1385" s="11">
        <v>57</v>
      </c>
      <c r="H1385" s="6">
        <f t="shared" si="96"/>
        <v>40.185000000000002</v>
      </c>
    </row>
    <row r="1386" spans="1:8" hidden="1" x14ac:dyDescent="0.3">
      <c r="A1386" s="9">
        <v>45063</v>
      </c>
      <c r="B1386" t="s">
        <v>12</v>
      </c>
      <c r="C1386" t="s">
        <v>20</v>
      </c>
      <c r="D1386" t="s">
        <v>13</v>
      </c>
      <c r="E1386" t="s">
        <v>43</v>
      </c>
      <c r="F1386">
        <v>1420</v>
      </c>
      <c r="G1386">
        <v>100</v>
      </c>
      <c r="H1386" s="6">
        <f t="shared" si="96"/>
        <v>142</v>
      </c>
    </row>
    <row r="1387" spans="1:8" hidden="1" x14ac:dyDescent="0.3">
      <c r="A1387" s="10">
        <v>45063</v>
      </c>
      <c r="B1387" s="11" t="s">
        <v>17</v>
      </c>
      <c r="C1387" s="11" t="s">
        <v>20</v>
      </c>
      <c r="D1387" s="11" t="s">
        <v>13</v>
      </c>
      <c r="E1387" s="11" t="s">
        <v>38</v>
      </c>
      <c r="F1387" s="11">
        <v>2400</v>
      </c>
      <c r="G1387" s="11">
        <v>41</v>
      </c>
      <c r="H1387" s="6">
        <f t="shared" si="96"/>
        <v>98.4</v>
      </c>
    </row>
    <row r="1388" spans="1:8" hidden="1" x14ac:dyDescent="0.3">
      <c r="A1388" s="9">
        <v>45063</v>
      </c>
      <c r="B1388" t="s">
        <v>8</v>
      </c>
      <c r="C1388" t="s">
        <v>20</v>
      </c>
      <c r="D1388" t="s">
        <v>24</v>
      </c>
      <c r="E1388" t="s">
        <v>42</v>
      </c>
      <c r="F1388">
        <v>3205</v>
      </c>
      <c r="G1388">
        <v>78</v>
      </c>
      <c r="H1388" s="6">
        <f t="shared" si="96"/>
        <v>249.99</v>
      </c>
    </row>
    <row r="1389" spans="1:8" hidden="1" x14ac:dyDescent="0.3">
      <c r="A1389" s="9">
        <v>45063</v>
      </c>
      <c r="B1389" t="s">
        <v>17</v>
      </c>
      <c r="C1389" t="s">
        <v>9</v>
      </c>
      <c r="D1389" t="s">
        <v>18</v>
      </c>
      <c r="E1389" t="s">
        <v>37</v>
      </c>
      <c r="F1389">
        <v>890</v>
      </c>
      <c r="G1389">
        <v>75</v>
      </c>
      <c r="H1389" s="6">
        <f t="shared" si="96"/>
        <v>66.75</v>
      </c>
    </row>
    <row r="1390" spans="1:8" hidden="1" x14ac:dyDescent="0.3">
      <c r="A1390" s="9">
        <v>45063</v>
      </c>
      <c r="B1390" t="s">
        <v>12</v>
      </c>
      <c r="C1390" t="s">
        <v>26</v>
      </c>
      <c r="D1390" t="s">
        <v>13</v>
      </c>
      <c r="E1390" t="s">
        <v>38</v>
      </c>
      <c r="F1390">
        <v>2400</v>
      </c>
      <c r="G1390">
        <v>43</v>
      </c>
      <c r="H1390" s="6">
        <f t="shared" si="96"/>
        <v>103.2</v>
      </c>
    </row>
    <row r="1391" spans="1:8" hidden="1" x14ac:dyDescent="0.3">
      <c r="A1391" s="9">
        <v>45063</v>
      </c>
      <c r="B1391" t="s">
        <v>45</v>
      </c>
      <c r="C1391" t="s">
        <v>26</v>
      </c>
      <c r="D1391" t="s">
        <v>24</v>
      </c>
      <c r="E1391" t="s">
        <v>30</v>
      </c>
      <c r="F1391">
        <v>2970</v>
      </c>
      <c r="G1391">
        <v>27</v>
      </c>
      <c r="H1391" s="6">
        <f t="shared" si="96"/>
        <v>80.19</v>
      </c>
    </row>
    <row r="1392" spans="1:8" hidden="1" x14ac:dyDescent="0.3">
      <c r="A1392" s="9">
        <v>45063</v>
      </c>
      <c r="B1392" t="s">
        <v>12</v>
      </c>
      <c r="C1392" t="s">
        <v>15</v>
      </c>
      <c r="D1392" t="s">
        <v>18</v>
      </c>
      <c r="E1392" t="s">
        <v>27</v>
      </c>
      <c r="F1392">
        <v>460</v>
      </c>
      <c r="G1392">
        <v>59</v>
      </c>
      <c r="H1392" s="6">
        <f t="shared" si="96"/>
        <v>27.14</v>
      </c>
    </row>
    <row r="1393" spans="1:8" hidden="1" x14ac:dyDescent="0.3">
      <c r="A1393" s="9">
        <v>45063</v>
      </c>
      <c r="B1393" t="s">
        <v>12</v>
      </c>
      <c r="C1393" t="s">
        <v>15</v>
      </c>
      <c r="D1393" t="s">
        <v>24</v>
      </c>
      <c r="E1393" t="s">
        <v>32</v>
      </c>
      <c r="F1393">
        <v>1505</v>
      </c>
      <c r="G1393">
        <v>98</v>
      </c>
      <c r="H1393" s="6">
        <f t="shared" si="96"/>
        <v>147.49</v>
      </c>
    </row>
    <row r="1394" spans="1:8" hidden="1" x14ac:dyDescent="0.3">
      <c r="A1394" s="13" t="s">
        <v>151</v>
      </c>
      <c r="H1394" s="6">
        <f>SUBTOTAL(9,H1384:H1393)</f>
        <v>0</v>
      </c>
    </row>
    <row r="1395" spans="1:8" hidden="1" x14ac:dyDescent="0.3">
      <c r="A1395" s="10">
        <v>45064</v>
      </c>
      <c r="B1395" s="11" t="s">
        <v>45</v>
      </c>
      <c r="C1395" s="11" t="s">
        <v>20</v>
      </c>
      <c r="D1395" s="11" t="s">
        <v>18</v>
      </c>
      <c r="E1395" s="11" t="s">
        <v>37</v>
      </c>
      <c r="F1395" s="11">
        <v>890</v>
      </c>
      <c r="G1395" s="11">
        <v>21</v>
      </c>
      <c r="H1395" s="6">
        <f t="shared" ref="H1395:H1403" si="97">F1395*G1395/1000</f>
        <v>18.690000000000001</v>
      </c>
    </row>
    <row r="1396" spans="1:8" hidden="1" x14ac:dyDescent="0.3">
      <c r="A1396" s="9">
        <v>45064</v>
      </c>
      <c r="B1396" t="s">
        <v>17</v>
      </c>
      <c r="C1396" t="s">
        <v>9</v>
      </c>
      <c r="D1396" t="s">
        <v>10</v>
      </c>
      <c r="E1396" t="s">
        <v>16</v>
      </c>
      <c r="F1396">
        <v>1380</v>
      </c>
      <c r="G1396">
        <v>18</v>
      </c>
      <c r="H1396" s="6">
        <f t="shared" si="97"/>
        <v>24.84</v>
      </c>
    </row>
    <row r="1397" spans="1:8" hidden="1" x14ac:dyDescent="0.3">
      <c r="A1397" s="9">
        <v>45064</v>
      </c>
      <c r="B1397" t="s">
        <v>12</v>
      </c>
      <c r="C1397" t="s">
        <v>9</v>
      </c>
      <c r="D1397" t="s">
        <v>18</v>
      </c>
      <c r="E1397" t="s">
        <v>21</v>
      </c>
      <c r="F1397">
        <v>450</v>
      </c>
      <c r="G1397">
        <v>97</v>
      </c>
      <c r="H1397" s="6">
        <f t="shared" si="97"/>
        <v>43.65</v>
      </c>
    </row>
    <row r="1398" spans="1:8" hidden="1" x14ac:dyDescent="0.3">
      <c r="A1398" s="9">
        <v>45064</v>
      </c>
      <c r="B1398" t="s">
        <v>8</v>
      </c>
      <c r="C1398" t="s">
        <v>9</v>
      </c>
      <c r="D1398" t="s">
        <v>18</v>
      </c>
      <c r="E1398" t="s">
        <v>31</v>
      </c>
      <c r="F1398">
        <v>715</v>
      </c>
      <c r="G1398">
        <v>89</v>
      </c>
      <c r="H1398" s="6">
        <f t="shared" si="97"/>
        <v>63.634999999999998</v>
      </c>
    </row>
    <row r="1399" spans="1:8" hidden="1" x14ac:dyDescent="0.3">
      <c r="A1399" s="9">
        <v>45064</v>
      </c>
      <c r="B1399" t="s">
        <v>45</v>
      </c>
      <c r="C1399" t="s">
        <v>15</v>
      </c>
      <c r="D1399" t="s">
        <v>10</v>
      </c>
      <c r="E1399" t="s">
        <v>23</v>
      </c>
      <c r="F1399">
        <v>640</v>
      </c>
      <c r="G1399">
        <v>40</v>
      </c>
      <c r="H1399" s="6">
        <f t="shared" si="97"/>
        <v>25.6</v>
      </c>
    </row>
    <row r="1400" spans="1:8" hidden="1" x14ac:dyDescent="0.3">
      <c r="A1400" s="9">
        <v>45064</v>
      </c>
      <c r="B1400" t="s">
        <v>17</v>
      </c>
      <c r="C1400" t="s">
        <v>15</v>
      </c>
      <c r="D1400" t="s">
        <v>10</v>
      </c>
      <c r="E1400" t="s">
        <v>23</v>
      </c>
      <c r="F1400">
        <v>640</v>
      </c>
      <c r="G1400">
        <v>75</v>
      </c>
      <c r="H1400" s="6">
        <f t="shared" si="97"/>
        <v>48</v>
      </c>
    </row>
    <row r="1401" spans="1:8" hidden="1" x14ac:dyDescent="0.3">
      <c r="A1401" s="9">
        <v>45064</v>
      </c>
      <c r="B1401" t="s">
        <v>45</v>
      </c>
      <c r="C1401" t="s">
        <v>15</v>
      </c>
      <c r="D1401" t="s">
        <v>24</v>
      </c>
      <c r="E1401" t="s">
        <v>30</v>
      </c>
      <c r="F1401">
        <v>2970</v>
      </c>
      <c r="G1401">
        <v>59</v>
      </c>
      <c r="H1401" s="6">
        <f t="shared" si="97"/>
        <v>175.23</v>
      </c>
    </row>
    <row r="1402" spans="1:8" hidden="1" x14ac:dyDescent="0.3">
      <c r="A1402" s="9">
        <v>45064</v>
      </c>
      <c r="B1402" t="s">
        <v>17</v>
      </c>
      <c r="C1402" t="s">
        <v>33</v>
      </c>
      <c r="D1402" t="s">
        <v>24</v>
      </c>
      <c r="E1402" t="s">
        <v>25</v>
      </c>
      <c r="F1402">
        <v>1760</v>
      </c>
      <c r="G1402">
        <v>24</v>
      </c>
      <c r="H1402" s="6">
        <f t="shared" si="97"/>
        <v>42.24</v>
      </c>
    </row>
    <row r="1403" spans="1:8" hidden="1" x14ac:dyDescent="0.3">
      <c r="A1403" s="9">
        <v>45064</v>
      </c>
      <c r="B1403" t="s">
        <v>17</v>
      </c>
      <c r="C1403" t="s">
        <v>35</v>
      </c>
      <c r="D1403" t="s">
        <v>24</v>
      </c>
      <c r="E1403" t="s">
        <v>36</v>
      </c>
      <c r="F1403">
        <v>2460</v>
      </c>
      <c r="G1403">
        <v>5</v>
      </c>
      <c r="H1403" s="6">
        <f t="shared" si="97"/>
        <v>12.3</v>
      </c>
    </row>
    <row r="1404" spans="1:8" hidden="1" x14ac:dyDescent="0.3">
      <c r="A1404" s="13" t="s">
        <v>152</v>
      </c>
      <c r="H1404" s="6">
        <f>SUBTOTAL(9,H1395:H1403)</f>
        <v>0</v>
      </c>
    </row>
    <row r="1405" spans="1:8" hidden="1" x14ac:dyDescent="0.3">
      <c r="A1405" s="9">
        <v>45065</v>
      </c>
      <c r="B1405" t="s">
        <v>8</v>
      </c>
      <c r="C1405" t="s">
        <v>20</v>
      </c>
      <c r="D1405" t="s">
        <v>10</v>
      </c>
      <c r="E1405" t="s">
        <v>23</v>
      </c>
      <c r="F1405">
        <v>640</v>
      </c>
      <c r="G1405">
        <v>60</v>
      </c>
      <c r="H1405" s="6">
        <f t="shared" ref="H1405:H1415" si="98">F1405*G1405/1000</f>
        <v>38.4</v>
      </c>
    </row>
    <row r="1406" spans="1:8" hidden="1" x14ac:dyDescent="0.3">
      <c r="A1406" s="10">
        <v>45065</v>
      </c>
      <c r="B1406" s="11" t="s">
        <v>45</v>
      </c>
      <c r="C1406" s="11" t="s">
        <v>20</v>
      </c>
      <c r="D1406" s="11" t="s">
        <v>18</v>
      </c>
      <c r="E1406" s="11" t="s">
        <v>21</v>
      </c>
      <c r="F1406" s="11">
        <v>450</v>
      </c>
      <c r="G1406" s="11">
        <v>86</v>
      </c>
      <c r="H1406" s="6">
        <f t="shared" si="98"/>
        <v>38.700000000000003</v>
      </c>
    </row>
    <row r="1407" spans="1:8" hidden="1" x14ac:dyDescent="0.3">
      <c r="A1407" s="9">
        <v>45065</v>
      </c>
      <c r="B1407" t="s">
        <v>8</v>
      </c>
      <c r="C1407" t="s">
        <v>20</v>
      </c>
      <c r="D1407" t="s">
        <v>13</v>
      </c>
      <c r="E1407" t="s">
        <v>38</v>
      </c>
      <c r="F1407">
        <v>2400</v>
      </c>
      <c r="G1407">
        <v>23</v>
      </c>
      <c r="H1407" s="6">
        <f t="shared" si="98"/>
        <v>55.2</v>
      </c>
    </row>
    <row r="1408" spans="1:8" hidden="1" x14ac:dyDescent="0.3">
      <c r="A1408" s="9">
        <v>45065</v>
      </c>
      <c r="B1408" t="s">
        <v>45</v>
      </c>
      <c r="C1408" t="s">
        <v>9</v>
      </c>
      <c r="D1408" t="s">
        <v>18</v>
      </c>
      <c r="E1408" t="s">
        <v>19</v>
      </c>
      <c r="F1408">
        <v>325</v>
      </c>
      <c r="G1408">
        <v>48</v>
      </c>
      <c r="H1408" s="6">
        <f t="shared" si="98"/>
        <v>15.6</v>
      </c>
    </row>
    <row r="1409" spans="1:8" hidden="1" x14ac:dyDescent="0.3">
      <c r="A1409" s="9">
        <v>45065</v>
      </c>
      <c r="B1409" t="s">
        <v>12</v>
      </c>
      <c r="C1409" t="s">
        <v>26</v>
      </c>
      <c r="D1409" t="s">
        <v>24</v>
      </c>
      <c r="E1409" t="s">
        <v>30</v>
      </c>
      <c r="F1409">
        <v>2970</v>
      </c>
      <c r="G1409">
        <v>59</v>
      </c>
      <c r="H1409" s="6">
        <f t="shared" si="98"/>
        <v>175.23</v>
      </c>
    </row>
    <row r="1410" spans="1:8" hidden="1" x14ac:dyDescent="0.3">
      <c r="A1410" s="9">
        <v>45065</v>
      </c>
      <c r="B1410" t="s">
        <v>8</v>
      </c>
      <c r="C1410" t="s">
        <v>26</v>
      </c>
      <c r="D1410" t="s">
        <v>24</v>
      </c>
      <c r="E1410" t="s">
        <v>25</v>
      </c>
      <c r="F1410">
        <v>1760</v>
      </c>
      <c r="G1410">
        <v>30</v>
      </c>
      <c r="H1410" s="6">
        <f t="shared" si="98"/>
        <v>52.8</v>
      </c>
    </row>
    <row r="1411" spans="1:8" hidden="1" x14ac:dyDescent="0.3">
      <c r="A1411" s="9">
        <v>45065</v>
      </c>
      <c r="B1411" t="s">
        <v>12</v>
      </c>
      <c r="C1411" t="s">
        <v>15</v>
      </c>
      <c r="D1411" t="s">
        <v>18</v>
      </c>
      <c r="E1411" t="s">
        <v>27</v>
      </c>
      <c r="F1411">
        <v>460</v>
      </c>
      <c r="G1411">
        <v>23</v>
      </c>
      <c r="H1411" s="6">
        <f t="shared" si="98"/>
        <v>10.58</v>
      </c>
    </row>
    <row r="1412" spans="1:8" hidden="1" x14ac:dyDescent="0.3">
      <c r="A1412" s="9">
        <v>45065</v>
      </c>
      <c r="B1412" t="s">
        <v>17</v>
      </c>
      <c r="C1412" t="s">
        <v>33</v>
      </c>
      <c r="D1412" t="s">
        <v>18</v>
      </c>
      <c r="E1412" t="s">
        <v>37</v>
      </c>
      <c r="F1412">
        <v>890</v>
      </c>
      <c r="G1412">
        <v>27</v>
      </c>
      <c r="H1412" s="6">
        <f t="shared" si="98"/>
        <v>24.03</v>
      </c>
    </row>
    <row r="1413" spans="1:8" hidden="1" x14ac:dyDescent="0.3">
      <c r="A1413" s="9">
        <v>45065</v>
      </c>
      <c r="B1413" t="s">
        <v>8</v>
      </c>
      <c r="C1413" t="s">
        <v>33</v>
      </c>
      <c r="D1413" t="s">
        <v>24</v>
      </c>
      <c r="E1413" t="s">
        <v>34</v>
      </c>
      <c r="F1413">
        <v>1670</v>
      </c>
      <c r="G1413">
        <v>32</v>
      </c>
      <c r="H1413" s="6">
        <f t="shared" si="98"/>
        <v>53.44</v>
      </c>
    </row>
    <row r="1414" spans="1:8" hidden="1" x14ac:dyDescent="0.3">
      <c r="A1414" s="9">
        <v>45065</v>
      </c>
      <c r="B1414" t="s">
        <v>12</v>
      </c>
      <c r="C1414" t="s">
        <v>35</v>
      </c>
      <c r="D1414" t="s">
        <v>13</v>
      </c>
      <c r="E1414" t="s">
        <v>14</v>
      </c>
      <c r="F1414">
        <v>1320</v>
      </c>
      <c r="G1414">
        <v>15</v>
      </c>
      <c r="H1414" s="6">
        <f t="shared" si="98"/>
        <v>19.8</v>
      </c>
    </row>
    <row r="1415" spans="1:8" hidden="1" x14ac:dyDescent="0.3">
      <c r="A1415" s="9">
        <v>45065</v>
      </c>
      <c r="B1415" t="s">
        <v>8</v>
      </c>
      <c r="C1415" t="s">
        <v>35</v>
      </c>
      <c r="D1415" t="s">
        <v>24</v>
      </c>
      <c r="E1415" t="s">
        <v>42</v>
      </c>
      <c r="F1415">
        <v>3205</v>
      </c>
      <c r="G1415">
        <v>46</v>
      </c>
      <c r="H1415" s="6">
        <f t="shared" si="98"/>
        <v>147.43</v>
      </c>
    </row>
    <row r="1416" spans="1:8" hidden="1" x14ac:dyDescent="0.3">
      <c r="A1416" s="13" t="s">
        <v>153</v>
      </c>
      <c r="H1416" s="6">
        <f>SUBTOTAL(9,H1405:H1415)</f>
        <v>0</v>
      </c>
    </row>
    <row r="1417" spans="1:8" hidden="1" x14ac:dyDescent="0.3">
      <c r="A1417" s="10">
        <v>45066</v>
      </c>
      <c r="B1417" s="11" t="s">
        <v>12</v>
      </c>
      <c r="C1417" s="11" t="s">
        <v>20</v>
      </c>
      <c r="D1417" s="11" t="s">
        <v>13</v>
      </c>
      <c r="E1417" s="11" t="s">
        <v>43</v>
      </c>
      <c r="F1417" s="11">
        <v>1420</v>
      </c>
      <c r="G1417" s="11">
        <v>74</v>
      </c>
      <c r="H1417" s="6">
        <f t="shared" ref="H1417:H1425" si="99">F1417*G1417/1000</f>
        <v>105.08</v>
      </c>
    </row>
    <row r="1418" spans="1:8" hidden="1" x14ac:dyDescent="0.3">
      <c r="A1418" s="9">
        <v>45066</v>
      </c>
      <c r="B1418" t="s">
        <v>8</v>
      </c>
      <c r="C1418" t="s">
        <v>9</v>
      </c>
      <c r="D1418" t="s">
        <v>24</v>
      </c>
      <c r="E1418" t="s">
        <v>32</v>
      </c>
      <c r="F1418">
        <v>1505</v>
      </c>
      <c r="G1418">
        <v>49</v>
      </c>
      <c r="H1418" s="6">
        <f t="shared" si="99"/>
        <v>73.745000000000005</v>
      </c>
    </row>
    <row r="1419" spans="1:8" hidden="1" x14ac:dyDescent="0.3">
      <c r="A1419" s="9">
        <v>45066</v>
      </c>
      <c r="B1419" t="s">
        <v>8</v>
      </c>
      <c r="C1419" t="s">
        <v>26</v>
      </c>
      <c r="D1419" t="s">
        <v>13</v>
      </c>
      <c r="E1419" t="s">
        <v>14</v>
      </c>
      <c r="F1419">
        <v>1320</v>
      </c>
      <c r="G1419">
        <v>45</v>
      </c>
      <c r="H1419" s="6">
        <f t="shared" si="99"/>
        <v>59.4</v>
      </c>
    </row>
    <row r="1420" spans="1:8" hidden="1" x14ac:dyDescent="0.3">
      <c r="A1420" s="9">
        <v>45066</v>
      </c>
      <c r="B1420" t="s">
        <v>8</v>
      </c>
      <c r="C1420" t="s">
        <v>15</v>
      </c>
      <c r="D1420" t="s">
        <v>18</v>
      </c>
      <c r="E1420" t="s">
        <v>19</v>
      </c>
      <c r="F1420">
        <v>325</v>
      </c>
      <c r="G1420">
        <v>46</v>
      </c>
      <c r="H1420" s="6">
        <f t="shared" si="99"/>
        <v>14.95</v>
      </c>
    </row>
    <row r="1421" spans="1:8" hidden="1" x14ac:dyDescent="0.3">
      <c r="A1421" s="9">
        <v>45066</v>
      </c>
      <c r="B1421" t="s">
        <v>12</v>
      </c>
      <c r="C1421" t="s">
        <v>33</v>
      </c>
      <c r="D1421" t="s">
        <v>18</v>
      </c>
      <c r="E1421" t="s">
        <v>28</v>
      </c>
      <c r="F1421">
        <v>690</v>
      </c>
      <c r="G1421">
        <v>37</v>
      </c>
      <c r="H1421" s="6">
        <f t="shared" si="99"/>
        <v>25.53</v>
      </c>
    </row>
    <row r="1422" spans="1:8" hidden="1" x14ac:dyDescent="0.3">
      <c r="A1422" s="9">
        <v>45066</v>
      </c>
      <c r="B1422" t="s">
        <v>45</v>
      </c>
      <c r="C1422" t="s">
        <v>33</v>
      </c>
      <c r="D1422" t="s">
        <v>13</v>
      </c>
      <c r="E1422" t="s">
        <v>22</v>
      </c>
      <c r="F1422">
        <v>930</v>
      </c>
      <c r="G1422">
        <v>18</v>
      </c>
      <c r="H1422" s="6">
        <f t="shared" si="99"/>
        <v>16.739999999999998</v>
      </c>
    </row>
    <row r="1423" spans="1:8" hidden="1" x14ac:dyDescent="0.3">
      <c r="A1423" s="9">
        <v>45066</v>
      </c>
      <c r="B1423" t="s">
        <v>8</v>
      </c>
      <c r="C1423" t="s">
        <v>35</v>
      </c>
      <c r="D1423" t="s">
        <v>10</v>
      </c>
      <c r="E1423" t="s">
        <v>41</v>
      </c>
      <c r="F1423">
        <v>650</v>
      </c>
      <c r="G1423">
        <v>98</v>
      </c>
      <c r="H1423" s="6">
        <f t="shared" si="99"/>
        <v>63.7</v>
      </c>
    </row>
    <row r="1424" spans="1:8" hidden="1" x14ac:dyDescent="0.3">
      <c r="A1424" s="9">
        <v>45066</v>
      </c>
      <c r="B1424" t="s">
        <v>17</v>
      </c>
      <c r="C1424" t="s">
        <v>35</v>
      </c>
      <c r="D1424" t="s">
        <v>18</v>
      </c>
      <c r="E1424" t="s">
        <v>28</v>
      </c>
      <c r="F1424">
        <v>690</v>
      </c>
      <c r="G1424">
        <v>16</v>
      </c>
      <c r="H1424" s="6">
        <f t="shared" si="99"/>
        <v>11.04</v>
      </c>
    </row>
    <row r="1425" spans="1:8" hidden="1" x14ac:dyDescent="0.3">
      <c r="A1425" s="9">
        <v>45066</v>
      </c>
      <c r="B1425" t="s">
        <v>17</v>
      </c>
      <c r="C1425" t="s">
        <v>35</v>
      </c>
      <c r="D1425" t="s">
        <v>24</v>
      </c>
      <c r="E1425" t="s">
        <v>25</v>
      </c>
      <c r="F1425">
        <v>1760</v>
      </c>
      <c r="G1425">
        <v>24</v>
      </c>
      <c r="H1425" s="6">
        <f t="shared" si="99"/>
        <v>42.24</v>
      </c>
    </row>
    <row r="1426" spans="1:8" hidden="1" x14ac:dyDescent="0.3">
      <c r="A1426" s="13" t="s">
        <v>154</v>
      </c>
      <c r="H1426" s="6">
        <f>SUBTOTAL(9,H1417:H1425)</f>
        <v>0</v>
      </c>
    </row>
    <row r="1427" spans="1:8" hidden="1" x14ac:dyDescent="0.3">
      <c r="A1427" s="9">
        <v>45067</v>
      </c>
      <c r="B1427" t="s">
        <v>45</v>
      </c>
      <c r="C1427" t="s">
        <v>20</v>
      </c>
      <c r="D1427" t="s">
        <v>13</v>
      </c>
      <c r="E1427" t="s">
        <v>44</v>
      </c>
      <c r="F1427">
        <v>2540</v>
      </c>
      <c r="G1427">
        <v>61</v>
      </c>
      <c r="H1427" s="6">
        <f t="shared" ref="H1427:H1438" si="100">F1427*G1427/1000</f>
        <v>154.94</v>
      </c>
    </row>
    <row r="1428" spans="1:8" hidden="1" x14ac:dyDescent="0.3">
      <c r="A1428" s="9">
        <v>45067</v>
      </c>
      <c r="B1428" t="s">
        <v>8</v>
      </c>
      <c r="C1428" t="s">
        <v>9</v>
      </c>
      <c r="D1428" t="s">
        <v>10</v>
      </c>
      <c r="E1428" t="s">
        <v>16</v>
      </c>
      <c r="F1428">
        <v>1380</v>
      </c>
      <c r="G1428">
        <v>54</v>
      </c>
      <c r="H1428" s="6">
        <f t="shared" si="100"/>
        <v>74.52</v>
      </c>
    </row>
    <row r="1429" spans="1:8" hidden="1" x14ac:dyDescent="0.3">
      <c r="A1429" s="9">
        <v>45067</v>
      </c>
      <c r="B1429" t="s">
        <v>45</v>
      </c>
      <c r="C1429" t="s">
        <v>9</v>
      </c>
      <c r="D1429" t="s">
        <v>18</v>
      </c>
      <c r="E1429" t="s">
        <v>31</v>
      </c>
      <c r="F1429">
        <v>715</v>
      </c>
      <c r="G1429">
        <v>17</v>
      </c>
      <c r="H1429" s="6">
        <f t="shared" si="100"/>
        <v>12.154999999999999</v>
      </c>
    </row>
    <row r="1430" spans="1:8" hidden="1" x14ac:dyDescent="0.3">
      <c r="A1430" s="9">
        <v>45067</v>
      </c>
      <c r="B1430" t="s">
        <v>12</v>
      </c>
      <c r="C1430" t="s">
        <v>9</v>
      </c>
      <c r="D1430" t="s">
        <v>13</v>
      </c>
      <c r="E1430" t="s">
        <v>22</v>
      </c>
      <c r="F1430">
        <v>930</v>
      </c>
      <c r="G1430">
        <v>35</v>
      </c>
      <c r="H1430" s="6">
        <f t="shared" si="100"/>
        <v>32.549999999999997</v>
      </c>
    </row>
    <row r="1431" spans="1:8" hidden="1" x14ac:dyDescent="0.3">
      <c r="A1431" s="9">
        <v>45067</v>
      </c>
      <c r="B1431" t="s">
        <v>8</v>
      </c>
      <c r="C1431" t="s">
        <v>9</v>
      </c>
      <c r="D1431" t="s">
        <v>13</v>
      </c>
      <c r="E1431" t="s">
        <v>44</v>
      </c>
      <c r="F1431">
        <v>2540</v>
      </c>
      <c r="G1431">
        <v>7</v>
      </c>
      <c r="H1431" s="6">
        <f t="shared" si="100"/>
        <v>17.78</v>
      </c>
    </row>
    <row r="1432" spans="1:8" hidden="1" x14ac:dyDescent="0.3">
      <c r="A1432" s="9">
        <v>45067</v>
      </c>
      <c r="B1432" t="s">
        <v>45</v>
      </c>
      <c r="C1432" t="s">
        <v>26</v>
      </c>
      <c r="D1432" t="s">
        <v>18</v>
      </c>
      <c r="E1432" t="s">
        <v>31</v>
      </c>
      <c r="F1432">
        <v>715</v>
      </c>
      <c r="G1432">
        <v>20</v>
      </c>
      <c r="H1432" s="6">
        <f t="shared" si="100"/>
        <v>14.3</v>
      </c>
    </row>
    <row r="1433" spans="1:8" hidden="1" x14ac:dyDescent="0.3">
      <c r="A1433" s="9">
        <v>45067</v>
      </c>
      <c r="B1433" t="s">
        <v>8</v>
      </c>
      <c r="C1433" t="s">
        <v>26</v>
      </c>
      <c r="D1433" t="s">
        <v>24</v>
      </c>
      <c r="E1433" t="s">
        <v>30</v>
      </c>
      <c r="F1433">
        <v>2970</v>
      </c>
      <c r="G1433">
        <v>72</v>
      </c>
      <c r="H1433" s="6">
        <f t="shared" si="100"/>
        <v>213.84</v>
      </c>
    </row>
    <row r="1434" spans="1:8" hidden="1" x14ac:dyDescent="0.3">
      <c r="A1434" s="9">
        <v>45067</v>
      </c>
      <c r="B1434" t="s">
        <v>17</v>
      </c>
      <c r="C1434" t="s">
        <v>15</v>
      </c>
      <c r="D1434" t="s">
        <v>10</v>
      </c>
      <c r="E1434" t="s">
        <v>40</v>
      </c>
      <c r="F1434">
        <v>540</v>
      </c>
      <c r="G1434">
        <v>100</v>
      </c>
      <c r="H1434" s="6">
        <f t="shared" si="100"/>
        <v>54</v>
      </c>
    </row>
    <row r="1435" spans="1:8" hidden="1" x14ac:dyDescent="0.3">
      <c r="A1435" s="9">
        <v>45067</v>
      </c>
      <c r="B1435" t="s">
        <v>45</v>
      </c>
      <c r="C1435" t="s">
        <v>15</v>
      </c>
      <c r="D1435" t="s">
        <v>10</v>
      </c>
      <c r="E1435" t="s">
        <v>39</v>
      </c>
      <c r="F1435">
        <v>650</v>
      </c>
      <c r="G1435">
        <v>27</v>
      </c>
      <c r="H1435" s="6">
        <f t="shared" si="100"/>
        <v>17.55</v>
      </c>
    </row>
    <row r="1436" spans="1:8" hidden="1" x14ac:dyDescent="0.3">
      <c r="A1436" s="9">
        <v>45067</v>
      </c>
      <c r="B1436" t="s">
        <v>45</v>
      </c>
      <c r="C1436" t="s">
        <v>35</v>
      </c>
      <c r="D1436" t="s">
        <v>10</v>
      </c>
      <c r="E1436" t="s">
        <v>39</v>
      </c>
      <c r="F1436">
        <v>650</v>
      </c>
      <c r="G1436">
        <v>62</v>
      </c>
      <c r="H1436" s="6">
        <f t="shared" si="100"/>
        <v>40.299999999999997</v>
      </c>
    </row>
    <row r="1437" spans="1:8" hidden="1" x14ac:dyDescent="0.3">
      <c r="A1437" s="9">
        <v>45067</v>
      </c>
      <c r="B1437" t="s">
        <v>8</v>
      </c>
      <c r="C1437" t="s">
        <v>35</v>
      </c>
      <c r="D1437" t="s">
        <v>13</v>
      </c>
      <c r="E1437" t="s">
        <v>44</v>
      </c>
      <c r="F1437">
        <v>2540</v>
      </c>
      <c r="G1437">
        <v>94</v>
      </c>
      <c r="H1437" s="6">
        <f t="shared" si="100"/>
        <v>238.76</v>
      </c>
    </row>
    <row r="1438" spans="1:8" hidden="1" x14ac:dyDescent="0.3">
      <c r="A1438" s="9">
        <v>45067</v>
      </c>
      <c r="B1438" t="s">
        <v>45</v>
      </c>
      <c r="C1438" t="s">
        <v>35</v>
      </c>
      <c r="D1438" t="s">
        <v>24</v>
      </c>
      <c r="E1438" t="s">
        <v>36</v>
      </c>
      <c r="F1438">
        <v>2460</v>
      </c>
      <c r="G1438">
        <v>31</v>
      </c>
      <c r="H1438" s="6">
        <f t="shared" si="100"/>
        <v>76.260000000000005</v>
      </c>
    </row>
    <row r="1439" spans="1:8" hidden="1" x14ac:dyDescent="0.3">
      <c r="A1439" s="13" t="s">
        <v>155</v>
      </c>
      <c r="H1439" s="6">
        <f>SUBTOTAL(9,H1427:H1438)</f>
        <v>0</v>
      </c>
    </row>
    <row r="1440" spans="1:8" hidden="1" x14ac:dyDescent="0.3">
      <c r="A1440" s="10">
        <v>45068</v>
      </c>
      <c r="B1440" s="11" t="s">
        <v>12</v>
      </c>
      <c r="C1440" s="11" t="s">
        <v>20</v>
      </c>
      <c r="D1440" s="11" t="s">
        <v>10</v>
      </c>
      <c r="E1440" s="11" t="s">
        <v>40</v>
      </c>
      <c r="F1440" s="11">
        <v>540</v>
      </c>
      <c r="G1440" s="11">
        <v>59</v>
      </c>
      <c r="H1440" s="6">
        <f>F1440*G1440/1000</f>
        <v>31.86</v>
      </c>
    </row>
    <row r="1441" spans="1:8" hidden="1" x14ac:dyDescent="0.3">
      <c r="A1441" s="9">
        <v>45068</v>
      </c>
      <c r="B1441" t="s">
        <v>8</v>
      </c>
      <c r="C1441" t="s">
        <v>26</v>
      </c>
      <c r="D1441" t="s">
        <v>18</v>
      </c>
      <c r="E1441" t="s">
        <v>27</v>
      </c>
      <c r="F1441">
        <v>460</v>
      </c>
      <c r="G1441">
        <v>52</v>
      </c>
      <c r="H1441" s="6">
        <f>F1441*G1441/1000</f>
        <v>23.92</v>
      </c>
    </row>
    <row r="1442" spans="1:8" hidden="1" x14ac:dyDescent="0.3">
      <c r="A1442" s="9">
        <v>45068</v>
      </c>
      <c r="B1442" t="s">
        <v>12</v>
      </c>
      <c r="C1442" t="s">
        <v>15</v>
      </c>
      <c r="D1442" t="s">
        <v>10</v>
      </c>
      <c r="E1442" t="s">
        <v>11</v>
      </c>
      <c r="F1442">
        <v>705</v>
      </c>
      <c r="G1442">
        <v>25</v>
      </c>
      <c r="H1442" s="6">
        <f>F1442*G1442/1000</f>
        <v>17.625</v>
      </c>
    </row>
    <row r="1443" spans="1:8" hidden="1" x14ac:dyDescent="0.3">
      <c r="A1443" s="9">
        <v>45068</v>
      </c>
      <c r="B1443" t="s">
        <v>17</v>
      </c>
      <c r="C1443" t="s">
        <v>33</v>
      </c>
      <c r="D1443" t="s">
        <v>13</v>
      </c>
      <c r="E1443" t="s">
        <v>44</v>
      </c>
      <c r="F1443">
        <v>2540</v>
      </c>
      <c r="G1443">
        <v>87</v>
      </c>
      <c r="H1443" s="6">
        <f>F1443*G1443/1000</f>
        <v>220.98</v>
      </c>
    </row>
    <row r="1444" spans="1:8" hidden="1" x14ac:dyDescent="0.3">
      <c r="A1444" s="9">
        <v>45068</v>
      </c>
      <c r="B1444" t="s">
        <v>8</v>
      </c>
      <c r="C1444" t="s">
        <v>35</v>
      </c>
      <c r="D1444" t="s">
        <v>24</v>
      </c>
      <c r="E1444" t="s">
        <v>42</v>
      </c>
      <c r="F1444">
        <v>3205</v>
      </c>
      <c r="G1444">
        <v>90</v>
      </c>
      <c r="H1444" s="6">
        <f>F1444*G1444/1000</f>
        <v>288.45</v>
      </c>
    </row>
    <row r="1445" spans="1:8" hidden="1" x14ac:dyDescent="0.3">
      <c r="A1445" s="13" t="s">
        <v>156</v>
      </c>
      <c r="H1445" s="6">
        <f>SUBTOTAL(9,H1440:H1444)</f>
        <v>0</v>
      </c>
    </row>
    <row r="1446" spans="1:8" hidden="1" x14ac:dyDescent="0.3">
      <c r="A1446" s="9">
        <v>45069</v>
      </c>
      <c r="B1446" t="s">
        <v>17</v>
      </c>
      <c r="C1446" t="s">
        <v>20</v>
      </c>
      <c r="D1446" t="s">
        <v>13</v>
      </c>
      <c r="E1446" t="s">
        <v>44</v>
      </c>
      <c r="F1446">
        <v>2540</v>
      </c>
      <c r="G1446">
        <v>57</v>
      </c>
      <c r="H1446" s="6">
        <f t="shared" ref="H1446:H1454" si="101">F1446*G1446/1000</f>
        <v>144.78</v>
      </c>
    </row>
    <row r="1447" spans="1:8" hidden="1" x14ac:dyDescent="0.3">
      <c r="A1447" s="9">
        <v>45069</v>
      </c>
      <c r="B1447" t="s">
        <v>12</v>
      </c>
      <c r="C1447" t="s">
        <v>9</v>
      </c>
      <c r="D1447" t="s">
        <v>10</v>
      </c>
      <c r="E1447" t="s">
        <v>41</v>
      </c>
      <c r="F1447">
        <v>650</v>
      </c>
      <c r="G1447">
        <v>8</v>
      </c>
      <c r="H1447" s="6">
        <f t="shared" si="101"/>
        <v>5.2</v>
      </c>
    </row>
    <row r="1448" spans="1:8" hidden="1" x14ac:dyDescent="0.3">
      <c r="A1448" s="9">
        <v>45069</v>
      </c>
      <c r="B1448" t="s">
        <v>8</v>
      </c>
      <c r="C1448" t="s">
        <v>9</v>
      </c>
      <c r="D1448" t="s">
        <v>18</v>
      </c>
      <c r="E1448" t="s">
        <v>27</v>
      </c>
      <c r="F1448">
        <v>460</v>
      </c>
      <c r="G1448">
        <v>39</v>
      </c>
      <c r="H1448" s="6">
        <f t="shared" si="101"/>
        <v>17.940000000000001</v>
      </c>
    </row>
    <row r="1449" spans="1:8" hidden="1" x14ac:dyDescent="0.3">
      <c r="A1449" s="9">
        <v>45069</v>
      </c>
      <c r="B1449" t="s">
        <v>45</v>
      </c>
      <c r="C1449" t="s">
        <v>26</v>
      </c>
      <c r="D1449" t="s">
        <v>10</v>
      </c>
      <c r="E1449" t="s">
        <v>41</v>
      </c>
      <c r="F1449">
        <v>650</v>
      </c>
      <c r="G1449">
        <v>55</v>
      </c>
      <c r="H1449" s="6">
        <f t="shared" si="101"/>
        <v>35.75</v>
      </c>
    </row>
    <row r="1450" spans="1:8" hidden="1" x14ac:dyDescent="0.3">
      <c r="A1450" s="9">
        <v>45069</v>
      </c>
      <c r="B1450" t="s">
        <v>45</v>
      </c>
      <c r="C1450" t="s">
        <v>15</v>
      </c>
      <c r="D1450" t="s">
        <v>18</v>
      </c>
      <c r="E1450" t="s">
        <v>21</v>
      </c>
      <c r="F1450">
        <v>450</v>
      </c>
      <c r="G1450">
        <v>86</v>
      </c>
      <c r="H1450" s="6">
        <f t="shared" si="101"/>
        <v>38.700000000000003</v>
      </c>
    </row>
    <row r="1451" spans="1:8" hidden="1" x14ac:dyDescent="0.3">
      <c r="A1451" s="9">
        <v>45069</v>
      </c>
      <c r="B1451" t="s">
        <v>8</v>
      </c>
      <c r="C1451" t="s">
        <v>33</v>
      </c>
      <c r="D1451" t="s">
        <v>13</v>
      </c>
      <c r="E1451" t="s">
        <v>22</v>
      </c>
      <c r="F1451">
        <v>930</v>
      </c>
      <c r="G1451">
        <v>45</v>
      </c>
      <c r="H1451" s="6">
        <f t="shared" si="101"/>
        <v>41.85</v>
      </c>
    </row>
    <row r="1452" spans="1:8" hidden="1" x14ac:dyDescent="0.3">
      <c r="A1452" s="9">
        <v>45069</v>
      </c>
      <c r="B1452" t="s">
        <v>45</v>
      </c>
      <c r="C1452" t="s">
        <v>33</v>
      </c>
      <c r="D1452" t="s">
        <v>13</v>
      </c>
      <c r="E1452" t="s">
        <v>14</v>
      </c>
      <c r="F1452">
        <v>1320</v>
      </c>
      <c r="G1452">
        <v>82</v>
      </c>
      <c r="H1452" s="6">
        <f t="shared" si="101"/>
        <v>108.24</v>
      </c>
    </row>
    <row r="1453" spans="1:8" hidden="1" x14ac:dyDescent="0.3">
      <c r="A1453" s="9">
        <v>45069</v>
      </c>
      <c r="B1453" t="s">
        <v>8</v>
      </c>
      <c r="C1453" t="s">
        <v>35</v>
      </c>
      <c r="D1453" t="s">
        <v>13</v>
      </c>
      <c r="E1453" t="s">
        <v>44</v>
      </c>
      <c r="F1453">
        <v>2540</v>
      </c>
      <c r="G1453">
        <v>97</v>
      </c>
      <c r="H1453" s="6">
        <f t="shared" si="101"/>
        <v>246.38</v>
      </c>
    </row>
    <row r="1454" spans="1:8" hidden="1" x14ac:dyDescent="0.3">
      <c r="A1454" s="9">
        <v>45069</v>
      </c>
      <c r="B1454" t="s">
        <v>8</v>
      </c>
      <c r="C1454" t="s">
        <v>35</v>
      </c>
      <c r="D1454" t="s">
        <v>24</v>
      </c>
      <c r="E1454" t="s">
        <v>32</v>
      </c>
      <c r="F1454">
        <v>1505</v>
      </c>
      <c r="G1454">
        <v>32</v>
      </c>
      <c r="H1454" s="6">
        <f t="shared" si="101"/>
        <v>48.16</v>
      </c>
    </row>
    <row r="1455" spans="1:8" hidden="1" x14ac:dyDescent="0.3">
      <c r="A1455" s="13" t="s">
        <v>157</v>
      </c>
      <c r="H1455" s="6">
        <f>SUBTOTAL(9,H1446:H1454)</f>
        <v>0</v>
      </c>
    </row>
    <row r="1456" spans="1:8" hidden="1" x14ac:dyDescent="0.3">
      <c r="A1456" s="10">
        <v>45070</v>
      </c>
      <c r="B1456" s="11" t="s">
        <v>17</v>
      </c>
      <c r="C1456" s="11" t="s">
        <v>20</v>
      </c>
      <c r="D1456" s="11" t="s">
        <v>18</v>
      </c>
      <c r="E1456" s="11" t="s">
        <v>27</v>
      </c>
      <c r="F1456" s="11">
        <v>460</v>
      </c>
      <c r="G1456" s="11">
        <v>8</v>
      </c>
      <c r="H1456" s="6">
        <f t="shared" ref="H1456:H1465" si="102">F1456*G1456/1000</f>
        <v>3.68</v>
      </c>
    </row>
    <row r="1457" spans="1:8" hidden="1" x14ac:dyDescent="0.3">
      <c r="A1457" s="9">
        <v>45070</v>
      </c>
      <c r="B1457" t="s">
        <v>8</v>
      </c>
      <c r="C1457" t="s">
        <v>20</v>
      </c>
      <c r="D1457" t="s">
        <v>24</v>
      </c>
      <c r="E1457" t="s">
        <v>36</v>
      </c>
      <c r="F1457">
        <v>2460</v>
      </c>
      <c r="G1457">
        <v>8</v>
      </c>
      <c r="H1457" s="6">
        <f t="shared" si="102"/>
        <v>19.68</v>
      </c>
    </row>
    <row r="1458" spans="1:8" hidden="1" x14ac:dyDescent="0.3">
      <c r="A1458" s="9">
        <v>45070</v>
      </c>
      <c r="B1458" t="s">
        <v>8</v>
      </c>
      <c r="C1458" t="s">
        <v>26</v>
      </c>
      <c r="D1458" t="s">
        <v>24</v>
      </c>
      <c r="E1458" t="s">
        <v>30</v>
      </c>
      <c r="F1458">
        <v>2970</v>
      </c>
      <c r="G1458">
        <v>27</v>
      </c>
      <c r="H1458" s="6">
        <f t="shared" si="102"/>
        <v>80.19</v>
      </c>
    </row>
    <row r="1459" spans="1:8" hidden="1" x14ac:dyDescent="0.3">
      <c r="A1459" s="9">
        <v>45070</v>
      </c>
      <c r="B1459" t="s">
        <v>17</v>
      </c>
      <c r="C1459" t="s">
        <v>15</v>
      </c>
      <c r="D1459" t="s">
        <v>10</v>
      </c>
      <c r="E1459" t="s">
        <v>40</v>
      </c>
      <c r="F1459">
        <v>540</v>
      </c>
      <c r="G1459">
        <v>60</v>
      </c>
      <c r="H1459" s="6">
        <f t="shared" si="102"/>
        <v>32.4</v>
      </c>
    </row>
    <row r="1460" spans="1:8" hidden="1" x14ac:dyDescent="0.3">
      <c r="A1460" s="9">
        <v>45070</v>
      </c>
      <c r="B1460" t="s">
        <v>17</v>
      </c>
      <c r="C1460" t="s">
        <v>15</v>
      </c>
      <c r="D1460" t="s">
        <v>18</v>
      </c>
      <c r="E1460" t="s">
        <v>19</v>
      </c>
      <c r="F1460">
        <v>325</v>
      </c>
      <c r="G1460">
        <v>12</v>
      </c>
      <c r="H1460" s="6">
        <f t="shared" si="102"/>
        <v>3.9</v>
      </c>
    </row>
    <row r="1461" spans="1:8" hidden="1" x14ac:dyDescent="0.3">
      <c r="A1461" s="9">
        <v>45070</v>
      </c>
      <c r="B1461" t="s">
        <v>12</v>
      </c>
      <c r="C1461" t="s">
        <v>15</v>
      </c>
      <c r="D1461" t="s">
        <v>18</v>
      </c>
      <c r="E1461" t="s">
        <v>19</v>
      </c>
      <c r="F1461">
        <v>325</v>
      </c>
      <c r="G1461">
        <v>17</v>
      </c>
      <c r="H1461" s="6">
        <f t="shared" si="102"/>
        <v>5.5250000000000004</v>
      </c>
    </row>
    <row r="1462" spans="1:8" hidden="1" x14ac:dyDescent="0.3">
      <c r="A1462" s="9">
        <v>45070</v>
      </c>
      <c r="B1462" t="s">
        <v>45</v>
      </c>
      <c r="C1462" t="s">
        <v>15</v>
      </c>
      <c r="D1462" t="s">
        <v>13</v>
      </c>
      <c r="E1462" t="s">
        <v>38</v>
      </c>
      <c r="F1462">
        <v>2400</v>
      </c>
      <c r="G1462">
        <v>36</v>
      </c>
      <c r="H1462" s="6">
        <f t="shared" si="102"/>
        <v>86.4</v>
      </c>
    </row>
    <row r="1463" spans="1:8" hidden="1" x14ac:dyDescent="0.3">
      <c r="A1463" s="9">
        <v>45070</v>
      </c>
      <c r="B1463" t="s">
        <v>17</v>
      </c>
      <c r="C1463" t="s">
        <v>33</v>
      </c>
      <c r="D1463" t="s">
        <v>10</v>
      </c>
      <c r="E1463" t="s">
        <v>40</v>
      </c>
      <c r="F1463">
        <v>540</v>
      </c>
      <c r="G1463">
        <v>19</v>
      </c>
      <c r="H1463" s="6">
        <f t="shared" si="102"/>
        <v>10.26</v>
      </c>
    </row>
    <row r="1464" spans="1:8" hidden="1" x14ac:dyDescent="0.3">
      <c r="A1464" s="9">
        <v>45070</v>
      </c>
      <c r="B1464" t="s">
        <v>12</v>
      </c>
      <c r="C1464" t="s">
        <v>33</v>
      </c>
      <c r="D1464" t="s">
        <v>18</v>
      </c>
      <c r="E1464" t="s">
        <v>28</v>
      </c>
      <c r="F1464">
        <v>690</v>
      </c>
      <c r="G1464">
        <v>20</v>
      </c>
      <c r="H1464" s="6">
        <f t="shared" si="102"/>
        <v>13.8</v>
      </c>
    </row>
    <row r="1465" spans="1:8" hidden="1" x14ac:dyDescent="0.3">
      <c r="A1465" s="9">
        <v>45070</v>
      </c>
      <c r="B1465" t="s">
        <v>45</v>
      </c>
      <c r="C1465" t="s">
        <v>33</v>
      </c>
      <c r="D1465" t="s">
        <v>24</v>
      </c>
      <c r="E1465" t="s">
        <v>25</v>
      </c>
      <c r="F1465">
        <v>1760</v>
      </c>
      <c r="G1465">
        <v>48</v>
      </c>
      <c r="H1465" s="6">
        <f t="shared" si="102"/>
        <v>84.48</v>
      </c>
    </row>
    <row r="1466" spans="1:8" hidden="1" x14ac:dyDescent="0.3">
      <c r="A1466" s="13" t="s">
        <v>158</v>
      </c>
      <c r="H1466" s="6">
        <f>SUBTOTAL(9,H1456:H1465)</f>
        <v>0</v>
      </c>
    </row>
    <row r="1467" spans="1:8" hidden="1" x14ac:dyDescent="0.3">
      <c r="A1467" s="10">
        <v>45071</v>
      </c>
      <c r="B1467" s="11" t="s">
        <v>17</v>
      </c>
      <c r="C1467" s="11" t="s">
        <v>20</v>
      </c>
      <c r="D1467" s="11" t="s">
        <v>10</v>
      </c>
      <c r="E1467" s="11" t="s">
        <v>16</v>
      </c>
      <c r="F1467" s="11">
        <v>1380</v>
      </c>
      <c r="G1467" s="11">
        <v>83</v>
      </c>
      <c r="H1467" s="6">
        <f t="shared" ref="H1467:H1479" si="103">F1467*G1467/1000</f>
        <v>114.54</v>
      </c>
    </row>
    <row r="1468" spans="1:8" hidden="1" x14ac:dyDescent="0.3">
      <c r="A1468" s="9">
        <v>45071</v>
      </c>
      <c r="B1468" t="s">
        <v>12</v>
      </c>
      <c r="C1468" t="s">
        <v>20</v>
      </c>
      <c r="D1468" t="s">
        <v>24</v>
      </c>
      <c r="E1468" t="s">
        <v>32</v>
      </c>
      <c r="F1468">
        <v>1505</v>
      </c>
      <c r="G1468">
        <v>63</v>
      </c>
      <c r="H1468" s="6">
        <f t="shared" si="103"/>
        <v>94.814999999999998</v>
      </c>
    </row>
    <row r="1469" spans="1:8" hidden="1" x14ac:dyDescent="0.3">
      <c r="A1469" s="9">
        <v>45071</v>
      </c>
      <c r="B1469" t="s">
        <v>12</v>
      </c>
      <c r="C1469" t="s">
        <v>9</v>
      </c>
      <c r="D1469" t="s">
        <v>18</v>
      </c>
      <c r="E1469" t="s">
        <v>28</v>
      </c>
      <c r="F1469">
        <v>690</v>
      </c>
      <c r="G1469">
        <v>13</v>
      </c>
      <c r="H1469" s="6">
        <f t="shared" si="103"/>
        <v>8.9700000000000006</v>
      </c>
    </row>
    <row r="1470" spans="1:8" hidden="1" x14ac:dyDescent="0.3">
      <c r="A1470" s="9">
        <v>45071</v>
      </c>
      <c r="B1470" t="s">
        <v>45</v>
      </c>
      <c r="C1470" t="s">
        <v>9</v>
      </c>
      <c r="D1470" t="s">
        <v>18</v>
      </c>
      <c r="E1470" t="s">
        <v>37</v>
      </c>
      <c r="F1470">
        <v>890</v>
      </c>
      <c r="G1470">
        <v>69</v>
      </c>
      <c r="H1470" s="6">
        <f t="shared" si="103"/>
        <v>61.41</v>
      </c>
    </row>
    <row r="1471" spans="1:8" hidden="1" x14ac:dyDescent="0.3">
      <c r="A1471" s="9">
        <v>45071</v>
      </c>
      <c r="B1471" t="s">
        <v>17</v>
      </c>
      <c r="C1471" t="s">
        <v>9</v>
      </c>
      <c r="D1471" t="s">
        <v>18</v>
      </c>
      <c r="E1471" t="s">
        <v>37</v>
      </c>
      <c r="F1471">
        <v>890</v>
      </c>
      <c r="G1471">
        <v>86</v>
      </c>
      <c r="H1471" s="6">
        <f t="shared" si="103"/>
        <v>76.540000000000006</v>
      </c>
    </row>
    <row r="1472" spans="1:8" hidden="1" x14ac:dyDescent="0.3">
      <c r="A1472" s="9">
        <v>45071</v>
      </c>
      <c r="B1472" t="s">
        <v>12</v>
      </c>
      <c r="C1472" t="s">
        <v>9</v>
      </c>
      <c r="D1472" t="s">
        <v>18</v>
      </c>
      <c r="E1472" t="s">
        <v>31</v>
      </c>
      <c r="F1472">
        <v>715</v>
      </c>
      <c r="G1472">
        <v>88</v>
      </c>
      <c r="H1472" s="6">
        <f t="shared" si="103"/>
        <v>62.92</v>
      </c>
    </row>
    <row r="1473" spans="1:8" hidden="1" x14ac:dyDescent="0.3">
      <c r="A1473" s="9">
        <v>45071</v>
      </c>
      <c r="B1473" t="s">
        <v>45</v>
      </c>
      <c r="C1473" t="s">
        <v>9</v>
      </c>
      <c r="D1473" t="s">
        <v>24</v>
      </c>
      <c r="E1473" t="s">
        <v>34</v>
      </c>
      <c r="F1473">
        <v>1670</v>
      </c>
      <c r="G1473">
        <v>44</v>
      </c>
      <c r="H1473" s="6">
        <f t="shared" si="103"/>
        <v>73.48</v>
      </c>
    </row>
    <row r="1474" spans="1:8" hidden="1" x14ac:dyDescent="0.3">
      <c r="A1474" s="9">
        <v>45071</v>
      </c>
      <c r="B1474" t="s">
        <v>12</v>
      </c>
      <c r="C1474" t="s">
        <v>26</v>
      </c>
      <c r="D1474" t="s">
        <v>10</v>
      </c>
      <c r="E1474" t="s">
        <v>41</v>
      </c>
      <c r="F1474">
        <v>650</v>
      </c>
      <c r="G1474">
        <v>72</v>
      </c>
      <c r="H1474" s="6">
        <f t="shared" si="103"/>
        <v>46.8</v>
      </c>
    </row>
    <row r="1475" spans="1:8" hidden="1" x14ac:dyDescent="0.3">
      <c r="A1475" s="9">
        <v>45071</v>
      </c>
      <c r="B1475" t="s">
        <v>45</v>
      </c>
      <c r="C1475" t="s">
        <v>26</v>
      </c>
      <c r="D1475" t="s">
        <v>10</v>
      </c>
      <c r="E1475" t="s">
        <v>40</v>
      </c>
      <c r="F1475">
        <v>540</v>
      </c>
      <c r="G1475">
        <v>91</v>
      </c>
      <c r="H1475" s="6">
        <f t="shared" si="103"/>
        <v>49.14</v>
      </c>
    </row>
    <row r="1476" spans="1:8" hidden="1" x14ac:dyDescent="0.3">
      <c r="A1476" s="9">
        <v>45071</v>
      </c>
      <c r="B1476" t="s">
        <v>8</v>
      </c>
      <c r="C1476" t="s">
        <v>33</v>
      </c>
      <c r="D1476" t="s">
        <v>18</v>
      </c>
      <c r="E1476" t="s">
        <v>19</v>
      </c>
      <c r="F1476">
        <v>325</v>
      </c>
      <c r="G1476">
        <v>61</v>
      </c>
      <c r="H1476" s="6">
        <f t="shared" si="103"/>
        <v>19.824999999999999</v>
      </c>
    </row>
    <row r="1477" spans="1:8" hidden="1" x14ac:dyDescent="0.3">
      <c r="A1477" s="9">
        <v>45071</v>
      </c>
      <c r="B1477" t="s">
        <v>8</v>
      </c>
      <c r="C1477" t="s">
        <v>33</v>
      </c>
      <c r="D1477" t="s">
        <v>13</v>
      </c>
      <c r="E1477" t="s">
        <v>43</v>
      </c>
      <c r="F1477">
        <v>1420</v>
      </c>
      <c r="G1477">
        <v>82</v>
      </c>
      <c r="H1477" s="6">
        <f t="shared" si="103"/>
        <v>116.44</v>
      </c>
    </row>
    <row r="1478" spans="1:8" hidden="1" x14ac:dyDescent="0.3">
      <c r="A1478" s="9">
        <v>45071</v>
      </c>
      <c r="B1478" t="s">
        <v>8</v>
      </c>
      <c r="C1478" t="s">
        <v>33</v>
      </c>
      <c r="D1478" t="s">
        <v>24</v>
      </c>
      <c r="E1478" t="s">
        <v>32</v>
      </c>
      <c r="F1478">
        <v>1505</v>
      </c>
      <c r="G1478">
        <v>59</v>
      </c>
      <c r="H1478" s="6">
        <f t="shared" si="103"/>
        <v>88.795000000000002</v>
      </c>
    </row>
    <row r="1479" spans="1:8" hidden="1" x14ac:dyDescent="0.3">
      <c r="A1479" s="9">
        <v>45071</v>
      </c>
      <c r="B1479" t="s">
        <v>17</v>
      </c>
      <c r="C1479" t="s">
        <v>35</v>
      </c>
      <c r="D1479" t="s">
        <v>10</v>
      </c>
      <c r="E1479" t="s">
        <v>11</v>
      </c>
      <c r="F1479">
        <v>705</v>
      </c>
      <c r="G1479">
        <v>50</v>
      </c>
      <c r="H1479" s="6">
        <f t="shared" si="103"/>
        <v>35.25</v>
      </c>
    </row>
    <row r="1480" spans="1:8" hidden="1" x14ac:dyDescent="0.3">
      <c r="A1480" s="13" t="s">
        <v>159</v>
      </c>
      <c r="H1480" s="6">
        <f>SUBTOTAL(9,H1467:H1479)</f>
        <v>0</v>
      </c>
    </row>
    <row r="1481" spans="1:8" hidden="1" x14ac:dyDescent="0.3">
      <c r="A1481" s="10">
        <v>45072</v>
      </c>
      <c r="B1481" s="11" t="s">
        <v>45</v>
      </c>
      <c r="C1481" s="11" t="s">
        <v>20</v>
      </c>
      <c r="D1481" s="11" t="s">
        <v>18</v>
      </c>
      <c r="E1481" s="11" t="s">
        <v>21</v>
      </c>
      <c r="F1481" s="11">
        <v>450</v>
      </c>
      <c r="G1481" s="11">
        <v>89</v>
      </c>
      <c r="H1481" s="6">
        <f t="shared" ref="H1481:H1492" si="104">F1481*G1481/1000</f>
        <v>40.049999999999997</v>
      </c>
    </row>
    <row r="1482" spans="1:8" hidden="1" x14ac:dyDescent="0.3">
      <c r="A1482" s="9">
        <v>45072</v>
      </c>
      <c r="B1482" t="s">
        <v>8</v>
      </c>
      <c r="C1482" t="s">
        <v>20</v>
      </c>
      <c r="D1482" t="s">
        <v>18</v>
      </c>
      <c r="E1482" t="s">
        <v>37</v>
      </c>
      <c r="F1482">
        <v>890</v>
      </c>
      <c r="G1482">
        <v>97</v>
      </c>
      <c r="H1482" s="6">
        <f t="shared" si="104"/>
        <v>86.33</v>
      </c>
    </row>
    <row r="1483" spans="1:8" hidden="1" x14ac:dyDescent="0.3">
      <c r="A1483" s="10">
        <v>45072</v>
      </c>
      <c r="B1483" s="11" t="s">
        <v>8</v>
      </c>
      <c r="C1483" s="11" t="s">
        <v>20</v>
      </c>
      <c r="D1483" s="11" t="s">
        <v>18</v>
      </c>
      <c r="E1483" s="11" t="s">
        <v>28</v>
      </c>
      <c r="F1483" s="11">
        <v>690</v>
      </c>
      <c r="G1483" s="11">
        <v>95</v>
      </c>
      <c r="H1483" s="6">
        <f t="shared" si="104"/>
        <v>65.55</v>
      </c>
    </row>
    <row r="1484" spans="1:8" hidden="1" x14ac:dyDescent="0.3">
      <c r="A1484" s="9">
        <v>45072</v>
      </c>
      <c r="B1484" t="s">
        <v>12</v>
      </c>
      <c r="C1484" t="s">
        <v>20</v>
      </c>
      <c r="D1484" t="s">
        <v>18</v>
      </c>
      <c r="E1484" t="s">
        <v>27</v>
      </c>
      <c r="F1484">
        <v>460</v>
      </c>
      <c r="G1484">
        <v>21</v>
      </c>
      <c r="H1484" s="6">
        <f t="shared" si="104"/>
        <v>9.66</v>
      </c>
    </row>
    <row r="1485" spans="1:8" hidden="1" x14ac:dyDescent="0.3">
      <c r="A1485" s="10">
        <v>45072</v>
      </c>
      <c r="B1485" s="11" t="s">
        <v>45</v>
      </c>
      <c r="C1485" s="11" t="s">
        <v>20</v>
      </c>
      <c r="D1485" s="11" t="s">
        <v>18</v>
      </c>
      <c r="E1485" s="11" t="s">
        <v>37</v>
      </c>
      <c r="F1485" s="11">
        <v>890</v>
      </c>
      <c r="G1485" s="11">
        <v>9</v>
      </c>
      <c r="H1485" s="6">
        <f t="shared" si="104"/>
        <v>8.01</v>
      </c>
    </row>
    <row r="1486" spans="1:8" hidden="1" x14ac:dyDescent="0.3">
      <c r="A1486" s="9">
        <v>45072</v>
      </c>
      <c r="B1486" t="s">
        <v>45</v>
      </c>
      <c r="C1486" t="s">
        <v>20</v>
      </c>
      <c r="D1486" t="s">
        <v>13</v>
      </c>
      <c r="E1486" t="s">
        <v>14</v>
      </c>
      <c r="F1486">
        <v>1320</v>
      </c>
      <c r="G1486">
        <v>22</v>
      </c>
      <c r="H1486" s="6">
        <f t="shared" si="104"/>
        <v>29.04</v>
      </c>
    </row>
    <row r="1487" spans="1:8" hidden="1" x14ac:dyDescent="0.3">
      <c r="A1487" s="10">
        <v>45072</v>
      </c>
      <c r="B1487" s="11" t="s">
        <v>8</v>
      </c>
      <c r="C1487" s="11" t="s">
        <v>20</v>
      </c>
      <c r="D1487" s="11" t="s">
        <v>24</v>
      </c>
      <c r="E1487" s="11" t="s">
        <v>34</v>
      </c>
      <c r="F1487" s="11">
        <v>1670</v>
      </c>
      <c r="G1487" s="11">
        <v>90</v>
      </c>
      <c r="H1487" s="6">
        <f t="shared" si="104"/>
        <v>150.30000000000001</v>
      </c>
    </row>
    <row r="1488" spans="1:8" hidden="1" x14ac:dyDescent="0.3">
      <c r="A1488" s="9">
        <v>45072</v>
      </c>
      <c r="B1488" t="s">
        <v>12</v>
      </c>
      <c r="C1488" t="s">
        <v>26</v>
      </c>
      <c r="D1488" t="s">
        <v>13</v>
      </c>
      <c r="E1488" t="s">
        <v>44</v>
      </c>
      <c r="F1488">
        <v>2540</v>
      </c>
      <c r="G1488">
        <v>97</v>
      </c>
      <c r="H1488" s="6">
        <f t="shared" si="104"/>
        <v>246.38</v>
      </c>
    </row>
    <row r="1489" spans="1:8" hidden="1" x14ac:dyDescent="0.3">
      <c r="A1489" s="9">
        <v>45072</v>
      </c>
      <c r="B1489" t="s">
        <v>45</v>
      </c>
      <c r="C1489" t="s">
        <v>26</v>
      </c>
      <c r="D1489" t="s">
        <v>24</v>
      </c>
      <c r="E1489" t="s">
        <v>34</v>
      </c>
      <c r="F1489">
        <v>1670</v>
      </c>
      <c r="G1489">
        <v>14</v>
      </c>
      <c r="H1489" s="6">
        <f t="shared" si="104"/>
        <v>23.38</v>
      </c>
    </row>
    <row r="1490" spans="1:8" hidden="1" x14ac:dyDescent="0.3">
      <c r="A1490" s="9">
        <v>45072</v>
      </c>
      <c r="B1490" t="s">
        <v>17</v>
      </c>
      <c r="C1490" t="s">
        <v>15</v>
      </c>
      <c r="D1490" t="s">
        <v>10</v>
      </c>
      <c r="E1490" t="s">
        <v>41</v>
      </c>
      <c r="F1490">
        <v>650</v>
      </c>
      <c r="G1490">
        <v>30</v>
      </c>
      <c r="H1490" s="6">
        <f t="shared" si="104"/>
        <v>19.5</v>
      </c>
    </row>
    <row r="1491" spans="1:8" hidden="1" x14ac:dyDescent="0.3">
      <c r="A1491" s="9">
        <v>45072</v>
      </c>
      <c r="B1491" t="s">
        <v>12</v>
      </c>
      <c r="C1491" t="s">
        <v>15</v>
      </c>
      <c r="D1491" t="s">
        <v>18</v>
      </c>
      <c r="E1491" t="s">
        <v>21</v>
      </c>
      <c r="F1491">
        <v>450</v>
      </c>
      <c r="G1491">
        <v>52</v>
      </c>
      <c r="H1491" s="6">
        <f t="shared" si="104"/>
        <v>23.4</v>
      </c>
    </row>
    <row r="1492" spans="1:8" hidden="1" x14ac:dyDescent="0.3">
      <c r="A1492" s="9">
        <v>45072</v>
      </c>
      <c r="B1492" t="s">
        <v>12</v>
      </c>
      <c r="C1492" t="s">
        <v>35</v>
      </c>
      <c r="D1492" t="s">
        <v>18</v>
      </c>
      <c r="E1492" t="s">
        <v>21</v>
      </c>
      <c r="F1492">
        <v>450</v>
      </c>
      <c r="G1492">
        <v>61</v>
      </c>
      <c r="H1492" s="6">
        <f t="shared" si="104"/>
        <v>27.45</v>
      </c>
    </row>
    <row r="1493" spans="1:8" hidden="1" x14ac:dyDescent="0.3">
      <c r="A1493" s="13" t="s">
        <v>160</v>
      </c>
      <c r="H1493" s="6">
        <f>SUBTOTAL(9,H1481:H1492)</f>
        <v>0</v>
      </c>
    </row>
    <row r="1494" spans="1:8" hidden="1" x14ac:dyDescent="0.3">
      <c r="A1494" s="9">
        <v>45073</v>
      </c>
      <c r="B1494" t="s">
        <v>8</v>
      </c>
      <c r="C1494" t="s">
        <v>20</v>
      </c>
      <c r="D1494" t="s">
        <v>10</v>
      </c>
      <c r="E1494" t="s">
        <v>16</v>
      </c>
      <c r="F1494">
        <v>1380</v>
      </c>
      <c r="G1494">
        <v>10</v>
      </c>
      <c r="H1494" s="6">
        <f t="shared" ref="H1494:H1499" si="105">F1494*G1494/1000</f>
        <v>13.8</v>
      </c>
    </row>
    <row r="1495" spans="1:8" hidden="1" x14ac:dyDescent="0.3">
      <c r="A1495" s="10">
        <v>45073</v>
      </c>
      <c r="B1495" s="11" t="s">
        <v>8</v>
      </c>
      <c r="C1495" s="11" t="s">
        <v>20</v>
      </c>
      <c r="D1495" s="11" t="s">
        <v>24</v>
      </c>
      <c r="E1495" s="11" t="s">
        <v>34</v>
      </c>
      <c r="F1495" s="11">
        <v>1670</v>
      </c>
      <c r="G1495" s="11">
        <v>85</v>
      </c>
      <c r="H1495" s="6">
        <f t="shared" si="105"/>
        <v>141.94999999999999</v>
      </c>
    </row>
    <row r="1496" spans="1:8" hidden="1" x14ac:dyDescent="0.3">
      <c r="A1496" s="9">
        <v>45073</v>
      </c>
      <c r="B1496" t="s">
        <v>12</v>
      </c>
      <c r="C1496" t="s">
        <v>26</v>
      </c>
      <c r="D1496" t="s">
        <v>10</v>
      </c>
      <c r="E1496" t="s">
        <v>41</v>
      </c>
      <c r="F1496">
        <v>650</v>
      </c>
      <c r="G1496">
        <v>58</v>
      </c>
      <c r="H1496" s="6">
        <f t="shared" si="105"/>
        <v>37.700000000000003</v>
      </c>
    </row>
    <row r="1497" spans="1:8" hidden="1" x14ac:dyDescent="0.3">
      <c r="A1497" s="9">
        <v>45073</v>
      </c>
      <c r="B1497" t="s">
        <v>12</v>
      </c>
      <c r="C1497" t="s">
        <v>26</v>
      </c>
      <c r="D1497" t="s">
        <v>13</v>
      </c>
      <c r="E1497" t="s">
        <v>14</v>
      </c>
      <c r="F1497">
        <v>1320</v>
      </c>
      <c r="G1497">
        <v>61</v>
      </c>
      <c r="H1497" s="6">
        <f t="shared" si="105"/>
        <v>80.52</v>
      </c>
    </row>
    <row r="1498" spans="1:8" hidden="1" x14ac:dyDescent="0.3">
      <c r="A1498" s="9">
        <v>45073</v>
      </c>
      <c r="B1498" t="s">
        <v>45</v>
      </c>
      <c r="C1498" t="s">
        <v>33</v>
      </c>
      <c r="D1498" t="s">
        <v>24</v>
      </c>
      <c r="E1498" t="s">
        <v>25</v>
      </c>
      <c r="F1498">
        <v>1760</v>
      </c>
      <c r="G1498">
        <v>45</v>
      </c>
      <c r="H1498" s="6">
        <f t="shared" si="105"/>
        <v>79.2</v>
      </c>
    </row>
    <row r="1499" spans="1:8" hidden="1" x14ac:dyDescent="0.3">
      <c r="A1499" s="9">
        <v>45073</v>
      </c>
      <c r="B1499" t="s">
        <v>12</v>
      </c>
      <c r="C1499" t="s">
        <v>33</v>
      </c>
      <c r="D1499" t="s">
        <v>24</v>
      </c>
      <c r="E1499" t="s">
        <v>36</v>
      </c>
      <c r="F1499">
        <v>2460</v>
      </c>
      <c r="G1499">
        <v>5</v>
      </c>
      <c r="H1499" s="6">
        <f t="shared" si="105"/>
        <v>12.3</v>
      </c>
    </row>
    <row r="1500" spans="1:8" hidden="1" x14ac:dyDescent="0.3">
      <c r="A1500" s="13" t="s">
        <v>161</v>
      </c>
      <c r="H1500" s="6">
        <f>SUBTOTAL(9,H1494:H1499)</f>
        <v>0</v>
      </c>
    </row>
    <row r="1501" spans="1:8" hidden="1" x14ac:dyDescent="0.3">
      <c r="A1501" s="9">
        <v>45074</v>
      </c>
      <c r="B1501" t="s">
        <v>45</v>
      </c>
      <c r="C1501" t="s">
        <v>9</v>
      </c>
      <c r="D1501" t="s">
        <v>18</v>
      </c>
      <c r="E1501" t="s">
        <v>31</v>
      </c>
      <c r="F1501">
        <v>715</v>
      </c>
      <c r="G1501">
        <v>75</v>
      </c>
      <c r="H1501" s="6">
        <f>F1501*G1501/1000</f>
        <v>53.625</v>
      </c>
    </row>
    <row r="1502" spans="1:8" hidden="1" x14ac:dyDescent="0.3">
      <c r="A1502" s="9">
        <v>45074</v>
      </c>
      <c r="B1502" t="s">
        <v>45</v>
      </c>
      <c r="C1502" t="s">
        <v>26</v>
      </c>
      <c r="D1502" t="s">
        <v>24</v>
      </c>
      <c r="E1502" t="s">
        <v>34</v>
      </c>
      <c r="F1502">
        <v>1670</v>
      </c>
      <c r="G1502">
        <v>37</v>
      </c>
      <c r="H1502" s="6">
        <f>F1502*G1502/1000</f>
        <v>61.79</v>
      </c>
    </row>
    <row r="1503" spans="1:8" hidden="1" x14ac:dyDescent="0.3">
      <c r="A1503" s="9">
        <v>45074</v>
      </c>
      <c r="B1503" t="s">
        <v>8</v>
      </c>
      <c r="C1503" t="s">
        <v>33</v>
      </c>
      <c r="D1503" t="s">
        <v>13</v>
      </c>
      <c r="E1503" t="s">
        <v>22</v>
      </c>
      <c r="F1503">
        <v>930</v>
      </c>
      <c r="G1503">
        <v>56</v>
      </c>
      <c r="H1503" s="6">
        <f>F1503*G1503/1000</f>
        <v>52.08</v>
      </c>
    </row>
    <row r="1504" spans="1:8" hidden="1" x14ac:dyDescent="0.3">
      <c r="A1504" s="9">
        <v>45074</v>
      </c>
      <c r="B1504" t="s">
        <v>8</v>
      </c>
      <c r="C1504" t="s">
        <v>35</v>
      </c>
      <c r="D1504" t="s">
        <v>18</v>
      </c>
      <c r="E1504" t="s">
        <v>37</v>
      </c>
      <c r="F1504">
        <v>890</v>
      </c>
      <c r="G1504">
        <v>25</v>
      </c>
      <c r="H1504" s="6">
        <f>F1504*G1504/1000</f>
        <v>22.25</v>
      </c>
    </row>
    <row r="1505" spans="1:8" hidden="1" x14ac:dyDescent="0.3">
      <c r="A1505" s="9">
        <v>45074</v>
      </c>
      <c r="B1505" t="s">
        <v>17</v>
      </c>
      <c r="C1505" t="s">
        <v>35</v>
      </c>
      <c r="D1505" t="s">
        <v>13</v>
      </c>
      <c r="E1505" t="s">
        <v>38</v>
      </c>
      <c r="F1505">
        <v>2400</v>
      </c>
      <c r="G1505">
        <v>67</v>
      </c>
      <c r="H1505" s="6">
        <f>F1505*G1505/1000</f>
        <v>160.80000000000001</v>
      </c>
    </row>
    <row r="1506" spans="1:8" hidden="1" x14ac:dyDescent="0.3">
      <c r="A1506" s="13" t="s">
        <v>162</v>
      </c>
      <c r="H1506" s="6">
        <f>SUBTOTAL(9,H1501:H1505)</f>
        <v>0</v>
      </c>
    </row>
    <row r="1507" spans="1:8" hidden="1" x14ac:dyDescent="0.3">
      <c r="A1507" s="9">
        <v>45075</v>
      </c>
      <c r="B1507" t="s">
        <v>8</v>
      </c>
      <c r="C1507" t="s">
        <v>20</v>
      </c>
      <c r="D1507" t="s">
        <v>10</v>
      </c>
      <c r="E1507" t="s">
        <v>23</v>
      </c>
      <c r="F1507">
        <v>640</v>
      </c>
      <c r="G1507">
        <v>7</v>
      </c>
      <c r="H1507" s="6">
        <f t="shared" ref="H1507:H1520" si="106">F1507*G1507/1000</f>
        <v>4.4800000000000004</v>
      </c>
    </row>
    <row r="1508" spans="1:8" hidden="1" x14ac:dyDescent="0.3">
      <c r="A1508" s="9">
        <v>45075</v>
      </c>
      <c r="B1508" t="s">
        <v>45</v>
      </c>
      <c r="C1508" t="s">
        <v>9</v>
      </c>
      <c r="D1508" t="s">
        <v>10</v>
      </c>
      <c r="E1508" t="s">
        <v>23</v>
      </c>
      <c r="F1508">
        <v>640</v>
      </c>
      <c r="G1508">
        <v>52</v>
      </c>
      <c r="H1508" s="6">
        <f t="shared" si="106"/>
        <v>33.28</v>
      </c>
    </row>
    <row r="1509" spans="1:8" hidden="1" x14ac:dyDescent="0.3">
      <c r="A1509" s="9">
        <v>45075</v>
      </c>
      <c r="B1509" t="s">
        <v>12</v>
      </c>
      <c r="C1509" t="s">
        <v>9</v>
      </c>
      <c r="D1509" t="s">
        <v>13</v>
      </c>
      <c r="E1509" t="s">
        <v>43</v>
      </c>
      <c r="F1509">
        <v>1420</v>
      </c>
      <c r="G1509">
        <v>93</v>
      </c>
      <c r="H1509" s="6">
        <f t="shared" si="106"/>
        <v>132.06</v>
      </c>
    </row>
    <row r="1510" spans="1:8" hidden="1" x14ac:dyDescent="0.3">
      <c r="A1510" s="9">
        <v>45075</v>
      </c>
      <c r="B1510" t="s">
        <v>17</v>
      </c>
      <c r="C1510" t="s">
        <v>9</v>
      </c>
      <c r="D1510" t="s">
        <v>24</v>
      </c>
      <c r="E1510" t="s">
        <v>34</v>
      </c>
      <c r="F1510">
        <v>1670</v>
      </c>
      <c r="G1510">
        <v>6</v>
      </c>
      <c r="H1510" s="6">
        <f t="shared" si="106"/>
        <v>10.02</v>
      </c>
    </row>
    <row r="1511" spans="1:8" hidden="1" x14ac:dyDescent="0.3">
      <c r="A1511" s="9">
        <v>45075</v>
      </c>
      <c r="B1511" t="s">
        <v>12</v>
      </c>
      <c r="C1511" t="s">
        <v>26</v>
      </c>
      <c r="D1511" t="s">
        <v>18</v>
      </c>
      <c r="E1511" t="s">
        <v>21</v>
      </c>
      <c r="F1511">
        <v>450</v>
      </c>
      <c r="G1511">
        <v>18</v>
      </c>
      <c r="H1511" s="6">
        <f t="shared" si="106"/>
        <v>8.1</v>
      </c>
    </row>
    <row r="1512" spans="1:8" hidden="1" x14ac:dyDescent="0.3">
      <c r="A1512" s="9">
        <v>45075</v>
      </c>
      <c r="B1512" t="s">
        <v>12</v>
      </c>
      <c r="C1512" t="s">
        <v>26</v>
      </c>
      <c r="D1512" t="s">
        <v>18</v>
      </c>
      <c r="E1512" t="s">
        <v>27</v>
      </c>
      <c r="F1512">
        <v>460</v>
      </c>
      <c r="G1512">
        <v>17</v>
      </c>
      <c r="H1512" s="6">
        <f t="shared" si="106"/>
        <v>7.82</v>
      </c>
    </row>
    <row r="1513" spans="1:8" hidden="1" x14ac:dyDescent="0.3">
      <c r="A1513" s="9">
        <v>45075</v>
      </c>
      <c r="B1513" t="s">
        <v>8</v>
      </c>
      <c r="C1513" t="s">
        <v>26</v>
      </c>
      <c r="D1513" t="s">
        <v>13</v>
      </c>
      <c r="E1513" t="s">
        <v>38</v>
      </c>
      <c r="F1513">
        <v>2400</v>
      </c>
      <c r="G1513">
        <v>88</v>
      </c>
      <c r="H1513" s="6">
        <f t="shared" si="106"/>
        <v>211.2</v>
      </c>
    </row>
    <row r="1514" spans="1:8" hidden="1" x14ac:dyDescent="0.3">
      <c r="A1514" s="9">
        <v>45075</v>
      </c>
      <c r="B1514" t="s">
        <v>12</v>
      </c>
      <c r="C1514" t="s">
        <v>26</v>
      </c>
      <c r="D1514" t="s">
        <v>24</v>
      </c>
      <c r="E1514" t="s">
        <v>30</v>
      </c>
      <c r="F1514">
        <v>2970</v>
      </c>
      <c r="G1514">
        <v>68</v>
      </c>
      <c r="H1514" s="6">
        <f t="shared" si="106"/>
        <v>201.96</v>
      </c>
    </row>
    <row r="1515" spans="1:8" hidden="1" x14ac:dyDescent="0.3">
      <c r="A1515" s="9">
        <v>45075</v>
      </c>
      <c r="B1515" t="s">
        <v>45</v>
      </c>
      <c r="C1515" t="s">
        <v>15</v>
      </c>
      <c r="D1515" t="s">
        <v>18</v>
      </c>
      <c r="E1515" t="s">
        <v>37</v>
      </c>
      <c r="F1515">
        <v>890</v>
      </c>
      <c r="G1515">
        <v>95</v>
      </c>
      <c r="H1515" s="6">
        <f t="shared" si="106"/>
        <v>84.55</v>
      </c>
    </row>
    <row r="1516" spans="1:8" hidden="1" x14ac:dyDescent="0.3">
      <c r="A1516" s="9">
        <v>45075</v>
      </c>
      <c r="B1516" t="s">
        <v>8</v>
      </c>
      <c r="C1516" t="s">
        <v>15</v>
      </c>
      <c r="D1516" t="s">
        <v>24</v>
      </c>
      <c r="E1516" t="s">
        <v>42</v>
      </c>
      <c r="F1516">
        <v>3205</v>
      </c>
      <c r="G1516">
        <v>94</v>
      </c>
      <c r="H1516" s="6">
        <f t="shared" si="106"/>
        <v>301.27</v>
      </c>
    </row>
    <row r="1517" spans="1:8" hidden="1" x14ac:dyDescent="0.3">
      <c r="A1517" s="9">
        <v>45075</v>
      </c>
      <c r="B1517" t="s">
        <v>8</v>
      </c>
      <c r="C1517" t="s">
        <v>33</v>
      </c>
      <c r="D1517" t="s">
        <v>18</v>
      </c>
      <c r="E1517" t="s">
        <v>28</v>
      </c>
      <c r="F1517">
        <v>690</v>
      </c>
      <c r="G1517">
        <v>30</v>
      </c>
      <c r="H1517" s="6">
        <f t="shared" si="106"/>
        <v>20.7</v>
      </c>
    </row>
    <row r="1518" spans="1:8" hidden="1" x14ac:dyDescent="0.3">
      <c r="A1518" s="9">
        <v>45075</v>
      </c>
      <c r="B1518" t="s">
        <v>8</v>
      </c>
      <c r="C1518" t="s">
        <v>33</v>
      </c>
      <c r="D1518" t="s">
        <v>13</v>
      </c>
      <c r="E1518" t="s">
        <v>29</v>
      </c>
      <c r="F1518">
        <v>1230</v>
      </c>
      <c r="G1518">
        <v>68</v>
      </c>
      <c r="H1518" s="6">
        <f t="shared" si="106"/>
        <v>83.64</v>
      </c>
    </row>
    <row r="1519" spans="1:8" x14ac:dyDescent="0.3">
      <c r="A1519" s="9">
        <v>45075</v>
      </c>
      <c r="B1519" t="s">
        <v>45</v>
      </c>
      <c r="C1519" t="s">
        <v>33</v>
      </c>
      <c r="D1519" t="s">
        <v>13</v>
      </c>
      <c r="E1519" t="s">
        <v>29</v>
      </c>
      <c r="F1519">
        <v>1230</v>
      </c>
      <c r="G1519">
        <v>32</v>
      </c>
      <c r="H1519" s="6">
        <f t="shared" si="106"/>
        <v>39.36</v>
      </c>
    </row>
    <row r="1520" spans="1:8" hidden="1" x14ac:dyDescent="0.3">
      <c r="A1520" s="9">
        <v>45075</v>
      </c>
      <c r="B1520" t="s">
        <v>17</v>
      </c>
      <c r="C1520" t="s">
        <v>35</v>
      </c>
      <c r="D1520" t="s">
        <v>10</v>
      </c>
      <c r="E1520" t="s">
        <v>39</v>
      </c>
      <c r="F1520">
        <v>650</v>
      </c>
      <c r="G1520">
        <v>17</v>
      </c>
      <c r="H1520" s="6">
        <f t="shared" si="106"/>
        <v>11.05</v>
      </c>
    </row>
    <row r="1521" spans="1:8" hidden="1" x14ac:dyDescent="0.3">
      <c r="A1521" s="13" t="s">
        <v>163</v>
      </c>
      <c r="H1521" s="6">
        <f>SUBTOTAL(9,H1507:H1520)</f>
        <v>39.36</v>
      </c>
    </row>
    <row r="1522" spans="1:8" hidden="1" x14ac:dyDescent="0.3">
      <c r="A1522" s="9">
        <v>45076</v>
      </c>
      <c r="B1522" t="s">
        <v>8</v>
      </c>
      <c r="C1522" t="s">
        <v>9</v>
      </c>
      <c r="D1522" t="s">
        <v>18</v>
      </c>
      <c r="E1522" t="s">
        <v>31</v>
      </c>
      <c r="F1522">
        <v>715</v>
      </c>
      <c r="G1522">
        <v>91</v>
      </c>
      <c r="H1522" s="6">
        <f t="shared" ref="H1522:H1529" si="107">F1522*G1522/1000</f>
        <v>65.064999999999998</v>
      </c>
    </row>
    <row r="1523" spans="1:8" hidden="1" x14ac:dyDescent="0.3">
      <c r="A1523" s="9">
        <v>45076</v>
      </c>
      <c r="B1523" t="s">
        <v>8</v>
      </c>
      <c r="C1523" t="s">
        <v>9</v>
      </c>
      <c r="D1523" t="s">
        <v>24</v>
      </c>
      <c r="E1523" t="s">
        <v>32</v>
      </c>
      <c r="F1523">
        <v>1505</v>
      </c>
      <c r="G1523">
        <v>35</v>
      </c>
      <c r="H1523" s="6">
        <f t="shared" si="107"/>
        <v>52.674999999999997</v>
      </c>
    </row>
    <row r="1524" spans="1:8" hidden="1" x14ac:dyDescent="0.3">
      <c r="A1524" s="9">
        <v>45076</v>
      </c>
      <c r="B1524" t="s">
        <v>45</v>
      </c>
      <c r="C1524" t="s">
        <v>15</v>
      </c>
      <c r="D1524" t="s">
        <v>18</v>
      </c>
      <c r="E1524" t="s">
        <v>31</v>
      </c>
      <c r="F1524">
        <v>715</v>
      </c>
      <c r="G1524">
        <v>8</v>
      </c>
      <c r="H1524" s="6">
        <f t="shared" si="107"/>
        <v>5.72</v>
      </c>
    </row>
    <row r="1525" spans="1:8" hidden="1" x14ac:dyDescent="0.3">
      <c r="A1525" s="9">
        <v>45076</v>
      </c>
      <c r="B1525" t="s">
        <v>17</v>
      </c>
      <c r="C1525" t="s">
        <v>15</v>
      </c>
      <c r="D1525" t="s">
        <v>18</v>
      </c>
      <c r="E1525" t="s">
        <v>28</v>
      </c>
      <c r="F1525">
        <v>690</v>
      </c>
      <c r="G1525">
        <v>42</v>
      </c>
      <c r="H1525" s="6">
        <f t="shared" si="107"/>
        <v>28.98</v>
      </c>
    </row>
    <row r="1526" spans="1:8" hidden="1" x14ac:dyDescent="0.3">
      <c r="A1526" s="9">
        <v>45076</v>
      </c>
      <c r="B1526" t="s">
        <v>8</v>
      </c>
      <c r="C1526" t="s">
        <v>15</v>
      </c>
      <c r="D1526" t="s">
        <v>24</v>
      </c>
      <c r="E1526" t="s">
        <v>36</v>
      </c>
      <c r="F1526">
        <v>2460</v>
      </c>
      <c r="G1526">
        <v>11</v>
      </c>
      <c r="H1526" s="6">
        <f t="shared" si="107"/>
        <v>27.06</v>
      </c>
    </row>
    <row r="1527" spans="1:8" hidden="1" x14ac:dyDescent="0.3">
      <c r="A1527" s="9">
        <v>45076</v>
      </c>
      <c r="B1527" t="s">
        <v>8</v>
      </c>
      <c r="C1527" t="s">
        <v>33</v>
      </c>
      <c r="D1527" t="s">
        <v>24</v>
      </c>
      <c r="E1527" t="s">
        <v>25</v>
      </c>
      <c r="F1527">
        <v>1760</v>
      </c>
      <c r="G1527">
        <v>63</v>
      </c>
      <c r="H1527" s="6">
        <f t="shared" si="107"/>
        <v>110.88</v>
      </c>
    </row>
    <row r="1528" spans="1:8" hidden="1" x14ac:dyDescent="0.3">
      <c r="A1528" s="9">
        <v>45076</v>
      </c>
      <c r="B1528" t="s">
        <v>17</v>
      </c>
      <c r="C1528" t="s">
        <v>35</v>
      </c>
      <c r="D1528" t="s">
        <v>18</v>
      </c>
      <c r="E1528" t="s">
        <v>31</v>
      </c>
      <c r="F1528">
        <v>715</v>
      </c>
      <c r="G1528">
        <v>12</v>
      </c>
      <c r="H1528" s="6">
        <f t="shared" si="107"/>
        <v>8.58</v>
      </c>
    </row>
    <row r="1529" spans="1:8" hidden="1" x14ac:dyDescent="0.3">
      <c r="A1529" s="9">
        <v>45076</v>
      </c>
      <c r="B1529" t="s">
        <v>8</v>
      </c>
      <c r="C1529" t="s">
        <v>35</v>
      </c>
      <c r="D1529" t="s">
        <v>13</v>
      </c>
      <c r="E1529" t="s">
        <v>14</v>
      </c>
      <c r="F1529">
        <v>1320</v>
      </c>
      <c r="G1529">
        <v>24</v>
      </c>
      <c r="H1529" s="6">
        <f t="shared" si="107"/>
        <v>31.68</v>
      </c>
    </row>
    <row r="1530" spans="1:8" hidden="1" x14ac:dyDescent="0.3">
      <c r="A1530" s="13" t="s">
        <v>164</v>
      </c>
      <c r="H1530" s="6">
        <f>SUBTOTAL(9,H1522:H1529)</f>
        <v>0</v>
      </c>
    </row>
    <row r="1531" spans="1:8" hidden="1" x14ac:dyDescent="0.3">
      <c r="A1531" s="10">
        <v>45077</v>
      </c>
      <c r="B1531" s="11" t="s">
        <v>12</v>
      </c>
      <c r="C1531" s="11" t="s">
        <v>20</v>
      </c>
      <c r="D1531" s="11" t="s">
        <v>13</v>
      </c>
      <c r="E1531" s="11" t="s">
        <v>14</v>
      </c>
      <c r="F1531" s="11">
        <v>1320</v>
      </c>
      <c r="G1531" s="11">
        <v>36</v>
      </c>
      <c r="H1531" s="6">
        <f t="shared" ref="H1531:H1541" si="108">F1531*G1531/1000</f>
        <v>47.52</v>
      </c>
    </row>
    <row r="1532" spans="1:8" x14ac:dyDescent="0.3">
      <c r="A1532" s="9">
        <v>45077</v>
      </c>
      <c r="B1532" t="s">
        <v>45</v>
      </c>
      <c r="C1532" t="s">
        <v>20</v>
      </c>
      <c r="D1532" t="s">
        <v>13</v>
      </c>
      <c r="E1532" t="s">
        <v>29</v>
      </c>
      <c r="F1532">
        <v>1230</v>
      </c>
      <c r="G1532">
        <v>36</v>
      </c>
      <c r="H1532" s="6">
        <f t="shared" si="108"/>
        <v>44.28</v>
      </c>
    </row>
    <row r="1533" spans="1:8" hidden="1" x14ac:dyDescent="0.3">
      <c r="A1533" s="9">
        <v>45077</v>
      </c>
      <c r="B1533" t="s">
        <v>12</v>
      </c>
      <c r="C1533" t="s">
        <v>9</v>
      </c>
      <c r="D1533" t="s">
        <v>10</v>
      </c>
      <c r="E1533" t="s">
        <v>11</v>
      </c>
      <c r="F1533">
        <v>705</v>
      </c>
      <c r="G1533">
        <v>70</v>
      </c>
      <c r="H1533" s="6">
        <f t="shared" si="108"/>
        <v>49.35</v>
      </c>
    </row>
    <row r="1534" spans="1:8" hidden="1" x14ac:dyDescent="0.3">
      <c r="A1534" s="9">
        <v>45077</v>
      </c>
      <c r="B1534" t="s">
        <v>8</v>
      </c>
      <c r="C1534" t="s">
        <v>9</v>
      </c>
      <c r="D1534" t="s">
        <v>18</v>
      </c>
      <c r="E1534" t="s">
        <v>28</v>
      </c>
      <c r="F1534">
        <v>690</v>
      </c>
      <c r="G1534">
        <v>94</v>
      </c>
      <c r="H1534" s="6">
        <f t="shared" si="108"/>
        <v>64.86</v>
      </c>
    </row>
    <row r="1535" spans="1:8" hidden="1" x14ac:dyDescent="0.3">
      <c r="A1535" s="9">
        <v>45077</v>
      </c>
      <c r="B1535" t="s">
        <v>8</v>
      </c>
      <c r="C1535" t="s">
        <v>9</v>
      </c>
      <c r="D1535" t="s">
        <v>24</v>
      </c>
      <c r="E1535" t="s">
        <v>30</v>
      </c>
      <c r="F1535">
        <v>2970</v>
      </c>
      <c r="G1535">
        <v>38</v>
      </c>
      <c r="H1535" s="6">
        <f t="shared" si="108"/>
        <v>112.86</v>
      </c>
    </row>
    <row r="1536" spans="1:8" hidden="1" x14ac:dyDescent="0.3">
      <c r="A1536" s="9">
        <v>45077</v>
      </c>
      <c r="B1536" t="s">
        <v>45</v>
      </c>
      <c r="C1536" t="s">
        <v>26</v>
      </c>
      <c r="D1536" t="s">
        <v>18</v>
      </c>
      <c r="E1536" t="s">
        <v>21</v>
      </c>
      <c r="F1536">
        <v>450</v>
      </c>
      <c r="G1536">
        <v>62</v>
      </c>
      <c r="H1536" s="6">
        <f t="shared" si="108"/>
        <v>27.9</v>
      </c>
    </row>
    <row r="1537" spans="1:8" hidden="1" x14ac:dyDescent="0.3">
      <c r="A1537" s="9">
        <v>45077</v>
      </c>
      <c r="B1537" t="s">
        <v>8</v>
      </c>
      <c r="C1537" t="s">
        <v>15</v>
      </c>
      <c r="D1537" t="s">
        <v>10</v>
      </c>
      <c r="E1537" t="s">
        <v>23</v>
      </c>
      <c r="F1537">
        <v>640</v>
      </c>
      <c r="G1537">
        <v>73</v>
      </c>
      <c r="H1537" s="6">
        <f t="shared" si="108"/>
        <v>46.72</v>
      </c>
    </row>
    <row r="1538" spans="1:8" hidden="1" x14ac:dyDescent="0.3">
      <c r="A1538" s="9">
        <v>45077</v>
      </c>
      <c r="B1538" t="s">
        <v>17</v>
      </c>
      <c r="C1538" t="s">
        <v>33</v>
      </c>
      <c r="D1538" t="s">
        <v>10</v>
      </c>
      <c r="E1538" t="s">
        <v>11</v>
      </c>
      <c r="F1538">
        <v>705</v>
      </c>
      <c r="G1538">
        <v>26</v>
      </c>
      <c r="H1538" s="6">
        <f t="shared" si="108"/>
        <v>18.329999999999998</v>
      </c>
    </row>
    <row r="1539" spans="1:8" hidden="1" x14ac:dyDescent="0.3">
      <c r="A1539" s="9">
        <v>45077</v>
      </c>
      <c r="B1539" t="s">
        <v>17</v>
      </c>
      <c r="C1539" t="s">
        <v>33</v>
      </c>
      <c r="D1539" t="s">
        <v>18</v>
      </c>
      <c r="E1539" t="s">
        <v>27</v>
      </c>
      <c r="F1539">
        <v>460</v>
      </c>
      <c r="G1539">
        <v>48</v>
      </c>
      <c r="H1539" s="6">
        <f t="shared" si="108"/>
        <v>22.08</v>
      </c>
    </row>
    <row r="1540" spans="1:8" hidden="1" x14ac:dyDescent="0.3">
      <c r="A1540" s="9">
        <v>45077</v>
      </c>
      <c r="B1540" t="s">
        <v>45</v>
      </c>
      <c r="C1540" t="s">
        <v>35</v>
      </c>
      <c r="D1540" t="s">
        <v>18</v>
      </c>
      <c r="E1540" t="s">
        <v>27</v>
      </c>
      <c r="F1540">
        <v>460</v>
      </c>
      <c r="G1540">
        <v>63</v>
      </c>
      <c r="H1540" s="6">
        <f t="shared" si="108"/>
        <v>28.98</v>
      </c>
    </row>
    <row r="1541" spans="1:8" hidden="1" x14ac:dyDescent="0.3">
      <c r="A1541" s="9">
        <v>45077</v>
      </c>
      <c r="B1541" t="s">
        <v>12</v>
      </c>
      <c r="C1541" t="s">
        <v>35</v>
      </c>
      <c r="D1541" t="s">
        <v>24</v>
      </c>
      <c r="E1541" t="s">
        <v>42</v>
      </c>
      <c r="F1541">
        <v>3205</v>
      </c>
      <c r="G1541">
        <v>99</v>
      </c>
      <c r="H1541" s="6">
        <f t="shared" si="108"/>
        <v>317.29500000000002</v>
      </c>
    </row>
    <row r="1542" spans="1:8" hidden="1" x14ac:dyDescent="0.3">
      <c r="A1542" s="13" t="s">
        <v>165</v>
      </c>
      <c r="H1542" s="6">
        <f>SUBTOTAL(9,H1531:H1541)</f>
        <v>44.28</v>
      </c>
    </row>
    <row r="1543" spans="1:8" hidden="1" x14ac:dyDescent="0.3">
      <c r="A1543" s="10">
        <v>45078</v>
      </c>
      <c r="B1543" s="11" t="s">
        <v>17</v>
      </c>
      <c r="C1543" s="11" t="s">
        <v>20</v>
      </c>
      <c r="D1543" s="11" t="s">
        <v>10</v>
      </c>
      <c r="E1543" s="11" t="s">
        <v>40</v>
      </c>
      <c r="F1543" s="11">
        <v>540</v>
      </c>
      <c r="G1543" s="11">
        <v>28</v>
      </c>
      <c r="H1543" s="6">
        <f t="shared" ref="H1543:H1554" si="109">F1543*G1543/1000</f>
        <v>15.12</v>
      </c>
    </row>
    <row r="1544" spans="1:8" hidden="1" x14ac:dyDescent="0.3">
      <c r="A1544" s="9">
        <v>45078</v>
      </c>
      <c r="B1544" t="s">
        <v>45</v>
      </c>
      <c r="C1544" t="s">
        <v>20</v>
      </c>
      <c r="D1544" t="s">
        <v>24</v>
      </c>
      <c r="E1544" t="s">
        <v>36</v>
      </c>
      <c r="F1544">
        <v>2460</v>
      </c>
      <c r="G1544">
        <v>73</v>
      </c>
      <c r="H1544" s="6">
        <f t="shared" si="109"/>
        <v>179.58</v>
      </c>
    </row>
    <row r="1545" spans="1:8" hidden="1" x14ac:dyDescent="0.3">
      <c r="A1545" s="10">
        <v>45078</v>
      </c>
      <c r="B1545" s="11" t="s">
        <v>8</v>
      </c>
      <c r="C1545" s="11" t="s">
        <v>20</v>
      </c>
      <c r="D1545" s="11" t="s">
        <v>24</v>
      </c>
      <c r="E1545" s="11" t="s">
        <v>34</v>
      </c>
      <c r="F1545" s="11">
        <v>1670</v>
      </c>
      <c r="G1545" s="11">
        <v>30</v>
      </c>
      <c r="H1545" s="6">
        <f t="shared" si="109"/>
        <v>50.1</v>
      </c>
    </row>
    <row r="1546" spans="1:8" hidden="1" x14ac:dyDescent="0.3">
      <c r="A1546" s="9">
        <v>45078</v>
      </c>
      <c r="B1546" t="s">
        <v>8</v>
      </c>
      <c r="C1546" t="s">
        <v>9</v>
      </c>
      <c r="D1546" t="s">
        <v>18</v>
      </c>
      <c r="E1546" t="s">
        <v>21</v>
      </c>
      <c r="F1546">
        <v>450</v>
      </c>
      <c r="G1546">
        <v>9</v>
      </c>
      <c r="H1546" s="6">
        <f t="shared" si="109"/>
        <v>4.05</v>
      </c>
    </row>
    <row r="1547" spans="1:8" hidden="1" x14ac:dyDescent="0.3">
      <c r="A1547" s="9">
        <v>45078</v>
      </c>
      <c r="B1547" t="s">
        <v>45</v>
      </c>
      <c r="C1547" t="s">
        <v>15</v>
      </c>
      <c r="D1547" t="s">
        <v>10</v>
      </c>
      <c r="E1547" t="s">
        <v>39</v>
      </c>
      <c r="F1547">
        <v>650</v>
      </c>
      <c r="G1547">
        <v>28</v>
      </c>
      <c r="H1547" s="6">
        <f t="shared" si="109"/>
        <v>18.2</v>
      </c>
    </row>
    <row r="1548" spans="1:8" hidden="1" x14ac:dyDescent="0.3">
      <c r="A1548" s="9">
        <v>45078</v>
      </c>
      <c r="B1548" t="s">
        <v>17</v>
      </c>
      <c r="C1548" t="s">
        <v>15</v>
      </c>
      <c r="D1548" t="s">
        <v>13</v>
      </c>
      <c r="E1548" t="s">
        <v>44</v>
      </c>
      <c r="F1548">
        <v>2540</v>
      </c>
      <c r="G1548">
        <v>44</v>
      </c>
      <c r="H1548" s="6">
        <f t="shared" si="109"/>
        <v>111.76</v>
      </c>
    </row>
    <row r="1549" spans="1:8" hidden="1" x14ac:dyDescent="0.3">
      <c r="A1549" s="9">
        <v>45078</v>
      </c>
      <c r="B1549" t="s">
        <v>8</v>
      </c>
      <c r="C1549" t="s">
        <v>15</v>
      </c>
      <c r="D1549" t="s">
        <v>24</v>
      </c>
      <c r="E1549" t="s">
        <v>25</v>
      </c>
      <c r="F1549">
        <v>1760</v>
      </c>
      <c r="G1549">
        <v>72</v>
      </c>
      <c r="H1549" s="6">
        <f t="shared" si="109"/>
        <v>126.72</v>
      </c>
    </row>
    <row r="1550" spans="1:8" hidden="1" x14ac:dyDescent="0.3">
      <c r="A1550" s="9">
        <v>45078</v>
      </c>
      <c r="B1550" t="s">
        <v>8</v>
      </c>
      <c r="C1550" t="s">
        <v>15</v>
      </c>
      <c r="D1550" t="s">
        <v>24</v>
      </c>
      <c r="E1550" t="s">
        <v>30</v>
      </c>
      <c r="F1550">
        <v>2970</v>
      </c>
      <c r="G1550">
        <v>72</v>
      </c>
      <c r="H1550" s="6">
        <f t="shared" si="109"/>
        <v>213.84</v>
      </c>
    </row>
    <row r="1551" spans="1:8" hidden="1" x14ac:dyDescent="0.3">
      <c r="A1551" s="9">
        <v>45078</v>
      </c>
      <c r="B1551" t="s">
        <v>17</v>
      </c>
      <c r="C1551" t="s">
        <v>33</v>
      </c>
      <c r="D1551" t="s">
        <v>10</v>
      </c>
      <c r="E1551" t="s">
        <v>16</v>
      </c>
      <c r="F1551">
        <v>1380</v>
      </c>
      <c r="G1551">
        <v>51</v>
      </c>
      <c r="H1551" s="6">
        <f t="shared" si="109"/>
        <v>70.38</v>
      </c>
    </row>
    <row r="1552" spans="1:8" hidden="1" x14ac:dyDescent="0.3">
      <c r="A1552" s="9">
        <v>45078</v>
      </c>
      <c r="B1552" t="s">
        <v>17</v>
      </c>
      <c r="C1552" t="s">
        <v>33</v>
      </c>
      <c r="D1552" t="s">
        <v>13</v>
      </c>
      <c r="E1552" t="s">
        <v>14</v>
      </c>
      <c r="F1552">
        <v>1320</v>
      </c>
      <c r="G1552">
        <v>73</v>
      </c>
      <c r="H1552" s="6">
        <f t="shared" si="109"/>
        <v>96.36</v>
      </c>
    </row>
    <row r="1553" spans="1:8" hidden="1" x14ac:dyDescent="0.3">
      <c r="A1553" s="9">
        <v>45078</v>
      </c>
      <c r="B1553" t="s">
        <v>8</v>
      </c>
      <c r="C1553" t="s">
        <v>35</v>
      </c>
      <c r="D1553" t="s">
        <v>13</v>
      </c>
      <c r="E1553" t="s">
        <v>43</v>
      </c>
      <c r="F1553">
        <v>1420</v>
      </c>
      <c r="G1553">
        <v>53</v>
      </c>
      <c r="H1553" s="6">
        <f t="shared" si="109"/>
        <v>75.260000000000005</v>
      </c>
    </row>
    <row r="1554" spans="1:8" hidden="1" x14ac:dyDescent="0.3">
      <c r="A1554" s="9">
        <v>45078</v>
      </c>
      <c r="B1554" t="s">
        <v>8</v>
      </c>
      <c r="C1554" t="s">
        <v>35</v>
      </c>
      <c r="D1554" t="s">
        <v>13</v>
      </c>
      <c r="E1554" t="s">
        <v>14</v>
      </c>
      <c r="F1554">
        <v>1320</v>
      </c>
      <c r="G1554">
        <v>61</v>
      </c>
      <c r="H1554" s="6">
        <f t="shared" si="109"/>
        <v>80.52</v>
      </c>
    </row>
    <row r="1555" spans="1:8" hidden="1" x14ac:dyDescent="0.3">
      <c r="A1555" s="13" t="s">
        <v>166</v>
      </c>
      <c r="H1555" s="6">
        <f>SUBTOTAL(9,H1543:H1554)</f>
        <v>0</v>
      </c>
    </row>
    <row r="1556" spans="1:8" hidden="1" x14ac:dyDescent="0.3">
      <c r="A1556" s="9">
        <v>45079</v>
      </c>
      <c r="B1556" t="s">
        <v>17</v>
      </c>
      <c r="C1556" t="s">
        <v>9</v>
      </c>
      <c r="D1556" t="s">
        <v>18</v>
      </c>
      <c r="E1556" t="s">
        <v>28</v>
      </c>
      <c r="F1556">
        <v>690</v>
      </c>
      <c r="G1556">
        <v>50</v>
      </c>
      <c r="H1556" s="6">
        <f t="shared" ref="H1556:H1561" si="110">F1556*G1556/1000</f>
        <v>34.5</v>
      </c>
    </row>
    <row r="1557" spans="1:8" hidden="1" x14ac:dyDescent="0.3">
      <c r="A1557" s="9">
        <v>45079</v>
      </c>
      <c r="B1557" t="s">
        <v>12</v>
      </c>
      <c r="C1557" t="s">
        <v>9</v>
      </c>
      <c r="D1557" t="s">
        <v>18</v>
      </c>
      <c r="E1557" t="s">
        <v>28</v>
      </c>
      <c r="F1557">
        <v>690</v>
      </c>
      <c r="G1557">
        <v>82</v>
      </c>
      <c r="H1557" s="6">
        <f t="shared" si="110"/>
        <v>56.58</v>
      </c>
    </row>
    <row r="1558" spans="1:8" hidden="1" x14ac:dyDescent="0.3">
      <c r="A1558" s="9">
        <v>45079</v>
      </c>
      <c r="B1558" t="s">
        <v>8</v>
      </c>
      <c r="C1558" t="s">
        <v>33</v>
      </c>
      <c r="D1558" t="s">
        <v>13</v>
      </c>
      <c r="E1558" t="s">
        <v>22</v>
      </c>
      <c r="F1558">
        <v>930</v>
      </c>
      <c r="G1558">
        <v>43</v>
      </c>
      <c r="H1558" s="6">
        <f t="shared" si="110"/>
        <v>39.99</v>
      </c>
    </row>
    <row r="1559" spans="1:8" hidden="1" x14ac:dyDescent="0.3">
      <c r="A1559" s="9">
        <v>45079</v>
      </c>
      <c r="B1559" t="s">
        <v>45</v>
      </c>
      <c r="C1559" t="s">
        <v>33</v>
      </c>
      <c r="D1559" t="s">
        <v>24</v>
      </c>
      <c r="E1559" t="s">
        <v>30</v>
      </c>
      <c r="F1559">
        <v>2970</v>
      </c>
      <c r="G1559">
        <v>61</v>
      </c>
      <c r="H1559" s="6">
        <f t="shared" si="110"/>
        <v>181.17</v>
      </c>
    </row>
    <row r="1560" spans="1:8" hidden="1" x14ac:dyDescent="0.3">
      <c r="A1560" s="9">
        <v>45079</v>
      </c>
      <c r="B1560" t="s">
        <v>17</v>
      </c>
      <c r="C1560" t="s">
        <v>35</v>
      </c>
      <c r="D1560" t="s">
        <v>10</v>
      </c>
      <c r="E1560" t="s">
        <v>11</v>
      </c>
      <c r="F1560">
        <v>705</v>
      </c>
      <c r="G1560">
        <v>70</v>
      </c>
      <c r="H1560" s="6">
        <f t="shared" si="110"/>
        <v>49.35</v>
      </c>
    </row>
    <row r="1561" spans="1:8" hidden="1" x14ac:dyDescent="0.3">
      <c r="A1561" s="9">
        <v>45079</v>
      </c>
      <c r="B1561" t="s">
        <v>17</v>
      </c>
      <c r="C1561" t="s">
        <v>35</v>
      </c>
      <c r="D1561" t="s">
        <v>10</v>
      </c>
      <c r="E1561" t="s">
        <v>40</v>
      </c>
      <c r="F1561">
        <v>540</v>
      </c>
      <c r="G1561">
        <v>76</v>
      </c>
      <c r="H1561" s="6">
        <f t="shared" si="110"/>
        <v>41.04</v>
      </c>
    </row>
    <row r="1562" spans="1:8" hidden="1" x14ac:dyDescent="0.3">
      <c r="A1562" s="13" t="s">
        <v>167</v>
      </c>
      <c r="H1562" s="6">
        <f>SUBTOTAL(9,H1556:H1561)</f>
        <v>0</v>
      </c>
    </row>
    <row r="1563" spans="1:8" hidden="1" x14ac:dyDescent="0.3">
      <c r="A1563" s="9">
        <v>45080</v>
      </c>
      <c r="B1563" t="s">
        <v>12</v>
      </c>
      <c r="C1563" t="s">
        <v>15</v>
      </c>
      <c r="D1563" t="s">
        <v>10</v>
      </c>
      <c r="E1563" t="s">
        <v>40</v>
      </c>
      <c r="F1563">
        <v>540</v>
      </c>
      <c r="G1563">
        <v>62</v>
      </c>
      <c r="H1563" s="6">
        <f>F1563*G1563/1000</f>
        <v>33.479999999999997</v>
      </c>
    </row>
    <row r="1564" spans="1:8" hidden="1" x14ac:dyDescent="0.3">
      <c r="A1564" s="9">
        <v>45080</v>
      </c>
      <c r="B1564" t="s">
        <v>8</v>
      </c>
      <c r="C1564" t="s">
        <v>33</v>
      </c>
      <c r="D1564" t="s">
        <v>10</v>
      </c>
      <c r="E1564" t="s">
        <v>41</v>
      </c>
      <c r="F1564">
        <v>650</v>
      </c>
      <c r="G1564">
        <v>12</v>
      </c>
      <c r="H1564" s="6">
        <f>F1564*G1564/1000</f>
        <v>7.8</v>
      </c>
    </row>
    <row r="1565" spans="1:8" hidden="1" x14ac:dyDescent="0.3">
      <c r="A1565" s="9">
        <v>45080</v>
      </c>
      <c r="B1565" t="s">
        <v>17</v>
      </c>
      <c r="C1565" t="s">
        <v>33</v>
      </c>
      <c r="D1565" t="s">
        <v>18</v>
      </c>
      <c r="E1565" t="s">
        <v>28</v>
      </c>
      <c r="F1565">
        <v>690</v>
      </c>
      <c r="G1565">
        <v>69</v>
      </c>
      <c r="H1565" s="6">
        <f>F1565*G1565/1000</f>
        <v>47.61</v>
      </c>
    </row>
    <row r="1566" spans="1:8" hidden="1" x14ac:dyDescent="0.3">
      <c r="A1566" s="9">
        <v>45080</v>
      </c>
      <c r="B1566" t="s">
        <v>17</v>
      </c>
      <c r="C1566" t="s">
        <v>35</v>
      </c>
      <c r="D1566" t="s">
        <v>10</v>
      </c>
      <c r="E1566" t="s">
        <v>39</v>
      </c>
      <c r="F1566">
        <v>650</v>
      </c>
      <c r="G1566">
        <v>69</v>
      </c>
      <c r="H1566" s="6">
        <f>F1566*G1566/1000</f>
        <v>44.85</v>
      </c>
    </row>
    <row r="1567" spans="1:8" hidden="1" x14ac:dyDescent="0.3">
      <c r="A1567" s="13" t="s">
        <v>168</v>
      </c>
      <c r="H1567" s="6">
        <f>SUBTOTAL(9,H1563:H1566)</f>
        <v>0</v>
      </c>
    </row>
    <row r="1568" spans="1:8" hidden="1" x14ac:dyDescent="0.3">
      <c r="A1568" s="9">
        <v>45081</v>
      </c>
      <c r="B1568" t="s">
        <v>17</v>
      </c>
      <c r="C1568" t="s">
        <v>20</v>
      </c>
      <c r="D1568" t="s">
        <v>18</v>
      </c>
      <c r="E1568" t="s">
        <v>19</v>
      </c>
      <c r="F1568">
        <v>325</v>
      </c>
      <c r="G1568">
        <v>69</v>
      </c>
      <c r="H1568" s="6">
        <f t="shared" ref="H1568:H1578" si="111">F1568*G1568/1000</f>
        <v>22.425000000000001</v>
      </c>
    </row>
    <row r="1569" spans="1:8" hidden="1" x14ac:dyDescent="0.3">
      <c r="A1569" s="9">
        <v>45081</v>
      </c>
      <c r="B1569" t="s">
        <v>45</v>
      </c>
      <c r="C1569" t="s">
        <v>9</v>
      </c>
      <c r="D1569" t="s">
        <v>10</v>
      </c>
      <c r="E1569" t="s">
        <v>23</v>
      </c>
      <c r="F1569">
        <v>640</v>
      </c>
      <c r="G1569">
        <v>6</v>
      </c>
      <c r="H1569" s="6">
        <f t="shared" si="111"/>
        <v>3.84</v>
      </c>
    </row>
    <row r="1570" spans="1:8" hidden="1" x14ac:dyDescent="0.3">
      <c r="A1570" s="9">
        <v>45081</v>
      </c>
      <c r="B1570" t="s">
        <v>12</v>
      </c>
      <c r="C1570" t="s">
        <v>9</v>
      </c>
      <c r="D1570" t="s">
        <v>18</v>
      </c>
      <c r="E1570" t="s">
        <v>31</v>
      </c>
      <c r="F1570">
        <v>715</v>
      </c>
      <c r="G1570">
        <v>82</v>
      </c>
      <c r="H1570" s="6">
        <f t="shared" si="111"/>
        <v>58.63</v>
      </c>
    </row>
    <row r="1571" spans="1:8" hidden="1" x14ac:dyDescent="0.3">
      <c r="A1571" s="9">
        <v>45081</v>
      </c>
      <c r="B1571" t="s">
        <v>8</v>
      </c>
      <c r="C1571" t="s">
        <v>26</v>
      </c>
      <c r="D1571" t="s">
        <v>10</v>
      </c>
      <c r="E1571" t="s">
        <v>39</v>
      </c>
      <c r="F1571">
        <v>650</v>
      </c>
      <c r="G1571">
        <v>31</v>
      </c>
      <c r="H1571" s="6">
        <f t="shared" si="111"/>
        <v>20.149999999999999</v>
      </c>
    </row>
    <row r="1572" spans="1:8" hidden="1" x14ac:dyDescent="0.3">
      <c r="A1572" s="9">
        <v>45081</v>
      </c>
      <c r="B1572" t="s">
        <v>8</v>
      </c>
      <c r="C1572" t="s">
        <v>26</v>
      </c>
      <c r="D1572" t="s">
        <v>13</v>
      </c>
      <c r="E1572" t="s">
        <v>43</v>
      </c>
      <c r="F1572">
        <v>1420</v>
      </c>
      <c r="G1572">
        <v>61</v>
      </c>
      <c r="H1572" s="6">
        <f t="shared" si="111"/>
        <v>86.62</v>
      </c>
    </row>
    <row r="1573" spans="1:8" hidden="1" x14ac:dyDescent="0.3">
      <c r="A1573" s="9">
        <v>45081</v>
      </c>
      <c r="B1573" t="s">
        <v>17</v>
      </c>
      <c r="C1573" t="s">
        <v>15</v>
      </c>
      <c r="D1573" t="s">
        <v>24</v>
      </c>
      <c r="E1573" t="s">
        <v>32</v>
      </c>
      <c r="F1573">
        <v>1505</v>
      </c>
      <c r="G1573">
        <v>67</v>
      </c>
      <c r="H1573" s="6">
        <f t="shared" si="111"/>
        <v>100.83499999999999</v>
      </c>
    </row>
    <row r="1574" spans="1:8" hidden="1" x14ac:dyDescent="0.3">
      <c r="A1574" s="9">
        <v>45081</v>
      </c>
      <c r="B1574" t="s">
        <v>12</v>
      </c>
      <c r="C1574" t="s">
        <v>33</v>
      </c>
      <c r="D1574" t="s">
        <v>10</v>
      </c>
      <c r="E1574" t="s">
        <v>39</v>
      </c>
      <c r="F1574">
        <v>650</v>
      </c>
      <c r="G1574">
        <v>50</v>
      </c>
      <c r="H1574" s="6">
        <f t="shared" si="111"/>
        <v>32.5</v>
      </c>
    </row>
    <row r="1575" spans="1:8" hidden="1" x14ac:dyDescent="0.3">
      <c r="A1575" s="9">
        <v>45081</v>
      </c>
      <c r="B1575" t="s">
        <v>17</v>
      </c>
      <c r="C1575" t="s">
        <v>33</v>
      </c>
      <c r="D1575" t="s">
        <v>10</v>
      </c>
      <c r="E1575" t="s">
        <v>39</v>
      </c>
      <c r="F1575">
        <v>650</v>
      </c>
      <c r="G1575">
        <v>27</v>
      </c>
      <c r="H1575" s="6">
        <f t="shared" si="111"/>
        <v>17.55</v>
      </c>
    </row>
    <row r="1576" spans="1:8" hidden="1" x14ac:dyDescent="0.3">
      <c r="A1576" s="9">
        <v>45081</v>
      </c>
      <c r="B1576" t="s">
        <v>17</v>
      </c>
      <c r="C1576" t="s">
        <v>33</v>
      </c>
      <c r="D1576" t="s">
        <v>10</v>
      </c>
      <c r="E1576" t="s">
        <v>23</v>
      </c>
      <c r="F1576">
        <v>640</v>
      </c>
      <c r="G1576">
        <v>99</v>
      </c>
      <c r="H1576" s="6">
        <f t="shared" si="111"/>
        <v>63.36</v>
      </c>
    </row>
    <row r="1577" spans="1:8" hidden="1" x14ac:dyDescent="0.3">
      <c r="A1577" s="9">
        <v>45081</v>
      </c>
      <c r="B1577" t="s">
        <v>17</v>
      </c>
      <c r="C1577" t="s">
        <v>33</v>
      </c>
      <c r="D1577" t="s">
        <v>24</v>
      </c>
      <c r="E1577" t="s">
        <v>42</v>
      </c>
      <c r="F1577">
        <v>3205</v>
      </c>
      <c r="G1577">
        <v>89</v>
      </c>
      <c r="H1577" s="6">
        <f t="shared" si="111"/>
        <v>285.245</v>
      </c>
    </row>
    <row r="1578" spans="1:8" hidden="1" x14ac:dyDescent="0.3">
      <c r="A1578" s="9">
        <v>45081</v>
      </c>
      <c r="B1578" t="s">
        <v>8</v>
      </c>
      <c r="C1578" t="s">
        <v>35</v>
      </c>
      <c r="D1578" t="s">
        <v>10</v>
      </c>
      <c r="E1578" t="s">
        <v>40</v>
      </c>
      <c r="F1578">
        <v>540</v>
      </c>
      <c r="G1578">
        <v>38</v>
      </c>
      <c r="H1578" s="6">
        <f t="shared" si="111"/>
        <v>20.52</v>
      </c>
    </row>
    <row r="1579" spans="1:8" hidden="1" x14ac:dyDescent="0.3">
      <c r="A1579" s="13" t="s">
        <v>169</v>
      </c>
      <c r="H1579" s="6">
        <f>SUBTOTAL(9,H1568:H1578)</f>
        <v>0</v>
      </c>
    </row>
    <row r="1580" spans="1:8" hidden="1" x14ac:dyDescent="0.3">
      <c r="A1580" s="10">
        <v>45082</v>
      </c>
      <c r="B1580" s="11" t="s">
        <v>8</v>
      </c>
      <c r="C1580" s="11" t="s">
        <v>20</v>
      </c>
      <c r="D1580" s="11" t="s">
        <v>10</v>
      </c>
      <c r="E1580" s="11" t="s">
        <v>40</v>
      </c>
      <c r="F1580" s="11">
        <v>540</v>
      </c>
      <c r="G1580" s="11">
        <v>81</v>
      </c>
      <c r="H1580" s="6">
        <f t="shared" ref="H1580:H1588" si="112">F1580*G1580/1000</f>
        <v>43.74</v>
      </c>
    </row>
    <row r="1581" spans="1:8" hidden="1" x14ac:dyDescent="0.3">
      <c r="A1581" s="9">
        <v>45082</v>
      </c>
      <c r="B1581" t="s">
        <v>8</v>
      </c>
      <c r="C1581" t="s">
        <v>20</v>
      </c>
      <c r="D1581" t="s">
        <v>10</v>
      </c>
      <c r="E1581" t="s">
        <v>39</v>
      </c>
      <c r="F1581">
        <v>650</v>
      </c>
      <c r="G1581">
        <v>7</v>
      </c>
      <c r="H1581" s="6">
        <f t="shared" si="112"/>
        <v>4.55</v>
      </c>
    </row>
    <row r="1582" spans="1:8" hidden="1" x14ac:dyDescent="0.3">
      <c r="A1582" s="10">
        <v>45082</v>
      </c>
      <c r="B1582" s="11" t="s">
        <v>17</v>
      </c>
      <c r="C1582" s="11" t="s">
        <v>20</v>
      </c>
      <c r="D1582" s="11" t="s">
        <v>13</v>
      </c>
      <c r="E1582" s="11" t="s">
        <v>43</v>
      </c>
      <c r="F1582" s="11">
        <v>1420</v>
      </c>
      <c r="G1582" s="11">
        <v>49</v>
      </c>
      <c r="H1582" s="6">
        <f t="shared" si="112"/>
        <v>69.58</v>
      </c>
    </row>
    <row r="1583" spans="1:8" hidden="1" x14ac:dyDescent="0.3">
      <c r="A1583" s="9">
        <v>45082</v>
      </c>
      <c r="B1583" t="s">
        <v>12</v>
      </c>
      <c r="C1583" t="s">
        <v>9</v>
      </c>
      <c r="D1583" t="s">
        <v>18</v>
      </c>
      <c r="E1583" t="s">
        <v>27</v>
      </c>
      <c r="F1583">
        <v>460</v>
      </c>
      <c r="G1583">
        <v>79</v>
      </c>
      <c r="H1583" s="6">
        <f t="shared" si="112"/>
        <v>36.340000000000003</v>
      </c>
    </row>
    <row r="1584" spans="1:8" hidden="1" x14ac:dyDescent="0.3">
      <c r="A1584" s="9">
        <v>45082</v>
      </c>
      <c r="B1584" t="s">
        <v>45</v>
      </c>
      <c r="C1584" t="s">
        <v>9</v>
      </c>
      <c r="D1584" t="s">
        <v>18</v>
      </c>
      <c r="E1584" t="s">
        <v>31</v>
      </c>
      <c r="F1584">
        <v>715</v>
      </c>
      <c r="G1584">
        <v>13</v>
      </c>
      <c r="H1584" s="6">
        <f t="shared" si="112"/>
        <v>9.2949999999999999</v>
      </c>
    </row>
    <row r="1585" spans="1:8" hidden="1" x14ac:dyDescent="0.3">
      <c r="A1585" s="9">
        <v>45082</v>
      </c>
      <c r="B1585" t="s">
        <v>8</v>
      </c>
      <c r="C1585" t="s">
        <v>26</v>
      </c>
      <c r="D1585" t="s">
        <v>10</v>
      </c>
      <c r="E1585" t="s">
        <v>39</v>
      </c>
      <c r="F1585">
        <v>650</v>
      </c>
      <c r="G1585">
        <v>44</v>
      </c>
      <c r="H1585" s="6">
        <f t="shared" si="112"/>
        <v>28.6</v>
      </c>
    </row>
    <row r="1586" spans="1:8" hidden="1" x14ac:dyDescent="0.3">
      <c r="A1586" s="9">
        <v>45082</v>
      </c>
      <c r="B1586" t="s">
        <v>12</v>
      </c>
      <c r="C1586" t="s">
        <v>26</v>
      </c>
      <c r="D1586" t="s">
        <v>18</v>
      </c>
      <c r="E1586" t="s">
        <v>28</v>
      </c>
      <c r="F1586">
        <v>690</v>
      </c>
      <c r="G1586">
        <v>6</v>
      </c>
      <c r="H1586" s="6">
        <f t="shared" si="112"/>
        <v>4.1399999999999997</v>
      </c>
    </row>
    <row r="1587" spans="1:8" hidden="1" x14ac:dyDescent="0.3">
      <c r="A1587" s="9">
        <v>45082</v>
      </c>
      <c r="B1587" t="s">
        <v>12</v>
      </c>
      <c r="C1587" t="s">
        <v>33</v>
      </c>
      <c r="D1587" t="s">
        <v>10</v>
      </c>
      <c r="E1587" t="s">
        <v>39</v>
      </c>
      <c r="F1587">
        <v>650</v>
      </c>
      <c r="G1587">
        <v>98</v>
      </c>
      <c r="H1587" s="6">
        <f t="shared" si="112"/>
        <v>63.7</v>
      </c>
    </row>
    <row r="1588" spans="1:8" hidden="1" x14ac:dyDescent="0.3">
      <c r="A1588" s="9">
        <v>45082</v>
      </c>
      <c r="B1588" t="s">
        <v>45</v>
      </c>
      <c r="C1588" t="s">
        <v>35</v>
      </c>
      <c r="D1588" t="s">
        <v>10</v>
      </c>
      <c r="E1588" t="s">
        <v>41</v>
      </c>
      <c r="F1588">
        <v>650</v>
      </c>
      <c r="G1588">
        <v>86</v>
      </c>
      <c r="H1588" s="6">
        <f t="shared" si="112"/>
        <v>55.9</v>
      </c>
    </row>
    <row r="1589" spans="1:8" hidden="1" x14ac:dyDescent="0.3">
      <c r="A1589" s="13" t="s">
        <v>170</v>
      </c>
      <c r="H1589" s="6">
        <f>SUBTOTAL(9,H1580:H1588)</f>
        <v>0</v>
      </c>
    </row>
    <row r="1590" spans="1:8" hidden="1" x14ac:dyDescent="0.3">
      <c r="A1590" s="9">
        <v>45083</v>
      </c>
      <c r="B1590" t="s">
        <v>17</v>
      </c>
      <c r="C1590" t="s">
        <v>20</v>
      </c>
      <c r="D1590" t="s">
        <v>10</v>
      </c>
      <c r="E1590" t="s">
        <v>11</v>
      </c>
      <c r="F1590">
        <v>705</v>
      </c>
      <c r="G1590">
        <v>48</v>
      </c>
      <c r="H1590" s="6">
        <f t="shared" ref="H1590:H1597" si="113">F1590*G1590/1000</f>
        <v>33.840000000000003</v>
      </c>
    </row>
    <row r="1591" spans="1:8" hidden="1" x14ac:dyDescent="0.3">
      <c r="A1591" s="9">
        <v>45083</v>
      </c>
      <c r="B1591" t="s">
        <v>17</v>
      </c>
      <c r="C1591" t="s">
        <v>20</v>
      </c>
      <c r="D1591" t="s">
        <v>24</v>
      </c>
      <c r="E1591" t="s">
        <v>32</v>
      </c>
      <c r="F1591">
        <v>1505</v>
      </c>
      <c r="G1591">
        <v>57</v>
      </c>
      <c r="H1591" s="6">
        <f t="shared" si="113"/>
        <v>85.784999999999997</v>
      </c>
    </row>
    <row r="1592" spans="1:8" x14ac:dyDescent="0.3">
      <c r="A1592" s="9">
        <v>45083</v>
      </c>
      <c r="B1592" t="s">
        <v>45</v>
      </c>
      <c r="C1592" t="s">
        <v>9</v>
      </c>
      <c r="D1592" t="s">
        <v>13</v>
      </c>
      <c r="E1592" t="s">
        <v>29</v>
      </c>
      <c r="F1592">
        <v>1230</v>
      </c>
      <c r="G1592">
        <v>14</v>
      </c>
      <c r="H1592" s="6">
        <f t="shared" si="113"/>
        <v>17.22</v>
      </c>
    </row>
    <row r="1593" spans="1:8" hidden="1" x14ac:dyDescent="0.3">
      <c r="A1593" s="9">
        <v>45083</v>
      </c>
      <c r="B1593" t="s">
        <v>8</v>
      </c>
      <c r="C1593" t="s">
        <v>15</v>
      </c>
      <c r="D1593" t="s">
        <v>10</v>
      </c>
      <c r="E1593" t="s">
        <v>41</v>
      </c>
      <c r="F1593">
        <v>650</v>
      </c>
      <c r="G1593">
        <v>25</v>
      </c>
      <c r="H1593" s="6">
        <f t="shared" si="113"/>
        <v>16.25</v>
      </c>
    </row>
    <row r="1594" spans="1:8" hidden="1" x14ac:dyDescent="0.3">
      <c r="A1594" s="9">
        <v>45083</v>
      </c>
      <c r="B1594" t="s">
        <v>17</v>
      </c>
      <c r="C1594" t="s">
        <v>33</v>
      </c>
      <c r="D1594" t="s">
        <v>18</v>
      </c>
      <c r="E1594" t="s">
        <v>27</v>
      </c>
      <c r="F1594">
        <v>460</v>
      </c>
      <c r="G1594">
        <v>37</v>
      </c>
      <c r="H1594" s="6">
        <f t="shared" si="113"/>
        <v>17.02</v>
      </c>
    </row>
    <row r="1595" spans="1:8" hidden="1" x14ac:dyDescent="0.3">
      <c r="A1595" s="9">
        <v>45083</v>
      </c>
      <c r="B1595" t="s">
        <v>12</v>
      </c>
      <c r="C1595" t="s">
        <v>33</v>
      </c>
      <c r="D1595" t="s">
        <v>18</v>
      </c>
      <c r="E1595" t="s">
        <v>21</v>
      </c>
      <c r="F1595">
        <v>450</v>
      </c>
      <c r="G1595">
        <v>7</v>
      </c>
      <c r="H1595" s="6">
        <f t="shared" si="113"/>
        <v>3.15</v>
      </c>
    </row>
    <row r="1596" spans="1:8" hidden="1" x14ac:dyDescent="0.3">
      <c r="A1596" s="9">
        <v>45083</v>
      </c>
      <c r="B1596" t="s">
        <v>8</v>
      </c>
      <c r="C1596" t="s">
        <v>33</v>
      </c>
      <c r="D1596" t="s">
        <v>24</v>
      </c>
      <c r="E1596" t="s">
        <v>25</v>
      </c>
      <c r="F1596">
        <v>1760</v>
      </c>
      <c r="G1596">
        <v>58</v>
      </c>
      <c r="H1596" s="6">
        <f t="shared" si="113"/>
        <v>102.08</v>
      </c>
    </row>
    <row r="1597" spans="1:8" hidden="1" x14ac:dyDescent="0.3">
      <c r="A1597" s="9">
        <v>45083</v>
      </c>
      <c r="B1597" t="s">
        <v>8</v>
      </c>
      <c r="C1597" t="s">
        <v>35</v>
      </c>
      <c r="D1597" t="s">
        <v>24</v>
      </c>
      <c r="E1597" t="s">
        <v>42</v>
      </c>
      <c r="F1597">
        <v>3205</v>
      </c>
      <c r="G1597">
        <v>57</v>
      </c>
      <c r="H1597" s="6">
        <f t="shared" si="113"/>
        <v>182.685</v>
      </c>
    </row>
    <row r="1598" spans="1:8" hidden="1" x14ac:dyDescent="0.3">
      <c r="A1598" s="13" t="s">
        <v>171</v>
      </c>
      <c r="H1598" s="6">
        <f>SUBTOTAL(9,H1590:H1597)</f>
        <v>17.22</v>
      </c>
    </row>
    <row r="1599" spans="1:8" hidden="1" x14ac:dyDescent="0.3">
      <c r="A1599" s="9">
        <v>45084</v>
      </c>
      <c r="B1599" t="s">
        <v>8</v>
      </c>
      <c r="C1599" t="s">
        <v>20</v>
      </c>
      <c r="D1599" t="s">
        <v>10</v>
      </c>
      <c r="E1599" t="s">
        <v>23</v>
      </c>
      <c r="F1599">
        <v>640</v>
      </c>
      <c r="G1599">
        <v>23</v>
      </c>
      <c r="H1599" s="6">
        <f t="shared" ref="H1599:H1610" si="114">F1599*G1599/1000</f>
        <v>14.72</v>
      </c>
    </row>
    <row r="1600" spans="1:8" hidden="1" x14ac:dyDescent="0.3">
      <c r="A1600" s="9">
        <v>45084</v>
      </c>
      <c r="B1600" t="s">
        <v>8</v>
      </c>
      <c r="C1600" t="s">
        <v>20</v>
      </c>
      <c r="D1600" t="s">
        <v>24</v>
      </c>
      <c r="E1600" t="s">
        <v>25</v>
      </c>
      <c r="F1600">
        <v>1760</v>
      </c>
      <c r="G1600">
        <v>62</v>
      </c>
      <c r="H1600" s="6">
        <f t="shared" si="114"/>
        <v>109.12</v>
      </c>
    </row>
    <row r="1601" spans="1:8" hidden="1" x14ac:dyDescent="0.3">
      <c r="A1601" s="9">
        <v>45084</v>
      </c>
      <c r="B1601" t="s">
        <v>45</v>
      </c>
      <c r="C1601" t="s">
        <v>9</v>
      </c>
      <c r="D1601" t="s">
        <v>24</v>
      </c>
      <c r="E1601" t="s">
        <v>32</v>
      </c>
      <c r="F1601">
        <v>1505</v>
      </c>
      <c r="G1601">
        <v>77</v>
      </c>
      <c r="H1601" s="6">
        <f t="shared" si="114"/>
        <v>115.88500000000001</v>
      </c>
    </row>
    <row r="1602" spans="1:8" hidden="1" x14ac:dyDescent="0.3">
      <c r="A1602" s="9">
        <v>45084</v>
      </c>
      <c r="B1602" t="s">
        <v>12</v>
      </c>
      <c r="C1602" t="s">
        <v>26</v>
      </c>
      <c r="D1602" t="s">
        <v>24</v>
      </c>
      <c r="E1602" t="s">
        <v>30</v>
      </c>
      <c r="F1602">
        <v>2970</v>
      </c>
      <c r="G1602">
        <v>23</v>
      </c>
      <c r="H1602" s="6">
        <f t="shared" si="114"/>
        <v>68.31</v>
      </c>
    </row>
    <row r="1603" spans="1:8" hidden="1" x14ac:dyDescent="0.3">
      <c r="A1603" s="9">
        <v>45084</v>
      </c>
      <c r="B1603" t="s">
        <v>17</v>
      </c>
      <c r="C1603" t="s">
        <v>15</v>
      </c>
      <c r="D1603" t="s">
        <v>10</v>
      </c>
      <c r="E1603" t="s">
        <v>16</v>
      </c>
      <c r="F1603">
        <v>1380</v>
      </c>
      <c r="G1603">
        <v>90</v>
      </c>
      <c r="H1603" s="6">
        <f t="shared" si="114"/>
        <v>124.2</v>
      </c>
    </row>
    <row r="1604" spans="1:8" hidden="1" x14ac:dyDescent="0.3">
      <c r="A1604" s="9">
        <v>45084</v>
      </c>
      <c r="B1604" t="s">
        <v>45</v>
      </c>
      <c r="C1604" t="s">
        <v>15</v>
      </c>
      <c r="D1604" t="s">
        <v>10</v>
      </c>
      <c r="E1604" t="s">
        <v>11</v>
      </c>
      <c r="F1604">
        <v>705</v>
      </c>
      <c r="G1604">
        <v>27</v>
      </c>
      <c r="H1604" s="6">
        <f t="shared" si="114"/>
        <v>19.035</v>
      </c>
    </row>
    <row r="1605" spans="1:8" hidden="1" x14ac:dyDescent="0.3">
      <c r="A1605" s="9">
        <v>45084</v>
      </c>
      <c r="B1605" t="s">
        <v>45</v>
      </c>
      <c r="C1605" t="s">
        <v>15</v>
      </c>
      <c r="D1605" t="s">
        <v>13</v>
      </c>
      <c r="E1605" t="s">
        <v>38</v>
      </c>
      <c r="F1605">
        <v>2400</v>
      </c>
      <c r="G1605">
        <v>44</v>
      </c>
      <c r="H1605" s="6">
        <f t="shared" si="114"/>
        <v>105.6</v>
      </c>
    </row>
    <row r="1606" spans="1:8" hidden="1" x14ac:dyDescent="0.3">
      <c r="A1606" s="9">
        <v>45084</v>
      </c>
      <c r="B1606" t="s">
        <v>12</v>
      </c>
      <c r="C1606" t="s">
        <v>15</v>
      </c>
      <c r="D1606" t="s">
        <v>24</v>
      </c>
      <c r="E1606" t="s">
        <v>42</v>
      </c>
      <c r="F1606">
        <v>3205</v>
      </c>
      <c r="G1606">
        <v>70</v>
      </c>
      <c r="H1606" s="6">
        <f t="shared" si="114"/>
        <v>224.35</v>
      </c>
    </row>
    <row r="1607" spans="1:8" hidden="1" x14ac:dyDescent="0.3">
      <c r="A1607" s="9">
        <v>45084</v>
      </c>
      <c r="B1607" t="s">
        <v>17</v>
      </c>
      <c r="C1607" t="s">
        <v>33</v>
      </c>
      <c r="D1607" t="s">
        <v>10</v>
      </c>
      <c r="E1607" t="s">
        <v>11</v>
      </c>
      <c r="F1607">
        <v>705</v>
      </c>
      <c r="G1607">
        <v>58</v>
      </c>
      <c r="H1607" s="6">
        <f t="shared" si="114"/>
        <v>40.89</v>
      </c>
    </row>
    <row r="1608" spans="1:8" hidden="1" x14ac:dyDescent="0.3">
      <c r="A1608" s="9">
        <v>45084</v>
      </c>
      <c r="B1608" t="s">
        <v>8</v>
      </c>
      <c r="C1608" t="s">
        <v>33</v>
      </c>
      <c r="D1608" t="s">
        <v>10</v>
      </c>
      <c r="E1608" t="s">
        <v>41</v>
      </c>
      <c r="F1608">
        <v>650</v>
      </c>
      <c r="G1608">
        <v>46</v>
      </c>
      <c r="H1608" s="6">
        <f t="shared" si="114"/>
        <v>29.9</v>
      </c>
    </row>
    <row r="1609" spans="1:8" hidden="1" x14ac:dyDescent="0.3">
      <c r="A1609" s="9">
        <v>45084</v>
      </c>
      <c r="B1609" t="s">
        <v>45</v>
      </c>
      <c r="C1609" t="s">
        <v>33</v>
      </c>
      <c r="D1609" t="s">
        <v>13</v>
      </c>
      <c r="E1609" t="s">
        <v>38</v>
      </c>
      <c r="F1609">
        <v>2400</v>
      </c>
      <c r="G1609">
        <v>90</v>
      </c>
      <c r="H1609" s="6">
        <f t="shared" si="114"/>
        <v>216</v>
      </c>
    </row>
    <row r="1610" spans="1:8" hidden="1" x14ac:dyDescent="0.3">
      <c r="A1610" s="9">
        <v>45084</v>
      </c>
      <c r="B1610" t="s">
        <v>17</v>
      </c>
      <c r="C1610" t="s">
        <v>35</v>
      </c>
      <c r="D1610" t="s">
        <v>13</v>
      </c>
      <c r="E1610" t="s">
        <v>38</v>
      </c>
      <c r="F1610">
        <v>2400</v>
      </c>
      <c r="G1610">
        <v>46</v>
      </c>
      <c r="H1610" s="6">
        <f t="shared" si="114"/>
        <v>110.4</v>
      </c>
    </row>
    <row r="1611" spans="1:8" hidden="1" x14ac:dyDescent="0.3">
      <c r="A1611" s="13" t="s">
        <v>172</v>
      </c>
      <c r="H1611" s="6">
        <f>SUBTOTAL(9,H1599:H1610)</f>
        <v>0</v>
      </c>
    </row>
    <row r="1612" spans="1:8" hidden="1" x14ac:dyDescent="0.3">
      <c r="A1612" s="9">
        <v>45085</v>
      </c>
      <c r="B1612" t="s">
        <v>45</v>
      </c>
      <c r="C1612" t="s">
        <v>20</v>
      </c>
      <c r="D1612" t="s">
        <v>18</v>
      </c>
      <c r="E1612" t="s">
        <v>19</v>
      </c>
      <c r="F1612">
        <v>325</v>
      </c>
      <c r="G1612">
        <v>61</v>
      </c>
      <c r="H1612" s="6">
        <f t="shared" ref="H1612:H1623" si="115">F1612*G1612/1000</f>
        <v>19.824999999999999</v>
      </c>
    </row>
    <row r="1613" spans="1:8" hidden="1" x14ac:dyDescent="0.3">
      <c r="A1613" s="9">
        <v>45085</v>
      </c>
      <c r="B1613" t="s">
        <v>8</v>
      </c>
      <c r="C1613" t="s">
        <v>20</v>
      </c>
      <c r="D1613" t="s">
        <v>24</v>
      </c>
      <c r="E1613" t="s">
        <v>34</v>
      </c>
      <c r="F1613">
        <v>1670</v>
      </c>
      <c r="G1613">
        <v>71</v>
      </c>
      <c r="H1613" s="6">
        <f t="shared" si="115"/>
        <v>118.57</v>
      </c>
    </row>
    <row r="1614" spans="1:8" hidden="1" x14ac:dyDescent="0.3">
      <c r="A1614" s="9">
        <v>45085</v>
      </c>
      <c r="B1614" t="s">
        <v>45</v>
      </c>
      <c r="C1614" t="s">
        <v>20</v>
      </c>
      <c r="D1614" t="s">
        <v>24</v>
      </c>
      <c r="E1614" t="s">
        <v>32</v>
      </c>
      <c r="F1614">
        <v>1505</v>
      </c>
      <c r="G1614">
        <v>41</v>
      </c>
      <c r="H1614" s="6">
        <f t="shared" si="115"/>
        <v>61.704999999999998</v>
      </c>
    </row>
    <row r="1615" spans="1:8" hidden="1" x14ac:dyDescent="0.3">
      <c r="A1615" s="9">
        <v>45085</v>
      </c>
      <c r="B1615" t="s">
        <v>12</v>
      </c>
      <c r="C1615" t="s">
        <v>9</v>
      </c>
      <c r="D1615" t="s">
        <v>10</v>
      </c>
      <c r="E1615" t="s">
        <v>11</v>
      </c>
      <c r="F1615">
        <v>705</v>
      </c>
      <c r="G1615">
        <v>17</v>
      </c>
      <c r="H1615" s="6">
        <f t="shared" si="115"/>
        <v>11.984999999999999</v>
      </c>
    </row>
    <row r="1616" spans="1:8" hidden="1" x14ac:dyDescent="0.3">
      <c r="A1616" s="9">
        <v>45085</v>
      </c>
      <c r="B1616" t="s">
        <v>12</v>
      </c>
      <c r="C1616" t="s">
        <v>9</v>
      </c>
      <c r="D1616" t="s">
        <v>13</v>
      </c>
      <c r="E1616" t="s">
        <v>14</v>
      </c>
      <c r="F1616">
        <v>1320</v>
      </c>
      <c r="G1616">
        <v>83</v>
      </c>
      <c r="H1616" s="6">
        <f t="shared" si="115"/>
        <v>109.56</v>
      </c>
    </row>
    <row r="1617" spans="1:8" x14ac:dyDescent="0.3">
      <c r="A1617" s="9">
        <v>45085</v>
      </c>
      <c r="B1617" t="s">
        <v>45</v>
      </c>
      <c r="C1617" t="s">
        <v>26</v>
      </c>
      <c r="D1617" t="s">
        <v>13</v>
      </c>
      <c r="E1617" t="s">
        <v>29</v>
      </c>
      <c r="F1617">
        <v>1230</v>
      </c>
      <c r="G1617">
        <v>23</v>
      </c>
      <c r="H1617" s="6">
        <f t="shared" si="115"/>
        <v>28.29</v>
      </c>
    </row>
    <row r="1618" spans="1:8" hidden="1" x14ac:dyDescent="0.3">
      <c r="A1618" s="9">
        <v>45085</v>
      </c>
      <c r="B1618" t="s">
        <v>45</v>
      </c>
      <c r="C1618" t="s">
        <v>26</v>
      </c>
      <c r="D1618" t="s">
        <v>24</v>
      </c>
      <c r="E1618" t="s">
        <v>42</v>
      </c>
      <c r="F1618">
        <v>3205</v>
      </c>
      <c r="G1618">
        <v>18</v>
      </c>
      <c r="H1618" s="6">
        <f t="shared" si="115"/>
        <v>57.69</v>
      </c>
    </row>
    <row r="1619" spans="1:8" hidden="1" x14ac:dyDescent="0.3">
      <c r="A1619" s="9">
        <v>45085</v>
      </c>
      <c r="B1619" t="s">
        <v>12</v>
      </c>
      <c r="C1619" t="s">
        <v>33</v>
      </c>
      <c r="D1619" t="s">
        <v>10</v>
      </c>
      <c r="E1619" t="s">
        <v>23</v>
      </c>
      <c r="F1619">
        <v>640</v>
      </c>
      <c r="G1619">
        <v>97</v>
      </c>
      <c r="H1619" s="6">
        <f t="shared" si="115"/>
        <v>62.08</v>
      </c>
    </row>
    <row r="1620" spans="1:8" hidden="1" x14ac:dyDescent="0.3">
      <c r="A1620" s="9">
        <v>45085</v>
      </c>
      <c r="B1620" t="s">
        <v>17</v>
      </c>
      <c r="C1620" t="s">
        <v>33</v>
      </c>
      <c r="D1620" t="s">
        <v>10</v>
      </c>
      <c r="E1620" t="s">
        <v>41</v>
      </c>
      <c r="F1620">
        <v>650</v>
      </c>
      <c r="G1620">
        <v>47</v>
      </c>
      <c r="H1620" s="6">
        <f t="shared" si="115"/>
        <v>30.55</v>
      </c>
    </row>
    <row r="1621" spans="1:8" hidden="1" x14ac:dyDescent="0.3">
      <c r="A1621" s="9">
        <v>45085</v>
      </c>
      <c r="B1621" t="s">
        <v>45</v>
      </c>
      <c r="C1621" t="s">
        <v>33</v>
      </c>
      <c r="D1621" t="s">
        <v>18</v>
      </c>
      <c r="E1621" t="s">
        <v>19</v>
      </c>
      <c r="F1621">
        <v>325</v>
      </c>
      <c r="G1621">
        <v>35</v>
      </c>
      <c r="H1621" s="6">
        <f t="shared" si="115"/>
        <v>11.375</v>
      </c>
    </row>
    <row r="1622" spans="1:8" hidden="1" x14ac:dyDescent="0.3">
      <c r="A1622" s="9">
        <v>45085</v>
      </c>
      <c r="B1622" t="s">
        <v>8</v>
      </c>
      <c r="C1622" t="s">
        <v>35</v>
      </c>
      <c r="D1622" t="s">
        <v>10</v>
      </c>
      <c r="E1622" t="s">
        <v>39</v>
      </c>
      <c r="F1622">
        <v>650</v>
      </c>
      <c r="G1622">
        <v>45</v>
      </c>
      <c r="H1622" s="6">
        <f t="shared" si="115"/>
        <v>29.25</v>
      </c>
    </row>
    <row r="1623" spans="1:8" hidden="1" x14ac:dyDescent="0.3">
      <c r="A1623" s="9">
        <v>45085</v>
      </c>
      <c r="B1623" t="s">
        <v>8</v>
      </c>
      <c r="C1623" t="s">
        <v>35</v>
      </c>
      <c r="D1623" t="s">
        <v>13</v>
      </c>
      <c r="E1623" t="s">
        <v>29</v>
      </c>
      <c r="F1623">
        <v>1230</v>
      </c>
      <c r="G1623">
        <v>92</v>
      </c>
      <c r="H1623" s="6">
        <f t="shared" si="115"/>
        <v>113.16</v>
      </c>
    </row>
    <row r="1624" spans="1:8" hidden="1" x14ac:dyDescent="0.3">
      <c r="A1624" s="13" t="s">
        <v>173</v>
      </c>
      <c r="H1624" s="6">
        <f>SUBTOTAL(9,H1612:H1623)</f>
        <v>28.29</v>
      </c>
    </row>
    <row r="1625" spans="1:8" hidden="1" x14ac:dyDescent="0.3">
      <c r="A1625" s="9">
        <v>45086</v>
      </c>
      <c r="B1625" t="s">
        <v>17</v>
      </c>
      <c r="C1625" t="s">
        <v>20</v>
      </c>
      <c r="D1625" t="s">
        <v>18</v>
      </c>
      <c r="E1625" t="s">
        <v>28</v>
      </c>
      <c r="F1625">
        <v>690</v>
      </c>
      <c r="G1625">
        <v>58</v>
      </c>
      <c r="H1625" s="6">
        <f t="shared" ref="H1625:H1633" si="116">F1625*G1625/1000</f>
        <v>40.020000000000003</v>
      </c>
    </row>
    <row r="1626" spans="1:8" hidden="1" x14ac:dyDescent="0.3">
      <c r="A1626" s="9">
        <v>45086</v>
      </c>
      <c r="B1626" t="s">
        <v>45</v>
      </c>
      <c r="C1626" t="s">
        <v>20</v>
      </c>
      <c r="D1626" t="s">
        <v>13</v>
      </c>
      <c r="E1626" t="s">
        <v>38</v>
      </c>
      <c r="F1626">
        <v>2400</v>
      </c>
      <c r="G1626">
        <v>75</v>
      </c>
      <c r="H1626" s="6">
        <f t="shared" si="116"/>
        <v>180</v>
      </c>
    </row>
    <row r="1627" spans="1:8" hidden="1" x14ac:dyDescent="0.3">
      <c r="A1627" s="9">
        <v>45086</v>
      </c>
      <c r="B1627" t="s">
        <v>8</v>
      </c>
      <c r="C1627" t="s">
        <v>20</v>
      </c>
      <c r="D1627" t="s">
        <v>13</v>
      </c>
      <c r="E1627" t="s">
        <v>43</v>
      </c>
      <c r="F1627">
        <v>1420</v>
      </c>
      <c r="G1627">
        <v>58</v>
      </c>
      <c r="H1627" s="6">
        <f t="shared" si="116"/>
        <v>82.36</v>
      </c>
    </row>
    <row r="1628" spans="1:8" hidden="1" x14ac:dyDescent="0.3">
      <c r="A1628" s="9">
        <v>45086</v>
      </c>
      <c r="B1628" t="s">
        <v>45</v>
      </c>
      <c r="C1628" t="s">
        <v>20</v>
      </c>
      <c r="D1628" t="s">
        <v>24</v>
      </c>
      <c r="E1628" t="s">
        <v>30</v>
      </c>
      <c r="F1628">
        <v>2970</v>
      </c>
      <c r="G1628">
        <v>72</v>
      </c>
      <c r="H1628" s="6">
        <f t="shared" si="116"/>
        <v>213.84</v>
      </c>
    </row>
    <row r="1629" spans="1:8" hidden="1" x14ac:dyDescent="0.3">
      <c r="A1629" s="9">
        <v>45086</v>
      </c>
      <c r="B1629" t="s">
        <v>17</v>
      </c>
      <c r="C1629" t="s">
        <v>26</v>
      </c>
      <c r="D1629" t="s">
        <v>10</v>
      </c>
      <c r="E1629" t="s">
        <v>41</v>
      </c>
      <c r="F1629">
        <v>650</v>
      </c>
      <c r="G1629">
        <v>91</v>
      </c>
      <c r="H1629" s="6">
        <f t="shared" si="116"/>
        <v>59.15</v>
      </c>
    </row>
    <row r="1630" spans="1:8" hidden="1" x14ac:dyDescent="0.3">
      <c r="A1630" s="9">
        <v>45086</v>
      </c>
      <c r="B1630" t="s">
        <v>8</v>
      </c>
      <c r="C1630" t="s">
        <v>26</v>
      </c>
      <c r="D1630" t="s">
        <v>10</v>
      </c>
      <c r="E1630" t="s">
        <v>40</v>
      </c>
      <c r="F1630">
        <v>540</v>
      </c>
      <c r="G1630">
        <v>77</v>
      </c>
      <c r="H1630" s="6">
        <f t="shared" si="116"/>
        <v>41.58</v>
      </c>
    </row>
    <row r="1631" spans="1:8" hidden="1" x14ac:dyDescent="0.3">
      <c r="A1631" s="9">
        <v>45086</v>
      </c>
      <c r="B1631" t="s">
        <v>45</v>
      </c>
      <c r="C1631" t="s">
        <v>26</v>
      </c>
      <c r="D1631" t="s">
        <v>24</v>
      </c>
      <c r="E1631" t="s">
        <v>42</v>
      </c>
      <c r="F1631">
        <v>3205</v>
      </c>
      <c r="G1631">
        <v>43</v>
      </c>
      <c r="H1631" s="6">
        <f t="shared" si="116"/>
        <v>137.815</v>
      </c>
    </row>
    <row r="1632" spans="1:8" hidden="1" x14ac:dyDescent="0.3">
      <c r="A1632" s="9">
        <v>45086</v>
      </c>
      <c r="B1632" t="s">
        <v>45</v>
      </c>
      <c r="C1632" t="s">
        <v>15</v>
      </c>
      <c r="D1632" t="s">
        <v>10</v>
      </c>
      <c r="E1632" t="s">
        <v>40</v>
      </c>
      <c r="F1632">
        <v>540</v>
      </c>
      <c r="G1632">
        <v>98</v>
      </c>
      <c r="H1632" s="6">
        <f t="shared" si="116"/>
        <v>52.92</v>
      </c>
    </row>
    <row r="1633" spans="1:8" hidden="1" x14ac:dyDescent="0.3">
      <c r="A1633" s="9">
        <v>45086</v>
      </c>
      <c r="B1633" t="s">
        <v>12</v>
      </c>
      <c r="C1633" t="s">
        <v>15</v>
      </c>
      <c r="D1633" t="s">
        <v>24</v>
      </c>
      <c r="E1633" t="s">
        <v>30</v>
      </c>
      <c r="F1633">
        <v>2970</v>
      </c>
      <c r="G1633">
        <v>34</v>
      </c>
      <c r="H1633" s="6">
        <f t="shared" si="116"/>
        <v>100.98</v>
      </c>
    </row>
    <row r="1634" spans="1:8" hidden="1" x14ac:dyDescent="0.3">
      <c r="A1634" s="13" t="s">
        <v>174</v>
      </c>
      <c r="H1634" s="6">
        <f>SUBTOTAL(9,H1625:H1633)</f>
        <v>0</v>
      </c>
    </row>
    <row r="1635" spans="1:8" hidden="1" x14ac:dyDescent="0.3">
      <c r="A1635" s="9">
        <v>45087</v>
      </c>
      <c r="B1635" t="s">
        <v>45</v>
      </c>
      <c r="C1635" t="s">
        <v>20</v>
      </c>
      <c r="D1635" t="s">
        <v>18</v>
      </c>
      <c r="E1635" t="s">
        <v>28</v>
      </c>
      <c r="F1635">
        <v>690</v>
      </c>
      <c r="G1635">
        <v>66</v>
      </c>
      <c r="H1635" s="6">
        <f t="shared" ref="H1635:H1646" si="117">F1635*G1635/1000</f>
        <v>45.54</v>
      </c>
    </row>
    <row r="1636" spans="1:8" hidden="1" x14ac:dyDescent="0.3">
      <c r="A1636" s="9">
        <v>45087</v>
      </c>
      <c r="B1636" t="s">
        <v>12</v>
      </c>
      <c r="C1636" t="s">
        <v>20</v>
      </c>
      <c r="D1636" t="s">
        <v>18</v>
      </c>
      <c r="E1636" t="s">
        <v>21</v>
      </c>
      <c r="F1636">
        <v>450</v>
      </c>
      <c r="G1636">
        <v>39</v>
      </c>
      <c r="H1636" s="6">
        <f t="shared" si="117"/>
        <v>17.55</v>
      </c>
    </row>
    <row r="1637" spans="1:8" hidden="1" x14ac:dyDescent="0.3">
      <c r="A1637" s="9">
        <v>45087</v>
      </c>
      <c r="B1637" t="s">
        <v>8</v>
      </c>
      <c r="C1637" t="s">
        <v>20</v>
      </c>
      <c r="D1637" t="s">
        <v>18</v>
      </c>
      <c r="E1637" t="s">
        <v>21</v>
      </c>
      <c r="F1637">
        <v>450</v>
      </c>
      <c r="G1637">
        <v>27</v>
      </c>
      <c r="H1637" s="6">
        <f t="shared" si="117"/>
        <v>12.15</v>
      </c>
    </row>
    <row r="1638" spans="1:8" hidden="1" x14ac:dyDescent="0.3">
      <c r="A1638" s="9">
        <v>45087</v>
      </c>
      <c r="B1638" t="s">
        <v>8</v>
      </c>
      <c r="C1638" t="s">
        <v>20</v>
      </c>
      <c r="D1638" t="s">
        <v>18</v>
      </c>
      <c r="E1638" t="s">
        <v>27</v>
      </c>
      <c r="F1638">
        <v>460</v>
      </c>
      <c r="G1638">
        <v>56</v>
      </c>
      <c r="H1638" s="6">
        <f t="shared" si="117"/>
        <v>25.76</v>
      </c>
    </row>
    <row r="1639" spans="1:8" hidden="1" x14ac:dyDescent="0.3">
      <c r="A1639" s="9">
        <v>45087</v>
      </c>
      <c r="B1639" t="s">
        <v>17</v>
      </c>
      <c r="C1639" t="s">
        <v>20</v>
      </c>
      <c r="D1639" t="s">
        <v>24</v>
      </c>
      <c r="E1639" t="s">
        <v>32</v>
      </c>
      <c r="F1639">
        <v>1505</v>
      </c>
      <c r="G1639">
        <v>33</v>
      </c>
      <c r="H1639" s="6">
        <f t="shared" si="117"/>
        <v>49.664999999999999</v>
      </c>
    </row>
    <row r="1640" spans="1:8" hidden="1" x14ac:dyDescent="0.3">
      <c r="A1640" s="9">
        <v>45087</v>
      </c>
      <c r="B1640" t="s">
        <v>45</v>
      </c>
      <c r="C1640" t="s">
        <v>9</v>
      </c>
      <c r="D1640" t="s">
        <v>18</v>
      </c>
      <c r="E1640" t="s">
        <v>28</v>
      </c>
      <c r="F1640">
        <v>690</v>
      </c>
      <c r="G1640">
        <v>71</v>
      </c>
      <c r="H1640" s="6">
        <f t="shared" si="117"/>
        <v>48.99</v>
      </c>
    </row>
    <row r="1641" spans="1:8" hidden="1" x14ac:dyDescent="0.3">
      <c r="A1641" s="9">
        <v>45087</v>
      </c>
      <c r="B1641" t="s">
        <v>45</v>
      </c>
      <c r="C1641" t="s">
        <v>9</v>
      </c>
      <c r="D1641" t="s">
        <v>24</v>
      </c>
      <c r="E1641" t="s">
        <v>32</v>
      </c>
      <c r="F1641">
        <v>1505</v>
      </c>
      <c r="G1641">
        <v>7</v>
      </c>
      <c r="H1641" s="6">
        <f t="shared" si="117"/>
        <v>10.535</v>
      </c>
    </row>
    <row r="1642" spans="1:8" hidden="1" x14ac:dyDescent="0.3">
      <c r="A1642" s="9">
        <v>45087</v>
      </c>
      <c r="B1642" t="s">
        <v>17</v>
      </c>
      <c r="C1642" t="s">
        <v>26</v>
      </c>
      <c r="D1642" t="s">
        <v>18</v>
      </c>
      <c r="E1642" t="s">
        <v>28</v>
      </c>
      <c r="F1642">
        <v>690</v>
      </c>
      <c r="G1642">
        <v>20</v>
      </c>
      <c r="H1642" s="6">
        <f t="shared" si="117"/>
        <v>13.8</v>
      </c>
    </row>
    <row r="1643" spans="1:8" hidden="1" x14ac:dyDescent="0.3">
      <c r="A1643" s="9">
        <v>45087</v>
      </c>
      <c r="B1643" t="s">
        <v>17</v>
      </c>
      <c r="C1643" t="s">
        <v>33</v>
      </c>
      <c r="D1643" t="s">
        <v>10</v>
      </c>
      <c r="E1643" t="s">
        <v>16</v>
      </c>
      <c r="F1643">
        <v>1380</v>
      </c>
      <c r="G1643">
        <v>44</v>
      </c>
      <c r="H1643" s="6">
        <f t="shared" si="117"/>
        <v>60.72</v>
      </c>
    </row>
    <row r="1644" spans="1:8" hidden="1" x14ac:dyDescent="0.3">
      <c r="A1644" s="9">
        <v>45087</v>
      </c>
      <c r="B1644" t="s">
        <v>45</v>
      </c>
      <c r="C1644" t="s">
        <v>33</v>
      </c>
      <c r="D1644" t="s">
        <v>24</v>
      </c>
      <c r="E1644" t="s">
        <v>32</v>
      </c>
      <c r="F1644">
        <v>1505</v>
      </c>
      <c r="G1644">
        <v>44</v>
      </c>
      <c r="H1644" s="6">
        <f t="shared" si="117"/>
        <v>66.22</v>
      </c>
    </row>
    <row r="1645" spans="1:8" hidden="1" x14ac:dyDescent="0.3">
      <c r="A1645" s="9">
        <v>45087</v>
      </c>
      <c r="B1645" t="s">
        <v>12</v>
      </c>
      <c r="C1645" t="s">
        <v>35</v>
      </c>
      <c r="D1645" t="s">
        <v>24</v>
      </c>
      <c r="E1645" t="s">
        <v>32</v>
      </c>
      <c r="F1645">
        <v>1505</v>
      </c>
      <c r="G1645">
        <v>42</v>
      </c>
      <c r="H1645" s="6">
        <f t="shared" si="117"/>
        <v>63.21</v>
      </c>
    </row>
    <row r="1646" spans="1:8" hidden="1" x14ac:dyDescent="0.3">
      <c r="A1646" s="9">
        <v>45087</v>
      </c>
      <c r="B1646" t="s">
        <v>17</v>
      </c>
      <c r="C1646" t="s">
        <v>35</v>
      </c>
      <c r="D1646" t="s">
        <v>24</v>
      </c>
      <c r="E1646" t="s">
        <v>30</v>
      </c>
      <c r="F1646">
        <v>2970</v>
      </c>
      <c r="G1646">
        <v>51</v>
      </c>
      <c r="H1646" s="6">
        <f t="shared" si="117"/>
        <v>151.47</v>
      </c>
    </row>
    <row r="1647" spans="1:8" hidden="1" x14ac:dyDescent="0.3">
      <c r="A1647" s="13" t="s">
        <v>175</v>
      </c>
      <c r="H1647" s="6">
        <f>SUBTOTAL(9,H1635:H1646)</f>
        <v>0</v>
      </c>
    </row>
    <row r="1648" spans="1:8" hidden="1" x14ac:dyDescent="0.3">
      <c r="A1648" s="9">
        <v>45088</v>
      </c>
      <c r="B1648" t="s">
        <v>12</v>
      </c>
      <c r="C1648" t="s">
        <v>20</v>
      </c>
      <c r="D1648" t="s">
        <v>13</v>
      </c>
      <c r="E1648" t="s">
        <v>38</v>
      </c>
      <c r="F1648">
        <v>2400</v>
      </c>
      <c r="G1648">
        <v>99</v>
      </c>
      <c r="H1648" s="6">
        <f t="shared" ref="H1648:H1656" si="118">F1648*G1648/1000</f>
        <v>237.6</v>
      </c>
    </row>
    <row r="1649" spans="1:8" hidden="1" x14ac:dyDescent="0.3">
      <c r="A1649" s="9">
        <v>45088</v>
      </c>
      <c r="B1649" t="s">
        <v>8</v>
      </c>
      <c r="C1649" t="s">
        <v>20</v>
      </c>
      <c r="D1649" t="s">
        <v>13</v>
      </c>
      <c r="E1649" t="s">
        <v>43</v>
      </c>
      <c r="F1649">
        <v>1420</v>
      </c>
      <c r="G1649">
        <v>32</v>
      </c>
      <c r="H1649" s="6">
        <f t="shared" si="118"/>
        <v>45.44</v>
      </c>
    </row>
    <row r="1650" spans="1:8" hidden="1" x14ac:dyDescent="0.3">
      <c r="A1650" s="9">
        <v>45088</v>
      </c>
      <c r="B1650" t="s">
        <v>45</v>
      </c>
      <c r="C1650" t="s">
        <v>26</v>
      </c>
      <c r="D1650" t="s">
        <v>18</v>
      </c>
      <c r="E1650" t="s">
        <v>21</v>
      </c>
      <c r="F1650">
        <v>450</v>
      </c>
      <c r="G1650">
        <v>46</v>
      </c>
      <c r="H1650" s="6">
        <f t="shared" si="118"/>
        <v>20.7</v>
      </c>
    </row>
    <row r="1651" spans="1:8" hidden="1" x14ac:dyDescent="0.3">
      <c r="A1651" s="9">
        <v>45088</v>
      </c>
      <c r="B1651" t="s">
        <v>12</v>
      </c>
      <c r="C1651" t="s">
        <v>15</v>
      </c>
      <c r="D1651" t="s">
        <v>10</v>
      </c>
      <c r="E1651" t="s">
        <v>23</v>
      </c>
      <c r="F1651">
        <v>640</v>
      </c>
      <c r="G1651">
        <v>24</v>
      </c>
      <c r="H1651" s="6">
        <f t="shared" si="118"/>
        <v>15.36</v>
      </c>
    </row>
    <row r="1652" spans="1:8" hidden="1" x14ac:dyDescent="0.3">
      <c r="A1652" s="9">
        <v>45088</v>
      </c>
      <c r="B1652" t="s">
        <v>8</v>
      </c>
      <c r="C1652" t="s">
        <v>15</v>
      </c>
      <c r="D1652" t="s">
        <v>24</v>
      </c>
      <c r="E1652" t="s">
        <v>36</v>
      </c>
      <c r="F1652">
        <v>2460</v>
      </c>
      <c r="G1652">
        <v>94</v>
      </c>
      <c r="H1652" s="6">
        <f t="shared" si="118"/>
        <v>231.24</v>
      </c>
    </row>
    <row r="1653" spans="1:8" hidden="1" x14ac:dyDescent="0.3">
      <c r="A1653" s="9">
        <v>45088</v>
      </c>
      <c r="B1653" t="s">
        <v>12</v>
      </c>
      <c r="C1653" t="s">
        <v>33</v>
      </c>
      <c r="D1653" t="s">
        <v>18</v>
      </c>
      <c r="E1653" t="s">
        <v>31</v>
      </c>
      <c r="F1653">
        <v>715</v>
      </c>
      <c r="G1653">
        <v>77</v>
      </c>
      <c r="H1653" s="6">
        <f t="shared" si="118"/>
        <v>55.055</v>
      </c>
    </row>
    <row r="1654" spans="1:8" hidden="1" x14ac:dyDescent="0.3">
      <c r="A1654" s="9">
        <v>45088</v>
      </c>
      <c r="B1654" t="s">
        <v>12</v>
      </c>
      <c r="C1654" t="s">
        <v>33</v>
      </c>
      <c r="D1654" t="s">
        <v>18</v>
      </c>
      <c r="E1654" t="s">
        <v>27</v>
      </c>
      <c r="F1654">
        <v>460</v>
      </c>
      <c r="G1654">
        <v>86</v>
      </c>
      <c r="H1654" s="6">
        <f t="shared" si="118"/>
        <v>39.56</v>
      </c>
    </row>
    <row r="1655" spans="1:8" hidden="1" x14ac:dyDescent="0.3">
      <c r="A1655" s="9">
        <v>45088</v>
      </c>
      <c r="B1655" t="s">
        <v>8</v>
      </c>
      <c r="C1655" t="s">
        <v>33</v>
      </c>
      <c r="D1655" t="s">
        <v>13</v>
      </c>
      <c r="E1655" t="s">
        <v>38</v>
      </c>
      <c r="F1655">
        <v>2400</v>
      </c>
      <c r="G1655">
        <v>64</v>
      </c>
      <c r="H1655" s="6">
        <f t="shared" si="118"/>
        <v>153.6</v>
      </c>
    </row>
    <row r="1656" spans="1:8" hidden="1" x14ac:dyDescent="0.3">
      <c r="A1656" s="9">
        <v>45088</v>
      </c>
      <c r="B1656" t="s">
        <v>17</v>
      </c>
      <c r="C1656" t="s">
        <v>35</v>
      </c>
      <c r="D1656" t="s">
        <v>10</v>
      </c>
      <c r="E1656" t="s">
        <v>16</v>
      </c>
      <c r="F1656">
        <v>1380</v>
      </c>
      <c r="G1656">
        <v>60</v>
      </c>
      <c r="H1656" s="6">
        <f t="shared" si="118"/>
        <v>82.8</v>
      </c>
    </row>
    <row r="1657" spans="1:8" hidden="1" x14ac:dyDescent="0.3">
      <c r="A1657" s="13" t="s">
        <v>176</v>
      </c>
      <c r="H1657" s="6">
        <f>SUBTOTAL(9,H1648:H1656)</f>
        <v>0</v>
      </c>
    </row>
    <row r="1658" spans="1:8" hidden="1" x14ac:dyDescent="0.3">
      <c r="A1658" s="9">
        <v>45089</v>
      </c>
      <c r="B1658" t="s">
        <v>8</v>
      </c>
      <c r="C1658" t="s">
        <v>20</v>
      </c>
      <c r="D1658" t="s">
        <v>24</v>
      </c>
      <c r="E1658" t="s">
        <v>25</v>
      </c>
      <c r="F1658">
        <v>1760</v>
      </c>
      <c r="G1658">
        <v>84</v>
      </c>
      <c r="H1658" s="6">
        <f t="shared" ref="H1658:H1663" si="119">F1658*G1658/1000</f>
        <v>147.84</v>
      </c>
    </row>
    <row r="1659" spans="1:8" hidden="1" x14ac:dyDescent="0.3">
      <c r="A1659" s="9">
        <v>45089</v>
      </c>
      <c r="B1659" t="s">
        <v>45</v>
      </c>
      <c r="C1659" t="s">
        <v>9</v>
      </c>
      <c r="D1659" t="s">
        <v>18</v>
      </c>
      <c r="E1659" t="s">
        <v>28</v>
      </c>
      <c r="F1659">
        <v>690</v>
      </c>
      <c r="G1659">
        <v>39</v>
      </c>
      <c r="H1659" s="6">
        <f t="shared" si="119"/>
        <v>26.91</v>
      </c>
    </row>
    <row r="1660" spans="1:8" hidden="1" x14ac:dyDescent="0.3">
      <c r="A1660" s="9">
        <v>45089</v>
      </c>
      <c r="B1660" t="s">
        <v>8</v>
      </c>
      <c r="C1660" t="s">
        <v>26</v>
      </c>
      <c r="D1660" t="s">
        <v>18</v>
      </c>
      <c r="E1660" t="s">
        <v>19</v>
      </c>
      <c r="F1660">
        <v>325</v>
      </c>
      <c r="G1660">
        <v>79</v>
      </c>
      <c r="H1660" s="6">
        <f t="shared" si="119"/>
        <v>25.675000000000001</v>
      </c>
    </row>
    <row r="1661" spans="1:8" hidden="1" x14ac:dyDescent="0.3">
      <c r="A1661" s="9">
        <v>45089</v>
      </c>
      <c r="B1661" t="s">
        <v>8</v>
      </c>
      <c r="C1661" t="s">
        <v>26</v>
      </c>
      <c r="D1661" t="s">
        <v>24</v>
      </c>
      <c r="E1661" t="s">
        <v>36</v>
      </c>
      <c r="F1661">
        <v>2460</v>
      </c>
      <c r="G1661">
        <v>43</v>
      </c>
      <c r="H1661" s="6">
        <f t="shared" si="119"/>
        <v>105.78</v>
      </c>
    </row>
    <row r="1662" spans="1:8" hidden="1" x14ac:dyDescent="0.3">
      <c r="A1662" s="9">
        <v>45089</v>
      </c>
      <c r="B1662" t="s">
        <v>17</v>
      </c>
      <c r="C1662" t="s">
        <v>15</v>
      </c>
      <c r="D1662" t="s">
        <v>10</v>
      </c>
      <c r="E1662" t="s">
        <v>41</v>
      </c>
      <c r="F1662">
        <v>650</v>
      </c>
      <c r="G1662">
        <v>71</v>
      </c>
      <c r="H1662" s="6">
        <f t="shared" si="119"/>
        <v>46.15</v>
      </c>
    </row>
    <row r="1663" spans="1:8" hidden="1" x14ac:dyDescent="0.3">
      <c r="A1663" s="9">
        <v>45089</v>
      </c>
      <c r="B1663" t="s">
        <v>12</v>
      </c>
      <c r="C1663" t="s">
        <v>35</v>
      </c>
      <c r="D1663" t="s">
        <v>10</v>
      </c>
      <c r="E1663" t="s">
        <v>11</v>
      </c>
      <c r="F1663">
        <v>705</v>
      </c>
      <c r="G1663">
        <v>15</v>
      </c>
      <c r="H1663" s="6">
        <f t="shared" si="119"/>
        <v>10.574999999999999</v>
      </c>
    </row>
    <row r="1664" spans="1:8" hidden="1" x14ac:dyDescent="0.3">
      <c r="A1664" s="13" t="s">
        <v>177</v>
      </c>
      <c r="H1664" s="6">
        <f>SUBTOTAL(9,H1658:H1663)</f>
        <v>0</v>
      </c>
    </row>
    <row r="1665" spans="1:8" hidden="1" x14ac:dyDescent="0.3">
      <c r="A1665" s="9">
        <v>45090</v>
      </c>
      <c r="B1665" t="s">
        <v>12</v>
      </c>
      <c r="C1665" t="s">
        <v>20</v>
      </c>
      <c r="D1665" t="s">
        <v>13</v>
      </c>
      <c r="E1665" t="s">
        <v>38</v>
      </c>
      <c r="F1665">
        <v>2400</v>
      </c>
      <c r="G1665">
        <v>50</v>
      </c>
      <c r="H1665" s="6">
        <f t="shared" ref="H1665:H1674" si="120">F1665*G1665/1000</f>
        <v>120</v>
      </c>
    </row>
    <row r="1666" spans="1:8" hidden="1" x14ac:dyDescent="0.3">
      <c r="A1666" s="9">
        <v>45090</v>
      </c>
      <c r="B1666" t="s">
        <v>17</v>
      </c>
      <c r="C1666" t="s">
        <v>9</v>
      </c>
      <c r="D1666" t="s">
        <v>10</v>
      </c>
      <c r="E1666" t="s">
        <v>16</v>
      </c>
      <c r="F1666">
        <v>1380</v>
      </c>
      <c r="G1666">
        <v>76</v>
      </c>
      <c r="H1666" s="6">
        <f t="shared" si="120"/>
        <v>104.88</v>
      </c>
    </row>
    <row r="1667" spans="1:8" hidden="1" x14ac:dyDescent="0.3">
      <c r="A1667" s="9">
        <v>45090</v>
      </c>
      <c r="B1667" t="s">
        <v>8</v>
      </c>
      <c r="C1667" t="s">
        <v>9</v>
      </c>
      <c r="D1667" t="s">
        <v>13</v>
      </c>
      <c r="E1667" t="s">
        <v>14</v>
      </c>
      <c r="F1667">
        <v>1320</v>
      </c>
      <c r="G1667">
        <v>18</v>
      </c>
      <c r="H1667" s="6">
        <f t="shared" si="120"/>
        <v>23.76</v>
      </c>
    </row>
    <row r="1668" spans="1:8" hidden="1" x14ac:dyDescent="0.3">
      <c r="A1668" s="9">
        <v>45090</v>
      </c>
      <c r="B1668" t="s">
        <v>8</v>
      </c>
      <c r="C1668" t="s">
        <v>26</v>
      </c>
      <c r="D1668" t="s">
        <v>18</v>
      </c>
      <c r="E1668" t="s">
        <v>19</v>
      </c>
      <c r="F1668">
        <v>325</v>
      </c>
      <c r="G1668">
        <v>32</v>
      </c>
      <c r="H1668" s="6">
        <f t="shared" si="120"/>
        <v>10.4</v>
      </c>
    </row>
    <row r="1669" spans="1:8" hidden="1" x14ac:dyDescent="0.3">
      <c r="A1669" s="9">
        <v>45090</v>
      </c>
      <c r="B1669" t="s">
        <v>45</v>
      </c>
      <c r="C1669" t="s">
        <v>26</v>
      </c>
      <c r="D1669" t="s">
        <v>13</v>
      </c>
      <c r="E1669" t="s">
        <v>22</v>
      </c>
      <c r="F1669">
        <v>930</v>
      </c>
      <c r="G1669">
        <v>45</v>
      </c>
      <c r="H1669" s="6">
        <f t="shared" si="120"/>
        <v>41.85</v>
      </c>
    </row>
    <row r="1670" spans="1:8" hidden="1" x14ac:dyDescent="0.3">
      <c r="A1670" s="9">
        <v>45090</v>
      </c>
      <c r="B1670" t="s">
        <v>45</v>
      </c>
      <c r="C1670" t="s">
        <v>15</v>
      </c>
      <c r="D1670" t="s">
        <v>10</v>
      </c>
      <c r="E1670" t="s">
        <v>11</v>
      </c>
      <c r="F1670">
        <v>705</v>
      </c>
      <c r="G1670">
        <v>6</v>
      </c>
      <c r="H1670" s="6">
        <f t="shared" si="120"/>
        <v>4.2300000000000004</v>
      </c>
    </row>
    <row r="1671" spans="1:8" hidden="1" x14ac:dyDescent="0.3">
      <c r="A1671" s="9">
        <v>45090</v>
      </c>
      <c r="B1671" t="s">
        <v>8</v>
      </c>
      <c r="C1671" t="s">
        <v>15</v>
      </c>
      <c r="D1671" t="s">
        <v>18</v>
      </c>
      <c r="E1671" t="s">
        <v>37</v>
      </c>
      <c r="F1671">
        <v>890</v>
      </c>
      <c r="G1671">
        <v>40</v>
      </c>
      <c r="H1671" s="6">
        <f t="shared" si="120"/>
        <v>35.6</v>
      </c>
    </row>
    <row r="1672" spans="1:8" hidden="1" x14ac:dyDescent="0.3">
      <c r="A1672" s="9">
        <v>45090</v>
      </c>
      <c r="B1672" t="s">
        <v>45</v>
      </c>
      <c r="C1672" t="s">
        <v>15</v>
      </c>
      <c r="D1672" t="s">
        <v>13</v>
      </c>
      <c r="E1672" t="s">
        <v>43</v>
      </c>
      <c r="F1672">
        <v>1420</v>
      </c>
      <c r="G1672">
        <v>66</v>
      </c>
      <c r="H1672" s="6">
        <f t="shared" si="120"/>
        <v>93.72</v>
      </c>
    </row>
    <row r="1673" spans="1:8" hidden="1" x14ac:dyDescent="0.3">
      <c r="A1673" s="9">
        <v>45090</v>
      </c>
      <c r="B1673" t="s">
        <v>12</v>
      </c>
      <c r="C1673" t="s">
        <v>35</v>
      </c>
      <c r="D1673" t="s">
        <v>10</v>
      </c>
      <c r="E1673" t="s">
        <v>16</v>
      </c>
      <c r="F1673">
        <v>1380</v>
      </c>
      <c r="G1673">
        <v>43</v>
      </c>
      <c r="H1673" s="6">
        <f t="shared" si="120"/>
        <v>59.34</v>
      </c>
    </row>
    <row r="1674" spans="1:8" hidden="1" x14ac:dyDescent="0.3">
      <c r="A1674" s="9">
        <v>45090</v>
      </c>
      <c r="B1674" t="s">
        <v>17</v>
      </c>
      <c r="C1674" t="s">
        <v>35</v>
      </c>
      <c r="D1674" t="s">
        <v>13</v>
      </c>
      <c r="E1674" t="s">
        <v>44</v>
      </c>
      <c r="F1674">
        <v>2540</v>
      </c>
      <c r="G1674">
        <v>72</v>
      </c>
      <c r="H1674" s="6">
        <f t="shared" si="120"/>
        <v>182.88</v>
      </c>
    </row>
    <row r="1675" spans="1:8" hidden="1" x14ac:dyDescent="0.3">
      <c r="A1675" s="13" t="s">
        <v>178</v>
      </c>
      <c r="H1675" s="6">
        <f>SUBTOTAL(9,H1665:H1674)</f>
        <v>0</v>
      </c>
    </row>
    <row r="1676" spans="1:8" hidden="1" x14ac:dyDescent="0.3">
      <c r="A1676" s="9">
        <v>45091</v>
      </c>
      <c r="B1676" t="s">
        <v>17</v>
      </c>
      <c r="C1676" t="s">
        <v>20</v>
      </c>
      <c r="D1676" t="s">
        <v>18</v>
      </c>
      <c r="E1676" t="s">
        <v>19</v>
      </c>
      <c r="F1676">
        <v>325</v>
      </c>
      <c r="G1676">
        <v>33</v>
      </c>
      <c r="H1676" s="6">
        <f t="shared" ref="H1676:H1688" si="121">F1676*G1676/1000</f>
        <v>10.725</v>
      </c>
    </row>
    <row r="1677" spans="1:8" hidden="1" x14ac:dyDescent="0.3">
      <c r="A1677" s="9">
        <v>45091</v>
      </c>
      <c r="B1677" t="s">
        <v>12</v>
      </c>
      <c r="C1677" t="s">
        <v>20</v>
      </c>
      <c r="D1677" t="s">
        <v>13</v>
      </c>
      <c r="E1677" t="s">
        <v>22</v>
      </c>
      <c r="F1677">
        <v>930</v>
      </c>
      <c r="G1677">
        <v>43</v>
      </c>
      <c r="H1677" s="6">
        <f t="shared" si="121"/>
        <v>39.99</v>
      </c>
    </row>
    <row r="1678" spans="1:8" hidden="1" x14ac:dyDescent="0.3">
      <c r="A1678" s="9">
        <v>45091</v>
      </c>
      <c r="B1678" t="s">
        <v>8</v>
      </c>
      <c r="C1678" t="s">
        <v>9</v>
      </c>
      <c r="D1678" t="s">
        <v>10</v>
      </c>
      <c r="E1678" t="s">
        <v>11</v>
      </c>
      <c r="F1678">
        <v>705</v>
      </c>
      <c r="G1678">
        <v>40</v>
      </c>
      <c r="H1678" s="6">
        <f t="shared" si="121"/>
        <v>28.2</v>
      </c>
    </row>
    <row r="1679" spans="1:8" hidden="1" x14ac:dyDescent="0.3">
      <c r="A1679" s="9">
        <v>45091</v>
      </c>
      <c r="B1679" t="s">
        <v>8</v>
      </c>
      <c r="C1679" t="s">
        <v>9</v>
      </c>
      <c r="D1679" t="s">
        <v>13</v>
      </c>
      <c r="E1679" t="s">
        <v>38</v>
      </c>
      <c r="F1679">
        <v>2400</v>
      </c>
      <c r="G1679">
        <v>8</v>
      </c>
      <c r="H1679" s="6">
        <f t="shared" si="121"/>
        <v>19.2</v>
      </c>
    </row>
    <row r="1680" spans="1:8" hidden="1" x14ac:dyDescent="0.3">
      <c r="A1680" s="9">
        <v>45091</v>
      </c>
      <c r="B1680" t="s">
        <v>45</v>
      </c>
      <c r="C1680" t="s">
        <v>9</v>
      </c>
      <c r="D1680" t="s">
        <v>13</v>
      </c>
      <c r="E1680" t="s">
        <v>43</v>
      </c>
      <c r="F1680">
        <v>1420</v>
      </c>
      <c r="G1680">
        <v>87</v>
      </c>
      <c r="H1680" s="6">
        <f t="shared" si="121"/>
        <v>123.54</v>
      </c>
    </row>
    <row r="1681" spans="1:8" hidden="1" x14ac:dyDescent="0.3">
      <c r="A1681" s="9">
        <v>45091</v>
      </c>
      <c r="B1681" t="s">
        <v>45</v>
      </c>
      <c r="C1681" t="s">
        <v>26</v>
      </c>
      <c r="D1681" t="s">
        <v>18</v>
      </c>
      <c r="E1681" t="s">
        <v>37</v>
      </c>
      <c r="F1681">
        <v>890</v>
      </c>
      <c r="G1681">
        <v>67</v>
      </c>
      <c r="H1681" s="6">
        <f t="shared" si="121"/>
        <v>59.63</v>
      </c>
    </row>
    <row r="1682" spans="1:8" hidden="1" x14ac:dyDescent="0.3">
      <c r="A1682" s="9">
        <v>45091</v>
      </c>
      <c r="B1682" t="s">
        <v>12</v>
      </c>
      <c r="C1682" t="s">
        <v>15</v>
      </c>
      <c r="D1682" t="s">
        <v>18</v>
      </c>
      <c r="E1682" t="s">
        <v>19</v>
      </c>
      <c r="F1682">
        <v>325</v>
      </c>
      <c r="G1682">
        <v>100</v>
      </c>
      <c r="H1682" s="6">
        <f t="shared" si="121"/>
        <v>32.5</v>
      </c>
    </row>
    <row r="1683" spans="1:8" hidden="1" x14ac:dyDescent="0.3">
      <c r="A1683" s="9">
        <v>45091</v>
      </c>
      <c r="B1683" t="s">
        <v>17</v>
      </c>
      <c r="C1683" t="s">
        <v>15</v>
      </c>
      <c r="D1683" t="s">
        <v>13</v>
      </c>
      <c r="E1683" t="s">
        <v>43</v>
      </c>
      <c r="F1683">
        <v>1420</v>
      </c>
      <c r="G1683">
        <v>33</v>
      </c>
      <c r="H1683" s="6">
        <f t="shared" si="121"/>
        <v>46.86</v>
      </c>
    </row>
    <row r="1684" spans="1:8" hidden="1" x14ac:dyDescent="0.3">
      <c r="A1684" s="9">
        <v>45091</v>
      </c>
      <c r="B1684" t="s">
        <v>45</v>
      </c>
      <c r="C1684" t="s">
        <v>33</v>
      </c>
      <c r="D1684" t="s">
        <v>13</v>
      </c>
      <c r="E1684" t="s">
        <v>22</v>
      </c>
      <c r="F1684">
        <v>930</v>
      </c>
      <c r="G1684">
        <v>67</v>
      </c>
      <c r="H1684" s="6">
        <f t="shared" si="121"/>
        <v>62.31</v>
      </c>
    </row>
    <row r="1685" spans="1:8" hidden="1" x14ac:dyDescent="0.3">
      <c r="A1685" s="9">
        <v>45091</v>
      </c>
      <c r="B1685" t="s">
        <v>45</v>
      </c>
      <c r="C1685" t="s">
        <v>33</v>
      </c>
      <c r="D1685" t="s">
        <v>24</v>
      </c>
      <c r="E1685" t="s">
        <v>25</v>
      </c>
      <c r="F1685">
        <v>1760</v>
      </c>
      <c r="G1685">
        <v>62</v>
      </c>
      <c r="H1685" s="6">
        <f t="shared" si="121"/>
        <v>109.12</v>
      </c>
    </row>
    <row r="1686" spans="1:8" hidden="1" x14ac:dyDescent="0.3">
      <c r="A1686" s="9">
        <v>45091</v>
      </c>
      <c r="B1686" t="s">
        <v>12</v>
      </c>
      <c r="C1686" t="s">
        <v>33</v>
      </c>
      <c r="D1686" t="s">
        <v>24</v>
      </c>
      <c r="E1686" t="s">
        <v>25</v>
      </c>
      <c r="F1686">
        <v>1760</v>
      </c>
      <c r="G1686">
        <v>91</v>
      </c>
      <c r="H1686" s="6">
        <f t="shared" si="121"/>
        <v>160.16</v>
      </c>
    </row>
    <row r="1687" spans="1:8" hidden="1" x14ac:dyDescent="0.3">
      <c r="A1687" s="9">
        <v>45091</v>
      </c>
      <c r="B1687" t="s">
        <v>45</v>
      </c>
      <c r="C1687" t="s">
        <v>35</v>
      </c>
      <c r="D1687" t="s">
        <v>24</v>
      </c>
      <c r="E1687" t="s">
        <v>30</v>
      </c>
      <c r="F1687">
        <v>2970</v>
      </c>
      <c r="G1687">
        <v>66</v>
      </c>
      <c r="H1687" s="6">
        <f t="shared" si="121"/>
        <v>196.02</v>
      </c>
    </row>
    <row r="1688" spans="1:8" hidden="1" x14ac:dyDescent="0.3">
      <c r="A1688" s="9">
        <v>45091</v>
      </c>
      <c r="B1688" t="s">
        <v>45</v>
      </c>
      <c r="C1688" t="s">
        <v>35</v>
      </c>
      <c r="D1688" t="s">
        <v>24</v>
      </c>
      <c r="E1688" t="s">
        <v>42</v>
      </c>
      <c r="F1688">
        <v>3205</v>
      </c>
      <c r="G1688">
        <v>22</v>
      </c>
      <c r="H1688" s="6">
        <f t="shared" si="121"/>
        <v>70.510000000000005</v>
      </c>
    </row>
    <row r="1689" spans="1:8" hidden="1" x14ac:dyDescent="0.3">
      <c r="A1689" s="13" t="s">
        <v>179</v>
      </c>
      <c r="H1689" s="6">
        <f>SUBTOTAL(9,H1676:H1688)</f>
        <v>0</v>
      </c>
    </row>
    <row r="1690" spans="1:8" hidden="1" x14ac:dyDescent="0.3">
      <c r="A1690" s="9">
        <v>45092</v>
      </c>
      <c r="B1690" t="s">
        <v>17</v>
      </c>
      <c r="C1690" t="s">
        <v>20</v>
      </c>
      <c r="D1690" t="s">
        <v>10</v>
      </c>
      <c r="E1690" t="s">
        <v>11</v>
      </c>
      <c r="F1690">
        <v>705</v>
      </c>
      <c r="G1690">
        <v>42</v>
      </c>
      <c r="H1690" s="6">
        <f>F1690*G1690/1000</f>
        <v>29.61</v>
      </c>
    </row>
    <row r="1691" spans="1:8" hidden="1" x14ac:dyDescent="0.3">
      <c r="A1691" s="9">
        <v>45092</v>
      </c>
      <c r="B1691" t="s">
        <v>12</v>
      </c>
      <c r="C1691" t="s">
        <v>9</v>
      </c>
      <c r="D1691" t="s">
        <v>24</v>
      </c>
      <c r="E1691" t="s">
        <v>42</v>
      </c>
      <c r="F1691">
        <v>3205</v>
      </c>
      <c r="G1691">
        <v>46</v>
      </c>
      <c r="H1691" s="6">
        <f>F1691*G1691/1000</f>
        <v>147.43</v>
      </c>
    </row>
    <row r="1692" spans="1:8" hidden="1" x14ac:dyDescent="0.3">
      <c r="A1692" s="9">
        <v>45092</v>
      </c>
      <c r="B1692" t="s">
        <v>12</v>
      </c>
      <c r="C1692" t="s">
        <v>26</v>
      </c>
      <c r="D1692" t="s">
        <v>24</v>
      </c>
      <c r="E1692" t="s">
        <v>34</v>
      </c>
      <c r="F1692">
        <v>1670</v>
      </c>
      <c r="G1692">
        <v>96</v>
      </c>
      <c r="H1692" s="6">
        <f>F1692*G1692/1000</f>
        <v>160.32</v>
      </c>
    </row>
    <row r="1693" spans="1:8" hidden="1" x14ac:dyDescent="0.3">
      <c r="A1693" s="9">
        <v>45092</v>
      </c>
      <c r="B1693" t="s">
        <v>12</v>
      </c>
      <c r="C1693" t="s">
        <v>15</v>
      </c>
      <c r="D1693" t="s">
        <v>24</v>
      </c>
      <c r="E1693" t="s">
        <v>30</v>
      </c>
      <c r="F1693">
        <v>2970</v>
      </c>
      <c r="G1693">
        <v>6</v>
      </c>
      <c r="H1693" s="6">
        <f>F1693*G1693/1000</f>
        <v>17.82</v>
      </c>
    </row>
    <row r="1694" spans="1:8" hidden="1" x14ac:dyDescent="0.3">
      <c r="A1694" s="9">
        <v>45092</v>
      </c>
      <c r="B1694" t="s">
        <v>8</v>
      </c>
      <c r="C1694" t="s">
        <v>15</v>
      </c>
      <c r="D1694" t="s">
        <v>24</v>
      </c>
      <c r="E1694" t="s">
        <v>36</v>
      </c>
      <c r="F1694">
        <v>2460</v>
      </c>
      <c r="G1694">
        <v>23</v>
      </c>
      <c r="H1694" s="6">
        <f>F1694*G1694/1000</f>
        <v>56.58</v>
      </c>
    </row>
    <row r="1695" spans="1:8" hidden="1" x14ac:dyDescent="0.3">
      <c r="A1695" s="13" t="s">
        <v>180</v>
      </c>
      <c r="H1695" s="6">
        <f>SUBTOTAL(9,H1690:H1694)</f>
        <v>0</v>
      </c>
    </row>
    <row r="1696" spans="1:8" hidden="1" x14ac:dyDescent="0.3">
      <c r="A1696" s="9">
        <v>45093</v>
      </c>
      <c r="B1696" t="s">
        <v>12</v>
      </c>
      <c r="C1696" t="s">
        <v>20</v>
      </c>
      <c r="D1696" t="s">
        <v>18</v>
      </c>
      <c r="E1696" t="s">
        <v>28</v>
      </c>
      <c r="F1696">
        <v>690</v>
      </c>
      <c r="G1696">
        <v>45</v>
      </c>
      <c r="H1696" s="6">
        <f t="shared" ref="H1696:H1707" si="122">F1696*G1696/1000</f>
        <v>31.05</v>
      </c>
    </row>
    <row r="1697" spans="1:8" hidden="1" x14ac:dyDescent="0.3">
      <c r="A1697" s="9">
        <v>45093</v>
      </c>
      <c r="B1697" t="s">
        <v>8</v>
      </c>
      <c r="C1697" t="s">
        <v>20</v>
      </c>
      <c r="D1697" t="s">
        <v>24</v>
      </c>
      <c r="E1697" t="s">
        <v>25</v>
      </c>
      <c r="F1697">
        <v>1760</v>
      </c>
      <c r="G1697">
        <v>43</v>
      </c>
      <c r="H1697" s="6">
        <f t="shared" si="122"/>
        <v>75.680000000000007</v>
      </c>
    </row>
    <row r="1698" spans="1:8" hidden="1" x14ac:dyDescent="0.3">
      <c r="A1698" s="9">
        <v>45093</v>
      </c>
      <c r="B1698" t="s">
        <v>45</v>
      </c>
      <c r="C1698" t="s">
        <v>9</v>
      </c>
      <c r="D1698" t="s">
        <v>24</v>
      </c>
      <c r="E1698" t="s">
        <v>30</v>
      </c>
      <c r="F1698">
        <v>2970</v>
      </c>
      <c r="G1698">
        <v>57</v>
      </c>
      <c r="H1698" s="6">
        <f t="shared" si="122"/>
        <v>169.29</v>
      </c>
    </row>
    <row r="1699" spans="1:8" hidden="1" x14ac:dyDescent="0.3">
      <c r="A1699" s="9">
        <v>45093</v>
      </c>
      <c r="B1699" t="s">
        <v>8</v>
      </c>
      <c r="C1699" t="s">
        <v>26</v>
      </c>
      <c r="D1699" t="s">
        <v>13</v>
      </c>
      <c r="E1699" t="s">
        <v>38</v>
      </c>
      <c r="F1699">
        <v>2400</v>
      </c>
      <c r="G1699">
        <v>90</v>
      </c>
      <c r="H1699" s="6">
        <f t="shared" si="122"/>
        <v>216</v>
      </c>
    </row>
    <row r="1700" spans="1:8" hidden="1" x14ac:dyDescent="0.3">
      <c r="A1700" s="9">
        <v>45093</v>
      </c>
      <c r="B1700" t="s">
        <v>8</v>
      </c>
      <c r="C1700" t="s">
        <v>26</v>
      </c>
      <c r="D1700" t="s">
        <v>24</v>
      </c>
      <c r="E1700" t="s">
        <v>30</v>
      </c>
      <c r="F1700">
        <v>2970</v>
      </c>
      <c r="G1700">
        <v>47</v>
      </c>
      <c r="H1700" s="6">
        <f t="shared" si="122"/>
        <v>139.59</v>
      </c>
    </row>
    <row r="1701" spans="1:8" hidden="1" x14ac:dyDescent="0.3">
      <c r="A1701" s="9">
        <v>45093</v>
      </c>
      <c r="B1701" t="s">
        <v>8</v>
      </c>
      <c r="C1701" t="s">
        <v>15</v>
      </c>
      <c r="D1701" t="s">
        <v>24</v>
      </c>
      <c r="E1701" t="s">
        <v>34</v>
      </c>
      <c r="F1701">
        <v>1670</v>
      </c>
      <c r="G1701">
        <v>7</v>
      </c>
      <c r="H1701" s="6">
        <f t="shared" si="122"/>
        <v>11.69</v>
      </c>
    </row>
    <row r="1702" spans="1:8" hidden="1" x14ac:dyDescent="0.3">
      <c r="A1702" s="9">
        <v>45093</v>
      </c>
      <c r="B1702" t="s">
        <v>8</v>
      </c>
      <c r="C1702" t="s">
        <v>33</v>
      </c>
      <c r="D1702" t="s">
        <v>10</v>
      </c>
      <c r="E1702" t="s">
        <v>16</v>
      </c>
      <c r="F1702">
        <v>1380</v>
      </c>
      <c r="G1702">
        <v>33</v>
      </c>
      <c r="H1702" s="6">
        <f t="shared" si="122"/>
        <v>45.54</v>
      </c>
    </row>
    <row r="1703" spans="1:8" hidden="1" x14ac:dyDescent="0.3">
      <c r="A1703" s="9">
        <v>45093</v>
      </c>
      <c r="B1703" t="s">
        <v>17</v>
      </c>
      <c r="C1703" t="s">
        <v>35</v>
      </c>
      <c r="D1703" t="s">
        <v>10</v>
      </c>
      <c r="E1703" t="s">
        <v>39</v>
      </c>
      <c r="F1703">
        <v>650</v>
      </c>
      <c r="G1703">
        <v>43</v>
      </c>
      <c r="H1703" s="6">
        <f t="shared" si="122"/>
        <v>27.95</v>
      </c>
    </row>
    <row r="1704" spans="1:8" hidden="1" x14ac:dyDescent="0.3">
      <c r="A1704" s="9">
        <v>45093</v>
      </c>
      <c r="B1704" t="s">
        <v>8</v>
      </c>
      <c r="C1704" t="s">
        <v>35</v>
      </c>
      <c r="D1704" t="s">
        <v>10</v>
      </c>
      <c r="E1704" t="s">
        <v>23</v>
      </c>
      <c r="F1704">
        <v>640</v>
      </c>
      <c r="G1704">
        <v>73</v>
      </c>
      <c r="H1704" s="6">
        <f t="shared" si="122"/>
        <v>46.72</v>
      </c>
    </row>
    <row r="1705" spans="1:8" hidden="1" x14ac:dyDescent="0.3">
      <c r="A1705" s="9">
        <v>45093</v>
      </c>
      <c r="B1705" t="s">
        <v>17</v>
      </c>
      <c r="C1705" t="s">
        <v>35</v>
      </c>
      <c r="D1705" t="s">
        <v>13</v>
      </c>
      <c r="E1705" t="s">
        <v>38</v>
      </c>
      <c r="F1705">
        <v>2400</v>
      </c>
      <c r="G1705">
        <v>18</v>
      </c>
      <c r="H1705" s="6">
        <f t="shared" si="122"/>
        <v>43.2</v>
      </c>
    </row>
    <row r="1706" spans="1:8" hidden="1" x14ac:dyDescent="0.3">
      <c r="A1706" s="9">
        <v>45093</v>
      </c>
      <c r="B1706" t="s">
        <v>8</v>
      </c>
      <c r="C1706" t="s">
        <v>35</v>
      </c>
      <c r="D1706" t="s">
        <v>13</v>
      </c>
      <c r="E1706" t="s">
        <v>43</v>
      </c>
      <c r="F1706">
        <v>1420</v>
      </c>
      <c r="G1706">
        <v>53</v>
      </c>
      <c r="H1706" s="6">
        <f t="shared" si="122"/>
        <v>75.260000000000005</v>
      </c>
    </row>
    <row r="1707" spans="1:8" hidden="1" x14ac:dyDescent="0.3">
      <c r="A1707" s="9">
        <v>45093</v>
      </c>
      <c r="B1707" t="s">
        <v>17</v>
      </c>
      <c r="C1707" t="s">
        <v>35</v>
      </c>
      <c r="D1707" t="s">
        <v>24</v>
      </c>
      <c r="E1707" t="s">
        <v>42</v>
      </c>
      <c r="F1707">
        <v>3205</v>
      </c>
      <c r="G1707">
        <v>40</v>
      </c>
      <c r="H1707" s="6">
        <f t="shared" si="122"/>
        <v>128.19999999999999</v>
      </c>
    </row>
    <row r="1708" spans="1:8" hidden="1" x14ac:dyDescent="0.3">
      <c r="A1708" s="13" t="s">
        <v>181</v>
      </c>
      <c r="H1708" s="6">
        <f>SUBTOTAL(9,H1696:H1707)</f>
        <v>0</v>
      </c>
    </row>
    <row r="1709" spans="1:8" hidden="1" x14ac:dyDescent="0.3">
      <c r="A1709" s="9">
        <v>45094</v>
      </c>
      <c r="B1709" t="s">
        <v>12</v>
      </c>
      <c r="C1709" t="s">
        <v>20</v>
      </c>
      <c r="D1709" t="s">
        <v>18</v>
      </c>
      <c r="E1709" t="s">
        <v>27</v>
      </c>
      <c r="F1709">
        <v>460</v>
      </c>
      <c r="G1709">
        <v>41</v>
      </c>
      <c r="H1709" s="6">
        <f t="shared" ref="H1709:H1721" si="123">F1709*G1709/1000</f>
        <v>18.86</v>
      </c>
    </row>
    <row r="1710" spans="1:8" hidden="1" x14ac:dyDescent="0.3">
      <c r="A1710" s="9">
        <v>45094</v>
      </c>
      <c r="B1710" t="s">
        <v>45</v>
      </c>
      <c r="C1710" t="s">
        <v>20</v>
      </c>
      <c r="D1710" t="s">
        <v>24</v>
      </c>
      <c r="E1710" t="s">
        <v>42</v>
      </c>
      <c r="F1710">
        <v>3205</v>
      </c>
      <c r="G1710">
        <v>13</v>
      </c>
      <c r="H1710" s="6">
        <f t="shared" si="123"/>
        <v>41.664999999999999</v>
      </c>
    </row>
    <row r="1711" spans="1:8" hidden="1" x14ac:dyDescent="0.3">
      <c r="A1711" s="9">
        <v>45094</v>
      </c>
      <c r="B1711" t="s">
        <v>45</v>
      </c>
      <c r="C1711" t="s">
        <v>9</v>
      </c>
      <c r="D1711" t="s">
        <v>10</v>
      </c>
      <c r="E1711" t="s">
        <v>39</v>
      </c>
      <c r="F1711">
        <v>650</v>
      </c>
      <c r="G1711">
        <v>50</v>
      </c>
      <c r="H1711" s="6">
        <f t="shared" si="123"/>
        <v>32.5</v>
      </c>
    </row>
    <row r="1712" spans="1:8" hidden="1" x14ac:dyDescent="0.3">
      <c r="A1712" s="9">
        <v>45094</v>
      </c>
      <c r="B1712" t="s">
        <v>12</v>
      </c>
      <c r="C1712" t="s">
        <v>9</v>
      </c>
      <c r="D1712" t="s">
        <v>10</v>
      </c>
      <c r="E1712" t="s">
        <v>16</v>
      </c>
      <c r="F1712">
        <v>1380</v>
      </c>
      <c r="G1712">
        <v>70</v>
      </c>
      <c r="H1712" s="6">
        <f t="shared" si="123"/>
        <v>96.6</v>
      </c>
    </row>
    <row r="1713" spans="1:8" hidden="1" x14ac:dyDescent="0.3">
      <c r="A1713" s="9">
        <v>45094</v>
      </c>
      <c r="B1713" t="s">
        <v>8</v>
      </c>
      <c r="C1713" t="s">
        <v>9</v>
      </c>
      <c r="D1713" t="s">
        <v>13</v>
      </c>
      <c r="E1713" t="s">
        <v>44</v>
      </c>
      <c r="F1713">
        <v>2540</v>
      </c>
      <c r="G1713">
        <v>76</v>
      </c>
      <c r="H1713" s="6">
        <f t="shared" si="123"/>
        <v>193.04</v>
      </c>
    </row>
    <row r="1714" spans="1:8" hidden="1" x14ac:dyDescent="0.3">
      <c r="A1714" s="9">
        <v>45094</v>
      </c>
      <c r="B1714" t="s">
        <v>12</v>
      </c>
      <c r="C1714" t="s">
        <v>26</v>
      </c>
      <c r="D1714" t="s">
        <v>13</v>
      </c>
      <c r="E1714" t="s">
        <v>44</v>
      </c>
      <c r="F1714">
        <v>2540</v>
      </c>
      <c r="G1714">
        <v>21</v>
      </c>
      <c r="H1714" s="6">
        <f t="shared" si="123"/>
        <v>53.34</v>
      </c>
    </row>
    <row r="1715" spans="1:8" x14ac:dyDescent="0.3">
      <c r="A1715" s="9">
        <v>45094</v>
      </c>
      <c r="B1715" t="s">
        <v>45</v>
      </c>
      <c r="C1715" t="s">
        <v>26</v>
      </c>
      <c r="D1715" t="s">
        <v>13</v>
      </c>
      <c r="E1715" t="s">
        <v>29</v>
      </c>
      <c r="F1715">
        <v>1230</v>
      </c>
      <c r="G1715">
        <v>16</v>
      </c>
      <c r="H1715" s="6">
        <f t="shared" si="123"/>
        <v>19.68</v>
      </c>
    </row>
    <row r="1716" spans="1:8" hidden="1" x14ac:dyDescent="0.3">
      <c r="A1716" s="9">
        <v>45094</v>
      </c>
      <c r="B1716" t="s">
        <v>45</v>
      </c>
      <c r="C1716" t="s">
        <v>15</v>
      </c>
      <c r="D1716" t="s">
        <v>10</v>
      </c>
      <c r="E1716" t="s">
        <v>16</v>
      </c>
      <c r="F1716">
        <v>1380</v>
      </c>
      <c r="G1716">
        <v>39</v>
      </c>
      <c r="H1716" s="6">
        <f t="shared" si="123"/>
        <v>53.82</v>
      </c>
    </row>
    <row r="1717" spans="1:8" hidden="1" x14ac:dyDescent="0.3">
      <c r="A1717" s="9">
        <v>45094</v>
      </c>
      <c r="B1717" t="s">
        <v>12</v>
      </c>
      <c r="C1717" t="s">
        <v>15</v>
      </c>
      <c r="D1717" t="s">
        <v>18</v>
      </c>
      <c r="E1717" t="s">
        <v>37</v>
      </c>
      <c r="F1717">
        <v>890</v>
      </c>
      <c r="G1717">
        <v>97</v>
      </c>
      <c r="H1717" s="6">
        <f t="shared" si="123"/>
        <v>86.33</v>
      </c>
    </row>
    <row r="1718" spans="1:8" hidden="1" x14ac:dyDescent="0.3">
      <c r="A1718" s="9">
        <v>45094</v>
      </c>
      <c r="B1718" t="s">
        <v>17</v>
      </c>
      <c r="C1718" t="s">
        <v>15</v>
      </c>
      <c r="D1718" t="s">
        <v>13</v>
      </c>
      <c r="E1718" t="s">
        <v>22</v>
      </c>
      <c r="F1718">
        <v>930</v>
      </c>
      <c r="G1718">
        <v>76</v>
      </c>
      <c r="H1718" s="6">
        <f t="shared" si="123"/>
        <v>70.680000000000007</v>
      </c>
    </row>
    <row r="1719" spans="1:8" hidden="1" x14ac:dyDescent="0.3">
      <c r="A1719" s="9">
        <v>45094</v>
      </c>
      <c r="B1719" t="s">
        <v>17</v>
      </c>
      <c r="C1719" t="s">
        <v>33</v>
      </c>
      <c r="D1719" t="s">
        <v>13</v>
      </c>
      <c r="E1719" t="s">
        <v>14</v>
      </c>
      <c r="F1719">
        <v>1320</v>
      </c>
      <c r="G1719">
        <v>91</v>
      </c>
      <c r="H1719" s="6">
        <f t="shared" si="123"/>
        <v>120.12</v>
      </c>
    </row>
    <row r="1720" spans="1:8" hidden="1" x14ac:dyDescent="0.3">
      <c r="A1720" s="9">
        <v>45094</v>
      </c>
      <c r="B1720" t="s">
        <v>17</v>
      </c>
      <c r="C1720" t="s">
        <v>33</v>
      </c>
      <c r="D1720" t="s">
        <v>13</v>
      </c>
      <c r="E1720" t="s">
        <v>22</v>
      </c>
      <c r="F1720">
        <v>930</v>
      </c>
      <c r="G1720">
        <v>69</v>
      </c>
      <c r="H1720" s="6">
        <f t="shared" si="123"/>
        <v>64.17</v>
      </c>
    </row>
    <row r="1721" spans="1:8" hidden="1" x14ac:dyDescent="0.3">
      <c r="A1721" s="9">
        <v>45094</v>
      </c>
      <c r="B1721" t="s">
        <v>17</v>
      </c>
      <c r="C1721" t="s">
        <v>33</v>
      </c>
      <c r="D1721" t="s">
        <v>24</v>
      </c>
      <c r="E1721" t="s">
        <v>42</v>
      </c>
      <c r="F1721">
        <v>3205</v>
      </c>
      <c r="G1721">
        <v>91</v>
      </c>
      <c r="H1721" s="6">
        <f t="shared" si="123"/>
        <v>291.65499999999997</v>
      </c>
    </row>
    <row r="1722" spans="1:8" hidden="1" x14ac:dyDescent="0.3">
      <c r="A1722" s="13" t="s">
        <v>182</v>
      </c>
      <c r="H1722" s="6">
        <f>SUBTOTAL(9,H1709:H1721)</f>
        <v>19.68</v>
      </c>
    </row>
    <row r="1723" spans="1:8" hidden="1" x14ac:dyDescent="0.3">
      <c r="A1723" s="9">
        <v>45095</v>
      </c>
      <c r="B1723" t="s">
        <v>12</v>
      </c>
      <c r="C1723" t="s">
        <v>20</v>
      </c>
      <c r="D1723" t="s">
        <v>10</v>
      </c>
      <c r="E1723" t="s">
        <v>16</v>
      </c>
      <c r="F1723">
        <v>1380</v>
      </c>
      <c r="G1723">
        <v>15</v>
      </c>
      <c r="H1723" s="6">
        <f t="shared" ref="H1723:H1730" si="124">F1723*G1723/1000</f>
        <v>20.7</v>
      </c>
    </row>
    <row r="1724" spans="1:8" hidden="1" x14ac:dyDescent="0.3">
      <c r="A1724" s="9">
        <v>45095</v>
      </c>
      <c r="B1724" t="s">
        <v>12</v>
      </c>
      <c r="C1724" t="s">
        <v>9</v>
      </c>
      <c r="D1724" t="s">
        <v>18</v>
      </c>
      <c r="E1724" t="s">
        <v>21</v>
      </c>
      <c r="F1724">
        <v>450</v>
      </c>
      <c r="G1724">
        <v>9</v>
      </c>
      <c r="H1724" s="6">
        <f t="shared" si="124"/>
        <v>4.05</v>
      </c>
    </row>
    <row r="1725" spans="1:8" hidden="1" x14ac:dyDescent="0.3">
      <c r="A1725" s="9">
        <v>45095</v>
      </c>
      <c r="B1725" t="s">
        <v>17</v>
      </c>
      <c r="C1725" t="s">
        <v>26</v>
      </c>
      <c r="D1725" t="s">
        <v>13</v>
      </c>
      <c r="E1725" t="s">
        <v>14</v>
      </c>
      <c r="F1725">
        <v>1320</v>
      </c>
      <c r="G1725">
        <v>42</v>
      </c>
      <c r="H1725" s="6">
        <f t="shared" si="124"/>
        <v>55.44</v>
      </c>
    </row>
    <row r="1726" spans="1:8" hidden="1" x14ac:dyDescent="0.3">
      <c r="A1726" s="9">
        <v>45095</v>
      </c>
      <c r="B1726" t="s">
        <v>8</v>
      </c>
      <c r="C1726" t="s">
        <v>15</v>
      </c>
      <c r="D1726" t="s">
        <v>10</v>
      </c>
      <c r="E1726" t="s">
        <v>41</v>
      </c>
      <c r="F1726">
        <v>650</v>
      </c>
      <c r="G1726">
        <v>89</v>
      </c>
      <c r="H1726" s="6">
        <f t="shared" si="124"/>
        <v>57.85</v>
      </c>
    </row>
    <row r="1727" spans="1:8" hidden="1" x14ac:dyDescent="0.3">
      <c r="A1727" s="9">
        <v>45095</v>
      </c>
      <c r="B1727" t="s">
        <v>17</v>
      </c>
      <c r="C1727" t="s">
        <v>15</v>
      </c>
      <c r="D1727" t="s">
        <v>18</v>
      </c>
      <c r="E1727" t="s">
        <v>37</v>
      </c>
      <c r="F1727">
        <v>890</v>
      </c>
      <c r="G1727">
        <v>71</v>
      </c>
      <c r="H1727" s="6">
        <f t="shared" si="124"/>
        <v>63.19</v>
      </c>
    </row>
    <row r="1728" spans="1:8" hidden="1" x14ac:dyDescent="0.3">
      <c r="A1728" s="9">
        <v>45095</v>
      </c>
      <c r="B1728" t="s">
        <v>8</v>
      </c>
      <c r="C1728" t="s">
        <v>15</v>
      </c>
      <c r="D1728" t="s">
        <v>13</v>
      </c>
      <c r="E1728" t="s">
        <v>14</v>
      </c>
      <c r="F1728">
        <v>1320</v>
      </c>
      <c r="G1728">
        <v>22</v>
      </c>
      <c r="H1728" s="6">
        <f t="shared" si="124"/>
        <v>29.04</v>
      </c>
    </row>
    <row r="1729" spans="1:8" hidden="1" x14ac:dyDescent="0.3">
      <c r="A1729" s="9">
        <v>45095</v>
      </c>
      <c r="B1729" t="s">
        <v>17</v>
      </c>
      <c r="C1729" t="s">
        <v>35</v>
      </c>
      <c r="D1729" t="s">
        <v>18</v>
      </c>
      <c r="E1729" t="s">
        <v>27</v>
      </c>
      <c r="F1729">
        <v>460</v>
      </c>
      <c r="G1729">
        <v>82</v>
      </c>
      <c r="H1729" s="6">
        <f t="shared" si="124"/>
        <v>37.72</v>
      </c>
    </row>
    <row r="1730" spans="1:8" hidden="1" x14ac:dyDescent="0.3">
      <c r="A1730" s="9">
        <v>45095</v>
      </c>
      <c r="B1730" t="s">
        <v>45</v>
      </c>
      <c r="C1730" t="s">
        <v>35</v>
      </c>
      <c r="D1730" t="s">
        <v>13</v>
      </c>
      <c r="E1730" t="s">
        <v>44</v>
      </c>
      <c r="F1730">
        <v>2540</v>
      </c>
      <c r="G1730">
        <v>30</v>
      </c>
      <c r="H1730" s="6">
        <f t="shared" si="124"/>
        <v>76.2</v>
      </c>
    </row>
    <row r="1731" spans="1:8" hidden="1" x14ac:dyDescent="0.3">
      <c r="A1731" s="13" t="s">
        <v>183</v>
      </c>
      <c r="H1731" s="6">
        <f>SUBTOTAL(9,H1723:H1730)</f>
        <v>0</v>
      </c>
    </row>
    <row r="1732" spans="1:8" hidden="1" x14ac:dyDescent="0.3">
      <c r="A1732" s="9">
        <v>45096</v>
      </c>
      <c r="B1732" t="s">
        <v>45</v>
      </c>
      <c r="C1732" t="s">
        <v>20</v>
      </c>
      <c r="D1732" t="s">
        <v>18</v>
      </c>
      <c r="E1732" t="s">
        <v>28</v>
      </c>
      <c r="F1732">
        <v>690</v>
      </c>
      <c r="G1732">
        <v>67</v>
      </c>
      <c r="H1732" s="6">
        <f t="shared" ref="H1732:H1742" si="125">F1732*G1732/1000</f>
        <v>46.23</v>
      </c>
    </row>
    <row r="1733" spans="1:8" hidden="1" x14ac:dyDescent="0.3">
      <c r="A1733" s="9">
        <v>45096</v>
      </c>
      <c r="B1733" t="s">
        <v>45</v>
      </c>
      <c r="C1733" t="s">
        <v>9</v>
      </c>
      <c r="D1733" t="s">
        <v>13</v>
      </c>
      <c r="E1733" t="s">
        <v>14</v>
      </c>
      <c r="F1733">
        <v>1320</v>
      </c>
      <c r="G1733">
        <v>9</v>
      </c>
      <c r="H1733" s="6">
        <f t="shared" si="125"/>
        <v>11.88</v>
      </c>
    </row>
    <row r="1734" spans="1:8" hidden="1" x14ac:dyDescent="0.3">
      <c r="A1734" s="9">
        <v>45096</v>
      </c>
      <c r="B1734" t="s">
        <v>17</v>
      </c>
      <c r="C1734" t="s">
        <v>9</v>
      </c>
      <c r="D1734" t="s">
        <v>24</v>
      </c>
      <c r="E1734" t="s">
        <v>42</v>
      </c>
      <c r="F1734">
        <v>3205</v>
      </c>
      <c r="G1734">
        <v>63</v>
      </c>
      <c r="H1734" s="6">
        <f t="shared" si="125"/>
        <v>201.91499999999999</v>
      </c>
    </row>
    <row r="1735" spans="1:8" hidden="1" x14ac:dyDescent="0.3">
      <c r="A1735" s="9">
        <v>45096</v>
      </c>
      <c r="B1735" t="s">
        <v>17</v>
      </c>
      <c r="C1735" t="s">
        <v>26</v>
      </c>
      <c r="D1735" t="s">
        <v>18</v>
      </c>
      <c r="E1735" t="s">
        <v>28</v>
      </c>
      <c r="F1735">
        <v>690</v>
      </c>
      <c r="G1735">
        <v>35</v>
      </c>
      <c r="H1735" s="6">
        <f t="shared" si="125"/>
        <v>24.15</v>
      </c>
    </row>
    <row r="1736" spans="1:8" hidden="1" x14ac:dyDescent="0.3">
      <c r="A1736" s="9">
        <v>45096</v>
      </c>
      <c r="B1736" t="s">
        <v>45</v>
      </c>
      <c r="C1736" t="s">
        <v>15</v>
      </c>
      <c r="D1736" t="s">
        <v>13</v>
      </c>
      <c r="E1736" t="s">
        <v>22</v>
      </c>
      <c r="F1736">
        <v>930</v>
      </c>
      <c r="G1736">
        <v>50</v>
      </c>
      <c r="H1736" s="6">
        <f t="shared" si="125"/>
        <v>46.5</v>
      </c>
    </row>
    <row r="1737" spans="1:8" hidden="1" x14ac:dyDescent="0.3">
      <c r="A1737" s="9">
        <v>45096</v>
      </c>
      <c r="B1737" t="s">
        <v>45</v>
      </c>
      <c r="C1737" t="s">
        <v>15</v>
      </c>
      <c r="D1737" t="s">
        <v>24</v>
      </c>
      <c r="E1737" t="s">
        <v>25</v>
      </c>
      <c r="F1737">
        <v>1760</v>
      </c>
      <c r="G1737">
        <v>65</v>
      </c>
      <c r="H1737" s="6">
        <f t="shared" si="125"/>
        <v>114.4</v>
      </c>
    </row>
    <row r="1738" spans="1:8" hidden="1" x14ac:dyDescent="0.3">
      <c r="A1738" s="9">
        <v>45096</v>
      </c>
      <c r="B1738" t="s">
        <v>8</v>
      </c>
      <c r="C1738" t="s">
        <v>33</v>
      </c>
      <c r="D1738" t="s">
        <v>18</v>
      </c>
      <c r="E1738" t="s">
        <v>21</v>
      </c>
      <c r="F1738">
        <v>450</v>
      </c>
      <c r="G1738">
        <v>26</v>
      </c>
      <c r="H1738" s="6">
        <f t="shared" si="125"/>
        <v>11.7</v>
      </c>
    </row>
    <row r="1739" spans="1:8" hidden="1" x14ac:dyDescent="0.3">
      <c r="A1739" s="9">
        <v>45096</v>
      </c>
      <c r="B1739" t="s">
        <v>8</v>
      </c>
      <c r="C1739" t="s">
        <v>33</v>
      </c>
      <c r="D1739" t="s">
        <v>13</v>
      </c>
      <c r="E1739" t="s">
        <v>14</v>
      </c>
      <c r="F1739">
        <v>1320</v>
      </c>
      <c r="G1739">
        <v>66</v>
      </c>
      <c r="H1739" s="6">
        <f t="shared" si="125"/>
        <v>87.12</v>
      </c>
    </row>
    <row r="1740" spans="1:8" hidden="1" x14ac:dyDescent="0.3">
      <c r="A1740" s="9">
        <v>45096</v>
      </c>
      <c r="B1740" t="s">
        <v>12</v>
      </c>
      <c r="C1740" t="s">
        <v>33</v>
      </c>
      <c r="D1740" t="s">
        <v>24</v>
      </c>
      <c r="E1740" t="s">
        <v>30</v>
      </c>
      <c r="F1740">
        <v>2970</v>
      </c>
      <c r="G1740">
        <v>75</v>
      </c>
      <c r="H1740" s="6">
        <f t="shared" si="125"/>
        <v>222.75</v>
      </c>
    </row>
    <row r="1741" spans="1:8" hidden="1" x14ac:dyDescent="0.3">
      <c r="A1741" s="9">
        <v>45096</v>
      </c>
      <c r="B1741" t="s">
        <v>8</v>
      </c>
      <c r="C1741" t="s">
        <v>33</v>
      </c>
      <c r="D1741" t="s">
        <v>24</v>
      </c>
      <c r="E1741" t="s">
        <v>25</v>
      </c>
      <c r="F1741">
        <v>1760</v>
      </c>
      <c r="G1741">
        <v>49</v>
      </c>
      <c r="H1741" s="6">
        <f t="shared" si="125"/>
        <v>86.24</v>
      </c>
    </row>
    <row r="1742" spans="1:8" hidden="1" x14ac:dyDescent="0.3">
      <c r="A1742" s="9">
        <v>45096</v>
      </c>
      <c r="B1742" t="s">
        <v>45</v>
      </c>
      <c r="C1742" t="s">
        <v>35</v>
      </c>
      <c r="D1742" t="s">
        <v>10</v>
      </c>
      <c r="E1742" t="s">
        <v>40</v>
      </c>
      <c r="F1742">
        <v>540</v>
      </c>
      <c r="G1742">
        <v>71</v>
      </c>
      <c r="H1742" s="6">
        <f t="shared" si="125"/>
        <v>38.340000000000003</v>
      </c>
    </row>
    <row r="1743" spans="1:8" hidden="1" x14ac:dyDescent="0.3">
      <c r="A1743" s="13" t="s">
        <v>184</v>
      </c>
      <c r="H1743" s="6">
        <f>SUBTOTAL(9,H1732:H1742)</f>
        <v>0</v>
      </c>
    </row>
    <row r="1744" spans="1:8" hidden="1" x14ac:dyDescent="0.3">
      <c r="A1744" s="9">
        <v>45097</v>
      </c>
      <c r="B1744" t="s">
        <v>8</v>
      </c>
      <c r="C1744" t="s">
        <v>20</v>
      </c>
      <c r="D1744" t="s">
        <v>18</v>
      </c>
      <c r="E1744" t="s">
        <v>27</v>
      </c>
      <c r="F1744">
        <v>460</v>
      </c>
      <c r="G1744">
        <v>14</v>
      </c>
      <c r="H1744" s="6">
        <f t="shared" ref="H1744:H1754" si="126">F1744*G1744/1000</f>
        <v>6.44</v>
      </c>
    </row>
    <row r="1745" spans="1:8" hidden="1" x14ac:dyDescent="0.3">
      <c r="A1745" s="9">
        <v>45097</v>
      </c>
      <c r="B1745" t="s">
        <v>12</v>
      </c>
      <c r="C1745" t="s">
        <v>9</v>
      </c>
      <c r="D1745" t="s">
        <v>13</v>
      </c>
      <c r="E1745" t="s">
        <v>44</v>
      </c>
      <c r="F1745">
        <v>2540</v>
      </c>
      <c r="G1745">
        <v>29</v>
      </c>
      <c r="H1745" s="6">
        <f t="shared" si="126"/>
        <v>73.66</v>
      </c>
    </row>
    <row r="1746" spans="1:8" hidden="1" x14ac:dyDescent="0.3">
      <c r="A1746" s="9">
        <v>45097</v>
      </c>
      <c r="B1746" t="s">
        <v>17</v>
      </c>
      <c r="C1746" t="s">
        <v>9</v>
      </c>
      <c r="D1746" t="s">
        <v>13</v>
      </c>
      <c r="E1746" t="s">
        <v>14</v>
      </c>
      <c r="F1746">
        <v>1320</v>
      </c>
      <c r="G1746">
        <v>5</v>
      </c>
      <c r="H1746" s="6">
        <f t="shared" si="126"/>
        <v>6.6</v>
      </c>
    </row>
    <row r="1747" spans="1:8" hidden="1" x14ac:dyDescent="0.3">
      <c r="A1747" s="9">
        <v>45097</v>
      </c>
      <c r="B1747" t="s">
        <v>45</v>
      </c>
      <c r="C1747" t="s">
        <v>15</v>
      </c>
      <c r="D1747" t="s">
        <v>10</v>
      </c>
      <c r="E1747" t="s">
        <v>23</v>
      </c>
      <c r="F1747">
        <v>640</v>
      </c>
      <c r="G1747">
        <v>91</v>
      </c>
      <c r="H1747" s="6">
        <f t="shared" si="126"/>
        <v>58.24</v>
      </c>
    </row>
    <row r="1748" spans="1:8" hidden="1" x14ac:dyDescent="0.3">
      <c r="A1748" s="9">
        <v>45097</v>
      </c>
      <c r="B1748" t="s">
        <v>17</v>
      </c>
      <c r="C1748" t="s">
        <v>15</v>
      </c>
      <c r="D1748" t="s">
        <v>10</v>
      </c>
      <c r="E1748" t="s">
        <v>23</v>
      </c>
      <c r="F1748">
        <v>640</v>
      </c>
      <c r="G1748">
        <v>79</v>
      </c>
      <c r="H1748" s="6">
        <f t="shared" si="126"/>
        <v>50.56</v>
      </c>
    </row>
    <row r="1749" spans="1:8" hidden="1" x14ac:dyDescent="0.3">
      <c r="A1749" s="9">
        <v>45097</v>
      </c>
      <c r="B1749" t="s">
        <v>45</v>
      </c>
      <c r="C1749" t="s">
        <v>15</v>
      </c>
      <c r="D1749" t="s">
        <v>10</v>
      </c>
      <c r="E1749" t="s">
        <v>23</v>
      </c>
      <c r="F1749">
        <v>640</v>
      </c>
      <c r="G1749">
        <v>69</v>
      </c>
      <c r="H1749" s="6">
        <f t="shared" si="126"/>
        <v>44.16</v>
      </c>
    </row>
    <row r="1750" spans="1:8" hidden="1" x14ac:dyDescent="0.3">
      <c r="A1750" s="9">
        <v>45097</v>
      </c>
      <c r="B1750" t="s">
        <v>8</v>
      </c>
      <c r="C1750" t="s">
        <v>33</v>
      </c>
      <c r="D1750" t="s">
        <v>18</v>
      </c>
      <c r="E1750" t="s">
        <v>21</v>
      </c>
      <c r="F1750">
        <v>450</v>
      </c>
      <c r="G1750">
        <v>42</v>
      </c>
      <c r="H1750" s="6">
        <f t="shared" si="126"/>
        <v>18.899999999999999</v>
      </c>
    </row>
    <row r="1751" spans="1:8" hidden="1" x14ac:dyDescent="0.3">
      <c r="A1751" s="9">
        <v>45097</v>
      </c>
      <c r="B1751" t="s">
        <v>8</v>
      </c>
      <c r="C1751" t="s">
        <v>33</v>
      </c>
      <c r="D1751" t="s">
        <v>24</v>
      </c>
      <c r="E1751" t="s">
        <v>30</v>
      </c>
      <c r="F1751">
        <v>2970</v>
      </c>
      <c r="G1751">
        <v>53</v>
      </c>
      <c r="H1751" s="6">
        <f t="shared" si="126"/>
        <v>157.41</v>
      </c>
    </row>
    <row r="1752" spans="1:8" hidden="1" x14ac:dyDescent="0.3">
      <c r="A1752" s="9">
        <v>45097</v>
      </c>
      <c r="B1752" t="s">
        <v>17</v>
      </c>
      <c r="C1752" t="s">
        <v>33</v>
      </c>
      <c r="D1752" t="s">
        <v>24</v>
      </c>
      <c r="E1752" t="s">
        <v>36</v>
      </c>
      <c r="F1752">
        <v>2460</v>
      </c>
      <c r="G1752">
        <v>14</v>
      </c>
      <c r="H1752" s="6">
        <f t="shared" si="126"/>
        <v>34.44</v>
      </c>
    </row>
    <row r="1753" spans="1:8" hidden="1" x14ac:dyDescent="0.3">
      <c r="A1753" s="9">
        <v>45097</v>
      </c>
      <c r="B1753" t="s">
        <v>12</v>
      </c>
      <c r="C1753" t="s">
        <v>35</v>
      </c>
      <c r="D1753" t="s">
        <v>13</v>
      </c>
      <c r="E1753" t="s">
        <v>43</v>
      </c>
      <c r="F1753">
        <v>1420</v>
      </c>
      <c r="G1753">
        <v>80</v>
      </c>
      <c r="H1753" s="6">
        <f t="shared" si="126"/>
        <v>113.6</v>
      </c>
    </row>
    <row r="1754" spans="1:8" hidden="1" x14ac:dyDescent="0.3">
      <c r="A1754" s="9">
        <v>45097</v>
      </c>
      <c r="B1754" t="s">
        <v>17</v>
      </c>
      <c r="C1754" t="s">
        <v>35</v>
      </c>
      <c r="D1754" t="s">
        <v>13</v>
      </c>
      <c r="E1754" t="s">
        <v>38</v>
      </c>
      <c r="F1754">
        <v>2400</v>
      </c>
      <c r="G1754">
        <v>59</v>
      </c>
      <c r="H1754" s="6">
        <f t="shared" si="126"/>
        <v>141.6</v>
      </c>
    </row>
    <row r="1755" spans="1:8" hidden="1" x14ac:dyDescent="0.3">
      <c r="A1755" s="13" t="s">
        <v>185</v>
      </c>
      <c r="H1755" s="6">
        <f>SUBTOTAL(9,H1744:H1754)</f>
        <v>0</v>
      </c>
    </row>
    <row r="1756" spans="1:8" hidden="1" x14ac:dyDescent="0.3">
      <c r="A1756" s="9">
        <v>45098</v>
      </c>
      <c r="B1756" t="s">
        <v>8</v>
      </c>
      <c r="C1756" t="s">
        <v>9</v>
      </c>
      <c r="D1756" t="s">
        <v>10</v>
      </c>
      <c r="E1756" t="s">
        <v>41</v>
      </c>
      <c r="F1756">
        <v>650</v>
      </c>
      <c r="G1756">
        <v>7</v>
      </c>
      <c r="H1756" s="6">
        <f>F1756*G1756/1000</f>
        <v>4.55</v>
      </c>
    </row>
    <row r="1757" spans="1:8" hidden="1" x14ac:dyDescent="0.3">
      <c r="A1757" s="9">
        <v>45098</v>
      </c>
      <c r="B1757" t="s">
        <v>12</v>
      </c>
      <c r="C1757" t="s">
        <v>26</v>
      </c>
      <c r="D1757" t="s">
        <v>13</v>
      </c>
      <c r="E1757" t="s">
        <v>29</v>
      </c>
      <c r="F1757">
        <v>1230</v>
      </c>
      <c r="G1757">
        <v>8</v>
      </c>
      <c r="H1757" s="6">
        <f>F1757*G1757/1000</f>
        <v>9.84</v>
      </c>
    </row>
    <row r="1758" spans="1:8" hidden="1" x14ac:dyDescent="0.3">
      <c r="A1758" s="9">
        <v>45098</v>
      </c>
      <c r="B1758" t="s">
        <v>17</v>
      </c>
      <c r="C1758" t="s">
        <v>26</v>
      </c>
      <c r="D1758" t="s">
        <v>24</v>
      </c>
      <c r="E1758" t="s">
        <v>34</v>
      </c>
      <c r="F1758">
        <v>1670</v>
      </c>
      <c r="G1758">
        <v>25</v>
      </c>
      <c r="H1758" s="6">
        <f>F1758*G1758/1000</f>
        <v>41.75</v>
      </c>
    </row>
    <row r="1759" spans="1:8" hidden="1" x14ac:dyDescent="0.3">
      <c r="A1759" s="9">
        <v>45098</v>
      </c>
      <c r="B1759" t="s">
        <v>8</v>
      </c>
      <c r="C1759" t="s">
        <v>26</v>
      </c>
      <c r="D1759" t="s">
        <v>24</v>
      </c>
      <c r="E1759" t="s">
        <v>34</v>
      </c>
      <c r="F1759">
        <v>1670</v>
      </c>
      <c r="G1759">
        <v>75</v>
      </c>
      <c r="H1759" s="6">
        <f>F1759*G1759/1000</f>
        <v>125.25</v>
      </c>
    </row>
    <row r="1760" spans="1:8" hidden="1" x14ac:dyDescent="0.3">
      <c r="A1760" s="9">
        <v>45098</v>
      </c>
      <c r="B1760" t="s">
        <v>8</v>
      </c>
      <c r="C1760" t="s">
        <v>35</v>
      </c>
      <c r="D1760" t="s">
        <v>24</v>
      </c>
      <c r="E1760" t="s">
        <v>32</v>
      </c>
      <c r="F1760">
        <v>1505</v>
      </c>
      <c r="G1760">
        <v>49</v>
      </c>
      <c r="H1760" s="6">
        <f>F1760*G1760/1000</f>
        <v>73.745000000000005</v>
      </c>
    </row>
    <row r="1761" spans="1:8" hidden="1" x14ac:dyDescent="0.3">
      <c r="A1761" s="13" t="s">
        <v>186</v>
      </c>
      <c r="H1761" s="6">
        <f>SUBTOTAL(9,H1756:H1760)</f>
        <v>0</v>
      </c>
    </row>
    <row r="1762" spans="1:8" hidden="1" x14ac:dyDescent="0.3">
      <c r="A1762" s="9">
        <v>45099</v>
      </c>
      <c r="B1762" t="s">
        <v>17</v>
      </c>
      <c r="C1762" t="s">
        <v>20</v>
      </c>
      <c r="D1762" t="s">
        <v>10</v>
      </c>
      <c r="E1762" t="s">
        <v>11</v>
      </c>
      <c r="F1762">
        <v>705</v>
      </c>
      <c r="G1762">
        <v>48</v>
      </c>
      <c r="H1762" s="6">
        <f t="shared" ref="H1762:H1771" si="127">F1762*G1762/1000</f>
        <v>33.840000000000003</v>
      </c>
    </row>
    <row r="1763" spans="1:8" hidden="1" x14ac:dyDescent="0.3">
      <c r="A1763" s="9">
        <v>45099</v>
      </c>
      <c r="B1763" t="s">
        <v>45</v>
      </c>
      <c r="C1763" t="s">
        <v>20</v>
      </c>
      <c r="D1763" t="s">
        <v>18</v>
      </c>
      <c r="E1763" t="s">
        <v>37</v>
      </c>
      <c r="F1763">
        <v>890</v>
      </c>
      <c r="G1763">
        <v>21</v>
      </c>
      <c r="H1763" s="6">
        <f t="shared" si="127"/>
        <v>18.690000000000001</v>
      </c>
    </row>
    <row r="1764" spans="1:8" hidden="1" x14ac:dyDescent="0.3">
      <c r="A1764" s="9">
        <v>45099</v>
      </c>
      <c r="B1764" t="s">
        <v>45</v>
      </c>
      <c r="C1764" t="s">
        <v>20</v>
      </c>
      <c r="D1764" t="s">
        <v>24</v>
      </c>
      <c r="E1764" t="s">
        <v>42</v>
      </c>
      <c r="F1764">
        <v>3205</v>
      </c>
      <c r="G1764">
        <v>82</v>
      </c>
      <c r="H1764" s="6">
        <f t="shared" si="127"/>
        <v>262.81</v>
      </c>
    </row>
    <row r="1765" spans="1:8" hidden="1" x14ac:dyDescent="0.3">
      <c r="A1765" s="9">
        <v>45099</v>
      </c>
      <c r="B1765" t="s">
        <v>17</v>
      </c>
      <c r="C1765" t="s">
        <v>9</v>
      </c>
      <c r="D1765" t="s">
        <v>24</v>
      </c>
      <c r="E1765" t="s">
        <v>42</v>
      </c>
      <c r="F1765">
        <v>3205</v>
      </c>
      <c r="G1765">
        <v>66</v>
      </c>
      <c r="H1765" s="6">
        <f t="shared" si="127"/>
        <v>211.53</v>
      </c>
    </row>
    <row r="1766" spans="1:8" hidden="1" x14ac:dyDescent="0.3">
      <c r="A1766" s="9">
        <v>45099</v>
      </c>
      <c r="B1766" t="s">
        <v>8</v>
      </c>
      <c r="C1766" t="s">
        <v>26</v>
      </c>
      <c r="D1766" t="s">
        <v>18</v>
      </c>
      <c r="E1766" t="s">
        <v>19</v>
      </c>
      <c r="F1766">
        <v>325</v>
      </c>
      <c r="G1766">
        <v>62</v>
      </c>
      <c r="H1766" s="6">
        <f t="shared" si="127"/>
        <v>20.149999999999999</v>
      </c>
    </row>
    <row r="1767" spans="1:8" hidden="1" x14ac:dyDescent="0.3">
      <c r="A1767" s="9">
        <v>45099</v>
      </c>
      <c r="B1767" t="s">
        <v>45</v>
      </c>
      <c r="C1767" t="s">
        <v>26</v>
      </c>
      <c r="D1767" t="s">
        <v>13</v>
      </c>
      <c r="E1767" t="s">
        <v>44</v>
      </c>
      <c r="F1767">
        <v>2540</v>
      </c>
      <c r="G1767">
        <v>36</v>
      </c>
      <c r="H1767" s="6">
        <f t="shared" si="127"/>
        <v>91.44</v>
      </c>
    </row>
    <row r="1768" spans="1:8" hidden="1" x14ac:dyDescent="0.3">
      <c r="A1768" s="9">
        <v>45099</v>
      </c>
      <c r="B1768" t="s">
        <v>45</v>
      </c>
      <c r="C1768" t="s">
        <v>15</v>
      </c>
      <c r="D1768" t="s">
        <v>18</v>
      </c>
      <c r="E1768" t="s">
        <v>19</v>
      </c>
      <c r="F1768">
        <v>325</v>
      </c>
      <c r="G1768">
        <v>39</v>
      </c>
      <c r="H1768" s="6">
        <f t="shared" si="127"/>
        <v>12.675000000000001</v>
      </c>
    </row>
    <row r="1769" spans="1:8" hidden="1" x14ac:dyDescent="0.3">
      <c r="A1769" s="9">
        <v>45099</v>
      </c>
      <c r="B1769" t="s">
        <v>8</v>
      </c>
      <c r="C1769" t="s">
        <v>33</v>
      </c>
      <c r="D1769" t="s">
        <v>10</v>
      </c>
      <c r="E1769" t="s">
        <v>23</v>
      </c>
      <c r="F1769">
        <v>640</v>
      </c>
      <c r="G1769">
        <v>30</v>
      </c>
      <c r="H1769" s="6">
        <f t="shared" si="127"/>
        <v>19.2</v>
      </c>
    </row>
    <row r="1770" spans="1:8" hidden="1" x14ac:dyDescent="0.3">
      <c r="A1770" s="9">
        <v>45099</v>
      </c>
      <c r="B1770" t="s">
        <v>45</v>
      </c>
      <c r="C1770" t="s">
        <v>33</v>
      </c>
      <c r="D1770" t="s">
        <v>18</v>
      </c>
      <c r="E1770" t="s">
        <v>21</v>
      </c>
      <c r="F1770">
        <v>450</v>
      </c>
      <c r="G1770">
        <v>28</v>
      </c>
      <c r="H1770" s="6">
        <f t="shared" si="127"/>
        <v>12.6</v>
      </c>
    </row>
    <row r="1771" spans="1:8" hidden="1" x14ac:dyDescent="0.3">
      <c r="A1771" s="9">
        <v>45099</v>
      </c>
      <c r="B1771" t="s">
        <v>8</v>
      </c>
      <c r="C1771" t="s">
        <v>35</v>
      </c>
      <c r="D1771" t="s">
        <v>10</v>
      </c>
      <c r="E1771" t="s">
        <v>16</v>
      </c>
      <c r="F1771">
        <v>1380</v>
      </c>
      <c r="G1771">
        <v>78</v>
      </c>
      <c r="H1771" s="6">
        <f t="shared" si="127"/>
        <v>107.64</v>
      </c>
    </row>
    <row r="1772" spans="1:8" hidden="1" x14ac:dyDescent="0.3">
      <c r="A1772" s="13" t="s">
        <v>187</v>
      </c>
      <c r="H1772" s="6">
        <f>SUBTOTAL(9,H1762:H1771)</f>
        <v>0</v>
      </c>
    </row>
    <row r="1773" spans="1:8" hidden="1" x14ac:dyDescent="0.3">
      <c r="A1773" s="9">
        <v>45100</v>
      </c>
      <c r="B1773" t="s">
        <v>17</v>
      </c>
      <c r="C1773" t="s">
        <v>20</v>
      </c>
      <c r="D1773" t="s">
        <v>24</v>
      </c>
      <c r="E1773" t="s">
        <v>30</v>
      </c>
      <c r="F1773">
        <v>2970</v>
      </c>
      <c r="G1773">
        <v>70</v>
      </c>
      <c r="H1773" s="6">
        <f t="shared" ref="H1773:H1780" si="128">F1773*G1773/1000</f>
        <v>207.9</v>
      </c>
    </row>
    <row r="1774" spans="1:8" hidden="1" x14ac:dyDescent="0.3">
      <c r="A1774" s="9">
        <v>45100</v>
      </c>
      <c r="B1774" t="s">
        <v>12</v>
      </c>
      <c r="C1774" t="s">
        <v>20</v>
      </c>
      <c r="D1774" t="s">
        <v>24</v>
      </c>
      <c r="E1774" t="s">
        <v>36</v>
      </c>
      <c r="F1774">
        <v>2460</v>
      </c>
      <c r="G1774">
        <v>11</v>
      </c>
      <c r="H1774" s="6">
        <f t="shared" si="128"/>
        <v>27.06</v>
      </c>
    </row>
    <row r="1775" spans="1:8" hidden="1" x14ac:dyDescent="0.3">
      <c r="A1775" s="9">
        <v>45100</v>
      </c>
      <c r="B1775" t="s">
        <v>8</v>
      </c>
      <c r="C1775" t="s">
        <v>9</v>
      </c>
      <c r="D1775" t="s">
        <v>13</v>
      </c>
      <c r="E1775" t="s">
        <v>14</v>
      </c>
      <c r="F1775">
        <v>1320</v>
      </c>
      <c r="G1775">
        <v>95</v>
      </c>
      <c r="H1775" s="6">
        <f t="shared" si="128"/>
        <v>125.4</v>
      </c>
    </row>
    <row r="1776" spans="1:8" hidden="1" x14ac:dyDescent="0.3">
      <c r="A1776" s="9">
        <v>45100</v>
      </c>
      <c r="B1776" t="s">
        <v>8</v>
      </c>
      <c r="C1776" t="s">
        <v>26</v>
      </c>
      <c r="D1776" t="s">
        <v>18</v>
      </c>
      <c r="E1776" t="s">
        <v>31</v>
      </c>
      <c r="F1776">
        <v>715</v>
      </c>
      <c r="G1776">
        <v>67</v>
      </c>
      <c r="H1776" s="6">
        <f t="shared" si="128"/>
        <v>47.905000000000001</v>
      </c>
    </row>
    <row r="1777" spans="1:8" hidden="1" x14ac:dyDescent="0.3">
      <c r="A1777" s="9">
        <v>45100</v>
      </c>
      <c r="B1777" t="s">
        <v>45</v>
      </c>
      <c r="C1777" t="s">
        <v>26</v>
      </c>
      <c r="D1777" t="s">
        <v>24</v>
      </c>
      <c r="E1777" t="s">
        <v>25</v>
      </c>
      <c r="F1777">
        <v>1760</v>
      </c>
      <c r="G1777">
        <v>31</v>
      </c>
      <c r="H1777" s="6">
        <f t="shared" si="128"/>
        <v>54.56</v>
      </c>
    </row>
    <row r="1778" spans="1:8" hidden="1" x14ac:dyDescent="0.3">
      <c r="A1778" s="9">
        <v>45100</v>
      </c>
      <c r="B1778" t="s">
        <v>8</v>
      </c>
      <c r="C1778" t="s">
        <v>15</v>
      </c>
      <c r="D1778" t="s">
        <v>10</v>
      </c>
      <c r="E1778" t="s">
        <v>40</v>
      </c>
      <c r="F1778">
        <v>540</v>
      </c>
      <c r="G1778">
        <v>24</v>
      </c>
      <c r="H1778" s="6">
        <f t="shared" si="128"/>
        <v>12.96</v>
      </c>
    </row>
    <row r="1779" spans="1:8" hidden="1" x14ac:dyDescent="0.3">
      <c r="A1779" s="9">
        <v>45100</v>
      </c>
      <c r="B1779" t="s">
        <v>8</v>
      </c>
      <c r="C1779" t="s">
        <v>33</v>
      </c>
      <c r="D1779" t="s">
        <v>10</v>
      </c>
      <c r="E1779" t="s">
        <v>16</v>
      </c>
      <c r="F1779">
        <v>1380</v>
      </c>
      <c r="G1779">
        <v>42</v>
      </c>
      <c r="H1779" s="6">
        <f t="shared" si="128"/>
        <v>57.96</v>
      </c>
    </row>
    <row r="1780" spans="1:8" hidden="1" x14ac:dyDescent="0.3">
      <c r="A1780" s="9">
        <v>45100</v>
      </c>
      <c r="B1780" t="s">
        <v>45</v>
      </c>
      <c r="C1780" t="s">
        <v>35</v>
      </c>
      <c r="D1780" t="s">
        <v>24</v>
      </c>
      <c r="E1780" t="s">
        <v>36</v>
      </c>
      <c r="F1780">
        <v>2460</v>
      </c>
      <c r="G1780">
        <v>70</v>
      </c>
      <c r="H1780" s="6">
        <f t="shared" si="128"/>
        <v>172.2</v>
      </c>
    </row>
    <row r="1781" spans="1:8" hidden="1" x14ac:dyDescent="0.3">
      <c r="A1781" s="13" t="s">
        <v>188</v>
      </c>
      <c r="H1781" s="6">
        <f>SUBTOTAL(9,H1773:H1780)</f>
        <v>0</v>
      </c>
    </row>
    <row r="1782" spans="1:8" hidden="1" x14ac:dyDescent="0.3">
      <c r="A1782" s="9">
        <v>45101</v>
      </c>
      <c r="B1782" t="s">
        <v>8</v>
      </c>
      <c r="C1782" t="s">
        <v>20</v>
      </c>
      <c r="D1782" t="s">
        <v>10</v>
      </c>
      <c r="E1782" t="s">
        <v>11</v>
      </c>
      <c r="F1782">
        <v>705</v>
      </c>
      <c r="G1782">
        <v>47</v>
      </c>
      <c r="H1782" s="6">
        <f t="shared" ref="H1782:H1789" si="129">F1782*G1782/1000</f>
        <v>33.134999999999998</v>
      </c>
    </row>
    <row r="1783" spans="1:8" hidden="1" x14ac:dyDescent="0.3">
      <c r="A1783" s="9">
        <v>45101</v>
      </c>
      <c r="B1783" t="s">
        <v>17</v>
      </c>
      <c r="C1783" t="s">
        <v>9</v>
      </c>
      <c r="D1783" t="s">
        <v>13</v>
      </c>
      <c r="E1783" t="s">
        <v>14</v>
      </c>
      <c r="F1783">
        <v>1320</v>
      </c>
      <c r="G1783">
        <v>8</v>
      </c>
      <c r="H1783" s="6">
        <f t="shared" si="129"/>
        <v>10.56</v>
      </c>
    </row>
    <row r="1784" spans="1:8" hidden="1" x14ac:dyDescent="0.3">
      <c r="A1784" s="9">
        <v>45101</v>
      </c>
      <c r="B1784" t="s">
        <v>45</v>
      </c>
      <c r="C1784" t="s">
        <v>26</v>
      </c>
      <c r="D1784" t="s">
        <v>13</v>
      </c>
      <c r="E1784" t="s">
        <v>43</v>
      </c>
      <c r="F1784">
        <v>1420</v>
      </c>
      <c r="G1784">
        <v>46</v>
      </c>
      <c r="H1784" s="6">
        <f t="shared" si="129"/>
        <v>65.319999999999993</v>
      </c>
    </row>
    <row r="1785" spans="1:8" hidden="1" x14ac:dyDescent="0.3">
      <c r="A1785" s="9">
        <v>45101</v>
      </c>
      <c r="B1785" t="s">
        <v>8</v>
      </c>
      <c r="C1785" t="s">
        <v>26</v>
      </c>
      <c r="D1785" t="s">
        <v>13</v>
      </c>
      <c r="E1785" t="s">
        <v>29</v>
      </c>
      <c r="F1785">
        <v>1230</v>
      </c>
      <c r="G1785">
        <v>98</v>
      </c>
      <c r="H1785" s="6">
        <f t="shared" si="129"/>
        <v>120.54</v>
      </c>
    </row>
    <row r="1786" spans="1:8" hidden="1" x14ac:dyDescent="0.3">
      <c r="A1786" s="9">
        <v>45101</v>
      </c>
      <c r="B1786" t="s">
        <v>12</v>
      </c>
      <c r="C1786" t="s">
        <v>15</v>
      </c>
      <c r="D1786" t="s">
        <v>10</v>
      </c>
      <c r="E1786" t="s">
        <v>40</v>
      </c>
      <c r="F1786">
        <v>540</v>
      </c>
      <c r="G1786">
        <v>100</v>
      </c>
      <c r="H1786" s="6">
        <f t="shared" si="129"/>
        <v>54</v>
      </c>
    </row>
    <row r="1787" spans="1:8" hidden="1" x14ac:dyDescent="0.3">
      <c r="A1787" s="9">
        <v>45101</v>
      </c>
      <c r="B1787" t="s">
        <v>17</v>
      </c>
      <c r="C1787" t="s">
        <v>15</v>
      </c>
      <c r="D1787" t="s">
        <v>18</v>
      </c>
      <c r="E1787" t="s">
        <v>28</v>
      </c>
      <c r="F1787">
        <v>690</v>
      </c>
      <c r="G1787">
        <v>91</v>
      </c>
      <c r="H1787" s="6">
        <f t="shared" si="129"/>
        <v>62.79</v>
      </c>
    </row>
    <row r="1788" spans="1:8" hidden="1" x14ac:dyDescent="0.3">
      <c r="A1788" s="9">
        <v>45101</v>
      </c>
      <c r="B1788" t="s">
        <v>12</v>
      </c>
      <c r="C1788" t="s">
        <v>33</v>
      </c>
      <c r="D1788" t="s">
        <v>10</v>
      </c>
      <c r="E1788" t="s">
        <v>41</v>
      </c>
      <c r="F1788">
        <v>650</v>
      </c>
      <c r="G1788">
        <v>48</v>
      </c>
      <c r="H1788" s="6">
        <f t="shared" si="129"/>
        <v>31.2</v>
      </c>
    </row>
    <row r="1789" spans="1:8" hidden="1" x14ac:dyDescent="0.3">
      <c r="A1789" s="9">
        <v>45101</v>
      </c>
      <c r="B1789" t="s">
        <v>17</v>
      </c>
      <c r="C1789" t="s">
        <v>33</v>
      </c>
      <c r="D1789" t="s">
        <v>13</v>
      </c>
      <c r="E1789" t="s">
        <v>38</v>
      </c>
      <c r="F1789">
        <v>2400</v>
      </c>
      <c r="G1789">
        <v>6</v>
      </c>
      <c r="H1789" s="6">
        <f t="shared" si="129"/>
        <v>14.4</v>
      </c>
    </row>
    <row r="1790" spans="1:8" hidden="1" x14ac:dyDescent="0.3">
      <c r="A1790" s="13" t="s">
        <v>189</v>
      </c>
      <c r="H1790" s="6">
        <f>SUBTOTAL(9,H1782:H1789)</f>
        <v>0</v>
      </c>
    </row>
    <row r="1791" spans="1:8" hidden="1" x14ac:dyDescent="0.3">
      <c r="A1791" s="9">
        <v>45102</v>
      </c>
      <c r="B1791" t="s">
        <v>45</v>
      </c>
      <c r="C1791" t="s">
        <v>20</v>
      </c>
      <c r="D1791" t="s">
        <v>10</v>
      </c>
      <c r="E1791" t="s">
        <v>16</v>
      </c>
      <c r="F1791">
        <v>1380</v>
      </c>
      <c r="G1791">
        <v>39</v>
      </c>
      <c r="H1791" s="6">
        <f t="shared" ref="H1791:H1797" si="130">F1791*G1791/1000</f>
        <v>53.82</v>
      </c>
    </row>
    <row r="1792" spans="1:8" hidden="1" x14ac:dyDescent="0.3">
      <c r="A1792" s="9">
        <v>45102</v>
      </c>
      <c r="B1792" t="s">
        <v>8</v>
      </c>
      <c r="C1792" t="s">
        <v>20</v>
      </c>
      <c r="D1792" t="s">
        <v>18</v>
      </c>
      <c r="E1792" t="s">
        <v>27</v>
      </c>
      <c r="F1792">
        <v>460</v>
      </c>
      <c r="G1792">
        <v>25</v>
      </c>
      <c r="H1792" s="6">
        <f t="shared" si="130"/>
        <v>11.5</v>
      </c>
    </row>
    <row r="1793" spans="1:8" hidden="1" x14ac:dyDescent="0.3">
      <c r="A1793" s="9">
        <v>45102</v>
      </c>
      <c r="B1793" t="s">
        <v>17</v>
      </c>
      <c r="C1793" t="s">
        <v>20</v>
      </c>
      <c r="D1793" t="s">
        <v>13</v>
      </c>
      <c r="E1793" t="s">
        <v>44</v>
      </c>
      <c r="F1793">
        <v>2540</v>
      </c>
      <c r="G1793">
        <v>61</v>
      </c>
      <c r="H1793" s="6">
        <f t="shared" si="130"/>
        <v>154.94</v>
      </c>
    </row>
    <row r="1794" spans="1:8" hidden="1" x14ac:dyDescent="0.3">
      <c r="A1794" s="9">
        <v>45102</v>
      </c>
      <c r="B1794" t="s">
        <v>8</v>
      </c>
      <c r="C1794" t="s">
        <v>20</v>
      </c>
      <c r="D1794" t="s">
        <v>24</v>
      </c>
      <c r="E1794" t="s">
        <v>30</v>
      </c>
      <c r="F1794">
        <v>2970</v>
      </c>
      <c r="G1794">
        <v>57</v>
      </c>
      <c r="H1794" s="6">
        <f t="shared" si="130"/>
        <v>169.29</v>
      </c>
    </row>
    <row r="1795" spans="1:8" hidden="1" x14ac:dyDescent="0.3">
      <c r="A1795" s="9">
        <v>45102</v>
      </c>
      <c r="B1795" t="s">
        <v>12</v>
      </c>
      <c r="C1795" t="s">
        <v>20</v>
      </c>
      <c r="D1795" t="s">
        <v>24</v>
      </c>
      <c r="E1795" t="s">
        <v>42</v>
      </c>
      <c r="F1795">
        <v>3205</v>
      </c>
      <c r="G1795">
        <v>88</v>
      </c>
      <c r="H1795" s="6">
        <f t="shared" si="130"/>
        <v>282.04000000000002</v>
      </c>
    </row>
    <row r="1796" spans="1:8" hidden="1" x14ac:dyDescent="0.3">
      <c r="A1796" s="9">
        <v>45102</v>
      </c>
      <c r="B1796" t="s">
        <v>45</v>
      </c>
      <c r="C1796" t="s">
        <v>15</v>
      </c>
      <c r="D1796" t="s">
        <v>10</v>
      </c>
      <c r="E1796" t="s">
        <v>16</v>
      </c>
      <c r="F1796">
        <v>1380</v>
      </c>
      <c r="G1796">
        <v>50</v>
      </c>
      <c r="H1796" s="6">
        <f t="shared" si="130"/>
        <v>69</v>
      </c>
    </row>
    <row r="1797" spans="1:8" hidden="1" x14ac:dyDescent="0.3">
      <c r="A1797" s="9">
        <v>45102</v>
      </c>
      <c r="B1797" t="s">
        <v>12</v>
      </c>
      <c r="C1797" t="s">
        <v>35</v>
      </c>
      <c r="D1797" t="s">
        <v>24</v>
      </c>
      <c r="E1797" t="s">
        <v>25</v>
      </c>
      <c r="F1797">
        <v>1760</v>
      </c>
      <c r="G1797">
        <v>47</v>
      </c>
      <c r="H1797" s="6">
        <f t="shared" si="130"/>
        <v>82.72</v>
      </c>
    </row>
    <row r="1798" spans="1:8" hidden="1" x14ac:dyDescent="0.3">
      <c r="A1798" s="13" t="s">
        <v>190</v>
      </c>
      <c r="H1798" s="6">
        <f>SUBTOTAL(9,H1791:H1797)</f>
        <v>0</v>
      </c>
    </row>
    <row r="1799" spans="1:8" hidden="1" x14ac:dyDescent="0.3">
      <c r="A1799" s="9">
        <v>45103</v>
      </c>
      <c r="B1799" t="s">
        <v>45</v>
      </c>
      <c r="C1799" t="s">
        <v>20</v>
      </c>
      <c r="D1799" t="s">
        <v>10</v>
      </c>
      <c r="E1799" t="s">
        <v>11</v>
      </c>
      <c r="F1799">
        <v>705</v>
      </c>
      <c r="G1799">
        <v>43</v>
      </c>
      <c r="H1799" s="6">
        <f t="shared" ref="H1799:H1808" si="131">F1799*G1799/1000</f>
        <v>30.315000000000001</v>
      </c>
    </row>
    <row r="1800" spans="1:8" hidden="1" x14ac:dyDescent="0.3">
      <c r="A1800" s="9">
        <v>45103</v>
      </c>
      <c r="B1800" t="s">
        <v>8</v>
      </c>
      <c r="C1800" t="s">
        <v>20</v>
      </c>
      <c r="D1800" t="s">
        <v>18</v>
      </c>
      <c r="E1800" t="s">
        <v>31</v>
      </c>
      <c r="F1800">
        <v>715</v>
      </c>
      <c r="G1800">
        <v>90</v>
      </c>
      <c r="H1800" s="6">
        <f t="shared" si="131"/>
        <v>64.349999999999994</v>
      </c>
    </row>
    <row r="1801" spans="1:8" hidden="1" x14ac:dyDescent="0.3">
      <c r="A1801" s="9">
        <v>45103</v>
      </c>
      <c r="B1801" t="s">
        <v>17</v>
      </c>
      <c r="C1801" t="s">
        <v>20</v>
      </c>
      <c r="D1801" t="s">
        <v>18</v>
      </c>
      <c r="E1801" t="s">
        <v>27</v>
      </c>
      <c r="F1801">
        <v>460</v>
      </c>
      <c r="G1801">
        <v>65</v>
      </c>
      <c r="H1801" s="6">
        <f t="shared" si="131"/>
        <v>29.9</v>
      </c>
    </row>
    <row r="1802" spans="1:8" hidden="1" x14ac:dyDescent="0.3">
      <c r="A1802" s="9">
        <v>45103</v>
      </c>
      <c r="B1802" t="s">
        <v>12</v>
      </c>
      <c r="C1802" t="s">
        <v>20</v>
      </c>
      <c r="D1802" t="s">
        <v>13</v>
      </c>
      <c r="E1802" t="s">
        <v>22</v>
      </c>
      <c r="F1802">
        <v>930</v>
      </c>
      <c r="G1802">
        <v>52</v>
      </c>
      <c r="H1802" s="6">
        <f t="shared" si="131"/>
        <v>48.36</v>
      </c>
    </row>
    <row r="1803" spans="1:8" x14ac:dyDescent="0.3">
      <c r="A1803" s="9">
        <v>45103</v>
      </c>
      <c r="B1803" t="s">
        <v>45</v>
      </c>
      <c r="C1803" t="s">
        <v>20</v>
      </c>
      <c r="D1803" t="s">
        <v>13</v>
      </c>
      <c r="E1803" t="s">
        <v>29</v>
      </c>
      <c r="F1803">
        <v>1230</v>
      </c>
      <c r="G1803">
        <v>36</v>
      </c>
      <c r="H1803" s="6">
        <f t="shared" si="131"/>
        <v>44.28</v>
      </c>
    </row>
    <row r="1804" spans="1:8" hidden="1" x14ac:dyDescent="0.3">
      <c r="A1804" s="9">
        <v>45103</v>
      </c>
      <c r="B1804" t="s">
        <v>45</v>
      </c>
      <c r="C1804" t="s">
        <v>20</v>
      </c>
      <c r="D1804" t="s">
        <v>24</v>
      </c>
      <c r="E1804" t="s">
        <v>25</v>
      </c>
      <c r="F1804">
        <v>1760</v>
      </c>
      <c r="G1804">
        <v>47</v>
      </c>
      <c r="H1804" s="6">
        <f t="shared" si="131"/>
        <v>82.72</v>
      </c>
    </row>
    <row r="1805" spans="1:8" hidden="1" x14ac:dyDescent="0.3">
      <c r="A1805" s="9">
        <v>45103</v>
      </c>
      <c r="B1805" t="s">
        <v>8</v>
      </c>
      <c r="C1805" t="s">
        <v>20</v>
      </c>
      <c r="D1805" t="s">
        <v>24</v>
      </c>
      <c r="E1805" t="s">
        <v>32</v>
      </c>
      <c r="F1805">
        <v>1505</v>
      </c>
      <c r="G1805">
        <v>63</v>
      </c>
      <c r="H1805" s="6">
        <f t="shared" si="131"/>
        <v>94.814999999999998</v>
      </c>
    </row>
    <row r="1806" spans="1:8" hidden="1" x14ac:dyDescent="0.3">
      <c r="A1806" s="9">
        <v>45103</v>
      </c>
      <c r="B1806" t="s">
        <v>8</v>
      </c>
      <c r="C1806" t="s">
        <v>26</v>
      </c>
      <c r="D1806" t="s">
        <v>24</v>
      </c>
      <c r="E1806" t="s">
        <v>32</v>
      </c>
      <c r="F1806">
        <v>1505</v>
      </c>
      <c r="G1806">
        <v>69</v>
      </c>
      <c r="H1806" s="6">
        <f t="shared" si="131"/>
        <v>103.845</v>
      </c>
    </row>
    <row r="1807" spans="1:8" hidden="1" x14ac:dyDescent="0.3">
      <c r="A1807" s="9">
        <v>45103</v>
      </c>
      <c r="B1807" t="s">
        <v>17</v>
      </c>
      <c r="C1807" t="s">
        <v>33</v>
      </c>
      <c r="D1807" t="s">
        <v>24</v>
      </c>
      <c r="E1807" t="s">
        <v>42</v>
      </c>
      <c r="F1807">
        <v>3205</v>
      </c>
      <c r="G1807">
        <v>74</v>
      </c>
      <c r="H1807" s="6">
        <f t="shared" si="131"/>
        <v>237.17</v>
      </c>
    </row>
    <row r="1808" spans="1:8" hidden="1" x14ac:dyDescent="0.3">
      <c r="A1808" s="9">
        <v>45103</v>
      </c>
      <c r="B1808" t="s">
        <v>8</v>
      </c>
      <c r="C1808" t="s">
        <v>33</v>
      </c>
      <c r="D1808" t="s">
        <v>24</v>
      </c>
      <c r="E1808" t="s">
        <v>34</v>
      </c>
      <c r="F1808">
        <v>1670</v>
      </c>
      <c r="G1808">
        <v>12</v>
      </c>
      <c r="H1808" s="6">
        <f t="shared" si="131"/>
        <v>20.04</v>
      </c>
    </row>
    <row r="1809" spans="1:8" hidden="1" x14ac:dyDescent="0.3">
      <c r="A1809" s="13" t="s">
        <v>191</v>
      </c>
      <c r="H1809" s="6">
        <f>SUBTOTAL(9,H1799:H1808)</f>
        <v>44.28</v>
      </c>
    </row>
    <row r="1810" spans="1:8" hidden="1" x14ac:dyDescent="0.3">
      <c r="A1810" s="9">
        <v>45104</v>
      </c>
      <c r="B1810" t="s">
        <v>17</v>
      </c>
      <c r="C1810" t="s">
        <v>20</v>
      </c>
      <c r="D1810" t="s">
        <v>18</v>
      </c>
      <c r="E1810" t="s">
        <v>28</v>
      </c>
      <c r="F1810">
        <v>690</v>
      </c>
      <c r="G1810">
        <v>39</v>
      </c>
      <c r="H1810" s="6">
        <f t="shared" ref="H1810:H1819" si="132">F1810*G1810/1000</f>
        <v>26.91</v>
      </c>
    </row>
    <row r="1811" spans="1:8" hidden="1" x14ac:dyDescent="0.3">
      <c r="A1811" s="9">
        <v>45104</v>
      </c>
      <c r="B1811" t="s">
        <v>17</v>
      </c>
      <c r="C1811" t="s">
        <v>9</v>
      </c>
      <c r="D1811" t="s">
        <v>18</v>
      </c>
      <c r="E1811" t="s">
        <v>27</v>
      </c>
      <c r="F1811">
        <v>460</v>
      </c>
      <c r="G1811">
        <v>43</v>
      </c>
      <c r="H1811" s="6">
        <f t="shared" si="132"/>
        <v>19.78</v>
      </c>
    </row>
    <row r="1812" spans="1:8" hidden="1" x14ac:dyDescent="0.3">
      <c r="A1812" s="9">
        <v>45104</v>
      </c>
      <c r="B1812" t="s">
        <v>17</v>
      </c>
      <c r="C1812" t="s">
        <v>9</v>
      </c>
      <c r="D1812" t="s">
        <v>13</v>
      </c>
      <c r="E1812" t="s">
        <v>38</v>
      </c>
      <c r="F1812">
        <v>2400</v>
      </c>
      <c r="G1812">
        <v>95</v>
      </c>
      <c r="H1812" s="6">
        <f t="shared" si="132"/>
        <v>228</v>
      </c>
    </row>
    <row r="1813" spans="1:8" hidden="1" x14ac:dyDescent="0.3">
      <c r="A1813" s="9">
        <v>45104</v>
      </c>
      <c r="B1813" t="s">
        <v>8</v>
      </c>
      <c r="C1813" t="s">
        <v>26</v>
      </c>
      <c r="D1813" t="s">
        <v>10</v>
      </c>
      <c r="E1813" t="s">
        <v>16</v>
      </c>
      <c r="F1813">
        <v>1380</v>
      </c>
      <c r="G1813">
        <v>23</v>
      </c>
      <c r="H1813" s="6">
        <f t="shared" si="132"/>
        <v>31.74</v>
      </c>
    </row>
    <row r="1814" spans="1:8" hidden="1" x14ac:dyDescent="0.3">
      <c r="A1814" s="9">
        <v>45104</v>
      </c>
      <c r="B1814" t="s">
        <v>17</v>
      </c>
      <c r="C1814" t="s">
        <v>26</v>
      </c>
      <c r="D1814" t="s">
        <v>10</v>
      </c>
      <c r="E1814" t="s">
        <v>23</v>
      </c>
      <c r="F1814">
        <v>640</v>
      </c>
      <c r="G1814">
        <v>95</v>
      </c>
      <c r="H1814" s="6">
        <f t="shared" si="132"/>
        <v>60.8</v>
      </c>
    </row>
    <row r="1815" spans="1:8" hidden="1" x14ac:dyDescent="0.3">
      <c r="A1815" s="9">
        <v>45104</v>
      </c>
      <c r="B1815" t="s">
        <v>17</v>
      </c>
      <c r="C1815" t="s">
        <v>15</v>
      </c>
      <c r="D1815" t="s">
        <v>10</v>
      </c>
      <c r="E1815" t="s">
        <v>41</v>
      </c>
      <c r="F1815">
        <v>650</v>
      </c>
      <c r="G1815">
        <v>28</v>
      </c>
      <c r="H1815" s="6">
        <f t="shared" si="132"/>
        <v>18.2</v>
      </c>
    </row>
    <row r="1816" spans="1:8" hidden="1" x14ac:dyDescent="0.3">
      <c r="A1816" s="9">
        <v>45104</v>
      </c>
      <c r="B1816" t="s">
        <v>45</v>
      </c>
      <c r="C1816" t="s">
        <v>33</v>
      </c>
      <c r="D1816" t="s">
        <v>18</v>
      </c>
      <c r="E1816" t="s">
        <v>27</v>
      </c>
      <c r="F1816">
        <v>460</v>
      </c>
      <c r="G1816">
        <v>69</v>
      </c>
      <c r="H1816" s="6">
        <f t="shared" si="132"/>
        <v>31.74</v>
      </c>
    </row>
    <row r="1817" spans="1:8" hidden="1" x14ac:dyDescent="0.3">
      <c r="A1817" s="9">
        <v>45104</v>
      </c>
      <c r="B1817" t="s">
        <v>8</v>
      </c>
      <c r="C1817" t="s">
        <v>33</v>
      </c>
      <c r="D1817" t="s">
        <v>24</v>
      </c>
      <c r="E1817" t="s">
        <v>42</v>
      </c>
      <c r="F1817">
        <v>3205</v>
      </c>
      <c r="G1817">
        <v>27</v>
      </c>
      <c r="H1817" s="6">
        <f t="shared" si="132"/>
        <v>86.534999999999997</v>
      </c>
    </row>
    <row r="1818" spans="1:8" hidden="1" x14ac:dyDescent="0.3">
      <c r="A1818" s="9">
        <v>45104</v>
      </c>
      <c r="B1818" t="s">
        <v>8</v>
      </c>
      <c r="C1818" t="s">
        <v>35</v>
      </c>
      <c r="D1818" t="s">
        <v>13</v>
      </c>
      <c r="E1818" t="s">
        <v>29</v>
      </c>
      <c r="F1818">
        <v>1230</v>
      </c>
      <c r="G1818">
        <v>76</v>
      </c>
      <c r="H1818" s="6">
        <f t="shared" si="132"/>
        <v>93.48</v>
      </c>
    </row>
    <row r="1819" spans="1:8" hidden="1" x14ac:dyDescent="0.3">
      <c r="A1819" s="9">
        <v>45104</v>
      </c>
      <c r="B1819" t="s">
        <v>17</v>
      </c>
      <c r="C1819" t="s">
        <v>35</v>
      </c>
      <c r="D1819" t="s">
        <v>24</v>
      </c>
      <c r="E1819" t="s">
        <v>42</v>
      </c>
      <c r="F1819">
        <v>3205</v>
      </c>
      <c r="G1819">
        <v>86</v>
      </c>
      <c r="H1819" s="6">
        <f t="shared" si="132"/>
        <v>275.63</v>
      </c>
    </row>
    <row r="1820" spans="1:8" hidden="1" x14ac:dyDescent="0.3">
      <c r="A1820" s="13" t="s">
        <v>192</v>
      </c>
      <c r="H1820" s="6">
        <f>SUBTOTAL(9,H1810:H1819)</f>
        <v>0</v>
      </c>
    </row>
    <row r="1821" spans="1:8" hidden="1" x14ac:dyDescent="0.3">
      <c r="A1821" s="9">
        <v>45105</v>
      </c>
      <c r="B1821" t="s">
        <v>45</v>
      </c>
      <c r="C1821" t="s">
        <v>20</v>
      </c>
      <c r="D1821" t="s">
        <v>18</v>
      </c>
      <c r="E1821" t="s">
        <v>27</v>
      </c>
      <c r="F1821">
        <v>460</v>
      </c>
      <c r="G1821">
        <v>40</v>
      </c>
      <c r="H1821" s="6">
        <f t="shared" ref="H1821:H1831" si="133">F1821*G1821/1000</f>
        <v>18.399999999999999</v>
      </c>
    </row>
    <row r="1822" spans="1:8" hidden="1" x14ac:dyDescent="0.3">
      <c r="A1822" s="9">
        <v>45105</v>
      </c>
      <c r="B1822" t="s">
        <v>8</v>
      </c>
      <c r="C1822" t="s">
        <v>20</v>
      </c>
      <c r="D1822" t="s">
        <v>24</v>
      </c>
      <c r="E1822" t="s">
        <v>25</v>
      </c>
      <c r="F1822">
        <v>1760</v>
      </c>
      <c r="G1822">
        <v>49</v>
      </c>
      <c r="H1822" s="6">
        <f t="shared" si="133"/>
        <v>86.24</v>
      </c>
    </row>
    <row r="1823" spans="1:8" hidden="1" x14ac:dyDescent="0.3">
      <c r="A1823" s="9">
        <v>45105</v>
      </c>
      <c r="B1823" t="s">
        <v>8</v>
      </c>
      <c r="C1823" t="s">
        <v>9</v>
      </c>
      <c r="D1823" t="s">
        <v>13</v>
      </c>
      <c r="E1823" t="s">
        <v>29</v>
      </c>
      <c r="F1823">
        <v>1230</v>
      </c>
      <c r="G1823">
        <v>13</v>
      </c>
      <c r="H1823" s="6">
        <f t="shared" si="133"/>
        <v>15.99</v>
      </c>
    </row>
    <row r="1824" spans="1:8" hidden="1" x14ac:dyDescent="0.3">
      <c r="A1824" s="9">
        <v>45105</v>
      </c>
      <c r="B1824" t="s">
        <v>8</v>
      </c>
      <c r="C1824" t="s">
        <v>26</v>
      </c>
      <c r="D1824" t="s">
        <v>10</v>
      </c>
      <c r="E1824" t="s">
        <v>39</v>
      </c>
      <c r="F1824">
        <v>650</v>
      </c>
      <c r="G1824">
        <v>13</v>
      </c>
      <c r="H1824" s="6">
        <f t="shared" si="133"/>
        <v>8.4499999999999993</v>
      </c>
    </row>
    <row r="1825" spans="1:8" hidden="1" x14ac:dyDescent="0.3">
      <c r="A1825" s="9">
        <v>45105</v>
      </c>
      <c r="B1825" t="s">
        <v>8</v>
      </c>
      <c r="C1825" t="s">
        <v>26</v>
      </c>
      <c r="D1825" t="s">
        <v>13</v>
      </c>
      <c r="E1825" t="s">
        <v>38</v>
      </c>
      <c r="F1825">
        <v>2400</v>
      </c>
      <c r="G1825">
        <v>73</v>
      </c>
      <c r="H1825" s="6">
        <f t="shared" si="133"/>
        <v>175.2</v>
      </c>
    </row>
    <row r="1826" spans="1:8" hidden="1" x14ac:dyDescent="0.3">
      <c r="A1826" s="9">
        <v>45105</v>
      </c>
      <c r="B1826" t="s">
        <v>8</v>
      </c>
      <c r="C1826" t="s">
        <v>26</v>
      </c>
      <c r="D1826" t="s">
        <v>24</v>
      </c>
      <c r="E1826" t="s">
        <v>30</v>
      </c>
      <c r="F1826">
        <v>2970</v>
      </c>
      <c r="G1826">
        <v>95</v>
      </c>
      <c r="H1826" s="6">
        <f t="shared" si="133"/>
        <v>282.14999999999998</v>
      </c>
    </row>
    <row r="1827" spans="1:8" hidden="1" x14ac:dyDescent="0.3">
      <c r="A1827" s="9">
        <v>45105</v>
      </c>
      <c r="B1827" t="s">
        <v>45</v>
      </c>
      <c r="C1827" t="s">
        <v>15</v>
      </c>
      <c r="D1827" t="s">
        <v>10</v>
      </c>
      <c r="E1827" t="s">
        <v>39</v>
      </c>
      <c r="F1827">
        <v>650</v>
      </c>
      <c r="G1827">
        <v>58</v>
      </c>
      <c r="H1827" s="6">
        <f t="shared" si="133"/>
        <v>37.700000000000003</v>
      </c>
    </row>
    <row r="1828" spans="1:8" hidden="1" x14ac:dyDescent="0.3">
      <c r="A1828" s="9">
        <v>45105</v>
      </c>
      <c r="B1828" t="s">
        <v>45</v>
      </c>
      <c r="C1828" t="s">
        <v>15</v>
      </c>
      <c r="D1828" t="s">
        <v>18</v>
      </c>
      <c r="E1828" t="s">
        <v>21</v>
      </c>
      <c r="F1828">
        <v>450</v>
      </c>
      <c r="G1828">
        <v>71</v>
      </c>
      <c r="H1828" s="6">
        <f t="shared" si="133"/>
        <v>31.95</v>
      </c>
    </row>
    <row r="1829" spans="1:8" hidden="1" x14ac:dyDescent="0.3">
      <c r="A1829" s="9">
        <v>45105</v>
      </c>
      <c r="B1829" t="s">
        <v>12</v>
      </c>
      <c r="C1829" t="s">
        <v>33</v>
      </c>
      <c r="D1829" t="s">
        <v>10</v>
      </c>
      <c r="E1829" t="s">
        <v>23</v>
      </c>
      <c r="F1829">
        <v>640</v>
      </c>
      <c r="G1829">
        <v>50</v>
      </c>
      <c r="H1829" s="6">
        <f t="shared" si="133"/>
        <v>32</v>
      </c>
    </row>
    <row r="1830" spans="1:8" hidden="1" x14ac:dyDescent="0.3">
      <c r="A1830" s="9">
        <v>45105</v>
      </c>
      <c r="B1830" t="s">
        <v>17</v>
      </c>
      <c r="C1830" t="s">
        <v>33</v>
      </c>
      <c r="D1830" t="s">
        <v>18</v>
      </c>
      <c r="E1830" t="s">
        <v>19</v>
      </c>
      <c r="F1830">
        <v>325</v>
      </c>
      <c r="G1830">
        <v>26</v>
      </c>
      <c r="H1830" s="6">
        <f t="shared" si="133"/>
        <v>8.4499999999999993</v>
      </c>
    </row>
    <row r="1831" spans="1:8" hidden="1" x14ac:dyDescent="0.3">
      <c r="A1831" s="9">
        <v>45105</v>
      </c>
      <c r="B1831" t="s">
        <v>12</v>
      </c>
      <c r="C1831" t="s">
        <v>35</v>
      </c>
      <c r="D1831" t="s">
        <v>18</v>
      </c>
      <c r="E1831" t="s">
        <v>19</v>
      </c>
      <c r="F1831">
        <v>325</v>
      </c>
      <c r="G1831">
        <v>96</v>
      </c>
      <c r="H1831" s="6">
        <f t="shared" si="133"/>
        <v>31.2</v>
      </c>
    </row>
    <row r="1832" spans="1:8" hidden="1" x14ac:dyDescent="0.3">
      <c r="A1832" s="13" t="s">
        <v>193</v>
      </c>
      <c r="H1832" s="6">
        <f>SUBTOTAL(9,H1821:H1831)</f>
        <v>0</v>
      </c>
    </row>
    <row r="1833" spans="1:8" hidden="1" x14ac:dyDescent="0.3">
      <c r="A1833" s="9">
        <v>45106</v>
      </c>
      <c r="B1833" t="s">
        <v>8</v>
      </c>
      <c r="C1833" t="s">
        <v>20</v>
      </c>
      <c r="D1833" t="s">
        <v>10</v>
      </c>
      <c r="E1833" t="s">
        <v>11</v>
      </c>
      <c r="F1833">
        <v>705</v>
      </c>
      <c r="G1833">
        <v>30</v>
      </c>
      <c r="H1833" s="6">
        <f>F1833*G1833/1000</f>
        <v>21.15</v>
      </c>
    </row>
    <row r="1834" spans="1:8" hidden="1" x14ac:dyDescent="0.3">
      <c r="A1834" s="9">
        <v>45106</v>
      </c>
      <c r="B1834" t="s">
        <v>8</v>
      </c>
      <c r="C1834" t="s">
        <v>15</v>
      </c>
      <c r="D1834" t="s">
        <v>13</v>
      </c>
      <c r="E1834" t="s">
        <v>29</v>
      </c>
      <c r="F1834">
        <v>1230</v>
      </c>
      <c r="G1834">
        <v>90</v>
      </c>
      <c r="H1834" s="6">
        <f>F1834*G1834/1000</f>
        <v>110.7</v>
      </c>
    </row>
    <row r="1835" spans="1:8" hidden="1" x14ac:dyDescent="0.3">
      <c r="A1835" s="9">
        <v>45106</v>
      </c>
      <c r="B1835" t="s">
        <v>45</v>
      </c>
      <c r="C1835" t="s">
        <v>35</v>
      </c>
      <c r="D1835" t="s">
        <v>18</v>
      </c>
      <c r="E1835" t="s">
        <v>28</v>
      </c>
      <c r="F1835">
        <v>690</v>
      </c>
      <c r="G1835">
        <v>90</v>
      </c>
      <c r="H1835" s="6">
        <f>F1835*G1835/1000</f>
        <v>62.1</v>
      </c>
    </row>
    <row r="1836" spans="1:8" hidden="1" x14ac:dyDescent="0.3">
      <c r="A1836" s="9">
        <v>45106</v>
      </c>
      <c r="B1836" t="s">
        <v>17</v>
      </c>
      <c r="C1836" t="s">
        <v>35</v>
      </c>
      <c r="D1836" t="s">
        <v>24</v>
      </c>
      <c r="E1836" t="s">
        <v>42</v>
      </c>
      <c r="F1836">
        <v>3205</v>
      </c>
      <c r="G1836">
        <v>85</v>
      </c>
      <c r="H1836" s="6">
        <f>F1836*G1836/1000</f>
        <v>272.42500000000001</v>
      </c>
    </row>
    <row r="1837" spans="1:8" hidden="1" x14ac:dyDescent="0.3">
      <c r="A1837" s="13" t="s">
        <v>194</v>
      </c>
      <c r="H1837" s="6">
        <f>SUBTOTAL(9,H1833:H1836)</f>
        <v>0</v>
      </c>
    </row>
    <row r="1838" spans="1:8" hidden="1" x14ac:dyDescent="0.3">
      <c r="A1838" s="9">
        <v>45107</v>
      </c>
      <c r="B1838" t="s">
        <v>45</v>
      </c>
      <c r="C1838" t="s">
        <v>20</v>
      </c>
      <c r="D1838" t="s">
        <v>10</v>
      </c>
      <c r="E1838" t="s">
        <v>39</v>
      </c>
      <c r="F1838">
        <v>650</v>
      </c>
      <c r="G1838">
        <v>84</v>
      </c>
      <c r="H1838" s="6">
        <f>F1838*G1838/1000</f>
        <v>54.6</v>
      </c>
    </row>
    <row r="1839" spans="1:8" hidden="1" x14ac:dyDescent="0.3">
      <c r="A1839" s="9">
        <v>45107</v>
      </c>
      <c r="B1839" t="s">
        <v>8</v>
      </c>
      <c r="C1839" t="s">
        <v>9</v>
      </c>
      <c r="D1839" t="s">
        <v>18</v>
      </c>
      <c r="E1839" t="s">
        <v>37</v>
      </c>
      <c r="F1839">
        <v>890</v>
      </c>
      <c r="G1839">
        <v>44</v>
      </c>
      <c r="H1839" s="6">
        <f>F1839*G1839/1000</f>
        <v>39.159999999999997</v>
      </c>
    </row>
    <row r="1840" spans="1:8" hidden="1" x14ac:dyDescent="0.3">
      <c r="A1840" s="9">
        <v>45107</v>
      </c>
      <c r="B1840" t="s">
        <v>12</v>
      </c>
      <c r="C1840" t="s">
        <v>26</v>
      </c>
      <c r="D1840" t="s">
        <v>18</v>
      </c>
      <c r="E1840" t="s">
        <v>28</v>
      </c>
      <c r="F1840">
        <v>690</v>
      </c>
      <c r="G1840">
        <v>42</v>
      </c>
      <c r="H1840" s="6">
        <f>F1840*G1840/1000</f>
        <v>28.98</v>
      </c>
    </row>
    <row r="1841" spans="1:8" hidden="1" x14ac:dyDescent="0.3">
      <c r="A1841" s="9">
        <v>45107</v>
      </c>
      <c r="B1841" t="s">
        <v>8</v>
      </c>
      <c r="C1841" t="s">
        <v>33</v>
      </c>
      <c r="D1841" t="s">
        <v>10</v>
      </c>
      <c r="E1841" t="s">
        <v>40</v>
      </c>
      <c r="F1841">
        <v>540</v>
      </c>
      <c r="G1841">
        <v>10</v>
      </c>
      <c r="H1841" s="6">
        <f>F1841*G1841/1000</f>
        <v>5.4</v>
      </c>
    </row>
    <row r="1842" spans="1:8" hidden="1" x14ac:dyDescent="0.3">
      <c r="A1842" s="9">
        <v>45107</v>
      </c>
      <c r="B1842" t="s">
        <v>45</v>
      </c>
      <c r="C1842" t="s">
        <v>35</v>
      </c>
      <c r="D1842" t="s">
        <v>13</v>
      </c>
      <c r="E1842" t="s">
        <v>38</v>
      </c>
      <c r="F1842">
        <v>2400</v>
      </c>
      <c r="G1842">
        <v>17</v>
      </c>
      <c r="H1842" s="6">
        <f>F1842*G1842/1000</f>
        <v>40.799999999999997</v>
      </c>
    </row>
    <row r="1843" spans="1:8" hidden="1" x14ac:dyDescent="0.3">
      <c r="A1843" s="13" t="s">
        <v>195</v>
      </c>
      <c r="H1843" s="6">
        <f>SUBTOTAL(9,H1838:H1842)</f>
        <v>0</v>
      </c>
    </row>
    <row r="1844" spans="1:8" hidden="1" x14ac:dyDescent="0.3">
      <c r="A1844" s="9">
        <v>45108</v>
      </c>
      <c r="B1844" t="s">
        <v>45</v>
      </c>
      <c r="C1844" t="s">
        <v>20</v>
      </c>
      <c r="D1844" t="s">
        <v>10</v>
      </c>
      <c r="E1844" t="s">
        <v>41</v>
      </c>
      <c r="F1844">
        <v>650</v>
      </c>
      <c r="G1844">
        <v>88</v>
      </c>
      <c r="H1844" s="6">
        <f t="shared" ref="H1844:H1855" si="134">F1844*G1844/1000</f>
        <v>57.2</v>
      </c>
    </row>
    <row r="1845" spans="1:8" hidden="1" x14ac:dyDescent="0.3">
      <c r="A1845" s="9">
        <v>45108</v>
      </c>
      <c r="B1845" t="s">
        <v>12</v>
      </c>
      <c r="C1845" t="s">
        <v>20</v>
      </c>
      <c r="D1845" t="s">
        <v>13</v>
      </c>
      <c r="E1845" t="s">
        <v>38</v>
      </c>
      <c r="F1845">
        <v>2400</v>
      </c>
      <c r="G1845">
        <v>38</v>
      </c>
      <c r="H1845" s="6">
        <f t="shared" si="134"/>
        <v>91.2</v>
      </c>
    </row>
    <row r="1846" spans="1:8" hidden="1" x14ac:dyDescent="0.3">
      <c r="A1846" s="9">
        <v>45108</v>
      </c>
      <c r="B1846" t="s">
        <v>17</v>
      </c>
      <c r="C1846" t="s">
        <v>9</v>
      </c>
      <c r="D1846" t="s">
        <v>10</v>
      </c>
      <c r="E1846" t="s">
        <v>39</v>
      </c>
      <c r="F1846">
        <v>650</v>
      </c>
      <c r="G1846">
        <v>68</v>
      </c>
      <c r="H1846" s="6">
        <f t="shared" si="134"/>
        <v>44.2</v>
      </c>
    </row>
    <row r="1847" spans="1:8" hidden="1" x14ac:dyDescent="0.3">
      <c r="A1847" s="9">
        <v>45108</v>
      </c>
      <c r="B1847" t="s">
        <v>45</v>
      </c>
      <c r="C1847" t="s">
        <v>9</v>
      </c>
      <c r="D1847" t="s">
        <v>10</v>
      </c>
      <c r="E1847" t="s">
        <v>16</v>
      </c>
      <c r="F1847">
        <v>1380</v>
      </c>
      <c r="G1847">
        <v>92</v>
      </c>
      <c r="H1847" s="6">
        <f t="shared" si="134"/>
        <v>126.96</v>
      </c>
    </row>
    <row r="1848" spans="1:8" hidden="1" x14ac:dyDescent="0.3">
      <c r="A1848" s="9">
        <v>45108</v>
      </c>
      <c r="B1848" t="s">
        <v>12</v>
      </c>
      <c r="C1848" t="s">
        <v>9</v>
      </c>
      <c r="D1848" t="s">
        <v>18</v>
      </c>
      <c r="E1848" t="s">
        <v>37</v>
      </c>
      <c r="F1848">
        <v>890</v>
      </c>
      <c r="G1848">
        <v>61</v>
      </c>
      <c r="H1848" s="6">
        <f t="shared" si="134"/>
        <v>54.29</v>
      </c>
    </row>
    <row r="1849" spans="1:8" hidden="1" x14ac:dyDescent="0.3">
      <c r="A1849" s="9">
        <v>45108</v>
      </c>
      <c r="B1849" t="s">
        <v>17</v>
      </c>
      <c r="C1849" t="s">
        <v>9</v>
      </c>
      <c r="D1849" t="s">
        <v>24</v>
      </c>
      <c r="E1849" t="s">
        <v>30</v>
      </c>
      <c r="F1849">
        <v>2970</v>
      </c>
      <c r="G1849">
        <v>30</v>
      </c>
      <c r="H1849" s="6">
        <f t="shared" si="134"/>
        <v>89.1</v>
      </c>
    </row>
    <row r="1850" spans="1:8" hidden="1" x14ac:dyDescent="0.3">
      <c r="A1850" s="9">
        <v>45108</v>
      </c>
      <c r="B1850" t="s">
        <v>8</v>
      </c>
      <c r="C1850" t="s">
        <v>9</v>
      </c>
      <c r="D1850" t="s">
        <v>24</v>
      </c>
      <c r="E1850" t="s">
        <v>32</v>
      </c>
      <c r="F1850">
        <v>1505</v>
      </c>
      <c r="G1850">
        <v>55</v>
      </c>
      <c r="H1850" s="6">
        <f t="shared" si="134"/>
        <v>82.775000000000006</v>
      </c>
    </row>
    <row r="1851" spans="1:8" hidden="1" x14ac:dyDescent="0.3">
      <c r="A1851" s="9">
        <v>45108</v>
      </c>
      <c r="B1851" t="s">
        <v>17</v>
      </c>
      <c r="C1851" t="s">
        <v>26</v>
      </c>
      <c r="D1851" t="s">
        <v>18</v>
      </c>
      <c r="E1851" t="s">
        <v>37</v>
      </c>
      <c r="F1851">
        <v>890</v>
      </c>
      <c r="G1851">
        <v>46</v>
      </c>
      <c r="H1851" s="6">
        <f t="shared" si="134"/>
        <v>40.94</v>
      </c>
    </row>
    <row r="1852" spans="1:8" hidden="1" x14ac:dyDescent="0.3">
      <c r="A1852" s="9">
        <v>45108</v>
      </c>
      <c r="B1852" t="s">
        <v>17</v>
      </c>
      <c r="C1852" t="s">
        <v>26</v>
      </c>
      <c r="D1852" t="s">
        <v>13</v>
      </c>
      <c r="E1852" t="s">
        <v>22</v>
      </c>
      <c r="F1852">
        <v>930</v>
      </c>
      <c r="G1852">
        <v>68</v>
      </c>
      <c r="H1852" s="6">
        <f t="shared" si="134"/>
        <v>63.24</v>
      </c>
    </row>
    <row r="1853" spans="1:8" hidden="1" x14ac:dyDescent="0.3">
      <c r="A1853" s="9">
        <v>45108</v>
      </c>
      <c r="B1853" t="s">
        <v>45</v>
      </c>
      <c r="C1853" t="s">
        <v>33</v>
      </c>
      <c r="D1853" t="s">
        <v>18</v>
      </c>
      <c r="E1853" t="s">
        <v>19</v>
      </c>
      <c r="F1853">
        <v>325</v>
      </c>
      <c r="G1853">
        <v>86</v>
      </c>
      <c r="H1853" s="6">
        <f t="shared" si="134"/>
        <v>27.95</v>
      </c>
    </row>
    <row r="1854" spans="1:8" hidden="1" x14ac:dyDescent="0.3">
      <c r="A1854" s="9">
        <v>45108</v>
      </c>
      <c r="B1854" t="s">
        <v>8</v>
      </c>
      <c r="C1854" t="s">
        <v>35</v>
      </c>
      <c r="D1854" t="s">
        <v>10</v>
      </c>
      <c r="E1854" t="s">
        <v>41</v>
      </c>
      <c r="F1854">
        <v>650</v>
      </c>
      <c r="G1854">
        <v>84</v>
      </c>
      <c r="H1854" s="6">
        <f t="shared" si="134"/>
        <v>54.6</v>
      </c>
    </row>
    <row r="1855" spans="1:8" hidden="1" x14ac:dyDescent="0.3">
      <c r="A1855" s="9">
        <v>45108</v>
      </c>
      <c r="B1855" t="s">
        <v>8</v>
      </c>
      <c r="C1855" t="s">
        <v>35</v>
      </c>
      <c r="D1855" t="s">
        <v>24</v>
      </c>
      <c r="E1855" t="s">
        <v>36</v>
      </c>
      <c r="F1855">
        <v>2460</v>
      </c>
      <c r="G1855">
        <v>12</v>
      </c>
      <c r="H1855" s="6">
        <f t="shared" si="134"/>
        <v>29.52</v>
      </c>
    </row>
    <row r="1856" spans="1:8" hidden="1" x14ac:dyDescent="0.3">
      <c r="A1856" s="13" t="s">
        <v>196</v>
      </c>
      <c r="H1856" s="6">
        <f>SUBTOTAL(9,H1844:H1855)</f>
        <v>0</v>
      </c>
    </row>
    <row r="1857" spans="1:8" hidden="1" x14ac:dyDescent="0.3">
      <c r="A1857" s="9">
        <v>45109</v>
      </c>
      <c r="B1857" t="s">
        <v>17</v>
      </c>
      <c r="C1857" t="s">
        <v>20</v>
      </c>
      <c r="D1857" t="s">
        <v>10</v>
      </c>
      <c r="E1857" t="s">
        <v>40</v>
      </c>
      <c r="F1857">
        <v>540</v>
      </c>
      <c r="G1857">
        <v>48</v>
      </c>
      <c r="H1857" s="6">
        <f t="shared" ref="H1857:H1867" si="135">F1857*G1857/1000</f>
        <v>25.92</v>
      </c>
    </row>
    <row r="1858" spans="1:8" hidden="1" x14ac:dyDescent="0.3">
      <c r="A1858" s="9">
        <v>45109</v>
      </c>
      <c r="B1858" t="s">
        <v>8</v>
      </c>
      <c r="C1858" t="s">
        <v>20</v>
      </c>
      <c r="D1858" t="s">
        <v>18</v>
      </c>
      <c r="E1858" t="s">
        <v>27</v>
      </c>
      <c r="F1858">
        <v>460</v>
      </c>
      <c r="G1858">
        <v>57</v>
      </c>
      <c r="H1858" s="6">
        <f t="shared" si="135"/>
        <v>26.22</v>
      </c>
    </row>
    <row r="1859" spans="1:8" hidden="1" x14ac:dyDescent="0.3">
      <c r="A1859" s="9">
        <v>45109</v>
      </c>
      <c r="B1859" t="s">
        <v>45</v>
      </c>
      <c r="C1859" t="s">
        <v>20</v>
      </c>
      <c r="D1859" t="s">
        <v>18</v>
      </c>
      <c r="E1859" t="s">
        <v>27</v>
      </c>
      <c r="F1859">
        <v>460</v>
      </c>
      <c r="G1859">
        <v>72</v>
      </c>
      <c r="H1859" s="6">
        <f t="shared" si="135"/>
        <v>33.119999999999997</v>
      </c>
    </row>
    <row r="1860" spans="1:8" x14ac:dyDescent="0.3">
      <c r="A1860" s="9">
        <v>45109</v>
      </c>
      <c r="B1860" t="s">
        <v>45</v>
      </c>
      <c r="C1860" t="s">
        <v>20</v>
      </c>
      <c r="D1860" t="s">
        <v>13</v>
      </c>
      <c r="E1860" t="s">
        <v>29</v>
      </c>
      <c r="F1860">
        <v>1230</v>
      </c>
      <c r="G1860">
        <v>76</v>
      </c>
      <c r="H1860" s="6">
        <f t="shared" si="135"/>
        <v>93.48</v>
      </c>
    </row>
    <row r="1861" spans="1:8" hidden="1" x14ac:dyDescent="0.3">
      <c r="A1861" s="9">
        <v>45109</v>
      </c>
      <c r="B1861" t="s">
        <v>8</v>
      </c>
      <c r="C1861" t="s">
        <v>20</v>
      </c>
      <c r="D1861" t="s">
        <v>13</v>
      </c>
      <c r="E1861" t="s">
        <v>14</v>
      </c>
      <c r="F1861">
        <v>1320</v>
      </c>
      <c r="G1861">
        <v>42</v>
      </c>
      <c r="H1861" s="6">
        <f t="shared" si="135"/>
        <v>55.44</v>
      </c>
    </row>
    <row r="1862" spans="1:8" hidden="1" x14ac:dyDescent="0.3">
      <c r="A1862" s="9">
        <v>45109</v>
      </c>
      <c r="B1862" t="s">
        <v>17</v>
      </c>
      <c r="C1862" t="s">
        <v>9</v>
      </c>
      <c r="D1862" t="s">
        <v>13</v>
      </c>
      <c r="E1862" t="s">
        <v>29</v>
      </c>
      <c r="F1862">
        <v>1230</v>
      </c>
      <c r="G1862">
        <v>90</v>
      </c>
      <c r="H1862" s="6">
        <f t="shared" si="135"/>
        <v>110.7</v>
      </c>
    </row>
    <row r="1863" spans="1:8" hidden="1" x14ac:dyDescent="0.3">
      <c r="A1863" s="9">
        <v>45109</v>
      </c>
      <c r="B1863" t="s">
        <v>17</v>
      </c>
      <c r="C1863" t="s">
        <v>26</v>
      </c>
      <c r="D1863" t="s">
        <v>10</v>
      </c>
      <c r="E1863" t="s">
        <v>16</v>
      </c>
      <c r="F1863">
        <v>1380</v>
      </c>
      <c r="G1863">
        <v>25</v>
      </c>
      <c r="H1863" s="6">
        <f t="shared" si="135"/>
        <v>34.5</v>
      </c>
    </row>
    <row r="1864" spans="1:8" hidden="1" x14ac:dyDescent="0.3">
      <c r="A1864" s="9">
        <v>45109</v>
      </c>
      <c r="B1864" t="s">
        <v>45</v>
      </c>
      <c r="C1864" t="s">
        <v>15</v>
      </c>
      <c r="D1864" t="s">
        <v>10</v>
      </c>
      <c r="E1864" t="s">
        <v>16</v>
      </c>
      <c r="F1864">
        <v>1380</v>
      </c>
      <c r="G1864">
        <v>54</v>
      </c>
      <c r="H1864" s="6">
        <f t="shared" si="135"/>
        <v>74.52</v>
      </c>
    </row>
    <row r="1865" spans="1:8" hidden="1" x14ac:dyDescent="0.3">
      <c r="A1865" s="9">
        <v>45109</v>
      </c>
      <c r="B1865" t="s">
        <v>45</v>
      </c>
      <c r="C1865" t="s">
        <v>15</v>
      </c>
      <c r="D1865" t="s">
        <v>18</v>
      </c>
      <c r="E1865" t="s">
        <v>31</v>
      </c>
      <c r="F1865">
        <v>715</v>
      </c>
      <c r="G1865">
        <v>27</v>
      </c>
      <c r="H1865" s="6">
        <f t="shared" si="135"/>
        <v>19.305</v>
      </c>
    </row>
    <row r="1866" spans="1:8" hidden="1" x14ac:dyDescent="0.3">
      <c r="A1866" s="9">
        <v>45109</v>
      </c>
      <c r="B1866" t="s">
        <v>17</v>
      </c>
      <c r="C1866" t="s">
        <v>15</v>
      </c>
      <c r="D1866" t="s">
        <v>18</v>
      </c>
      <c r="E1866" t="s">
        <v>28</v>
      </c>
      <c r="F1866">
        <v>690</v>
      </c>
      <c r="G1866">
        <v>28</v>
      </c>
      <c r="H1866" s="6">
        <f t="shared" si="135"/>
        <v>19.32</v>
      </c>
    </row>
    <row r="1867" spans="1:8" hidden="1" x14ac:dyDescent="0.3">
      <c r="A1867" s="9">
        <v>45109</v>
      </c>
      <c r="B1867" t="s">
        <v>45</v>
      </c>
      <c r="C1867" t="s">
        <v>35</v>
      </c>
      <c r="D1867" t="s">
        <v>13</v>
      </c>
      <c r="E1867" t="s">
        <v>38</v>
      </c>
      <c r="F1867">
        <v>2400</v>
      </c>
      <c r="G1867">
        <v>72</v>
      </c>
      <c r="H1867" s="6">
        <f t="shared" si="135"/>
        <v>172.8</v>
      </c>
    </row>
    <row r="1868" spans="1:8" hidden="1" x14ac:dyDescent="0.3">
      <c r="A1868" s="13" t="s">
        <v>197</v>
      </c>
      <c r="H1868" s="6">
        <f>SUBTOTAL(9,H1857:H1867)</f>
        <v>93.48</v>
      </c>
    </row>
    <row r="1869" spans="1:8" hidden="1" x14ac:dyDescent="0.3">
      <c r="A1869" s="9">
        <v>45110</v>
      </c>
      <c r="B1869" t="s">
        <v>12</v>
      </c>
      <c r="C1869" t="s">
        <v>20</v>
      </c>
      <c r="D1869" t="s">
        <v>10</v>
      </c>
      <c r="E1869" t="s">
        <v>41</v>
      </c>
      <c r="F1869">
        <v>650</v>
      </c>
      <c r="G1869">
        <v>67</v>
      </c>
      <c r="H1869" s="6">
        <f t="shared" ref="H1869:H1878" si="136">F1869*G1869/1000</f>
        <v>43.55</v>
      </c>
    </row>
    <row r="1870" spans="1:8" hidden="1" x14ac:dyDescent="0.3">
      <c r="A1870" s="9">
        <v>45110</v>
      </c>
      <c r="B1870" t="s">
        <v>45</v>
      </c>
      <c r="C1870" t="s">
        <v>20</v>
      </c>
      <c r="D1870" t="s">
        <v>18</v>
      </c>
      <c r="E1870" t="s">
        <v>31</v>
      </c>
      <c r="F1870">
        <v>715</v>
      </c>
      <c r="G1870">
        <v>34</v>
      </c>
      <c r="H1870" s="6">
        <f t="shared" si="136"/>
        <v>24.31</v>
      </c>
    </row>
    <row r="1871" spans="1:8" hidden="1" x14ac:dyDescent="0.3">
      <c r="A1871" s="9">
        <v>45110</v>
      </c>
      <c r="B1871" t="s">
        <v>12</v>
      </c>
      <c r="C1871" t="s">
        <v>20</v>
      </c>
      <c r="D1871" t="s">
        <v>18</v>
      </c>
      <c r="E1871" t="s">
        <v>19</v>
      </c>
      <c r="F1871">
        <v>325</v>
      </c>
      <c r="G1871">
        <v>57</v>
      </c>
      <c r="H1871" s="6">
        <f t="shared" si="136"/>
        <v>18.524999999999999</v>
      </c>
    </row>
    <row r="1872" spans="1:8" hidden="1" x14ac:dyDescent="0.3">
      <c r="A1872" s="9">
        <v>45110</v>
      </c>
      <c r="B1872" t="s">
        <v>45</v>
      </c>
      <c r="C1872" t="s">
        <v>9</v>
      </c>
      <c r="D1872" t="s">
        <v>10</v>
      </c>
      <c r="E1872" t="s">
        <v>11</v>
      </c>
      <c r="F1872">
        <v>705</v>
      </c>
      <c r="G1872">
        <v>14</v>
      </c>
      <c r="H1872" s="6">
        <f t="shared" si="136"/>
        <v>9.8699999999999992</v>
      </c>
    </row>
    <row r="1873" spans="1:8" hidden="1" x14ac:dyDescent="0.3">
      <c r="A1873" s="9">
        <v>45110</v>
      </c>
      <c r="B1873" t="s">
        <v>12</v>
      </c>
      <c r="C1873" t="s">
        <v>9</v>
      </c>
      <c r="D1873" t="s">
        <v>18</v>
      </c>
      <c r="E1873" t="s">
        <v>28</v>
      </c>
      <c r="F1873">
        <v>690</v>
      </c>
      <c r="G1873">
        <v>64</v>
      </c>
      <c r="H1873" s="6">
        <f t="shared" si="136"/>
        <v>44.16</v>
      </c>
    </row>
    <row r="1874" spans="1:8" hidden="1" x14ac:dyDescent="0.3">
      <c r="A1874" s="9">
        <v>45110</v>
      </c>
      <c r="B1874" t="s">
        <v>45</v>
      </c>
      <c r="C1874" t="s">
        <v>15</v>
      </c>
      <c r="D1874" t="s">
        <v>18</v>
      </c>
      <c r="E1874" t="s">
        <v>21</v>
      </c>
      <c r="F1874">
        <v>450</v>
      </c>
      <c r="G1874">
        <v>87</v>
      </c>
      <c r="H1874" s="6">
        <f t="shared" si="136"/>
        <v>39.15</v>
      </c>
    </row>
    <row r="1875" spans="1:8" hidden="1" x14ac:dyDescent="0.3">
      <c r="A1875" s="9">
        <v>45110</v>
      </c>
      <c r="B1875" t="s">
        <v>8</v>
      </c>
      <c r="C1875" t="s">
        <v>15</v>
      </c>
      <c r="D1875" t="s">
        <v>13</v>
      </c>
      <c r="E1875" t="s">
        <v>14</v>
      </c>
      <c r="F1875">
        <v>1320</v>
      </c>
      <c r="G1875">
        <v>61</v>
      </c>
      <c r="H1875" s="6">
        <f t="shared" si="136"/>
        <v>80.52</v>
      </c>
    </row>
    <row r="1876" spans="1:8" hidden="1" x14ac:dyDescent="0.3">
      <c r="A1876" s="9">
        <v>45110</v>
      </c>
      <c r="B1876" t="s">
        <v>8</v>
      </c>
      <c r="C1876" t="s">
        <v>33</v>
      </c>
      <c r="D1876" t="s">
        <v>10</v>
      </c>
      <c r="E1876" t="s">
        <v>39</v>
      </c>
      <c r="F1876">
        <v>650</v>
      </c>
      <c r="G1876">
        <v>70</v>
      </c>
      <c r="H1876" s="6">
        <f t="shared" si="136"/>
        <v>45.5</v>
      </c>
    </row>
    <row r="1877" spans="1:8" hidden="1" x14ac:dyDescent="0.3">
      <c r="A1877" s="9">
        <v>45110</v>
      </c>
      <c r="B1877" t="s">
        <v>8</v>
      </c>
      <c r="C1877" t="s">
        <v>35</v>
      </c>
      <c r="D1877" t="s">
        <v>18</v>
      </c>
      <c r="E1877" t="s">
        <v>27</v>
      </c>
      <c r="F1877">
        <v>460</v>
      </c>
      <c r="G1877">
        <v>23</v>
      </c>
      <c r="H1877" s="6">
        <f t="shared" si="136"/>
        <v>10.58</v>
      </c>
    </row>
    <row r="1878" spans="1:8" hidden="1" x14ac:dyDescent="0.3">
      <c r="A1878" s="9">
        <v>45110</v>
      </c>
      <c r="B1878" t="s">
        <v>12</v>
      </c>
      <c r="C1878" t="s">
        <v>35</v>
      </c>
      <c r="D1878" t="s">
        <v>24</v>
      </c>
      <c r="E1878" t="s">
        <v>32</v>
      </c>
      <c r="F1878">
        <v>1505</v>
      </c>
      <c r="G1878">
        <v>44</v>
      </c>
      <c r="H1878" s="6">
        <f t="shared" si="136"/>
        <v>66.22</v>
      </c>
    </row>
    <row r="1879" spans="1:8" hidden="1" x14ac:dyDescent="0.3">
      <c r="A1879" s="13" t="s">
        <v>198</v>
      </c>
      <c r="H1879" s="6">
        <f>SUBTOTAL(9,H1869:H1878)</f>
        <v>0</v>
      </c>
    </row>
    <row r="1880" spans="1:8" hidden="1" x14ac:dyDescent="0.3">
      <c r="A1880" s="9">
        <v>45111</v>
      </c>
      <c r="B1880" t="s">
        <v>45</v>
      </c>
      <c r="C1880" t="s">
        <v>20</v>
      </c>
      <c r="D1880" t="s">
        <v>18</v>
      </c>
      <c r="E1880" t="s">
        <v>31</v>
      </c>
      <c r="F1880">
        <v>715</v>
      </c>
      <c r="G1880">
        <v>9</v>
      </c>
      <c r="H1880" s="6">
        <f t="shared" ref="H1880:H1891" si="137">F1880*G1880/1000</f>
        <v>6.4349999999999996</v>
      </c>
    </row>
    <row r="1881" spans="1:8" hidden="1" x14ac:dyDescent="0.3">
      <c r="A1881" s="9">
        <v>45111</v>
      </c>
      <c r="B1881" t="s">
        <v>12</v>
      </c>
      <c r="C1881" t="s">
        <v>20</v>
      </c>
      <c r="D1881" t="s">
        <v>13</v>
      </c>
      <c r="E1881" t="s">
        <v>14</v>
      </c>
      <c r="F1881">
        <v>1320</v>
      </c>
      <c r="G1881">
        <v>27</v>
      </c>
      <c r="H1881" s="6">
        <f t="shared" si="137"/>
        <v>35.64</v>
      </c>
    </row>
    <row r="1882" spans="1:8" hidden="1" x14ac:dyDescent="0.3">
      <c r="A1882" s="9">
        <v>45111</v>
      </c>
      <c r="B1882" t="s">
        <v>12</v>
      </c>
      <c r="C1882" t="s">
        <v>20</v>
      </c>
      <c r="D1882" t="s">
        <v>13</v>
      </c>
      <c r="E1882" t="s">
        <v>38</v>
      </c>
      <c r="F1882">
        <v>2400</v>
      </c>
      <c r="G1882">
        <v>81</v>
      </c>
      <c r="H1882" s="6">
        <f t="shared" si="137"/>
        <v>194.4</v>
      </c>
    </row>
    <row r="1883" spans="1:8" hidden="1" x14ac:dyDescent="0.3">
      <c r="A1883" s="9">
        <v>45111</v>
      </c>
      <c r="B1883" t="s">
        <v>8</v>
      </c>
      <c r="C1883" t="s">
        <v>20</v>
      </c>
      <c r="D1883" t="s">
        <v>24</v>
      </c>
      <c r="E1883" t="s">
        <v>25</v>
      </c>
      <c r="F1883">
        <v>1760</v>
      </c>
      <c r="G1883">
        <v>95</v>
      </c>
      <c r="H1883" s="6">
        <f t="shared" si="137"/>
        <v>167.2</v>
      </c>
    </row>
    <row r="1884" spans="1:8" hidden="1" x14ac:dyDescent="0.3">
      <c r="A1884" s="9">
        <v>45111</v>
      </c>
      <c r="B1884" t="s">
        <v>8</v>
      </c>
      <c r="C1884" t="s">
        <v>9</v>
      </c>
      <c r="D1884" t="s">
        <v>10</v>
      </c>
      <c r="E1884" t="s">
        <v>16</v>
      </c>
      <c r="F1884">
        <v>1380</v>
      </c>
      <c r="G1884">
        <v>99</v>
      </c>
      <c r="H1884" s="6">
        <f t="shared" si="137"/>
        <v>136.62</v>
      </c>
    </row>
    <row r="1885" spans="1:8" hidden="1" x14ac:dyDescent="0.3">
      <c r="A1885" s="9">
        <v>45111</v>
      </c>
      <c r="B1885" t="s">
        <v>17</v>
      </c>
      <c r="C1885" t="s">
        <v>26</v>
      </c>
      <c r="D1885" t="s">
        <v>10</v>
      </c>
      <c r="E1885" t="s">
        <v>39</v>
      </c>
      <c r="F1885">
        <v>650</v>
      </c>
      <c r="G1885">
        <v>77</v>
      </c>
      <c r="H1885" s="6">
        <f t="shared" si="137"/>
        <v>50.05</v>
      </c>
    </row>
    <row r="1886" spans="1:8" hidden="1" x14ac:dyDescent="0.3">
      <c r="A1886" s="9">
        <v>45111</v>
      </c>
      <c r="B1886" t="s">
        <v>12</v>
      </c>
      <c r="C1886" t="s">
        <v>26</v>
      </c>
      <c r="D1886" t="s">
        <v>10</v>
      </c>
      <c r="E1886" t="s">
        <v>40</v>
      </c>
      <c r="F1886">
        <v>540</v>
      </c>
      <c r="G1886">
        <v>33</v>
      </c>
      <c r="H1886" s="6">
        <f t="shared" si="137"/>
        <v>17.82</v>
      </c>
    </row>
    <row r="1887" spans="1:8" hidden="1" x14ac:dyDescent="0.3">
      <c r="A1887" s="9">
        <v>45111</v>
      </c>
      <c r="B1887" t="s">
        <v>12</v>
      </c>
      <c r="C1887" t="s">
        <v>26</v>
      </c>
      <c r="D1887" t="s">
        <v>18</v>
      </c>
      <c r="E1887" t="s">
        <v>28</v>
      </c>
      <c r="F1887">
        <v>690</v>
      </c>
      <c r="G1887">
        <v>71</v>
      </c>
      <c r="H1887" s="6">
        <f t="shared" si="137"/>
        <v>48.99</v>
      </c>
    </row>
    <row r="1888" spans="1:8" hidden="1" x14ac:dyDescent="0.3">
      <c r="A1888" s="9">
        <v>45111</v>
      </c>
      <c r="B1888" t="s">
        <v>12</v>
      </c>
      <c r="C1888" t="s">
        <v>15</v>
      </c>
      <c r="D1888" t="s">
        <v>10</v>
      </c>
      <c r="E1888" t="s">
        <v>41</v>
      </c>
      <c r="F1888">
        <v>650</v>
      </c>
      <c r="G1888">
        <v>33</v>
      </c>
      <c r="H1888" s="6">
        <f t="shared" si="137"/>
        <v>21.45</v>
      </c>
    </row>
    <row r="1889" spans="1:8" hidden="1" x14ac:dyDescent="0.3">
      <c r="A1889" s="9">
        <v>45111</v>
      </c>
      <c r="B1889" t="s">
        <v>8</v>
      </c>
      <c r="C1889" t="s">
        <v>15</v>
      </c>
      <c r="D1889" t="s">
        <v>13</v>
      </c>
      <c r="E1889" t="s">
        <v>29</v>
      </c>
      <c r="F1889">
        <v>1230</v>
      </c>
      <c r="G1889">
        <v>30</v>
      </c>
      <c r="H1889" s="6">
        <f t="shared" si="137"/>
        <v>36.9</v>
      </c>
    </row>
    <row r="1890" spans="1:8" hidden="1" x14ac:dyDescent="0.3">
      <c r="A1890" s="9">
        <v>45111</v>
      </c>
      <c r="B1890" t="s">
        <v>8</v>
      </c>
      <c r="C1890" t="s">
        <v>35</v>
      </c>
      <c r="D1890" t="s">
        <v>18</v>
      </c>
      <c r="E1890" t="s">
        <v>27</v>
      </c>
      <c r="F1890">
        <v>460</v>
      </c>
      <c r="G1890">
        <v>7</v>
      </c>
      <c r="H1890" s="6">
        <f t="shared" si="137"/>
        <v>3.22</v>
      </c>
    </row>
    <row r="1891" spans="1:8" hidden="1" x14ac:dyDescent="0.3">
      <c r="A1891" s="9">
        <v>45111</v>
      </c>
      <c r="B1891" t="s">
        <v>45</v>
      </c>
      <c r="C1891" t="s">
        <v>35</v>
      </c>
      <c r="D1891" t="s">
        <v>24</v>
      </c>
      <c r="E1891" t="s">
        <v>36</v>
      </c>
      <c r="F1891">
        <v>2460</v>
      </c>
      <c r="G1891">
        <v>70</v>
      </c>
      <c r="H1891" s="6">
        <f t="shared" si="137"/>
        <v>172.2</v>
      </c>
    </row>
    <row r="1892" spans="1:8" hidden="1" x14ac:dyDescent="0.3">
      <c r="A1892" s="13" t="s">
        <v>199</v>
      </c>
      <c r="H1892" s="6">
        <f>SUBTOTAL(9,H1880:H1891)</f>
        <v>0</v>
      </c>
    </row>
    <row r="1893" spans="1:8" hidden="1" x14ac:dyDescent="0.3">
      <c r="A1893" s="9">
        <v>45112</v>
      </c>
      <c r="B1893" t="s">
        <v>8</v>
      </c>
      <c r="C1893" t="s">
        <v>20</v>
      </c>
      <c r="D1893" t="s">
        <v>10</v>
      </c>
      <c r="E1893" t="s">
        <v>39</v>
      </c>
      <c r="F1893">
        <v>650</v>
      </c>
      <c r="G1893">
        <v>53</v>
      </c>
      <c r="H1893" s="6">
        <f t="shared" ref="H1893:H1902" si="138">F1893*G1893/1000</f>
        <v>34.450000000000003</v>
      </c>
    </row>
    <row r="1894" spans="1:8" hidden="1" x14ac:dyDescent="0.3">
      <c r="A1894" s="9">
        <v>45112</v>
      </c>
      <c r="B1894" t="s">
        <v>45</v>
      </c>
      <c r="C1894" t="s">
        <v>20</v>
      </c>
      <c r="D1894" t="s">
        <v>13</v>
      </c>
      <c r="E1894" t="s">
        <v>22</v>
      </c>
      <c r="F1894">
        <v>930</v>
      </c>
      <c r="G1894">
        <v>43</v>
      </c>
      <c r="H1894" s="6">
        <f t="shared" si="138"/>
        <v>39.99</v>
      </c>
    </row>
    <row r="1895" spans="1:8" hidden="1" x14ac:dyDescent="0.3">
      <c r="A1895" s="9">
        <v>45112</v>
      </c>
      <c r="B1895" t="s">
        <v>12</v>
      </c>
      <c r="C1895" t="s">
        <v>9</v>
      </c>
      <c r="D1895" t="s">
        <v>10</v>
      </c>
      <c r="E1895" t="s">
        <v>40</v>
      </c>
      <c r="F1895">
        <v>540</v>
      </c>
      <c r="G1895">
        <v>23</v>
      </c>
      <c r="H1895" s="6">
        <f t="shared" si="138"/>
        <v>12.42</v>
      </c>
    </row>
    <row r="1896" spans="1:8" hidden="1" x14ac:dyDescent="0.3">
      <c r="A1896" s="9">
        <v>45112</v>
      </c>
      <c r="B1896" t="s">
        <v>8</v>
      </c>
      <c r="C1896" t="s">
        <v>9</v>
      </c>
      <c r="D1896" t="s">
        <v>18</v>
      </c>
      <c r="E1896" t="s">
        <v>27</v>
      </c>
      <c r="F1896">
        <v>460</v>
      </c>
      <c r="G1896">
        <v>26</v>
      </c>
      <c r="H1896" s="6">
        <f t="shared" si="138"/>
        <v>11.96</v>
      </c>
    </row>
    <row r="1897" spans="1:8" hidden="1" x14ac:dyDescent="0.3">
      <c r="A1897" s="9">
        <v>45112</v>
      </c>
      <c r="B1897" t="s">
        <v>8</v>
      </c>
      <c r="C1897" t="s">
        <v>9</v>
      </c>
      <c r="D1897" t="s">
        <v>24</v>
      </c>
      <c r="E1897" t="s">
        <v>32</v>
      </c>
      <c r="F1897">
        <v>1505</v>
      </c>
      <c r="G1897">
        <v>63</v>
      </c>
      <c r="H1897" s="6">
        <f t="shared" si="138"/>
        <v>94.814999999999998</v>
      </c>
    </row>
    <row r="1898" spans="1:8" hidden="1" x14ac:dyDescent="0.3">
      <c r="A1898" s="9">
        <v>45112</v>
      </c>
      <c r="B1898" t="s">
        <v>45</v>
      </c>
      <c r="C1898" t="s">
        <v>26</v>
      </c>
      <c r="D1898" t="s">
        <v>18</v>
      </c>
      <c r="E1898" t="s">
        <v>28</v>
      </c>
      <c r="F1898">
        <v>690</v>
      </c>
      <c r="G1898">
        <v>88</v>
      </c>
      <c r="H1898" s="6">
        <f t="shared" si="138"/>
        <v>60.72</v>
      </c>
    </row>
    <row r="1899" spans="1:8" hidden="1" x14ac:dyDescent="0.3">
      <c r="A1899" s="9">
        <v>45112</v>
      </c>
      <c r="B1899" t="s">
        <v>12</v>
      </c>
      <c r="C1899" t="s">
        <v>26</v>
      </c>
      <c r="D1899" t="s">
        <v>13</v>
      </c>
      <c r="E1899" t="s">
        <v>14</v>
      </c>
      <c r="F1899">
        <v>1320</v>
      </c>
      <c r="G1899">
        <v>18</v>
      </c>
      <c r="H1899" s="6">
        <f t="shared" si="138"/>
        <v>23.76</v>
      </c>
    </row>
    <row r="1900" spans="1:8" hidden="1" x14ac:dyDescent="0.3">
      <c r="A1900" s="9">
        <v>45112</v>
      </c>
      <c r="B1900" t="s">
        <v>17</v>
      </c>
      <c r="C1900" t="s">
        <v>15</v>
      </c>
      <c r="D1900" t="s">
        <v>24</v>
      </c>
      <c r="E1900" t="s">
        <v>30</v>
      </c>
      <c r="F1900">
        <v>2970</v>
      </c>
      <c r="G1900">
        <v>46</v>
      </c>
      <c r="H1900" s="6">
        <f t="shared" si="138"/>
        <v>136.62</v>
      </c>
    </row>
    <row r="1901" spans="1:8" hidden="1" x14ac:dyDescent="0.3">
      <c r="A1901" s="9">
        <v>45112</v>
      </c>
      <c r="B1901" t="s">
        <v>8</v>
      </c>
      <c r="C1901" t="s">
        <v>33</v>
      </c>
      <c r="D1901" t="s">
        <v>24</v>
      </c>
      <c r="E1901" t="s">
        <v>36</v>
      </c>
      <c r="F1901">
        <v>2460</v>
      </c>
      <c r="G1901">
        <v>25</v>
      </c>
      <c r="H1901" s="6">
        <f t="shared" si="138"/>
        <v>61.5</v>
      </c>
    </row>
    <row r="1902" spans="1:8" hidden="1" x14ac:dyDescent="0.3">
      <c r="A1902" s="9">
        <v>45112</v>
      </c>
      <c r="B1902" t="s">
        <v>12</v>
      </c>
      <c r="C1902" t="s">
        <v>35</v>
      </c>
      <c r="D1902" t="s">
        <v>13</v>
      </c>
      <c r="E1902" t="s">
        <v>14</v>
      </c>
      <c r="F1902">
        <v>1320</v>
      </c>
      <c r="G1902">
        <v>68</v>
      </c>
      <c r="H1902" s="6">
        <f t="shared" si="138"/>
        <v>89.76</v>
      </c>
    </row>
    <row r="1903" spans="1:8" hidden="1" x14ac:dyDescent="0.3">
      <c r="A1903" s="13" t="s">
        <v>200</v>
      </c>
      <c r="H1903" s="6">
        <f>SUBTOTAL(9,H1893:H1902)</f>
        <v>0</v>
      </c>
    </row>
    <row r="1904" spans="1:8" hidden="1" x14ac:dyDescent="0.3">
      <c r="A1904" s="9">
        <v>45113</v>
      </c>
      <c r="B1904" t="s">
        <v>12</v>
      </c>
      <c r="C1904" t="s">
        <v>20</v>
      </c>
      <c r="D1904" t="s">
        <v>10</v>
      </c>
      <c r="E1904" t="s">
        <v>23</v>
      </c>
      <c r="F1904">
        <v>640</v>
      </c>
      <c r="G1904">
        <v>17</v>
      </c>
      <c r="H1904" s="6">
        <f t="shared" ref="H1904:H1912" si="139">F1904*G1904/1000</f>
        <v>10.88</v>
      </c>
    </row>
    <row r="1905" spans="1:8" hidden="1" x14ac:dyDescent="0.3">
      <c r="A1905" s="9">
        <v>45113</v>
      </c>
      <c r="B1905" t="s">
        <v>12</v>
      </c>
      <c r="C1905" t="s">
        <v>20</v>
      </c>
      <c r="D1905" t="s">
        <v>10</v>
      </c>
      <c r="E1905" t="s">
        <v>39</v>
      </c>
      <c r="F1905">
        <v>650</v>
      </c>
      <c r="G1905">
        <v>23</v>
      </c>
      <c r="H1905" s="6">
        <f t="shared" si="139"/>
        <v>14.95</v>
      </c>
    </row>
    <row r="1906" spans="1:8" hidden="1" x14ac:dyDescent="0.3">
      <c r="A1906" s="9">
        <v>45113</v>
      </c>
      <c r="B1906" t="s">
        <v>17</v>
      </c>
      <c r="C1906" t="s">
        <v>20</v>
      </c>
      <c r="D1906" t="s">
        <v>24</v>
      </c>
      <c r="E1906" t="s">
        <v>25</v>
      </c>
      <c r="F1906">
        <v>1760</v>
      </c>
      <c r="G1906">
        <v>15</v>
      </c>
      <c r="H1906" s="6">
        <f t="shared" si="139"/>
        <v>26.4</v>
      </c>
    </row>
    <row r="1907" spans="1:8" hidden="1" x14ac:dyDescent="0.3">
      <c r="A1907" s="9">
        <v>45113</v>
      </c>
      <c r="B1907" t="s">
        <v>8</v>
      </c>
      <c r="C1907" t="s">
        <v>9</v>
      </c>
      <c r="D1907" t="s">
        <v>10</v>
      </c>
      <c r="E1907" t="s">
        <v>11</v>
      </c>
      <c r="F1907">
        <v>705</v>
      </c>
      <c r="G1907">
        <v>27</v>
      </c>
      <c r="H1907" s="6">
        <f t="shared" si="139"/>
        <v>19.035</v>
      </c>
    </row>
    <row r="1908" spans="1:8" hidden="1" x14ac:dyDescent="0.3">
      <c r="A1908" s="9">
        <v>45113</v>
      </c>
      <c r="B1908" t="s">
        <v>12</v>
      </c>
      <c r="C1908" t="s">
        <v>26</v>
      </c>
      <c r="D1908" t="s">
        <v>10</v>
      </c>
      <c r="E1908" t="s">
        <v>16</v>
      </c>
      <c r="F1908">
        <v>1380</v>
      </c>
      <c r="G1908">
        <v>43</v>
      </c>
      <c r="H1908" s="6">
        <f t="shared" si="139"/>
        <v>59.34</v>
      </c>
    </row>
    <row r="1909" spans="1:8" hidden="1" x14ac:dyDescent="0.3">
      <c r="A1909" s="9">
        <v>45113</v>
      </c>
      <c r="B1909" t="s">
        <v>17</v>
      </c>
      <c r="C1909" t="s">
        <v>33</v>
      </c>
      <c r="D1909" t="s">
        <v>18</v>
      </c>
      <c r="E1909" t="s">
        <v>21</v>
      </c>
      <c r="F1909">
        <v>450</v>
      </c>
      <c r="G1909">
        <v>8</v>
      </c>
      <c r="H1909" s="6">
        <f t="shared" si="139"/>
        <v>3.6</v>
      </c>
    </row>
    <row r="1910" spans="1:8" hidden="1" x14ac:dyDescent="0.3">
      <c r="A1910" s="9">
        <v>45113</v>
      </c>
      <c r="B1910" t="s">
        <v>17</v>
      </c>
      <c r="C1910" t="s">
        <v>33</v>
      </c>
      <c r="D1910" t="s">
        <v>18</v>
      </c>
      <c r="E1910" t="s">
        <v>27</v>
      </c>
      <c r="F1910">
        <v>460</v>
      </c>
      <c r="G1910">
        <v>15</v>
      </c>
      <c r="H1910" s="6">
        <f t="shared" si="139"/>
        <v>6.9</v>
      </c>
    </row>
    <row r="1911" spans="1:8" hidden="1" x14ac:dyDescent="0.3">
      <c r="A1911" s="9">
        <v>45113</v>
      </c>
      <c r="B1911" t="s">
        <v>8</v>
      </c>
      <c r="C1911" t="s">
        <v>33</v>
      </c>
      <c r="D1911" t="s">
        <v>13</v>
      </c>
      <c r="E1911" t="s">
        <v>43</v>
      </c>
      <c r="F1911">
        <v>1420</v>
      </c>
      <c r="G1911">
        <v>71</v>
      </c>
      <c r="H1911" s="6">
        <f t="shared" si="139"/>
        <v>100.82</v>
      </c>
    </row>
    <row r="1912" spans="1:8" hidden="1" x14ac:dyDescent="0.3">
      <c r="A1912" s="9">
        <v>45113</v>
      </c>
      <c r="B1912" t="s">
        <v>17</v>
      </c>
      <c r="C1912" t="s">
        <v>35</v>
      </c>
      <c r="D1912" t="s">
        <v>10</v>
      </c>
      <c r="E1912" t="s">
        <v>11</v>
      </c>
      <c r="F1912">
        <v>705</v>
      </c>
      <c r="G1912">
        <v>83</v>
      </c>
      <c r="H1912" s="6">
        <f t="shared" si="139"/>
        <v>58.515000000000001</v>
      </c>
    </row>
    <row r="1913" spans="1:8" hidden="1" x14ac:dyDescent="0.3">
      <c r="A1913" s="13" t="s">
        <v>201</v>
      </c>
      <c r="H1913" s="6">
        <f>SUBTOTAL(9,H1904:H1912)</f>
        <v>0</v>
      </c>
    </row>
    <row r="1914" spans="1:8" hidden="1" x14ac:dyDescent="0.3">
      <c r="A1914" s="9">
        <v>45114</v>
      </c>
      <c r="B1914" t="s">
        <v>45</v>
      </c>
      <c r="C1914" t="s">
        <v>9</v>
      </c>
      <c r="D1914" t="s">
        <v>10</v>
      </c>
      <c r="E1914" t="s">
        <v>40</v>
      </c>
      <c r="F1914">
        <v>540</v>
      </c>
      <c r="G1914">
        <v>19</v>
      </c>
      <c r="H1914" s="6">
        <f t="shared" ref="H1914:H1923" si="140">F1914*G1914/1000</f>
        <v>10.26</v>
      </c>
    </row>
    <row r="1915" spans="1:8" hidden="1" x14ac:dyDescent="0.3">
      <c r="A1915" s="9">
        <v>45114</v>
      </c>
      <c r="B1915" t="s">
        <v>12</v>
      </c>
      <c r="C1915" t="s">
        <v>9</v>
      </c>
      <c r="D1915" t="s">
        <v>24</v>
      </c>
      <c r="E1915" t="s">
        <v>42</v>
      </c>
      <c r="F1915">
        <v>3205</v>
      </c>
      <c r="G1915">
        <v>96</v>
      </c>
      <c r="H1915" s="6">
        <f t="shared" si="140"/>
        <v>307.68</v>
      </c>
    </row>
    <row r="1916" spans="1:8" hidden="1" x14ac:dyDescent="0.3">
      <c r="A1916" s="9">
        <v>45114</v>
      </c>
      <c r="B1916" t="s">
        <v>17</v>
      </c>
      <c r="C1916" t="s">
        <v>26</v>
      </c>
      <c r="D1916" t="s">
        <v>10</v>
      </c>
      <c r="E1916" t="s">
        <v>11</v>
      </c>
      <c r="F1916">
        <v>705</v>
      </c>
      <c r="G1916">
        <v>83</v>
      </c>
      <c r="H1916" s="6">
        <f t="shared" si="140"/>
        <v>58.515000000000001</v>
      </c>
    </row>
    <row r="1917" spans="1:8" hidden="1" x14ac:dyDescent="0.3">
      <c r="A1917" s="9">
        <v>45114</v>
      </c>
      <c r="B1917" t="s">
        <v>12</v>
      </c>
      <c r="C1917" t="s">
        <v>15</v>
      </c>
      <c r="D1917" t="s">
        <v>18</v>
      </c>
      <c r="E1917" t="s">
        <v>19</v>
      </c>
      <c r="F1917">
        <v>325</v>
      </c>
      <c r="G1917">
        <v>32</v>
      </c>
      <c r="H1917" s="6">
        <f t="shared" si="140"/>
        <v>10.4</v>
      </c>
    </row>
    <row r="1918" spans="1:8" hidden="1" x14ac:dyDescent="0.3">
      <c r="A1918" s="9">
        <v>45114</v>
      </c>
      <c r="B1918" t="s">
        <v>8</v>
      </c>
      <c r="C1918" t="s">
        <v>15</v>
      </c>
      <c r="D1918" t="s">
        <v>24</v>
      </c>
      <c r="E1918" t="s">
        <v>42</v>
      </c>
      <c r="F1918">
        <v>3205</v>
      </c>
      <c r="G1918">
        <v>88</v>
      </c>
      <c r="H1918" s="6">
        <f t="shared" si="140"/>
        <v>282.04000000000002</v>
      </c>
    </row>
    <row r="1919" spans="1:8" hidden="1" x14ac:dyDescent="0.3">
      <c r="A1919" s="9">
        <v>45114</v>
      </c>
      <c r="B1919" t="s">
        <v>45</v>
      </c>
      <c r="C1919" t="s">
        <v>33</v>
      </c>
      <c r="D1919" t="s">
        <v>10</v>
      </c>
      <c r="E1919" t="s">
        <v>16</v>
      </c>
      <c r="F1919">
        <v>1380</v>
      </c>
      <c r="G1919">
        <v>29</v>
      </c>
      <c r="H1919" s="6">
        <f t="shared" si="140"/>
        <v>40.020000000000003</v>
      </c>
    </row>
    <row r="1920" spans="1:8" hidden="1" x14ac:dyDescent="0.3">
      <c r="A1920" s="9">
        <v>45114</v>
      </c>
      <c r="B1920" t="s">
        <v>45</v>
      </c>
      <c r="C1920" t="s">
        <v>33</v>
      </c>
      <c r="D1920" t="s">
        <v>13</v>
      </c>
      <c r="E1920" t="s">
        <v>22</v>
      </c>
      <c r="F1920">
        <v>930</v>
      </c>
      <c r="G1920">
        <v>18</v>
      </c>
      <c r="H1920" s="6">
        <f t="shared" si="140"/>
        <v>16.739999999999998</v>
      </c>
    </row>
    <row r="1921" spans="1:8" hidden="1" x14ac:dyDescent="0.3">
      <c r="A1921" s="9">
        <v>45114</v>
      </c>
      <c r="B1921" t="s">
        <v>8</v>
      </c>
      <c r="C1921" t="s">
        <v>35</v>
      </c>
      <c r="D1921" t="s">
        <v>10</v>
      </c>
      <c r="E1921" t="s">
        <v>16</v>
      </c>
      <c r="F1921">
        <v>1380</v>
      </c>
      <c r="G1921">
        <v>63</v>
      </c>
      <c r="H1921" s="6">
        <f t="shared" si="140"/>
        <v>86.94</v>
      </c>
    </row>
    <row r="1922" spans="1:8" hidden="1" x14ac:dyDescent="0.3">
      <c r="A1922" s="9">
        <v>45114</v>
      </c>
      <c r="B1922" t="s">
        <v>8</v>
      </c>
      <c r="C1922" t="s">
        <v>35</v>
      </c>
      <c r="D1922" t="s">
        <v>10</v>
      </c>
      <c r="E1922" t="s">
        <v>40</v>
      </c>
      <c r="F1922">
        <v>540</v>
      </c>
      <c r="G1922">
        <v>21</v>
      </c>
      <c r="H1922" s="6">
        <f t="shared" si="140"/>
        <v>11.34</v>
      </c>
    </row>
    <row r="1923" spans="1:8" hidden="1" x14ac:dyDescent="0.3">
      <c r="A1923" s="9">
        <v>45114</v>
      </c>
      <c r="B1923" t="s">
        <v>8</v>
      </c>
      <c r="C1923" t="s">
        <v>35</v>
      </c>
      <c r="D1923" t="s">
        <v>13</v>
      </c>
      <c r="E1923" t="s">
        <v>22</v>
      </c>
      <c r="F1923">
        <v>930</v>
      </c>
      <c r="G1923">
        <v>70</v>
      </c>
      <c r="H1923" s="6">
        <f t="shared" si="140"/>
        <v>65.099999999999994</v>
      </c>
    </row>
    <row r="1924" spans="1:8" hidden="1" x14ac:dyDescent="0.3">
      <c r="A1924" s="13" t="s">
        <v>202</v>
      </c>
      <c r="H1924" s="6">
        <f>SUBTOTAL(9,H1914:H1923)</f>
        <v>0</v>
      </c>
    </row>
    <row r="1925" spans="1:8" hidden="1" x14ac:dyDescent="0.3">
      <c r="A1925" s="9">
        <v>45115</v>
      </c>
      <c r="B1925" t="s">
        <v>8</v>
      </c>
      <c r="C1925" t="s">
        <v>20</v>
      </c>
      <c r="D1925" t="s">
        <v>10</v>
      </c>
      <c r="E1925" t="s">
        <v>40</v>
      </c>
      <c r="F1925">
        <v>540</v>
      </c>
      <c r="G1925">
        <v>12</v>
      </c>
      <c r="H1925" s="6">
        <f t="shared" ref="H1925:H1933" si="141">F1925*G1925/1000</f>
        <v>6.48</v>
      </c>
    </row>
    <row r="1926" spans="1:8" hidden="1" x14ac:dyDescent="0.3">
      <c r="A1926" s="9">
        <v>45115</v>
      </c>
      <c r="B1926" t="s">
        <v>17</v>
      </c>
      <c r="C1926" t="s">
        <v>20</v>
      </c>
      <c r="D1926" t="s">
        <v>24</v>
      </c>
      <c r="E1926" t="s">
        <v>32</v>
      </c>
      <c r="F1926">
        <v>1505</v>
      </c>
      <c r="G1926">
        <v>40</v>
      </c>
      <c r="H1926" s="6">
        <f t="shared" si="141"/>
        <v>60.2</v>
      </c>
    </row>
    <row r="1927" spans="1:8" hidden="1" x14ac:dyDescent="0.3">
      <c r="A1927" s="9">
        <v>45115</v>
      </c>
      <c r="B1927" t="s">
        <v>8</v>
      </c>
      <c r="C1927" t="s">
        <v>9</v>
      </c>
      <c r="D1927" t="s">
        <v>24</v>
      </c>
      <c r="E1927" t="s">
        <v>30</v>
      </c>
      <c r="F1927">
        <v>2970</v>
      </c>
      <c r="G1927">
        <v>85</v>
      </c>
      <c r="H1927" s="6">
        <f t="shared" si="141"/>
        <v>252.45</v>
      </c>
    </row>
    <row r="1928" spans="1:8" hidden="1" x14ac:dyDescent="0.3">
      <c r="A1928" s="9">
        <v>45115</v>
      </c>
      <c r="B1928" t="s">
        <v>8</v>
      </c>
      <c r="C1928" t="s">
        <v>26</v>
      </c>
      <c r="D1928" t="s">
        <v>13</v>
      </c>
      <c r="E1928" t="s">
        <v>38</v>
      </c>
      <c r="F1928">
        <v>2400</v>
      </c>
      <c r="G1928">
        <v>47</v>
      </c>
      <c r="H1928" s="6">
        <f t="shared" si="141"/>
        <v>112.8</v>
      </c>
    </row>
    <row r="1929" spans="1:8" hidden="1" x14ac:dyDescent="0.3">
      <c r="A1929" s="9">
        <v>45115</v>
      </c>
      <c r="B1929" t="s">
        <v>17</v>
      </c>
      <c r="C1929" t="s">
        <v>15</v>
      </c>
      <c r="D1929" t="s">
        <v>13</v>
      </c>
      <c r="E1929" t="s">
        <v>14</v>
      </c>
      <c r="F1929">
        <v>1320</v>
      </c>
      <c r="G1929">
        <v>47</v>
      </c>
      <c r="H1929" s="6">
        <f t="shared" si="141"/>
        <v>62.04</v>
      </c>
    </row>
    <row r="1930" spans="1:8" hidden="1" x14ac:dyDescent="0.3">
      <c r="A1930" s="9">
        <v>45115</v>
      </c>
      <c r="B1930" t="s">
        <v>45</v>
      </c>
      <c r="C1930" t="s">
        <v>33</v>
      </c>
      <c r="D1930" t="s">
        <v>18</v>
      </c>
      <c r="E1930" t="s">
        <v>28</v>
      </c>
      <c r="F1930">
        <v>690</v>
      </c>
      <c r="G1930">
        <v>12</v>
      </c>
      <c r="H1930" s="6">
        <f t="shared" si="141"/>
        <v>8.2799999999999994</v>
      </c>
    </row>
    <row r="1931" spans="1:8" hidden="1" x14ac:dyDescent="0.3">
      <c r="A1931" s="9">
        <v>45115</v>
      </c>
      <c r="B1931" t="s">
        <v>8</v>
      </c>
      <c r="C1931" t="s">
        <v>33</v>
      </c>
      <c r="D1931" t="s">
        <v>24</v>
      </c>
      <c r="E1931" t="s">
        <v>42</v>
      </c>
      <c r="F1931">
        <v>3205</v>
      </c>
      <c r="G1931">
        <v>50</v>
      </c>
      <c r="H1931" s="6">
        <f t="shared" si="141"/>
        <v>160.25</v>
      </c>
    </row>
    <row r="1932" spans="1:8" hidden="1" x14ac:dyDescent="0.3">
      <c r="A1932" s="9">
        <v>45115</v>
      </c>
      <c r="B1932" t="s">
        <v>45</v>
      </c>
      <c r="C1932" t="s">
        <v>35</v>
      </c>
      <c r="D1932" t="s">
        <v>18</v>
      </c>
      <c r="E1932" t="s">
        <v>27</v>
      </c>
      <c r="F1932">
        <v>460</v>
      </c>
      <c r="G1932">
        <v>82</v>
      </c>
      <c r="H1932" s="6">
        <f t="shared" si="141"/>
        <v>37.72</v>
      </c>
    </row>
    <row r="1933" spans="1:8" hidden="1" x14ac:dyDescent="0.3">
      <c r="A1933" s="9">
        <v>45115</v>
      </c>
      <c r="B1933" t="s">
        <v>17</v>
      </c>
      <c r="C1933" t="s">
        <v>35</v>
      </c>
      <c r="D1933" t="s">
        <v>24</v>
      </c>
      <c r="E1933" t="s">
        <v>30</v>
      </c>
      <c r="F1933">
        <v>2970</v>
      </c>
      <c r="G1933">
        <v>42</v>
      </c>
      <c r="H1933" s="6">
        <f t="shared" si="141"/>
        <v>124.74</v>
      </c>
    </row>
    <row r="1934" spans="1:8" hidden="1" x14ac:dyDescent="0.3">
      <c r="A1934" s="13" t="s">
        <v>203</v>
      </c>
      <c r="H1934" s="6">
        <f>SUBTOTAL(9,H1925:H1933)</f>
        <v>0</v>
      </c>
    </row>
    <row r="1935" spans="1:8" hidden="1" x14ac:dyDescent="0.3">
      <c r="A1935" s="9">
        <v>45116</v>
      </c>
      <c r="B1935" t="s">
        <v>12</v>
      </c>
      <c r="C1935" t="s">
        <v>20</v>
      </c>
      <c r="D1935" t="s">
        <v>13</v>
      </c>
      <c r="E1935" t="s">
        <v>14</v>
      </c>
      <c r="F1935">
        <v>1320</v>
      </c>
      <c r="G1935">
        <v>93</v>
      </c>
      <c r="H1935" s="6">
        <f t="shared" ref="H1935:H1944" si="142">F1935*G1935/1000</f>
        <v>122.76</v>
      </c>
    </row>
    <row r="1936" spans="1:8" hidden="1" x14ac:dyDescent="0.3">
      <c r="A1936" s="9">
        <v>45116</v>
      </c>
      <c r="B1936" t="s">
        <v>12</v>
      </c>
      <c r="C1936" t="s">
        <v>20</v>
      </c>
      <c r="D1936" t="s">
        <v>13</v>
      </c>
      <c r="E1936" t="s">
        <v>38</v>
      </c>
      <c r="F1936">
        <v>2400</v>
      </c>
      <c r="G1936">
        <v>100</v>
      </c>
      <c r="H1936" s="6">
        <f t="shared" si="142"/>
        <v>240</v>
      </c>
    </row>
    <row r="1937" spans="1:8" hidden="1" x14ac:dyDescent="0.3">
      <c r="A1937" s="9">
        <v>45116</v>
      </c>
      <c r="B1937" t="s">
        <v>17</v>
      </c>
      <c r="C1937" t="s">
        <v>9</v>
      </c>
      <c r="D1937" t="s">
        <v>18</v>
      </c>
      <c r="E1937" t="s">
        <v>37</v>
      </c>
      <c r="F1937">
        <v>890</v>
      </c>
      <c r="G1937">
        <v>26</v>
      </c>
      <c r="H1937" s="6">
        <f t="shared" si="142"/>
        <v>23.14</v>
      </c>
    </row>
    <row r="1938" spans="1:8" hidden="1" x14ac:dyDescent="0.3">
      <c r="A1938" s="9">
        <v>45116</v>
      </c>
      <c r="B1938" t="s">
        <v>8</v>
      </c>
      <c r="C1938" t="s">
        <v>26</v>
      </c>
      <c r="D1938" t="s">
        <v>13</v>
      </c>
      <c r="E1938" t="s">
        <v>44</v>
      </c>
      <c r="F1938">
        <v>2540</v>
      </c>
      <c r="G1938">
        <v>50</v>
      </c>
      <c r="H1938" s="6">
        <f t="shared" si="142"/>
        <v>127</v>
      </c>
    </row>
    <row r="1939" spans="1:8" hidden="1" x14ac:dyDescent="0.3">
      <c r="A1939" s="9">
        <v>45116</v>
      </c>
      <c r="B1939" t="s">
        <v>17</v>
      </c>
      <c r="C1939" t="s">
        <v>26</v>
      </c>
      <c r="D1939" t="s">
        <v>24</v>
      </c>
      <c r="E1939" t="s">
        <v>32</v>
      </c>
      <c r="F1939">
        <v>1505</v>
      </c>
      <c r="G1939">
        <v>13</v>
      </c>
      <c r="H1939" s="6">
        <f t="shared" si="142"/>
        <v>19.565000000000001</v>
      </c>
    </row>
    <row r="1940" spans="1:8" hidden="1" x14ac:dyDescent="0.3">
      <c r="A1940" s="9">
        <v>45116</v>
      </c>
      <c r="B1940" t="s">
        <v>17</v>
      </c>
      <c r="C1940" t="s">
        <v>15</v>
      </c>
      <c r="D1940" t="s">
        <v>10</v>
      </c>
      <c r="E1940" t="s">
        <v>41</v>
      </c>
      <c r="F1940">
        <v>650</v>
      </c>
      <c r="G1940">
        <v>79</v>
      </c>
      <c r="H1940" s="6">
        <f t="shared" si="142"/>
        <v>51.35</v>
      </c>
    </row>
    <row r="1941" spans="1:8" hidden="1" x14ac:dyDescent="0.3">
      <c r="A1941" s="9">
        <v>45116</v>
      </c>
      <c r="B1941" t="s">
        <v>45</v>
      </c>
      <c r="C1941" t="s">
        <v>15</v>
      </c>
      <c r="D1941" t="s">
        <v>13</v>
      </c>
      <c r="E1941" t="s">
        <v>14</v>
      </c>
      <c r="F1941">
        <v>1320</v>
      </c>
      <c r="G1941">
        <v>58</v>
      </c>
      <c r="H1941" s="6">
        <f t="shared" si="142"/>
        <v>76.56</v>
      </c>
    </row>
    <row r="1942" spans="1:8" hidden="1" x14ac:dyDescent="0.3">
      <c r="A1942" s="9">
        <v>45116</v>
      </c>
      <c r="B1942" t="s">
        <v>45</v>
      </c>
      <c r="C1942" t="s">
        <v>15</v>
      </c>
      <c r="D1942" t="s">
        <v>13</v>
      </c>
      <c r="E1942" t="s">
        <v>22</v>
      </c>
      <c r="F1942">
        <v>930</v>
      </c>
      <c r="G1942">
        <v>42</v>
      </c>
      <c r="H1942" s="6">
        <f t="shared" si="142"/>
        <v>39.06</v>
      </c>
    </row>
    <row r="1943" spans="1:8" hidden="1" x14ac:dyDescent="0.3">
      <c r="A1943" s="9">
        <v>45116</v>
      </c>
      <c r="B1943" t="s">
        <v>8</v>
      </c>
      <c r="C1943" t="s">
        <v>35</v>
      </c>
      <c r="D1943" t="s">
        <v>10</v>
      </c>
      <c r="E1943" t="s">
        <v>39</v>
      </c>
      <c r="F1943">
        <v>650</v>
      </c>
      <c r="G1943">
        <v>54</v>
      </c>
      <c r="H1943" s="6">
        <f t="shared" si="142"/>
        <v>35.1</v>
      </c>
    </row>
    <row r="1944" spans="1:8" hidden="1" x14ac:dyDescent="0.3">
      <c r="A1944" s="9">
        <v>45116</v>
      </c>
      <c r="B1944" t="s">
        <v>12</v>
      </c>
      <c r="C1944" t="s">
        <v>35</v>
      </c>
      <c r="D1944" t="s">
        <v>13</v>
      </c>
      <c r="E1944" t="s">
        <v>38</v>
      </c>
      <c r="F1944">
        <v>2400</v>
      </c>
      <c r="G1944">
        <v>81</v>
      </c>
      <c r="H1944" s="6">
        <f t="shared" si="142"/>
        <v>194.4</v>
      </c>
    </row>
    <row r="1945" spans="1:8" hidden="1" x14ac:dyDescent="0.3">
      <c r="A1945" s="13" t="s">
        <v>204</v>
      </c>
      <c r="H1945" s="6">
        <f>SUBTOTAL(9,H1935:H1944)</f>
        <v>0</v>
      </c>
    </row>
    <row r="1946" spans="1:8" hidden="1" x14ac:dyDescent="0.3">
      <c r="A1946" s="9">
        <v>45117</v>
      </c>
      <c r="B1946" t="s">
        <v>45</v>
      </c>
      <c r="C1946" t="s">
        <v>20</v>
      </c>
      <c r="D1946" t="s">
        <v>24</v>
      </c>
      <c r="E1946" t="s">
        <v>42</v>
      </c>
      <c r="F1946">
        <v>3205</v>
      </c>
      <c r="G1946">
        <v>35</v>
      </c>
      <c r="H1946" s="6">
        <f t="shared" ref="H1946:H1956" si="143">F1946*G1946/1000</f>
        <v>112.175</v>
      </c>
    </row>
    <row r="1947" spans="1:8" hidden="1" x14ac:dyDescent="0.3">
      <c r="A1947" s="9">
        <v>45117</v>
      </c>
      <c r="B1947" t="s">
        <v>17</v>
      </c>
      <c r="C1947" t="s">
        <v>26</v>
      </c>
      <c r="D1947" t="s">
        <v>18</v>
      </c>
      <c r="E1947" t="s">
        <v>27</v>
      </c>
      <c r="F1947">
        <v>460</v>
      </c>
      <c r="G1947">
        <v>14</v>
      </c>
      <c r="H1947" s="6">
        <f t="shared" si="143"/>
        <v>6.44</v>
      </c>
    </row>
    <row r="1948" spans="1:8" hidden="1" x14ac:dyDescent="0.3">
      <c r="A1948" s="9">
        <v>45117</v>
      </c>
      <c r="B1948" t="s">
        <v>12</v>
      </c>
      <c r="C1948" t="s">
        <v>15</v>
      </c>
      <c r="D1948" t="s">
        <v>18</v>
      </c>
      <c r="E1948" t="s">
        <v>21</v>
      </c>
      <c r="F1948">
        <v>450</v>
      </c>
      <c r="G1948">
        <v>87</v>
      </c>
      <c r="H1948" s="6">
        <f t="shared" si="143"/>
        <v>39.15</v>
      </c>
    </row>
    <row r="1949" spans="1:8" hidden="1" x14ac:dyDescent="0.3">
      <c r="A1949" s="9">
        <v>45117</v>
      </c>
      <c r="B1949" t="s">
        <v>12</v>
      </c>
      <c r="C1949" t="s">
        <v>15</v>
      </c>
      <c r="D1949" t="s">
        <v>13</v>
      </c>
      <c r="E1949" t="s">
        <v>29</v>
      </c>
      <c r="F1949">
        <v>1230</v>
      </c>
      <c r="G1949">
        <v>66</v>
      </c>
      <c r="H1949" s="6">
        <f t="shared" si="143"/>
        <v>81.180000000000007</v>
      </c>
    </row>
    <row r="1950" spans="1:8" hidden="1" x14ac:dyDescent="0.3">
      <c r="A1950" s="9">
        <v>45117</v>
      </c>
      <c r="B1950" t="s">
        <v>45</v>
      </c>
      <c r="C1950" t="s">
        <v>33</v>
      </c>
      <c r="D1950" t="s">
        <v>18</v>
      </c>
      <c r="E1950" t="s">
        <v>28</v>
      </c>
      <c r="F1950">
        <v>690</v>
      </c>
      <c r="G1950">
        <v>23</v>
      </c>
      <c r="H1950" s="6">
        <f t="shared" si="143"/>
        <v>15.87</v>
      </c>
    </row>
    <row r="1951" spans="1:8" hidden="1" x14ac:dyDescent="0.3">
      <c r="A1951" s="9">
        <v>45117</v>
      </c>
      <c r="B1951" t="s">
        <v>12</v>
      </c>
      <c r="C1951" t="s">
        <v>33</v>
      </c>
      <c r="D1951" t="s">
        <v>18</v>
      </c>
      <c r="E1951" t="s">
        <v>28</v>
      </c>
      <c r="F1951">
        <v>690</v>
      </c>
      <c r="G1951">
        <v>38</v>
      </c>
      <c r="H1951" s="6">
        <f t="shared" si="143"/>
        <v>26.22</v>
      </c>
    </row>
    <row r="1952" spans="1:8" hidden="1" x14ac:dyDescent="0.3">
      <c r="A1952" s="9">
        <v>45117</v>
      </c>
      <c r="B1952" t="s">
        <v>17</v>
      </c>
      <c r="C1952" t="s">
        <v>33</v>
      </c>
      <c r="D1952" t="s">
        <v>13</v>
      </c>
      <c r="E1952" t="s">
        <v>14</v>
      </c>
      <c r="F1952">
        <v>1320</v>
      </c>
      <c r="G1952">
        <v>15</v>
      </c>
      <c r="H1952" s="6">
        <f t="shared" si="143"/>
        <v>19.8</v>
      </c>
    </row>
    <row r="1953" spans="1:8" hidden="1" x14ac:dyDescent="0.3">
      <c r="A1953" s="9">
        <v>45117</v>
      </c>
      <c r="B1953" t="s">
        <v>45</v>
      </c>
      <c r="C1953" t="s">
        <v>35</v>
      </c>
      <c r="D1953" t="s">
        <v>10</v>
      </c>
      <c r="E1953" t="s">
        <v>11</v>
      </c>
      <c r="F1953">
        <v>705</v>
      </c>
      <c r="G1953">
        <v>46</v>
      </c>
      <c r="H1953" s="6">
        <f t="shared" si="143"/>
        <v>32.43</v>
      </c>
    </row>
    <row r="1954" spans="1:8" hidden="1" x14ac:dyDescent="0.3">
      <c r="A1954" s="9">
        <v>45117</v>
      </c>
      <c r="B1954" t="s">
        <v>12</v>
      </c>
      <c r="C1954" t="s">
        <v>35</v>
      </c>
      <c r="D1954" t="s">
        <v>10</v>
      </c>
      <c r="E1954" t="s">
        <v>41</v>
      </c>
      <c r="F1954">
        <v>650</v>
      </c>
      <c r="G1954">
        <v>36</v>
      </c>
      <c r="H1954" s="6">
        <f t="shared" si="143"/>
        <v>23.4</v>
      </c>
    </row>
    <row r="1955" spans="1:8" hidden="1" x14ac:dyDescent="0.3">
      <c r="A1955" s="9">
        <v>45117</v>
      </c>
      <c r="B1955" t="s">
        <v>45</v>
      </c>
      <c r="C1955" t="s">
        <v>35</v>
      </c>
      <c r="D1955" t="s">
        <v>18</v>
      </c>
      <c r="E1955" t="s">
        <v>19</v>
      </c>
      <c r="F1955">
        <v>325</v>
      </c>
      <c r="G1955">
        <v>38</v>
      </c>
      <c r="H1955" s="6">
        <f t="shared" si="143"/>
        <v>12.35</v>
      </c>
    </row>
    <row r="1956" spans="1:8" hidden="1" x14ac:dyDescent="0.3">
      <c r="A1956" s="9">
        <v>45117</v>
      </c>
      <c r="B1956" t="s">
        <v>8</v>
      </c>
      <c r="C1956" t="s">
        <v>35</v>
      </c>
      <c r="D1956" t="s">
        <v>18</v>
      </c>
      <c r="E1956" t="s">
        <v>37</v>
      </c>
      <c r="F1956">
        <v>890</v>
      </c>
      <c r="G1956">
        <v>66</v>
      </c>
      <c r="H1956" s="6">
        <f t="shared" si="143"/>
        <v>58.74</v>
      </c>
    </row>
    <row r="1957" spans="1:8" hidden="1" x14ac:dyDescent="0.3">
      <c r="A1957" s="13" t="s">
        <v>205</v>
      </c>
      <c r="H1957" s="6">
        <f>SUBTOTAL(9,H1946:H1956)</f>
        <v>0</v>
      </c>
    </row>
    <row r="1958" spans="1:8" hidden="1" x14ac:dyDescent="0.3">
      <c r="A1958" s="9">
        <v>45118</v>
      </c>
      <c r="B1958" t="s">
        <v>45</v>
      </c>
      <c r="C1958" t="s">
        <v>20</v>
      </c>
      <c r="D1958" t="s">
        <v>24</v>
      </c>
      <c r="E1958" t="s">
        <v>30</v>
      </c>
      <c r="F1958">
        <v>2970</v>
      </c>
      <c r="G1958">
        <v>27</v>
      </c>
      <c r="H1958" s="6">
        <f t="shared" ref="H1958:H1964" si="144">F1958*G1958/1000</f>
        <v>80.19</v>
      </c>
    </row>
    <row r="1959" spans="1:8" hidden="1" x14ac:dyDescent="0.3">
      <c r="A1959" s="9">
        <v>45118</v>
      </c>
      <c r="B1959" t="s">
        <v>45</v>
      </c>
      <c r="C1959" t="s">
        <v>9</v>
      </c>
      <c r="D1959" t="s">
        <v>10</v>
      </c>
      <c r="E1959" t="s">
        <v>39</v>
      </c>
      <c r="F1959">
        <v>650</v>
      </c>
      <c r="G1959">
        <v>68</v>
      </c>
      <c r="H1959" s="6">
        <f t="shared" si="144"/>
        <v>44.2</v>
      </c>
    </row>
    <row r="1960" spans="1:8" hidden="1" x14ac:dyDescent="0.3">
      <c r="A1960" s="9">
        <v>45118</v>
      </c>
      <c r="B1960" t="s">
        <v>8</v>
      </c>
      <c r="C1960" t="s">
        <v>9</v>
      </c>
      <c r="D1960" t="s">
        <v>18</v>
      </c>
      <c r="E1960" t="s">
        <v>37</v>
      </c>
      <c r="F1960">
        <v>890</v>
      </c>
      <c r="G1960">
        <v>32</v>
      </c>
      <c r="H1960" s="6">
        <f t="shared" si="144"/>
        <v>28.48</v>
      </c>
    </row>
    <row r="1961" spans="1:8" hidden="1" x14ac:dyDescent="0.3">
      <c r="A1961" s="9">
        <v>45118</v>
      </c>
      <c r="B1961" t="s">
        <v>17</v>
      </c>
      <c r="C1961" t="s">
        <v>15</v>
      </c>
      <c r="D1961" t="s">
        <v>10</v>
      </c>
      <c r="E1961" t="s">
        <v>39</v>
      </c>
      <c r="F1961">
        <v>650</v>
      </c>
      <c r="G1961">
        <v>13</v>
      </c>
      <c r="H1961" s="6">
        <f t="shared" si="144"/>
        <v>8.4499999999999993</v>
      </c>
    </row>
    <row r="1962" spans="1:8" hidden="1" x14ac:dyDescent="0.3">
      <c r="A1962" s="9">
        <v>45118</v>
      </c>
      <c r="B1962" t="s">
        <v>12</v>
      </c>
      <c r="C1962" t="s">
        <v>15</v>
      </c>
      <c r="D1962" t="s">
        <v>10</v>
      </c>
      <c r="E1962" t="s">
        <v>40</v>
      </c>
      <c r="F1962">
        <v>540</v>
      </c>
      <c r="G1962">
        <v>91</v>
      </c>
      <c r="H1962" s="6">
        <f t="shared" si="144"/>
        <v>49.14</v>
      </c>
    </row>
    <row r="1963" spans="1:8" hidden="1" x14ac:dyDescent="0.3">
      <c r="A1963" s="9">
        <v>45118</v>
      </c>
      <c r="B1963" t="s">
        <v>45</v>
      </c>
      <c r="C1963" t="s">
        <v>15</v>
      </c>
      <c r="D1963" t="s">
        <v>24</v>
      </c>
      <c r="E1963" t="s">
        <v>25</v>
      </c>
      <c r="F1963">
        <v>1760</v>
      </c>
      <c r="G1963">
        <v>67</v>
      </c>
      <c r="H1963" s="6">
        <f t="shared" si="144"/>
        <v>117.92</v>
      </c>
    </row>
    <row r="1964" spans="1:8" hidden="1" x14ac:dyDescent="0.3">
      <c r="A1964" s="9">
        <v>45118</v>
      </c>
      <c r="B1964" t="s">
        <v>45</v>
      </c>
      <c r="C1964" t="s">
        <v>33</v>
      </c>
      <c r="D1964" t="s">
        <v>10</v>
      </c>
      <c r="E1964" t="s">
        <v>41</v>
      </c>
      <c r="F1964">
        <v>650</v>
      </c>
      <c r="G1964">
        <v>42</v>
      </c>
      <c r="H1964" s="6">
        <f t="shared" si="144"/>
        <v>27.3</v>
      </c>
    </row>
    <row r="1965" spans="1:8" hidden="1" x14ac:dyDescent="0.3">
      <c r="A1965" s="13" t="s">
        <v>206</v>
      </c>
      <c r="H1965" s="6">
        <f>SUBTOTAL(9,H1958:H1964)</f>
        <v>0</v>
      </c>
    </row>
    <row r="1966" spans="1:8" hidden="1" x14ac:dyDescent="0.3">
      <c r="A1966" s="9">
        <v>45119</v>
      </c>
      <c r="B1966" t="s">
        <v>17</v>
      </c>
      <c r="C1966" t="s">
        <v>20</v>
      </c>
      <c r="D1966" t="s">
        <v>10</v>
      </c>
      <c r="E1966" t="s">
        <v>39</v>
      </c>
      <c r="F1966">
        <v>650</v>
      </c>
      <c r="G1966">
        <v>90</v>
      </c>
      <c r="H1966" s="6">
        <f t="shared" ref="H1966:H1973" si="145">F1966*G1966/1000</f>
        <v>58.5</v>
      </c>
    </row>
    <row r="1967" spans="1:8" hidden="1" x14ac:dyDescent="0.3">
      <c r="A1967" s="9">
        <v>45119</v>
      </c>
      <c r="B1967" t="s">
        <v>17</v>
      </c>
      <c r="C1967" t="s">
        <v>9</v>
      </c>
      <c r="D1967" t="s">
        <v>10</v>
      </c>
      <c r="E1967" t="s">
        <v>39</v>
      </c>
      <c r="F1967">
        <v>650</v>
      </c>
      <c r="G1967">
        <v>41</v>
      </c>
      <c r="H1967" s="6">
        <f t="shared" si="145"/>
        <v>26.65</v>
      </c>
    </row>
    <row r="1968" spans="1:8" hidden="1" x14ac:dyDescent="0.3">
      <c r="A1968" s="9">
        <v>45119</v>
      </c>
      <c r="B1968" t="s">
        <v>12</v>
      </c>
      <c r="C1968" t="s">
        <v>9</v>
      </c>
      <c r="D1968" t="s">
        <v>18</v>
      </c>
      <c r="E1968" t="s">
        <v>28</v>
      </c>
      <c r="F1968">
        <v>690</v>
      </c>
      <c r="G1968">
        <v>51</v>
      </c>
      <c r="H1968" s="6">
        <f t="shared" si="145"/>
        <v>35.19</v>
      </c>
    </row>
    <row r="1969" spans="1:8" hidden="1" x14ac:dyDescent="0.3">
      <c r="A1969" s="9">
        <v>45119</v>
      </c>
      <c r="B1969" t="s">
        <v>8</v>
      </c>
      <c r="C1969" t="s">
        <v>26</v>
      </c>
      <c r="D1969" t="s">
        <v>24</v>
      </c>
      <c r="E1969" t="s">
        <v>34</v>
      </c>
      <c r="F1969">
        <v>1670</v>
      </c>
      <c r="G1969">
        <v>46</v>
      </c>
      <c r="H1969" s="6">
        <f t="shared" si="145"/>
        <v>76.819999999999993</v>
      </c>
    </row>
    <row r="1970" spans="1:8" hidden="1" x14ac:dyDescent="0.3">
      <c r="A1970" s="9">
        <v>45119</v>
      </c>
      <c r="B1970" t="s">
        <v>45</v>
      </c>
      <c r="C1970" t="s">
        <v>15</v>
      </c>
      <c r="D1970" t="s">
        <v>13</v>
      </c>
      <c r="E1970" t="s">
        <v>44</v>
      </c>
      <c r="F1970">
        <v>2540</v>
      </c>
      <c r="G1970">
        <v>15</v>
      </c>
      <c r="H1970" s="6">
        <f t="shared" si="145"/>
        <v>38.1</v>
      </c>
    </row>
    <row r="1971" spans="1:8" hidden="1" x14ac:dyDescent="0.3">
      <c r="A1971" s="9">
        <v>45119</v>
      </c>
      <c r="B1971" t="s">
        <v>45</v>
      </c>
      <c r="C1971" t="s">
        <v>15</v>
      </c>
      <c r="D1971" t="s">
        <v>24</v>
      </c>
      <c r="E1971" t="s">
        <v>34</v>
      </c>
      <c r="F1971">
        <v>1670</v>
      </c>
      <c r="G1971">
        <v>53</v>
      </c>
      <c r="H1971" s="6">
        <f t="shared" si="145"/>
        <v>88.51</v>
      </c>
    </row>
    <row r="1972" spans="1:8" hidden="1" x14ac:dyDescent="0.3">
      <c r="A1972" s="9">
        <v>45119</v>
      </c>
      <c r="B1972" t="s">
        <v>12</v>
      </c>
      <c r="C1972" t="s">
        <v>35</v>
      </c>
      <c r="D1972" t="s">
        <v>18</v>
      </c>
      <c r="E1972" t="s">
        <v>21</v>
      </c>
      <c r="F1972">
        <v>450</v>
      </c>
      <c r="G1972">
        <v>40</v>
      </c>
      <c r="H1972" s="6">
        <f t="shared" si="145"/>
        <v>18</v>
      </c>
    </row>
    <row r="1973" spans="1:8" hidden="1" x14ac:dyDescent="0.3">
      <c r="A1973" s="9">
        <v>45119</v>
      </c>
      <c r="B1973" t="s">
        <v>45</v>
      </c>
      <c r="C1973" t="s">
        <v>35</v>
      </c>
      <c r="D1973" t="s">
        <v>24</v>
      </c>
      <c r="E1973" t="s">
        <v>30</v>
      </c>
      <c r="F1973">
        <v>2970</v>
      </c>
      <c r="G1973">
        <v>83</v>
      </c>
      <c r="H1973" s="6">
        <f t="shared" si="145"/>
        <v>246.51</v>
      </c>
    </row>
    <row r="1974" spans="1:8" hidden="1" x14ac:dyDescent="0.3">
      <c r="A1974" s="13" t="s">
        <v>207</v>
      </c>
      <c r="H1974" s="6">
        <f>SUBTOTAL(9,H1966:H1973)</f>
        <v>0</v>
      </c>
    </row>
    <row r="1975" spans="1:8" hidden="1" x14ac:dyDescent="0.3">
      <c r="A1975" s="9">
        <v>45120</v>
      </c>
      <c r="B1975" t="s">
        <v>12</v>
      </c>
      <c r="C1975" t="s">
        <v>20</v>
      </c>
      <c r="D1975" t="s">
        <v>18</v>
      </c>
      <c r="E1975" t="s">
        <v>37</v>
      </c>
      <c r="F1975">
        <v>890</v>
      </c>
      <c r="G1975">
        <v>74</v>
      </c>
      <c r="H1975" s="6">
        <f t="shared" ref="H1975:H1981" si="146">F1975*G1975/1000</f>
        <v>65.86</v>
      </c>
    </row>
    <row r="1976" spans="1:8" hidden="1" x14ac:dyDescent="0.3">
      <c r="A1976" s="9">
        <v>45120</v>
      </c>
      <c r="B1976" t="s">
        <v>45</v>
      </c>
      <c r="C1976" t="s">
        <v>20</v>
      </c>
      <c r="D1976" t="s">
        <v>18</v>
      </c>
      <c r="E1976" t="s">
        <v>37</v>
      </c>
      <c r="F1976">
        <v>890</v>
      </c>
      <c r="G1976">
        <v>38</v>
      </c>
      <c r="H1976" s="6">
        <f t="shared" si="146"/>
        <v>33.82</v>
      </c>
    </row>
    <row r="1977" spans="1:8" hidden="1" x14ac:dyDescent="0.3">
      <c r="A1977" s="9">
        <v>45120</v>
      </c>
      <c r="B1977" t="s">
        <v>17</v>
      </c>
      <c r="C1977" t="s">
        <v>20</v>
      </c>
      <c r="D1977" t="s">
        <v>24</v>
      </c>
      <c r="E1977" t="s">
        <v>42</v>
      </c>
      <c r="F1977">
        <v>3205</v>
      </c>
      <c r="G1977">
        <v>83</v>
      </c>
      <c r="H1977" s="6">
        <f t="shared" si="146"/>
        <v>266.01499999999999</v>
      </c>
    </row>
    <row r="1978" spans="1:8" hidden="1" x14ac:dyDescent="0.3">
      <c r="A1978" s="9">
        <v>45120</v>
      </c>
      <c r="B1978" t="s">
        <v>8</v>
      </c>
      <c r="C1978" t="s">
        <v>33</v>
      </c>
      <c r="D1978" t="s">
        <v>10</v>
      </c>
      <c r="E1978" t="s">
        <v>23</v>
      </c>
      <c r="F1978">
        <v>640</v>
      </c>
      <c r="G1978">
        <v>42</v>
      </c>
      <c r="H1978" s="6">
        <f t="shared" si="146"/>
        <v>26.88</v>
      </c>
    </row>
    <row r="1979" spans="1:8" hidden="1" x14ac:dyDescent="0.3">
      <c r="A1979" s="9">
        <v>45120</v>
      </c>
      <c r="B1979" t="s">
        <v>8</v>
      </c>
      <c r="C1979" t="s">
        <v>33</v>
      </c>
      <c r="D1979" t="s">
        <v>18</v>
      </c>
      <c r="E1979" t="s">
        <v>27</v>
      </c>
      <c r="F1979">
        <v>460</v>
      </c>
      <c r="G1979">
        <v>5</v>
      </c>
      <c r="H1979" s="6">
        <f t="shared" si="146"/>
        <v>2.2999999999999998</v>
      </c>
    </row>
    <row r="1980" spans="1:8" hidden="1" x14ac:dyDescent="0.3">
      <c r="A1980" s="9">
        <v>45120</v>
      </c>
      <c r="B1980" t="s">
        <v>8</v>
      </c>
      <c r="C1980" t="s">
        <v>33</v>
      </c>
      <c r="D1980" t="s">
        <v>24</v>
      </c>
      <c r="E1980" t="s">
        <v>32</v>
      </c>
      <c r="F1980">
        <v>1505</v>
      </c>
      <c r="G1980">
        <v>22</v>
      </c>
      <c r="H1980" s="6">
        <f t="shared" si="146"/>
        <v>33.11</v>
      </c>
    </row>
    <row r="1981" spans="1:8" hidden="1" x14ac:dyDescent="0.3">
      <c r="A1981" s="9">
        <v>45120</v>
      </c>
      <c r="B1981" t="s">
        <v>8</v>
      </c>
      <c r="C1981" t="s">
        <v>35</v>
      </c>
      <c r="D1981" t="s">
        <v>18</v>
      </c>
      <c r="E1981" t="s">
        <v>19</v>
      </c>
      <c r="F1981">
        <v>325</v>
      </c>
      <c r="G1981">
        <v>72</v>
      </c>
      <c r="H1981" s="6">
        <f t="shared" si="146"/>
        <v>23.4</v>
      </c>
    </row>
    <row r="1982" spans="1:8" hidden="1" x14ac:dyDescent="0.3">
      <c r="A1982" s="13" t="s">
        <v>208</v>
      </c>
      <c r="H1982" s="6">
        <f>SUBTOTAL(9,H1975:H1981)</f>
        <v>0</v>
      </c>
    </row>
    <row r="1983" spans="1:8" hidden="1" x14ac:dyDescent="0.3">
      <c r="A1983" s="9">
        <v>45121</v>
      </c>
      <c r="B1983" t="s">
        <v>17</v>
      </c>
      <c r="C1983" t="s">
        <v>20</v>
      </c>
      <c r="D1983" t="s">
        <v>10</v>
      </c>
      <c r="E1983" t="s">
        <v>11</v>
      </c>
      <c r="F1983">
        <v>705</v>
      </c>
      <c r="G1983">
        <v>86</v>
      </c>
      <c r="H1983" s="6">
        <f t="shared" ref="H1983:H1994" si="147">F1983*G1983/1000</f>
        <v>60.63</v>
      </c>
    </row>
    <row r="1984" spans="1:8" hidden="1" x14ac:dyDescent="0.3">
      <c r="A1984" s="9">
        <v>45121</v>
      </c>
      <c r="B1984" t="s">
        <v>45</v>
      </c>
      <c r="C1984" t="s">
        <v>20</v>
      </c>
      <c r="D1984" t="s">
        <v>18</v>
      </c>
      <c r="E1984" t="s">
        <v>19</v>
      </c>
      <c r="F1984">
        <v>325</v>
      </c>
      <c r="G1984">
        <v>35</v>
      </c>
      <c r="H1984" s="6">
        <f t="shared" si="147"/>
        <v>11.375</v>
      </c>
    </row>
    <row r="1985" spans="1:8" hidden="1" x14ac:dyDescent="0.3">
      <c r="A1985" s="9">
        <v>45121</v>
      </c>
      <c r="B1985" t="s">
        <v>45</v>
      </c>
      <c r="C1985" t="s">
        <v>20</v>
      </c>
      <c r="D1985" t="s">
        <v>24</v>
      </c>
      <c r="E1985" t="s">
        <v>36</v>
      </c>
      <c r="F1985">
        <v>2460</v>
      </c>
      <c r="G1985">
        <v>67</v>
      </c>
      <c r="H1985" s="6">
        <f t="shared" si="147"/>
        <v>164.82</v>
      </c>
    </row>
    <row r="1986" spans="1:8" hidden="1" x14ac:dyDescent="0.3">
      <c r="A1986" s="9">
        <v>45121</v>
      </c>
      <c r="B1986" t="s">
        <v>8</v>
      </c>
      <c r="C1986" t="s">
        <v>9</v>
      </c>
      <c r="D1986" t="s">
        <v>24</v>
      </c>
      <c r="E1986" t="s">
        <v>36</v>
      </c>
      <c r="F1986">
        <v>2460</v>
      </c>
      <c r="G1986">
        <v>59</v>
      </c>
      <c r="H1986" s="6">
        <f t="shared" si="147"/>
        <v>145.13999999999999</v>
      </c>
    </row>
    <row r="1987" spans="1:8" hidden="1" x14ac:dyDescent="0.3">
      <c r="A1987" s="9">
        <v>45121</v>
      </c>
      <c r="B1987" t="s">
        <v>45</v>
      </c>
      <c r="C1987" t="s">
        <v>26</v>
      </c>
      <c r="D1987" t="s">
        <v>10</v>
      </c>
      <c r="E1987" t="s">
        <v>11</v>
      </c>
      <c r="F1987">
        <v>705</v>
      </c>
      <c r="G1987">
        <v>83</v>
      </c>
      <c r="H1987" s="6">
        <f t="shared" si="147"/>
        <v>58.515000000000001</v>
      </c>
    </row>
    <row r="1988" spans="1:8" hidden="1" x14ac:dyDescent="0.3">
      <c r="A1988" s="9">
        <v>45121</v>
      </c>
      <c r="B1988" t="s">
        <v>8</v>
      </c>
      <c r="C1988" t="s">
        <v>26</v>
      </c>
      <c r="D1988" t="s">
        <v>10</v>
      </c>
      <c r="E1988" t="s">
        <v>39</v>
      </c>
      <c r="F1988">
        <v>650</v>
      </c>
      <c r="G1988">
        <v>74</v>
      </c>
      <c r="H1988" s="6">
        <f t="shared" si="147"/>
        <v>48.1</v>
      </c>
    </row>
    <row r="1989" spans="1:8" hidden="1" x14ac:dyDescent="0.3">
      <c r="A1989" s="9">
        <v>45121</v>
      </c>
      <c r="B1989" t="s">
        <v>12</v>
      </c>
      <c r="C1989" t="s">
        <v>15</v>
      </c>
      <c r="D1989" t="s">
        <v>10</v>
      </c>
      <c r="E1989" t="s">
        <v>23</v>
      </c>
      <c r="F1989">
        <v>640</v>
      </c>
      <c r="G1989">
        <v>65</v>
      </c>
      <c r="H1989" s="6">
        <f t="shared" si="147"/>
        <v>41.6</v>
      </c>
    </row>
    <row r="1990" spans="1:8" hidden="1" x14ac:dyDescent="0.3">
      <c r="A1990" s="9">
        <v>45121</v>
      </c>
      <c r="B1990" t="s">
        <v>45</v>
      </c>
      <c r="C1990" t="s">
        <v>15</v>
      </c>
      <c r="D1990" t="s">
        <v>18</v>
      </c>
      <c r="E1990" t="s">
        <v>37</v>
      </c>
      <c r="F1990">
        <v>890</v>
      </c>
      <c r="G1990">
        <v>64</v>
      </c>
      <c r="H1990" s="6">
        <f t="shared" si="147"/>
        <v>56.96</v>
      </c>
    </row>
    <row r="1991" spans="1:8" hidden="1" x14ac:dyDescent="0.3">
      <c r="A1991" s="9">
        <v>45121</v>
      </c>
      <c r="B1991" t="s">
        <v>12</v>
      </c>
      <c r="C1991" t="s">
        <v>33</v>
      </c>
      <c r="D1991" t="s">
        <v>10</v>
      </c>
      <c r="E1991" t="s">
        <v>39</v>
      </c>
      <c r="F1991">
        <v>650</v>
      </c>
      <c r="G1991">
        <v>29</v>
      </c>
      <c r="H1991" s="6">
        <f t="shared" si="147"/>
        <v>18.850000000000001</v>
      </c>
    </row>
    <row r="1992" spans="1:8" hidden="1" x14ac:dyDescent="0.3">
      <c r="A1992" s="9">
        <v>45121</v>
      </c>
      <c r="B1992" t="s">
        <v>8</v>
      </c>
      <c r="C1992" t="s">
        <v>35</v>
      </c>
      <c r="D1992" t="s">
        <v>18</v>
      </c>
      <c r="E1992" t="s">
        <v>37</v>
      </c>
      <c r="F1992">
        <v>890</v>
      </c>
      <c r="G1992">
        <v>93</v>
      </c>
      <c r="H1992" s="6">
        <f t="shared" si="147"/>
        <v>82.77</v>
      </c>
    </row>
    <row r="1993" spans="1:8" hidden="1" x14ac:dyDescent="0.3">
      <c r="A1993" s="9">
        <v>45121</v>
      </c>
      <c r="B1993" t="s">
        <v>12</v>
      </c>
      <c r="C1993" t="s">
        <v>35</v>
      </c>
      <c r="D1993" t="s">
        <v>18</v>
      </c>
      <c r="E1993" t="s">
        <v>21</v>
      </c>
      <c r="F1993">
        <v>450</v>
      </c>
      <c r="G1993">
        <v>53</v>
      </c>
      <c r="H1993" s="6">
        <f t="shared" si="147"/>
        <v>23.85</v>
      </c>
    </row>
    <row r="1994" spans="1:8" hidden="1" x14ac:dyDescent="0.3">
      <c r="A1994" s="9">
        <v>45121</v>
      </c>
      <c r="B1994" t="s">
        <v>8</v>
      </c>
      <c r="C1994" t="s">
        <v>35</v>
      </c>
      <c r="D1994" t="s">
        <v>24</v>
      </c>
      <c r="E1994" t="s">
        <v>30</v>
      </c>
      <c r="F1994">
        <v>2970</v>
      </c>
      <c r="G1994">
        <v>72</v>
      </c>
      <c r="H1994" s="6">
        <f t="shared" si="147"/>
        <v>213.84</v>
      </c>
    </row>
    <row r="1995" spans="1:8" hidden="1" x14ac:dyDescent="0.3">
      <c r="A1995" s="13" t="s">
        <v>209</v>
      </c>
      <c r="H1995" s="6">
        <f>SUBTOTAL(9,H1983:H1994)</f>
        <v>0</v>
      </c>
    </row>
    <row r="1996" spans="1:8" hidden="1" x14ac:dyDescent="0.3">
      <c r="A1996" s="9">
        <v>45122</v>
      </c>
      <c r="B1996" t="s">
        <v>45</v>
      </c>
      <c r="C1996" t="s">
        <v>20</v>
      </c>
      <c r="D1996" t="s">
        <v>24</v>
      </c>
      <c r="E1996" t="s">
        <v>25</v>
      </c>
      <c r="F1996">
        <v>1760</v>
      </c>
      <c r="G1996">
        <v>33</v>
      </c>
      <c r="H1996" s="6">
        <f t="shared" ref="H1996:H2003" si="148">F1996*G1996/1000</f>
        <v>58.08</v>
      </c>
    </row>
    <row r="1997" spans="1:8" hidden="1" x14ac:dyDescent="0.3">
      <c r="A1997" s="9">
        <v>45122</v>
      </c>
      <c r="B1997" t="s">
        <v>8</v>
      </c>
      <c r="C1997" t="s">
        <v>26</v>
      </c>
      <c r="D1997" t="s">
        <v>10</v>
      </c>
      <c r="E1997" t="s">
        <v>41</v>
      </c>
      <c r="F1997">
        <v>650</v>
      </c>
      <c r="G1997">
        <v>44</v>
      </c>
      <c r="H1997" s="6">
        <f t="shared" si="148"/>
        <v>28.6</v>
      </c>
    </row>
    <row r="1998" spans="1:8" hidden="1" x14ac:dyDescent="0.3">
      <c r="A1998" s="9">
        <v>45122</v>
      </c>
      <c r="B1998" t="s">
        <v>12</v>
      </c>
      <c r="C1998" t="s">
        <v>15</v>
      </c>
      <c r="D1998" t="s">
        <v>18</v>
      </c>
      <c r="E1998" t="s">
        <v>28</v>
      </c>
      <c r="F1998">
        <v>690</v>
      </c>
      <c r="G1998">
        <v>33</v>
      </c>
      <c r="H1998" s="6">
        <f t="shared" si="148"/>
        <v>22.77</v>
      </c>
    </row>
    <row r="1999" spans="1:8" x14ac:dyDescent="0.3">
      <c r="A1999" s="9">
        <v>45122</v>
      </c>
      <c r="B1999" t="s">
        <v>45</v>
      </c>
      <c r="C1999" t="s">
        <v>15</v>
      </c>
      <c r="D1999" t="s">
        <v>13</v>
      </c>
      <c r="E1999" t="s">
        <v>29</v>
      </c>
      <c r="F1999">
        <v>1230</v>
      </c>
      <c r="G1999">
        <v>51</v>
      </c>
      <c r="H1999" s="6">
        <f t="shared" si="148"/>
        <v>62.73</v>
      </c>
    </row>
    <row r="2000" spans="1:8" hidden="1" x14ac:dyDescent="0.3">
      <c r="A2000" s="9">
        <v>45122</v>
      </c>
      <c r="B2000" t="s">
        <v>17</v>
      </c>
      <c r="C2000" t="s">
        <v>33</v>
      </c>
      <c r="D2000" t="s">
        <v>10</v>
      </c>
      <c r="E2000" t="s">
        <v>41</v>
      </c>
      <c r="F2000">
        <v>650</v>
      </c>
      <c r="G2000">
        <v>34</v>
      </c>
      <c r="H2000" s="6">
        <f t="shared" si="148"/>
        <v>22.1</v>
      </c>
    </row>
    <row r="2001" spans="1:8" hidden="1" x14ac:dyDescent="0.3">
      <c r="A2001" s="9">
        <v>45122</v>
      </c>
      <c r="B2001" t="s">
        <v>12</v>
      </c>
      <c r="C2001" t="s">
        <v>33</v>
      </c>
      <c r="D2001" t="s">
        <v>24</v>
      </c>
      <c r="E2001" t="s">
        <v>25</v>
      </c>
      <c r="F2001">
        <v>1760</v>
      </c>
      <c r="G2001">
        <v>57</v>
      </c>
      <c r="H2001" s="6">
        <f t="shared" si="148"/>
        <v>100.32</v>
      </c>
    </row>
    <row r="2002" spans="1:8" hidden="1" x14ac:dyDescent="0.3">
      <c r="A2002" s="9">
        <v>45122</v>
      </c>
      <c r="B2002" t="s">
        <v>45</v>
      </c>
      <c r="C2002" t="s">
        <v>35</v>
      </c>
      <c r="D2002" t="s">
        <v>10</v>
      </c>
      <c r="E2002" t="s">
        <v>11</v>
      </c>
      <c r="F2002">
        <v>705</v>
      </c>
      <c r="G2002">
        <v>38</v>
      </c>
      <c r="H2002" s="6">
        <f t="shared" si="148"/>
        <v>26.79</v>
      </c>
    </row>
    <row r="2003" spans="1:8" hidden="1" x14ac:dyDescent="0.3">
      <c r="A2003" s="9">
        <v>45122</v>
      </c>
      <c r="B2003" t="s">
        <v>17</v>
      </c>
      <c r="C2003" t="s">
        <v>35</v>
      </c>
      <c r="D2003" t="s">
        <v>13</v>
      </c>
      <c r="E2003" t="s">
        <v>38</v>
      </c>
      <c r="F2003">
        <v>2400</v>
      </c>
      <c r="G2003">
        <v>10</v>
      </c>
      <c r="H2003" s="6">
        <f t="shared" si="148"/>
        <v>24</v>
      </c>
    </row>
    <row r="2004" spans="1:8" hidden="1" x14ac:dyDescent="0.3">
      <c r="A2004" s="13" t="s">
        <v>210</v>
      </c>
      <c r="H2004" s="6">
        <f>SUBTOTAL(9,H1996:H2003)</f>
        <v>62.73</v>
      </c>
    </row>
    <row r="2005" spans="1:8" hidden="1" x14ac:dyDescent="0.3">
      <c r="A2005" s="9">
        <v>45123</v>
      </c>
      <c r="B2005" t="s">
        <v>17</v>
      </c>
      <c r="C2005" t="s">
        <v>20</v>
      </c>
      <c r="D2005" t="s">
        <v>10</v>
      </c>
      <c r="E2005" t="s">
        <v>41</v>
      </c>
      <c r="F2005">
        <v>650</v>
      </c>
      <c r="G2005">
        <v>7</v>
      </c>
      <c r="H2005" s="6">
        <f t="shared" ref="H2005:H2017" si="149">F2005*G2005/1000</f>
        <v>4.55</v>
      </c>
    </row>
    <row r="2006" spans="1:8" hidden="1" x14ac:dyDescent="0.3">
      <c r="A2006" s="9">
        <v>45123</v>
      </c>
      <c r="B2006" t="s">
        <v>45</v>
      </c>
      <c r="C2006" t="s">
        <v>20</v>
      </c>
      <c r="D2006" t="s">
        <v>18</v>
      </c>
      <c r="E2006" t="s">
        <v>37</v>
      </c>
      <c r="F2006">
        <v>890</v>
      </c>
      <c r="G2006">
        <v>19</v>
      </c>
      <c r="H2006" s="6">
        <f t="shared" si="149"/>
        <v>16.91</v>
      </c>
    </row>
    <row r="2007" spans="1:8" hidden="1" x14ac:dyDescent="0.3">
      <c r="A2007" s="9">
        <v>45123</v>
      </c>
      <c r="B2007" t="s">
        <v>8</v>
      </c>
      <c r="C2007" t="s">
        <v>20</v>
      </c>
      <c r="D2007" t="s">
        <v>24</v>
      </c>
      <c r="E2007" t="s">
        <v>25</v>
      </c>
      <c r="F2007">
        <v>1760</v>
      </c>
      <c r="G2007">
        <v>6</v>
      </c>
      <c r="H2007" s="6">
        <f t="shared" si="149"/>
        <v>10.56</v>
      </c>
    </row>
    <row r="2008" spans="1:8" hidden="1" x14ac:dyDescent="0.3">
      <c r="A2008" s="9">
        <v>45123</v>
      </c>
      <c r="B2008" t="s">
        <v>8</v>
      </c>
      <c r="C2008" t="s">
        <v>9</v>
      </c>
      <c r="D2008" t="s">
        <v>10</v>
      </c>
      <c r="E2008" t="s">
        <v>11</v>
      </c>
      <c r="F2008">
        <v>705</v>
      </c>
      <c r="G2008">
        <v>6</v>
      </c>
      <c r="H2008" s="6">
        <f t="shared" si="149"/>
        <v>4.2300000000000004</v>
      </c>
    </row>
    <row r="2009" spans="1:8" hidden="1" x14ac:dyDescent="0.3">
      <c r="A2009" s="9">
        <v>45123</v>
      </c>
      <c r="B2009" t="s">
        <v>8</v>
      </c>
      <c r="C2009" t="s">
        <v>9</v>
      </c>
      <c r="D2009" t="s">
        <v>18</v>
      </c>
      <c r="E2009" t="s">
        <v>31</v>
      </c>
      <c r="F2009">
        <v>715</v>
      </c>
      <c r="G2009">
        <v>13</v>
      </c>
      <c r="H2009" s="6">
        <f t="shared" si="149"/>
        <v>9.2949999999999999</v>
      </c>
    </row>
    <row r="2010" spans="1:8" hidden="1" x14ac:dyDescent="0.3">
      <c r="A2010" s="9">
        <v>45123</v>
      </c>
      <c r="B2010" t="s">
        <v>45</v>
      </c>
      <c r="C2010" t="s">
        <v>26</v>
      </c>
      <c r="D2010" t="s">
        <v>10</v>
      </c>
      <c r="E2010" t="s">
        <v>11</v>
      </c>
      <c r="F2010">
        <v>705</v>
      </c>
      <c r="G2010">
        <v>14</v>
      </c>
      <c r="H2010" s="6">
        <f t="shared" si="149"/>
        <v>9.8699999999999992</v>
      </c>
    </row>
    <row r="2011" spans="1:8" hidden="1" x14ac:dyDescent="0.3">
      <c r="A2011" s="9">
        <v>45123</v>
      </c>
      <c r="B2011" t="s">
        <v>45</v>
      </c>
      <c r="C2011" t="s">
        <v>26</v>
      </c>
      <c r="D2011" t="s">
        <v>18</v>
      </c>
      <c r="E2011" t="s">
        <v>37</v>
      </c>
      <c r="F2011">
        <v>890</v>
      </c>
      <c r="G2011">
        <v>44</v>
      </c>
      <c r="H2011" s="6">
        <f t="shared" si="149"/>
        <v>39.159999999999997</v>
      </c>
    </row>
    <row r="2012" spans="1:8" hidden="1" x14ac:dyDescent="0.3">
      <c r="A2012" s="9">
        <v>45123</v>
      </c>
      <c r="B2012" t="s">
        <v>12</v>
      </c>
      <c r="C2012" t="s">
        <v>15</v>
      </c>
      <c r="D2012" t="s">
        <v>13</v>
      </c>
      <c r="E2012" t="s">
        <v>43</v>
      </c>
      <c r="F2012">
        <v>1420</v>
      </c>
      <c r="G2012">
        <v>34</v>
      </c>
      <c r="H2012" s="6">
        <f t="shared" si="149"/>
        <v>48.28</v>
      </c>
    </row>
    <row r="2013" spans="1:8" hidden="1" x14ac:dyDescent="0.3">
      <c r="A2013" s="9">
        <v>45123</v>
      </c>
      <c r="B2013" t="s">
        <v>45</v>
      </c>
      <c r="C2013" t="s">
        <v>33</v>
      </c>
      <c r="D2013" t="s">
        <v>10</v>
      </c>
      <c r="E2013" t="s">
        <v>23</v>
      </c>
      <c r="F2013">
        <v>640</v>
      </c>
      <c r="G2013">
        <v>85</v>
      </c>
      <c r="H2013" s="6">
        <f t="shared" si="149"/>
        <v>54.4</v>
      </c>
    </row>
    <row r="2014" spans="1:8" hidden="1" x14ac:dyDescent="0.3">
      <c r="A2014" s="9">
        <v>45123</v>
      </c>
      <c r="B2014" t="s">
        <v>45</v>
      </c>
      <c r="C2014" t="s">
        <v>33</v>
      </c>
      <c r="D2014" t="s">
        <v>18</v>
      </c>
      <c r="E2014" t="s">
        <v>19</v>
      </c>
      <c r="F2014">
        <v>325</v>
      </c>
      <c r="G2014">
        <v>89</v>
      </c>
      <c r="H2014" s="6">
        <f t="shared" si="149"/>
        <v>28.925000000000001</v>
      </c>
    </row>
    <row r="2015" spans="1:8" hidden="1" x14ac:dyDescent="0.3">
      <c r="A2015" s="9">
        <v>45123</v>
      </c>
      <c r="B2015" t="s">
        <v>17</v>
      </c>
      <c r="C2015" t="s">
        <v>33</v>
      </c>
      <c r="D2015" t="s">
        <v>24</v>
      </c>
      <c r="E2015" t="s">
        <v>32</v>
      </c>
      <c r="F2015">
        <v>1505</v>
      </c>
      <c r="G2015">
        <v>53</v>
      </c>
      <c r="H2015" s="6">
        <f t="shared" si="149"/>
        <v>79.765000000000001</v>
      </c>
    </row>
    <row r="2016" spans="1:8" hidden="1" x14ac:dyDescent="0.3">
      <c r="A2016" s="9">
        <v>45123</v>
      </c>
      <c r="B2016" t="s">
        <v>8</v>
      </c>
      <c r="C2016" t="s">
        <v>35</v>
      </c>
      <c r="D2016" t="s">
        <v>10</v>
      </c>
      <c r="E2016" t="s">
        <v>23</v>
      </c>
      <c r="F2016">
        <v>640</v>
      </c>
      <c r="G2016">
        <v>66</v>
      </c>
      <c r="H2016" s="6">
        <f t="shared" si="149"/>
        <v>42.24</v>
      </c>
    </row>
    <row r="2017" spans="1:8" hidden="1" x14ac:dyDescent="0.3">
      <c r="A2017" s="9">
        <v>45123</v>
      </c>
      <c r="B2017" t="s">
        <v>17</v>
      </c>
      <c r="C2017" t="s">
        <v>35</v>
      </c>
      <c r="D2017" t="s">
        <v>24</v>
      </c>
      <c r="E2017" t="s">
        <v>32</v>
      </c>
      <c r="F2017">
        <v>1505</v>
      </c>
      <c r="G2017">
        <v>41</v>
      </c>
      <c r="H2017" s="6">
        <f t="shared" si="149"/>
        <v>61.704999999999998</v>
      </c>
    </row>
    <row r="2018" spans="1:8" hidden="1" x14ac:dyDescent="0.3">
      <c r="A2018" s="13" t="s">
        <v>211</v>
      </c>
      <c r="H2018" s="6">
        <f>SUBTOTAL(9,H2005:H2017)</f>
        <v>0</v>
      </c>
    </row>
    <row r="2019" spans="1:8" hidden="1" x14ac:dyDescent="0.3">
      <c r="A2019" s="9">
        <v>45124</v>
      </c>
      <c r="B2019" t="s">
        <v>8</v>
      </c>
      <c r="C2019" t="s">
        <v>20</v>
      </c>
      <c r="D2019" t="s">
        <v>10</v>
      </c>
      <c r="E2019" t="s">
        <v>16</v>
      </c>
      <c r="F2019">
        <v>1380</v>
      </c>
      <c r="G2019">
        <v>72</v>
      </c>
      <c r="H2019" s="6">
        <f t="shared" ref="H2019:H2031" si="150">F2019*G2019/1000</f>
        <v>99.36</v>
      </c>
    </row>
    <row r="2020" spans="1:8" hidden="1" x14ac:dyDescent="0.3">
      <c r="A2020" s="9">
        <v>45124</v>
      </c>
      <c r="B2020" t="s">
        <v>8</v>
      </c>
      <c r="C2020" t="s">
        <v>9</v>
      </c>
      <c r="D2020" t="s">
        <v>24</v>
      </c>
      <c r="E2020" t="s">
        <v>25</v>
      </c>
      <c r="F2020">
        <v>1760</v>
      </c>
      <c r="G2020">
        <v>39</v>
      </c>
      <c r="H2020" s="6">
        <f t="shared" si="150"/>
        <v>68.64</v>
      </c>
    </row>
    <row r="2021" spans="1:8" hidden="1" x14ac:dyDescent="0.3">
      <c r="A2021" s="9">
        <v>45124</v>
      </c>
      <c r="B2021" t="s">
        <v>45</v>
      </c>
      <c r="C2021" t="s">
        <v>26</v>
      </c>
      <c r="D2021" t="s">
        <v>10</v>
      </c>
      <c r="E2021" t="s">
        <v>16</v>
      </c>
      <c r="F2021">
        <v>1380</v>
      </c>
      <c r="G2021">
        <v>61</v>
      </c>
      <c r="H2021" s="6">
        <f t="shared" si="150"/>
        <v>84.18</v>
      </c>
    </row>
    <row r="2022" spans="1:8" hidden="1" x14ac:dyDescent="0.3">
      <c r="A2022" s="9">
        <v>45124</v>
      </c>
      <c r="B2022" t="s">
        <v>17</v>
      </c>
      <c r="C2022" t="s">
        <v>26</v>
      </c>
      <c r="D2022" t="s">
        <v>10</v>
      </c>
      <c r="E2022" t="s">
        <v>16</v>
      </c>
      <c r="F2022">
        <v>1380</v>
      </c>
      <c r="G2022">
        <v>55</v>
      </c>
      <c r="H2022" s="6">
        <f t="shared" si="150"/>
        <v>75.900000000000006</v>
      </c>
    </row>
    <row r="2023" spans="1:8" hidden="1" x14ac:dyDescent="0.3">
      <c r="A2023" s="9">
        <v>45124</v>
      </c>
      <c r="B2023" t="s">
        <v>45</v>
      </c>
      <c r="C2023" t="s">
        <v>26</v>
      </c>
      <c r="D2023" t="s">
        <v>18</v>
      </c>
      <c r="E2023" t="s">
        <v>27</v>
      </c>
      <c r="F2023">
        <v>460</v>
      </c>
      <c r="G2023">
        <v>78</v>
      </c>
      <c r="H2023" s="6">
        <f t="shared" si="150"/>
        <v>35.880000000000003</v>
      </c>
    </row>
    <row r="2024" spans="1:8" hidden="1" x14ac:dyDescent="0.3">
      <c r="A2024" s="9">
        <v>45124</v>
      </c>
      <c r="B2024" t="s">
        <v>45</v>
      </c>
      <c r="C2024" t="s">
        <v>26</v>
      </c>
      <c r="D2024" t="s">
        <v>13</v>
      </c>
      <c r="E2024" t="s">
        <v>22</v>
      </c>
      <c r="F2024">
        <v>930</v>
      </c>
      <c r="G2024">
        <v>87</v>
      </c>
      <c r="H2024" s="6">
        <f t="shared" si="150"/>
        <v>80.91</v>
      </c>
    </row>
    <row r="2025" spans="1:8" hidden="1" x14ac:dyDescent="0.3">
      <c r="A2025" s="9">
        <v>45124</v>
      </c>
      <c r="B2025" t="s">
        <v>12</v>
      </c>
      <c r="C2025" t="s">
        <v>26</v>
      </c>
      <c r="D2025" t="s">
        <v>13</v>
      </c>
      <c r="E2025" t="s">
        <v>44</v>
      </c>
      <c r="F2025">
        <v>2540</v>
      </c>
      <c r="G2025">
        <v>69</v>
      </c>
      <c r="H2025" s="6">
        <f t="shared" si="150"/>
        <v>175.26</v>
      </c>
    </row>
    <row r="2026" spans="1:8" hidden="1" x14ac:dyDescent="0.3">
      <c r="A2026" s="9">
        <v>45124</v>
      </c>
      <c r="B2026" t="s">
        <v>45</v>
      </c>
      <c r="C2026" t="s">
        <v>15</v>
      </c>
      <c r="D2026" t="s">
        <v>18</v>
      </c>
      <c r="E2026" t="s">
        <v>31</v>
      </c>
      <c r="F2026">
        <v>715</v>
      </c>
      <c r="G2026">
        <v>97</v>
      </c>
      <c r="H2026" s="6">
        <f t="shared" si="150"/>
        <v>69.355000000000004</v>
      </c>
    </row>
    <row r="2027" spans="1:8" hidden="1" x14ac:dyDescent="0.3">
      <c r="A2027" s="9">
        <v>45124</v>
      </c>
      <c r="B2027" t="s">
        <v>17</v>
      </c>
      <c r="C2027" t="s">
        <v>15</v>
      </c>
      <c r="D2027" t="s">
        <v>13</v>
      </c>
      <c r="E2027" t="s">
        <v>43</v>
      </c>
      <c r="F2027">
        <v>1420</v>
      </c>
      <c r="G2027">
        <v>44</v>
      </c>
      <c r="H2027" s="6">
        <f t="shared" si="150"/>
        <v>62.48</v>
      </c>
    </row>
    <row r="2028" spans="1:8" hidden="1" x14ac:dyDescent="0.3">
      <c r="A2028" s="9">
        <v>45124</v>
      </c>
      <c r="B2028" t="s">
        <v>8</v>
      </c>
      <c r="C2028" t="s">
        <v>15</v>
      </c>
      <c r="D2028" t="s">
        <v>13</v>
      </c>
      <c r="E2028" t="s">
        <v>29</v>
      </c>
      <c r="F2028">
        <v>1230</v>
      </c>
      <c r="G2028">
        <v>48</v>
      </c>
      <c r="H2028" s="6">
        <f t="shared" si="150"/>
        <v>59.04</v>
      </c>
    </row>
    <row r="2029" spans="1:8" hidden="1" x14ac:dyDescent="0.3">
      <c r="A2029" s="9">
        <v>45124</v>
      </c>
      <c r="B2029" t="s">
        <v>8</v>
      </c>
      <c r="C2029" t="s">
        <v>15</v>
      </c>
      <c r="D2029" t="s">
        <v>24</v>
      </c>
      <c r="E2029" t="s">
        <v>25</v>
      </c>
      <c r="F2029">
        <v>1760</v>
      </c>
      <c r="G2029">
        <v>14</v>
      </c>
      <c r="H2029" s="6">
        <f t="shared" si="150"/>
        <v>24.64</v>
      </c>
    </row>
    <row r="2030" spans="1:8" hidden="1" x14ac:dyDescent="0.3">
      <c r="A2030" s="9">
        <v>45124</v>
      </c>
      <c r="B2030" t="s">
        <v>12</v>
      </c>
      <c r="C2030" t="s">
        <v>33</v>
      </c>
      <c r="D2030" t="s">
        <v>18</v>
      </c>
      <c r="E2030" t="s">
        <v>31</v>
      </c>
      <c r="F2030">
        <v>715</v>
      </c>
      <c r="G2030">
        <v>76</v>
      </c>
      <c r="H2030" s="6">
        <f t="shared" si="150"/>
        <v>54.34</v>
      </c>
    </row>
    <row r="2031" spans="1:8" hidden="1" x14ac:dyDescent="0.3">
      <c r="A2031" s="9">
        <v>45124</v>
      </c>
      <c r="B2031" t="s">
        <v>8</v>
      </c>
      <c r="C2031" t="s">
        <v>35</v>
      </c>
      <c r="D2031" t="s">
        <v>18</v>
      </c>
      <c r="E2031" t="s">
        <v>21</v>
      </c>
      <c r="F2031">
        <v>450</v>
      </c>
      <c r="G2031">
        <v>27</v>
      </c>
      <c r="H2031" s="6">
        <f t="shared" si="150"/>
        <v>12.15</v>
      </c>
    </row>
    <row r="2032" spans="1:8" hidden="1" x14ac:dyDescent="0.3">
      <c r="A2032" s="13" t="s">
        <v>212</v>
      </c>
      <c r="H2032" s="6">
        <f>SUBTOTAL(9,H2019:H2031)</f>
        <v>0</v>
      </c>
    </row>
    <row r="2033" spans="1:8" hidden="1" x14ac:dyDescent="0.3">
      <c r="A2033" s="9">
        <v>45125</v>
      </c>
      <c r="B2033" t="s">
        <v>12</v>
      </c>
      <c r="C2033" t="s">
        <v>20</v>
      </c>
      <c r="D2033" t="s">
        <v>10</v>
      </c>
      <c r="E2033" t="s">
        <v>16</v>
      </c>
      <c r="F2033">
        <v>1380</v>
      </c>
      <c r="G2033">
        <v>46</v>
      </c>
      <c r="H2033" s="6">
        <f t="shared" ref="H2033:H2043" si="151">F2033*G2033/1000</f>
        <v>63.48</v>
      </c>
    </row>
    <row r="2034" spans="1:8" hidden="1" x14ac:dyDescent="0.3">
      <c r="A2034" s="9">
        <v>45125</v>
      </c>
      <c r="B2034" t="s">
        <v>45</v>
      </c>
      <c r="C2034" t="s">
        <v>20</v>
      </c>
      <c r="D2034" t="s">
        <v>13</v>
      </c>
      <c r="E2034" t="s">
        <v>43</v>
      </c>
      <c r="F2034">
        <v>1420</v>
      </c>
      <c r="G2034">
        <v>44</v>
      </c>
      <c r="H2034" s="6">
        <f t="shared" si="151"/>
        <v>62.48</v>
      </c>
    </row>
    <row r="2035" spans="1:8" hidden="1" x14ac:dyDescent="0.3">
      <c r="A2035" s="9">
        <v>45125</v>
      </c>
      <c r="B2035" t="s">
        <v>12</v>
      </c>
      <c r="C2035" t="s">
        <v>9</v>
      </c>
      <c r="D2035" t="s">
        <v>24</v>
      </c>
      <c r="E2035" t="s">
        <v>36</v>
      </c>
      <c r="F2035">
        <v>2460</v>
      </c>
      <c r="G2035">
        <v>78</v>
      </c>
      <c r="H2035" s="6">
        <f t="shared" si="151"/>
        <v>191.88</v>
      </c>
    </row>
    <row r="2036" spans="1:8" hidden="1" x14ac:dyDescent="0.3">
      <c r="A2036" s="9">
        <v>45125</v>
      </c>
      <c r="B2036" t="s">
        <v>17</v>
      </c>
      <c r="C2036" t="s">
        <v>9</v>
      </c>
      <c r="D2036" t="s">
        <v>24</v>
      </c>
      <c r="E2036" t="s">
        <v>30</v>
      </c>
      <c r="F2036">
        <v>2970</v>
      </c>
      <c r="G2036">
        <v>26</v>
      </c>
      <c r="H2036" s="6">
        <f t="shared" si="151"/>
        <v>77.22</v>
      </c>
    </row>
    <row r="2037" spans="1:8" hidden="1" x14ac:dyDescent="0.3">
      <c r="A2037" s="9">
        <v>45125</v>
      </c>
      <c r="B2037" t="s">
        <v>45</v>
      </c>
      <c r="C2037" t="s">
        <v>26</v>
      </c>
      <c r="D2037" t="s">
        <v>13</v>
      </c>
      <c r="E2037" t="s">
        <v>14</v>
      </c>
      <c r="F2037">
        <v>1320</v>
      </c>
      <c r="G2037">
        <v>88</v>
      </c>
      <c r="H2037" s="6">
        <f t="shared" si="151"/>
        <v>116.16</v>
      </c>
    </row>
    <row r="2038" spans="1:8" hidden="1" x14ac:dyDescent="0.3">
      <c r="A2038" s="9">
        <v>45125</v>
      </c>
      <c r="B2038" t="s">
        <v>12</v>
      </c>
      <c r="C2038" t="s">
        <v>26</v>
      </c>
      <c r="D2038" t="s">
        <v>24</v>
      </c>
      <c r="E2038" t="s">
        <v>36</v>
      </c>
      <c r="F2038">
        <v>2460</v>
      </c>
      <c r="G2038">
        <v>41</v>
      </c>
      <c r="H2038" s="6">
        <f t="shared" si="151"/>
        <v>100.86</v>
      </c>
    </row>
    <row r="2039" spans="1:8" hidden="1" x14ac:dyDescent="0.3">
      <c r="A2039" s="9">
        <v>45125</v>
      </c>
      <c r="B2039" t="s">
        <v>8</v>
      </c>
      <c r="C2039" t="s">
        <v>15</v>
      </c>
      <c r="D2039" t="s">
        <v>10</v>
      </c>
      <c r="E2039" t="s">
        <v>39</v>
      </c>
      <c r="F2039">
        <v>650</v>
      </c>
      <c r="G2039">
        <v>74</v>
      </c>
      <c r="H2039" s="6">
        <f t="shared" si="151"/>
        <v>48.1</v>
      </c>
    </row>
    <row r="2040" spans="1:8" hidden="1" x14ac:dyDescent="0.3">
      <c r="A2040" s="9">
        <v>45125</v>
      </c>
      <c r="B2040" t="s">
        <v>8</v>
      </c>
      <c r="C2040" t="s">
        <v>15</v>
      </c>
      <c r="D2040" t="s">
        <v>10</v>
      </c>
      <c r="E2040" t="s">
        <v>39</v>
      </c>
      <c r="F2040">
        <v>650</v>
      </c>
      <c r="G2040">
        <v>75</v>
      </c>
      <c r="H2040" s="6">
        <f t="shared" si="151"/>
        <v>48.75</v>
      </c>
    </row>
    <row r="2041" spans="1:8" hidden="1" x14ac:dyDescent="0.3">
      <c r="A2041" s="9">
        <v>45125</v>
      </c>
      <c r="B2041" t="s">
        <v>12</v>
      </c>
      <c r="C2041" t="s">
        <v>35</v>
      </c>
      <c r="D2041" t="s">
        <v>24</v>
      </c>
      <c r="E2041" t="s">
        <v>32</v>
      </c>
      <c r="F2041">
        <v>1505</v>
      </c>
      <c r="G2041">
        <v>100</v>
      </c>
      <c r="H2041" s="6">
        <f t="shared" si="151"/>
        <v>150.5</v>
      </c>
    </row>
    <row r="2042" spans="1:8" hidden="1" x14ac:dyDescent="0.3">
      <c r="A2042" s="9">
        <v>45125</v>
      </c>
      <c r="B2042" t="s">
        <v>12</v>
      </c>
      <c r="C2042" t="s">
        <v>35</v>
      </c>
      <c r="D2042" t="s">
        <v>24</v>
      </c>
      <c r="E2042" t="s">
        <v>30</v>
      </c>
      <c r="F2042">
        <v>2970</v>
      </c>
      <c r="G2042">
        <v>47</v>
      </c>
      <c r="H2042" s="6">
        <f t="shared" si="151"/>
        <v>139.59</v>
      </c>
    </row>
    <row r="2043" spans="1:8" hidden="1" x14ac:dyDescent="0.3">
      <c r="A2043" s="9">
        <v>45125</v>
      </c>
      <c r="B2043" t="s">
        <v>45</v>
      </c>
      <c r="C2043" t="s">
        <v>35</v>
      </c>
      <c r="D2043" t="s">
        <v>24</v>
      </c>
      <c r="E2043" t="s">
        <v>42</v>
      </c>
      <c r="F2043">
        <v>3205</v>
      </c>
      <c r="G2043">
        <v>76</v>
      </c>
      <c r="H2043" s="6">
        <f t="shared" si="151"/>
        <v>243.58</v>
      </c>
    </row>
    <row r="2044" spans="1:8" hidden="1" x14ac:dyDescent="0.3">
      <c r="A2044" s="13" t="s">
        <v>213</v>
      </c>
      <c r="H2044" s="6">
        <f>SUBTOTAL(9,H2033:H2043)</f>
        <v>0</v>
      </c>
    </row>
    <row r="2045" spans="1:8" hidden="1" x14ac:dyDescent="0.3">
      <c r="A2045" s="9">
        <v>45126</v>
      </c>
      <c r="B2045" t="s">
        <v>8</v>
      </c>
      <c r="C2045" t="s">
        <v>20</v>
      </c>
      <c r="D2045" t="s">
        <v>18</v>
      </c>
      <c r="E2045" t="s">
        <v>28</v>
      </c>
      <c r="F2045">
        <v>690</v>
      </c>
      <c r="G2045">
        <v>57</v>
      </c>
      <c r="H2045" s="6">
        <f t="shared" ref="H2045:H2056" si="152">F2045*G2045/1000</f>
        <v>39.33</v>
      </c>
    </row>
    <row r="2046" spans="1:8" hidden="1" x14ac:dyDescent="0.3">
      <c r="A2046" s="9">
        <v>45126</v>
      </c>
      <c r="B2046" t="s">
        <v>45</v>
      </c>
      <c r="C2046" t="s">
        <v>20</v>
      </c>
      <c r="D2046" t="s">
        <v>18</v>
      </c>
      <c r="E2046" t="s">
        <v>37</v>
      </c>
      <c r="F2046">
        <v>890</v>
      </c>
      <c r="G2046">
        <v>82</v>
      </c>
      <c r="H2046" s="6">
        <f t="shared" si="152"/>
        <v>72.98</v>
      </c>
    </row>
    <row r="2047" spans="1:8" hidden="1" x14ac:dyDescent="0.3">
      <c r="A2047" s="9">
        <v>45126</v>
      </c>
      <c r="B2047" t="s">
        <v>12</v>
      </c>
      <c r="C2047" t="s">
        <v>20</v>
      </c>
      <c r="D2047" t="s">
        <v>13</v>
      </c>
      <c r="E2047" t="s">
        <v>29</v>
      </c>
      <c r="F2047">
        <v>1230</v>
      </c>
      <c r="G2047">
        <v>92</v>
      </c>
      <c r="H2047" s="6">
        <f t="shared" si="152"/>
        <v>113.16</v>
      </c>
    </row>
    <row r="2048" spans="1:8" hidden="1" x14ac:dyDescent="0.3">
      <c r="A2048" s="9">
        <v>45126</v>
      </c>
      <c r="B2048" t="s">
        <v>45</v>
      </c>
      <c r="C2048" t="s">
        <v>20</v>
      </c>
      <c r="D2048" t="s">
        <v>13</v>
      </c>
      <c r="E2048" t="s">
        <v>22</v>
      </c>
      <c r="F2048">
        <v>930</v>
      </c>
      <c r="G2048">
        <v>80</v>
      </c>
      <c r="H2048" s="6">
        <f t="shared" si="152"/>
        <v>74.400000000000006</v>
      </c>
    </row>
    <row r="2049" spans="1:8" hidden="1" x14ac:dyDescent="0.3">
      <c r="A2049" s="9">
        <v>45126</v>
      </c>
      <c r="B2049" t="s">
        <v>45</v>
      </c>
      <c r="C2049" t="s">
        <v>9</v>
      </c>
      <c r="D2049" t="s">
        <v>13</v>
      </c>
      <c r="E2049" t="s">
        <v>14</v>
      </c>
      <c r="F2049">
        <v>1320</v>
      </c>
      <c r="G2049">
        <v>70</v>
      </c>
      <c r="H2049" s="6">
        <f t="shared" si="152"/>
        <v>92.4</v>
      </c>
    </row>
    <row r="2050" spans="1:8" hidden="1" x14ac:dyDescent="0.3">
      <c r="A2050" s="9">
        <v>45126</v>
      </c>
      <c r="B2050" t="s">
        <v>8</v>
      </c>
      <c r="C2050" t="s">
        <v>26</v>
      </c>
      <c r="D2050" t="s">
        <v>10</v>
      </c>
      <c r="E2050" t="s">
        <v>39</v>
      </c>
      <c r="F2050">
        <v>650</v>
      </c>
      <c r="G2050">
        <v>48</v>
      </c>
      <c r="H2050" s="6">
        <f t="shared" si="152"/>
        <v>31.2</v>
      </c>
    </row>
    <row r="2051" spans="1:8" hidden="1" x14ac:dyDescent="0.3">
      <c r="A2051" s="9">
        <v>45126</v>
      </c>
      <c r="B2051" t="s">
        <v>17</v>
      </c>
      <c r="C2051" t="s">
        <v>26</v>
      </c>
      <c r="D2051" t="s">
        <v>24</v>
      </c>
      <c r="E2051" t="s">
        <v>42</v>
      </c>
      <c r="F2051">
        <v>3205</v>
      </c>
      <c r="G2051">
        <v>70</v>
      </c>
      <c r="H2051" s="6">
        <f t="shared" si="152"/>
        <v>224.35</v>
      </c>
    </row>
    <row r="2052" spans="1:8" hidden="1" x14ac:dyDescent="0.3">
      <c r="A2052" s="9">
        <v>45126</v>
      </c>
      <c r="B2052" t="s">
        <v>17</v>
      </c>
      <c r="C2052" t="s">
        <v>26</v>
      </c>
      <c r="D2052" t="s">
        <v>24</v>
      </c>
      <c r="E2052" t="s">
        <v>25</v>
      </c>
      <c r="F2052">
        <v>1760</v>
      </c>
      <c r="G2052">
        <v>29</v>
      </c>
      <c r="H2052" s="6">
        <f t="shared" si="152"/>
        <v>51.04</v>
      </c>
    </row>
    <row r="2053" spans="1:8" hidden="1" x14ac:dyDescent="0.3">
      <c r="A2053" s="9">
        <v>45126</v>
      </c>
      <c r="B2053" t="s">
        <v>17</v>
      </c>
      <c r="C2053" t="s">
        <v>15</v>
      </c>
      <c r="D2053" t="s">
        <v>18</v>
      </c>
      <c r="E2053" t="s">
        <v>27</v>
      </c>
      <c r="F2053">
        <v>460</v>
      </c>
      <c r="G2053">
        <v>96</v>
      </c>
      <c r="H2053" s="6">
        <f t="shared" si="152"/>
        <v>44.16</v>
      </c>
    </row>
    <row r="2054" spans="1:8" hidden="1" x14ac:dyDescent="0.3">
      <c r="A2054" s="9">
        <v>45126</v>
      </c>
      <c r="B2054" t="s">
        <v>12</v>
      </c>
      <c r="C2054" t="s">
        <v>15</v>
      </c>
      <c r="D2054" t="s">
        <v>13</v>
      </c>
      <c r="E2054" t="s">
        <v>38</v>
      </c>
      <c r="F2054">
        <v>2400</v>
      </c>
      <c r="G2054">
        <v>96</v>
      </c>
      <c r="H2054" s="6">
        <f t="shared" si="152"/>
        <v>230.4</v>
      </c>
    </row>
    <row r="2055" spans="1:8" hidden="1" x14ac:dyDescent="0.3">
      <c r="A2055" s="9">
        <v>45126</v>
      </c>
      <c r="B2055" t="s">
        <v>8</v>
      </c>
      <c r="C2055" t="s">
        <v>33</v>
      </c>
      <c r="D2055" t="s">
        <v>18</v>
      </c>
      <c r="E2055" t="s">
        <v>21</v>
      </c>
      <c r="F2055">
        <v>450</v>
      </c>
      <c r="G2055">
        <v>7</v>
      </c>
      <c r="H2055" s="6">
        <f t="shared" si="152"/>
        <v>3.15</v>
      </c>
    </row>
    <row r="2056" spans="1:8" hidden="1" x14ac:dyDescent="0.3">
      <c r="A2056" s="9">
        <v>45126</v>
      </c>
      <c r="B2056" t="s">
        <v>45</v>
      </c>
      <c r="C2056" t="s">
        <v>35</v>
      </c>
      <c r="D2056" t="s">
        <v>13</v>
      </c>
      <c r="E2056" t="s">
        <v>38</v>
      </c>
      <c r="F2056">
        <v>2400</v>
      </c>
      <c r="G2056">
        <v>32</v>
      </c>
      <c r="H2056" s="6">
        <f t="shared" si="152"/>
        <v>76.8</v>
      </c>
    </row>
    <row r="2057" spans="1:8" hidden="1" x14ac:dyDescent="0.3">
      <c r="A2057" s="13" t="s">
        <v>214</v>
      </c>
      <c r="H2057" s="6">
        <f>SUBTOTAL(9,H2045:H2056)</f>
        <v>0</v>
      </c>
    </row>
    <row r="2058" spans="1:8" hidden="1" x14ac:dyDescent="0.3">
      <c r="A2058" s="9">
        <v>45127</v>
      </c>
      <c r="B2058" t="s">
        <v>8</v>
      </c>
      <c r="C2058" t="s">
        <v>20</v>
      </c>
      <c r="D2058" t="s">
        <v>10</v>
      </c>
      <c r="E2058" t="s">
        <v>11</v>
      </c>
      <c r="F2058">
        <v>705</v>
      </c>
      <c r="G2058">
        <v>26</v>
      </c>
      <c r="H2058" s="6">
        <f t="shared" ref="H2058:H2069" si="153">F2058*G2058/1000</f>
        <v>18.329999999999998</v>
      </c>
    </row>
    <row r="2059" spans="1:8" hidden="1" x14ac:dyDescent="0.3">
      <c r="A2059" s="9">
        <v>45127</v>
      </c>
      <c r="B2059" t="s">
        <v>8</v>
      </c>
      <c r="C2059" t="s">
        <v>20</v>
      </c>
      <c r="D2059" t="s">
        <v>18</v>
      </c>
      <c r="E2059" t="s">
        <v>28</v>
      </c>
      <c r="F2059">
        <v>690</v>
      </c>
      <c r="G2059">
        <v>21</v>
      </c>
      <c r="H2059" s="6">
        <f t="shared" si="153"/>
        <v>14.49</v>
      </c>
    </row>
    <row r="2060" spans="1:8" hidden="1" x14ac:dyDescent="0.3">
      <c r="A2060" s="9">
        <v>45127</v>
      </c>
      <c r="B2060" t="s">
        <v>8</v>
      </c>
      <c r="C2060" t="s">
        <v>20</v>
      </c>
      <c r="D2060" t="s">
        <v>13</v>
      </c>
      <c r="E2060" t="s">
        <v>38</v>
      </c>
      <c r="F2060">
        <v>2400</v>
      </c>
      <c r="G2060">
        <v>83</v>
      </c>
      <c r="H2060" s="6">
        <f t="shared" si="153"/>
        <v>199.2</v>
      </c>
    </row>
    <row r="2061" spans="1:8" hidden="1" x14ac:dyDescent="0.3">
      <c r="A2061" s="9">
        <v>45127</v>
      </c>
      <c r="B2061" t="s">
        <v>12</v>
      </c>
      <c r="C2061" t="s">
        <v>20</v>
      </c>
      <c r="D2061" t="s">
        <v>24</v>
      </c>
      <c r="E2061" t="s">
        <v>42</v>
      </c>
      <c r="F2061">
        <v>3205</v>
      </c>
      <c r="G2061">
        <v>55</v>
      </c>
      <c r="H2061" s="6">
        <f t="shared" si="153"/>
        <v>176.27500000000001</v>
      </c>
    </row>
    <row r="2062" spans="1:8" hidden="1" x14ac:dyDescent="0.3">
      <c r="A2062" s="9">
        <v>45127</v>
      </c>
      <c r="B2062" t="s">
        <v>12</v>
      </c>
      <c r="C2062" t="s">
        <v>9</v>
      </c>
      <c r="D2062" t="s">
        <v>18</v>
      </c>
      <c r="E2062" t="s">
        <v>19</v>
      </c>
      <c r="F2062">
        <v>325</v>
      </c>
      <c r="G2062">
        <v>85</v>
      </c>
      <c r="H2062" s="6">
        <f t="shared" si="153"/>
        <v>27.625</v>
      </c>
    </row>
    <row r="2063" spans="1:8" hidden="1" x14ac:dyDescent="0.3">
      <c r="A2063" s="9">
        <v>45127</v>
      </c>
      <c r="B2063" t="s">
        <v>12</v>
      </c>
      <c r="C2063" t="s">
        <v>15</v>
      </c>
      <c r="D2063" t="s">
        <v>13</v>
      </c>
      <c r="E2063" t="s">
        <v>22</v>
      </c>
      <c r="F2063">
        <v>930</v>
      </c>
      <c r="G2063">
        <v>40</v>
      </c>
      <c r="H2063" s="6">
        <f t="shared" si="153"/>
        <v>37.200000000000003</v>
      </c>
    </row>
    <row r="2064" spans="1:8" hidden="1" x14ac:dyDescent="0.3">
      <c r="A2064" s="9">
        <v>45127</v>
      </c>
      <c r="B2064" t="s">
        <v>45</v>
      </c>
      <c r="C2064" t="s">
        <v>15</v>
      </c>
      <c r="D2064" t="s">
        <v>13</v>
      </c>
      <c r="E2064" t="s">
        <v>38</v>
      </c>
      <c r="F2064">
        <v>2400</v>
      </c>
      <c r="G2064">
        <v>94</v>
      </c>
      <c r="H2064" s="6">
        <f t="shared" si="153"/>
        <v>225.6</v>
      </c>
    </row>
    <row r="2065" spans="1:8" hidden="1" x14ac:dyDescent="0.3">
      <c r="A2065" s="9">
        <v>45127</v>
      </c>
      <c r="B2065" t="s">
        <v>45</v>
      </c>
      <c r="C2065" t="s">
        <v>33</v>
      </c>
      <c r="D2065" t="s">
        <v>18</v>
      </c>
      <c r="E2065" t="s">
        <v>37</v>
      </c>
      <c r="F2065">
        <v>890</v>
      </c>
      <c r="G2065">
        <v>100</v>
      </c>
      <c r="H2065" s="6">
        <f t="shared" si="153"/>
        <v>89</v>
      </c>
    </row>
    <row r="2066" spans="1:8" hidden="1" x14ac:dyDescent="0.3">
      <c r="A2066" s="9">
        <v>45127</v>
      </c>
      <c r="B2066" t="s">
        <v>12</v>
      </c>
      <c r="C2066" t="s">
        <v>35</v>
      </c>
      <c r="D2066" t="s">
        <v>10</v>
      </c>
      <c r="E2066" t="s">
        <v>40</v>
      </c>
      <c r="F2066">
        <v>540</v>
      </c>
      <c r="G2066">
        <v>53</v>
      </c>
      <c r="H2066" s="6">
        <f t="shared" si="153"/>
        <v>28.62</v>
      </c>
    </row>
    <row r="2067" spans="1:8" hidden="1" x14ac:dyDescent="0.3">
      <c r="A2067" s="9">
        <v>45127</v>
      </c>
      <c r="B2067" t="s">
        <v>45</v>
      </c>
      <c r="C2067" t="s">
        <v>35</v>
      </c>
      <c r="D2067" t="s">
        <v>10</v>
      </c>
      <c r="E2067" t="s">
        <v>11</v>
      </c>
      <c r="F2067">
        <v>705</v>
      </c>
      <c r="G2067">
        <v>29</v>
      </c>
      <c r="H2067" s="6">
        <f t="shared" si="153"/>
        <v>20.445</v>
      </c>
    </row>
    <row r="2068" spans="1:8" hidden="1" x14ac:dyDescent="0.3">
      <c r="A2068" s="9">
        <v>45127</v>
      </c>
      <c r="B2068" t="s">
        <v>8</v>
      </c>
      <c r="C2068" t="s">
        <v>35</v>
      </c>
      <c r="D2068" t="s">
        <v>13</v>
      </c>
      <c r="E2068" t="s">
        <v>14</v>
      </c>
      <c r="F2068">
        <v>1320</v>
      </c>
      <c r="G2068">
        <v>42</v>
      </c>
      <c r="H2068" s="6">
        <f t="shared" si="153"/>
        <v>55.44</v>
      </c>
    </row>
    <row r="2069" spans="1:8" hidden="1" x14ac:dyDescent="0.3">
      <c r="A2069" s="9">
        <v>45127</v>
      </c>
      <c r="B2069" t="s">
        <v>17</v>
      </c>
      <c r="C2069" t="s">
        <v>35</v>
      </c>
      <c r="D2069" t="s">
        <v>24</v>
      </c>
      <c r="E2069" t="s">
        <v>34</v>
      </c>
      <c r="F2069">
        <v>1670</v>
      </c>
      <c r="G2069">
        <v>76</v>
      </c>
      <c r="H2069" s="6">
        <f t="shared" si="153"/>
        <v>126.92</v>
      </c>
    </row>
    <row r="2070" spans="1:8" hidden="1" x14ac:dyDescent="0.3">
      <c r="A2070" s="13" t="s">
        <v>215</v>
      </c>
      <c r="H2070" s="6">
        <f>SUBTOTAL(9,H2058:H2069)</f>
        <v>0</v>
      </c>
    </row>
    <row r="2071" spans="1:8" hidden="1" x14ac:dyDescent="0.3">
      <c r="A2071" s="9">
        <v>45128</v>
      </c>
      <c r="B2071" t="s">
        <v>45</v>
      </c>
      <c r="C2071" t="s">
        <v>20</v>
      </c>
      <c r="D2071" t="s">
        <v>18</v>
      </c>
      <c r="E2071" t="s">
        <v>37</v>
      </c>
      <c r="F2071">
        <v>890</v>
      </c>
      <c r="G2071">
        <v>28</v>
      </c>
      <c r="H2071" s="6">
        <f t="shared" ref="H2071:H2083" si="154">F2071*G2071/1000</f>
        <v>24.92</v>
      </c>
    </row>
    <row r="2072" spans="1:8" hidden="1" x14ac:dyDescent="0.3">
      <c r="A2072" s="9">
        <v>45128</v>
      </c>
      <c r="B2072" t="s">
        <v>45</v>
      </c>
      <c r="C2072" t="s">
        <v>20</v>
      </c>
      <c r="D2072" t="s">
        <v>24</v>
      </c>
      <c r="E2072" t="s">
        <v>32</v>
      </c>
      <c r="F2072">
        <v>1505</v>
      </c>
      <c r="G2072">
        <v>75</v>
      </c>
      <c r="H2072" s="6">
        <f t="shared" si="154"/>
        <v>112.875</v>
      </c>
    </row>
    <row r="2073" spans="1:8" hidden="1" x14ac:dyDescent="0.3">
      <c r="A2073" s="9">
        <v>45128</v>
      </c>
      <c r="B2073" t="s">
        <v>45</v>
      </c>
      <c r="C2073" t="s">
        <v>9</v>
      </c>
      <c r="D2073" t="s">
        <v>18</v>
      </c>
      <c r="E2073" t="s">
        <v>19</v>
      </c>
      <c r="F2073">
        <v>325</v>
      </c>
      <c r="G2073">
        <v>71</v>
      </c>
      <c r="H2073" s="6">
        <f t="shared" si="154"/>
        <v>23.074999999999999</v>
      </c>
    </row>
    <row r="2074" spans="1:8" hidden="1" x14ac:dyDescent="0.3">
      <c r="A2074" s="9">
        <v>45128</v>
      </c>
      <c r="B2074" t="s">
        <v>12</v>
      </c>
      <c r="C2074" t="s">
        <v>26</v>
      </c>
      <c r="D2074" t="s">
        <v>18</v>
      </c>
      <c r="E2074" t="s">
        <v>37</v>
      </c>
      <c r="F2074">
        <v>890</v>
      </c>
      <c r="G2074">
        <v>26</v>
      </c>
      <c r="H2074" s="6">
        <f t="shared" si="154"/>
        <v>23.14</v>
      </c>
    </row>
    <row r="2075" spans="1:8" hidden="1" x14ac:dyDescent="0.3">
      <c r="A2075" s="9">
        <v>45128</v>
      </c>
      <c r="B2075" t="s">
        <v>17</v>
      </c>
      <c r="C2075" t="s">
        <v>26</v>
      </c>
      <c r="D2075" t="s">
        <v>24</v>
      </c>
      <c r="E2075" t="s">
        <v>34</v>
      </c>
      <c r="F2075">
        <v>1670</v>
      </c>
      <c r="G2075">
        <v>82</v>
      </c>
      <c r="H2075" s="6">
        <f t="shared" si="154"/>
        <v>136.94</v>
      </c>
    </row>
    <row r="2076" spans="1:8" hidden="1" x14ac:dyDescent="0.3">
      <c r="A2076" s="9">
        <v>45128</v>
      </c>
      <c r="B2076" t="s">
        <v>8</v>
      </c>
      <c r="C2076" t="s">
        <v>26</v>
      </c>
      <c r="D2076" t="s">
        <v>24</v>
      </c>
      <c r="E2076" t="s">
        <v>36</v>
      </c>
      <c r="F2076">
        <v>2460</v>
      </c>
      <c r="G2076">
        <v>74</v>
      </c>
      <c r="H2076" s="6">
        <f t="shared" si="154"/>
        <v>182.04</v>
      </c>
    </row>
    <row r="2077" spans="1:8" hidden="1" x14ac:dyDescent="0.3">
      <c r="A2077" s="9">
        <v>45128</v>
      </c>
      <c r="B2077" t="s">
        <v>45</v>
      </c>
      <c r="C2077" t="s">
        <v>15</v>
      </c>
      <c r="D2077" t="s">
        <v>18</v>
      </c>
      <c r="E2077" t="s">
        <v>28</v>
      </c>
      <c r="F2077">
        <v>690</v>
      </c>
      <c r="G2077">
        <v>66</v>
      </c>
      <c r="H2077" s="6">
        <f t="shared" si="154"/>
        <v>45.54</v>
      </c>
    </row>
    <row r="2078" spans="1:8" hidden="1" x14ac:dyDescent="0.3">
      <c r="A2078" s="9">
        <v>45128</v>
      </c>
      <c r="B2078" t="s">
        <v>12</v>
      </c>
      <c r="C2078" t="s">
        <v>15</v>
      </c>
      <c r="D2078" t="s">
        <v>24</v>
      </c>
      <c r="E2078" t="s">
        <v>30</v>
      </c>
      <c r="F2078">
        <v>2970</v>
      </c>
      <c r="G2078">
        <v>68</v>
      </c>
      <c r="H2078" s="6">
        <f t="shared" si="154"/>
        <v>201.96</v>
      </c>
    </row>
    <row r="2079" spans="1:8" hidden="1" x14ac:dyDescent="0.3">
      <c r="A2079" s="9">
        <v>45128</v>
      </c>
      <c r="B2079" t="s">
        <v>45</v>
      </c>
      <c r="C2079" t="s">
        <v>33</v>
      </c>
      <c r="D2079" t="s">
        <v>10</v>
      </c>
      <c r="E2079" t="s">
        <v>40</v>
      </c>
      <c r="F2079">
        <v>540</v>
      </c>
      <c r="G2079">
        <v>23</v>
      </c>
      <c r="H2079" s="6">
        <f t="shared" si="154"/>
        <v>12.42</v>
      </c>
    </row>
    <row r="2080" spans="1:8" hidden="1" x14ac:dyDescent="0.3">
      <c r="A2080" s="9">
        <v>45128</v>
      </c>
      <c r="B2080" t="s">
        <v>17</v>
      </c>
      <c r="C2080" t="s">
        <v>33</v>
      </c>
      <c r="D2080" t="s">
        <v>18</v>
      </c>
      <c r="E2080" t="s">
        <v>21</v>
      </c>
      <c r="F2080">
        <v>450</v>
      </c>
      <c r="G2080">
        <v>62</v>
      </c>
      <c r="H2080" s="6">
        <f t="shared" si="154"/>
        <v>27.9</v>
      </c>
    </row>
    <row r="2081" spans="1:8" hidden="1" x14ac:dyDescent="0.3">
      <c r="A2081" s="9">
        <v>45128</v>
      </c>
      <c r="B2081" t="s">
        <v>45</v>
      </c>
      <c r="C2081" t="s">
        <v>33</v>
      </c>
      <c r="D2081" t="s">
        <v>13</v>
      </c>
      <c r="E2081" t="s">
        <v>14</v>
      </c>
      <c r="F2081">
        <v>1320</v>
      </c>
      <c r="G2081">
        <v>27</v>
      </c>
      <c r="H2081" s="6">
        <f t="shared" si="154"/>
        <v>35.64</v>
      </c>
    </row>
    <row r="2082" spans="1:8" hidden="1" x14ac:dyDescent="0.3">
      <c r="A2082" s="9">
        <v>45128</v>
      </c>
      <c r="B2082" t="s">
        <v>12</v>
      </c>
      <c r="C2082" t="s">
        <v>33</v>
      </c>
      <c r="D2082" t="s">
        <v>24</v>
      </c>
      <c r="E2082" t="s">
        <v>32</v>
      </c>
      <c r="F2082">
        <v>1505</v>
      </c>
      <c r="G2082">
        <v>67</v>
      </c>
      <c r="H2082" s="6">
        <f t="shared" si="154"/>
        <v>100.83499999999999</v>
      </c>
    </row>
    <row r="2083" spans="1:8" hidden="1" x14ac:dyDescent="0.3">
      <c r="A2083" s="9">
        <v>45128</v>
      </c>
      <c r="B2083" t="s">
        <v>17</v>
      </c>
      <c r="C2083" t="s">
        <v>35</v>
      </c>
      <c r="D2083" t="s">
        <v>10</v>
      </c>
      <c r="E2083" t="s">
        <v>39</v>
      </c>
      <c r="F2083">
        <v>650</v>
      </c>
      <c r="G2083">
        <v>51</v>
      </c>
      <c r="H2083" s="6">
        <f t="shared" si="154"/>
        <v>33.15</v>
      </c>
    </row>
    <row r="2084" spans="1:8" hidden="1" x14ac:dyDescent="0.3">
      <c r="A2084" s="13" t="s">
        <v>216</v>
      </c>
      <c r="H2084" s="6">
        <f>SUBTOTAL(9,H2071:H2083)</f>
        <v>0</v>
      </c>
    </row>
    <row r="2085" spans="1:8" hidden="1" x14ac:dyDescent="0.3">
      <c r="A2085" s="9">
        <v>45129</v>
      </c>
      <c r="B2085" t="s">
        <v>12</v>
      </c>
      <c r="C2085" t="s">
        <v>20</v>
      </c>
      <c r="D2085" t="s">
        <v>10</v>
      </c>
      <c r="E2085" t="s">
        <v>16</v>
      </c>
      <c r="F2085">
        <v>1380</v>
      </c>
      <c r="G2085">
        <v>32</v>
      </c>
      <c r="H2085" s="6">
        <f t="shared" ref="H2085:H2093" si="155">F2085*G2085/1000</f>
        <v>44.16</v>
      </c>
    </row>
    <row r="2086" spans="1:8" hidden="1" x14ac:dyDescent="0.3">
      <c r="A2086" s="9">
        <v>45129</v>
      </c>
      <c r="B2086" t="s">
        <v>12</v>
      </c>
      <c r="C2086" t="s">
        <v>20</v>
      </c>
      <c r="D2086" t="s">
        <v>24</v>
      </c>
      <c r="E2086" t="s">
        <v>30</v>
      </c>
      <c r="F2086">
        <v>2970</v>
      </c>
      <c r="G2086">
        <v>95</v>
      </c>
      <c r="H2086" s="6">
        <f t="shared" si="155"/>
        <v>282.14999999999998</v>
      </c>
    </row>
    <row r="2087" spans="1:8" hidden="1" x14ac:dyDescent="0.3">
      <c r="A2087" s="9">
        <v>45129</v>
      </c>
      <c r="B2087" t="s">
        <v>45</v>
      </c>
      <c r="C2087" t="s">
        <v>9</v>
      </c>
      <c r="D2087" t="s">
        <v>10</v>
      </c>
      <c r="E2087" t="s">
        <v>23</v>
      </c>
      <c r="F2087">
        <v>640</v>
      </c>
      <c r="G2087">
        <v>56</v>
      </c>
      <c r="H2087" s="6">
        <f t="shared" si="155"/>
        <v>35.840000000000003</v>
      </c>
    </row>
    <row r="2088" spans="1:8" hidden="1" x14ac:dyDescent="0.3">
      <c r="A2088" s="9">
        <v>45129</v>
      </c>
      <c r="B2088" t="s">
        <v>12</v>
      </c>
      <c r="C2088" t="s">
        <v>9</v>
      </c>
      <c r="D2088" t="s">
        <v>10</v>
      </c>
      <c r="E2088" t="s">
        <v>40</v>
      </c>
      <c r="F2088">
        <v>540</v>
      </c>
      <c r="G2088">
        <v>58</v>
      </c>
      <c r="H2088" s="6">
        <f t="shared" si="155"/>
        <v>31.32</v>
      </c>
    </row>
    <row r="2089" spans="1:8" hidden="1" x14ac:dyDescent="0.3">
      <c r="A2089" s="9">
        <v>45129</v>
      </c>
      <c r="B2089" t="s">
        <v>8</v>
      </c>
      <c r="C2089" t="s">
        <v>9</v>
      </c>
      <c r="D2089" t="s">
        <v>13</v>
      </c>
      <c r="E2089" t="s">
        <v>38</v>
      </c>
      <c r="F2089">
        <v>2400</v>
      </c>
      <c r="G2089">
        <v>17</v>
      </c>
      <c r="H2089" s="6">
        <f t="shared" si="155"/>
        <v>40.799999999999997</v>
      </c>
    </row>
    <row r="2090" spans="1:8" hidden="1" x14ac:dyDescent="0.3">
      <c r="A2090" s="9">
        <v>45129</v>
      </c>
      <c r="B2090" t="s">
        <v>17</v>
      </c>
      <c r="C2090" t="s">
        <v>15</v>
      </c>
      <c r="D2090" t="s">
        <v>13</v>
      </c>
      <c r="E2090" t="s">
        <v>44</v>
      </c>
      <c r="F2090">
        <v>2540</v>
      </c>
      <c r="G2090">
        <v>66</v>
      </c>
      <c r="H2090" s="6">
        <f t="shared" si="155"/>
        <v>167.64</v>
      </c>
    </row>
    <row r="2091" spans="1:8" hidden="1" x14ac:dyDescent="0.3">
      <c r="A2091" s="9">
        <v>45129</v>
      </c>
      <c r="B2091" t="s">
        <v>45</v>
      </c>
      <c r="C2091" t="s">
        <v>33</v>
      </c>
      <c r="D2091" t="s">
        <v>18</v>
      </c>
      <c r="E2091" t="s">
        <v>27</v>
      </c>
      <c r="F2091">
        <v>460</v>
      </c>
      <c r="G2091">
        <v>21</v>
      </c>
      <c r="H2091" s="6">
        <f t="shared" si="155"/>
        <v>9.66</v>
      </c>
    </row>
    <row r="2092" spans="1:8" hidden="1" x14ac:dyDescent="0.3">
      <c r="A2092" s="9">
        <v>45129</v>
      </c>
      <c r="B2092" t="s">
        <v>17</v>
      </c>
      <c r="C2092" t="s">
        <v>33</v>
      </c>
      <c r="D2092" t="s">
        <v>18</v>
      </c>
      <c r="E2092" t="s">
        <v>28</v>
      </c>
      <c r="F2092">
        <v>690</v>
      </c>
      <c r="G2092">
        <v>39</v>
      </c>
      <c r="H2092" s="6">
        <f t="shared" si="155"/>
        <v>26.91</v>
      </c>
    </row>
    <row r="2093" spans="1:8" hidden="1" x14ac:dyDescent="0.3">
      <c r="A2093" s="9">
        <v>45129</v>
      </c>
      <c r="B2093" t="s">
        <v>17</v>
      </c>
      <c r="C2093" t="s">
        <v>35</v>
      </c>
      <c r="D2093" t="s">
        <v>13</v>
      </c>
      <c r="E2093" t="s">
        <v>44</v>
      </c>
      <c r="F2093">
        <v>2540</v>
      </c>
      <c r="G2093">
        <v>57</v>
      </c>
      <c r="H2093" s="6">
        <f t="shared" si="155"/>
        <v>144.78</v>
      </c>
    </row>
    <row r="2094" spans="1:8" hidden="1" x14ac:dyDescent="0.3">
      <c r="A2094" s="13" t="s">
        <v>217</v>
      </c>
      <c r="H2094" s="6">
        <f>SUBTOTAL(9,H2085:H2093)</f>
        <v>0</v>
      </c>
    </row>
    <row r="2095" spans="1:8" hidden="1" x14ac:dyDescent="0.3">
      <c r="A2095" s="9">
        <v>45130</v>
      </c>
      <c r="B2095" t="s">
        <v>8</v>
      </c>
      <c r="C2095" t="s">
        <v>20</v>
      </c>
      <c r="D2095" t="s">
        <v>13</v>
      </c>
      <c r="E2095" t="s">
        <v>38</v>
      </c>
      <c r="F2095">
        <v>2400</v>
      </c>
      <c r="G2095">
        <v>89</v>
      </c>
      <c r="H2095" s="6">
        <f t="shared" ref="H2095:H2105" si="156">F2095*G2095/1000</f>
        <v>213.6</v>
      </c>
    </row>
    <row r="2096" spans="1:8" hidden="1" x14ac:dyDescent="0.3">
      <c r="A2096" s="9">
        <v>45130</v>
      </c>
      <c r="B2096" t="s">
        <v>45</v>
      </c>
      <c r="C2096" t="s">
        <v>20</v>
      </c>
      <c r="D2096" t="s">
        <v>24</v>
      </c>
      <c r="E2096" t="s">
        <v>32</v>
      </c>
      <c r="F2096">
        <v>1505</v>
      </c>
      <c r="G2096">
        <v>33</v>
      </c>
      <c r="H2096" s="6">
        <f t="shared" si="156"/>
        <v>49.664999999999999</v>
      </c>
    </row>
    <row r="2097" spans="1:8" hidden="1" x14ac:dyDescent="0.3">
      <c r="A2097" s="9">
        <v>45130</v>
      </c>
      <c r="B2097" t="s">
        <v>17</v>
      </c>
      <c r="C2097" t="s">
        <v>26</v>
      </c>
      <c r="D2097" t="s">
        <v>18</v>
      </c>
      <c r="E2097" t="s">
        <v>27</v>
      </c>
      <c r="F2097">
        <v>460</v>
      </c>
      <c r="G2097">
        <v>88</v>
      </c>
      <c r="H2097" s="6">
        <f t="shared" si="156"/>
        <v>40.479999999999997</v>
      </c>
    </row>
    <row r="2098" spans="1:8" hidden="1" x14ac:dyDescent="0.3">
      <c r="A2098" s="9">
        <v>45130</v>
      </c>
      <c r="B2098" t="s">
        <v>12</v>
      </c>
      <c r="C2098" t="s">
        <v>26</v>
      </c>
      <c r="D2098" t="s">
        <v>18</v>
      </c>
      <c r="E2098" t="s">
        <v>31</v>
      </c>
      <c r="F2098">
        <v>715</v>
      </c>
      <c r="G2098">
        <v>69</v>
      </c>
      <c r="H2098" s="6">
        <f t="shared" si="156"/>
        <v>49.335000000000001</v>
      </c>
    </row>
    <row r="2099" spans="1:8" hidden="1" x14ac:dyDescent="0.3">
      <c r="A2099" s="9">
        <v>45130</v>
      </c>
      <c r="B2099" t="s">
        <v>8</v>
      </c>
      <c r="C2099" t="s">
        <v>26</v>
      </c>
      <c r="D2099" t="s">
        <v>13</v>
      </c>
      <c r="E2099" t="s">
        <v>29</v>
      </c>
      <c r="F2099">
        <v>1230</v>
      </c>
      <c r="G2099">
        <v>90</v>
      </c>
      <c r="H2099" s="6">
        <f t="shared" si="156"/>
        <v>110.7</v>
      </c>
    </row>
    <row r="2100" spans="1:8" hidden="1" x14ac:dyDescent="0.3">
      <c r="A2100" s="9">
        <v>45130</v>
      </c>
      <c r="B2100" t="s">
        <v>45</v>
      </c>
      <c r="C2100" t="s">
        <v>15</v>
      </c>
      <c r="D2100" t="s">
        <v>10</v>
      </c>
      <c r="E2100" t="s">
        <v>16</v>
      </c>
      <c r="F2100">
        <v>1380</v>
      </c>
      <c r="G2100">
        <v>58</v>
      </c>
      <c r="H2100" s="6">
        <f t="shared" si="156"/>
        <v>80.040000000000006</v>
      </c>
    </row>
    <row r="2101" spans="1:8" hidden="1" x14ac:dyDescent="0.3">
      <c r="A2101" s="9">
        <v>45130</v>
      </c>
      <c r="B2101" t="s">
        <v>45</v>
      </c>
      <c r="C2101" t="s">
        <v>15</v>
      </c>
      <c r="D2101" t="s">
        <v>10</v>
      </c>
      <c r="E2101" t="s">
        <v>16</v>
      </c>
      <c r="F2101">
        <v>1380</v>
      </c>
      <c r="G2101">
        <v>66</v>
      </c>
      <c r="H2101" s="6">
        <f t="shared" si="156"/>
        <v>91.08</v>
      </c>
    </row>
    <row r="2102" spans="1:8" hidden="1" x14ac:dyDescent="0.3">
      <c r="A2102" s="9">
        <v>45130</v>
      </c>
      <c r="B2102" t="s">
        <v>12</v>
      </c>
      <c r="C2102" t="s">
        <v>15</v>
      </c>
      <c r="D2102" t="s">
        <v>10</v>
      </c>
      <c r="E2102" t="s">
        <v>39</v>
      </c>
      <c r="F2102">
        <v>650</v>
      </c>
      <c r="G2102">
        <v>8</v>
      </c>
      <c r="H2102" s="6">
        <f t="shared" si="156"/>
        <v>5.2</v>
      </c>
    </row>
    <row r="2103" spans="1:8" hidden="1" x14ac:dyDescent="0.3">
      <c r="A2103" s="9">
        <v>45130</v>
      </c>
      <c r="B2103" t="s">
        <v>8</v>
      </c>
      <c r="C2103" t="s">
        <v>15</v>
      </c>
      <c r="D2103" t="s">
        <v>24</v>
      </c>
      <c r="E2103" t="s">
        <v>42</v>
      </c>
      <c r="F2103">
        <v>3205</v>
      </c>
      <c r="G2103">
        <v>85</v>
      </c>
      <c r="H2103" s="6">
        <f t="shared" si="156"/>
        <v>272.42500000000001</v>
      </c>
    </row>
    <row r="2104" spans="1:8" hidden="1" x14ac:dyDescent="0.3">
      <c r="A2104" s="9">
        <v>45130</v>
      </c>
      <c r="B2104" t="s">
        <v>8</v>
      </c>
      <c r="C2104" t="s">
        <v>33</v>
      </c>
      <c r="D2104" t="s">
        <v>10</v>
      </c>
      <c r="E2104" t="s">
        <v>39</v>
      </c>
      <c r="F2104">
        <v>650</v>
      </c>
      <c r="G2104">
        <v>31</v>
      </c>
      <c r="H2104" s="6">
        <f t="shared" si="156"/>
        <v>20.149999999999999</v>
      </c>
    </row>
    <row r="2105" spans="1:8" hidden="1" x14ac:dyDescent="0.3">
      <c r="A2105" s="9">
        <v>45130</v>
      </c>
      <c r="B2105" t="s">
        <v>12</v>
      </c>
      <c r="C2105" t="s">
        <v>35</v>
      </c>
      <c r="D2105" t="s">
        <v>24</v>
      </c>
      <c r="E2105" t="s">
        <v>30</v>
      </c>
      <c r="F2105">
        <v>2970</v>
      </c>
      <c r="G2105">
        <v>47</v>
      </c>
      <c r="H2105" s="6">
        <f t="shared" si="156"/>
        <v>139.59</v>
      </c>
    </row>
    <row r="2106" spans="1:8" hidden="1" x14ac:dyDescent="0.3">
      <c r="A2106" s="13" t="s">
        <v>218</v>
      </c>
      <c r="H2106" s="6">
        <f>SUBTOTAL(9,H2095:H2105)</f>
        <v>0</v>
      </c>
    </row>
    <row r="2107" spans="1:8" hidden="1" x14ac:dyDescent="0.3">
      <c r="A2107" s="9">
        <v>45131</v>
      </c>
      <c r="B2107" t="s">
        <v>8</v>
      </c>
      <c r="C2107" t="s">
        <v>20</v>
      </c>
      <c r="D2107" t="s">
        <v>18</v>
      </c>
      <c r="E2107" t="s">
        <v>28</v>
      </c>
      <c r="F2107">
        <v>690</v>
      </c>
      <c r="G2107">
        <v>21</v>
      </c>
      <c r="H2107" s="6">
        <f t="shared" ref="H2107:H2117" si="157">F2107*G2107/1000</f>
        <v>14.49</v>
      </c>
    </row>
    <row r="2108" spans="1:8" hidden="1" x14ac:dyDescent="0.3">
      <c r="A2108" s="9">
        <v>45131</v>
      </c>
      <c r="B2108" t="s">
        <v>8</v>
      </c>
      <c r="C2108" t="s">
        <v>20</v>
      </c>
      <c r="D2108" t="s">
        <v>13</v>
      </c>
      <c r="E2108" t="s">
        <v>43</v>
      </c>
      <c r="F2108">
        <v>1420</v>
      </c>
      <c r="G2108">
        <v>51</v>
      </c>
      <c r="H2108" s="6">
        <f t="shared" si="157"/>
        <v>72.42</v>
      </c>
    </row>
    <row r="2109" spans="1:8" hidden="1" x14ac:dyDescent="0.3">
      <c r="A2109" s="9">
        <v>45131</v>
      </c>
      <c r="B2109" t="s">
        <v>12</v>
      </c>
      <c r="C2109" t="s">
        <v>20</v>
      </c>
      <c r="D2109" t="s">
        <v>13</v>
      </c>
      <c r="E2109" t="s">
        <v>38</v>
      </c>
      <c r="F2109">
        <v>2400</v>
      </c>
      <c r="G2109">
        <v>40</v>
      </c>
      <c r="H2109" s="6">
        <f t="shared" si="157"/>
        <v>96</v>
      </c>
    </row>
    <row r="2110" spans="1:8" hidden="1" x14ac:dyDescent="0.3">
      <c r="A2110" s="9">
        <v>45131</v>
      </c>
      <c r="B2110" t="s">
        <v>17</v>
      </c>
      <c r="C2110" t="s">
        <v>20</v>
      </c>
      <c r="D2110" t="s">
        <v>13</v>
      </c>
      <c r="E2110" t="s">
        <v>43</v>
      </c>
      <c r="F2110">
        <v>1420</v>
      </c>
      <c r="G2110">
        <v>76</v>
      </c>
      <c r="H2110" s="6">
        <f t="shared" si="157"/>
        <v>107.92</v>
      </c>
    </row>
    <row r="2111" spans="1:8" hidden="1" x14ac:dyDescent="0.3">
      <c r="A2111" s="9">
        <v>45131</v>
      </c>
      <c r="B2111" t="s">
        <v>17</v>
      </c>
      <c r="C2111" t="s">
        <v>26</v>
      </c>
      <c r="D2111" t="s">
        <v>18</v>
      </c>
      <c r="E2111" t="s">
        <v>31</v>
      </c>
      <c r="F2111">
        <v>715</v>
      </c>
      <c r="G2111">
        <v>7</v>
      </c>
      <c r="H2111" s="6">
        <f t="shared" si="157"/>
        <v>5.0049999999999999</v>
      </c>
    </row>
    <row r="2112" spans="1:8" hidden="1" x14ac:dyDescent="0.3">
      <c r="A2112" s="9">
        <v>45131</v>
      </c>
      <c r="B2112" t="s">
        <v>45</v>
      </c>
      <c r="C2112" t="s">
        <v>15</v>
      </c>
      <c r="D2112" t="s">
        <v>10</v>
      </c>
      <c r="E2112" t="s">
        <v>41</v>
      </c>
      <c r="F2112">
        <v>650</v>
      </c>
      <c r="G2112">
        <v>75</v>
      </c>
      <c r="H2112" s="6">
        <f t="shared" si="157"/>
        <v>48.75</v>
      </c>
    </row>
    <row r="2113" spans="1:8" hidden="1" x14ac:dyDescent="0.3">
      <c r="A2113" s="9">
        <v>45131</v>
      </c>
      <c r="B2113" t="s">
        <v>17</v>
      </c>
      <c r="C2113" t="s">
        <v>15</v>
      </c>
      <c r="D2113" t="s">
        <v>10</v>
      </c>
      <c r="E2113" t="s">
        <v>40</v>
      </c>
      <c r="F2113">
        <v>540</v>
      </c>
      <c r="G2113">
        <v>5</v>
      </c>
      <c r="H2113" s="6">
        <f t="shared" si="157"/>
        <v>2.7</v>
      </c>
    </row>
    <row r="2114" spans="1:8" hidden="1" x14ac:dyDescent="0.3">
      <c r="A2114" s="9">
        <v>45131</v>
      </c>
      <c r="B2114" t="s">
        <v>12</v>
      </c>
      <c r="C2114" t="s">
        <v>15</v>
      </c>
      <c r="D2114" t="s">
        <v>18</v>
      </c>
      <c r="E2114" t="s">
        <v>21</v>
      </c>
      <c r="F2114">
        <v>450</v>
      </c>
      <c r="G2114">
        <v>56</v>
      </c>
      <c r="H2114" s="6">
        <f t="shared" si="157"/>
        <v>25.2</v>
      </c>
    </row>
    <row r="2115" spans="1:8" hidden="1" x14ac:dyDescent="0.3">
      <c r="A2115" s="9">
        <v>45131</v>
      </c>
      <c r="B2115" t="s">
        <v>8</v>
      </c>
      <c r="C2115" t="s">
        <v>33</v>
      </c>
      <c r="D2115" t="s">
        <v>10</v>
      </c>
      <c r="E2115" t="s">
        <v>39</v>
      </c>
      <c r="F2115">
        <v>650</v>
      </c>
      <c r="G2115">
        <v>23</v>
      </c>
      <c r="H2115" s="6">
        <f t="shared" si="157"/>
        <v>14.95</v>
      </c>
    </row>
    <row r="2116" spans="1:8" hidden="1" x14ac:dyDescent="0.3">
      <c r="A2116" s="9">
        <v>45131</v>
      </c>
      <c r="B2116" t="s">
        <v>8</v>
      </c>
      <c r="C2116" t="s">
        <v>33</v>
      </c>
      <c r="D2116" t="s">
        <v>13</v>
      </c>
      <c r="E2116" t="s">
        <v>43</v>
      </c>
      <c r="F2116">
        <v>1420</v>
      </c>
      <c r="G2116">
        <v>7</v>
      </c>
      <c r="H2116" s="6">
        <f t="shared" si="157"/>
        <v>9.94</v>
      </c>
    </row>
    <row r="2117" spans="1:8" hidden="1" x14ac:dyDescent="0.3">
      <c r="A2117" s="9">
        <v>45131</v>
      </c>
      <c r="B2117" t="s">
        <v>12</v>
      </c>
      <c r="C2117" t="s">
        <v>35</v>
      </c>
      <c r="D2117" t="s">
        <v>18</v>
      </c>
      <c r="E2117" t="s">
        <v>19</v>
      </c>
      <c r="F2117">
        <v>325</v>
      </c>
      <c r="G2117">
        <v>61</v>
      </c>
      <c r="H2117" s="6">
        <f t="shared" si="157"/>
        <v>19.824999999999999</v>
      </c>
    </row>
    <row r="2118" spans="1:8" hidden="1" x14ac:dyDescent="0.3">
      <c r="A2118" s="13" t="s">
        <v>219</v>
      </c>
      <c r="H2118" s="6">
        <f>SUBTOTAL(9,H2107:H2117)</f>
        <v>0</v>
      </c>
    </row>
    <row r="2119" spans="1:8" hidden="1" x14ac:dyDescent="0.3">
      <c r="A2119" s="9">
        <v>45132</v>
      </c>
      <c r="B2119" t="s">
        <v>8</v>
      </c>
      <c r="C2119" t="s">
        <v>20</v>
      </c>
      <c r="D2119" t="s">
        <v>10</v>
      </c>
      <c r="E2119" t="s">
        <v>23</v>
      </c>
      <c r="F2119">
        <v>640</v>
      </c>
      <c r="G2119">
        <v>17</v>
      </c>
      <c r="H2119" s="6">
        <f t="shared" ref="H2119:H2126" si="158">F2119*G2119/1000</f>
        <v>10.88</v>
      </c>
    </row>
    <row r="2120" spans="1:8" hidden="1" x14ac:dyDescent="0.3">
      <c r="A2120" s="9">
        <v>45132</v>
      </c>
      <c r="B2120" t="s">
        <v>12</v>
      </c>
      <c r="C2120" t="s">
        <v>20</v>
      </c>
      <c r="D2120" t="s">
        <v>10</v>
      </c>
      <c r="E2120" t="s">
        <v>11</v>
      </c>
      <c r="F2120">
        <v>705</v>
      </c>
      <c r="G2120">
        <v>40</v>
      </c>
      <c r="H2120" s="6">
        <f t="shared" si="158"/>
        <v>28.2</v>
      </c>
    </row>
    <row r="2121" spans="1:8" hidden="1" x14ac:dyDescent="0.3">
      <c r="A2121" s="9">
        <v>45132</v>
      </c>
      <c r="B2121" t="s">
        <v>45</v>
      </c>
      <c r="C2121" t="s">
        <v>20</v>
      </c>
      <c r="D2121" t="s">
        <v>18</v>
      </c>
      <c r="E2121" t="s">
        <v>31</v>
      </c>
      <c r="F2121">
        <v>715</v>
      </c>
      <c r="G2121">
        <v>58</v>
      </c>
      <c r="H2121" s="6">
        <f t="shared" si="158"/>
        <v>41.47</v>
      </c>
    </row>
    <row r="2122" spans="1:8" hidden="1" x14ac:dyDescent="0.3">
      <c r="A2122" s="9">
        <v>45132</v>
      </c>
      <c r="B2122" t="s">
        <v>12</v>
      </c>
      <c r="C2122" t="s">
        <v>9</v>
      </c>
      <c r="D2122" t="s">
        <v>10</v>
      </c>
      <c r="E2122" t="s">
        <v>40</v>
      </c>
      <c r="F2122">
        <v>540</v>
      </c>
      <c r="G2122">
        <v>11</v>
      </c>
      <c r="H2122" s="6">
        <f t="shared" si="158"/>
        <v>5.94</v>
      </c>
    </row>
    <row r="2123" spans="1:8" hidden="1" x14ac:dyDescent="0.3">
      <c r="A2123" s="9">
        <v>45132</v>
      </c>
      <c r="B2123" t="s">
        <v>12</v>
      </c>
      <c r="C2123" t="s">
        <v>9</v>
      </c>
      <c r="D2123" t="s">
        <v>13</v>
      </c>
      <c r="E2123" t="s">
        <v>44</v>
      </c>
      <c r="F2123">
        <v>2540</v>
      </c>
      <c r="G2123">
        <v>21</v>
      </c>
      <c r="H2123" s="6">
        <f t="shared" si="158"/>
        <v>53.34</v>
      </c>
    </row>
    <row r="2124" spans="1:8" hidden="1" x14ac:dyDescent="0.3">
      <c r="A2124" s="9">
        <v>45132</v>
      </c>
      <c r="B2124" t="s">
        <v>12</v>
      </c>
      <c r="C2124" t="s">
        <v>15</v>
      </c>
      <c r="D2124" t="s">
        <v>18</v>
      </c>
      <c r="E2124" t="s">
        <v>21</v>
      </c>
      <c r="F2124">
        <v>450</v>
      </c>
      <c r="G2124">
        <v>66</v>
      </c>
      <c r="H2124" s="6">
        <f t="shared" si="158"/>
        <v>29.7</v>
      </c>
    </row>
    <row r="2125" spans="1:8" hidden="1" x14ac:dyDescent="0.3">
      <c r="A2125" s="9">
        <v>45132</v>
      </c>
      <c r="B2125" t="s">
        <v>17</v>
      </c>
      <c r="C2125" t="s">
        <v>15</v>
      </c>
      <c r="D2125" t="s">
        <v>13</v>
      </c>
      <c r="E2125" t="s">
        <v>22</v>
      </c>
      <c r="F2125">
        <v>930</v>
      </c>
      <c r="G2125">
        <v>96</v>
      </c>
      <c r="H2125" s="6">
        <f t="shared" si="158"/>
        <v>89.28</v>
      </c>
    </row>
    <row r="2126" spans="1:8" hidden="1" x14ac:dyDescent="0.3">
      <c r="A2126" s="9">
        <v>45132</v>
      </c>
      <c r="B2126" t="s">
        <v>17</v>
      </c>
      <c r="C2126" t="s">
        <v>35</v>
      </c>
      <c r="D2126" t="s">
        <v>18</v>
      </c>
      <c r="E2126" t="s">
        <v>21</v>
      </c>
      <c r="F2126">
        <v>450</v>
      </c>
      <c r="G2126">
        <v>48</v>
      </c>
      <c r="H2126" s="6">
        <f t="shared" si="158"/>
        <v>21.6</v>
      </c>
    </row>
    <row r="2127" spans="1:8" hidden="1" x14ac:dyDescent="0.3">
      <c r="A2127" s="13" t="s">
        <v>220</v>
      </c>
      <c r="H2127" s="6">
        <f>SUBTOTAL(9,H2119:H2126)</f>
        <v>0</v>
      </c>
    </row>
    <row r="2128" spans="1:8" hidden="1" x14ac:dyDescent="0.3">
      <c r="A2128" s="9">
        <v>45133</v>
      </c>
      <c r="B2128" t="s">
        <v>8</v>
      </c>
      <c r="C2128" t="s">
        <v>20</v>
      </c>
      <c r="D2128" t="s">
        <v>10</v>
      </c>
      <c r="E2128" t="s">
        <v>23</v>
      </c>
      <c r="F2128">
        <v>640</v>
      </c>
      <c r="G2128">
        <v>72</v>
      </c>
      <c r="H2128" s="6">
        <f t="shared" ref="H2128:H2135" si="159">F2128*G2128/1000</f>
        <v>46.08</v>
      </c>
    </row>
    <row r="2129" spans="1:8" hidden="1" x14ac:dyDescent="0.3">
      <c r="A2129" s="9">
        <v>45133</v>
      </c>
      <c r="B2129" t="s">
        <v>8</v>
      </c>
      <c r="C2129" t="s">
        <v>20</v>
      </c>
      <c r="D2129" t="s">
        <v>10</v>
      </c>
      <c r="E2129" t="s">
        <v>40</v>
      </c>
      <c r="F2129">
        <v>540</v>
      </c>
      <c r="G2129">
        <v>51</v>
      </c>
      <c r="H2129" s="6">
        <f t="shared" si="159"/>
        <v>27.54</v>
      </c>
    </row>
    <row r="2130" spans="1:8" hidden="1" x14ac:dyDescent="0.3">
      <c r="A2130" s="9">
        <v>45133</v>
      </c>
      <c r="B2130" t="s">
        <v>17</v>
      </c>
      <c r="C2130" t="s">
        <v>9</v>
      </c>
      <c r="D2130" t="s">
        <v>18</v>
      </c>
      <c r="E2130" t="s">
        <v>37</v>
      </c>
      <c r="F2130">
        <v>890</v>
      </c>
      <c r="G2130">
        <v>38</v>
      </c>
      <c r="H2130" s="6">
        <f t="shared" si="159"/>
        <v>33.82</v>
      </c>
    </row>
    <row r="2131" spans="1:8" hidden="1" x14ac:dyDescent="0.3">
      <c r="A2131" s="9">
        <v>45133</v>
      </c>
      <c r="B2131" t="s">
        <v>12</v>
      </c>
      <c r="C2131" t="s">
        <v>26</v>
      </c>
      <c r="D2131" t="s">
        <v>13</v>
      </c>
      <c r="E2131" t="s">
        <v>43</v>
      </c>
      <c r="F2131">
        <v>1420</v>
      </c>
      <c r="G2131">
        <v>91</v>
      </c>
      <c r="H2131" s="6">
        <f t="shared" si="159"/>
        <v>129.22</v>
      </c>
    </row>
    <row r="2132" spans="1:8" hidden="1" x14ac:dyDescent="0.3">
      <c r="A2132" s="9">
        <v>45133</v>
      </c>
      <c r="B2132" t="s">
        <v>12</v>
      </c>
      <c r="C2132" t="s">
        <v>35</v>
      </c>
      <c r="D2132" t="s">
        <v>10</v>
      </c>
      <c r="E2132" t="s">
        <v>40</v>
      </c>
      <c r="F2132">
        <v>540</v>
      </c>
      <c r="G2132">
        <v>56</v>
      </c>
      <c r="H2132" s="6">
        <f t="shared" si="159"/>
        <v>30.24</v>
      </c>
    </row>
    <row r="2133" spans="1:8" hidden="1" x14ac:dyDescent="0.3">
      <c r="A2133" s="9">
        <v>45133</v>
      </c>
      <c r="B2133" t="s">
        <v>8</v>
      </c>
      <c r="C2133" t="s">
        <v>35</v>
      </c>
      <c r="D2133" t="s">
        <v>10</v>
      </c>
      <c r="E2133" t="s">
        <v>16</v>
      </c>
      <c r="F2133">
        <v>1380</v>
      </c>
      <c r="G2133">
        <v>53</v>
      </c>
      <c r="H2133" s="6">
        <f t="shared" si="159"/>
        <v>73.14</v>
      </c>
    </row>
    <row r="2134" spans="1:8" hidden="1" x14ac:dyDescent="0.3">
      <c r="A2134" s="9">
        <v>45133</v>
      </c>
      <c r="B2134" t="s">
        <v>8</v>
      </c>
      <c r="C2134" t="s">
        <v>35</v>
      </c>
      <c r="D2134" t="s">
        <v>18</v>
      </c>
      <c r="E2134" t="s">
        <v>37</v>
      </c>
      <c r="F2134">
        <v>890</v>
      </c>
      <c r="G2134">
        <v>67</v>
      </c>
      <c r="H2134" s="6">
        <f t="shared" si="159"/>
        <v>59.63</v>
      </c>
    </row>
    <row r="2135" spans="1:8" hidden="1" x14ac:dyDescent="0.3">
      <c r="A2135" s="9">
        <v>45133</v>
      </c>
      <c r="B2135" t="s">
        <v>12</v>
      </c>
      <c r="C2135" t="s">
        <v>35</v>
      </c>
      <c r="D2135" t="s">
        <v>24</v>
      </c>
      <c r="E2135" t="s">
        <v>30</v>
      </c>
      <c r="F2135">
        <v>2970</v>
      </c>
      <c r="G2135">
        <v>29</v>
      </c>
      <c r="H2135" s="6">
        <f t="shared" si="159"/>
        <v>86.13</v>
      </c>
    </row>
    <row r="2136" spans="1:8" hidden="1" x14ac:dyDescent="0.3">
      <c r="A2136" s="13" t="s">
        <v>221</v>
      </c>
      <c r="H2136" s="6">
        <f>SUBTOTAL(9,H2128:H2135)</f>
        <v>0</v>
      </c>
    </row>
    <row r="2137" spans="1:8" x14ac:dyDescent="0.3">
      <c r="A2137" s="9">
        <v>45134</v>
      </c>
      <c r="B2137" t="s">
        <v>45</v>
      </c>
      <c r="C2137" t="s">
        <v>9</v>
      </c>
      <c r="D2137" t="s">
        <v>13</v>
      </c>
      <c r="E2137" t="s">
        <v>29</v>
      </c>
      <c r="F2137">
        <v>1230</v>
      </c>
      <c r="G2137">
        <v>93</v>
      </c>
      <c r="H2137" s="6">
        <f t="shared" ref="H2137:H2142" si="160">F2137*G2137/1000</f>
        <v>114.39</v>
      </c>
    </row>
    <row r="2138" spans="1:8" hidden="1" x14ac:dyDescent="0.3">
      <c r="A2138" s="9">
        <v>45134</v>
      </c>
      <c r="B2138" t="s">
        <v>8</v>
      </c>
      <c r="C2138" t="s">
        <v>15</v>
      </c>
      <c r="D2138" t="s">
        <v>18</v>
      </c>
      <c r="E2138" t="s">
        <v>37</v>
      </c>
      <c r="F2138">
        <v>890</v>
      </c>
      <c r="G2138">
        <v>26</v>
      </c>
      <c r="H2138" s="6">
        <f t="shared" si="160"/>
        <v>23.14</v>
      </c>
    </row>
    <row r="2139" spans="1:8" hidden="1" x14ac:dyDescent="0.3">
      <c r="A2139" s="9">
        <v>45134</v>
      </c>
      <c r="B2139" t="s">
        <v>45</v>
      </c>
      <c r="C2139" t="s">
        <v>15</v>
      </c>
      <c r="D2139" t="s">
        <v>13</v>
      </c>
      <c r="E2139" t="s">
        <v>44</v>
      </c>
      <c r="F2139">
        <v>2540</v>
      </c>
      <c r="G2139">
        <v>97</v>
      </c>
      <c r="H2139" s="6">
        <f t="shared" si="160"/>
        <v>246.38</v>
      </c>
    </row>
    <row r="2140" spans="1:8" hidden="1" x14ac:dyDescent="0.3">
      <c r="A2140" s="9">
        <v>45134</v>
      </c>
      <c r="B2140" t="s">
        <v>17</v>
      </c>
      <c r="C2140" t="s">
        <v>15</v>
      </c>
      <c r="D2140" t="s">
        <v>13</v>
      </c>
      <c r="E2140" t="s">
        <v>43</v>
      </c>
      <c r="F2140">
        <v>1420</v>
      </c>
      <c r="G2140">
        <v>45</v>
      </c>
      <c r="H2140" s="6">
        <f t="shared" si="160"/>
        <v>63.9</v>
      </c>
    </row>
    <row r="2141" spans="1:8" hidden="1" x14ac:dyDescent="0.3">
      <c r="A2141" s="9">
        <v>45134</v>
      </c>
      <c r="B2141" t="s">
        <v>17</v>
      </c>
      <c r="C2141" t="s">
        <v>33</v>
      </c>
      <c r="D2141" t="s">
        <v>10</v>
      </c>
      <c r="E2141" t="s">
        <v>39</v>
      </c>
      <c r="F2141">
        <v>650</v>
      </c>
      <c r="G2141">
        <v>30</v>
      </c>
      <c r="H2141" s="6">
        <f t="shared" si="160"/>
        <v>19.5</v>
      </c>
    </row>
    <row r="2142" spans="1:8" hidden="1" x14ac:dyDescent="0.3">
      <c r="A2142" s="9">
        <v>45134</v>
      </c>
      <c r="B2142" t="s">
        <v>45</v>
      </c>
      <c r="C2142" t="s">
        <v>35</v>
      </c>
      <c r="D2142" t="s">
        <v>24</v>
      </c>
      <c r="E2142" t="s">
        <v>36</v>
      </c>
      <c r="F2142">
        <v>2460</v>
      </c>
      <c r="G2142">
        <v>84</v>
      </c>
      <c r="H2142" s="6">
        <f t="shared" si="160"/>
        <v>206.64</v>
      </c>
    </row>
    <row r="2143" spans="1:8" hidden="1" x14ac:dyDescent="0.3">
      <c r="A2143" s="13" t="s">
        <v>222</v>
      </c>
      <c r="H2143" s="6">
        <f>SUBTOTAL(9,H2137:H2142)</f>
        <v>114.39</v>
      </c>
    </row>
    <row r="2144" spans="1:8" hidden="1" x14ac:dyDescent="0.3">
      <c r="A2144" s="9">
        <v>45135</v>
      </c>
      <c r="B2144" t="s">
        <v>12</v>
      </c>
      <c r="C2144" t="s">
        <v>20</v>
      </c>
      <c r="D2144" t="s">
        <v>24</v>
      </c>
      <c r="E2144" t="s">
        <v>42</v>
      </c>
      <c r="F2144">
        <v>3205</v>
      </c>
      <c r="G2144">
        <v>82</v>
      </c>
      <c r="H2144" s="6">
        <f t="shared" ref="H2144:H2149" si="161">F2144*G2144/1000</f>
        <v>262.81</v>
      </c>
    </row>
    <row r="2145" spans="1:8" hidden="1" x14ac:dyDescent="0.3">
      <c r="A2145" s="9">
        <v>45135</v>
      </c>
      <c r="B2145" t="s">
        <v>12</v>
      </c>
      <c r="C2145" t="s">
        <v>26</v>
      </c>
      <c r="D2145" t="s">
        <v>10</v>
      </c>
      <c r="E2145" t="s">
        <v>39</v>
      </c>
      <c r="F2145">
        <v>650</v>
      </c>
      <c r="G2145">
        <v>9</v>
      </c>
      <c r="H2145" s="6">
        <f t="shared" si="161"/>
        <v>5.85</v>
      </c>
    </row>
    <row r="2146" spans="1:8" hidden="1" x14ac:dyDescent="0.3">
      <c r="A2146" s="9">
        <v>45135</v>
      </c>
      <c r="B2146" t="s">
        <v>8</v>
      </c>
      <c r="C2146" t="s">
        <v>15</v>
      </c>
      <c r="D2146" t="s">
        <v>13</v>
      </c>
      <c r="E2146" t="s">
        <v>29</v>
      </c>
      <c r="F2146">
        <v>1230</v>
      </c>
      <c r="G2146">
        <v>36</v>
      </c>
      <c r="H2146" s="6">
        <f t="shared" si="161"/>
        <v>44.28</v>
      </c>
    </row>
    <row r="2147" spans="1:8" hidden="1" x14ac:dyDescent="0.3">
      <c r="A2147" s="9">
        <v>45135</v>
      </c>
      <c r="B2147" t="s">
        <v>17</v>
      </c>
      <c r="C2147" t="s">
        <v>33</v>
      </c>
      <c r="D2147" t="s">
        <v>10</v>
      </c>
      <c r="E2147" t="s">
        <v>41</v>
      </c>
      <c r="F2147">
        <v>650</v>
      </c>
      <c r="G2147">
        <v>15</v>
      </c>
      <c r="H2147" s="6">
        <f t="shared" si="161"/>
        <v>9.75</v>
      </c>
    </row>
    <row r="2148" spans="1:8" hidden="1" x14ac:dyDescent="0.3">
      <c r="A2148" s="9">
        <v>45135</v>
      </c>
      <c r="B2148" t="s">
        <v>8</v>
      </c>
      <c r="C2148" t="s">
        <v>33</v>
      </c>
      <c r="D2148" t="s">
        <v>13</v>
      </c>
      <c r="E2148" t="s">
        <v>43</v>
      </c>
      <c r="F2148">
        <v>1420</v>
      </c>
      <c r="G2148">
        <v>54</v>
      </c>
      <c r="H2148" s="6">
        <f t="shared" si="161"/>
        <v>76.680000000000007</v>
      </c>
    </row>
    <row r="2149" spans="1:8" hidden="1" x14ac:dyDescent="0.3">
      <c r="A2149" s="9">
        <v>45135</v>
      </c>
      <c r="B2149" t="s">
        <v>45</v>
      </c>
      <c r="C2149" t="s">
        <v>35</v>
      </c>
      <c r="D2149" t="s">
        <v>18</v>
      </c>
      <c r="E2149" t="s">
        <v>27</v>
      </c>
      <c r="F2149">
        <v>460</v>
      </c>
      <c r="G2149">
        <v>8</v>
      </c>
      <c r="H2149" s="6">
        <f t="shared" si="161"/>
        <v>3.68</v>
      </c>
    </row>
    <row r="2150" spans="1:8" hidden="1" x14ac:dyDescent="0.3">
      <c r="A2150" s="13" t="s">
        <v>223</v>
      </c>
      <c r="H2150" s="6">
        <f>SUBTOTAL(9,H2144:H2149)</f>
        <v>0</v>
      </c>
    </row>
    <row r="2151" spans="1:8" hidden="1" x14ac:dyDescent="0.3">
      <c r="A2151" s="9">
        <v>45136</v>
      </c>
      <c r="B2151" t="s">
        <v>45</v>
      </c>
      <c r="C2151" t="s">
        <v>20</v>
      </c>
      <c r="D2151" t="s">
        <v>18</v>
      </c>
      <c r="E2151" t="s">
        <v>28</v>
      </c>
      <c r="F2151">
        <v>690</v>
      </c>
      <c r="G2151">
        <v>68</v>
      </c>
      <c r="H2151" s="6">
        <f t="shared" ref="H2151:H2159" si="162">F2151*G2151/1000</f>
        <v>46.92</v>
      </c>
    </row>
    <row r="2152" spans="1:8" hidden="1" x14ac:dyDescent="0.3">
      <c r="A2152" s="9">
        <v>45136</v>
      </c>
      <c r="B2152" t="s">
        <v>17</v>
      </c>
      <c r="C2152" t="s">
        <v>20</v>
      </c>
      <c r="D2152" t="s">
        <v>13</v>
      </c>
      <c r="E2152" t="s">
        <v>44</v>
      </c>
      <c r="F2152">
        <v>2540</v>
      </c>
      <c r="G2152">
        <v>81</v>
      </c>
      <c r="H2152" s="6">
        <f t="shared" si="162"/>
        <v>205.74</v>
      </c>
    </row>
    <row r="2153" spans="1:8" hidden="1" x14ac:dyDescent="0.3">
      <c r="A2153" s="9">
        <v>45136</v>
      </c>
      <c r="B2153" t="s">
        <v>45</v>
      </c>
      <c r="C2153" t="s">
        <v>26</v>
      </c>
      <c r="D2153" t="s">
        <v>10</v>
      </c>
      <c r="E2153" t="s">
        <v>41</v>
      </c>
      <c r="F2153">
        <v>650</v>
      </c>
      <c r="G2153">
        <v>84</v>
      </c>
      <c r="H2153" s="6">
        <f t="shared" si="162"/>
        <v>54.6</v>
      </c>
    </row>
    <row r="2154" spans="1:8" hidden="1" x14ac:dyDescent="0.3">
      <c r="A2154" s="9">
        <v>45136</v>
      </c>
      <c r="B2154" t="s">
        <v>45</v>
      </c>
      <c r="C2154" t="s">
        <v>26</v>
      </c>
      <c r="D2154" t="s">
        <v>13</v>
      </c>
      <c r="E2154" t="s">
        <v>38</v>
      </c>
      <c r="F2154">
        <v>2400</v>
      </c>
      <c r="G2154">
        <v>54</v>
      </c>
      <c r="H2154" s="6">
        <f t="shared" si="162"/>
        <v>129.6</v>
      </c>
    </row>
    <row r="2155" spans="1:8" hidden="1" x14ac:dyDescent="0.3">
      <c r="A2155" s="9">
        <v>45136</v>
      </c>
      <c r="B2155" t="s">
        <v>17</v>
      </c>
      <c r="C2155" t="s">
        <v>26</v>
      </c>
      <c r="D2155" t="s">
        <v>13</v>
      </c>
      <c r="E2155" t="s">
        <v>29</v>
      </c>
      <c r="F2155">
        <v>1230</v>
      </c>
      <c r="G2155">
        <v>27</v>
      </c>
      <c r="H2155" s="6">
        <f t="shared" si="162"/>
        <v>33.21</v>
      </c>
    </row>
    <row r="2156" spans="1:8" hidden="1" x14ac:dyDescent="0.3">
      <c r="A2156" s="9">
        <v>45136</v>
      </c>
      <c r="B2156" t="s">
        <v>12</v>
      </c>
      <c r="C2156" t="s">
        <v>15</v>
      </c>
      <c r="D2156" t="s">
        <v>10</v>
      </c>
      <c r="E2156" t="s">
        <v>11</v>
      </c>
      <c r="F2156">
        <v>705</v>
      </c>
      <c r="G2156">
        <v>85</v>
      </c>
      <c r="H2156" s="6">
        <f t="shared" si="162"/>
        <v>59.924999999999997</v>
      </c>
    </row>
    <row r="2157" spans="1:8" hidden="1" x14ac:dyDescent="0.3">
      <c r="A2157" s="9">
        <v>45136</v>
      </c>
      <c r="B2157" t="s">
        <v>12</v>
      </c>
      <c r="C2157" t="s">
        <v>15</v>
      </c>
      <c r="D2157" t="s">
        <v>24</v>
      </c>
      <c r="E2157" t="s">
        <v>42</v>
      </c>
      <c r="F2157">
        <v>3205</v>
      </c>
      <c r="G2157">
        <v>41</v>
      </c>
      <c r="H2157" s="6">
        <f t="shared" si="162"/>
        <v>131.405</v>
      </c>
    </row>
    <row r="2158" spans="1:8" hidden="1" x14ac:dyDescent="0.3">
      <c r="A2158" s="9">
        <v>45136</v>
      </c>
      <c r="B2158" t="s">
        <v>45</v>
      </c>
      <c r="C2158" t="s">
        <v>15</v>
      </c>
      <c r="D2158" t="s">
        <v>24</v>
      </c>
      <c r="E2158" t="s">
        <v>30</v>
      </c>
      <c r="F2158">
        <v>2970</v>
      </c>
      <c r="G2158">
        <v>8</v>
      </c>
      <c r="H2158" s="6">
        <f t="shared" si="162"/>
        <v>23.76</v>
      </c>
    </row>
    <row r="2159" spans="1:8" hidden="1" x14ac:dyDescent="0.3">
      <c r="A2159" s="9">
        <v>45136</v>
      </c>
      <c r="B2159" t="s">
        <v>45</v>
      </c>
      <c r="C2159" t="s">
        <v>33</v>
      </c>
      <c r="D2159" t="s">
        <v>18</v>
      </c>
      <c r="E2159" t="s">
        <v>21</v>
      </c>
      <c r="F2159">
        <v>450</v>
      </c>
      <c r="G2159">
        <v>86</v>
      </c>
      <c r="H2159" s="6">
        <f t="shared" si="162"/>
        <v>38.700000000000003</v>
      </c>
    </row>
    <row r="2160" spans="1:8" hidden="1" x14ac:dyDescent="0.3">
      <c r="A2160" s="13" t="s">
        <v>224</v>
      </c>
      <c r="H2160" s="6">
        <f>SUBTOTAL(9,H2151:H2159)</f>
        <v>0</v>
      </c>
    </row>
    <row r="2161" spans="1:8" hidden="1" x14ac:dyDescent="0.3">
      <c r="A2161" s="9">
        <v>45137</v>
      </c>
      <c r="B2161" t="s">
        <v>12</v>
      </c>
      <c r="C2161" t="s">
        <v>20</v>
      </c>
      <c r="D2161" t="s">
        <v>18</v>
      </c>
      <c r="E2161" t="s">
        <v>19</v>
      </c>
      <c r="F2161">
        <v>325</v>
      </c>
      <c r="G2161">
        <v>99</v>
      </c>
      <c r="H2161" s="6">
        <f t="shared" ref="H2161:H2171" si="163">F2161*G2161/1000</f>
        <v>32.174999999999997</v>
      </c>
    </row>
    <row r="2162" spans="1:8" hidden="1" x14ac:dyDescent="0.3">
      <c r="A2162" s="9">
        <v>45137</v>
      </c>
      <c r="B2162" t="s">
        <v>12</v>
      </c>
      <c r="C2162" t="s">
        <v>9</v>
      </c>
      <c r="D2162" t="s">
        <v>13</v>
      </c>
      <c r="E2162" t="s">
        <v>38</v>
      </c>
      <c r="F2162">
        <v>2400</v>
      </c>
      <c r="G2162">
        <v>91</v>
      </c>
      <c r="H2162" s="6">
        <f t="shared" si="163"/>
        <v>218.4</v>
      </c>
    </row>
    <row r="2163" spans="1:8" hidden="1" x14ac:dyDescent="0.3">
      <c r="A2163" s="9">
        <v>45137</v>
      </c>
      <c r="B2163" t="s">
        <v>17</v>
      </c>
      <c r="C2163" t="s">
        <v>9</v>
      </c>
      <c r="D2163" t="s">
        <v>24</v>
      </c>
      <c r="E2163" t="s">
        <v>32</v>
      </c>
      <c r="F2163">
        <v>1505</v>
      </c>
      <c r="G2163">
        <v>86</v>
      </c>
      <c r="H2163" s="6">
        <f t="shared" si="163"/>
        <v>129.43</v>
      </c>
    </row>
    <row r="2164" spans="1:8" hidden="1" x14ac:dyDescent="0.3">
      <c r="A2164" s="9">
        <v>45137</v>
      </c>
      <c r="B2164" t="s">
        <v>17</v>
      </c>
      <c r="C2164" t="s">
        <v>26</v>
      </c>
      <c r="D2164" t="s">
        <v>10</v>
      </c>
      <c r="E2164" t="s">
        <v>11</v>
      </c>
      <c r="F2164">
        <v>705</v>
      </c>
      <c r="G2164">
        <v>25</v>
      </c>
      <c r="H2164" s="6">
        <f t="shared" si="163"/>
        <v>17.625</v>
      </c>
    </row>
    <row r="2165" spans="1:8" hidden="1" x14ac:dyDescent="0.3">
      <c r="A2165" s="9">
        <v>45137</v>
      </c>
      <c r="B2165" t="s">
        <v>12</v>
      </c>
      <c r="C2165" t="s">
        <v>26</v>
      </c>
      <c r="D2165" t="s">
        <v>18</v>
      </c>
      <c r="E2165" t="s">
        <v>37</v>
      </c>
      <c r="F2165">
        <v>890</v>
      </c>
      <c r="G2165">
        <v>63</v>
      </c>
      <c r="H2165" s="6">
        <f t="shared" si="163"/>
        <v>56.07</v>
      </c>
    </row>
    <row r="2166" spans="1:8" hidden="1" x14ac:dyDescent="0.3">
      <c r="A2166" s="9">
        <v>45137</v>
      </c>
      <c r="B2166" t="s">
        <v>45</v>
      </c>
      <c r="C2166" t="s">
        <v>15</v>
      </c>
      <c r="D2166" t="s">
        <v>18</v>
      </c>
      <c r="E2166" t="s">
        <v>19</v>
      </c>
      <c r="F2166">
        <v>325</v>
      </c>
      <c r="G2166">
        <v>18</v>
      </c>
      <c r="H2166" s="6">
        <f t="shared" si="163"/>
        <v>5.85</v>
      </c>
    </row>
    <row r="2167" spans="1:8" hidden="1" x14ac:dyDescent="0.3">
      <c r="A2167" s="9">
        <v>45137</v>
      </c>
      <c r="B2167" t="s">
        <v>12</v>
      </c>
      <c r="C2167" t="s">
        <v>15</v>
      </c>
      <c r="D2167" t="s">
        <v>18</v>
      </c>
      <c r="E2167" t="s">
        <v>21</v>
      </c>
      <c r="F2167">
        <v>450</v>
      </c>
      <c r="G2167">
        <v>56</v>
      </c>
      <c r="H2167" s="6">
        <f t="shared" si="163"/>
        <v>25.2</v>
      </c>
    </row>
    <row r="2168" spans="1:8" hidden="1" x14ac:dyDescent="0.3">
      <c r="A2168" s="9">
        <v>45137</v>
      </c>
      <c r="B2168" t="s">
        <v>12</v>
      </c>
      <c r="C2168" t="s">
        <v>15</v>
      </c>
      <c r="D2168" t="s">
        <v>13</v>
      </c>
      <c r="E2168" t="s">
        <v>22</v>
      </c>
      <c r="F2168">
        <v>930</v>
      </c>
      <c r="G2168">
        <v>30</v>
      </c>
      <c r="H2168" s="6">
        <f t="shared" si="163"/>
        <v>27.9</v>
      </c>
    </row>
    <row r="2169" spans="1:8" hidden="1" x14ac:dyDescent="0.3">
      <c r="A2169" s="9">
        <v>45137</v>
      </c>
      <c r="B2169" t="s">
        <v>12</v>
      </c>
      <c r="C2169" t="s">
        <v>15</v>
      </c>
      <c r="D2169" t="s">
        <v>24</v>
      </c>
      <c r="E2169" t="s">
        <v>25</v>
      </c>
      <c r="F2169">
        <v>1760</v>
      </c>
      <c r="G2169">
        <v>25</v>
      </c>
      <c r="H2169" s="6">
        <f t="shared" si="163"/>
        <v>44</v>
      </c>
    </row>
    <row r="2170" spans="1:8" hidden="1" x14ac:dyDescent="0.3">
      <c r="A2170" s="9">
        <v>45137</v>
      </c>
      <c r="B2170" t="s">
        <v>8</v>
      </c>
      <c r="C2170" t="s">
        <v>33</v>
      </c>
      <c r="D2170" t="s">
        <v>18</v>
      </c>
      <c r="E2170" t="s">
        <v>19</v>
      </c>
      <c r="F2170">
        <v>325</v>
      </c>
      <c r="G2170">
        <v>26</v>
      </c>
      <c r="H2170" s="6">
        <f t="shared" si="163"/>
        <v>8.4499999999999993</v>
      </c>
    </row>
    <row r="2171" spans="1:8" hidden="1" x14ac:dyDescent="0.3">
      <c r="A2171" s="9">
        <v>45137</v>
      </c>
      <c r="B2171" t="s">
        <v>8</v>
      </c>
      <c r="C2171" t="s">
        <v>35</v>
      </c>
      <c r="D2171" t="s">
        <v>24</v>
      </c>
      <c r="E2171" t="s">
        <v>36</v>
      </c>
      <c r="F2171">
        <v>2460</v>
      </c>
      <c r="G2171">
        <v>22</v>
      </c>
      <c r="H2171" s="6">
        <f t="shared" si="163"/>
        <v>54.12</v>
      </c>
    </row>
    <row r="2172" spans="1:8" hidden="1" x14ac:dyDescent="0.3">
      <c r="A2172" s="13" t="s">
        <v>225</v>
      </c>
      <c r="H2172" s="6">
        <f>SUBTOTAL(9,H2161:H2171)</f>
        <v>0</v>
      </c>
    </row>
    <row r="2173" spans="1:8" hidden="1" x14ac:dyDescent="0.3">
      <c r="A2173" s="9">
        <v>45138</v>
      </c>
      <c r="B2173" t="s">
        <v>12</v>
      </c>
      <c r="C2173" t="s">
        <v>20</v>
      </c>
      <c r="D2173" t="s">
        <v>10</v>
      </c>
      <c r="E2173" t="s">
        <v>41</v>
      </c>
      <c r="F2173">
        <v>650</v>
      </c>
      <c r="G2173">
        <v>33</v>
      </c>
      <c r="H2173" s="6">
        <f>F2173*G2173/1000</f>
        <v>21.45</v>
      </c>
    </row>
    <row r="2174" spans="1:8" hidden="1" x14ac:dyDescent="0.3">
      <c r="A2174" s="9">
        <v>45138</v>
      </c>
      <c r="B2174" t="s">
        <v>45</v>
      </c>
      <c r="C2174" t="s">
        <v>20</v>
      </c>
      <c r="D2174" t="s">
        <v>18</v>
      </c>
      <c r="E2174" t="s">
        <v>19</v>
      </c>
      <c r="F2174">
        <v>325</v>
      </c>
      <c r="G2174">
        <v>31</v>
      </c>
      <c r="H2174" s="6">
        <f>F2174*G2174/1000</f>
        <v>10.074999999999999</v>
      </c>
    </row>
    <row r="2175" spans="1:8" hidden="1" x14ac:dyDescent="0.3">
      <c r="A2175" s="9">
        <v>45138</v>
      </c>
      <c r="B2175" t="s">
        <v>45</v>
      </c>
      <c r="C2175" t="s">
        <v>20</v>
      </c>
      <c r="D2175" t="s">
        <v>13</v>
      </c>
      <c r="E2175" t="s">
        <v>43</v>
      </c>
      <c r="F2175">
        <v>1420</v>
      </c>
      <c r="G2175">
        <v>19</v>
      </c>
      <c r="H2175" s="6">
        <f>F2175*G2175/1000</f>
        <v>26.98</v>
      </c>
    </row>
    <row r="2176" spans="1:8" hidden="1" x14ac:dyDescent="0.3">
      <c r="A2176" s="9">
        <v>45138</v>
      </c>
      <c r="B2176" t="s">
        <v>12</v>
      </c>
      <c r="C2176" t="s">
        <v>26</v>
      </c>
      <c r="D2176" t="s">
        <v>13</v>
      </c>
      <c r="E2176" t="s">
        <v>43</v>
      </c>
      <c r="F2176">
        <v>1420</v>
      </c>
      <c r="G2176">
        <v>40</v>
      </c>
      <c r="H2176" s="6">
        <f>F2176*G2176/1000</f>
        <v>56.8</v>
      </c>
    </row>
    <row r="2177" spans="1:8" hidden="1" x14ac:dyDescent="0.3">
      <c r="A2177" s="9">
        <v>45138</v>
      </c>
      <c r="B2177" t="s">
        <v>8</v>
      </c>
      <c r="C2177" t="s">
        <v>33</v>
      </c>
      <c r="D2177" t="s">
        <v>18</v>
      </c>
      <c r="E2177" t="s">
        <v>27</v>
      </c>
      <c r="F2177">
        <v>460</v>
      </c>
      <c r="G2177">
        <v>36</v>
      </c>
      <c r="H2177" s="6">
        <f>F2177*G2177/1000</f>
        <v>16.559999999999999</v>
      </c>
    </row>
    <row r="2178" spans="1:8" hidden="1" x14ac:dyDescent="0.3">
      <c r="A2178" s="13" t="s">
        <v>226</v>
      </c>
      <c r="H2178" s="6">
        <f>SUBTOTAL(9,H2173:H2177)</f>
        <v>0</v>
      </c>
    </row>
    <row r="2179" spans="1:8" hidden="1" x14ac:dyDescent="0.3">
      <c r="A2179" s="9">
        <v>45139</v>
      </c>
      <c r="B2179" t="s">
        <v>12</v>
      </c>
      <c r="C2179" t="s">
        <v>20</v>
      </c>
      <c r="D2179" t="s">
        <v>18</v>
      </c>
      <c r="E2179" t="s">
        <v>27</v>
      </c>
      <c r="F2179">
        <v>460</v>
      </c>
      <c r="G2179">
        <v>70</v>
      </c>
      <c r="H2179" s="6">
        <f t="shared" ref="H2179:H2187" si="164">F2179*G2179/1000</f>
        <v>32.200000000000003</v>
      </c>
    </row>
    <row r="2180" spans="1:8" hidden="1" x14ac:dyDescent="0.3">
      <c r="A2180" s="9">
        <v>45139</v>
      </c>
      <c r="B2180" t="s">
        <v>17</v>
      </c>
      <c r="C2180" t="s">
        <v>20</v>
      </c>
      <c r="D2180" t="s">
        <v>13</v>
      </c>
      <c r="E2180" t="s">
        <v>29</v>
      </c>
      <c r="F2180">
        <v>1230</v>
      </c>
      <c r="G2180">
        <v>94</v>
      </c>
      <c r="H2180" s="6">
        <f t="shared" si="164"/>
        <v>115.62</v>
      </c>
    </row>
    <row r="2181" spans="1:8" hidden="1" x14ac:dyDescent="0.3">
      <c r="A2181" s="9">
        <v>45139</v>
      </c>
      <c r="B2181" t="s">
        <v>17</v>
      </c>
      <c r="C2181" t="s">
        <v>26</v>
      </c>
      <c r="D2181" t="s">
        <v>24</v>
      </c>
      <c r="E2181" t="s">
        <v>34</v>
      </c>
      <c r="F2181">
        <v>1670</v>
      </c>
      <c r="G2181">
        <v>73</v>
      </c>
      <c r="H2181" s="6">
        <f t="shared" si="164"/>
        <v>121.91</v>
      </c>
    </row>
    <row r="2182" spans="1:8" hidden="1" x14ac:dyDescent="0.3">
      <c r="A2182" s="9">
        <v>45139</v>
      </c>
      <c r="B2182" t="s">
        <v>12</v>
      </c>
      <c r="C2182" t="s">
        <v>15</v>
      </c>
      <c r="D2182" t="s">
        <v>13</v>
      </c>
      <c r="E2182" t="s">
        <v>44</v>
      </c>
      <c r="F2182">
        <v>2540</v>
      </c>
      <c r="G2182">
        <v>92</v>
      </c>
      <c r="H2182" s="6">
        <f t="shared" si="164"/>
        <v>233.68</v>
      </c>
    </row>
    <row r="2183" spans="1:8" hidden="1" x14ac:dyDescent="0.3">
      <c r="A2183" s="9">
        <v>45139</v>
      </c>
      <c r="B2183" t="s">
        <v>17</v>
      </c>
      <c r="C2183" t="s">
        <v>15</v>
      </c>
      <c r="D2183" t="s">
        <v>24</v>
      </c>
      <c r="E2183" t="s">
        <v>42</v>
      </c>
      <c r="F2183">
        <v>3205</v>
      </c>
      <c r="G2183">
        <v>57</v>
      </c>
      <c r="H2183" s="6">
        <f t="shared" si="164"/>
        <v>182.685</v>
      </c>
    </row>
    <row r="2184" spans="1:8" hidden="1" x14ac:dyDescent="0.3">
      <c r="A2184" s="9">
        <v>45139</v>
      </c>
      <c r="B2184" t="s">
        <v>17</v>
      </c>
      <c r="C2184" t="s">
        <v>33</v>
      </c>
      <c r="D2184" t="s">
        <v>10</v>
      </c>
      <c r="E2184" t="s">
        <v>41</v>
      </c>
      <c r="F2184">
        <v>650</v>
      </c>
      <c r="G2184">
        <v>31</v>
      </c>
      <c r="H2184" s="6">
        <f t="shared" si="164"/>
        <v>20.149999999999999</v>
      </c>
    </row>
    <row r="2185" spans="1:8" hidden="1" x14ac:dyDescent="0.3">
      <c r="A2185" s="9">
        <v>45139</v>
      </c>
      <c r="B2185" t="s">
        <v>17</v>
      </c>
      <c r="C2185" t="s">
        <v>33</v>
      </c>
      <c r="D2185" t="s">
        <v>13</v>
      </c>
      <c r="E2185" t="s">
        <v>22</v>
      </c>
      <c r="F2185">
        <v>930</v>
      </c>
      <c r="G2185">
        <v>47</v>
      </c>
      <c r="H2185" s="6">
        <f t="shared" si="164"/>
        <v>43.71</v>
      </c>
    </row>
    <row r="2186" spans="1:8" hidden="1" x14ac:dyDescent="0.3">
      <c r="A2186" s="9">
        <v>45139</v>
      </c>
      <c r="B2186" t="s">
        <v>8</v>
      </c>
      <c r="C2186" t="s">
        <v>33</v>
      </c>
      <c r="D2186" t="s">
        <v>13</v>
      </c>
      <c r="E2186" t="s">
        <v>29</v>
      </c>
      <c r="F2186">
        <v>1230</v>
      </c>
      <c r="G2186">
        <v>17</v>
      </c>
      <c r="H2186" s="6">
        <f t="shared" si="164"/>
        <v>20.91</v>
      </c>
    </row>
    <row r="2187" spans="1:8" hidden="1" x14ac:dyDescent="0.3">
      <c r="A2187" s="9">
        <v>45139</v>
      </c>
      <c r="B2187" t="s">
        <v>8</v>
      </c>
      <c r="C2187" t="s">
        <v>35</v>
      </c>
      <c r="D2187" t="s">
        <v>18</v>
      </c>
      <c r="E2187" t="s">
        <v>19</v>
      </c>
      <c r="F2187">
        <v>325</v>
      </c>
      <c r="G2187">
        <v>15</v>
      </c>
      <c r="H2187" s="6">
        <f t="shared" si="164"/>
        <v>4.875</v>
      </c>
    </row>
    <row r="2188" spans="1:8" hidden="1" x14ac:dyDescent="0.3">
      <c r="A2188" s="13" t="s">
        <v>227</v>
      </c>
      <c r="H2188" s="6">
        <f>SUBTOTAL(9,H2179:H2187)</f>
        <v>0</v>
      </c>
    </row>
    <row r="2189" spans="1:8" hidden="1" x14ac:dyDescent="0.3">
      <c r="A2189" s="9">
        <v>45140</v>
      </c>
      <c r="B2189" t="s">
        <v>12</v>
      </c>
      <c r="C2189" t="s">
        <v>20</v>
      </c>
      <c r="D2189" t="s">
        <v>10</v>
      </c>
      <c r="E2189" t="s">
        <v>16</v>
      </c>
      <c r="F2189">
        <v>1380</v>
      </c>
      <c r="G2189">
        <v>68</v>
      </c>
      <c r="H2189" s="6">
        <f t="shared" ref="H2189:H2198" si="165">F2189*G2189/1000</f>
        <v>93.84</v>
      </c>
    </row>
    <row r="2190" spans="1:8" hidden="1" x14ac:dyDescent="0.3">
      <c r="A2190" s="9">
        <v>45140</v>
      </c>
      <c r="B2190" t="s">
        <v>12</v>
      </c>
      <c r="C2190" t="s">
        <v>20</v>
      </c>
      <c r="D2190" t="s">
        <v>18</v>
      </c>
      <c r="E2190" t="s">
        <v>37</v>
      </c>
      <c r="F2190">
        <v>890</v>
      </c>
      <c r="G2190">
        <v>26</v>
      </c>
      <c r="H2190" s="6">
        <f t="shared" si="165"/>
        <v>23.14</v>
      </c>
    </row>
    <row r="2191" spans="1:8" hidden="1" x14ac:dyDescent="0.3">
      <c r="A2191" s="9">
        <v>45140</v>
      </c>
      <c r="B2191" t="s">
        <v>17</v>
      </c>
      <c r="C2191" t="s">
        <v>20</v>
      </c>
      <c r="D2191" t="s">
        <v>13</v>
      </c>
      <c r="E2191" t="s">
        <v>29</v>
      </c>
      <c r="F2191">
        <v>1230</v>
      </c>
      <c r="G2191">
        <v>37</v>
      </c>
      <c r="H2191" s="6">
        <f t="shared" si="165"/>
        <v>45.51</v>
      </c>
    </row>
    <row r="2192" spans="1:8" hidden="1" x14ac:dyDescent="0.3">
      <c r="A2192" s="9">
        <v>45140</v>
      </c>
      <c r="B2192" t="s">
        <v>45</v>
      </c>
      <c r="C2192" t="s">
        <v>20</v>
      </c>
      <c r="D2192" t="s">
        <v>24</v>
      </c>
      <c r="E2192" t="s">
        <v>30</v>
      </c>
      <c r="F2192">
        <v>2970</v>
      </c>
      <c r="G2192">
        <v>16</v>
      </c>
      <c r="H2192" s="6">
        <f t="shared" si="165"/>
        <v>47.52</v>
      </c>
    </row>
    <row r="2193" spans="1:8" hidden="1" x14ac:dyDescent="0.3">
      <c r="A2193" s="9">
        <v>45140</v>
      </c>
      <c r="B2193" t="s">
        <v>17</v>
      </c>
      <c r="C2193" t="s">
        <v>20</v>
      </c>
      <c r="D2193" t="s">
        <v>24</v>
      </c>
      <c r="E2193" t="s">
        <v>32</v>
      </c>
      <c r="F2193">
        <v>1505</v>
      </c>
      <c r="G2193">
        <v>78</v>
      </c>
      <c r="H2193" s="6">
        <f t="shared" si="165"/>
        <v>117.39</v>
      </c>
    </row>
    <row r="2194" spans="1:8" hidden="1" x14ac:dyDescent="0.3">
      <c r="A2194" s="9">
        <v>45140</v>
      </c>
      <c r="B2194" t="s">
        <v>17</v>
      </c>
      <c r="C2194" t="s">
        <v>9</v>
      </c>
      <c r="D2194" t="s">
        <v>18</v>
      </c>
      <c r="E2194" t="s">
        <v>37</v>
      </c>
      <c r="F2194">
        <v>890</v>
      </c>
      <c r="G2194">
        <v>86</v>
      </c>
      <c r="H2194" s="6">
        <f t="shared" si="165"/>
        <v>76.540000000000006</v>
      </c>
    </row>
    <row r="2195" spans="1:8" hidden="1" x14ac:dyDescent="0.3">
      <c r="A2195" s="9">
        <v>45140</v>
      </c>
      <c r="B2195" t="s">
        <v>45</v>
      </c>
      <c r="C2195" t="s">
        <v>9</v>
      </c>
      <c r="D2195" t="s">
        <v>24</v>
      </c>
      <c r="E2195" t="s">
        <v>30</v>
      </c>
      <c r="F2195">
        <v>2970</v>
      </c>
      <c r="G2195">
        <v>97</v>
      </c>
      <c r="H2195" s="6">
        <f t="shared" si="165"/>
        <v>288.08999999999997</v>
      </c>
    </row>
    <row r="2196" spans="1:8" hidden="1" x14ac:dyDescent="0.3">
      <c r="A2196" s="9">
        <v>45140</v>
      </c>
      <c r="B2196" t="s">
        <v>12</v>
      </c>
      <c r="C2196" t="s">
        <v>9</v>
      </c>
      <c r="D2196" t="s">
        <v>24</v>
      </c>
      <c r="E2196" t="s">
        <v>30</v>
      </c>
      <c r="F2196">
        <v>2970</v>
      </c>
      <c r="G2196">
        <v>87</v>
      </c>
      <c r="H2196" s="6">
        <f t="shared" si="165"/>
        <v>258.39</v>
      </c>
    </row>
    <row r="2197" spans="1:8" hidden="1" x14ac:dyDescent="0.3">
      <c r="A2197" s="9">
        <v>45140</v>
      </c>
      <c r="B2197" t="s">
        <v>12</v>
      </c>
      <c r="C2197" t="s">
        <v>26</v>
      </c>
      <c r="D2197" t="s">
        <v>24</v>
      </c>
      <c r="E2197" t="s">
        <v>30</v>
      </c>
      <c r="F2197">
        <v>2970</v>
      </c>
      <c r="G2197">
        <v>86</v>
      </c>
      <c r="H2197" s="6">
        <f t="shared" si="165"/>
        <v>255.42</v>
      </c>
    </row>
    <row r="2198" spans="1:8" hidden="1" x14ac:dyDescent="0.3">
      <c r="A2198" s="9">
        <v>45140</v>
      </c>
      <c r="B2198" t="s">
        <v>17</v>
      </c>
      <c r="C2198" t="s">
        <v>33</v>
      </c>
      <c r="D2198" t="s">
        <v>10</v>
      </c>
      <c r="E2198" t="s">
        <v>23</v>
      </c>
      <c r="F2198">
        <v>640</v>
      </c>
      <c r="G2198">
        <v>48</v>
      </c>
      <c r="H2198" s="6">
        <f t="shared" si="165"/>
        <v>30.72</v>
      </c>
    </row>
    <row r="2199" spans="1:8" hidden="1" x14ac:dyDescent="0.3">
      <c r="A2199" s="13" t="s">
        <v>228</v>
      </c>
      <c r="H2199" s="6">
        <f>SUBTOTAL(9,H2189:H2198)</f>
        <v>0</v>
      </c>
    </row>
    <row r="2200" spans="1:8" hidden="1" x14ac:dyDescent="0.3">
      <c r="A2200" s="9">
        <v>45141</v>
      </c>
      <c r="B2200" t="s">
        <v>12</v>
      </c>
      <c r="C2200" t="s">
        <v>20</v>
      </c>
      <c r="D2200" t="s">
        <v>18</v>
      </c>
      <c r="E2200" t="s">
        <v>28</v>
      </c>
      <c r="F2200">
        <v>690</v>
      </c>
      <c r="G2200">
        <v>61</v>
      </c>
      <c r="H2200" s="6">
        <f t="shared" ref="H2200:H2209" si="166">F2200*G2200/1000</f>
        <v>42.09</v>
      </c>
    </row>
    <row r="2201" spans="1:8" hidden="1" x14ac:dyDescent="0.3">
      <c r="A2201" s="9">
        <v>45141</v>
      </c>
      <c r="B2201" t="s">
        <v>45</v>
      </c>
      <c r="C2201" t="s">
        <v>20</v>
      </c>
      <c r="D2201" t="s">
        <v>13</v>
      </c>
      <c r="E2201" t="s">
        <v>44</v>
      </c>
      <c r="F2201">
        <v>2540</v>
      </c>
      <c r="G2201">
        <v>56</v>
      </c>
      <c r="H2201" s="6">
        <f t="shared" si="166"/>
        <v>142.24</v>
      </c>
    </row>
    <row r="2202" spans="1:8" hidden="1" x14ac:dyDescent="0.3">
      <c r="A2202" s="9">
        <v>45141</v>
      </c>
      <c r="B2202" t="s">
        <v>8</v>
      </c>
      <c r="C2202" t="s">
        <v>20</v>
      </c>
      <c r="D2202" t="s">
        <v>13</v>
      </c>
      <c r="E2202" t="s">
        <v>29</v>
      </c>
      <c r="F2202">
        <v>1230</v>
      </c>
      <c r="G2202">
        <v>20</v>
      </c>
      <c r="H2202" s="6">
        <f t="shared" si="166"/>
        <v>24.6</v>
      </c>
    </row>
    <row r="2203" spans="1:8" hidden="1" x14ac:dyDescent="0.3">
      <c r="A2203" s="9">
        <v>45141</v>
      </c>
      <c r="B2203" t="s">
        <v>17</v>
      </c>
      <c r="C2203" t="s">
        <v>9</v>
      </c>
      <c r="D2203" t="s">
        <v>18</v>
      </c>
      <c r="E2203" t="s">
        <v>31</v>
      </c>
      <c r="F2203">
        <v>715</v>
      </c>
      <c r="G2203">
        <v>70</v>
      </c>
      <c r="H2203" s="6">
        <f t="shared" si="166"/>
        <v>50.05</v>
      </c>
    </row>
    <row r="2204" spans="1:8" hidden="1" x14ac:dyDescent="0.3">
      <c r="A2204" s="9">
        <v>45141</v>
      </c>
      <c r="B2204" t="s">
        <v>8</v>
      </c>
      <c r="C2204" t="s">
        <v>9</v>
      </c>
      <c r="D2204" t="s">
        <v>18</v>
      </c>
      <c r="E2204" t="s">
        <v>27</v>
      </c>
      <c r="F2204">
        <v>460</v>
      </c>
      <c r="G2204">
        <v>90</v>
      </c>
      <c r="H2204" s="6">
        <f t="shared" si="166"/>
        <v>41.4</v>
      </c>
    </row>
    <row r="2205" spans="1:8" hidden="1" x14ac:dyDescent="0.3">
      <c r="A2205" s="9">
        <v>45141</v>
      </c>
      <c r="B2205" t="s">
        <v>8</v>
      </c>
      <c r="C2205" t="s">
        <v>9</v>
      </c>
      <c r="D2205" t="s">
        <v>13</v>
      </c>
      <c r="E2205" t="s">
        <v>22</v>
      </c>
      <c r="F2205">
        <v>930</v>
      </c>
      <c r="G2205">
        <v>11</v>
      </c>
      <c r="H2205" s="6">
        <f t="shared" si="166"/>
        <v>10.23</v>
      </c>
    </row>
    <row r="2206" spans="1:8" hidden="1" x14ac:dyDescent="0.3">
      <c r="A2206" s="9">
        <v>45141</v>
      </c>
      <c r="B2206" t="s">
        <v>12</v>
      </c>
      <c r="C2206" t="s">
        <v>9</v>
      </c>
      <c r="D2206" t="s">
        <v>24</v>
      </c>
      <c r="E2206" t="s">
        <v>32</v>
      </c>
      <c r="F2206">
        <v>1505</v>
      </c>
      <c r="G2206">
        <v>52</v>
      </c>
      <c r="H2206" s="6">
        <f t="shared" si="166"/>
        <v>78.260000000000005</v>
      </c>
    </row>
    <row r="2207" spans="1:8" hidden="1" x14ac:dyDescent="0.3">
      <c r="A2207" s="9">
        <v>45141</v>
      </c>
      <c r="B2207" t="s">
        <v>45</v>
      </c>
      <c r="C2207" t="s">
        <v>15</v>
      </c>
      <c r="D2207" t="s">
        <v>18</v>
      </c>
      <c r="E2207" t="s">
        <v>19</v>
      </c>
      <c r="F2207">
        <v>325</v>
      </c>
      <c r="G2207">
        <v>87</v>
      </c>
      <c r="H2207" s="6">
        <f t="shared" si="166"/>
        <v>28.274999999999999</v>
      </c>
    </row>
    <row r="2208" spans="1:8" hidden="1" x14ac:dyDescent="0.3">
      <c r="A2208" s="9">
        <v>45141</v>
      </c>
      <c r="B2208" t="s">
        <v>45</v>
      </c>
      <c r="C2208" t="s">
        <v>33</v>
      </c>
      <c r="D2208" t="s">
        <v>18</v>
      </c>
      <c r="E2208" t="s">
        <v>31</v>
      </c>
      <c r="F2208">
        <v>715</v>
      </c>
      <c r="G2208">
        <v>82</v>
      </c>
      <c r="H2208" s="6">
        <f t="shared" si="166"/>
        <v>58.63</v>
      </c>
    </row>
    <row r="2209" spans="1:8" x14ac:dyDescent="0.3">
      <c r="A2209" s="9">
        <v>45141</v>
      </c>
      <c r="B2209" t="s">
        <v>45</v>
      </c>
      <c r="C2209" t="s">
        <v>35</v>
      </c>
      <c r="D2209" t="s">
        <v>13</v>
      </c>
      <c r="E2209" t="s">
        <v>29</v>
      </c>
      <c r="F2209">
        <v>1230</v>
      </c>
      <c r="G2209">
        <v>81</v>
      </c>
      <c r="H2209" s="6">
        <f t="shared" si="166"/>
        <v>99.63</v>
      </c>
    </row>
    <row r="2210" spans="1:8" hidden="1" x14ac:dyDescent="0.3">
      <c r="A2210" s="13" t="s">
        <v>229</v>
      </c>
      <c r="H2210" s="6">
        <f>SUBTOTAL(9,H2200:H2209)</f>
        <v>99.63</v>
      </c>
    </row>
    <row r="2211" spans="1:8" hidden="1" x14ac:dyDescent="0.3">
      <c r="A2211" s="9">
        <v>45142</v>
      </c>
      <c r="B2211" t="s">
        <v>17</v>
      </c>
      <c r="C2211" t="s">
        <v>20</v>
      </c>
      <c r="D2211" t="s">
        <v>10</v>
      </c>
      <c r="E2211" t="s">
        <v>40</v>
      </c>
      <c r="F2211">
        <v>540</v>
      </c>
      <c r="G2211">
        <v>56</v>
      </c>
      <c r="H2211" s="6">
        <f t="shared" ref="H2211:H2221" si="167">F2211*G2211/1000</f>
        <v>30.24</v>
      </c>
    </row>
    <row r="2212" spans="1:8" hidden="1" x14ac:dyDescent="0.3">
      <c r="A2212" s="9">
        <v>45142</v>
      </c>
      <c r="B2212" t="s">
        <v>8</v>
      </c>
      <c r="C2212" t="s">
        <v>20</v>
      </c>
      <c r="D2212" t="s">
        <v>13</v>
      </c>
      <c r="E2212" t="s">
        <v>43</v>
      </c>
      <c r="F2212">
        <v>1420</v>
      </c>
      <c r="G2212">
        <v>52</v>
      </c>
      <c r="H2212" s="6">
        <f t="shared" si="167"/>
        <v>73.84</v>
      </c>
    </row>
    <row r="2213" spans="1:8" hidden="1" x14ac:dyDescent="0.3">
      <c r="A2213" s="9">
        <v>45142</v>
      </c>
      <c r="B2213" t="s">
        <v>8</v>
      </c>
      <c r="C2213" t="s">
        <v>20</v>
      </c>
      <c r="D2213" t="s">
        <v>24</v>
      </c>
      <c r="E2213" t="s">
        <v>32</v>
      </c>
      <c r="F2213">
        <v>1505</v>
      </c>
      <c r="G2213">
        <v>7</v>
      </c>
      <c r="H2213" s="6">
        <f t="shared" si="167"/>
        <v>10.535</v>
      </c>
    </row>
    <row r="2214" spans="1:8" hidden="1" x14ac:dyDescent="0.3">
      <c r="A2214" s="9">
        <v>45142</v>
      </c>
      <c r="B2214" t="s">
        <v>17</v>
      </c>
      <c r="C2214" t="s">
        <v>20</v>
      </c>
      <c r="D2214" t="s">
        <v>24</v>
      </c>
      <c r="E2214" t="s">
        <v>25</v>
      </c>
      <c r="F2214">
        <v>1760</v>
      </c>
      <c r="G2214">
        <v>94</v>
      </c>
      <c r="H2214" s="6">
        <f t="shared" si="167"/>
        <v>165.44</v>
      </c>
    </row>
    <row r="2215" spans="1:8" hidden="1" x14ac:dyDescent="0.3">
      <c r="A2215" s="9">
        <v>45142</v>
      </c>
      <c r="B2215" t="s">
        <v>45</v>
      </c>
      <c r="C2215" t="s">
        <v>9</v>
      </c>
      <c r="D2215" t="s">
        <v>10</v>
      </c>
      <c r="E2215" t="s">
        <v>11</v>
      </c>
      <c r="F2215">
        <v>705</v>
      </c>
      <c r="G2215">
        <v>97</v>
      </c>
      <c r="H2215" s="6">
        <f t="shared" si="167"/>
        <v>68.385000000000005</v>
      </c>
    </row>
    <row r="2216" spans="1:8" hidden="1" x14ac:dyDescent="0.3">
      <c r="A2216" s="9">
        <v>45142</v>
      </c>
      <c r="B2216" t="s">
        <v>12</v>
      </c>
      <c r="C2216" t="s">
        <v>9</v>
      </c>
      <c r="D2216" t="s">
        <v>24</v>
      </c>
      <c r="E2216" t="s">
        <v>32</v>
      </c>
      <c r="F2216">
        <v>1505</v>
      </c>
      <c r="G2216">
        <v>45</v>
      </c>
      <c r="H2216" s="6">
        <f t="shared" si="167"/>
        <v>67.724999999999994</v>
      </c>
    </row>
    <row r="2217" spans="1:8" hidden="1" x14ac:dyDescent="0.3">
      <c r="A2217" s="9">
        <v>45142</v>
      </c>
      <c r="B2217" t="s">
        <v>8</v>
      </c>
      <c r="C2217" t="s">
        <v>9</v>
      </c>
      <c r="D2217" t="s">
        <v>24</v>
      </c>
      <c r="E2217" t="s">
        <v>36</v>
      </c>
      <c r="F2217">
        <v>2460</v>
      </c>
      <c r="G2217">
        <v>73</v>
      </c>
      <c r="H2217" s="6">
        <f t="shared" si="167"/>
        <v>179.58</v>
      </c>
    </row>
    <row r="2218" spans="1:8" hidden="1" x14ac:dyDescent="0.3">
      <c r="A2218" s="9">
        <v>45142</v>
      </c>
      <c r="B2218" t="s">
        <v>45</v>
      </c>
      <c r="C2218" t="s">
        <v>15</v>
      </c>
      <c r="D2218" t="s">
        <v>18</v>
      </c>
      <c r="E2218" t="s">
        <v>31</v>
      </c>
      <c r="F2218">
        <v>715</v>
      </c>
      <c r="G2218">
        <v>47</v>
      </c>
      <c r="H2218" s="6">
        <f t="shared" si="167"/>
        <v>33.604999999999997</v>
      </c>
    </row>
    <row r="2219" spans="1:8" hidden="1" x14ac:dyDescent="0.3">
      <c r="A2219" s="9">
        <v>45142</v>
      </c>
      <c r="B2219" t="s">
        <v>12</v>
      </c>
      <c r="C2219" t="s">
        <v>15</v>
      </c>
      <c r="D2219" t="s">
        <v>13</v>
      </c>
      <c r="E2219" t="s">
        <v>44</v>
      </c>
      <c r="F2219">
        <v>2540</v>
      </c>
      <c r="G2219">
        <v>32</v>
      </c>
      <c r="H2219" s="6">
        <f t="shared" si="167"/>
        <v>81.28</v>
      </c>
    </row>
    <row r="2220" spans="1:8" hidden="1" x14ac:dyDescent="0.3">
      <c r="A2220" s="9">
        <v>45142</v>
      </c>
      <c r="B2220" t="s">
        <v>12</v>
      </c>
      <c r="C2220" t="s">
        <v>33</v>
      </c>
      <c r="D2220" t="s">
        <v>10</v>
      </c>
      <c r="E2220" t="s">
        <v>16</v>
      </c>
      <c r="F2220">
        <v>1380</v>
      </c>
      <c r="G2220">
        <v>54</v>
      </c>
      <c r="H2220" s="6">
        <f t="shared" si="167"/>
        <v>74.52</v>
      </c>
    </row>
    <row r="2221" spans="1:8" hidden="1" x14ac:dyDescent="0.3">
      <c r="A2221" s="9">
        <v>45142</v>
      </c>
      <c r="B2221" t="s">
        <v>8</v>
      </c>
      <c r="C2221" t="s">
        <v>35</v>
      </c>
      <c r="D2221" t="s">
        <v>18</v>
      </c>
      <c r="E2221" t="s">
        <v>31</v>
      </c>
      <c r="F2221">
        <v>715</v>
      </c>
      <c r="G2221">
        <v>69</v>
      </c>
      <c r="H2221" s="6">
        <f t="shared" si="167"/>
        <v>49.335000000000001</v>
      </c>
    </row>
    <row r="2222" spans="1:8" hidden="1" x14ac:dyDescent="0.3">
      <c r="A2222" s="13" t="s">
        <v>230</v>
      </c>
      <c r="H2222" s="6">
        <f>SUBTOTAL(9,H2211:H2221)</f>
        <v>0</v>
      </c>
    </row>
    <row r="2223" spans="1:8" hidden="1" x14ac:dyDescent="0.3">
      <c r="A2223" s="9">
        <v>45143</v>
      </c>
      <c r="B2223" t="s">
        <v>45</v>
      </c>
      <c r="C2223" t="s">
        <v>15</v>
      </c>
      <c r="D2223" t="s">
        <v>10</v>
      </c>
      <c r="E2223" t="s">
        <v>23</v>
      </c>
      <c r="F2223">
        <v>640</v>
      </c>
      <c r="G2223">
        <v>34</v>
      </c>
      <c r="H2223" s="6">
        <f>F2223*G2223/1000</f>
        <v>21.76</v>
      </c>
    </row>
    <row r="2224" spans="1:8" hidden="1" x14ac:dyDescent="0.3">
      <c r="A2224" s="9">
        <v>45143</v>
      </c>
      <c r="B2224" t="s">
        <v>17</v>
      </c>
      <c r="C2224" t="s">
        <v>35</v>
      </c>
      <c r="D2224" t="s">
        <v>13</v>
      </c>
      <c r="E2224" t="s">
        <v>22</v>
      </c>
      <c r="F2224">
        <v>930</v>
      </c>
      <c r="G2224">
        <v>63</v>
      </c>
      <c r="H2224" s="6">
        <f>F2224*G2224/1000</f>
        <v>58.59</v>
      </c>
    </row>
    <row r="2225" spans="1:8" hidden="1" x14ac:dyDescent="0.3">
      <c r="A2225" s="13" t="s">
        <v>231</v>
      </c>
      <c r="H2225" s="6">
        <f>SUBTOTAL(9,H2223:H2224)</f>
        <v>0</v>
      </c>
    </row>
    <row r="2226" spans="1:8" hidden="1" x14ac:dyDescent="0.3">
      <c r="A2226" s="9">
        <v>45144</v>
      </c>
      <c r="B2226" t="s">
        <v>45</v>
      </c>
      <c r="C2226" t="s">
        <v>9</v>
      </c>
      <c r="D2226" t="s">
        <v>10</v>
      </c>
      <c r="E2226" t="s">
        <v>11</v>
      </c>
      <c r="F2226">
        <v>705</v>
      </c>
      <c r="G2226">
        <v>65</v>
      </c>
      <c r="H2226" s="6">
        <f t="shared" ref="H2226:H2233" si="168">F2226*G2226/1000</f>
        <v>45.825000000000003</v>
      </c>
    </row>
    <row r="2227" spans="1:8" hidden="1" x14ac:dyDescent="0.3">
      <c r="A2227" s="9">
        <v>45144</v>
      </c>
      <c r="B2227" t="s">
        <v>45</v>
      </c>
      <c r="C2227" t="s">
        <v>9</v>
      </c>
      <c r="D2227" t="s">
        <v>18</v>
      </c>
      <c r="E2227" t="s">
        <v>19</v>
      </c>
      <c r="F2227">
        <v>325</v>
      </c>
      <c r="G2227">
        <v>46</v>
      </c>
      <c r="H2227" s="6">
        <f t="shared" si="168"/>
        <v>14.95</v>
      </c>
    </row>
    <row r="2228" spans="1:8" hidden="1" x14ac:dyDescent="0.3">
      <c r="A2228" s="9">
        <v>45144</v>
      </c>
      <c r="B2228" t="s">
        <v>45</v>
      </c>
      <c r="C2228" t="s">
        <v>26</v>
      </c>
      <c r="D2228" t="s">
        <v>18</v>
      </c>
      <c r="E2228" t="s">
        <v>37</v>
      </c>
      <c r="F2228">
        <v>890</v>
      </c>
      <c r="G2228">
        <v>68</v>
      </c>
      <c r="H2228" s="6">
        <f t="shared" si="168"/>
        <v>60.52</v>
      </c>
    </row>
    <row r="2229" spans="1:8" hidden="1" x14ac:dyDescent="0.3">
      <c r="A2229" s="9">
        <v>45144</v>
      </c>
      <c r="B2229" t="s">
        <v>12</v>
      </c>
      <c r="C2229" t="s">
        <v>15</v>
      </c>
      <c r="D2229" t="s">
        <v>10</v>
      </c>
      <c r="E2229" t="s">
        <v>11</v>
      </c>
      <c r="F2229">
        <v>705</v>
      </c>
      <c r="G2229">
        <v>36</v>
      </c>
      <c r="H2229" s="6">
        <f t="shared" si="168"/>
        <v>25.38</v>
      </c>
    </row>
    <row r="2230" spans="1:8" hidden="1" x14ac:dyDescent="0.3">
      <c r="A2230" s="9">
        <v>45144</v>
      </c>
      <c r="B2230" t="s">
        <v>12</v>
      </c>
      <c r="C2230" t="s">
        <v>15</v>
      </c>
      <c r="D2230" t="s">
        <v>24</v>
      </c>
      <c r="E2230" t="s">
        <v>25</v>
      </c>
      <c r="F2230">
        <v>1760</v>
      </c>
      <c r="G2230">
        <v>36</v>
      </c>
      <c r="H2230" s="6">
        <f t="shared" si="168"/>
        <v>63.36</v>
      </c>
    </row>
    <row r="2231" spans="1:8" hidden="1" x14ac:dyDescent="0.3">
      <c r="A2231" s="9">
        <v>45144</v>
      </c>
      <c r="B2231" t="s">
        <v>12</v>
      </c>
      <c r="C2231" t="s">
        <v>15</v>
      </c>
      <c r="D2231" t="s">
        <v>24</v>
      </c>
      <c r="E2231" t="s">
        <v>30</v>
      </c>
      <c r="F2231">
        <v>2970</v>
      </c>
      <c r="G2231">
        <v>76</v>
      </c>
      <c r="H2231" s="6">
        <f t="shared" si="168"/>
        <v>225.72</v>
      </c>
    </row>
    <row r="2232" spans="1:8" hidden="1" x14ac:dyDescent="0.3">
      <c r="A2232" s="9">
        <v>45144</v>
      </c>
      <c r="B2232" t="s">
        <v>17</v>
      </c>
      <c r="C2232" t="s">
        <v>33</v>
      </c>
      <c r="D2232" t="s">
        <v>10</v>
      </c>
      <c r="E2232" t="s">
        <v>40</v>
      </c>
      <c r="F2232">
        <v>540</v>
      </c>
      <c r="G2232">
        <v>100</v>
      </c>
      <c r="H2232" s="6">
        <f t="shared" si="168"/>
        <v>54</v>
      </c>
    </row>
    <row r="2233" spans="1:8" hidden="1" x14ac:dyDescent="0.3">
      <c r="A2233" s="9">
        <v>45144</v>
      </c>
      <c r="B2233" t="s">
        <v>12</v>
      </c>
      <c r="C2233" t="s">
        <v>33</v>
      </c>
      <c r="D2233" t="s">
        <v>13</v>
      </c>
      <c r="E2233" t="s">
        <v>22</v>
      </c>
      <c r="F2233">
        <v>930</v>
      </c>
      <c r="G2233">
        <v>58</v>
      </c>
      <c r="H2233" s="6">
        <f t="shared" si="168"/>
        <v>53.94</v>
      </c>
    </row>
    <row r="2234" spans="1:8" hidden="1" x14ac:dyDescent="0.3">
      <c r="A2234" s="13" t="s">
        <v>232</v>
      </c>
      <c r="H2234" s="6">
        <f>SUBTOTAL(9,H2226:H2233)</f>
        <v>0</v>
      </c>
    </row>
    <row r="2235" spans="1:8" hidden="1" x14ac:dyDescent="0.3">
      <c r="A2235" s="9">
        <v>45145</v>
      </c>
      <c r="B2235" t="s">
        <v>45</v>
      </c>
      <c r="C2235" t="s">
        <v>20</v>
      </c>
      <c r="D2235" t="s">
        <v>18</v>
      </c>
      <c r="E2235" t="s">
        <v>28</v>
      </c>
      <c r="F2235">
        <v>690</v>
      </c>
      <c r="G2235">
        <v>30</v>
      </c>
      <c r="H2235" s="6">
        <f t="shared" ref="H2235:H2244" si="169">F2235*G2235/1000</f>
        <v>20.7</v>
      </c>
    </row>
    <row r="2236" spans="1:8" hidden="1" x14ac:dyDescent="0.3">
      <c r="A2236" s="9">
        <v>45145</v>
      </c>
      <c r="B2236" t="s">
        <v>17</v>
      </c>
      <c r="C2236" t="s">
        <v>20</v>
      </c>
      <c r="D2236" t="s">
        <v>18</v>
      </c>
      <c r="E2236" t="s">
        <v>21</v>
      </c>
      <c r="F2236">
        <v>450</v>
      </c>
      <c r="G2236">
        <v>43</v>
      </c>
      <c r="H2236" s="6">
        <f t="shared" si="169"/>
        <v>19.350000000000001</v>
      </c>
    </row>
    <row r="2237" spans="1:8" hidden="1" x14ac:dyDescent="0.3">
      <c r="A2237" s="9">
        <v>45145</v>
      </c>
      <c r="B2237" t="s">
        <v>12</v>
      </c>
      <c r="C2237" t="s">
        <v>20</v>
      </c>
      <c r="D2237" t="s">
        <v>13</v>
      </c>
      <c r="E2237" t="s">
        <v>38</v>
      </c>
      <c r="F2237">
        <v>2400</v>
      </c>
      <c r="G2237">
        <v>69</v>
      </c>
      <c r="H2237" s="6">
        <f t="shared" si="169"/>
        <v>165.6</v>
      </c>
    </row>
    <row r="2238" spans="1:8" hidden="1" x14ac:dyDescent="0.3">
      <c r="A2238" s="9">
        <v>45145</v>
      </c>
      <c r="B2238" t="s">
        <v>45</v>
      </c>
      <c r="C2238" t="s">
        <v>9</v>
      </c>
      <c r="D2238" t="s">
        <v>10</v>
      </c>
      <c r="E2238" t="s">
        <v>16</v>
      </c>
      <c r="F2238">
        <v>1380</v>
      </c>
      <c r="G2238">
        <v>57</v>
      </c>
      <c r="H2238" s="6">
        <f t="shared" si="169"/>
        <v>78.66</v>
      </c>
    </row>
    <row r="2239" spans="1:8" hidden="1" x14ac:dyDescent="0.3">
      <c r="A2239" s="9">
        <v>45145</v>
      </c>
      <c r="B2239" t="s">
        <v>45</v>
      </c>
      <c r="C2239" t="s">
        <v>9</v>
      </c>
      <c r="D2239" t="s">
        <v>18</v>
      </c>
      <c r="E2239" t="s">
        <v>21</v>
      </c>
      <c r="F2239">
        <v>450</v>
      </c>
      <c r="G2239">
        <v>80</v>
      </c>
      <c r="H2239" s="6">
        <f t="shared" si="169"/>
        <v>36</v>
      </c>
    </row>
    <row r="2240" spans="1:8" hidden="1" x14ac:dyDescent="0.3">
      <c r="A2240" s="9">
        <v>45145</v>
      </c>
      <c r="B2240" t="s">
        <v>12</v>
      </c>
      <c r="C2240" t="s">
        <v>26</v>
      </c>
      <c r="D2240" t="s">
        <v>13</v>
      </c>
      <c r="E2240" t="s">
        <v>38</v>
      </c>
      <c r="F2240">
        <v>2400</v>
      </c>
      <c r="G2240">
        <v>45</v>
      </c>
      <c r="H2240" s="6">
        <f t="shared" si="169"/>
        <v>108</v>
      </c>
    </row>
    <row r="2241" spans="1:8" hidden="1" x14ac:dyDescent="0.3">
      <c r="A2241" s="9">
        <v>45145</v>
      </c>
      <c r="B2241" t="s">
        <v>17</v>
      </c>
      <c r="C2241" t="s">
        <v>15</v>
      </c>
      <c r="D2241" t="s">
        <v>18</v>
      </c>
      <c r="E2241" t="s">
        <v>31</v>
      </c>
      <c r="F2241">
        <v>715</v>
      </c>
      <c r="G2241">
        <v>73</v>
      </c>
      <c r="H2241" s="6">
        <f t="shared" si="169"/>
        <v>52.195</v>
      </c>
    </row>
    <row r="2242" spans="1:8" hidden="1" x14ac:dyDescent="0.3">
      <c r="A2242" s="9">
        <v>45145</v>
      </c>
      <c r="B2242" t="s">
        <v>45</v>
      </c>
      <c r="C2242" t="s">
        <v>15</v>
      </c>
      <c r="D2242" t="s">
        <v>13</v>
      </c>
      <c r="E2242" t="s">
        <v>38</v>
      </c>
      <c r="F2242">
        <v>2400</v>
      </c>
      <c r="G2242">
        <v>43</v>
      </c>
      <c r="H2242" s="6">
        <f t="shared" si="169"/>
        <v>103.2</v>
      </c>
    </row>
    <row r="2243" spans="1:8" hidden="1" x14ac:dyDescent="0.3">
      <c r="A2243" s="9">
        <v>45145</v>
      </c>
      <c r="B2243" t="s">
        <v>12</v>
      </c>
      <c r="C2243" t="s">
        <v>33</v>
      </c>
      <c r="D2243" t="s">
        <v>18</v>
      </c>
      <c r="E2243" t="s">
        <v>37</v>
      </c>
      <c r="F2243">
        <v>890</v>
      </c>
      <c r="G2243">
        <v>50</v>
      </c>
      <c r="H2243" s="6">
        <f t="shared" si="169"/>
        <v>44.5</v>
      </c>
    </row>
    <row r="2244" spans="1:8" hidden="1" x14ac:dyDescent="0.3">
      <c r="A2244" s="9">
        <v>45145</v>
      </c>
      <c r="B2244" t="s">
        <v>45</v>
      </c>
      <c r="C2244" t="s">
        <v>33</v>
      </c>
      <c r="D2244" t="s">
        <v>24</v>
      </c>
      <c r="E2244" t="s">
        <v>30</v>
      </c>
      <c r="F2244">
        <v>2970</v>
      </c>
      <c r="G2244">
        <v>95</v>
      </c>
      <c r="H2244" s="6">
        <f t="shared" si="169"/>
        <v>282.14999999999998</v>
      </c>
    </row>
    <row r="2245" spans="1:8" hidden="1" x14ac:dyDescent="0.3">
      <c r="A2245" s="13" t="s">
        <v>233</v>
      </c>
      <c r="H2245" s="6">
        <f>SUBTOTAL(9,H2235:H2244)</f>
        <v>0</v>
      </c>
    </row>
    <row r="2246" spans="1:8" hidden="1" x14ac:dyDescent="0.3">
      <c r="A2246" s="9">
        <v>45146</v>
      </c>
      <c r="B2246" t="s">
        <v>8</v>
      </c>
      <c r="C2246" t="s">
        <v>20</v>
      </c>
      <c r="D2246" t="s">
        <v>10</v>
      </c>
      <c r="E2246" t="s">
        <v>40</v>
      </c>
      <c r="F2246">
        <v>540</v>
      </c>
      <c r="G2246">
        <v>68</v>
      </c>
      <c r="H2246" s="6">
        <f t="shared" ref="H2246:H2257" si="170">F2246*G2246/1000</f>
        <v>36.72</v>
      </c>
    </row>
    <row r="2247" spans="1:8" hidden="1" x14ac:dyDescent="0.3">
      <c r="A2247" s="9">
        <v>45146</v>
      </c>
      <c r="B2247" t="s">
        <v>8</v>
      </c>
      <c r="C2247" t="s">
        <v>20</v>
      </c>
      <c r="D2247" t="s">
        <v>24</v>
      </c>
      <c r="E2247" t="s">
        <v>36</v>
      </c>
      <c r="F2247">
        <v>2460</v>
      </c>
      <c r="G2247">
        <v>21</v>
      </c>
      <c r="H2247" s="6">
        <f t="shared" si="170"/>
        <v>51.66</v>
      </c>
    </row>
    <row r="2248" spans="1:8" hidden="1" x14ac:dyDescent="0.3">
      <c r="A2248" s="9">
        <v>45146</v>
      </c>
      <c r="B2248" t="s">
        <v>12</v>
      </c>
      <c r="C2248" t="s">
        <v>26</v>
      </c>
      <c r="D2248" t="s">
        <v>10</v>
      </c>
      <c r="E2248" t="s">
        <v>40</v>
      </c>
      <c r="F2248">
        <v>540</v>
      </c>
      <c r="G2248">
        <v>21</v>
      </c>
      <c r="H2248" s="6">
        <f t="shared" si="170"/>
        <v>11.34</v>
      </c>
    </row>
    <row r="2249" spans="1:8" hidden="1" x14ac:dyDescent="0.3">
      <c r="A2249" s="9">
        <v>45146</v>
      </c>
      <c r="B2249" t="s">
        <v>17</v>
      </c>
      <c r="C2249" t="s">
        <v>26</v>
      </c>
      <c r="D2249" t="s">
        <v>10</v>
      </c>
      <c r="E2249" t="s">
        <v>16</v>
      </c>
      <c r="F2249">
        <v>1380</v>
      </c>
      <c r="G2249">
        <v>96</v>
      </c>
      <c r="H2249" s="6">
        <f t="shared" si="170"/>
        <v>132.47999999999999</v>
      </c>
    </row>
    <row r="2250" spans="1:8" hidden="1" x14ac:dyDescent="0.3">
      <c r="A2250" s="9">
        <v>45146</v>
      </c>
      <c r="B2250" t="s">
        <v>8</v>
      </c>
      <c r="C2250" t="s">
        <v>26</v>
      </c>
      <c r="D2250" t="s">
        <v>13</v>
      </c>
      <c r="E2250" t="s">
        <v>43</v>
      </c>
      <c r="F2250">
        <v>1420</v>
      </c>
      <c r="G2250">
        <v>66</v>
      </c>
      <c r="H2250" s="6">
        <f t="shared" si="170"/>
        <v>93.72</v>
      </c>
    </row>
    <row r="2251" spans="1:8" hidden="1" x14ac:dyDescent="0.3">
      <c r="A2251" s="9">
        <v>45146</v>
      </c>
      <c r="B2251" t="s">
        <v>8</v>
      </c>
      <c r="C2251" t="s">
        <v>26</v>
      </c>
      <c r="D2251" t="s">
        <v>24</v>
      </c>
      <c r="E2251" t="s">
        <v>36</v>
      </c>
      <c r="F2251">
        <v>2460</v>
      </c>
      <c r="G2251">
        <v>38</v>
      </c>
      <c r="H2251" s="6">
        <f t="shared" si="170"/>
        <v>93.48</v>
      </c>
    </row>
    <row r="2252" spans="1:8" x14ac:dyDescent="0.3">
      <c r="A2252" s="9">
        <v>45146</v>
      </c>
      <c r="B2252" t="s">
        <v>45</v>
      </c>
      <c r="C2252" t="s">
        <v>15</v>
      </c>
      <c r="D2252" t="s">
        <v>13</v>
      </c>
      <c r="E2252" t="s">
        <v>29</v>
      </c>
      <c r="F2252">
        <v>1230</v>
      </c>
      <c r="G2252">
        <v>35</v>
      </c>
      <c r="H2252" s="6">
        <f t="shared" si="170"/>
        <v>43.05</v>
      </c>
    </row>
    <row r="2253" spans="1:8" hidden="1" x14ac:dyDescent="0.3">
      <c r="A2253" s="9">
        <v>45146</v>
      </c>
      <c r="B2253" t="s">
        <v>45</v>
      </c>
      <c r="C2253" t="s">
        <v>15</v>
      </c>
      <c r="D2253" t="s">
        <v>24</v>
      </c>
      <c r="E2253" t="s">
        <v>42</v>
      </c>
      <c r="F2253">
        <v>3205</v>
      </c>
      <c r="G2253">
        <v>38</v>
      </c>
      <c r="H2253" s="6">
        <f t="shared" si="170"/>
        <v>121.79</v>
      </c>
    </row>
    <row r="2254" spans="1:8" hidden="1" x14ac:dyDescent="0.3">
      <c r="A2254" s="9">
        <v>45146</v>
      </c>
      <c r="B2254" t="s">
        <v>17</v>
      </c>
      <c r="C2254" t="s">
        <v>33</v>
      </c>
      <c r="D2254" t="s">
        <v>13</v>
      </c>
      <c r="E2254" t="s">
        <v>38</v>
      </c>
      <c r="F2254">
        <v>2400</v>
      </c>
      <c r="G2254">
        <v>88</v>
      </c>
      <c r="H2254" s="6">
        <f t="shared" si="170"/>
        <v>211.2</v>
      </c>
    </row>
    <row r="2255" spans="1:8" hidden="1" x14ac:dyDescent="0.3">
      <c r="A2255" s="9">
        <v>45146</v>
      </c>
      <c r="B2255" t="s">
        <v>12</v>
      </c>
      <c r="C2255" t="s">
        <v>33</v>
      </c>
      <c r="D2255" t="s">
        <v>24</v>
      </c>
      <c r="E2255" t="s">
        <v>25</v>
      </c>
      <c r="F2255">
        <v>1760</v>
      </c>
      <c r="G2255">
        <v>39</v>
      </c>
      <c r="H2255" s="6">
        <f t="shared" si="170"/>
        <v>68.64</v>
      </c>
    </row>
    <row r="2256" spans="1:8" hidden="1" x14ac:dyDescent="0.3">
      <c r="A2256" s="9">
        <v>45146</v>
      </c>
      <c r="B2256" t="s">
        <v>17</v>
      </c>
      <c r="C2256" t="s">
        <v>35</v>
      </c>
      <c r="D2256" t="s">
        <v>13</v>
      </c>
      <c r="E2256" t="s">
        <v>22</v>
      </c>
      <c r="F2256">
        <v>930</v>
      </c>
      <c r="G2256">
        <v>76</v>
      </c>
      <c r="H2256" s="6">
        <f t="shared" si="170"/>
        <v>70.680000000000007</v>
      </c>
    </row>
    <row r="2257" spans="1:8" hidden="1" x14ac:dyDescent="0.3">
      <c r="A2257" s="9">
        <v>45146</v>
      </c>
      <c r="B2257" t="s">
        <v>8</v>
      </c>
      <c r="C2257" t="s">
        <v>35</v>
      </c>
      <c r="D2257" t="s">
        <v>13</v>
      </c>
      <c r="E2257" t="s">
        <v>38</v>
      </c>
      <c r="F2257">
        <v>2400</v>
      </c>
      <c r="G2257">
        <v>65</v>
      </c>
      <c r="H2257" s="6">
        <f t="shared" si="170"/>
        <v>156</v>
      </c>
    </row>
    <row r="2258" spans="1:8" hidden="1" x14ac:dyDescent="0.3">
      <c r="A2258" s="13" t="s">
        <v>234</v>
      </c>
      <c r="H2258" s="6">
        <f>SUBTOTAL(9,H2246:H2257)</f>
        <v>43.05</v>
      </c>
    </row>
    <row r="2259" spans="1:8" hidden="1" x14ac:dyDescent="0.3">
      <c r="A2259" s="9">
        <v>45147</v>
      </c>
      <c r="B2259" t="s">
        <v>12</v>
      </c>
      <c r="C2259" t="s">
        <v>20</v>
      </c>
      <c r="D2259" t="s">
        <v>18</v>
      </c>
      <c r="E2259" t="s">
        <v>21</v>
      </c>
      <c r="F2259">
        <v>450</v>
      </c>
      <c r="G2259">
        <v>43</v>
      </c>
      <c r="H2259" s="6">
        <f t="shared" ref="H2259:H2272" si="171">F2259*G2259/1000</f>
        <v>19.350000000000001</v>
      </c>
    </row>
    <row r="2260" spans="1:8" hidden="1" x14ac:dyDescent="0.3">
      <c r="A2260" s="9">
        <v>45147</v>
      </c>
      <c r="B2260" t="s">
        <v>17</v>
      </c>
      <c r="C2260" t="s">
        <v>9</v>
      </c>
      <c r="D2260" t="s">
        <v>10</v>
      </c>
      <c r="E2260" t="s">
        <v>11</v>
      </c>
      <c r="F2260">
        <v>705</v>
      </c>
      <c r="G2260">
        <v>80</v>
      </c>
      <c r="H2260" s="6">
        <f t="shared" si="171"/>
        <v>56.4</v>
      </c>
    </row>
    <row r="2261" spans="1:8" hidden="1" x14ac:dyDescent="0.3">
      <c r="A2261" s="9">
        <v>45147</v>
      </c>
      <c r="B2261" t="s">
        <v>45</v>
      </c>
      <c r="C2261" t="s">
        <v>9</v>
      </c>
      <c r="D2261" t="s">
        <v>10</v>
      </c>
      <c r="E2261" t="s">
        <v>39</v>
      </c>
      <c r="F2261">
        <v>650</v>
      </c>
      <c r="G2261">
        <v>69</v>
      </c>
      <c r="H2261" s="6">
        <f t="shared" si="171"/>
        <v>44.85</v>
      </c>
    </row>
    <row r="2262" spans="1:8" hidden="1" x14ac:dyDescent="0.3">
      <c r="A2262" s="9">
        <v>45147</v>
      </c>
      <c r="B2262" t="s">
        <v>8</v>
      </c>
      <c r="C2262" t="s">
        <v>9</v>
      </c>
      <c r="D2262" t="s">
        <v>10</v>
      </c>
      <c r="E2262" t="s">
        <v>23</v>
      </c>
      <c r="F2262">
        <v>640</v>
      </c>
      <c r="G2262">
        <v>81</v>
      </c>
      <c r="H2262" s="6">
        <f t="shared" si="171"/>
        <v>51.84</v>
      </c>
    </row>
    <row r="2263" spans="1:8" hidden="1" x14ac:dyDescent="0.3">
      <c r="A2263" s="9">
        <v>45147</v>
      </c>
      <c r="B2263" t="s">
        <v>8</v>
      </c>
      <c r="C2263" t="s">
        <v>9</v>
      </c>
      <c r="D2263" t="s">
        <v>18</v>
      </c>
      <c r="E2263" t="s">
        <v>19</v>
      </c>
      <c r="F2263">
        <v>325</v>
      </c>
      <c r="G2263">
        <v>64</v>
      </c>
      <c r="H2263" s="6">
        <f t="shared" si="171"/>
        <v>20.8</v>
      </c>
    </row>
    <row r="2264" spans="1:8" hidden="1" x14ac:dyDescent="0.3">
      <c r="A2264" s="9">
        <v>45147</v>
      </c>
      <c r="B2264" t="s">
        <v>17</v>
      </c>
      <c r="C2264" t="s">
        <v>9</v>
      </c>
      <c r="D2264" t="s">
        <v>24</v>
      </c>
      <c r="E2264" t="s">
        <v>34</v>
      </c>
      <c r="F2264">
        <v>1670</v>
      </c>
      <c r="G2264">
        <v>100</v>
      </c>
      <c r="H2264" s="6">
        <f t="shared" si="171"/>
        <v>167</v>
      </c>
    </row>
    <row r="2265" spans="1:8" hidden="1" x14ac:dyDescent="0.3">
      <c r="A2265" s="9">
        <v>45147</v>
      </c>
      <c r="B2265" t="s">
        <v>17</v>
      </c>
      <c r="C2265" t="s">
        <v>9</v>
      </c>
      <c r="D2265" t="s">
        <v>24</v>
      </c>
      <c r="E2265" t="s">
        <v>30</v>
      </c>
      <c r="F2265">
        <v>2970</v>
      </c>
      <c r="G2265">
        <v>12</v>
      </c>
      <c r="H2265" s="6">
        <f t="shared" si="171"/>
        <v>35.64</v>
      </c>
    </row>
    <row r="2266" spans="1:8" hidden="1" x14ac:dyDescent="0.3">
      <c r="A2266" s="9">
        <v>45147</v>
      </c>
      <c r="B2266" t="s">
        <v>12</v>
      </c>
      <c r="C2266" t="s">
        <v>9</v>
      </c>
      <c r="D2266" t="s">
        <v>24</v>
      </c>
      <c r="E2266" t="s">
        <v>36</v>
      </c>
      <c r="F2266">
        <v>2460</v>
      </c>
      <c r="G2266">
        <v>23</v>
      </c>
      <c r="H2266" s="6">
        <f t="shared" si="171"/>
        <v>56.58</v>
      </c>
    </row>
    <row r="2267" spans="1:8" hidden="1" x14ac:dyDescent="0.3">
      <c r="A2267" s="9">
        <v>45147</v>
      </c>
      <c r="B2267" t="s">
        <v>12</v>
      </c>
      <c r="C2267" t="s">
        <v>26</v>
      </c>
      <c r="D2267" t="s">
        <v>18</v>
      </c>
      <c r="E2267" t="s">
        <v>31</v>
      </c>
      <c r="F2267">
        <v>715</v>
      </c>
      <c r="G2267">
        <v>80</v>
      </c>
      <c r="H2267" s="6">
        <f t="shared" si="171"/>
        <v>57.2</v>
      </c>
    </row>
    <row r="2268" spans="1:8" hidden="1" x14ac:dyDescent="0.3">
      <c r="A2268" s="9">
        <v>45147</v>
      </c>
      <c r="B2268" t="s">
        <v>17</v>
      </c>
      <c r="C2268" t="s">
        <v>26</v>
      </c>
      <c r="D2268" t="s">
        <v>24</v>
      </c>
      <c r="E2268" t="s">
        <v>30</v>
      </c>
      <c r="F2268">
        <v>2970</v>
      </c>
      <c r="G2268">
        <v>47</v>
      </c>
      <c r="H2268" s="6">
        <f t="shared" si="171"/>
        <v>139.59</v>
      </c>
    </row>
    <row r="2269" spans="1:8" hidden="1" x14ac:dyDescent="0.3">
      <c r="A2269" s="9">
        <v>45147</v>
      </c>
      <c r="B2269" t="s">
        <v>12</v>
      </c>
      <c r="C2269" t="s">
        <v>15</v>
      </c>
      <c r="D2269" t="s">
        <v>24</v>
      </c>
      <c r="E2269" t="s">
        <v>36</v>
      </c>
      <c r="F2269">
        <v>2460</v>
      </c>
      <c r="G2269">
        <v>54</v>
      </c>
      <c r="H2269" s="6">
        <f t="shared" si="171"/>
        <v>132.84</v>
      </c>
    </row>
    <row r="2270" spans="1:8" hidden="1" x14ac:dyDescent="0.3">
      <c r="A2270" s="9">
        <v>45147</v>
      </c>
      <c r="B2270" t="s">
        <v>17</v>
      </c>
      <c r="C2270" t="s">
        <v>33</v>
      </c>
      <c r="D2270" t="s">
        <v>24</v>
      </c>
      <c r="E2270" t="s">
        <v>32</v>
      </c>
      <c r="F2270">
        <v>1505</v>
      </c>
      <c r="G2270">
        <v>31</v>
      </c>
      <c r="H2270" s="6">
        <f t="shared" si="171"/>
        <v>46.655000000000001</v>
      </c>
    </row>
    <row r="2271" spans="1:8" hidden="1" x14ac:dyDescent="0.3">
      <c r="A2271" s="9">
        <v>45147</v>
      </c>
      <c r="B2271" t="s">
        <v>17</v>
      </c>
      <c r="C2271" t="s">
        <v>33</v>
      </c>
      <c r="D2271" t="s">
        <v>24</v>
      </c>
      <c r="E2271" t="s">
        <v>32</v>
      </c>
      <c r="F2271">
        <v>1505</v>
      </c>
      <c r="G2271">
        <v>22</v>
      </c>
      <c r="H2271" s="6">
        <f t="shared" si="171"/>
        <v>33.11</v>
      </c>
    </row>
    <row r="2272" spans="1:8" hidden="1" x14ac:dyDescent="0.3">
      <c r="A2272" s="9">
        <v>45147</v>
      </c>
      <c r="B2272" t="s">
        <v>8</v>
      </c>
      <c r="C2272" t="s">
        <v>35</v>
      </c>
      <c r="D2272" t="s">
        <v>18</v>
      </c>
      <c r="E2272" t="s">
        <v>19</v>
      </c>
      <c r="F2272">
        <v>325</v>
      </c>
      <c r="G2272">
        <v>77</v>
      </c>
      <c r="H2272" s="6">
        <f t="shared" si="171"/>
        <v>25.024999999999999</v>
      </c>
    </row>
    <row r="2273" spans="1:8" hidden="1" x14ac:dyDescent="0.3">
      <c r="A2273" s="13" t="s">
        <v>235</v>
      </c>
      <c r="H2273" s="6">
        <f>SUBTOTAL(9,H2259:H2272)</f>
        <v>0</v>
      </c>
    </row>
    <row r="2274" spans="1:8" hidden="1" x14ac:dyDescent="0.3">
      <c r="A2274" s="9">
        <v>45148</v>
      </c>
      <c r="B2274" t="s">
        <v>8</v>
      </c>
      <c r="C2274" t="s">
        <v>20</v>
      </c>
      <c r="D2274" t="s">
        <v>13</v>
      </c>
      <c r="E2274" t="s">
        <v>14</v>
      </c>
      <c r="F2274">
        <v>1320</v>
      </c>
      <c r="G2274">
        <v>31</v>
      </c>
      <c r="H2274" s="6">
        <f t="shared" ref="H2274:H2284" si="172">F2274*G2274/1000</f>
        <v>40.92</v>
      </c>
    </row>
    <row r="2275" spans="1:8" hidden="1" x14ac:dyDescent="0.3">
      <c r="A2275" s="9">
        <v>45148</v>
      </c>
      <c r="B2275" t="s">
        <v>45</v>
      </c>
      <c r="C2275" t="s">
        <v>20</v>
      </c>
      <c r="D2275" t="s">
        <v>13</v>
      </c>
      <c r="E2275" t="s">
        <v>14</v>
      </c>
      <c r="F2275">
        <v>1320</v>
      </c>
      <c r="G2275">
        <v>46</v>
      </c>
      <c r="H2275" s="6">
        <f t="shared" si="172"/>
        <v>60.72</v>
      </c>
    </row>
    <row r="2276" spans="1:8" hidden="1" x14ac:dyDescent="0.3">
      <c r="A2276" s="9">
        <v>45148</v>
      </c>
      <c r="B2276" t="s">
        <v>17</v>
      </c>
      <c r="C2276" t="s">
        <v>9</v>
      </c>
      <c r="D2276" t="s">
        <v>10</v>
      </c>
      <c r="E2276" t="s">
        <v>23</v>
      </c>
      <c r="F2276">
        <v>640</v>
      </c>
      <c r="G2276">
        <v>23</v>
      </c>
      <c r="H2276" s="6">
        <f t="shared" si="172"/>
        <v>14.72</v>
      </c>
    </row>
    <row r="2277" spans="1:8" hidden="1" x14ac:dyDescent="0.3">
      <c r="A2277" s="9">
        <v>45148</v>
      </c>
      <c r="B2277" t="s">
        <v>12</v>
      </c>
      <c r="C2277" t="s">
        <v>26</v>
      </c>
      <c r="D2277" t="s">
        <v>10</v>
      </c>
      <c r="E2277" t="s">
        <v>39</v>
      </c>
      <c r="F2277">
        <v>650</v>
      </c>
      <c r="G2277">
        <v>15</v>
      </c>
      <c r="H2277" s="6">
        <f t="shared" si="172"/>
        <v>9.75</v>
      </c>
    </row>
    <row r="2278" spans="1:8" hidden="1" x14ac:dyDescent="0.3">
      <c r="A2278" s="9">
        <v>45148</v>
      </c>
      <c r="B2278" t="s">
        <v>17</v>
      </c>
      <c r="C2278" t="s">
        <v>26</v>
      </c>
      <c r="D2278" t="s">
        <v>13</v>
      </c>
      <c r="E2278" t="s">
        <v>14</v>
      </c>
      <c r="F2278">
        <v>1320</v>
      </c>
      <c r="G2278">
        <v>82</v>
      </c>
      <c r="H2278" s="6">
        <f t="shared" si="172"/>
        <v>108.24</v>
      </c>
    </row>
    <row r="2279" spans="1:8" hidden="1" x14ac:dyDescent="0.3">
      <c r="A2279" s="9">
        <v>45148</v>
      </c>
      <c r="B2279" t="s">
        <v>45</v>
      </c>
      <c r="C2279" t="s">
        <v>15</v>
      </c>
      <c r="D2279" t="s">
        <v>13</v>
      </c>
      <c r="E2279" t="s">
        <v>38</v>
      </c>
      <c r="F2279">
        <v>2400</v>
      </c>
      <c r="G2279">
        <v>45</v>
      </c>
      <c r="H2279" s="6">
        <f t="shared" si="172"/>
        <v>108</v>
      </c>
    </row>
    <row r="2280" spans="1:8" hidden="1" x14ac:dyDescent="0.3">
      <c r="A2280" s="9">
        <v>45148</v>
      </c>
      <c r="B2280" t="s">
        <v>17</v>
      </c>
      <c r="C2280" t="s">
        <v>15</v>
      </c>
      <c r="D2280" t="s">
        <v>13</v>
      </c>
      <c r="E2280" t="s">
        <v>38</v>
      </c>
      <c r="F2280">
        <v>2400</v>
      </c>
      <c r="G2280">
        <v>35</v>
      </c>
      <c r="H2280" s="6">
        <f t="shared" si="172"/>
        <v>84</v>
      </c>
    </row>
    <row r="2281" spans="1:8" hidden="1" x14ac:dyDescent="0.3">
      <c r="A2281" s="9">
        <v>45148</v>
      </c>
      <c r="B2281" t="s">
        <v>17</v>
      </c>
      <c r="C2281" t="s">
        <v>15</v>
      </c>
      <c r="D2281" t="s">
        <v>24</v>
      </c>
      <c r="E2281" t="s">
        <v>42</v>
      </c>
      <c r="F2281">
        <v>3205</v>
      </c>
      <c r="G2281">
        <v>28</v>
      </c>
      <c r="H2281" s="6">
        <f t="shared" si="172"/>
        <v>89.74</v>
      </c>
    </row>
    <row r="2282" spans="1:8" hidden="1" x14ac:dyDescent="0.3">
      <c r="A2282" s="9">
        <v>45148</v>
      </c>
      <c r="B2282" t="s">
        <v>8</v>
      </c>
      <c r="C2282" t="s">
        <v>33</v>
      </c>
      <c r="D2282" t="s">
        <v>10</v>
      </c>
      <c r="E2282" t="s">
        <v>23</v>
      </c>
      <c r="F2282">
        <v>640</v>
      </c>
      <c r="G2282">
        <v>68</v>
      </c>
      <c r="H2282" s="6">
        <f t="shared" si="172"/>
        <v>43.52</v>
      </c>
    </row>
    <row r="2283" spans="1:8" hidden="1" x14ac:dyDescent="0.3">
      <c r="A2283" s="9">
        <v>45148</v>
      </c>
      <c r="B2283" t="s">
        <v>8</v>
      </c>
      <c r="C2283" t="s">
        <v>33</v>
      </c>
      <c r="D2283" t="s">
        <v>10</v>
      </c>
      <c r="E2283" t="s">
        <v>16</v>
      </c>
      <c r="F2283">
        <v>1380</v>
      </c>
      <c r="G2283">
        <v>89</v>
      </c>
      <c r="H2283" s="6">
        <f t="shared" si="172"/>
        <v>122.82</v>
      </c>
    </row>
    <row r="2284" spans="1:8" hidden="1" x14ac:dyDescent="0.3">
      <c r="A2284" s="9">
        <v>45148</v>
      </c>
      <c r="B2284" t="s">
        <v>45</v>
      </c>
      <c r="C2284" t="s">
        <v>35</v>
      </c>
      <c r="D2284" t="s">
        <v>18</v>
      </c>
      <c r="E2284" t="s">
        <v>31</v>
      </c>
      <c r="F2284">
        <v>715</v>
      </c>
      <c r="G2284">
        <v>42</v>
      </c>
      <c r="H2284" s="6">
        <f t="shared" si="172"/>
        <v>30.03</v>
      </c>
    </row>
    <row r="2285" spans="1:8" hidden="1" x14ac:dyDescent="0.3">
      <c r="A2285" s="13" t="s">
        <v>236</v>
      </c>
      <c r="H2285" s="6">
        <f>SUBTOTAL(9,H2274:H2284)</f>
        <v>0</v>
      </c>
    </row>
    <row r="2286" spans="1:8" hidden="1" x14ac:dyDescent="0.3">
      <c r="A2286" s="9">
        <v>45149</v>
      </c>
      <c r="B2286" t="s">
        <v>17</v>
      </c>
      <c r="C2286" t="s">
        <v>20</v>
      </c>
      <c r="D2286" t="s">
        <v>13</v>
      </c>
      <c r="E2286" t="s">
        <v>22</v>
      </c>
      <c r="F2286">
        <v>930</v>
      </c>
      <c r="G2286">
        <v>67</v>
      </c>
      <c r="H2286" s="6">
        <f t="shared" ref="H2286:H2298" si="173">F2286*G2286/1000</f>
        <v>62.31</v>
      </c>
    </row>
    <row r="2287" spans="1:8" hidden="1" x14ac:dyDescent="0.3">
      <c r="A2287" s="9">
        <v>45149</v>
      </c>
      <c r="B2287" t="s">
        <v>17</v>
      </c>
      <c r="C2287" t="s">
        <v>20</v>
      </c>
      <c r="D2287" t="s">
        <v>24</v>
      </c>
      <c r="E2287" t="s">
        <v>32</v>
      </c>
      <c r="F2287">
        <v>1505</v>
      </c>
      <c r="G2287">
        <v>80</v>
      </c>
      <c r="H2287" s="6">
        <f t="shared" si="173"/>
        <v>120.4</v>
      </c>
    </row>
    <row r="2288" spans="1:8" hidden="1" x14ac:dyDescent="0.3">
      <c r="A2288" s="9">
        <v>45149</v>
      </c>
      <c r="B2288" t="s">
        <v>12</v>
      </c>
      <c r="C2288" t="s">
        <v>9</v>
      </c>
      <c r="D2288" t="s">
        <v>10</v>
      </c>
      <c r="E2288" t="s">
        <v>11</v>
      </c>
      <c r="F2288">
        <v>705</v>
      </c>
      <c r="G2288">
        <v>88</v>
      </c>
      <c r="H2288" s="6">
        <f t="shared" si="173"/>
        <v>62.04</v>
      </c>
    </row>
    <row r="2289" spans="1:8" hidden="1" x14ac:dyDescent="0.3">
      <c r="A2289" s="9">
        <v>45149</v>
      </c>
      <c r="B2289" t="s">
        <v>17</v>
      </c>
      <c r="C2289" t="s">
        <v>9</v>
      </c>
      <c r="D2289" t="s">
        <v>10</v>
      </c>
      <c r="E2289" t="s">
        <v>11</v>
      </c>
      <c r="F2289">
        <v>705</v>
      </c>
      <c r="G2289">
        <v>46</v>
      </c>
      <c r="H2289" s="6">
        <f t="shared" si="173"/>
        <v>32.43</v>
      </c>
    </row>
    <row r="2290" spans="1:8" hidden="1" x14ac:dyDescent="0.3">
      <c r="A2290" s="9">
        <v>45149</v>
      </c>
      <c r="B2290" t="s">
        <v>45</v>
      </c>
      <c r="C2290" t="s">
        <v>26</v>
      </c>
      <c r="D2290" t="s">
        <v>18</v>
      </c>
      <c r="E2290" t="s">
        <v>28</v>
      </c>
      <c r="F2290">
        <v>690</v>
      </c>
      <c r="G2290">
        <v>93</v>
      </c>
      <c r="H2290" s="6">
        <f t="shared" si="173"/>
        <v>64.17</v>
      </c>
    </row>
    <row r="2291" spans="1:8" hidden="1" x14ac:dyDescent="0.3">
      <c r="A2291" s="9">
        <v>45149</v>
      </c>
      <c r="B2291" t="s">
        <v>45</v>
      </c>
      <c r="C2291" t="s">
        <v>15</v>
      </c>
      <c r="D2291" t="s">
        <v>13</v>
      </c>
      <c r="E2291" t="s">
        <v>44</v>
      </c>
      <c r="F2291">
        <v>2540</v>
      </c>
      <c r="G2291">
        <v>29</v>
      </c>
      <c r="H2291" s="6">
        <f t="shared" si="173"/>
        <v>73.66</v>
      </c>
    </row>
    <row r="2292" spans="1:8" hidden="1" x14ac:dyDescent="0.3">
      <c r="A2292" s="9">
        <v>45149</v>
      </c>
      <c r="B2292" t="s">
        <v>45</v>
      </c>
      <c r="C2292" t="s">
        <v>15</v>
      </c>
      <c r="D2292" t="s">
        <v>13</v>
      </c>
      <c r="E2292" t="s">
        <v>38</v>
      </c>
      <c r="F2292">
        <v>2400</v>
      </c>
      <c r="G2292">
        <v>99</v>
      </c>
      <c r="H2292" s="6">
        <f t="shared" si="173"/>
        <v>237.6</v>
      </c>
    </row>
    <row r="2293" spans="1:8" hidden="1" x14ac:dyDescent="0.3">
      <c r="A2293" s="9">
        <v>45149</v>
      </c>
      <c r="B2293" t="s">
        <v>8</v>
      </c>
      <c r="C2293" t="s">
        <v>15</v>
      </c>
      <c r="D2293" t="s">
        <v>13</v>
      </c>
      <c r="E2293" t="s">
        <v>38</v>
      </c>
      <c r="F2293">
        <v>2400</v>
      </c>
      <c r="G2293">
        <v>68</v>
      </c>
      <c r="H2293" s="6">
        <f t="shared" si="173"/>
        <v>163.19999999999999</v>
      </c>
    </row>
    <row r="2294" spans="1:8" hidden="1" x14ac:dyDescent="0.3">
      <c r="A2294" s="9">
        <v>45149</v>
      </c>
      <c r="B2294" t="s">
        <v>8</v>
      </c>
      <c r="C2294" t="s">
        <v>33</v>
      </c>
      <c r="D2294" t="s">
        <v>10</v>
      </c>
      <c r="E2294" t="s">
        <v>39</v>
      </c>
      <c r="F2294">
        <v>650</v>
      </c>
      <c r="G2294">
        <v>79</v>
      </c>
      <c r="H2294" s="6">
        <f t="shared" si="173"/>
        <v>51.35</v>
      </c>
    </row>
    <row r="2295" spans="1:8" hidden="1" x14ac:dyDescent="0.3">
      <c r="A2295" s="9">
        <v>45149</v>
      </c>
      <c r="B2295" t="s">
        <v>17</v>
      </c>
      <c r="C2295" t="s">
        <v>33</v>
      </c>
      <c r="D2295" t="s">
        <v>18</v>
      </c>
      <c r="E2295" t="s">
        <v>28</v>
      </c>
      <c r="F2295">
        <v>690</v>
      </c>
      <c r="G2295">
        <v>78</v>
      </c>
      <c r="H2295" s="6">
        <f t="shared" si="173"/>
        <v>53.82</v>
      </c>
    </row>
    <row r="2296" spans="1:8" hidden="1" x14ac:dyDescent="0.3">
      <c r="A2296" s="9">
        <v>45149</v>
      </c>
      <c r="B2296" t="s">
        <v>12</v>
      </c>
      <c r="C2296" t="s">
        <v>33</v>
      </c>
      <c r="D2296" t="s">
        <v>13</v>
      </c>
      <c r="E2296" t="s">
        <v>29</v>
      </c>
      <c r="F2296">
        <v>1230</v>
      </c>
      <c r="G2296">
        <v>34</v>
      </c>
      <c r="H2296" s="6">
        <f t="shared" si="173"/>
        <v>41.82</v>
      </c>
    </row>
    <row r="2297" spans="1:8" hidden="1" x14ac:dyDescent="0.3">
      <c r="A2297" s="9">
        <v>45149</v>
      </c>
      <c r="B2297" t="s">
        <v>45</v>
      </c>
      <c r="C2297" t="s">
        <v>33</v>
      </c>
      <c r="D2297" t="s">
        <v>13</v>
      </c>
      <c r="E2297" t="s">
        <v>22</v>
      </c>
      <c r="F2297">
        <v>930</v>
      </c>
      <c r="G2297">
        <v>32</v>
      </c>
      <c r="H2297" s="6">
        <f t="shared" si="173"/>
        <v>29.76</v>
      </c>
    </row>
    <row r="2298" spans="1:8" hidden="1" x14ac:dyDescent="0.3">
      <c r="A2298" s="9">
        <v>45149</v>
      </c>
      <c r="B2298" t="s">
        <v>17</v>
      </c>
      <c r="C2298" t="s">
        <v>35</v>
      </c>
      <c r="D2298" t="s">
        <v>13</v>
      </c>
      <c r="E2298" t="s">
        <v>43</v>
      </c>
      <c r="F2298">
        <v>1420</v>
      </c>
      <c r="G2298">
        <v>12</v>
      </c>
      <c r="H2298" s="6">
        <f t="shared" si="173"/>
        <v>17.04</v>
      </c>
    </row>
    <row r="2299" spans="1:8" hidden="1" x14ac:dyDescent="0.3">
      <c r="A2299" s="13" t="s">
        <v>237</v>
      </c>
      <c r="H2299" s="6">
        <f>SUBTOTAL(9,H2286:H2298)</f>
        <v>0</v>
      </c>
    </row>
    <row r="2300" spans="1:8" hidden="1" x14ac:dyDescent="0.3">
      <c r="A2300" s="9">
        <v>45150</v>
      </c>
      <c r="B2300" t="s">
        <v>12</v>
      </c>
      <c r="C2300" t="s">
        <v>20</v>
      </c>
      <c r="D2300" t="s">
        <v>18</v>
      </c>
      <c r="E2300" t="s">
        <v>19</v>
      </c>
      <c r="F2300">
        <v>325</v>
      </c>
      <c r="G2300">
        <v>60</v>
      </c>
      <c r="H2300" s="6">
        <f t="shared" ref="H2300:H2315" si="174">F2300*G2300/1000</f>
        <v>19.5</v>
      </c>
    </row>
    <row r="2301" spans="1:8" hidden="1" x14ac:dyDescent="0.3">
      <c r="A2301" s="9">
        <v>45150</v>
      </c>
      <c r="B2301" t="s">
        <v>12</v>
      </c>
      <c r="C2301" t="s">
        <v>20</v>
      </c>
      <c r="D2301" t="s">
        <v>13</v>
      </c>
      <c r="E2301" t="s">
        <v>22</v>
      </c>
      <c r="F2301">
        <v>930</v>
      </c>
      <c r="G2301">
        <v>12</v>
      </c>
      <c r="H2301" s="6">
        <f t="shared" si="174"/>
        <v>11.16</v>
      </c>
    </row>
    <row r="2302" spans="1:8" hidden="1" x14ac:dyDescent="0.3">
      <c r="A2302" s="9">
        <v>45150</v>
      </c>
      <c r="B2302" t="s">
        <v>8</v>
      </c>
      <c r="C2302" t="s">
        <v>20</v>
      </c>
      <c r="D2302" t="s">
        <v>24</v>
      </c>
      <c r="E2302" t="s">
        <v>32</v>
      </c>
      <c r="F2302">
        <v>1505</v>
      </c>
      <c r="G2302">
        <v>52</v>
      </c>
      <c r="H2302" s="6">
        <f t="shared" si="174"/>
        <v>78.260000000000005</v>
      </c>
    </row>
    <row r="2303" spans="1:8" hidden="1" x14ac:dyDescent="0.3">
      <c r="A2303" s="9">
        <v>45150</v>
      </c>
      <c r="B2303" t="s">
        <v>45</v>
      </c>
      <c r="C2303" t="s">
        <v>9</v>
      </c>
      <c r="D2303" t="s">
        <v>13</v>
      </c>
      <c r="E2303" t="s">
        <v>22</v>
      </c>
      <c r="F2303">
        <v>930</v>
      </c>
      <c r="G2303">
        <v>12</v>
      </c>
      <c r="H2303" s="6">
        <f t="shared" si="174"/>
        <v>11.16</v>
      </c>
    </row>
    <row r="2304" spans="1:8" hidden="1" x14ac:dyDescent="0.3">
      <c r="A2304" s="9">
        <v>45150</v>
      </c>
      <c r="B2304" t="s">
        <v>17</v>
      </c>
      <c r="C2304" t="s">
        <v>9</v>
      </c>
      <c r="D2304" t="s">
        <v>13</v>
      </c>
      <c r="E2304" t="s">
        <v>22</v>
      </c>
      <c r="F2304">
        <v>930</v>
      </c>
      <c r="G2304">
        <v>81</v>
      </c>
      <c r="H2304" s="6">
        <f t="shared" si="174"/>
        <v>75.33</v>
      </c>
    </row>
    <row r="2305" spans="1:8" hidden="1" x14ac:dyDescent="0.3">
      <c r="A2305" s="9">
        <v>45150</v>
      </c>
      <c r="B2305" t="s">
        <v>45</v>
      </c>
      <c r="C2305" t="s">
        <v>26</v>
      </c>
      <c r="D2305" t="s">
        <v>13</v>
      </c>
      <c r="E2305" t="s">
        <v>14</v>
      </c>
      <c r="F2305">
        <v>1320</v>
      </c>
      <c r="G2305">
        <v>80</v>
      </c>
      <c r="H2305" s="6">
        <f t="shared" si="174"/>
        <v>105.6</v>
      </c>
    </row>
    <row r="2306" spans="1:8" hidden="1" x14ac:dyDescent="0.3">
      <c r="A2306" s="9">
        <v>45150</v>
      </c>
      <c r="B2306" t="s">
        <v>17</v>
      </c>
      <c r="C2306" t="s">
        <v>26</v>
      </c>
      <c r="D2306" t="s">
        <v>13</v>
      </c>
      <c r="E2306" t="s">
        <v>29</v>
      </c>
      <c r="F2306">
        <v>1230</v>
      </c>
      <c r="G2306">
        <v>40</v>
      </c>
      <c r="H2306" s="6">
        <f t="shared" si="174"/>
        <v>49.2</v>
      </c>
    </row>
    <row r="2307" spans="1:8" hidden="1" x14ac:dyDescent="0.3">
      <c r="A2307" s="9">
        <v>45150</v>
      </c>
      <c r="B2307" t="s">
        <v>12</v>
      </c>
      <c r="C2307" t="s">
        <v>15</v>
      </c>
      <c r="D2307" t="s">
        <v>10</v>
      </c>
      <c r="E2307" t="s">
        <v>39</v>
      </c>
      <c r="F2307">
        <v>650</v>
      </c>
      <c r="G2307">
        <v>37</v>
      </c>
      <c r="H2307" s="6">
        <f t="shared" si="174"/>
        <v>24.05</v>
      </c>
    </row>
    <row r="2308" spans="1:8" hidden="1" x14ac:dyDescent="0.3">
      <c r="A2308" s="9">
        <v>45150</v>
      </c>
      <c r="B2308" t="s">
        <v>45</v>
      </c>
      <c r="C2308" t="s">
        <v>15</v>
      </c>
      <c r="D2308" t="s">
        <v>18</v>
      </c>
      <c r="E2308" t="s">
        <v>31</v>
      </c>
      <c r="F2308">
        <v>715</v>
      </c>
      <c r="G2308">
        <v>68</v>
      </c>
      <c r="H2308" s="6">
        <f t="shared" si="174"/>
        <v>48.62</v>
      </c>
    </row>
    <row r="2309" spans="1:8" hidden="1" x14ac:dyDescent="0.3">
      <c r="A2309" s="9">
        <v>45150</v>
      </c>
      <c r="B2309" t="s">
        <v>17</v>
      </c>
      <c r="C2309" t="s">
        <v>15</v>
      </c>
      <c r="D2309" t="s">
        <v>18</v>
      </c>
      <c r="E2309" t="s">
        <v>37</v>
      </c>
      <c r="F2309">
        <v>890</v>
      </c>
      <c r="G2309">
        <v>62</v>
      </c>
      <c r="H2309" s="6">
        <f t="shared" si="174"/>
        <v>55.18</v>
      </c>
    </row>
    <row r="2310" spans="1:8" hidden="1" x14ac:dyDescent="0.3">
      <c r="A2310" s="9">
        <v>45150</v>
      </c>
      <c r="B2310" t="s">
        <v>8</v>
      </c>
      <c r="C2310" t="s">
        <v>33</v>
      </c>
      <c r="D2310" t="s">
        <v>10</v>
      </c>
      <c r="E2310" t="s">
        <v>16</v>
      </c>
      <c r="F2310">
        <v>1380</v>
      </c>
      <c r="G2310">
        <v>88</v>
      </c>
      <c r="H2310" s="6">
        <f t="shared" si="174"/>
        <v>121.44</v>
      </c>
    </row>
    <row r="2311" spans="1:8" hidden="1" x14ac:dyDescent="0.3">
      <c r="A2311" s="9">
        <v>45150</v>
      </c>
      <c r="B2311" t="s">
        <v>17</v>
      </c>
      <c r="C2311" t="s">
        <v>33</v>
      </c>
      <c r="D2311" t="s">
        <v>24</v>
      </c>
      <c r="E2311" t="s">
        <v>34</v>
      </c>
      <c r="F2311">
        <v>1670</v>
      </c>
      <c r="G2311">
        <v>88</v>
      </c>
      <c r="H2311" s="6">
        <f t="shared" si="174"/>
        <v>146.96</v>
      </c>
    </row>
    <row r="2312" spans="1:8" hidden="1" x14ac:dyDescent="0.3">
      <c r="A2312" s="9">
        <v>45150</v>
      </c>
      <c r="B2312" t="s">
        <v>12</v>
      </c>
      <c r="C2312" t="s">
        <v>33</v>
      </c>
      <c r="D2312" t="s">
        <v>24</v>
      </c>
      <c r="E2312" t="s">
        <v>42</v>
      </c>
      <c r="F2312">
        <v>3205</v>
      </c>
      <c r="G2312">
        <v>12</v>
      </c>
      <c r="H2312" s="6">
        <f t="shared" si="174"/>
        <v>38.46</v>
      </c>
    </row>
    <row r="2313" spans="1:8" hidden="1" x14ac:dyDescent="0.3">
      <c r="A2313" s="9">
        <v>45150</v>
      </c>
      <c r="B2313" t="s">
        <v>17</v>
      </c>
      <c r="C2313" t="s">
        <v>35</v>
      </c>
      <c r="D2313" t="s">
        <v>10</v>
      </c>
      <c r="E2313" t="s">
        <v>11</v>
      </c>
      <c r="F2313">
        <v>705</v>
      </c>
      <c r="G2313">
        <v>61</v>
      </c>
      <c r="H2313" s="6">
        <f t="shared" si="174"/>
        <v>43.005000000000003</v>
      </c>
    </row>
    <row r="2314" spans="1:8" hidden="1" x14ac:dyDescent="0.3">
      <c r="A2314" s="9">
        <v>45150</v>
      </c>
      <c r="B2314" t="s">
        <v>12</v>
      </c>
      <c r="C2314" t="s">
        <v>35</v>
      </c>
      <c r="D2314" t="s">
        <v>18</v>
      </c>
      <c r="E2314" t="s">
        <v>28</v>
      </c>
      <c r="F2314">
        <v>690</v>
      </c>
      <c r="G2314">
        <v>42</v>
      </c>
      <c r="H2314" s="6">
        <f t="shared" si="174"/>
        <v>28.98</v>
      </c>
    </row>
    <row r="2315" spans="1:8" hidden="1" x14ac:dyDescent="0.3">
      <c r="A2315" s="9">
        <v>45150</v>
      </c>
      <c r="B2315" t="s">
        <v>45</v>
      </c>
      <c r="C2315" t="s">
        <v>35</v>
      </c>
      <c r="D2315" t="s">
        <v>18</v>
      </c>
      <c r="E2315" t="s">
        <v>28</v>
      </c>
      <c r="F2315">
        <v>690</v>
      </c>
      <c r="G2315">
        <v>68</v>
      </c>
      <c r="H2315" s="6">
        <f t="shared" si="174"/>
        <v>46.92</v>
      </c>
    </row>
    <row r="2316" spans="1:8" hidden="1" x14ac:dyDescent="0.3">
      <c r="A2316" s="13" t="s">
        <v>238</v>
      </c>
      <c r="H2316" s="6">
        <f>SUBTOTAL(9,H2300:H2315)</f>
        <v>0</v>
      </c>
    </row>
    <row r="2317" spans="1:8" hidden="1" x14ac:dyDescent="0.3">
      <c r="A2317" s="9">
        <v>45151</v>
      </c>
      <c r="B2317" t="s">
        <v>45</v>
      </c>
      <c r="C2317" t="s">
        <v>20</v>
      </c>
      <c r="D2317" t="s">
        <v>13</v>
      </c>
      <c r="E2317" t="s">
        <v>43</v>
      </c>
      <c r="F2317">
        <v>1420</v>
      </c>
      <c r="G2317">
        <v>67</v>
      </c>
      <c r="H2317" s="6">
        <f t="shared" ref="H2317:H2324" si="175">F2317*G2317/1000</f>
        <v>95.14</v>
      </c>
    </row>
    <row r="2318" spans="1:8" hidden="1" x14ac:dyDescent="0.3">
      <c r="A2318" s="9">
        <v>45151</v>
      </c>
      <c r="B2318" t="s">
        <v>12</v>
      </c>
      <c r="C2318" t="s">
        <v>26</v>
      </c>
      <c r="D2318" t="s">
        <v>18</v>
      </c>
      <c r="E2318" t="s">
        <v>31</v>
      </c>
      <c r="F2318">
        <v>715</v>
      </c>
      <c r="G2318">
        <v>39</v>
      </c>
      <c r="H2318" s="6">
        <f t="shared" si="175"/>
        <v>27.885000000000002</v>
      </c>
    </row>
    <row r="2319" spans="1:8" hidden="1" x14ac:dyDescent="0.3">
      <c r="A2319" s="9">
        <v>45151</v>
      </c>
      <c r="B2319" t="s">
        <v>45</v>
      </c>
      <c r="C2319" t="s">
        <v>15</v>
      </c>
      <c r="D2319" t="s">
        <v>18</v>
      </c>
      <c r="E2319" t="s">
        <v>31</v>
      </c>
      <c r="F2319">
        <v>715</v>
      </c>
      <c r="G2319">
        <v>25</v>
      </c>
      <c r="H2319" s="6">
        <f t="shared" si="175"/>
        <v>17.875</v>
      </c>
    </row>
    <row r="2320" spans="1:8" hidden="1" x14ac:dyDescent="0.3">
      <c r="A2320" s="9">
        <v>45151</v>
      </c>
      <c r="B2320" t="s">
        <v>17</v>
      </c>
      <c r="C2320" t="s">
        <v>15</v>
      </c>
      <c r="D2320" t="s">
        <v>24</v>
      </c>
      <c r="E2320" t="s">
        <v>32</v>
      </c>
      <c r="F2320">
        <v>1505</v>
      </c>
      <c r="G2320">
        <v>12</v>
      </c>
      <c r="H2320" s="6">
        <f t="shared" si="175"/>
        <v>18.059999999999999</v>
      </c>
    </row>
    <row r="2321" spans="1:8" hidden="1" x14ac:dyDescent="0.3">
      <c r="A2321" s="9">
        <v>45151</v>
      </c>
      <c r="B2321" t="s">
        <v>45</v>
      </c>
      <c r="C2321" t="s">
        <v>15</v>
      </c>
      <c r="D2321" t="s">
        <v>24</v>
      </c>
      <c r="E2321" t="s">
        <v>25</v>
      </c>
      <c r="F2321">
        <v>1760</v>
      </c>
      <c r="G2321">
        <v>92</v>
      </c>
      <c r="H2321" s="6">
        <f t="shared" si="175"/>
        <v>161.91999999999999</v>
      </c>
    </row>
    <row r="2322" spans="1:8" hidden="1" x14ac:dyDescent="0.3">
      <c r="A2322" s="9">
        <v>45151</v>
      </c>
      <c r="B2322" t="s">
        <v>12</v>
      </c>
      <c r="C2322" t="s">
        <v>33</v>
      </c>
      <c r="D2322" t="s">
        <v>13</v>
      </c>
      <c r="E2322" t="s">
        <v>22</v>
      </c>
      <c r="F2322">
        <v>930</v>
      </c>
      <c r="G2322">
        <v>7</v>
      </c>
      <c r="H2322" s="6">
        <f t="shared" si="175"/>
        <v>6.51</v>
      </c>
    </row>
    <row r="2323" spans="1:8" hidden="1" x14ac:dyDescent="0.3">
      <c r="A2323" s="9">
        <v>45151</v>
      </c>
      <c r="B2323" t="s">
        <v>17</v>
      </c>
      <c r="C2323" t="s">
        <v>33</v>
      </c>
      <c r="D2323" t="s">
        <v>13</v>
      </c>
      <c r="E2323" t="s">
        <v>38</v>
      </c>
      <c r="F2323">
        <v>2400</v>
      </c>
      <c r="G2323">
        <v>12</v>
      </c>
      <c r="H2323" s="6">
        <f t="shared" si="175"/>
        <v>28.8</v>
      </c>
    </row>
    <row r="2324" spans="1:8" hidden="1" x14ac:dyDescent="0.3">
      <c r="A2324" s="9">
        <v>45151</v>
      </c>
      <c r="B2324" t="s">
        <v>17</v>
      </c>
      <c r="C2324" t="s">
        <v>35</v>
      </c>
      <c r="D2324" t="s">
        <v>24</v>
      </c>
      <c r="E2324" t="s">
        <v>36</v>
      </c>
      <c r="F2324">
        <v>2460</v>
      </c>
      <c r="G2324">
        <v>61</v>
      </c>
      <c r="H2324" s="6">
        <f t="shared" si="175"/>
        <v>150.06</v>
      </c>
    </row>
    <row r="2325" spans="1:8" hidden="1" x14ac:dyDescent="0.3">
      <c r="A2325" s="13" t="s">
        <v>239</v>
      </c>
      <c r="H2325" s="6">
        <f>SUBTOTAL(9,H2317:H2324)</f>
        <v>0</v>
      </c>
    </row>
    <row r="2326" spans="1:8" hidden="1" x14ac:dyDescent="0.3">
      <c r="A2326" s="9">
        <v>45152</v>
      </c>
      <c r="B2326" t="s">
        <v>8</v>
      </c>
      <c r="C2326" t="s">
        <v>20</v>
      </c>
      <c r="D2326" t="s">
        <v>10</v>
      </c>
      <c r="E2326" t="s">
        <v>11</v>
      </c>
      <c r="F2326">
        <v>705</v>
      </c>
      <c r="G2326">
        <v>62</v>
      </c>
      <c r="H2326" s="6">
        <f t="shared" ref="H2326:H2333" si="176">F2326*G2326/1000</f>
        <v>43.71</v>
      </c>
    </row>
    <row r="2327" spans="1:8" hidden="1" x14ac:dyDescent="0.3">
      <c r="A2327" s="9">
        <v>45152</v>
      </c>
      <c r="B2327" t="s">
        <v>45</v>
      </c>
      <c r="C2327" t="s">
        <v>26</v>
      </c>
      <c r="D2327" t="s">
        <v>24</v>
      </c>
      <c r="E2327" t="s">
        <v>30</v>
      </c>
      <c r="F2327">
        <v>2970</v>
      </c>
      <c r="G2327">
        <v>39</v>
      </c>
      <c r="H2327" s="6">
        <f t="shared" si="176"/>
        <v>115.83</v>
      </c>
    </row>
    <row r="2328" spans="1:8" hidden="1" x14ac:dyDescent="0.3">
      <c r="A2328" s="9">
        <v>45152</v>
      </c>
      <c r="B2328" t="s">
        <v>45</v>
      </c>
      <c r="C2328" t="s">
        <v>15</v>
      </c>
      <c r="D2328" t="s">
        <v>10</v>
      </c>
      <c r="E2328" t="s">
        <v>40</v>
      </c>
      <c r="F2328">
        <v>540</v>
      </c>
      <c r="G2328">
        <v>49</v>
      </c>
      <c r="H2328" s="6">
        <f t="shared" si="176"/>
        <v>26.46</v>
      </c>
    </row>
    <row r="2329" spans="1:8" hidden="1" x14ac:dyDescent="0.3">
      <c r="A2329" s="9">
        <v>45152</v>
      </c>
      <c r="B2329" t="s">
        <v>45</v>
      </c>
      <c r="C2329" t="s">
        <v>15</v>
      </c>
      <c r="D2329" t="s">
        <v>18</v>
      </c>
      <c r="E2329" t="s">
        <v>28</v>
      </c>
      <c r="F2329">
        <v>690</v>
      </c>
      <c r="G2329">
        <v>25</v>
      </c>
      <c r="H2329" s="6">
        <f t="shared" si="176"/>
        <v>17.25</v>
      </c>
    </row>
    <row r="2330" spans="1:8" hidden="1" x14ac:dyDescent="0.3">
      <c r="A2330" s="9">
        <v>45152</v>
      </c>
      <c r="B2330" t="s">
        <v>45</v>
      </c>
      <c r="C2330" t="s">
        <v>33</v>
      </c>
      <c r="D2330" t="s">
        <v>24</v>
      </c>
      <c r="E2330" t="s">
        <v>36</v>
      </c>
      <c r="F2330">
        <v>2460</v>
      </c>
      <c r="G2330">
        <v>75</v>
      </c>
      <c r="H2330" s="6">
        <f t="shared" si="176"/>
        <v>184.5</v>
      </c>
    </row>
    <row r="2331" spans="1:8" hidden="1" x14ac:dyDescent="0.3">
      <c r="A2331" s="9">
        <v>45152</v>
      </c>
      <c r="B2331" t="s">
        <v>45</v>
      </c>
      <c r="C2331" t="s">
        <v>33</v>
      </c>
      <c r="D2331" t="s">
        <v>24</v>
      </c>
      <c r="E2331" t="s">
        <v>32</v>
      </c>
      <c r="F2331">
        <v>1505</v>
      </c>
      <c r="G2331">
        <v>90</v>
      </c>
      <c r="H2331" s="6">
        <f t="shared" si="176"/>
        <v>135.44999999999999</v>
      </c>
    </row>
    <row r="2332" spans="1:8" hidden="1" x14ac:dyDescent="0.3">
      <c r="A2332" s="9">
        <v>45152</v>
      </c>
      <c r="B2332" t="s">
        <v>12</v>
      </c>
      <c r="C2332" t="s">
        <v>35</v>
      </c>
      <c r="D2332" t="s">
        <v>13</v>
      </c>
      <c r="E2332" t="s">
        <v>22</v>
      </c>
      <c r="F2332">
        <v>930</v>
      </c>
      <c r="G2332">
        <v>7</v>
      </c>
      <c r="H2332" s="6">
        <f t="shared" si="176"/>
        <v>6.51</v>
      </c>
    </row>
    <row r="2333" spans="1:8" hidden="1" x14ac:dyDescent="0.3">
      <c r="A2333" s="9">
        <v>45152</v>
      </c>
      <c r="B2333" t="s">
        <v>8</v>
      </c>
      <c r="C2333" t="s">
        <v>35</v>
      </c>
      <c r="D2333" t="s">
        <v>24</v>
      </c>
      <c r="E2333" t="s">
        <v>32</v>
      </c>
      <c r="F2333">
        <v>1505</v>
      </c>
      <c r="G2333">
        <v>56</v>
      </c>
      <c r="H2333" s="6">
        <f t="shared" si="176"/>
        <v>84.28</v>
      </c>
    </row>
    <row r="2334" spans="1:8" hidden="1" x14ac:dyDescent="0.3">
      <c r="A2334" s="13" t="s">
        <v>240</v>
      </c>
      <c r="H2334" s="6">
        <f>SUBTOTAL(9,H2326:H2333)</f>
        <v>0</v>
      </c>
    </row>
    <row r="2335" spans="1:8" hidden="1" x14ac:dyDescent="0.3">
      <c r="A2335" s="9">
        <v>45153</v>
      </c>
      <c r="B2335" t="s">
        <v>8</v>
      </c>
      <c r="C2335" t="s">
        <v>20</v>
      </c>
      <c r="D2335" t="s">
        <v>18</v>
      </c>
      <c r="E2335" t="s">
        <v>21</v>
      </c>
      <c r="F2335">
        <v>450</v>
      </c>
      <c r="G2335">
        <v>6</v>
      </c>
      <c r="H2335" s="6">
        <f t="shared" ref="H2335:H2346" si="177">F2335*G2335/1000</f>
        <v>2.7</v>
      </c>
    </row>
    <row r="2336" spans="1:8" hidden="1" x14ac:dyDescent="0.3">
      <c r="A2336" s="9">
        <v>45153</v>
      </c>
      <c r="B2336" t="s">
        <v>45</v>
      </c>
      <c r="C2336" t="s">
        <v>20</v>
      </c>
      <c r="D2336" t="s">
        <v>18</v>
      </c>
      <c r="E2336" t="s">
        <v>21</v>
      </c>
      <c r="F2336">
        <v>450</v>
      </c>
      <c r="G2336">
        <v>7</v>
      </c>
      <c r="H2336" s="6">
        <f t="shared" si="177"/>
        <v>3.15</v>
      </c>
    </row>
    <row r="2337" spans="1:8" hidden="1" x14ac:dyDescent="0.3">
      <c r="A2337" s="9">
        <v>45153</v>
      </c>
      <c r="B2337" t="s">
        <v>12</v>
      </c>
      <c r="C2337" t="s">
        <v>20</v>
      </c>
      <c r="D2337" t="s">
        <v>18</v>
      </c>
      <c r="E2337" t="s">
        <v>19</v>
      </c>
      <c r="F2337">
        <v>325</v>
      </c>
      <c r="G2337">
        <v>66</v>
      </c>
      <c r="H2337" s="6">
        <f t="shared" si="177"/>
        <v>21.45</v>
      </c>
    </row>
    <row r="2338" spans="1:8" x14ac:dyDescent="0.3">
      <c r="A2338" s="9">
        <v>45153</v>
      </c>
      <c r="B2338" t="s">
        <v>45</v>
      </c>
      <c r="C2338" t="s">
        <v>20</v>
      </c>
      <c r="D2338" t="s">
        <v>13</v>
      </c>
      <c r="E2338" t="s">
        <v>29</v>
      </c>
      <c r="F2338">
        <v>1230</v>
      </c>
      <c r="G2338">
        <v>70</v>
      </c>
      <c r="H2338" s="6">
        <f t="shared" si="177"/>
        <v>86.1</v>
      </c>
    </row>
    <row r="2339" spans="1:8" hidden="1" x14ac:dyDescent="0.3">
      <c r="A2339" s="9">
        <v>45153</v>
      </c>
      <c r="B2339" t="s">
        <v>8</v>
      </c>
      <c r="C2339" t="s">
        <v>9</v>
      </c>
      <c r="D2339" t="s">
        <v>13</v>
      </c>
      <c r="E2339" t="s">
        <v>22</v>
      </c>
      <c r="F2339">
        <v>930</v>
      </c>
      <c r="G2339">
        <v>64</v>
      </c>
      <c r="H2339" s="6">
        <f t="shared" si="177"/>
        <v>59.52</v>
      </c>
    </row>
    <row r="2340" spans="1:8" hidden="1" x14ac:dyDescent="0.3">
      <c r="A2340" s="9">
        <v>45153</v>
      </c>
      <c r="B2340" t="s">
        <v>12</v>
      </c>
      <c r="C2340" t="s">
        <v>26</v>
      </c>
      <c r="D2340" t="s">
        <v>18</v>
      </c>
      <c r="E2340" t="s">
        <v>21</v>
      </c>
      <c r="F2340">
        <v>450</v>
      </c>
      <c r="G2340">
        <v>52</v>
      </c>
      <c r="H2340" s="6">
        <f t="shared" si="177"/>
        <v>23.4</v>
      </c>
    </row>
    <row r="2341" spans="1:8" hidden="1" x14ac:dyDescent="0.3">
      <c r="A2341" s="9">
        <v>45153</v>
      </c>
      <c r="B2341" t="s">
        <v>8</v>
      </c>
      <c r="C2341" t="s">
        <v>26</v>
      </c>
      <c r="D2341" t="s">
        <v>24</v>
      </c>
      <c r="E2341" t="s">
        <v>42</v>
      </c>
      <c r="F2341">
        <v>3205</v>
      </c>
      <c r="G2341">
        <v>42</v>
      </c>
      <c r="H2341" s="6">
        <f t="shared" si="177"/>
        <v>134.61000000000001</v>
      </c>
    </row>
    <row r="2342" spans="1:8" hidden="1" x14ac:dyDescent="0.3">
      <c r="A2342" s="9">
        <v>45153</v>
      </c>
      <c r="B2342" t="s">
        <v>8</v>
      </c>
      <c r="C2342" t="s">
        <v>26</v>
      </c>
      <c r="D2342" t="s">
        <v>24</v>
      </c>
      <c r="E2342" t="s">
        <v>34</v>
      </c>
      <c r="F2342">
        <v>1670</v>
      </c>
      <c r="G2342">
        <v>88</v>
      </c>
      <c r="H2342" s="6">
        <f t="shared" si="177"/>
        <v>146.96</v>
      </c>
    </row>
    <row r="2343" spans="1:8" hidden="1" x14ac:dyDescent="0.3">
      <c r="A2343" s="9">
        <v>45153</v>
      </c>
      <c r="B2343" t="s">
        <v>17</v>
      </c>
      <c r="C2343" t="s">
        <v>15</v>
      </c>
      <c r="D2343" t="s">
        <v>10</v>
      </c>
      <c r="E2343" t="s">
        <v>11</v>
      </c>
      <c r="F2343">
        <v>705</v>
      </c>
      <c r="G2343">
        <v>63</v>
      </c>
      <c r="H2343" s="6">
        <f t="shared" si="177"/>
        <v>44.414999999999999</v>
      </c>
    </row>
    <row r="2344" spans="1:8" hidden="1" x14ac:dyDescent="0.3">
      <c r="A2344" s="9">
        <v>45153</v>
      </c>
      <c r="B2344" t="s">
        <v>8</v>
      </c>
      <c r="C2344" t="s">
        <v>15</v>
      </c>
      <c r="D2344" t="s">
        <v>10</v>
      </c>
      <c r="E2344" t="s">
        <v>23</v>
      </c>
      <c r="F2344">
        <v>640</v>
      </c>
      <c r="G2344">
        <v>23</v>
      </c>
      <c r="H2344" s="6">
        <f t="shared" si="177"/>
        <v>14.72</v>
      </c>
    </row>
    <row r="2345" spans="1:8" hidden="1" x14ac:dyDescent="0.3">
      <c r="A2345" s="9">
        <v>45153</v>
      </c>
      <c r="B2345" t="s">
        <v>45</v>
      </c>
      <c r="C2345" t="s">
        <v>15</v>
      </c>
      <c r="D2345" t="s">
        <v>24</v>
      </c>
      <c r="E2345" t="s">
        <v>36</v>
      </c>
      <c r="F2345">
        <v>2460</v>
      </c>
      <c r="G2345">
        <v>64</v>
      </c>
      <c r="H2345" s="6">
        <f t="shared" si="177"/>
        <v>157.44</v>
      </c>
    </row>
    <row r="2346" spans="1:8" hidden="1" x14ac:dyDescent="0.3">
      <c r="A2346" s="9">
        <v>45153</v>
      </c>
      <c r="B2346" t="s">
        <v>45</v>
      </c>
      <c r="C2346" t="s">
        <v>33</v>
      </c>
      <c r="D2346" t="s">
        <v>24</v>
      </c>
      <c r="E2346" t="s">
        <v>25</v>
      </c>
      <c r="F2346">
        <v>1760</v>
      </c>
      <c r="G2346">
        <v>81</v>
      </c>
      <c r="H2346" s="6">
        <f t="shared" si="177"/>
        <v>142.56</v>
      </c>
    </row>
    <row r="2347" spans="1:8" hidden="1" x14ac:dyDescent="0.3">
      <c r="A2347" s="13" t="s">
        <v>241</v>
      </c>
      <c r="H2347" s="6">
        <f>SUBTOTAL(9,H2335:H2346)</f>
        <v>86.1</v>
      </c>
    </row>
    <row r="2348" spans="1:8" hidden="1" x14ac:dyDescent="0.3">
      <c r="A2348" s="9">
        <v>45154</v>
      </c>
      <c r="B2348" t="s">
        <v>45</v>
      </c>
      <c r="C2348" t="s">
        <v>20</v>
      </c>
      <c r="D2348" t="s">
        <v>10</v>
      </c>
      <c r="E2348" t="s">
        <v>23</v>
      </c>
      <c r="F2348">
        <v>640</v>
      </c>
      <c r="G2348">
        <v>36</v>
      </c>
      <c r="H2348" s="6">
        <f t="shared" ref="H2348:H2354" si="178">F2348*G2348/1000</f>
        <v>23.04</v>
      </c>
    </row>
    <row r="2349" spans="1:8" x14ac:dyDescent="0.3">
      <c r="A2349" s="9">
        <v>45154</v>
      </c>
      <c r="B2349" t="s">
        <v>45</v>
      </c>
      <c r="C2349" t="s">
        <v>20</v>
      </c>
      <c r="D2349" t="s">
        <v>13</v>
      </c>
      <c r="E2349" t="s">
        <v>29</v>
      </c>
      <c r="F2349">
        <v>1230</v>
      </c>
      <c r="G2349">
        <v>11</v>
      </c>
      <c r="H2349" s="6">
        <f t="shared" si="178"/>
        <v>13.53</v>
      </c>
    </row>
    <row r="2350" spans="1:8" hidden="1" x14ac:dyDescent="0.3">
      <c r="A2350" s="9">
        <v>45154</v>
      </c>
      <c r="B2350" t="s">
        <v>12</v>
      </c>
      <c r="C2350" t="s">
        <v>26</v>
      </c>
      <c r="D2350" t="s">
        <v>13</v>
      </c>
      <c r="E2350" t="s">
        <v>38</v>
      </c>
      <c r="F2350">
        <v>2400</v>
      </c>
      <c r="G2350">
        <v>6</v>
      </c>
      <c r="H2350" s="6">
        <f t="shared" si="178"/>
        <v>14.4</v>
      </c>
    </row>
    <row r="2351" spans="1:8" hidden="1" x14ac:dyDescent="0.3">
      <c r="A2351" s="9">
        <v>45154</v>
      </c>
      <c r="B2351" t="s">
        <v>8</v>
      </c>
      <c r="C2351" t="s">
        <v>15</v>
      </c>
      <c r="D2351" t="s">
        <v>24</v>
      </c>
      <c r="E2351" t="s">
        <v>30</v>
      </c>
      <c r="F2351">
        <v>2970</v>
      </c>
      <c r="G2351">
        <v>43</v>
      </c>
      <c r="H2351" s="6">
        <f t="shared" si="178"/>
        <v>127.71</v>
      </c>
    </row>
    <row r="2352" spans="1:8" hidden="1" x14ac:dyDescent="0.3">
      <c r="A2352" s="9">
        <v>45154</v>
      </c>
      <c r="B2352" t="s">
        <v>8</v>
      </c>
      <c r="C2352" t="s">
        <v>33</v>
      </c>
      <c r="D2352" t="s">
        <v>10</v>
      </c>
      <c r="E2352" t="s">
        <v>23</v>
      </c>
      <c r="F2352">
        <v>640</v>
      </c>
      <c r="G2352">
        <v>36</v>
      </c>
      <c r="H2352" s="6">
        <f t="shared" si="178"/>
        <v>23.04</v>
      </c>
    </row>
    <row r="2353" spans="1:8" hidden="1" x14ac:dyDescent="0.3">
      <c r="A2353" s="9">
        <v>45154</v>
      </c>
      <c r="B2353" t="s">
        <v>12</v>
      </c>
      <c r="C2353" t="s">
        <v>33</v>
      </c>
      <c r="D2353" t="s">
        <v>18</v>
      </c>
      <c r="E2353" t="s">
        <v>27</v>
      </c>
      <c r="F2353">
        <v>460</v>
      </c>
      <c r="G2353">
        <v>43</v>
      </c>
      <c r="H2353" s="6">
        <f t="shared" si="178"/>
        <v>19.78</v>
      </c>
    </row>
    <row r="2354" spans="1:8" hidden="1" x14ac:dyDescent="0.3">
      <c r="A2354" s="9">
        <v>45154</v>
      </c>
      <c r="B2354" t="s">
        <v>45</v>
      </c>
      <c r="C2354" t="s">
        <v>35</v>
      </c>
      <c r="D2354" t="s">
        <v>24</v>
      </c>
      <c r="E2354" t="s">
        <v>32</v>
      </c>
      <c r="F2354">
        <v>1505</v>
      </c>
      <c r="G2354">
        <v>90</v>
      </c>
      <c r="H2354" s="6">
        <f t="shared" si="178"/>
        <v>135.44999999999999</v>
      </c>
    </row>
    <row r="2355" spans="1:8" hidden="1" x14ac:dyDescent="0.3">
      <c r="A2355" s="13" t="s">
        <v>242</v>
      </c>
      <c r="H2355" s="6">
        <f>SUBTOTAL(9,H2348:H2354)</f>
        <v>13.53</v>
      </c>
    </row>
    <row r="2356" spans="1:8" hidden="1" x14ac:dyDescent="0.3">
      <c r="A2356" s="9">
        <v>45155</v>
      </c>
      <c r="B2356" t="s">
        <v>45</v>
      </c>
      <c r="C2356" t="s">
        <v>20</v>
      </c>
      <c r="D2356" t="s">
        <v>10</v>
      </c>
      <c r="E2356" t="s">
        <v>11</v>
      </c>
      <c r="F2356">
        <v>705</v>
      </c>
      <c r="G2356">
        <v>40</v>
      </c>
      <c r="H2356" s="6">
        <f t="shared" ref="H2356:H2366" si="179">F2356*G2356/1000</f>
        <v>28.2</v>
      </c>
    </row>
    <row r="2357" spans="1:8" hidden="1" x14ac:dyDescent="0.3">
      <c r="A2357" s="9">
        <v>45155</v>
      </c>
      <c r="B2357" t="s">
        <v>45</v>
      </c>
      <c r="C2357" t="s">
        <v>20</v>
      </c>
      <c r="D2357" t="s">
        <v>18</v>
      </c>
      <c r="E2357" t="s">
        <v>21</v>
      </c>
      <c r="F2357">
        <v>450</v>
      </c>
      <c r="G2357">
        <v>91</v>
      </c>
      <c r="H2357" s="6">
        <f t="shared" si="179"/>
        <v>40.950000000000003</v>
      </c>
    </row>
    <row r="2358" spans="1:8" hidden="1" x14ac:dyDescent="0.3">
      <c r="A2358" s="9">
        <v>45155</v>
      </c>
      <c r="B2358" t="s">
        <v>17</v>
      </c>
      <c r="C2358" t="s">
        <v>20</v>
      </c>
      <c r="D2358" t="s">
        <v>13</v>
      </c>
      <c r="E2358" t="s">
        <v>22</v>
      </c>
      <c r="F2358">
        <v>930</v>
      </c>
      <c r="G2358">
        <v>34</v>
      </c>
      <c r="H2358" s="6">
        <f t="shared" si="179"/>
        <v>31.62</v>
      </c>
    </row>
    <row r="2359" spans="1:8" hidden="1" x14ac:dyDescent="0.3">
      <c r="A2359" s="9">
        <v>45155</v>
      </c>
      <c r="B2359" t="s">
        <v>8</v>
      </c>
      <c r="C2359" t="s">
        <v>9</v>
      </c>
      <c r="D2359" t="s">
        <v>18</v>
      </c>
      <c r="E2359" t="s">
        <v>19</v>
      </c>
      <c r="F2359">
        <v>325</v>
      </c>
      <c r="G2359">
        <v>83</v>
      </c>
      <c r="H2359" s="6">
        <f t="shared" si="179"/>
        <v>26.975000000000001</v>
      </c>
    </row>
    <row r="2360" spans="1:8" hidden="1" x14ac:dyDescent="0.3">
      <c r="A2360" s="9">
        <v>45155</v>
      </c>
      <c r="B2360" t="s">
        <v>17</v>
      </c>
      <c r="C2360" t="s">
        <v>9</v>
      </c>
      <c r="D2360" t="s">
        <v>24</v>
      </c>
      <c r="E2360" t="s">
        <v>32</v>
      </c>
      <c r="F2360">
        <v>1505</v>
      </c>
      <c r="G2360">
        <v>32</v>
      </c>
      <c r="H2360" s="6">
        <f t="shared" si="179"/>
        <v>48.16</v>
      </c>
    </row>
    <row r="2361" spans="1:8" hidden="1" x14ac:dyDescent="0.3">
      <c r="A2361" s="9">
        <v>45155</v>
      </c>
      <c r="B2361" t="s">
        <v>17</v>
      </c>
      <c r="C2361" t="s">
        <v>15</v>
      </c>
      <c r="D2361" t="s">
        <v>10</v>
      </c>
      <c r="E2361" t="s">
        <v>11</v>
      </c>
      <c r="F2361">
        <v>705</v>
      </c>
      <c r="G2361">
        <v>8</v>
      </c>
      <c r="H2361" s="6">
        <f t="shared" si="179"/>
        <v>5.64</v>
      </c>
    </row>
    <row r="2362" spans="1:8" hidden="1" x14ac:dyDescent="0.3">
      <c r="A2362" s="9">
        <v>45155</v>
      </c>
      <c r="B2362" t="s">
        <v>17</v>
      </c>
      <c r="C2362" t="s">
        <v>35</v>
      </c>
      <c r="D2362" t="s">
        <v>18</v>
      </c>
      <c r="E2362" t="s">
        <v>19</v>
      </c>
      <c r="F2362">
        <v>325</v>
      </c>
      <c r="G2362">
        <v>67</v>
      </c>
      <c r="H2362" s="6">
        <f t="shared" si="179"/>
        <v>21.774999999999999</v>
      </c>
    </row>
    <row r="2363" spans="1:8" hidden="1" x14ac:dyDescent="0.3">
      <c r="A2363" s="9">
        <v>45155</v>
      </c>
      <c r="B2363" t="s">
        <v>8</v>
      </c>
      <c r="C2363" t="s">
        <v>35</v>
      </c>
      <c r="D2363" t="s">
        <v>13</v>
      </c>
      <c r="E2363" t="s">
        <v>22</v>
      </c>
      <c r="F2363">
        <v>930</v>
      </c>
      <c r="G2363">
        <v>85</v>
      </c>
      <c r="H2363" s="6">
        <f t="shared" si="179"/>
        <v>79.05</v>
      </c>
    </row>
    <row r="2364" spans="1:8" hidden="1" x14ac:dyDescent="0.3">
      <c r="A2364" s="9">
        <v>45155</v>
      </c>
      <c r="B2364" t="s">
        <v>8</v>
      </c>
      <c r="C2364" t="s">
        <v>35</v>
      </c>
      <c r="D2364" t="s">
        <v>13</v>
      </c>
      <c r="E2364" t="s">
        <v>29</v>
      </c>
      <c r="F2364">
        <v>1230</v>
      </c>
      <c r="G2364">
        <v>100</v>
      </c>
      <c r="H2364" s="6">
        <f t="shared" si="179"/>
        <v>123</v>
      </c>
    </row>
    <row r="2365" spans="1:8" hidden="1" x14ac:dyDescent="0.3">
      <c r="A2365" s="9">
        <v>45155</v>
      </c>
      <c r="B2365" t="s">
        <v>12</v>
      </c>
      <c r="C2365" t="s">
        <v>35</v>
      </c>
      <c r="D2365" t="s">
        <v>24</v>
      </c>
      <c r="E2365" t="s">
        <v>34</v>
      </c>
      <c r="F2365">
        <v>1670</v>
      </c>
      <c r="G2365">
        <v>66</v>
      </c>
      <c r="H2365" s="6">
        <f t="shared" si="179"/>
        <v>110.22</v>
      </c>
    </row>
    <row r="2366" spans="1:8" hidden="1" x14ac:dyDescent="0.3">
      <c r="A2366" s="9">
        <v>45155</v>
      </c>
      <c r="B2366" t="s">
        <v>8</v>
      </c>
      <c r="C2366" t="s">
        <v>35</v>
      </c>
      <c r="D2366" t="s">
        <v>24</v>
      </c>
      <c r="E2366" t="s">
        <v>42</v>
      </c>
      <c r="F2366">
        <v>3205</v>
      </c>
      <c r="G2366">
        <v>69</v>
      </c>
      <c r="H2366" s="6">
        <f t="shared" si="179"/>
        <v>221.14500000000001</v>
      </c>
    </row>
    <row r="2367" spans="1:8" hidden="1" x14ac:dyDescent="0.3">
      <c r="A2367" s="13" t="s">
        <v>243</v>
      </c>
      <c r="H2367" s="6">
        <f>SUBTOTAL(9,H2356:H2366)</f>
        <v>0</v>
      </c>
    </row>
    <row r="2368" spans="1:8" hidden="1" x14ac:dyDescent="0.3">
      <c r="A2368" s="9">
        <v>45156</v>
      </c>
      <c r="B2368" t="s">
        <v>8</v>
      </c>
      <c r="C2368" t="s">
        <v>20</v>
      </c>
      <c r="D2368" t="s">
        <v>18</v>
      </c>
      <c r="E2368" t="s">
        <v>19</v>
      </c>
      <c r="F2368">
        <v>325</v>
      </c>
      <c r="G2368">
        <v>97</v>
      </c>
      <c r="H2368" s="6">
        <f t="shared" ref="H2368:H2373" si="180">F2368*G2368/1000</f>
        <v>31.524999999999999</v>
      </c>
    </row>
    <row r="2369" spans="1:8" hidden="1" x14ac:dyDescent="0.3">
      <c r="A2369" s="9">
        <v>45156</v>
      </c>
      <c r="B2369" t="s">
        <v>8</v>
      </c>
      <c r="C2369" t="s">
        <v>20</v>
      </c>
      <c r="D2369" t="s">
        <v>24</v>
      </c>
      <c r="E2369" t="s">
        <v>25</v>
      </c>
      <c r="F2369">
        <v>1760</v>
      </c>
      <c r="G2369">
        <v>16</v>
      </c>
      <c r="H2369" s="6">
        <f t="shared" si="180"/>
        <v>28.16</v>
      </c>
    </row>
    <row r="2370" spans="1:8" hidden="1" x14ac:dyDescent="0.3">
      <c r="A2370" s="9">
        <v>45156</v>
      </c>
      <c r="B2370" t="s">
        <v>45</v>
      </c>
      <c r="C2370" t="s">
        <v>20</v>
      </c>
      <c r="D2370" t="s">
        <v>24</v>
      </c>
      <c r="E2370" t="s">
        <v>32</v>
      </c>
      <c r="F2370">
        <v>1505</v>
      </c>
      <c r="G2370">
        <v>92</v>
      </c>
      <c r="H2370" s="6">
        <f t="shared" si="180"/>
        <v>138.46</v>
      </c>
    </row>
    <row r="2371" spans="1:8" hidden="1" x14ac:dyDescent="0.3">
      <c r="A2371" s="9">
        <v>45156</v>
      </c>
      <c r="B2371" t="s">
        <v>12</v>
      </c>
      <c r="C2371" t="s">
        <v>20</v>
      </c>
      <c r="D2371" t="s">
        <v>24</v>
      </c>
      <c r="E2371" t="s">
        <v>42</v>
      </c>
      <c r="F2371">
        <v>3205</v>
      </c>
      <c r="G2371">
        <v>44</v>
      </c>
      <c r="H2371" s="6">
        <f t="shared" si="180"/>
        <v>141.02000000000001</v>
      </c>
    </row>
    <row r="2372" spans="1:8" hidden="1" x14ac:dyDescent="0.3">
      <c r="A2372" s="9">
        <v>45156</v>
      </c>
      <c r="B2372" t="s">
        <v>8</v>
      </c>
      <c r="C2372" t="s">
        <v>9</v>
      </c>
      <c r="D2372" t="s">
        <v>13</v>
      </c>
      <c r="E2372" t="s">
        <v>44</v>
      </c>
      <c r="F2372">
        <v>2540</v>
      </c>
      <c r="G2372">
        <v>53</v>
      </c>
      <c r="H2372" s="6">
        <f t="shared" si="180"/>
        <v>134.62</v>
      </c>
    </row>
    <row r="2373" spans="1:8" hidden="1" x14ac:dyDescent="0.3">
      <c r="A2373" s="9">
        <v>45156</v>
      </c>
      <c r="B2373" t="s">
        <v>17</v>
      </c>
      <c r="C2373" t="s">
        <v>35</v>
      </c>
      <c r="D2373" t="s">
        <v>13</v>
      </c>
      <c r="E2373" t="s">
        <v>44</v>
      </c>
      <c r="F2373">
        <v>2540</v>
      </c>
      <c r="G2373">
        <v>43</v>
      </c>
      <c r="H2373" s="6">
        <f t="shared" si="180"/>
        <v>109.22</v>
      </c>
    </row>
    <row r="2374" spans="1:8" hidden="1" x14ac:dyDescent="0.3">
      <c r="A2374" s="13" t="s">
        <v>244</v>
      </c>
      <c r="H2374" s="6">
        <f>SUBTOTAL(9,H2368:H2373)</f>
        <v>0</v>
      </c>
    </row>
    <row r="2375" spans="1:8" hidden="1" x14ac:dyDescent="0.3">
      <c r="A2375" s="9">
        <v>45157</v>
      </c>
      <c r="B2375" t="s">
        <v>12</v>
      </c>
      <c r="C2375" t="s">
        <v>9</v>
      </c>
      <c r="D2375" t="s">
        <v>10</v>
      </c>
      <c r="E2375" t="s">
        <v>16</v>
      </c>
      <c r="F2375">
        <v>1380</v>
      </c>
      <c r="G2375">
        <v>29</v>
      </c>
      <c r="H2375" s="6">
        <f t="shared" ref="H2375:H2382" si="181">F2375*G2375/1000</f>
        <v>40.020000000000003</v>
      </c>
    </row>
    <row r="2376" spans="1:8" hidden="1" x14ac:dyDescent="0.3">
      <c r="A2376" s="9">
        <v>45157</v>
      </c>
      <c r="B2376" t="s">
        <v>17</v>
      </c>
      <c r="C2376" t="s">
        <v>9</v>
      </c>
      <c r="D2376" t="s">
        <v>13</v>
      </c>
      <c r="E2376" t="s">
        <v>29</v>
      </c>
      <c r="F2376">
        <v>1230</v>
      </c>
      <c r="G2376">
        <v>56</v>
      </c>
      <c r="H2376" s="6">
        <f t="shared" si="181"/>
        <v>68.88</v>
      </c>
    </row>
    <row r="2377" spans="1:8" x14ac:dyDescent="0.3">
      <c r="A2377" s="9">
        <v>45157</v>
      </c>
      <c r="B2377" t="s">
        <v>45</v>
      </c>
      <c r="C2377" t="s">
        <v>9</v>
      </c>
      <c r="D2377" t="s">
        <v>13</v>
      </c>
      <c r="E2377" t="s">
        <v>29</v>
      </c>
      <c r="F2377">
        <v>1230</v>
      </c>
      <c r="G2377">
        <v>100</v>
      </c>
      <c r="H2377" s="6">
        <f t="shared" si="181"/>
        <v>123</v>
      </c>
    </row>
    <row r="2378" spans="1:8" hidden="1" x14ac:dyDescent="0.3">
      <c r="A2378" s="9">
        <v>45157</v>
      </c>
      <c r="B2378" t="s">
        <v>8</v>
      </c>
      <c r="C2378" t="s">
        <v>26</v>
      </c>
      <c r="D2378" t="s">
        <v>24</v>
      </c>
      <c r="E2378" t="s">
        <v>30</v>
      </c>
      <c r="F2378">
        <v>2970</v>
      </c>
      <c r="G2378">
        <v>77</v>
      </c>
      <c r="H2378" s="6">
        <f t="shared" si="181"/>
        <v>228.69</v>
      </c>
    </row>
    <row r="2379" spans="1:8" hidden="1" x14ac:dyDescent="0.3">
      <c r="A2379" s="9">
        <v>45157</v>
      </c>
      <c r="B2379" t="s">
        <v>45</v>
      </c>
      <c r="C2379" t="s">
        <v>15</v>
      </c>
      <c r="D2379" t="s">
        <v>10</v>
      </c>
      <c r="E2379" t="s">
        <v>41</v>
      </c>
      <c r="F2379">
        <v>650</v>
      </c>
      <c r="G2379">
        <v>34</v>
      </c>
      <c r="H2379" s="6">
        <f t="shared" si="181"/>
        <v>22.1</v>
      </c>
    </row>
    <row r="2380" spans="1:8" hidden="1" x14ac:dyDescent="0.3">
      <c r="A2380" s="9">
        <v>45157</v>
      </c>
      <c r="B2380" t="s">
        <v>8</v>
      </c>
      <c r="C2380" t="s">
        <v>33</v>
      </c>
      <c r="D2380" t="s">
        <v>10</v>
      </c>
      <c r="E2380" t="s">
        <v>40</v>
      </c>
      <c r="F2380">
        <v>540</v>
      </c>
      <c r="G2380">
        <v>56</v>
      </c>
      <c r="H2380" s="6">
        <f t="shared" si="181"/>
        <v>30.24</v>
      </c>
    </row>
    <row r="2381" spans="1:8" hidden="1" x14ac:dyDescent="0.3">
      <c r="A2381" s="9">
        <v>45157</v>
      </c>
      <c r="B2381" t="s">
        <v>12</v>
      </c>
      <c r="C2381" t="s">
        <v>33</v>
      </c>
      <c r="D2381" t="s">
        <v>13</v>
      </c>
      <c r="E2381" t="s">
        <v>38</v>
      </c>
      <c r="F2381">
        <v>2400</v>
      </c>
      <c r="G2381">
        <v>66</v>
      </c>
      <c r="H2381" s="6">
        <f t="shared" si="181"/>
        <v>158.4</v>
      </c>
    </row>
    <row r="2382" spans="1:8" hidden="1" x14ac:dyDescent="0.3">
      <c r="A2382" s="9">
        <v>45157</v>
      </c>
      <c r="B2382" t="s">
        <v>17</v>
      </c>
      <c r="C2382" t="s">
        <v>33</v>
      </c>
      <c r="D2382" t="s">
        <v>24</v>
      </c>
      <c r="E2382" t="s">
        <v>25</v>
      </c>
      <c r="F2382">
        <v>1760</v>
      </c>
      <c r="G2382">
        <v>51</v>
      </c>
      <c r="H2382" s="6">
        <f t="shared" si="181"/>
        <v>89.76</v>
      </c>
    </row>
    <row r="2383" spans="1:8" hidden="1" x14ac:dyDescent="0.3">
      <c r="A2383" s="13" t="s">
        <v>245</v>
      </c>
      <c r="H2383" s="6">
        <f>SUBTOTAL(9,H2375:H2382)</f>
        <v>123</v>
      </c>
    </row>
    <row r="2384" spans="1:8" hidden="1" x14ac:dyDescent="0.3">
      <c r="A2384" s="9">
        <v>45158</v>
      </c>
      <c r="B2384" t="s">
        <v>45</v>
      </c>
      <c r="C2384" t="s">
        <v>9</v>
      </c>
      <c r="D2384" t="s">
        <v>10</v>
      </c>
      <c r="E2384" t="s">
        <v>23</v>
      </c>
      <c r="F2384">
        <v>640</v>
      </c>
      <c r="G2384">
        <v>65</v>
      </c>
      <c r="H2384" s="6">
        <f t="shared" ref="H2384:H2390" si="182">F2384*G2384/1000</f>
        <v>41.6</v>
      </c>
    </row>
    <row r="2385" spans="1:8" hidden="1" x14ac:dyDescent="0.3">
      <c r="A2385" s="9">
        <v>45158</v>
      </c>
      <c r="B2385" t="s">
        <v>45</v>
      </c>
      <c r="C2385" t="s">
        <v>26</v>
      </c>
      <c r="D2385" t="s">
        <v>18</v>
      </c>
      <c r="E2385" t="s">
        <v>31</v>
      </c>
      <c r="F2385">
        <v>715</v>
      </c>
      <c r="G2385">
        <v>59</v>
      </c>
      <c r="H2385" s="6">
        <f t="shared" si="182"/>
        <v>42.185000000000002</v>
      </c>
    </row>
    <row r="2386" spans="1:8" hidden="1" x14ac:dyDescent="0.3">
      <c r="A2386" s="9">
        <v>45158</v>
      </c>
      <c r="B2386" t="s">
        <v>12</v>
      </c>
      <c r="C2386" t="s">
        <v>33</v>
      </c>
      <c r="D2386" t="s">
        <v>10</v>
      </c>
      <c r="E2386" t="s">
        <v>41</v>
      </c>
      <c r="F2386">
        <v>650</v>
      </c>
      <c r="G2386">
        <v>48</v>
      </c>
      <c r="H2386" s="6">
        <f t="shared" si="182"/>
        <v>31.2</v>
      </c>
    </row>
    <row r="2387" spans="1:8" hidden="1" x14ac:dyDescent="0.3">
      <c r="A2387" s="9">
        <v>45158</v>
      </c>
      <c r="B2387" t="s">
        <v>17</v>
      </c>
      <c r="C2387" t="s">
        <v>33</v>
      </c>
      <c r="D2387" t="s">
        <v>24</v>
      </c>
      <c r="E2387" t="s">
        <v>42</v>
      </c>
      <c r="F2387">
        <v>3205</v>
      </c>
      <c r="G2387">
        <v>65</v>
      </c>
      <c r="H2387" s="6">
        <f t="shared" si="182"/>
        <v>208.32499999999999</v>
      </c>
    </row>
    <row r="2388" spans="1:8" hidden="1" x14ac:dyDescent="0.3">
      <c r="A2388" s="9">
        <v>45158</v>
      </c>
      <c r="B2388" t="s">
        <v>12</v>
      </c>
      <c r="C2388" t="s">
        <v>35</v>
      </c>
      <c r="D2388" t="s">
        <v>18</v>
      </c>
      <c r="E2388" t="s">
        <v>28</v>
      </c>
      <c r="F2388">
        <v>690</v>
      </c>
      <c r="G2388">
        <v>45</v>
      </c>
      <c r="H2388" s="6">
        <f t="shared" si="182"/>
        <v>31.05</v>
      </c>
    </row>
    <row r="2389" spans="1:8" hidden="1" x14ac:dyDescent="0.3">
      <c r="A2389" s="9">
        <v>45158</v>
      </c>
      <c r="B2389" t="s">
        <v>45</v>
      </c>
      <c r="C2389" t="s">
        <v>35</v>
      </c>
      <c r="D2389" t="s">
        <v>13</v>
      </c>
      <c r="E2389" t="s">
        <v>14</v>
      </c>
      <c r="F2389">
        <v>1320</v>
      </c>
      <c r="G2389">
        <v>12</v>
      </c>
      <c r="H2389" s="6">
        <f t="shared" si="182"/>
        <v>15.84</v>
      </c>
    </row>
    <row r="2390" spans="1:8" hidden="1" x14ac:dyDescent="0.3">
      <c r="A2390" s="9">
        <v>45158</v>
      </c>
      <c r="B2390" t="s">
        <v>17</v>
      </c>
      <c r="C2390" t="s">
        <v>35</v>
      </c>
      <c r="D2390" t="s">
        <v>24</v>
      </c>
      <c r="E2390" t="s">
        <v>32</v>
      </c>
      <c r="F2390">
        <v>1505</v>
      </c>
      <c r="G2390">
        <v>32</v>
      </c>
      <c r="H2390" s="6">
        <f t="shared" si="182"/>
        <v>48.16</v>
      </c>
    </row>
    <row r="2391" spans="1:8" hidden="1" x14ac:dyDescent="0.3">
      <c r="A2391" s="13" t="s">
        <v>246</v>
      </c>
      <c r="H2391" s="6">
        <f>SUBTOTAL(9,H2384:H2390)</f>
        <v>0</v>
      </c>
    </row>
    <row r="2392" spans="1:8" hidden="1" x14ac:dyDescent="0.3">
      <c r="A2392" s="9">
        <v>45159</v>
      </c>
      <c r="B2392" t="s">
        <v>17</v>
      </c>
      <c r="C2392" t="s">
        <v>20</v>
      </c>
      <c r="D2392" t="s">
        <v>10</v>
      </c>
      <c r="E2392" t="s">
        <v>39</v>
      </c>
      <c r="F2392">
        <v>650</v>
      </c>
      <c r="G2392">
        <v>21</v>
      </c>
      <c r="H2392" s="6">
        <f t="shared" ref="H2392:H2399" si="183">F2392*G2392/1000</f>
        <v>13.65</v>
      </c>
    </row>
    <row r="2393" spans="1:8" hidden="1" x14ac:dyDescent="0.3">
      <c r="A2393" s="9">
        <v>45159</v>
      </c>
      <c r="B2393" t="s">
        <v>8</v>
      </c>
      <c r="C2393" t="s">
        <v>9</v>
      </c>
      <c r="D2393" t="s">
        <v>18</v>
      </c>
      <c r="E2393" t="s">
        <v>31</v>
      </c>
      <c r="F2393">
        <v>715</v>
      </c>
      <c r="G2393">
        <v>22</v>
      </c>
      <c r="H2393" s="6">
        <f t="shared" si="183"/>
        <v>15.73</v>
      </c>
    </row>
    <row r="2394" spans="1:8" hidden="1" x14ac:dyDescent="0.3">
      <c r="A2394" s="9">
        <v>45159</v>
      </c>
      <c r="B2394" t="s">
        <v>17</v>
      </c>
      <c r="C2394" t="s">
        <v>9</v>
      </c>
      <c r="D2394" t="s">
        <v>13</v>
      </c>
      <c r="E2394" t="s">
        <v>44</v>
      </c>
      <c r="F2394">
        <v>2540</v>
      </c>
      <c r="G2394">
        <v>40</v>
      </c>
      <c r="H2394" s="6">
        <f t="shared" si="183"/>
        <v>101.6</v>
      </c>
    </row>
    <row r="2395" spans="1:8" hidden="1" x14ac:dyDescent="0.3">
      <c r="A2395" s="9">
        <v>45159</v>
      </c>
      <c r="B2395" t="s">
        <v>12</v>
      </c>
      <c r="C2395" t="s">
        <v>26</v>
      </c>
      <c r="D2395" t="s">
        <v>24</v>
      </c>
      <c r="E2395" t="s">
        <v>34</v>
      </c>
      <c r="F2395">
        <v>1670</v>
      </c>
      <c r="G2395">
        <v>68</v>
      </c>
      <c r="H2395" s="6">
        <f t="shared" si="183"/>
        <v>113.56</v>
      </c>
    </row>
    <row r="2396" spans="1:8" hidden="1" x14ac:dyDescent="0.3">
      <c r="A2396" s="9">
        <v>45159</v>
      </c>
      <c r="B2396" t="s">
        <v>12</v>
      </c>
      <c r="C2396" t="s">
        <v>15</v>
      </c>
      <c r="D2396" t="s">
        <v>24</v>
      </c>
      <c r="E2396" t="s">
        <v>42</v>
      </c>
      <c r="F2396">
        <v>3205</v>
      </c>
      <c r="G2396">
        <v>10</v>
      </c>
      <c r="H2396" s="6">
        <f t="shared" si="183"/>
        <v>32.049999999999997</v>
      </c>
    </row>
    <row r="2397" spans="1:8" hidden="1" x14ac:dyDescent="0.3">
      <c r="A2397" s="9">
        <v>45159</v>
      </c>
      <c r="B2397" t="s">
        <v>17</v>
      </c>
      <c r="C2397" t="s">
        <v>33</v>
      </c>
      <c r="D2397" t="s">
        <v>10</v>
      </c>
      <c r="E2397" t="s">
        <v>11</v>
      </c>
      <c r="F2397">
        <v>705</v>
      </c>
      <c r="G2397">
        <v>18</v>
      </c>
      <c r="H2397" s="6">
        <f t="shared" si="183"/>
        <v>12.69</v>
      </c>
    </row>
    <row r="2398" spans="1:8" hidden="1" x14ac:dyDescent="0.3">
      <c r="A2398" s="9">
        <v>45159</v>
      </c>
      <c r="B2398" t="s">
        <v>12</v>
      </c>
      <c r="C2398" t="s">
        <v>33</v>
      </c>
      <c r="D2398" t="s">
        <v>24</v>
      </c>
      <c r="E2398" t="s">
        <v>36</v>
      </c>
      <c r="F2398">
        <v>2460</v>
      </c>
      <c r="G2398">
        <v>84</v>
      </c>
      <c r="H2398" s="6">
        <f t="shared" si="183"/>
        <v>206.64</v>
      </c>
    </row>
    <row r="2399" spans="1:8" hidden="1" x14ac:dyDescent="0.3">
      <c r="A2399" s="9">
        <v>45159</v>
      </c>
      <c r="B2399" t="s">
        <v>17</v>
      </c>
      <c r="C2399" t="s">
        <v>35</v>
      </c>
      <c r="D2399" t="s">
        <v>10</v>
      </c>
      <c r="E2399" t="s">
        <v>23</v>
      </c>
      <c r="F2399">
        <v>640</v>
      </c>
      <c r="G2399">
        <v>9</v>
      </c>
      <c r="H2399" s="6">
        <f t="shared" si="183"/>
        <v>5.76</v>
      </c>
    </row>
    <row r="2400" spans="1:8" hidden="1" x14ac:dyDescent="0.3">
      <c r="A2400" s="13" t="s">
        <v>247</v>
      </c>
      <c r="H2400" s="6">
        <f>SUBTOTAL(9,H2392:H2399)</f>
        <v>0</v>
      </c>
    </row>
    <row r="2401" spans="1:8" hidden="1" x14ac:dyDescent="0.3">
      <c r="A2401" s="9">
        <v>45160</v>
      </c>
      <c r="B2401" t="s">
        <v>17</v>
      </c>
      <c r="C2401" t="s">
        <v>20</v>
      </c>
      <c r="D2401" t="s">
        <v>10</v>
      </c>
      <c r="E2401" t="s">
        <v>40</v>
      </c>
      <c r="F2401">
        <v>540</v>
      </c>
      <c r="G2401">
        <v>60</v>
      </c>
      <c r="H2401" s="6">
        <f>F2401*G2401/1000</f>
        <v>32.4</v>
      </c>
    </row>
    <row r="2402" spans="1:8" hidden="1" x14ac:dyDescent="0.3">
      <c r="A2402" s="9">
        <v>45160</v>
      </c>
      <c r="B2402" t="s">
        <v>12</v>
      </c>
      <c r="C2402" t="s">
        <v>26</v>
      </c>
      <c r="D2402" t="s">
        <v>10</v>
      </c>
      <c r="E2402" t="s">
        <v>23</v>
      </c>
      <c r="F2402">
        <v>640</v>
      </c>
      <c r="G2402">
        <v>62</v>
      </c>
      <c r="H2402" s="6">
        <f>F2402*G2402/1000</f>
        <v>39.68</v>
      </c>
    </row>
    <row r="2403" spans="1:8" hidden="1" x14ac:dyDescent="0.3">
      <c r="A2403" s="9">
        <v>45160</v>
      </c>
      <c r="B2403" t="s">
        <v>17</v>
      </c>
      <c r="C2403" t="s">
        <v>26</v>
      </c>
      <c r="D2403" t="s">
        <v>10</v>
      </c>
      <c r="E2403" t="s">
        <v>23</v>
      </c>
      <c r="F2403">
        <v>640</v>
      </c>
      <c r="G2403">
        <v>76</v>
      </c>
      <c r="H2403" s="6">
        <f>F2403*G2403/1000</f>
        <v>48.64</v>
      </c>
    </row>
    <row r="2404" spans="1:8" hidden="1" x14ac:dyDescent="0.3">
      <c r="A2404" s="9">
        <v>45160</v>
      </c>
      <c r="B2404" t="s">
        <v>17</v>
      </c>
      <c r="C2404" t="s">
        <v>15</v>
      </c>
      <c r="D2404" t="s">
        <v>13</v>
      </c>
      <c r="E2404" t="s">
        <v>44</v>
      </c>
      <c r="F2404">
        <v>2540</v>
      </c>
      <c r="G2404">
        <v>75</v>
      </c>
      <c r="H2404" s="6">
        <f>F2404*G2404/1000</f>
        <v>190.5</v>
      </c>
    </row>
    <row r="2405" spans="1:8" hidden="1" x14ac:dyDescent="0.3">
      <c r="A2405" s="9">
        <v>45160</v>
      </c>
      <c r="B2405" t="s">
        <v>8</v>
      </c>
      <c r="C2405" t="s">
        <v>35</v>
      </c>
      <c r="D2405" t="s">
        <v>18</v>
      </c>
      <c r="E2405" t="s">
        <v>27</v>
      </c>
      <c r="F2405">
        <v>460</v>
      </c>
      <c r="G2405">
        <v>74</v>
      </c>
      <c r="H2405" s="6">
        <f>F2405*G2405/1000</f>
        <v>34.04</v>
      </c>
    </row>
    <row r="2406" spans="1:8" hidden="1" x14ac:dyDescent="0.3">
      <c r="A2406" s="13" t="s">
        <v>248</v>
      </c>
      <c r="H2406" s="6">
        <f>SUBTOTAL(9,H2401:H2405)</f>
        <v>0</v>
      </c>
    </row>
    <row r="2407" spans="1:8" hidden="1" x14ac:dyDescent="0.3">
      <c r="A2407" s="9">
        <v>45161</v>
      </c>
      <c r="B2407" t="s">
        <v>8</v>
      </c>
      <c r="C2407" t="s">
        <v>9</v>
      </c>
      <c r="D2407" t="s">
        <v>18</v>
      </c>
      <c r="E2407" t="s">
        <v>31</v>
      </c>
      <c r="F2407">
        <v>715</v>
      </c>
      <c r="G2407">
        <v>6</v>
      </c>
      <c r="H2407" s="6">
        <f>F2407*G2407/1000</f>
        <v>4.29</v>
      </c>
    </row>
    <row r="2408" spans="1:8" hidden="1" x14ac:dyDescent="0.3">
      <c r="A2408" s="9">
        <v>45161</v>
      </c>
      <c r="B2408" t="s">
        <v>17</v>
      </c>
      <c r="C2408" t="s">
        <v>26</v>
      </c>
      <c r="D2408" t="s">
        <v>10</v>
      </c>
      <c r="E2408" t="s">
        <v>39</v>
      </c>
      <c r="F2408">
        <v>650</v>
      </c>
      <c r="G2408">
        <v>11</v>
      </c>
      <c r="H2408" s="6">
        <f>F2408*G2408/1000</f>
        <v>7.15</v>
      </c>
    </row>
    <row r="2409" spans="1:8" hidden="1" x14ac:dyDescent="0.3">
      <c r="A2409" s="9">
        <v>45161</v>
      </c>
      <c r="B2409" t="s">
        <v>17</v>
      </c>
      <c r="C2409" t="s">
        <v>26</v>
      </c>
      <c r="D2409" t="s">
        <v>13</v>
      </c>
      <c r="E2409" t="s">
        <v>43</v>
      </c>
      <c r="F2409">
        <v>1420</v>
      </c>
      <c r="G2409">
        <v>8</v>
      </c>
      <c r="H2409" s="6">
        <f>F2409*G2409/1000</f>
        <v>11.36</v>
      </c>
    </row>
    <row r="2410" spans="1:8" hidden="1" x14ac:dyDescent="0.3">
      <c r="A2410" s="9">
        <v>45161</v>
      </c>
      <c r="B2410" t="s">
        <v>8</v>
      </c>
      <c r="C2410" t="s">
        <v>33</v>
      </c>
      <c r="D2410" t="s">
        <v>24</v>
      </c>
      <c r="E2410" t="s">
        <v>34</v>
      </c>
      <c r="F2410">
        <v>1670</v>
      </c>
      <c r="G2410">
        <v>52</v>
      </c>
      <c r="H2410" s="6">
        <f>F2410*G2410/1000</f>
        <v>86.84</v>
      </c>
    </row>
    <row r="2411" spans="1:8" hidden="1" x14ac:dyDescent="0.3">
      <c r="A2411" s="13" t="s">
        <v>249</v>
      </c>
      <c r="H2411" s="6">
        <f>SUBTOTAL(9,H2407:H2410)</f>
        <v>0</v>
      </c>
    </row>
    <row r="2412" spans="1:8" hidden="1" x14ac:dyDescent="0.3">
      <c r="A2412" s="9">
        <v>45162</v>
      </c>
      <c r="B2412" t="s">
        <v>8</v>
      </c>
      <c r="C2412" t="s">
        <v>20</v>
      </c>
      <c r="D2412" t="s">
        <v>18</v>
      </c>
      <c r="E2412" t="s">
        <v>28</v>
      </c>
      <c r="F2412">
        <v>690</v>
      </c>
      <c r="G2412">
        <v>46</v>
      </c>
      <c r="H2412" s="6">
        <f t="shared" ref="H2412:H2419" si="184">F2412*G2412/1000</f>
        <v>31.74</v>
      </c>
    </row>
    <row r="2413" spans="1:8" hidden="1" x14ac:dyDescent="0.3">
      <c r="A2413" s="9">
        <v>45162</v>
      </c>
      <c r="B2413" t="s">
        <v>45</v>
      </c>
      <c r="C2413" t="s">
        <v>20</v>
      </c>
      <c r="D2413" t="s">
        <v>24</v>
      </c>
      <c r="E2413" t="s">
        <v>36</v>
      </c>
      <c r="F2413">
        <v>2460</v>
      </c>
      <c r="G2413">
        <v>26</v>
      </c>
      <c r="H2413" s="6">
        <f t="shared" si="184"/>
        <v>63.96</v>
      </c>
    </row>
    <row r="2414" spans="1:8" hidden="1" x14ac:dyDescent="0.3">
      <c r="A2414" s="9">
        <v>45162</v>
      </c>
      <c r="B2414" t="s">
        <v>45</v>
      </c>
      <c r="C2414" t="s">
        <v>9</v>
      </c>
      <c r="D2414" t="s">
        <v>18</v>
      </c>
      <c r="E2414" t="s">
        <v>37</v>
      </c>
      <c r="F2414">
        <v>890</v>
      </c>
      <c r="G2414">
        <v>19</v>
      </c>
      <c r="H2414" s="6">
        <f t="shared" si="184"/>
        <v>16.91</v>
      </c>
    </row>
    <row r="2415" spans="1:8" hidden="1" x14ac:dyDescent="0.3">
      <c r="A2415" s="9">
        <v>45162</v>
      </c>
      <c r="B2415" t="s">
        <v>12</v>
      </c>
      <c r="C2415" t="s">
        <v>9</v>
      </c>
      <c r="D2415" t="s">
        <v>13</v>
      </c>
      <c r="E2415" t="s">
        <v>14</v>
      </c>
      <c r="F2415">
        <v>1320</v>
      </c>
      <c r="G2415">
        <v>89</v>
      </c>
      <c r="H2415" s="6">
        <f t="shared" si="184"/>
        <v>117.48</v>
      </c>
    </row>
    <row r="2416" spans="1:8" hidden="1" x14ac:dyDescent="0.3">
      <c r="A2416" s="9">
        <v>45162</v>
      </c>
      <c r="B2416" t="s">
        <v>17</v>
      </c>
      <c r="C2416" t="s">
        <v>26</v>
      </c>
      <c r="D2416" t="s">
        <v>24</v>
      </c>
      <c r="E2416" t="s">
        <v>25</v>
      </c>
      <c r="F2416">
        <v>1760</v>
      </c>
      <c r="G2416">
        <v>30</v>
      </c>
      <c r="H2416" s="6">
        <f t="shared" si="184"/>
        <v>52.8</v>
      </c>
    </row>
    <row r="2417" spans="1:8" hidden="1" x14ac:dyDescent="0.3">
      <c r="A2417" s="9">
        <v>45162</v>
      </c>
      <c r="B2417" t="s">
        <v>8</v>
      </c>
      <c r="C2417" t="s">
        <v>33</v>
      </c>
      <c r="D2417" t="s">
        <v>24</v>
      </c>
      <c r="E2417" t="s">
        <v>34</v>
      </c>
      <c r="F2417">
        <v>1670</v>
      </c>
      <c r="G2417">
        <v>92</v>
      </c>
      <c r="H2417" s="6">
        <f t="shared" si="184"/>
        <v>153.63999999999999</v>
      </c>
    </row>
    <row r="2418" spans="1:8" hidden="1" x14ac:dyDescent="0.3">
      <c r="A2418" s="9">
        <v>45162</v>
      </c>
      <c r="B2418" t="s">
        <v>45</v>
      </c>
      <c r="C2418" t="s">
        <v>35</v>
      </c>
      <c r="D2418" t="s">
        <v>13</v>
      </c>
      <c r="E2418" t="s">
        <v>43</v>
      </c>
      <c r="F2418">
        <v>1420</v>
      </c>
      <c r="G2418">
        <v>41</v>
      </c>
      <c r="H2418" s="6">
        <f t="shared" si="184"/>
        <v>58.22</v>
      </c>
    </row>
    <row r="2419" spans="1:8" hidden="1" x14ac:dyDescent="0.3">
      <c r="A2419" s="9">
        <v>45162</v>
      </c>
      <c r="B2419" t="s">
        <v>12</v>
      </c>
      <c r="C2419" t="s">
        <v>35</v>
      </c>
      <c r="D2419" t="s">
        <v>13</v>
      </c>
      <c r="E2419" t="s">
        <v>22</v>
      </c>
      <c r="F2419">
        <v>930</v>
      </c>
      <c r="G2419">
        <v>45</v>
      </c>
      <c r="H2419" s="6">
        <f t="shared" si="184"/>
        <v>41.85</v>
      </c>
    </row>
    <row r="2420" spans="1:8" hidden="1" x14ac:dyDescent="0.3">
      <c r="A2420" s="13" t="s">
        <v>250</v>
      </c>
      <c r="H2420" s="6">
        <f>SUBTOTAL(9,H2412:H2419)</f>
        <v>0</v>
      </c>
    </row>
    <row r="2421" spans="1:8" hidden="1" x14ac:dyDescent="0.3">
      <c r="A2421" s="9">
        <v>45163</v>
      </c>
      <c r="B2421" t="s">
        <v>17</v>
      </c>
      <c r="C2421" t="s">
        <v>20</v>
      </c>
      <c r="D2421" t="s">
        <v>24</v>
      </c>
      <c r="E2421" t="s">
        <v>42</v>
      </c>
      <c r="F2421">
        <v>3205</v>
      </c>
      <c r="G2421">
        <v>17</v>
      </c>
      <c r="H2421" s="6">
        <f t="shared" ref="H2421:H2430" si="185">F2421*G2421/1000</f>
        <v>54.484999999999999</v>
      </c>
    </row>
    <row r="2422" spans="1:8" x14ac:dyDescent="0.3">
      <c r="A2422" s="9">
        <v>45163</v>
      </c>
      <c r="B2422" t="s">
        <v>45</v>
      </c>
      <c r="C2422" t="s">
        <v>26</v>
      </c>
      <c r="D2422" t="s">
        <v>13</v>
      </c>
      <c r="E2422" t="s">
        <v>29</v>
      </c>
      <c r="F2422">
        <v>1230</v>
      </c>
      <c r="G2422">
        <v>39</v>
      </c>
      <c r="H2422" s="6">
        <f t="shared" si="185"/>
        <v>47.97</v>
      </c>
    </row>
    <row r="2423" spans="1:8" hidden="1" x14ac:dyDescent="0.3">
      <c r="A2423" s="9">
        <v>45163</v>
      </c>
      <c r="B2423" t="s">
        <v>45</v>
      </c>
      <c r="C2423" t="s">
        <v>26</v>
      </c>
      <c r="D2423" t="s">
        <v>24</v>
      </c>
      <c r="E2423" t="s">
        <v>34</v>
      </c>
      <c r="F2423">
        <v>1670</v>
      </c>
      <c r="G2423">
        <v>76</v>
      </c>
      <c r="H2423" s="6">
        <f t="shared" si="185"/>
        <v>126.92</v>
      </c>
    </row>
    <row r="2424" spans="1:8" hidden="1" x14ac:dyDescent="0.3">
      <c r="A2424" s="9">
        <v>45163</v>
      </c>
      <c r="B2424" t="s">
        <v>12</v>
      </c>
      <c r="C2424" t="s">
        <v>26</v>
      </c>
      <c r="D2424" t="s">
        <v>24</v>
      </c>
      <c r="E2424" t="s">
        <v>32</v>
      </c>
      <c r="F2424">
        <v>1505</v>
      </c>
      <c r="G2424">
        <v>58</v>
      </c>
      <c r="H2424" s="6">
        <f t="shared" si="185"/>
        <v>87.29</v>
      </c>
    </row>
    <row r="2425" spans="1:8" hidden="1" x14ac:dyDescent="0.3">
      <c r="A2425" s="9">
        <v>45163</v>
      </c>
      <c r="B2425" t="s">
        <v>12</v>
      </c>
      <c r="C2425" t="s">
        <v>33</v>
      </c>
      <c r="D2425" t="s">
        <v>13</v>
      </c>
      <c r="E2425" t="s">
        <v>22</v>
      </c>
      <c r="F2425">
        <v>930</v>
      </c>
      <c r="G2425">
        <v>60</v>
      </c>
      <c r="H2425" s="6">
        <f t="shared" si="185"/>
        <v>55.8</v>
      </c>
    </row>
    <row r="2426" spans="1:8" hidden="1" x14ac:dyDescent="0.3">
      <c r="A2426" s="9">
        <v>45163</v>
      </c>
      <c r="B2426" t="s">
        <v>17</v>
      </c>
      <c r="C2426" t="s">
        <v>35</v>
      </c>
      <c r="D2426" t="s">
        <v>10</v>
      </c>
      <c r="E2426" t="s">
        <v>16</v>
      </c>
      <c r="F2426">
        <v>1380</v>
      </c>
      <c r="G2426">
        <v>40</v>
      </c>
      <c r="H2426" s="6">
        <f t="shared" si="185"/>
        <v>55.2</v>
      </c>
    </row>
    <row r="2427" spans="1:8" hidden="1" x14ac:dyDescent="0.3">
      <c r="A2427" s="9">
        <v>45163</v>
      </c>
      <c r="B2427" t="s">
        <v>17</v>
      </c>
      <c r="C2427" t="s">
        <v>35</v>
      </c>
      <c r="D2427" t="s">
        <v>18</v>
      </c>
      <c r="E2427" t="s">
        <v>21</v>
      </c>
      <c r="F2427">
        <v>450</v>
      </c>
      <c r="G2427">
        <v>67</v>
      </c>
      <c r="H2427" s="6">
        <f t="shared" si="185"/>
        <v>30.15</v>
      </c>
    </row>
    <row r="2428" spans="1:8" hidden="1" x14ac:dyDescent="0.3">
      <c r="A2428" s="9">
        <v>45163</v>
      </c>
      <c r="B2428" t="s">
        <v>12</v>
      </c>
      <c r="C2428" t="s">
        <v>35</v>
      </c>
      <c r="D2428" t="s">
        <v>18</v>
      </c>
      <c r="E2428" t="s">
        <v>37</v>
      </c>
      <c r="F2428">
        <v>890</v>
      </c>
      <c r="G2428">
        <v>30</v>
      </c>
      <c r="H2428" s="6">
        <f t="shared" si="185"/>
        <v>26.7</v>
      </c>
    </row>
    <row r="2429" spans="1:8" hidden="1" x14ac:dyDescent="0.3">
      <c r="A2429" s="9">
        <v>45163</v>
      </c>
      <c r="B2429" t="s">
        <v>17</v>
      </c>
      <c r="C2429" t="s">
        <v>35</v>
      </c>
      <c r="D2429" t="s">
        <v>13</v>
      </c>
      <c r="E2429" t="s">
        <v>29</v>
      </c>
      <c r="F2429">
        <v>1230</v>
      </c>
      <c r="G2429">
        <v>34</v>
      </c>
      <c r="H2429" s="6">
        <f t="shared" si="185"/>
        <v>41.82</v>
      </c>
    </row>
    <row r="2430" spans="1:8" hidden="1" x14ac:dyDescent="0.3">
      <c r="A2430" s="9">
        <v>45163</v>
      </c>
      <c r="B2430" t="s">
        <v>8</v>
      </c>
      <c r="C2430" t="s">
        <v>35</v>
      </c>
      <c r="D2430" t="s">
        <v>24</v>
      </c>
      <c r="E2430" t="s">
        <v>36</v>
      </c>
      <c r="F2430">
        <v>2460</v>
      </c>
      <c r="G2430">
        <v>75</v>
      </c>
      <c r="H2430" s="6">
        <f t="shared" si="185"/>
        <v>184.5</v>
      </c>
    </row>
    <row r="2431" spans="1:8" hidden="1" x14ac:dyDescent="0.3">
      <c r="A2431" s="13" t="s">
        <v>251</v>
      </c>
      <c r="H2431" s="6">
        <f>SUBTOTAL(9,H2421:H2430)</f>
        <v>47.97</v>
      </c>
    </row>
    <row r="2432" spans="1:8" hidden="1" x14ac:dyDescent="0.3">
      <c r="A2432" s="9">
        <v>45164</v>
      </c>
      <c r="B2432" t="s">
        <v>8</v>
      </c>
      <c r="C2432" t="s">
        <v>20</v>
      </c>
      <c r="D2432" t="s">
        <v>10</v>
      </c>
      <c r="E2432" t="s">
        <v>41</v>
      </c>
      <c r="F2432">
        <v>650</v>
      </c>
      <c r="G2432">
        <v>36</v>
      </c>
      <c r="H2432" s="6">
        <f t="shared" ref="H2432:H2444" si="186">F2432*G2432/1000</f>
        <v>23.4</v>
      </c>
    </row>
    <row r="2433" spans="1:8" hidden="1" x14ac:dyDescent="0.3">
      <c r="A2433" s="9">
        <v>45164</v>
      </c>
      <c r="B2433" t="s">
        <v>17</v>
      </c>
      <c r="C2433" t="s">
        <v>20</v>
      </c>
      <c r="D2433" t="s">
        <v>24</v>
      </c>
      <c r="E2433" t="s">
        <v>36</v>
      </c>
      <c r="F2433">
        <v>2460</v>
      </c>
      <c r="G2433">
        <v>31</v>
      </c>
      <c r="H2433" s="6">
        <f t="shared" si="186"/>
        <v>76.260000000000005</v>
      </c>
    </row>
    <row r="2434" spans="1:8" hidden="1" x14ac:dyDescent="0.3">
      <c r="A2434" s="9">
        <v>45164</v>
      </c>
      <c r="B2434" t="s">
        <v>12</v>
      </c>
      <c r="C2434" t="s">
        <v>9</v>
      </c>
      <c r="D2434" t="s">
        <v>24</v>
      </c>
      <c r="E2434" t="s">
        <v>25</v>
      </c>
      <c r="F2434">
        <v>1760</v>
      </c>
      <c r="G2434">
        <v>62</v>
      </c>
      <c r="H2434" s="6">
        <f t="shared" si="186"/>
        <v>109.12</v>
      </c>
    </row>
    <row r="2435" spans="1:8" hidden="1" x14ac:dyDescent="0.3">
      <c r="A2435" s="9">
        <v>45164</v>
      </c>
      <c r="B2435" t="s">
        <v>17</v>
      </c>
      <c r="C2435" t="s">
        <v>26</v>
      </c>
      <c r="D2435" t="s">
        <v>10</v>
      </c>
      <c r="E2435" t="s">
        <v>16</v>
      </c>
      <c r="F2435">
        <v>1380</v>
      </c>
      <c r="G2435">
        <v>45</v>
      </c>
      <c r="H2435" s="6">
        <f t="shared" si="186"/>
        <v>62.1</v>
      </c>
    </row>
    <row r="2436" spans="1:8" hidden="1" x14ac:dyDescent="0.3">
      <c r="A2436" s="9">
        <v>45164</v>
      </c>
      <c r="B2436" t="s">
        <v>45</v>
      </c>
      <c r="C2436" t="s">
        <v>26</v>
      </c>
      <c r="D2436" t="s">
        <v>13</v>
      </c>
      <c r="E2436" t="s">
        <v>22</v>
      </c>
      <c r="F2436">
        <v>930</v>
      </c>
      <c r="G2436">
        <v>31</v>
      </c>
      <c r="H2436" s="6">
        <f t="shared" si="186"/>
        <v>28.83</v>
      </c>
    </row>
    <row r="2437" spans="1:8" hidden="1" x14ac:dyDescent="0.3">
      <c r="A2437" s="9">
        <v>45164</v>
      </c>
      <c r="B2437" t="s">
        <v>12</v>
      </c>
      <c r="C2437" t="s">
        <v>26</v>
      </c>
      <c r="D2437" t="s">
        <v>13</v>
      </c>
      <c r="E2437" t="s">
        <v>38</v>
      </c>
      <c r="F2437">
        <v>2400</v>
      </c>
      <c r="G2437">
        <v>82</v>
      </c>
      <c r="H2437" s="6">
        <f t="shared" si="186"/>
        <v>196.8</v>
      </c>
    </row>
    <row r="2438" spans="1:8" hidden="1" x14ac:dyDescent="0.3">
      <c r="A2438" s="9">
        <v>45164</v>
      </c>
      <c r="B2438" t="s">
        <v>17</v>
      </c>
      <c r="C2438" t="s">
        <v>26</v>
      </c>
      <c r="D2438" t="s">
        <v>24</v>
      </c>
      <c r="E2438" t="s">
        <v>25</v>
      </c>
      <c r="F2438">
        <v>1760</v>
      </c>
      <c r="G2438">
        <v>39</v>
      </c>
      <c r="H2438" s="6">
        <f t="shared" si="186"/>
        <v>68.64</v>
      </c>
    </row>
    <row r="2439" spans="1:8" hidden="1" x14ac:dyDescent="0.3">
      <c r="A2439" s="9">
        <v>45164</v>
      </c>
      <c r="B2439" t="s">
        <v>45</v>
      </c>
      <c r="C2439" t="s">
        <v>15</v>
      </c>
      <c r="D2439" t="s">
        <v>24</v>
      </c>
      <c r="E2439" t="s">
        <v>36</v>
      </c>
      <c r="F2439">
        <v>2460</v>
      </c>
      <c r="G2439">
        <v>57</v>
      </c>
      <c r="H2439" s="6">
        <f t="shared" si="186"/>
        <v>140.22</v>
      </c>
    </row>
    <row r="2440" spans="1:8" hidden="1" x14ac:dyDescent="0.3">
      <c r="A2440" s="9">
        <v>45164</v>
      </c>
      <c r="B2440" t="s">
        <v>8</v>
      </c>
      <c r="C2440" t="s">
        <v>33</v>
      </c>
      <c r="D2440" t="s">
        <v>18</v>
      </c>
      <c r="E2440" t="s">
        <v>21</v>
      </c>
      <c r="F2440">
        <v>450</v>
      </c>
      <c r="G2440">
        <v>20</v>
      </c>
      <c r="H2440" s="6">
        <f t="shared" si="186"/>
        <v>9</v>
      </c>
    </row>
    <row r="2441" spans="1:8" hidden="1" x14ac:dyDescent="0.3">
      <c r="A2441" s="9">
        <v>45164</v>
      </c>
      <c r="B2441" t="s">
        <v>45</v>
      </c>
      <c r="C2441" t="s">
        <v>33</v>
      </c>
      <c r="D2441" t="s">
        <v>24</v>
      </c>
      <c r="E2441" t="s">
        <v>42</v>
      </c>
      <c r="F2441">
        <v>3205</v>
      </c>
      <c r="G2441">
        <v>87</v>
      </c>
      <c r="H2441" s="6">
        <f t="shared" si="186"/>
        <v>278.83499999999998</v>
      </c>
    </row>
    <row r="2442" spans="1:8" hidden="1" x14ac:dyDescent="0.3">
      <c r="A2442" s="9">
        <v>45164</v>
      </c>
      <c r="B2442" t="s">
        <v>8</v>
      </c>
      <c r="C2442" t="s">
        <v>35</v>
      </c>
      <c r="D2442" t="s">
        <v>18</v>
      </c>
      <c r="E2442" t="s">
        <v>31</v>
      </c>
      <c r="F2442">
        <v>715</v>
      </c>
      <c r="G2442">
        <v>92</v>
      </c>
      <c r="H2442" s="6">
        <f t="shared" si="186"/>
        <v>65.78</v>
      </c>
    </row>
    <row r="2443" spans="1:8" hidden="1" x14ac:dyDescent="0.3">
      <c r="A2443" s="9">
        <v>45164</v>
      </c>
      <c r="B2443" t="s">
        <v>12</v>
      </c>
      <c r="C2443" t="s">
        <v>35</v>
      </c>
      <c r="D2443" t="s">
        <v>13</v>
      </c>
      <c r="E2443" t="s">
        <v>22</v>
      </c>
      <c r="F2443">
        <v>930</v>
      </c>
      <c r="G2443">
        <v>56</v>
      </c>
      <c r="H2443" s="6">
        <f t="shared" si="186"/>
        <v>52.08</v>
      </c>
    </row>
    <row r="2444" spans="1:8" hidden="1" x14ac:dyDescent="0.3">
      <c r="A2444" s="9">
        <v>45164</v>
      </c>
      <c r="B2444" t="s">
        <v>8</v>
      </c>
      <c r="C2444" t="s">
        <v>35</v>
      </c>
      <c r="D2444" t="s">
        <v>24</v>
      </c>
      <c r="E2444" t="s">
        <v>42</v>
      </c>
      <c r="F2444">
        <v>3205</v>
      </c>
      <c r="G2444">
        <v>51</v>
      </c>
      <c r="H2444" s="6">
        <f t="shared" si="186"/>
        <v>163.45500000000001</v>
      </c>
    </row>
    <row r="2445" spans="1:8" hidden="1" x14ac:dyDescent="0.3">
      <c r="A2445" s="13" t="s">
        <v>252</v>
      </c>
      <c r="H2445" s="6">
        <f>SUBTOTAL(9,H2432:H2444)</f>
        <v>0</v>
      </c>
    </row>
    <row r="2446" spans="1:8" hidden="1" x14ac:dyDescent="0.3">
      <c r="A2446" s="9">
        <v>45165</v>
      </c>
      <c r="B2446" t="s">
        <v>45</v>
      </c>
      <c r="C2446" t="s">
        <v>20</v>
      </c>
      <c r="D2446" t="s">
        <v>24</v>
      </c>
      <c r="E2446" t="s">
        <v>32</v>
      </c>
      <c r="F2446">
        <v>1505</v>
      </c>
      <c r="G2446">
        <v>80</v>
      </c>
      <c r="H2446" s="6">
        <f t="shared" ref="H2446:H2455" si="187">F2446*G2446/1000</f>
        <v>120.4</v>
      </c>
    </row>
    <row r="2447" spans="1:8" hidden="1" x14ac:dyDescent="0.3">
      <c r="A2447" s="9">
        <v>45165</v>
      </c>
      <c r="B2447" t="s">
        <v>17</v>
      </c>
      <c r="C2447" t="s">
        <v>9</v>
      </c>
      <c r="D2447" t="s">
        <v>10</v>
      </c>
      <c r="E2447" t="s">
        <v>40</v>
      </c>
      <c r="F2447">
        <v>540</v>
      </c>
      <c r="G2447">
        <v>62</v>
      </c>
      <c r="H2447" s="6">
        <f t="shared" si="187"/>
        <v>33.479999999999997</v>
      </c>
    </row>
    <row r="2448" spans="1:8" hidden="1" x14ac:dyDescent="0.3">
      <c r="A2448" s="9">
        <v>45165</v>
      </c>
      <c r="B2448" t="s">
        <v>45</v>
      </c>
      <c r="C2448" t="s">
        <v>15</v>
      </c>
      <c r="D2448" t="s">
        <v>18</v>
      </c>
      <c r="E2448" t="s">
        <v>28</v>
      </c>
      <c r="F2448">
        <v>690</v>
      </c>
      <c r="G2448">
        <v>7</v>
      </c>
      <c r="H2448" s="6">
        <f t="shared" si="187"/>
        <v>4.83</v>
      </c>
    </row>
    <row r="2449" spans="1:8" hidden="1" x14ac:dyDescent="0.3">
      <c r="A2449" s="9">
        <v>45165</v>
      </c>
      <c r="B2449" t="s">
        <v>8</v>
      </c>
      <c r="C2449" t="s">
        <v>15</v>
      </c>
      <c r="D2449" t="s">
        <v>13</v>
      </c>
      <c r="E2449" t="s">
        <v>38</v>
      </c>
      <c r="F2449">
        <v>2400</v>
      </c>
      <c r="G2449">
        <v>11</v>
      </c>
      <c r="H2449" s="6">
        <f t="shared" si="187"/>
        <v>26.4</v>
      </c>
    </row>
    <row r="2450" spans="1:8" hidden="1" x14ac:dyDescent="0.3">
      <c r="A2450" s="9">
        <v>45165</v>
      </c>
      <c r="B2450" t="s">
        <v>17</v>
      </c>
      <c r="C2450" t="s">
        <v>33</v>
      </c>
      <c r="D2450" t="s">
        <v>24</v>
      </c>
      <c r="E2450" t="s">
        <v>42</v>
      </c>
      <c r="F2450">
        <v>3205</v>
      </c>
      <c r="G2450">
        <v>23</v>
      </c>
      <c r="H2450" s="6">
        <f t="shared" si="187"/>
        <v>73.715000000000003</v>
      </c>
    </row>
    <row r="2451" spans="1:8" hidden="1" x14ac:dyDescent="0.3">
      <c r="A2451" s="9">
        <v>45165</v>
      </c>
      <c r="B2451" t="s">
        <v>12</v>
      </c>
      <c r="C2451" t="s">
        <v>35</v>
      </c>
      <c r="D2451" t="s">
        <v>18</v>
      </c>
      <c r="E2451" t="s">
        <v>19</v>
      </c>
      <c r="F2451">
        <v>325</v>
      </c>
      <c r="G2451">
        <v>63</v>
      </c>
      <c r="H2451" s="6">
        <f t="shared" si="187"/>
        <v>20.475000000000001</v>
      </c>
    </row>
    <row r="2452" spans="1:8" hidden="1" x14ac:dyDescent="0.3">
      <c r="A2452" s="9">
        <v>45165</v>
      </c>
      <c r="B2452" t="s">
        <v>8</v>
      </c>
      <c r="C2452" t="s">
        <v>35</v>
      </c>
      <c r="D2452" t="s">
        <v>18</v>
      </c>
      <c r="E2452" t="s">
        <v>27</v>
      </c>
      <c r="F2452">
        <v>460</v>
      </c>
      <c r="G2452">
        <v>80</v>
      </c>
      <c r="H2452" s="6">
        <f t="shared" si="187"/>
        <v>36.799999999999997</v>
      </c>
    </row>
    <row r="2453" spans="1:8" hidden="1" x14ac:dyDescent="0.3">
      <c r="A2453" s="9">
        <v>45165</v>
      </c>
      <c r="B2453" t="s">
        <v>17</v>
      </c>
      <c r="C2453" t="s">
        <v>35</v>
      </c>
      <c r="D2453" t="s">
        <v>13</v>
      </c>
      <c r="E2453" t="s">
        <v>43</v>
      </c>
      <c r="F2453">
        <v>1420</v>
      </c>
      <c r="G2453">
        <v>22</v>
      </c>
      <c r="H2453" s="6">
        <f t="shared" si="187"/>
        <v>31.24</v>
      </c>
    </row>
    <row r="2454" spans="1:8" hidden="1" x14ac:dyDescent="0.3">
      <c r="A2454" s="9">
        <v>45165</v>
      </c>
      <c r="B2454" t="s">
        <v>8</v>
      </c>
      <c r="C2454" t="s">
        <v>35</v>
      </c>
      <c r="D2454" t="s">
        <v>13</v>
      </c>
      <c r="E2454" t="s">
        <v>29</v>
      </c>
      <c r="F2454">
        <v>1230</v>
      </c>
      <c r="G2454">
        <v>69</v>
      </c>
      <c r="H2454" s="6">
        <f t="shared" si="187"/>
        <v>84.87</v>
      </c>
    </row>
    <row r="2455" spans="1:8" hidden="1" x14ac:dyDescent="0.3">
      <c r="A2455" s="9">
        <v>45165</v>
      </c>
      <c r="B2455" t="s">
        <v>45</v>
      </c>
      <c r="C2455" t="s">
        <v>35</v>
      </c>
      <c r="D2455" t="s">
        <v>24</v>
      </c>
      <c r="E2455" t="s">
        <v>42</v>
      </c>
      <c r="F2455">
        <v>3205</v>
      </c>
      <c r="G2455">
        <v>84</v>
      </c>
      <c r="H2455" s="6">
        <f t="shared" si="187"/>
        <v>269.22000000000003</v>
      </c>
    </row>
    <row r="2456" spans="1:8" hidden="1" x14ac:dyDescent="0.3">
      <c r="A2456" s="13" t="s">
        <v>253</v>
      </c>
      <c r="H2456" s="6">
        <f>SUBTOTAL(9,H2446:H2455)</f>
        <v>0</v>
      </c>
    </row>
    <row r="2457" spans="1:8" hidden="1" x14ac:dyDescent="0.3">
      <c r="A2457" s="9">
        <v>45166</v>
      </c>
      <c r="B2457" t="s">
        <v>12</v>
      </c>
      <c r="C2457" t="s">
        <v>20</v>
      </c>
      <c r="D2457" t="s">
        <v>18</v>
      </c>
      <c r="E2457" t="s">
        <v>21</v>
      </c>
      <c r="F2457">
        <v>450</v>
      </c>
      <c r="G2457">
        <v>26</v>
      </c>
      <c r="H2457" s="6">
        <f t="shared" ref="H2457:H2466" si="188">F2457*G2457/1000</f>
        <v>11.7</v>
      </c>
    </row>
    <row r="2458" spans="1:8" hidden="1" x14ac:dyDescent="0.3">
      <c r="A2458" s="9">
        <v>45166</v>
      </c>
      <c r="B2458" t="s">
        <v>17</v>
      </c>
      <c r="C2458" t="s">
        <v>9</v>
      </c>
      <c r="D2458" t="s">
        <v>18</v>
      </c>
      <c r="E2458" t="s">
        <v>28</v>
      </c>
      <c r="F2458">
        <v>690</v>
      </c>
      <c r="G2458">
        <v>92</v>
      </c>
      <c r="H2458" s="6">
        <f t="shared" si="188"/>
        <v>63.48</v>
      </c>
    </row>
    <row r="2459" spans="1:8" hidden="1" x14ac:dyDescent="0.3">
      <c r="A2459" s="9">
        <v>45166</v>
      </c>
      <c r="B2459" t="s">
        <v>8</v>
      </c>
      <c r="C2459" t="s">
        <v>9</v>
      </c>
      <c r="D2459" t="s">
        <v>24</v>
      </c>
      <c r="E2459" t="s">
        <v>42</v>
      </c>
      <c r="F2459">
        <v>3205</v>
      </c>
      <c r="G2459">
        <v>63</v>
      </c>
      <c r="H2459" s="6">
        <f t="shared" si="188"/>
        <v>201.91499999999999</v>
      </c>
    </row>
    <row r="2460" spans="1:8" hidden="1" x14ac:dyDescent="0.3">
      <c r="A2460" s="9">
        <v>45166</v>
      </c>
      <c r="B2460" t="s">
        <v>17</v>
      </c>
      <c r="C2460" t="s">
        <v>9</v>
      </c>
      <c r="D2460" t="s">
        <v>24</v>
      </c>
      <c r="E2460" t="s">
        <v>34</v>
      </c>
      <c r="F2460">
        <v>1670</v>
      </c>
      <c r="G2460">
        <v>19</v>
      </c>
      <c r="H2460" s="6">
        <f t="shared" si="188"/>
        <v>31.73</v>
      </c>
    </row>
    <row r="2461" spans="1:8" hidden="1" x14ac:dyDescent="0.3">
      <c r="A2461" s="9">
        <v>45166</v>
      </c>
      <c r="B2461" t="s">
        <v>45</v>
      </c>
      <c r="C2461" t="s">
        <v>26</v>
      </c>
      <c r="D2461" t="s">
        <v>10</v>
      </c>
      <c r="E2461" t="s">
        <v>11</v>
      </c>
      <c r="F2461">
        <v>705</v>
      </c>
      <c r="G2461">
        <v>71</v>
      </c>
      <c r="H2461" s="6">
        <f t="shared" si="188"/>
        <v>50.055</v>
      </c>
    </row>
    <row r="2462" spans="1:8" hidden="1" x14ac:dyDescent="0.3">
      <c r="A2462" s="9">
        <v>45166</v>
      </c>
      <c r="B2462" t="s">
        <v>12</v>
      </c>
      <c r="C2462" t="s">
        <v>26</v>
      </c>
      <c r="D2462" t="s">
        <v>18</v>
      </c>
      <c r="E2462" t="s">
        <v>19</v>
      </c>
      <c r="F2462">
        <v>325</v>
      </c>
      <c r="G2462">
        <v>50</v>
      </c>
      <c r="H2462" s="6">
        <f t="shared" si="188"/>
        <v>16.25</v>
      </c>
    </row>
    <row r="2463" spans="1:8" hidden="1" x14ac:dyDescent="0.3">
      <c r="A2463" s="9">
        <v>45166</v>
      </c>
      <c r="B2463" t="s">
        <v>8</v>
      </c>
      <c r="C2463" t="s">
        <v>26</v>
      </c>
      <c r="D2463" t="s">
        <v>13</v>
      </c>
      <c r="E2463" t="s">
        <v>22</v>
      </c>
      <c r="F2463">
        <v>930</v>
      </c>
      <c r="G2463">
        <v>96</v>
      </c>
      <c r="H2463" s="6">
        <f t="shared" si="188"/>
        <v>89.28</v>
      </c>
    </row>
    <row r="2464" spans="1:8" hidden="1" x14ac:dyDescent="0.3">
      <c r="A2464" s="9">
        <v>45166</v>
      </c>
      <c r="B2464" t="s">
        <v>17</v>
      </c>
      <c r="C2464" t="s">
        <v>26</v>
      </c>
      <c r="D2464" t="s">
        <v>24</v>
      </c>
      <c r="E2464" t="s">
        <v>32</v>
      </c>
      <c r="F2464">
        <v>1505</v>
      </c>
      <c r="G2464">
        <v>92</v>
      </c>
      <c r="H2464" s="6">
        <f t="shared" si="188"/>
        <v>138.46</v>
      </c>
    </row>
    <row r="2465" spans="1:8" hidden="1" x14ac:dyDescent="0.3">
      <c r="A2465" s="9">
        <v>45166</v>
      </c>
      <c r="B2465" t="s">
        <v>12</v>
      </c>
      <c r="C2465" t="s">
        <v>15</v>
      </c>
      <c r="D2465" t="s">
        <v>10</v>
      </c>
      <c r="E2465" t="s">
        <v>41</v>
      </c>
      <c r="F2465">
        <v>650</v>
      </c>
      <c r="G2465">
        <v>47</v>
      </c>
      <c r="H2465" s="6">
        <f t="shared" si="188"/>
        <v>30.55</v>
      </c>
    </row>
    <row r="2466" spans="1:8" hidden="1" x14ac:dyDescent="0.3">
      <c r="A2466" s="9">
        <v>45166</v>
      </c>
      <c r="B2466" t="s">
        <v>12</v>
      </c>
      <c r="C2466" t="s">
        <v>33</v>
      </c>
      <c r="D2466" t="s">
        <v>18</v>
      </c>
      <c r="E2466" t="s">
        <v>19</v>
      </c>
      <c r="F2466">
        <v>325</v>
      </c>
      <c r="G2466">
        <v>59</v>
      </c>
      <c r="H2466" s="6">
        <f t="shared" si="188"/>
        <v>19.175000000000001</v>
      </c>
    </row>
    <row r="2467" spans="1:8" hidden="1" x14ac:dyDescent="0.3">
      <c r="A2467" s="13" t="s">
        <v>254</v>
      </c>
      <c r="H2467" s="6">
        <f>SUBTOTAL(9,H2457:H2466)</f>
        <v>0</v>
      </c>
    </row>
    <row r="2468" spans="1:8" hidden="1" x14ac:dyDescent="0.3">
      <c r="A2468" s="9">
        <v>45167</v>
      </c>
      <c r="B2468" t="s">
        <v>12</v>
      </c>
      <c r="C2468" t="s">
        <v>20</v>
      </c>
      <c r="D2468" t="s">
        <v>24</v>
      </c>
      <c r="E2468" t="s">
        <v>32</v>
      </c>
      <c r="F2468">
        <v>1505</v>
      </c>
      <c r="G2468">
        <v>13</v>
      </c>
      <c r="H2468" s="6">
        <f t="shared" ref="H2468:H2478" si="189">F2468*G2468/1000</f>
        <v>19.565000000000001</v>
      </c>
    </row>
    <row r="2469" spans="1:8" hidden="1" x14ac:dyDescent="0.3">
      <c r="A2469" s="9">
        <v>45167</v>
      </c>
      <c r="B2469" t="s">
        <v>17</v>
      </c>
      <c r="C2469" t="s">
        <v>9</v>
      </c>
      <c r="D2469" t="s">
        <v>10</v>
      </c>
      <c r="E2469" t="s">
        <v>16</v>
      </c>
      <c r="F2469">
        <v>1380</v>
      </c>
      <c r="G2469">
        <v>28</v>
      </c>
      <c r="H2469" s="6">
        <f t="shared" si="189"/>
        <v>38.64</v>
      </c>
    </row>
    <row r="2470" spans="1:8" hidden="1" x14ac:dyDescent="0.3">
      <c r="A2470" s="9">
        <v>45167</v>
      </c>
      <c r="B2470" t="s">
        <v>17</v>
      </c>
      <c r="C2470" t="s">
        <v>9</v>
      </c>
      <c r="D2470" t="s">
        <v>13</v>
      </c>
      <c r="E2470" t="s">
        <v>43</v>
      </c>
      <c r="F2470">
        <v>1420</v>
      </c>
      <c r="G2470">
        <v>58</v>
      </c>
      <c r="H2470" s="6">
        <f t="shared" si="189"/>
        <v>82.36</v>
      </c>
    </row>
    <row r="2471" spans="1:8" hidden="1" x14ac:dyDescent="0.3">
      <c r="A2471" s="9">
        <v>45167</v>
      </c>
      <c r="B2471" t="s">
        <v>12</v>
      </c>
      <c r="C2471" t="s">
        <v>9</v>
      </c>
      <c r="D2471" t="s">
        <v>24</v>
      </c>
      <c r="E2471" t="s">
        <v>34</v>
      </c>
      <c r="F2471">
        <v>1670</v>
      </c>
      <c r="G2471">
        <v>75</v>
      </c>
      <c r="H2471" s="6">
        <f t="shared" si="189"/>
        <v>125.25</v>
      </c>
    </row>
    <row r="2472" spans="1:8" hidden="1" x14ac:dyDescent="0.3">
      <c r="A2472" s="9">
        <v>45167</v>
      </c>
      <c r="B2472" t="s">
        <v>8</v>
      </c>
      <c r="C2472" t="s">
        <v>9</v>
      </c>
      <c r="D2472" t="s">
        <v>24</v>
      </c>
      <c r="E2472" t="s">
        <v>25</v>
      </c>
      <c r="F2472">
        <v>1760</v>
      </c>
      <c r="G2472">
        <v>51</v>
      </c>
      <c r="H2472" s="6">
        <f t="shared" si="189"/>
        <v>89.76</v>
      </c>
    </row>
    <row r="2473" spans="1:8" hidden="1" x14ac:dyDescent="0.3">
      <c r="A2473" s="9">
        <v>45167</v>
      </c>
      <c r="B2473" t="s">
        <v>17</v>
      </c>
      <c r="C2473" t="s">
        <v>26</v>
      </c>
      <c r="D2473" t="s">
        <v>18</v>
      </c>
      <c r="E2473" t="s">
        <v>27</v>
      </c>
      <c r="F2473">
        <v>460</v>
      </c>
      <c r="G2473">
        <v>54</v>
      </c>
      <c r="H2473" s="6">
        <f t="shared" si="189"/>
        <v>24.84</v>
      </c>
    </row>
    <row r="2474" spans="1:8" hidden="1" x14ac:dyDescent="0.3">
      <c r="A2474" s="9">
        <v>45167</v>
      </c>
      <c r="B2474" t="s">
        <v>45</v>
      </c>
      <c r="C2474" t="s">
        <v>26</v>
      </c>
      <c r="D2474" t="s">
        <v>13</v>
      </c>
      <c r="E2474" t="s">
        <v>38</v>
      </c>
      <c r="F2474">
        <v>2400</v>
      </c>
      <c r="G2474">
        <v>86</v>
      </c>
      <c r="H2474" s="6">
        <f t="shared" si="189"/>
        <v>206.4</v>
      </c>
    </row>
    <row r="2475" spans="1:8" hidden="1" x14ac:dyDescent="0.3">
      <c r="A2475" s="9">
        <v>45167</v>
      </c>
      <c r="B2475" t="s">
        <v>8</v>
      </c>
      <c r="C2475" t="s">
        <v>15</v>
      </c>
      <c r="D2475" t="s">
        <v>24</v>
      </c>
      <c r="E2475" t="s">
        <v>25</v>
      </c>
      <c r="F2475">
        <v>1760</v>
      </c>
      <c r="G2475">
        <v>21</v>
      </c>
      <c r="H2475" s="6">
        <f t="shared" si="189"/>
        <v>36.96</v>
      </c>
    </row>
    <row r="2476" spans="1:8" hidden="1" x14ac:dyDescent="0.3">
      <c r="A2476" s="9">
        <v>45167</v>
      </c>
      <c r="B2476" t="s">
        <v>8</v>
      </c>
      <c r="C2476" t="s">
        <v>35</v>
      </c>
      <c r="D2476" t="s">
        <v>10</v>
      </c>
      <c r="E2476" t="s">
        <v>41</v>
      </c>
      <c r="F2476">
        <v>650</v>
      </c>
      <c r="G2476">
        <v>70</v>
      </c>
      <c r="H2476" s="6">
        <f t="shared" si="189"/>
        <v>45.5</v>
      </c>
    </row>
    <row r="2477" spans="1:8" hidden="1" x14ac:dyDescent="0.3">
      <c r="A2477" s="9">
        <v>45167</v>
      </c>
      <c r="B2477" t="s">
        <v>45</v>
      </c>
      <c r="C2477" t="s">
        <v>35</v>
      </c>
      <c r="D2477" t="s">
        <v>18</v>
      </c>
      <c r="E2477" t="s">
        <v>19</v>
      </c>
      <c r="F2477">
        <v>325</v>
      </c>
      <c r="G2477">
        <v>24</v>
      </c>
      <c r="H2477" s="6">
        <f t="shared" si="189"/>
        <v>7.8</v>
      </c>
    </row>
    <row r="2478" spans="1:8" hidden="1" x14ac:dyDescent="0.3">
      <c r="A2478" s="9">
        <v>45167</v>
      </c>
      <c r="B2478" t="s">
        <v>12</v>
      </c>
      <c r="C2478" t="s">
        <v>35</v>
      </c>
      <c r="D2478" t="s">
        <v>24</v>
      </c>
      <c r="E2478" t="s">
        <v>25</v>
      </c>
      <c r="F2478">
        <v>1760</v>
      </c>
      <c r="G2478">
        <v>15</v>
      </c>
      <c r="H2478" s="6">
        <f t="shared" si="189"/>
        <v>26.4</v>
      </c>
    </row>
    <row r="2479" spans="1:8" hidden="1" x14ac:dyDescent="0.3">
      <c r="A2479" s="13" t="s">
        <v>255</v>
      </c>
      <c r="H2479" s="6">
        <f>SUBTOTAL(9,H2468:H2478)</f>
        <v>0</v>
      </c>
    </row>
    <row r="2480" spans="1:8" hidden="1" x14ac:dyDescent="0.3">
      <c r="A2480" s="9">
        <v>45168</v>
      </c>
      <c r="B2480" t="s">
        <v>45</v>
      </c>
      <c r="C2480" t="s">
        <v>20</v>
      </c>
      <c r="D2480" t="s">
        <v>24</v>
      </c>
      <c r="E2480" t="s">
        <v>36</v>
      </c>
      <c r="F2480">
        <v>2460</v>
      </c>
      <c r="G2480">
        <v>78</v>
      </c>
      <c r="H2480" s="6">
        <f t="shared" ref="H2480:H2489" si="190">F2480*G2480/1000</f>
        <v>191.88</v>
      </c>
    </row>
    <row r="2481" spans="1:8" hidden="1" x14ac:dyDescent="0.3">
      <c r="A2481" s="9">
        <v>45168</v>
      </c>
      <c r="B2481" t="s">
        <v>8</v>
      </c>
      <c r="C2481" t="s">
        <v>20</v>
      </c>
      <c r="D2481" t="s">
        <v>24</v>
      </c>
      <c r="E2481" t="s">
        <v>42</v>
      </c>
      <c r="F2481">
        <v>3205</v>
      </c>
      <c r="G2481">
        <v>21</v>
      </c>
      <c r="H2481" s="6">
        <f t="shared" si="190"/>
        <v>67.305000000000007</v>
      </c>
    </row>
    <row r="2482" spans="1:8" hidden="1" x14ac:dyDescent="0.3">
      <c r="A2482" s="9">
        <v>45168</v>
      </c>
      <c r="B2482" t="s">
        <v>17</v>
      </c>
      <c r="C2482" t="s">
        <v>26</v>
      </c>
      <c r="D2482" t="s">
        <v>18</v>
      </c>
      <c r="E2482" t="s">
        <v>27</v>
      </c>
      <c r="F2482">
        <v>460</v>
      </c>
      <c r="G2482">
        <v>49</v>
      </c>
      <c r="H2482" s="6">
        <f t="shared" si="190"/>
        <v>22.54</v>
      </c>
    </row>
    <row r="2483" spans="1:8" hidden="1" x14ac:dyDescent="0.3">
      <c r="A2483" s="9">
        <v>45168</v>
      </c>
      <c r="B2483" t="s">
        <v>8</v>
      </c>
      <c r="C2483" t="s">
        <v>26</v>
      </c>
      <c r="D2483" t="s">
        <v>13</v>
      </c>
      <c r="E2483" t="s">
        <v>22</v>
      </c>
      <c r="F2483">
        <v>930</v>
      </c>
      <c r="G2483">
        <v>74</v>
      </c>
      <c r="H2483" s="6">
        <f t="shared" si="190"/>
        <v>68.819999999999993</v>
      </c>
    </row>
    <row r="2484" spans="1:8" hidden="1" x14ac:dyDescent="0.3">
      <c r="A2484" s="9">
        <v>45168</v>
      </c>
      <c r="B2484" t="s">
        <v>17</v>
      </c>
      <c r="C2484" t="s">
        <v>15</v>
      </c>
      <c r="D2484" t="s">
        <v>18</v>
      </c>
      <c r="E2484" t="s">
        <v>31</v>
      </c>
      <c r="F2484">
        <v>715</v>
      </c>
      <c r="G2484">
        <v>45</v>
      </c>
      <c r="H2484" s="6">
        <f t="shared" si="190"/>
        <v>32.174999999999997</v>
      </c>
    </row>
    <row r="2485" spans="1:8" hidden="1" x14ac:dyDescent="0.3">
      <c r="A2485" s="9">
        <v>45168</v>
      </c>
      <c r="B2485" t="s">
        <v>17</v>
      </c>
      <c r="C2485" t="s">
        <v>33</v>
      </c>
      <c r="D2485" t="s">
        <v>18</v>
      </c>
      <c r="E2485" t="s">
        <v>28</v>
      </c>
      <c r="F2485">
        <v>690</v>
      </c>
      <c r="G2485">
        <v>70</v>
      </c>
      <c r="H2485" s="6">
        <f t="shared" si="190"/>
        <v>48.3</v>
      </c>
    </row>
    <row r="2486" spans="1:8" hidden="1" x14ac:dyDescent="0.3">
      <c r="A2486" s="9">
        <v>45168</v>
      </c>
      <c r="B2486" t="s">
        <v>17</v>
      </c>
      <c r="C2486" t="s">
        <v>33</v>
      </c>
      <c r="D2486" t="s">
        <v>24</v>
      </c>
      <c r="E2486" t="s">
        <v>34</v>
      </c>
      <c r="F2486">
        <v>1670</v>
      </c>
      <c r="G2486">
        <v>70</v>
      </c>
      <c r="H2486" s="6">
        <f t="shared" si="190"/>
        <v>116.9</v>
      </c>
    </row>
    <row r="2487" spans="1:8" hidden="1" x14ac:dyDescent="0.3">
      <c r="A2487" s="9">
        <v>45168</v>
      </c>
      <c r="B2487" t="s">
        <v>17</v>
      </c>
      <c r="C2487" t="s">
        <v>33</v>
      </c>
      <c r="D2487" t="s">
        <v>24</v>
      </c>
      <c r="E2487" t="s">
        <v>34</v>
      </c>
      <c r="F2487">
        <v>1670</v>
      </c>
      <c r="G2487">
        <v>14</v>
      </c>
      <c r="H2487" s="6">
        <f t="shared" si="190"/>
        <v>23.38</v>
      </c>
    </row>
    <row r="2488" spans="1:8" hidden="1" x14ac:dyDescent="0.3">
      <c r="A2488" s="9">
        <v>45168</v>
      </c>
      <c r="B2488" t="s">
        <v>17</v>
      </c>
      <c r="C2488" t="s">
        <v>35</v>
      </c>
      <c r="D2488" t="s">
        <v>10</v>
      </c>
      <c r="E2488" t="s">
        <v>41</v>
      </c>
      <c r="F2488">
        <v>650</v>
      </c>
      <c r="G2488">
        <v>23</v>
      </c>
      <c r="H2488" s="6">
        <f t="shared" si="190"/>
        <v>14.95</v>
      </c>
    </row>
    <row r="2489" spans="1:8" hidden="1" x14ac:dyDescent="0.3">
      <c r="A2489" s="9">
        <v>45168</v>
      </c>
      <c r="B2489" t="s">
        <v>45</v>
      </c>
      <c r="C2489" t="s">
        <v>35</v>
      </c>
      <c r="D2489" t="s">
        <v>13</v>
      </c>
      <c r="E2489" t="s">
        <v>14</v>
      </c>
      <c r="F2489">
        <v>1320</v>
      </c>
      <c r="G2489">
        <v>60</v>
      </c>
      <c r="H2489" s="6">
        <f t="shared" si="190"/>
        <v>79.2</v>
      </c>
    </row>
    <row r="2490" spans="1:8" hidden="1" x14ac:dyDescent="0.3">
      <c r="A2490" s="13" t="s">
        <v>256</v>
      </c>
      <c r="H2490" s="6">
        <f>SUBTOTAL(9,H2480:H2489)</f>
        <v>0</v>
      </c>
    </row>
    <row r="2491" spans="1:8" hidden="1" x14ac:dyDescent="0.3">
      <c r="A2491" s="9">
        <v>45169</v>
      </c>
      <c r="B2491" t="s">
        <v>45</v>
      </c>
      <c r="C2491" t="s">
        <v>20</v>
      </c>
      <c r="D2491" t="s">
        <v>10</v>
      </c>
      <c r="E2491" t="s">
        <v>40</v>
      </c>
      <c r="F2491">
        <v>540</v>
      </c>
      <c r="G2491">
        <v>69</v>
      </c>
      <c r="H2491" s="6">
        <f>F2491*G2491/1000</f>
        <v>37.26</v>
      </c>
    </row>
    <row r="2492" spans="1:8" hidden="1" x14ac:dyDescent="0.3">
      <c r="A2492" s="9">
        <v>45169</v>
      </c>
      <c r="B2492" t="s">
        <v>17</v>
      </c>
      <c r="C2492" t="s">
        <v>20</v>
      </c>
      <c r="D2492" t="s">
        <v>24</v>
      </c>
      <c r="E2492" t="s">
        <v>34</v>
      </c>
      <c r="F2492">
        <v>1670</v>
      </c>
      <c r="G2492">
        <v>87</v>
      </c>
      <c r="H2492" s="6">
        <f>F2492*G2492/1000</f>
        <v>145.29</v>
      </c>
    </row>
    <row r="2493" spans="1:8" hidden="1" x14ac:dyDescent="0.3">
      <c r="A2493" s="9">
        <v>45169</v>
      </c>
      <c r="B2493" t="s">
        <v>17</v>
      </c>
      <c r="C2493" t="s">
        <v>9</v>
      </c>
      <c r="D2493" t="s">
        <v>13</v>
      </c>
      <c r="E2493" t="s">
        <v>14</v>
      </c>
      <c r="F2493">
        <v>1320</v>
      </c>
      <c r="G2493">
        <v>10</v>
      </c>
      <c r="H2493" s="6">
        <f>F2493*G2493/1000</f>
        <v>13.2</v>
      </c>
    </row>
    <row r="2494" spans="1:8" hidden="1" x14ac:dyDescent="0.3">
      <c r="A2494" s="9">
        <v>45169</v>
      </c>
      <c r="B2494" t="s">
        <v>45</v>
      </c>
      <c r="C2494" t="s">
        <v>9</v>
      </c>
      <c r="D2494" t="s">
        <v>24</v>
      </c>
      <c r="E2494" t="s">
        <v>30</v>
      </c>
      <c r="F2494">
        <v>2970</v>
      </c>
      <c r="G2494">
        <v>74</v>
      </c>
      <c r="H2494" s="6">
        <f>F2494*G2494/1000</f>
        <v>219.78</v>
      </c>
    </row>
    <row r="2495" spans="1:8" hidden="1" x14ac:dyDescent="0.3">
      <c r="A2495" s="9">
        <v>45169</v>
      </c>
      <c r="B2495" t="s">
        <v>12</v>
      </c>
      <c r="C2495" t="s">
        <v>26</v>
      </c>
      <c r="D2495" t="s">
        <v>13</v>
      </c>
      <c r="E2495" t="s">
        <v>29</v>
      </c>
      <c r="F2495">
        <v>1230</v>
      </c>
      <c r="G2495">
        <v>70</v>
      </c>
      <c r="H2495" s="6">
        <f>F2495*G2495/1000</f>
        <v>86.1</v>
      </c>
    </row>
    <row r="2496" spans="1:8" hidden="1" x14ac:dyDescent="0.3">
      <c r="A2496" s="13" t="s">
        <v>257</v>
      </c>
      <c r="H2496" s="6">
        <f>SUBTOTAL(9,H2491:H2495)</f>
        <v>0</v>
      </c>
    </row>
    <row r="2497" spans="1:8" hidden="1" x14ac:dyDescent="0.3">
      <c r="A2497" s="9">
        <v>45170</v>
      </c>
      <c r="B2497" t="s">
        <v>45</v>
      </c>
      <c r="C2497" t="s">
        <v>20</v>
      </c>
      <c r="D2497" t="s">
        <v>10</v>
      </c>
      <c r="E2497" t="s">
        <v>39</v>
      </c>
      <c r="F2497">
        <v>650</v>
      </c>
      <c r="G2497">
        <v>30</v>
      </c>
      <c r="H2497" s="6">
        <f t="shared" ref="H2497:H2504" si="191">F2497*G2497/1000</f>
        <v>19.5</v>
      </c>
    </row>
    <row r="2498" spans="1:8" hidden="1" x14ac:dyDescent="0.3">
      <c r="A2498" s="9">
        <v>45170</v>
      </c>
      <c r="B2498" t="s">
        <v>8</v>
      </c>
      <c r="C2498" t="s">
        <v>9</v>
      </c>
      <c r="D2498" t="s">
        <v>13</v>
      </c>
      <c r="E2498" t="s">
        <v>43</v>
      </c>
      <c r="F2498">
        <v>1420</v>
      </c>
      <c r="G2498">
        <v>7</v>
      </c>
      <c r="H2498" s="6">
        <f t="shared" si="191"/>
        <v>9.94</v>
      </c>
    </row>
    <row r="2499" spans="1:8" hidden="1" x14ac:dyDescent="0.3">
      <c r="A2499" s="9">
        <v>45170</v>
      </c>
      <c r="B2499" t="s">
        <v>8</v>
      </c>
      <c r="C2499" t="s">
        <v>9</v>
      </c>
      <c r="D2499" t="s">
        <v>24</v>
      </c>
      <c r="E2499" t="s">
        <v>30</v>
      </c>
      <c r="F2499">
        <v>2970</v>
      </c>
      <c r="G2499">
        <v>8</v>
      </c>
      <c r="H2499" s="6">
        <f t="shared" si="191"/>
        <v>23.76</v>
      </c>
    </row>
    <row r="2500" spans="1:8" hidden="1" x14ac:dyDescent="0.3">
      <c r="A2500" s="9">
        <v>45170</v>
      </c>
      <c r="B2500" t="s">
        <v>17</v>
      </c>
      <c r="C2500" t="s">
        <v>9</v>
      </c>
      <c r="D2500" t="s">
        <v>24</v>
      </c>
      <c r="E2500" t="s">
        <v>32</v>
      </c>
      <c r="F2500">
        <v>1505</v>
      </c>
      <c r="G2500">
        <v>93</v>
      </c>
      <c r="H2500" s="6">
        <f t="shared" si="191"/>
        <v>139.965</v>
      </c>
    </row>
    <row r="2501" spans="1:8" hidden="1" x14ac:dyDescent="0.3">
      <c r="A2501" s="9">
        <v>45170</v>
      </c>
      <c r="B2501" t="s">
        <v>45</v>
      </c>
      <c r="C2501" t="s">
        <v>26</v>
      </c>
      <c r="D2501" t="s">
        <v>10</v>
      </c>
      <c r="E2501" t="s">
        <v>39</v>
      </c>
      <c r="F2501">
        <v>650</v>
      </c>
      <c r="G2501">
        <v>74</v>
      </c>
      <c r="H2501" s="6">
        <f t="shared" si="191"/>
        <v>48.1</v>
      </c>
    </row>
    <row r="2502" spans="1:8" hidden="1" x14ac:dyDescent="0.3">
      <c r="A2502" s="9">
        <v>45170</v>
      </c>
      <c r="B2502" t="s">
        <v>8</v>
      </c>
      <c r="C2502" t="s">
        <v>33</v>
      </c>
      <c r="D2502" t="s">
        <v>10</v>
      </c>
      <c r="E2502" t="s">
        <v>39</v>
      </c>
      <c r="F2502">
        <v>650</v>
      </c>
      <c r="G2502">
        <v>24</v>
      </c>
      <c r="H2502" s="6">
        <f t="shared" si="191"/>
        <v>15.6</v>
      </c>
    </row>
    <row r="2503" spans="1:8" hidden="1" x14ac:dyDescent="0.3">
      <c r="A2503" s="9">
        <v>45170</v>
      </c>
      <c r="B2503" t="s">
        <v>45</v>
      </c>
      <c r="C2503" t="s">
        <v>35</v>
      </c>
      <c r="D2503" t="s">
        <v>10</v>
      </c>
      <c r="E2503" t="s">
        <v>40</v>
      </c>
      <c r="F2503">
        <v>540</v>
      </c>
      <c r="G2503">
        <v>28</v>
      </c>
      <c r="H2503" s="6">
        <f t="shared" si="191"/>
        <v>15.12</v>
      </c>
    </row>
    <row r="2504" spans="1:8" hidden="1" x14ac:dyDescent="0.3">
      <c r="A2504" s="9">
        <v>45170</v>
      </c>
      <c r="B2504" t="s">
        <v>12</v>
      </c>
      <c r="C2504" t="s">
        <v>35</v>
      </c>
      <c r="D2504" t="s">
        <v>13</v>
      </c>
      <c r="E2504" t="s">
        <v>43</v>
      </c>
      <c r="F2504">
        <v>1420</v>
      </c>
      <c r="G2504">
        <v>20</v>
      </c>
      <c r="H2504" s="6">
        <f t="shared" si="191"/>
        <v>28.4</v>
      </c>
    </row>
    <row r="2505" spans="1:8" hidden="1" x14ac:dyDescent="0.3">
      <c r="A2505" s="13" t="s">
        <v>258</v>
      </c>
      <c r="H2505" s="6">
        <f>SUBTOTAL(9,H2497:H2504)</f>
        <v>0</v>
      </c>
    </row>
    <row r="2506" spans="1:8" hidden="1" x14ac:dyDescent="0.3">
      <c r="A2506" s="9">
        <v>45171</v>
      </c>
      <c r="B2506" t="s">
        <v>45</v>
      </c>
      <c r="C2506" t="s">
        <v>20</v>
      </c>
      <c r="D2506" t="s">
        <v>10</v>
      </c>
      <c r="E2506" t="s">
        <v>23</v>
      </c>
      <c r="F2506">
        <v>640</v>
      </c>
      <c r="G2506">
        <v>52</v>
      </c>
      <c r="H2506" s="6">
        <f t="shared" ref="H2506:H2513" si="192">F2506*G2506/1000</f>
        <v>33.28</v>
      </c>
    </row>
    <row r="2507" spans="1:8" hidden="1" x14ac:dyDescent="0.3">
      <c r="A2507" s="9">
        <v>45171</v>
      </c>
      <c r="B2507" t="s">
        <v>17</v>
      </c>
      <c r="C2507" t="s">
        <v>20</v>
      </c>
      <c r="D2507" t="s">
        <v>24</v>
      </c>
      <c r="E2507" t="s">
        <v>32</v>
      </c>
      <c r="F2507">
        <v>1505</v>
      </c>
      <c r="G2507">
        <v>76</v>
      </c>
      <c r="H2507" s="6">
        <f t="shared" si="192"/>
        <v>114.38</v>
      </c>
    </row>
    <row r="2508" spans="1:8" hidden="1" x14ac:dyDescent="0.3">
      <c r="A2508" s="9">
        <v>45171</v>
      </c>
      <c r="B2508" t="s">
        <v>8</v>
      </c>
      <c r="C2508" t="s">
        <v>9</v>
      </c>
      <c r="D2508" t="s">
        <v>18</v>
      </c>
      <c r="E2508" t="s">
        <v>21</v>
      </c>
      <c r="F2508">
        <v>450</v>
      </c>
      <c r="G2508">
        <v>71</v>
      </c>
      <c r="H2508" s="6">
        <f t="shared" si="192"/>
        <v>31.95</v>
      </c>
    </row>
    <row r="2509" spans="1:8" hidden="1" x14ac:dyDescent="0.3">
      <c r="A2509" s="9">
        <v>45171</v>
      </c>
      <c r="B2509" t="s">
        <v>45</v>
      </c>
      <c r="C2509" t="s">
        <v>9</v>
      </c>
      <c r="D2509" t="s">
        <v>24</v>
      </c>
      <c r="E2509" t="s">
        <v>32</v>
      </c>
      <c r="F2509">
        <v>1505</v>
      </c>
      <c r="G2509">
        <v>8</v>
      </c>
      <c r="H2509" s="6">
        <f t="shared" si="192"/>
        <v>12.04</v>
      </c>
    </row>
    <row r="2510" spans="1:8" hidden="1" x14ac:dyDescent="0.3">
      <c r="A2510" s="9">
        <v>45171</v>
      </c>
      <c r="B2510" t="s">
        <v>8</v>
      </c>
      <c r="C2510" t="s">
        <v>15</v>
      </c>
      <c r="D2510" t="s">
        <v>18</v>
      </c>
      <c r="E2510" t="s">
        <v>21</v>
      </c>
      <c r="F2510">
        <v>450</v>
      </c>
      <c r="G2510">
        <v>51</v>
      </c>
      <c r="H2510" s="6">
        <f t="shared" si="192"/>
        <v>22.95</v>
      </c>
    </row>
    <row r="2511" spans="1:8" hidden="1" x14ac:dyDescent="0.3">
      <c r="A2511" s="9">
        <v>45171</v>
      </c>
      <c r="B2511" t="s">
        <v>17</v>
      </c>
      <c r="C2511" t="s">
        <v>33</v>
      </c>
      <c r="D2511" t="s">
        <v>18</v>
      </c>
      <c r="E2511" t="s">
        <v>19</v>
      </c>
      <c r="F2511">
        <v>325</v>
      </c>
      <c r="G2511">
        <v>19</v>
      </c>
      <c r="H2511" s="6">
        <f t="shared" si="192"/>
        <v>6.1749999999999998</v>
      </c>
    </row>
    <row r="2512" spans="1:8" hidden="1" x14ac:dyDescent="0.3">
      <c r="A2512" s="9">
        <v>45171</v>
      </c>
      <c r="B2512" t="s">
        <v>8</v>
      </c>
      <c r="C2512" t="s">
        <v>35</v>
      </c>
      <c r="D2512" t="s">
        <v>18</v>
      </c>
      <c r="E2512" t="s">
        <v>27</v>
      </c>
      <c r="F2512">
        <v>460</v>
      </c>
      <c r="G2512">
        <v>75</v>
      </c>
      <c r="H2512" s="6">
        <f t="shared" si="192"/>
        <v>34.5</v>
      </c>
    </row>
    <row r="2513" spans="1:8" hidden="1" x14ac:dyDescent="0.3">
      <c r="A2513" s="9">
        <v>45171</v>
      </c>
      <c r="B2513" t="s">
        <v>12</v>
      </c>
      <c r="C2513" t="s">
        <v>35</v>
      </c>
      <c r="D2513" t="s">
        <v>13</v>
      </c>
      <c r="E2513" t="s">
        <v>38</v>
      </c>
      <c r="F2513">
        <v>2400</v>
      </c>
      <c r="G2513">
        <v>68</v>
      </c>
      <c r="H2513" s="6">
        <f t="shared" si="192"/>
        <v>163.19999999999999</v>
      </c>
    </row>
    <row r="2514" spans="1:8" hidden="1" x14ac:dyDescent="0.3">
      <c r="A2514" s="13" t="s">
        <v>259</v>
      </c>
      <c r="H2514" s="6">
        <f>SUBTOTAL(9,H2506:H2513)</f>
        <v>0</v>
      </c>
    </row>
    <row r="2515" spans="1:8" hidden="1" x14ac:dyDescent="0.3">
      <c r="A2515" s="9">
        <v>45172</v>
      </c>
      <c r="B2515" t="s">
        <v>8</v>
      </c>
      <c r="C2515" t="s">
        <v>9</v>
      </c>
      <c r="D2515" t="s">
        <v>24</v>
      </c>
      <c r="E2515" t="s">
        <v>25</v>
      </c>
      <c r="F2515">
        <v>1760</v>
      </c>
      <c r="G2515">
        <v>57</v>
      </c>
      <c r="H2515" s="6">
        <f t="shared" ref="H2515:H2521" si="193">F2515*G2515/1000</f>
        <v>100.32</v>
      </c>
    </row>
    <row r="2516" spans="1:8" hidden="1" x14ac:dyDescent="0.3">
      <c r="A2516" s="9">
        <v>45172</v>
      </c>
      <c r="B2516" t="s">
        <v>12</v>
      </c>
      <c r="C2516" t="s">
        <v>15</v>
      </c>
      <c r="D2516" t="s">
        <v>18</v>
      </c>
      <c r="E2516" t="s">
        <v>21</v>
      </c>
      <c r="F2516">
        <v>450</v>
      </c>
      <c r="G2516">
        <v>37</v>
      </c>
      <c r="H2516" s="6">
        <f t="shared" si="193"/>
        <v>16.649999999999999</v>
      </c>
    </row>
    <row r="2517" spans="1:8" hidden="1" x14ac:dyDescent="0.3">
      <c r="A2517" s="9">
        <v>45172</v>
      </c>
      <c r="B2517" t="s">
        <v>45</v>
      </c>
      <c r="C2517" t="s">
        <v>15</v>
      </c>
      <c r="D2517" t="s">
        <v>18</v>
      </c>
      <c r="E2517" t="s">
        <v>27</v>
      </c>
      <c r="F2517">
        <v>460</v>
      </c>
      <c r="G2517">
        <v>39</v>
      </c>
      <c r="H2517" s="6">
        <f t="shared" si="193"/>
        <v>17.940000000000001</v>
      </c>
    </row>
    <row r="2518" spans="1:8" hidden="1" x14ac:dyDescent="0.3">
      <c r="A2518" s="9">
        <v>45172</v>
      </c>
      <c r="B2518" t="s">
        <v>12</v>
      </c>
      <c r="C2518" t="s">
        <v>15</v>
      </c>
      <c r="D2518" t="s">
        <v>13</v>
      </c>
      <c r="E2518" t="s">
        <v>22</v>
      </c>
      <c r="F2518">
        <v>930</v>
      </c>
      <c r="G2518">
        <v>35</v>
      </c>
      <c r="H2518" s="6">
        <f t="shared" si="193"/>
        <v>32.549999999999997</v>
      </c>
    </row>
    <row r="2519" spans="1:8" hidden="1" x14ac:dyDescent="0.3">
      <c r="A2519" s="9">
        <v>45172</v>
      </c>
      <c r="B2519" t="s">
        <v>17</v>
      </c>
      <c r="C2519" t="s">
        <v>15</v>
      </c>
      <c r="D2519" t="s">
        <v>13</v>
      </c>
      <c r="E2519" t="s">
        <v>44</v>
      </c>
      <c r="F2519">
        <v>2540</v>
      </c>
      <c r="G2519">
        <v>49</v>
      </c>
      <c r="H2519" s="6">
        <f t="shared" si="193"/>
        <v>124.46</v>
      </c>
    </row>
    <row r="2520" spans="1:8" hidden="1" x14ac:dyDescent="0.3">
      <c r="A2520" s="9">
        <v>45172</v>
      </c>
      <c r="B2520" t="s">
        <v>17</v>
      </c>
      <c r="C2520" t="s">
        <v>33</v>
      </c>
      <c r="D2520" t="s">
        <v>18</v>
      </c>
      <c r="E2520" t="s">
        <v>37</v>
      </c>
      <c r="F2520">
        <v>890</v>
      </c>
      <c r="G2520">
        <v>10</v>
      </c>
      <c r="H2520" s="6">
        <f t="shared" si="193"/>
        <v>8.9</v>
      </c>
    </row>
    <row r="2521" spans="1:8" hidden="1" x14ac:dyDescent="0.3">
      <c r="A2521" s="9">
        <v>45172</v>
      </c>
      <c r="B2521" t="s">
        <v>12</v>
      </c>
      <c r="C2521" t="s">
        <v>35</v>
      </c>
      <c r="D2521" t="s">
        <v>24</v>
      </c>
      <c r="E2521" t="s">
        <v>42</v>
      </c>
      <c r="F2521">
        <v>3205</v>
      </c>
      <c r="G2521">
        <v>32</v>
      </c>
      <c r="H2521" s="6">
        <f t="shared" si="193"/>
        <v>102.56</v>
      </c>
    </row>
    <row r="2522" spans="1:8" hidden="1" x14ac:dyDescent="0.3">
      <c r="A2522" s="13" t="s">
        <v>260</v>
      </c>
      <c r="H2522" s="6">
        <f>SUBTOTAL(9,H2515:H2521)</f>
        <v>0</v>
      </c>
    </row>
    <row r="2523" spans="1:8" hidden="1" x14ac:dyDescent="0.3">
      <c r="A2523" s="9">
        <v>45173</v>
      </c>
      <c r="B2523" t="s">
        <v>8</v>
      </c>
      <c r="C2523" t="s">
        <v>20</v>
      </c>
      <c r="D2523" t="s">
        <v>10</v>
      </c>
      <c r="E2523" t="s">
        <v>40</v>
      </c>
      <c r="F2523">
        <v>540</v>
      </c>
      <c r="G2523">
        <v>69</v>
      </c>
      <c r="H2523" s="6">
        <f t="shared" ref="H2523:H2533" si="194">F2523*G2523/1000</f>
        <v>37.26</v>
      </c>
    </row>
    <row r="2524" spans="1:8" hidden="1" x14ac:dyDescent="0.3">
      <c r="A2524" s="9">
        <v>45173</v>
      </c>
      <c r="B2524" t="s">
        <v>17</v>
      </c>
      <c r="C2524" t="s">
        <v>20</v>
      </c>
      <c r="D2524" t="s">
        <v>18</v>
      </c>
      <c r="E2524" t="s">
        <v>19</v>
      </c>
      <c r="F2524">
        <v>325</v>
      </c>
      <c r="G2524">
        <v>40</v>
      </c>
      <c r="H2524" s="6">
        <f t="shared" si="194"/>
        <v>13</v>
      </c>
    </row>
    <row r="2525" spans="1:8" hidden="1" x14ac:dyDescent="0.3">
      <c r="A2525" s="9">
        <v>45173</v>
      </c>
      <c r="B2525" t="s">
        <v>45</v>
      </c>
      <c r="C2525" t="s">
        <v>20</v>
      </c>
      <c r="D2525" t="s">
        <v>24</v>
      </c>
      <c r="E2525" t="s">
        <v>30</v>
      </c>
      <c r="F2525">
        <v>2970</v>
      </c>
      <c r="G2525">
        <v>46</v>
      </c>
      <c r="H2525" s="6">
        <f t="shared" si="194"/>
        <v>136.62</v>
      </c>
    </row>
    <row r="2526" spans="1:8" hidden="1" x14ac:dyDescent="0.3">
      <c r="A2526" s="9">
        <v>45173</v>
      </c>
      <c r="B2526" t="s">
        <v>17</v>
      </c>
      <c r="C2526" t="s">
        <v>20</v>
      </c>
      <c r="D2526" t="s">
        <v>24</v>
      </c>
      <c r="E2526" t="s">
        <v>25</v>
      </c>
      <c r="F2526">
        <v>1760</v>
      </c>
      <c r="G2526">
        <v>98</v>
      </c>
      <c r="H2526" s="6">
        <f t="shared" si="194"/>
        <v>172.48</v>
      </c>
    </row>
    <row r="2527" spans="1:8" hidden="1" x14ac:dyDescent="0.3">
      <c r="A2527" s="9">
        <v>45173</v>
      </c>
      <c r="B2527" t="s">
        <v>45</v>
      </c>
      <c r="C2527" t="s">
        <v>9</v>
      </c>
      <c r="D2527" t="s">
        <v>18</v>
      </c>
      <c r="E2527" t="s">
        <v>37</v>
      </c>
      <c r="F2527">
        <v>890</v>
      </c>
      <c r="G2527">
        <v>53</v>
      </c>
      <c r="H2527" s="6">
        <f t="shared" si="194"/>
        <v>47.17</v>
      </c>
    </row>
    <row r="2528" spans="1:8" hidden="1" x14ac:dyDescent="0.3">
      <c r="A2528" s="9">
        <v>45173</v>
      </c>
      <c r="B2528" t="s">
        <v>17</v>
      </c>
      <c r="C2528" t="s">
        <v>26</v>
      </c>
      <c r="D2528" t="s">
        <v>10</v>
      </c>
      <c r="E2528" t="s">
        <v>23</v>
      </c>
      <c r="F2528">
        <v>640</v>
      </c>
      <c r="G2528">
        <v>24</v>
      </c>
      <c r="H2528" s="6">
        <f t="shared" si="194"/>
        <v>15.36</v>
      </c>
    </row>
    <row r="2529" spans="1:8" hidden="1" x14ac:dyDescent="0.3">
      <c r="A2529" s="9">
        <v>45173</v>
      </c>
      <c r="B2529" t="s">
        <v>17</v>
      </c>
      <c r="C2529" t="s">
        <v>15</v>
      </c>
      <c r="D2529" t="s">
        <v>10</v>
      </c>
      <c r="E2529" t="s">
        <v>40</v>
      </c>
      <c r="F2529">
        <v>540</v>
      </c>
      <c r="G2529">
        <v>88</v>
      </c>
      <c r="H2529" s="6">
        <f t="shared" si="194"/>
        <v>47.52</v>
      </c>
    </row>
    <row r="2530" spans="1:8" hidden="1" x14ac:dyDescent="0.3">
      <c r="A2530" s="9">
        <v>45173</v>
      </c>
      <c r="B2530" t="s">
        <v>17</v>
      </c>
      <c r="C2530" t="s">
        <v>15</v>
      </c>
      <c r="D2530" t="s">
        <v>24</v>
      </c>
      <c r="E2530" t="s">
        <v>42</v>
      </c>
      <c r="F2530">
        <v>3205</v>
      </c>
      <c r="G2530">
        <v>11</v>
      </c>
      <c r="H2530" s="6">
        <f t="shared" si="194"/>
        <v>35.255000000000003</v>
      </c>
    </row>
    <row r="2531" spans="1:8" hidden="1" x14ac:dyDescent="0.3">
      <c r="A2531" s="9">
        <v>45173</v>
      </c>
      <c r="B2531" t="s">
        <v>45</v>
      </c>
      <c r="C2531" t="s">
        <v>33</v>
      </c>
      <c r="D2531" t="s">
        <v>10</v>
      </c>
      <c r="E2531" t="s">
        <v>23</v>
      </c>
      <c r="F2531">
        <v>640</v>
      </c>
      <c r="G2531">
        <v>81</v>
      </c>
      <c r="H2531" s="6">
        <f t="shared" si="194"/>
        <v>51.84</v>
      </c>
    </row>
    <row r="2532" spans="1:8" hidden="1" x14ac:dyDescent="0.3">
      <c r="A2532" s="9">
        <v>45173</v>
      </c>
      <c r="B2532" t="s">
        <v>8</v>
      </c>
      <c r="C2532" t="s">
        <v>33</v>
      </c>
      <c r="D2532" t="s">
        <v>24</v>
      </c>
      <c r="E2532" t="s">
        <v>32</v>
      </c>
      <c r="F2532">
        <v>1505</v>
      </c>
      <c r="G2532">
        <v>41</v>
      </c>
      <c r="H2532" s="6">
        <f t="shared" si="194"/>
        <v>61.704999999999998</v>
      </c>
    </row>
    <row r="2533" spans="1:8" hidden="1" x14ac:dyDescent="0.3">
      <c r="A2533" s="9">
        <v>45173</v>
      </c>
      <c r="B2533" t="s">
        <v>45</v>
      </c>
      <c r="C2533" t="s">
        <v>35</v>
      </c>
      <c r="D2533" t="s">
        <v>13</v>
      </c>
      <c r="E2533" t="s">
        <v>43</v>
      </c>
      <c r="F2533">
        <v>1420</v>
      </c>
      <c r="G2533">
        <v>74</v>
      </c>
      <c r="H2533" s="6">
        <f t="shared" si="194"/>
        <v>105.08</v>
      </c>
    </row>
    <row r="2534" spans="1:8" hidden="1" x14ac:dyDescent="0.3">
      <c r="A2534" s="13" t="s">
        <v>261</v>
      </c>
      <c r="H2534" s="6">
        <f>SUBTOTAL(9,H2523:H2533)</f>
        <v>0</v>
      </c>
    </row>
    <row r="2535" spans="1:8" hidden="1" x14ac:dyDescent="0.3">
      <c r="A2535" s="9">
        <v>45174</v>
      </c>
      <c r="B2535" t="s">
        <v>8</v>
      </c>
      <c r="C2535" t="s">
        <v>20</v>
      </c>
      <c r="D2535" t="s">
        <v>10</v>
      </c>
      <c r="E2535" t="s">
        <v>16</v>
      </c>
      <c r="F2535">
        <v>1380</v>
      </c>
      <c r="G2535">
        <v>93</v>
      </c>
      <c r="H2535" s="6">
        <f t="shared" ref="H2535:H2543" si="195">F2535*G2535/1000</f>
        <v>128.34</v>
      </c>
    </row>
    <row r="2536" spans="1:8" hidden="1" x14ac:dyDescent="0.3">
      <c r="A2536" s="9">
        <v>45174</v>
      </c>
      <c r="B2536" t="s">
        <v>45</v>
      </c>
      <c r="C2536" t="s">
        <v>20</v>
      </c>
      <c r="D2536" t="s">
        <v>18</v>
      </c>
      <c r="E2536" t="s">
        <v>19</v>
      </c>
      <c r="F2536">
        <v>325</v>
      </c>
      <c r="G2536">
        <v>58</v>
      </c>
      <c r="H2536" s="6">
        <f t="shared" si="195"/>
        <v>18.850000000000001</v>
      </c>
    </row>
    <row r="2537" spans="1:8" hidden="1" x14ac:dyDescent="0.3">
      <c r="A2537" s="9">
        <v>45174</v>
      </c>
      <c r="B2537" t="s">
        <v>45</v>
      </c>
      <c r="C2537" t="s">
        <v>20</v>
      </c>
      <c r="D2537" t="s">
        <v>13</v>
      </c>
      <c r="E2537" t="s">
        <v>44</v>
      </c>
      <c r="F2537">
        <v>2540</v>
      </c>
      <c r="G2537">
        <v>21</v>
      </c>
      <c r="H2537" s="6">
        <f t="shared" si="195"/>
        <v>53.34</v>
      </c>
    </row>
    <row r="2538" spans="1:8" hidden="1" x14ac:dyDescent="0.3">
      <c r="A2538" s="9">
        <v>45174</v>
      </c>
      <c r="B2538" t="s">
        <v>45</v>
      </c>
      <c r="C2538" t="s">
        <v>26</v>
      </c>
      <c r="D2538" t="s">
        <v>24</v>
      </c>
      <c r="E2538" t="s">
        <v>30</v>
      </c>
      <c r="F2538">
        <v>2970</v>
      </c>
      <c r="G2538">
        <v>36</v>
      </c>
      <c r="H2538" s="6">
        <f t="shared" si="195"/>
        <v>106.92</v>
      </c>
    </row>
    <row r="2539" spans="1:8" hidden="1" x14ac:dyDescent="0.3">
      <c r="A2539" s="9">
        <v>45174</v>
      </c>
      <c r="B2539" t="s">
        <v>45</v>
      </c>
      <c r="C2539" t="s">
        <v>26</v>
      </c>
      <c r="D2539" t="s">
        <v>24</v>
      </c>
      <c r="E2539" t="s">
        <v>34</v>
      </c>
      <c r="F2539">
        <v>1670</v>
      </c>
      <c r="G2539">
        <v>53</v>
      </c>
      <c r="H2539" s="6">
        <f t="shared" si="195"/>
        <v>88.51</v>
      </c>
    </row>
    <row r="2540" spans="1:8" hidden="1" x14ac:dyDescent="0.3">
      <c r="A2540" s="9">
        <v>45174</v>
      </c>
      <c r="B2540" t="s">
        <v>8</v>
      </c>
      <c r="C2540" t="s">
        <v>15</v>
      </c>
      <c r="D2540" t="s">
        <v>18</v>
      </c>
      <c r="E2540" t="s">
        <v>37</v>
      </c>
      <c r="F2540">
        <v>890</v>
      </c>
      <c r="G2540">
        <v>79</v>
      </c>
      <c r="H2540" s="6">
        <f t="shared" si="195"/>
        <v>70.31</v>
      </c>
    </row>
    <row r="2541" spans="1:8" hidden="1" x14ac:dyDescent="0.3">
      <c r="A2541" s="9">
        <v>45174</v>
      </c>
      <c r="B2541" t="s">
        <v>17</v>
      </c>
      <c r="C2541" t="s">
        <v>33</v>
      </c>
      <c r="D2541" t="s">
        <v>10</v>
      </c>
      <c r="E2541" t="s">
        <v>40</v>
      </c>
      <c r="F2541">
        <v>540</v>
      </c>
      <c r="G2541">
        <v>43</v>
      </c>
      <c r="H2541" s="6">
        <f t="shared" si="195"/>
        <v>23.22</v>
      </c>
    </row>
    <row r="2542" spans="1:8" hidden="1" x14ac:dyDescent="0.3">
      <c r="A2542" s="9">
        <v>45174</v>
      </c>
      <c r="B2542" t="s">
        <v>45</v>
      </c>
      <c r="C2542" t="s">
        <v>33</v>
      </c>
      <c r="D2542" t="s">
        <v>10</v>
      </c>
      <c r="E2542" t="s">
        <v>40</v>
      </c>
      <c r="F2542">
        <v>540</v>
      </c>
      <c r="G2542">
        <v>39</v>
      </c>
      <c r="H2542" s="6">
        <f t="shared" si="195"/>
        <v>21.06</v>
      </c>
    </row>
    <row r="2543" spans="1:8" hidden="1" x14ac:dyDescent="0.3">
      <c r="A2543" s="9">
        <v>45174</v>
      </c>
      <c r="B2543" t="s">
        <v>8</v>
      </c>
      <c r="C2543" t="s">
        <v>35</v>
      </c>
      <c r="D2543" t="s">
        <v>24</v>
      </c>
      <c r="E2543" t="s">
        <v>25</v>
      </c>
      <c r="F2543">
        <v>1760</v>
      </c>
      <c r="G2543">
        <v>18</v>
      </c>
      <c r="H2543" s="6">
        <f t="shared" si="195"/>
        <v>31.68</v>
      </c>
    </row>
    <row r="2544" spans="1:8" hidden="1" x14ac:dyDescent="0.3">
      <c r="A2544" s="13" t="s">
        <v>262</v>
      </c>
      <c r="H2544" s="6">
        <f>SUBTOTAL(9,H2535:H2543)</f>
        <v>0</v>
      </c>
    </row>
    <row r="2545" spans="1:8" hidden="1" x14ac:dyDescent="0.3">
      <c r="A2545" s="9">
        <v>45175</v>
      </c>
      <c r="B2545" t="s">
        <v>45</v>
      </c>
      <c r="C2545" t="s">
        <v>9</v>
      </c>
      <c r="D2545" t="s">
        <v>24</v>
      </c>
      <c r="E2545" t="s">
        <v>25</v>
      </c>
      <c r="F2545">
        <v>1760</v>
      </c>
      <c r="G2545">
        <v>99</v>
      </c>
      <c r="H2545" s="6">
        <f>F2545*G2545/1000</f>
        <v>174.24</v>
      </c>
    </row>
    <row r="2546" spans="1:8" hidden="1" x14ac:dyDescent="0.3">
      <c r="A2546" s="9">
        <v>45175</v>
      </c>
      <c r="B2546" t="s">
        <v>12</v>
      </c>
      <c r="C2546" t="s">
        <v>26</v>
      </c>
      <c r="D2546" t="s">
        <v>18</v>
      </c>
      <c r="E2546" t="s">
        <v>28</v>
      </c>
      <c r="F2546">
        <v>690</v>
      </c>
      <c r="G2546">
        <v>6</v>
      </c>
      <c r="H2546" s="6">
        <f>F2546*G2546/1000</f>
        <v>4.1399999999999997</v>
      </c>
    </row>
    <row r="2547" spans="1:8" hidden="1" x14ac:dyDescent="0.3">
      <c r="A2547" s="9">
        <v>45175</v>
      </c>
      <c r="B2547" t="s">
        <v>8</v>
      </c>
      <c r="C2547" t="s">
        <v>26</v>
      </c>
      <c r="D2547" t="s">
        <v>18</v>
      </c>
      <c r="E2547" t="s">
        <v>37</v>
      </c>
      <c r="F2547">
        <v>890</v>
      </c>
      <c r="G2547">
        <v>80</v>
      </c>
      <c r="H2547" s="6">
        <f>F2547*G2547/1000</f>
        <v>71.2</v>
      </c>
    </row>
    <row r="2548" spans="1:8" hidden="1" x14ac:dyDescent="0.3">
      <c r="A2548" s="9">
        <v>45175</v>
      </c>
      <c r="B2548" t="s">
        <v>45</v>
      </c>
      <c r="C2548" t="s">
        <v>26</v>
      </c>
      <c r="D2548" t="s">
        <v>13</v>
      </c>
      <c r="E2548" t="s">
        <v>43</v>
      </c>
      <c r="F2548">
        <v>1420</v>
      </c>
      <c r="G2548">
        <v>12</v>
      </c>
      <c r="H2548" s="6">
        <f>F2548*G2548/1000</f>
        <v>17.04</v>
      </c>
    </row>
    <row r="2549" spans="1:8" hidden="1" x14ac:dyDescent="0.3">
      <c r="A2549" s="9">
        <v>45175</v>
      </c>
      <c r="B2549" t="s">
        <v>17</v>
      </c>
      <c r="C2549" t="s">
        <v>26</v>
      </c>
      <c r="D2549" t="s">
        <v>24</v>
      </c>
      <c r="E2549" t="s">
        <v>34</v>
      </c>
      <c r="F2549">
        <v>1670</v>
      </c>
      <c r="G2549">
        <v>94</v>
      </c>
      <c r="H2549" s="6">
        <f>F2549*G2549/1000</f>
        <v>156.97999999999999</v>
      </c>
    </row>
    <row r="2550" spans="1:8" hidden="1" x14ac:dyDescent="0.3">
      <c r="A2550" s="13" t="s">
        <v>263</v>
      </c>
      <c r="H2550" s="6">
        <f>SUBTOTAL(9,H2545:H2549)</f>
        <v>0</v>
      </c>
    </row>
    <row r="2551" spans="1:8" hidden="1" x14ac:dyDescent="0.3">
      <c r="A2551" s="9">
        <v>45176</v>
      </c>
      <c r="B2551" t="s">
        <v>12</v>
      </c>
      <c r="C2551" t="s">
        <v>20</v>
      </c>
      <c r="D2551" t="s">
        <v>24</v>
      </c>
      <c r="E2551" t="s">
        <v>36</v>
      </c>
      <c r="F2551">
        <v>2460</v>
      </c>
      <c r="G2551">
        <v>52</v>
      </c>
      <c r="H2551" s="6">
        <f t="shared" ref="H2551:H2558" si="196">F2551*G2551/1000</f>
        <v>127.92</v>
      </c>
    </row>
    <row r="2552" spans="1:8" hidden="1" x14ac:dyDescent="0.3">
      <c r="A2552" s="9">
        <v>45176</v>
      </c>
      <c r="B2552" t="s">
        <v>45</v>
      </c>
      <c r="C2552" t="s">
        <v>9</v>
      </c>
      <c r="D2552" t="s">
        <v>10</v>
      </c>
      <c r="E2552" t="s">
        <v>16</v>
      </c>
      <c r="F2552">
        <v>1380</v>
      </c>
      <c r="G2552">
        <v>14</v>
      </c>
      <c r="H2552" s="6">
        <f t="shared" si="196"/>
        <v>19.32</v>
      </c>
    </row>
    <row r="2553" spans="1:8" hidden="1" x14ac:dyDescent="0.3">
      <c r="A2553" s="9">
        <v>45176</v>
      </c>
      <c r="B2553" t="s">
        <v>12</v>
      </c>
      <c r="C2553" t="s">
        <v>9</v>
      </c>
      <c r="D2553" t="s">
        <v>10</v>
      </c>
      <c r="E2553" t="s">
        <v>23</v>
      </c>
      <c r="F2553">
        <v>640</v>
      </c>
      <c r="G2553">
        <v>54</v>
      </c>
      <c r="H2553" s="6">
        <f t="shared" si="196"/>
        <v>34.56</v>
      </c>
    </row>
    <row r="2554" spans="1:8" hidden="1" x14ac:dyDescent="0.3">
      <c r="A2554" s="9">
        <v>45176</v>
      </c>
      <c r="B2554" t="s">
        <v>8</v>
      </c>
      <c r="C2554" t="s">
        <v>9</v>
      </c>
      <c r="D2554" t="s">
        <v>24</v>
      </c>
      <c r="E2554" t="s">
        <v>36</v>
      </c>
      <c r="F2554">
        <v>2460</v>
      </c>
      <c r="G2554">
        <v>73</v>
      </c>
      <c r="H2554" s="6">
        <f t="shared" si="196"/>
        <v>179.58</v>
      </c>
    </row>
    <row r="2555" spans="1:8" hidden="1" x14ac:dyDescent="0.3">
      <c r="A2555" s="9">
        <v>45176</v>
      </c>
      <c r="B2555" t="s">
        <v>45</v>
      </c>
      <c r="C2555" t="s">
        <v>26</v>
      </c>
      <c r="D2555" t="s">
        <v>18</v>
      </c>
      <c r="E2555" t="s">
        <v>27</v>
      </c>
      <c r="F2555">
        <v>460</v>
      </c>
      <c r="G2555">
        <v>59</v>
      </c>
      <c r="H2555" s="6">
        <f t="shared" si="196"/>
        <v>27.14</v>
      </c>
    </row>
    <row r="2556" spans="1:8" hidden="1" x14ac:dyDescent="0.3">
      <c r="A2556" s="9">
        <v>45176</v>
      </c>
      <c r="B2556" t="s">
        <v>8</v>
      </c>
      <c r="C2556" t="s">
        <v>33</v>
      </c>
      <c r="D2556" t="s">
        <v>18</v>
      </c>
      <c r="E2556" t="s">
        <v>28</v>
      </c>
      <c r="F2556">
        <v>690</v>
      </c>
      <c r="G2556">
        <v>28</v>
      </c>
      <c r="H2556" s="6">
        <f t="shared" si="196"/>
        <v>19.32</v>
      </c>
    </row>
    <row r="2557" spans="1:8" hidden="1" x14ac:dyDescent="0.3">
      <c r="A2557" s="9">
        <v>45176</v>
      </c>
      <c r="B2557" t="s">
        <v>45</v>
      </c>
      <c r="C2557" t="s">
        <v>33</v>
      </c>
      <c r="D2557" t="s">
        <v>24</v>
      </c>
      <c r="E2557" t="s">
        <v>32</v>
      </c>
      <c r="F2557">
        <v>1505</v>
      </c>
      <c r="G2557">
        <v>76</v>
      </c>
      <c r="H2557" s="6">
        <f t="shared" si="196"/>
        <v>114.38</v>
      </c>
    </row>
    <row r="2558" spans="1:8" hidden="1" x14ac:dyDescent="0.3">
      <c r="A2558" s="9">
        <v>45176</v>
      </c>
      <c r="B2558" t="s">
        <v>8</v>
      </c>
      <c r="C2558" t="s">
        <v>35</v>
      </c>
      <c r="D2558" t="s">
        <v>24</v>
      </c>
      <c r="E2558" t="s">
        <v>36</v>
      </c>
      <c r="F2558">
        <v>2460</v>
      </c>
      <c r="G2558">
        <v>78</v>
      </c>
      <c r="H2558" s="6">
        <f t="shared" si="196"/>
        <v>191.88</v>
      </c>
    </row>
    <row r="2559" spans="1:8" hidden="1" x14ac:dyDescent="0.3">
      <c r="A2559" s="13" t="s">
        <v>264</v>
      </c>
      <c r="H2559" s="6">
        <f>SUBTOTAL(9,H2551:H2558)</f>
        <v>0</v>
      </c>
    </row>
    <row r="2560" spans="1:8" hidden="1" x14ac:dyDescent="0.3">
      <c r="A2560" s="9">
        <v>45177</v>
      </c>
      <c r="B2560" t="s">
        <v>45</v>
      </c>
      <c r="C2560" t="s">
        <v>20</v>
      </c>
      <c r="D2560" t="s">
        <v>13</v>
      </c>
      <c r="E2560" t="s">
        <v>44</v>
      </c>
      <c r="F2560">
        <v>2540</v>
      </c>
      <c r="G2560">
        <v>82</v>
      </c>
      <c r="H2560" s="6">
        <f>F2560*G2560/1000</f>
        <v>208.28</v>
      </c>
    </row>
    <row r="2561" spans="1:8" hidden="1" x14ac:dyDescent="0.3">
      <c r="A2561" s="9">
        <v>45177</v>
      </c>
      <c r="B2561" t="s">
        <v>45</v>
      </c>
      <c r="C2561" t="s">
        <v>9</v>
      </c>
      <c r="D2561" t="s">
        <v>13</v>
      </c>
      <c r="E2561" t="s">
        <v>22</v>
      </c>
      <c r="F2561">
        <v>930</v>
      </c>
      <c r="G2561">
        <v>34</v>
      </c>
      <c r="H2561" s="6">
        <f>F2561*G2561/1000</f>
        <v>31.62</v>
      </c>
    </row>
    <row r="2562" spans="1:8" hidden="1" x14ac:dyDescent="0.3">
      <c r="A2562" s="9">
        <v>45177</v>
      </c>
      <c r="B2562" t="s">
        <v>8</v>
      </c>
      <c r="C2562" t="s">
        <v>26</v>
      </c>
      <c r="D2562" t="s">
        <v>10</v>
      </c>
      <c r="E2562" t="s">
        <v>41</v>
      </c>
      <c r="F2562">
        <v>650</v>
      </c>
      <c r="G2562">
        <v>32</v>
      </c>
      <c r="H2562" s="6">
        <f>F2562*G2562/1000</f>
        <v>20.8</v>
      </c>
    </row>
    <row r="2563" spans="1:8" hidden="1" x14ac:dyDescent="0.3">
      <c r="A2563" s="13" t="s">
        <v>265</v>
      </c>
      <c r="H2563" s="6">
        <f>SUBTOTAL(9,H2560:H2562)</f>
        <v>0</v>
      </c>
    </row>
    <row r="2564" spans="1:8" hidden="1" x14ac:dyDescent="0.3">
      <c r="A2564" s="9">
        <v>45178</v>
      </c>
      <c r="B2564" t="s">
        <v>17</v>
      </c>
      <c r="C2564" t="s">
        <v>20</v>
      </c>
      <c r="D2564" t="s">
        <v>10</v>
      </c>
      <c r="E2564" t="s">
        <v>11</v>
      </c>
      <c r="F2564">
        <v>705</v>
      </c>
      <c r="G2564">
        <v>41</v>
      </c>
      <c r="H2564" s="6">
        <f t="shared" ref="H2564:H2574" si="197">F2564*G2564/1000</f>
        <v>28.905000000000001</v>
      </c>
    </row>
    <row r="2565" spans="1:8" hidden="1" x14ac:dyDescent="0.3">
      <c r="A2565" s="9">
        <v>45178</v>
      </c>
      <c r="B2565" t="s">
        <v>12</v>
      </c>
      <c r="C2565" t="s">
        <v>20</v>
      </c>
      <c r="D2565" t="s">
        <v>18</v>
      </c>
      <c r="E2565" t="s">
        <v>27</v>
      </c>
      <c r="F2565">
        <v>460</v>
      </c>
      <c r="G2565">
        <v>69</v>
      </c>
      <c r="H2565" s="6">
        <f t="shared" si="197"/>
        <v>31.74</v>
      </c>
    </row>
    <row r="2566" spans="1:8" hidden="1" x14ac:dyDescent="0.3">
      <c r="A2566" s="9">
        <v>45178</v>
      </c>
      <c r="B2566" t="s">
        <v>17</v>
      </c>
      <c r="C2566" t="s">
        <v>9</v>
      </c>
      <c r="D2566" t="s">
        <v>18</v>
      </c>
      <c r="E2566" t="s">
        <v>27</v>
      </c>
      <c r="F2566">
        <v>460</v>
      </c>
      <c r="G2566">
        <v>50</v>
      </c>
      <c r="H2566" s="6">
        <f t="shared" si="197"/>
        <v>23</v>
      </c>
    </row>
    <row r="2567" spans="1:8" hidden="1" x14ac:dyDescent="0.3">
      <c r="A2567" s="9">
        <v>45178</v>
      </c>
      <c r="B2567" t="s">
        <v>12</v>
      </c>
      <c r="C2567" t="s">
        <v>9</v>
      </c>
      <c r="D2567" t="s">
        <v>18</v>
      </c>
      <c r="E2567" t="s">
        <v>21</v>
      </c>
      <c r="F2567">
        <v>450</v>
      </c>
      <c r="G2567">
        <v>10</v>
      </c>
      <c r="H2567" s="6">
        <f t="shared" si="197"/>
        <v>4.5</v>
      </c>
    </row>
    <row r="2568" spans="1:8" hidden="1" x14ac:dyDescent="0.3">
      <c r="A2568" s="9">
        <v>45178</v>
      </c>
      <c r="B2568" t="s">
        <v>8</v>
      </c>
      <c r="C2568" t="s">
        <v>9</v>
      </c>
      <c r="D2568" t="s">
        <v>13</v>
      </c>
      <c r="E2568" t="s">
        <v>43</v>
      </c>
      <c r="F2568">
        <v>1420</v>
      </c>
      <c r="G2568">
        <v>43</v>
      </c>
      <c r="H2568" s="6">
        <f t="shared" si="197"/>
        <v>61.06</v>
      </c>
    </row>
    <row r="2569" spans="1:8" hidden="1" x14ac:dyDescent="0.3">
      <c r="A2569" s="9">
        <v>45178</v>
      </c>
      <c r="B2569" t="s">
        <v>8</v>
      </c>
      <c r="C2569" t="s">
        <v>26</v>
      </c>
      <c r="D2569" t="s">
        <v>10</v>
      </c>
      <c r="E2569" t="s">
        <v>39</v>
      </c>
      <c r="F2569">
        <v>650</v>
      </c>
      <c r="G2569">
        <v>10</v>
      </c>
      <c r="H2569" s="6">
        <f t="shared" si="197"/>
        <v>6.5</v>
      </c>
    </row>
    <row r="2570" spans="1:8" hidden="1" x14ac:dyDescent="0.3">
      <c r="A2570" s="9">
        <v>45178</v>
      </c>
      <c r="B2570" t="s">
        <v>45</v>
      </c>
      <c r="C2570" t="s">
        <v>26</v>
      </c>
      <c r="D2570" t="s">
        <v>18</v>
      </c>
      <c r="E2570" t="s">
        <v>28</v>
      </c>
      <c r="F2570">
        <v>690</v>
      </c>
      <c r="G2570">
        <v>94</v>
      </c>
      <c r="H2570" s="6">
        <f t="shared" si="197"/>
        <v>64.86</v>
      </c>
    </row>
    <row r="2571" spans="1:8" hidden="1" x14ac:dyDescent="0.3">
      <c r="A2571" s="9">
        <v>45178</v>
      </c>
      <c r="B2571" t="s">
        <v>12</v>
      </c>
      <c r="C2571" t="s">
        <v>15</v>
      </c>
      <c r="D2571" t="s">
        <v>24</v>
      </c>
      <c r="E2571" t="s">
        <v>25</v>
      </c>
      <c r="F2571">
        <v>1760</v>
      </c>
      <c r="G2571">
        <v>86</v>
      </c>
      <c r="H2571" s="6">
        <f t="shared" si="197"/>
        <v>151.36000000000001</v>
      </c>
    </row>
    <row r="2572" spans="1:8" hidden="1" x14ac:dyDescent="0.3">
      <c r="A2572" s="9">
        <v>45178</v>
      </c>
      <c r="B2572" t="s">
        <v>8</v>
      </c>
      <c r="C2572" t="s">
        <v>35</v>
      </c>
      <c r="D2572" t="s">
        <v>10</v>
      </c>
      <c r="E2572" t="s">
        <v>23</v>
      </c>
      <c r="F2572">
        <v>640</v>
      </c>
      <c r="G2572">
        <v>46</v>
      </c>
      <c r="H2572" s="6">
        <f t="shared" si="197"/>
        <v>29.44</v>
      </c>
    </row>
    <row r="2573" spans="1:8" hidden="1" x14ac:dyDescent="0.3">
      <c r="A2573" s="9">
        <v>45178</v>
      </c>
      <c r="B2573" t="s">
        <v>12</v>
      </c>
      <c r="C2573" t="s">
        <v>35</v>
      </c>
      <c r="D2573" t="s">
        <v>10</v>
      </c>
      <c r="E2573" t="s">
        <v>11</v>
      </c>
      <c r="F2573">
        <v>705</v>
      </c>
      <c r="G2573">
        <v>84</v>
      </c>
      <c r="H2573" s="6">
        <f t="shared" si="197"/>
        <v>59.22</v>
      </c>
    </row>
    <row r="2574" spans="1:8" hidden="1" x14ac:dyDescent="0.3">
      <c r="A2574" s="9">
        <v>45178</v>
      </c>
      <c r="B2574" t="s">
        <v>17</v>
      </c>
      <c r="C2574" t="s">
        <v>35</v>
      </c>
      <c r="D2574" t="s">
        <v>18</v>
      </c>
      <c r="E2574" t="s">
        <v>31</v>
      </c>
      <c r="F2574">
        <v>715</v>
      </c>
      <c r="G2574">
        <v>14</v>
      </c>
      <c r="H2574" s="6">
        <f t="shared" si="197"/>
        <v>10.01</v>
      </c>
    </row>
    <row r="2575" spans="1:8" hidden="1" x14ac:dyDescent="0.3">
      <c r="A2575" s="13" t="s">
        <v>266</v>
      </c>
      <c r="H2575" s="6">
        <f>SUBTOTAL(9,H2564:H2574)</f>
        <v>0</v>
      </c>
    </row>
    <row r="2576" spans="1:8" hidden="1" x14ac:dyDescent="0.3">
      <c r="A2576" s="9">
        <v>45179</v>
      </c>
      <c r="B2576" t="s">
        <v>8</v>
      </c>
      <c r="C2576" t="s">
        <v>20</v>
      </c>
      <c r="D2576" t="s">
        <v>13</v>
      </c>
      <c r="E2576" t="s">
        <v>38</v>
      </c>
      <c r="F2576">
        <v>2400</v>
      </c>
      <c r="G2576">
        <v>12</v>
      </c>
      <c r="H2576" s="6">
        <f>F2576*G2576/1000</f>
        <v>28.8</v>
      </c>
    </row>
    <row r="2577" spans="1:8" hidden="1" x14ac:dyDescent="0.3">
      <c r="A2577" s="9">
        <v>45179</v>
      </c>
      <c r="B2577" t="s">
        <v>8</v>
      </c>
      <c r="C2577" t="s">
        <v>9</v>
      </c>
      <c r="D2577" t="s">
        <v>13</v>
      </c>
      <c r="E2577" t="s">
        <v>38</v>
      </c>
      <c r="F2577">
        <v>2400</v>
      </c>
      <c r="G2577">
        <v>51</v>
      </c>
      <c r="H2577" s="6">
        <f>F2577*G2577/1000</f>
        <v>122.4</v>
      </c>
    </row>
    <row r="2578" spans="1:8" hidden="1" x14ac:dyDescent="0.3">
      <c r="A2578" s="9">
        <v>45179</v>
      </c>
      <c r="B2578" t="s">
        <v>17</v>
      </c>
      <c r="C2578" t="s">
        <v>15</v>
      </c>
      <c r="D2578" t="s">
        <v>13</v>
      </c>
      <c r="E2578" t="s">
        <v>14</v>
      </c>
      <c r="F2578">
        <v>1320</v>
      </c>
      <c r="G2578">
        <v>21</v>
      </c>
      <c r="H2578" s="6">
        <f>F2578*G2578/1000</f>
        <v>27.72</v>
      </c>
    </row>
    <row r="2579" spans="1:8" hidden="1" x14ac:dyDescent="0.3">
      <c r="A2579" s="9">
        <v>45179</v>
      </c>
      <c r="B2579" t="s">
        <v>17</v>
      </c>
      <c r="C2579" t="s">
        <v>15</v>
      </c>
      <c r="D2579" t="s">
        <v>24</v>
      </c>
      <c r="E2579" t="s">
        <v>30</v>
      </c>
      <c r="F2579">
        <v>2970</v>
      </c>
      <c r="G2579">
        <v>45</v>
      </c>
      <c r="H2579" s="6">
        <f>F2579*G2579/1000</f>
        <v>133.65</v>
      </c>
    </row>
    <row r="2580" spans="1:8" hidden="1" x14ac:dyDescent="0.3">
      <c r="A2580" s="9">
        <v>45179</v>
      </c>
      <c r="B2580" t="s">
        <v>17</v>
      </c>
      <c r="C2580" t="s">
        <v>33</v>
      </c>
      <c r="D2580" t="s">
        <v>18</v>
      </c>
      <c r="E2580" t="s">
        <v>31</v>
      </c>
      <c r="F2580">
        <v>715</v>
      </c>
      <c r="G2580">
        <v>82</v>
      </c>
      <c r="H2580" s="6">
        <f>F2580*G2580/1000</f>
        <v>58.63</v>
      </c>
    </row>
    <row r="2581" spans="1:8" hidden="1" x14ac:dyDescent="0.3">
      <c r="A2581" s="13" t="s">
        <v>267</v>
      </c>
      <c r="H2581" s="6">
        <f>SUBTOTAL(9,H2576:H2580)</f>
        <v>0</v>
      </c>
    </row>
    <row r="2582" spans="1:8" hidden="1" x14ac:dyDescent="0.3">
      <c r="A2582" s="9">
        <v>45180</v>
      </c>
      <c r="B2582" t="s">
        <v>17</v>
      </c>
      <c r="C2582" t="s">
        <v>26</v>
      </c>
      <c r="D2582" t="s">
        <v>18</v>
      </c>
      <c r="E2582" t="s">
        <v>21</v>
      </c>
      <c r="F2582">
        <v>450</v>
      </c>
      <c r="G2582">
        <v>92</v>
      </c>
      <c r="H2582" s="6">
        <f>F2582*G2582/1000</f>
        <v>41.4</v>
      </c>
    </row>
    <row r="2583" spans="1:8" hidden="1" x14ac:dyDescent="0.3">
      <c r="A2583" s="9">
        <v>45180</v>
      </c>
      <c r="B2583" t="s">
        <v>45</v>
      </c>
      <c r="C2583" t="s">
        <v>15</v>
      </c>
      <c r="D2583" t="s">
        <v>10</v>
      </c>
      <c r="E2583" t="s">
        <v>39</v>
      </c>
      <c r="F2583">
        <v>650</v>
      </c>
      <c r="G2583">
        <v>7</v>
      </c>
      <c r="H2583" s="6">
        <f>F2583*G2583/1000</f>
        <v>4.55</v>
      </c>
    </row>
    <row r="2584" spans="1:8" hidden="1" x14ac:dyDescent="0.3">
      <c r="A2584" s="9">
        <v>45180</v>
      </c>
      <c r="B2584" t="s">
        <v>8</v>
      </c>
      <c r="C2584" t="s">
        <v>15</v>
      </c>
      <c r="D2584" t="s">
        <v>18</v>
      </c>
      <c r="E2584" t="s">
        <v>27</v>
      </c>
      <c r="F2584">
        <v>460</v>
      </c>
      <c r="G2584">
        <v>78</v>
      </c>
      <c r="H2584" s="6">
        <f>F2584*G2584/1000</f>
        <v>35.880000000000003</v>
      </c>
    </row>
    <row r="2585" spans="1:8" hidden="1" x14ac:dyDescent="0.3">
      <c r="A2585" s="9">
        <v>45180</v>
      </c>
      <c r="B2585" t="s">
        <v>12</v>
      </c>
      <c r="C2585" t="s">
        <v>15</v>
      </c>
      <c r="D2585" t="s">
        <v>13</v>
      </c>
      <c r="E2585" t="s">
        <v>29</v>
      </c>
      <c r="F2585">
        <v>1230</v>
      </c>
      <c r="G2585">
        <v>72</v>
      </c>
      <c r="H2585" s="6">
        <f>F2585*G2585/1000</f>
        <v>88.56</v>
      </c>
    </row>
    <row r="2586" spans="1:8" hidden="1" x14ac:dyDescent="0.3">
      <c r="A2586" s="9">
        <v>45180</v>
      </c>
      <c r="B2586" t="s">
        <v>8</v>
      </c>
      <c r="C2586" t="s">
        <v>35</v>
      </c>
      <c r="D2586" t="s">
        <v>24</v>
      </c>
      <c r="E2586" t="s">
        <v>42</v>
      </c>
      <c r="F2586">
        <v>3205</v>
      </c>
      <c r="G2586">
        <v>89</v>
      </c>
      <c r="H2586" s="6">
        <f>F2586*G2586/1000</f>
        <v>285.245</v>
      </c>
    </row>
    <row r="2587" spans="1:8" hidden="1" x14ac:dyDescent="0.3">
      <c r="A2587" s="13" t="s">
        <v>268</v>
      </c>
      <c r="H2587" s="6">
        <f>SUBTOTAL(9,H2582:H2586)</f>
        <v>0</v>
      </c>
    </row>
    <row r="2588" spans="1:8" hidden="1" x14ac:dyDescent="0.3">
      <c r="A2588" s="9">
        <v>45181</v>
      </c>
      <c r="B2588" t="s">
        <v>12</v>
      </c>
      <c r="C2588" t="s">
        <v>20</v>
      </c>
      <c r="D2588" t="s">
        <v>13</v>
      </c>
      <c r="E2588" t="s">
        <v>44</v>
      </c>
      <c r="F2588">
        <v>2540</v>
      </c>
      <c r="G2588">
        <v>37</v>
      </c>
      <c r="H2588" s="6">
        <f t="shared" ref="H2588:H2596" si="198">F2588*G2588/1000</f>
        <v>93.98</v>
      </c>
    </row>
    <row r="2589" spans="1:8" hidden="1" x14ac:dyDescent="0.3">
      <c r="A2589" s="9">
        <v>45181</v>
      </c>
      <c r="B2589" t="s">
        <v>12</v>
      </c>
      <c r="C2589" t="s">
        <v>20</v>
      </c>
      <c r="D2589" t="s">
        <v>24</v>
      </c>
      <c r="E2589" t="s">
        <v>36</v>
      </c>
      <c r="F2589">
        <v>2460</v>
      </c>
      <c r="G2589">
        <v>48</v>
      </c>
      <c r="H2589" s="6">
        <f t="shared" si="198"/>
        <v>118.08</v>
      </c>
    </row>
    <row r="2590" spans="1:8" hidden="1" x14ac:dyDescent="0.3">
      <c r="A2590" s="9">
        <v>45181</v>
      </c>
      <c r="B2590" t="s">
        <v>8</v>
      </c>
      <c r="C2590" t="s">
        <v>15</v>
      </c>
      <c r="D2590" t="s">
        <v>18</v>
      </c>
      <c r="E2590" t="s">
        <v>21</v>
      </c>
      <c r="F2590">
        <v>450</v>
      </c>
      <c r="G2590">
        <v>55</v>
      </c>
      <c r="H2590" s="6">
        <f t="shared" si="198"/>
        <v>24.75</v>
      </c>
    </row>
    <row r="2591" spans="1:8" hidden="1" x14ac:dyDescent="0.3">
      <c r="A2591" s="9">
        <v>45181</v>
      </c>
      <c r="B2591" t="s">
        <v>8</v>
      </c>
      <c r="C2591" t="s">
        <v>15</v>
      </c>
      <c r="D2591" t="s">
        <v>24</v>
      </c>
      <c r="E2591" t="s">
        <v>36</v>
      </c>
      <c r="F2591">
        <v>2460</v>
      </c>
      <c r="G2591">
        <v>50</v>
      </c>
      <c r="H2591" s="6">
        <f t="shared" si="198"/>
        <v>123</v>
      </c>
    </row>
    <row r="2592" spans="1:8" hidden="1" x14ac:dyDescent="0.3">
      <c r="A2592" s="9">
        <v>45181</v>
      </c>
      <c r="B2592" t="s">
        <v>17</v>
      </c>
      <c r="C2592" t="s">
        <v>33</v>
      </c>
      <c r="D2592" t="s">
        <v>18</v>
      </c>
      <c r="E2592" t="s">
        <v>37</v>
      </c>
      <c r="F2592">
        <v>890</v>
      </c>
      <c r="G2592">
        <v>9</v>
      </c>
      <c r="H2592" s="6">
        <f t="shared" si="198"/>
        <v>8.01</v>
      </c>
    </row>
    <row r="2593" spans="1:8" hidden="1" x14ac:dyDescent="0.3">
      <c r="A2593" s="9">
        <v>45181</v>
      </c>
      <c r="B2593" t="s">
        <v>8</v>
      </c>
      <c r="C2593" t="s">
        <v>35</v>
      </c>
      <c r="D2593" t="s">
        <v>10</v>
      </c>
      <c r="E2593" t="s">
        <v>11</v>
      </c>
      <c r="F2593">
        <v>705</v>
      </c>
      <c r="G2593">
        <v>21</v>
      </c>
      <c r="H2593" s="6">
        <f t="shared" si="198"/>
        <v>14.805</v>
      </c>
    </row>
    <row r="2594" spans="1:8" hidden="1" x14ac:dyDescent="0.3">
      <c r="A2594" s="9">
        <v>45181</v>
      </c>
      <c r="B2594" t="s">
        <v>45</v>
      </c>
      <c r="C2594" t="s">
        <v>35</v>
      </c>
      <c r="D2594" t="s">
        <v>18</v>
      </c>
      <c r="E2594" t="s">
        <v>27</v>
      </c>
      <c r="F2594">
        <v>460</v>
      </c>
      <c r="G2594">
        <v>7</v>
      </c>
      <c r="H2594" s="6">
        <f t="shared" si="198"/>
        <v>3.22</v>
      </c>
    </row>
    <row r="2595" spans="1:8" hidden="1" x14ac:dyDescent="0.3">
      <c r="A2595" s="9">
        <v>45181</v>
      </c>
      <c r="B2595" t="s">
        <v>17</v>
      </c>
      <c r="C2595" t="s">
        <v>35</v>
      </c>
      <c r="D2595" t="s">
        <v>18</v>
      </c>
      <c r="E2595" t="s">
        <v>19</v>
      </c>
      <c r="F2595">
        <v>325</v>
      </c>
      <c r="G2595">
        <v>76</v>
      </c>
      <c r="H2595" s="6">
        <f t="shared" si="198"/>
        <v>24.7</v>
      </c>
    </row>
    <row r="2596" spans="1:8" hidden="1" x14ac:dyDescent="0.3">
      <c r="A2596" s="9">
        <v>45181</v>
      </c>
      <c r="B2596" t="s">
        <v>8</v>
      </c>
      <c r="C2596" t="s">
        <v>35</v>
      </c>
      <c r="D2596" t="s">
        <v>13</v>
      </c>
      <c r="E2596" t="s">
        <v>14</v>
      </c>
      <c r="F2596">
        <v>1320</v>
      </c>
      <c r="G2596">
        <v>60</v>
      </c>
      <c r="H2596" s="6">
        <f t="shared" si="198"/>
        <v>79.2</v>
      </c>
    </row>
    <row r="2597" spans="1:8" hidden="1" x14ac:dyDescent="0.3">
      <c r="A2597" s="13" t="s">
        <v>269</v>
      </c>
      <c r="H2597" s="6">
        <f>SUBTOTAL(9,H2588:H2596)</f>
        <v>0</v>
      </c>
    </row>
    <row r="2598" spans="1:8" hidden="1" x14ac:dyDescent="0.3">
      <c r="A2598" s="9">
        <v>45182</v>
      </c>
      <c r="B2598" t="s">
        <v>45</v>
      </c>
      <c r="C2598" t="s">
        <v>20</v>
      </c>
      <c r="D2598" t="s">
        <v>10</v>
      </c>
      <c r="E2598" t="s">
        <v>11</v>
      </c>
      <c r="F2598">
        <v>705</v>
      </c>
      <c r="G2598">
        <v>35</v>
      </c>
      <c r="H2598" s="6">
        <f t="shared" ref="H2598:H2607" si="199">F2598*G2598/1000</f>
        <v>24.675000000000001</v>
      </c>
    </row>
    <row r="2599" spans="1:8" hidden="1" x14ac:dyDescent="0.3">
      <c r="A2599" s="9">
        <v>45182</v>
      </c>
      <c r="B2599" t="s">
        <v>8</v>
      </c>
      <c r="C2599" t="s">
        <v>20</v>
      </c>
      <c r="D2599" t="s">
        <v>13</v>
      </c>
      <c r="E2599" t="s">
        <v>22</v>
      </c>
      <c r="F2599">
        <v>930</v>
      </c>
      <c r="G2599">
        <v>93</v>
      </c>
      <c r="H2599" s="6">
        <f t="shared" si="199"/>
        <v>86.49</v>
      </c>
    </row>
    <row r="2600" spans="1:8" hidden="1" x14ac:dyDescent="0.3">
      <c r="A2600" s="9">
        <v>45182</v>
      </c>
      <c r="B2600" t="s">
        <v>8</v>
      </c>
      <c r="C2600" t="s">
        <v>9</v>
      </c>
      <c r="D2600" t="s">
        <v>24</v>
      </c>
      <c r="E2600" t="s">
        <v>32</v>
      </c>
      <c r="F2600">
        <v>1505</v>
      </c>
      <c r="G2600">
        <v>74</v>
      </c>
      <c r="H2600" s="6">
        <f t="shared" si="199"/>
        <v>111.37</v>
      </c>
    </row>
    <row r="2601" spans="1:8" hidden="1" x14ac:dyDescent="0.3">
      <c r="A2601" s="9">
        <v>45182</v>
      </c>
      <c r="B2601" t="s">
        <v>17</v>
      </c>
      <c r="C2601" t="s">
        <v>26</v>
      </c>
      <c r="D2601" t="s">
        <v>18</v>
      </c>
      <c r="E2601" t="s">
        <v>37</v>
      </c>
      <c r="F2601">
        <v>890</v>
      </c>
      <c r="G2601">
        <v>46</v>
      </c>
      <c r="H2601" s="6">
        <f t="shared" si="199"/>
        <v>40.94</v>
      </c>
    </row>
    <row r="2602" spans="1:8" hidden="1" x14ac:dyDescent="0.3">
      <c r="A2602" s="9">
        <v>45182</v>
      </c>
      <c r="B2602" t="s">
        <v>17</v>
      </c>
      <c r="C2602" t="s">
        <v>26</v>
      </c>
      <c r="D2602" t="s">
        <v>24</v>
      </c>
      <c r="E2602" t="s">
        <v>32</v>
      </c>
      <c r="F2602">
        <v>1505</v>
      </c>
      <c r="G2602">
        <v>76</v>
      </c>
      <c r="H2602" s="6">
        <f t="shared" si="199"/>
        <v>114.38</v>
      </c>
    </row>
    <row r="2603" spans="1:8" hidden="1" x14ac:dyDescent="0.3">
      <c r="A2603" s="9">
        <v>45182</v>
      </c>
      <c r="B2603" t="s">
        <v>12</v>
      </c>
      <c r="C2603" t="s">
        <v>26</v>
      </c>
      <c r="D2603" t="s">
        <v>24</v>
      </c>
      <c r="E2603" t="s">
        <v>34</v>
      </c>
      <c r="F2603">
        <v>1670</v>
      </c>
      <c r="G2603">
        <v>83</v>
      </c>
      <c r="H2603" s="6">
        <f t="shared" si="199"/>
        <v>138.61000000000001</v>
      </c>
    </row>
    <row r="2604" spans="1:8" hidden="1" x14ac:dyDescent="0.3">
      <c r="A2604" s="9">
        <v>45182</v>
      </c>
      <c r="B2604" t="s">
        <v>45</v>
      </c>
      <c r="C2604" t="s">
        <v>15</v>
      </c>
      <c r="D2604" t="s">
        <v>13</v>
      </c>
      <c r="E2604" t="s">
        <v>43</v>
      </c>
      <c r="F2604">
        <v>1420</v>
      </c>
      <c r="G2604">
        <v>11</v>
      </c>
      <c r="H2604" s="6">
        <f t="shared" si="199"/>
        <v>15.62</v>
      </c>
    </row>
    <row r="2605" spans="1:8" hidden="1" x14ac:dyDescent="0.3">
      <c r="A2605" s="9">
        <v>45182</v>
      </c>
      <c r="B2605" t="s">
        <v>8</v>
      </c>
      <c r="C2605" t="s">
        <v>15</v>
      </c>
      <c r="D2605" t="s">
        <v>13</v>
      </c>
      <c r="E2605" t="s">
        <v>22</v>
      </c>
      <c r="F2605">
        <v>930</v>
      </c>
      <c r="G2605">
        <v>47</v>
      </c>
      <c r="H2605" s="6">
        <f t="shared" si="199"/>
        <v>43.71</v>
      </c>
    </row>
    <row r="2606" spans="1:8" hidden="1" x14ac:dyDescent="0.3">
      <c r="A2606" s="9">
        <v>45182</v>
      </c>
      <c r="B2606" t="s">
        <v>8</v>
      </c>
      <c r="C2606" t="s">
        <v>15</v>
      </c>
      <c r="D2606" t="s">
        <v>13</v>
      </c>
      <c r="E2606" t="s">
        <v>29</v>
      </c>
      <c r="F2606">
        <v>1230</v>
      </c>
      <c r="G2606">
        <v>32</v>
      </c>
      <c r="H2606" s="6">
        <f t="shared" si="199"/>
        <v>39.36</v>
      </c>
    </row>
    <row r="2607" spans="1:8" hidden="1" x14ac:dyDescent="0.3">
      <c r="A2607" s="9">
        <v>45182</v>
      </c>
      <c r="B2607" t="s">
        <v>12</v>
      </c>
      <c r="C2607" t="s">
        <v>15</v>
      </c>
      <c r="D2607" t="s">
        <v>24</v>
      </c>
      <c r="E2607" t="s">
        <v>25</v>
      </c>
      <c r="F2607">
        <v>1760</v>
      </c>
      <c r="G2607">
        <v>33</v>
      </c>
      <c r="H2607" s="6">
        <f t="shared" si="199"/>
        <v>58.08</v>
      </c>
    </row>
    <row r="2608" spans="1:8" hidden="1" x14ac:dyDescent="0.3">
      <c r="A2608" s="13" t="s">
        <v>270</v>
      </c>
      <c r="H2608" s="6">
        <f>SUBTOTAL(9,H2598:H2607)</f>
        <v>0</v>
      </c>
    </row>
    <row r="2609" spans="1:8" hidden="1" x14ac:dyDescent="0.3">
      <c r="A2609" s="9">
        <v>45183</v>
      </c>
      <c r="B2609" t="s">
        <v>12</v>
      </c>
      <c r="C2609" t="s">
        <v>9</v>
      </c>
      <c r="D2609" t="s">
        <v>18</v>
      </c>
      <c r="E2609" t="s">
        <v>21</v>
      </c>
      <c r="F2609">
        <v>450</v>
      </c>
      <c r="G2609">
        <v>97</v>
      </c>
      <c r="H2609" s="6">
        <f t="shared" ref="H2609:H2621" si="200">F2609*G2609/1000</f>
        <v>43.65</v>
      </c>
    </row>
    <row r="2610" spans="1:8" hidden="1" x14ac:dyDescent="0.3">
      <c r="A2610" s="9">
        <v>45183</v>
      </c>
      <c r="B2610" t="s">
        <v>45</v>
      </c>
      <c r="C2610" t="s">
        <v>9</v>
      </c>
      <c r="D2610" t="s">
        <v>18</v>
      </c>
      <c r="E2610" t="s">
        <v>27</v>
      </c>
      <c r="F2610">
        <v>460</v>
      </c>
      <c r="G2610">
        <v>88</v>
      </c>
      <c r="H2610" s="6">
        <f t="shared" si="200"/>
        <v>40.479999999999997</v>
      </c>
    </row>
    <row r="2611" spans="1:8" hidden="1" x14ac:dyDescent="0.3">
      <c r="A2611" s="9">
        <v>45183</v>
      </c>
      <c r="B2611" t="s">
        <v>17</v>
      </c>
      <c r="C2611" t="s">
        <v>9</v>
      </c>
      <c r="D2611" t="s">
        <v>13</v>
      </c>
      <c r="E2611" t="s">
        <v>29</v>
      </c>
      <c r="F2611">
        <v>1230</v>
      </c>
      <c r="G2611">
        <v>97</v>
      </c>
      <c r="H2611" s="6">
        <f t="shared" si="200"/>
        <v>119.31</v>
      </c>
    </row>
    <row r="2612" spans="1:8" hidden="1" x14ac:dyDescent="0.3">
      <c r="A2612" s="9">
        <v>45183</v>
      </c>
      <c r="B2612" t="s">
        <v>45</v>
      </c>
      <c r="C2612" t="s">
        <v>9</v>
      </c>
      <c r="D2612" t="s">
        <v>13</v>
      </c>
      <c r="E2612" t="s">
        <v>14</v>
      </c>
      <c r="F2612">
        <v>1320</v>
      </c>
      <c r="G2612">
        <v>74</v>
      </c>
      <c r="H2612" s="6">
        <f t="shared" si="200"/>
        <v>97.68</v>
      </c>
    </row>
    <row r="2613" spans="1:8" hidden="1" x14ac:dyDescent="0.3">
      <c r="A2613" s="9">
        <v>45183</v>
      </c>
      <c r="B2613" t="s">
        <v>12</v>
      </c>
      <c r="C2613" t="s">
        <v>26</v>
      </c>
      <c r="D2613" t="s">
        <v>10</v>
      </c>
      <c r="E2613" t="s">
        <v>39</v>
      </c>
      <c r="F2613">
        <v>650</v>
      </c>
      <c r="G2613">
        <v>54</v>
      </c>
      <c r="H2613" s="6">
        <f t="shared" si="200"/>
        <v>35.1</v>
      </c>
    </row>
    <row r="2614" spans="1:8" hidden="1" x14ac:dyDescent="0.3">
      <c r="A2614" s="9">
        <v>45183</v>
      </c>
      <c r="B2614" t="s">
        <v>8</v>
      </c>
      <c r="C2614" t="s">
        <v>26</v>
      </c>
      <c r="D2614" t="s">
        <v>13</v>
      </c>
      <c r="E2614" t="s">
        <v>44</v>
      </c>
      <c r="F2614">
        <v>2540</v>
      </c>
      <c r="G2614">
        <v>9</v>
      </c>
      <c r="H2614" s="6">
        <f t="shared" si="200"/>
        <v>22.86</v>
      </c>
    </row>
    <row r="2615" spans="1:8" hidden="1" x14ac:dyDescent="0.3">
      <c r="A2615" s="9">
        <v>45183</v>
      </c>
      <c r="B2615" t="s">
        <v>45</v>
      </c>
      <c r="C2615" t="s">
        <v>15</v>
      </c>
      <c r="D2615" t="s">
        <v>13</v>
      </c>
      <c r="E2615" t="s">
        <v>38</v>
      </c>
      <c r="F2615">
        <v>2400</v>
      </c>
      <c r="G2615">
        <v>45</v>
      </c>
      <c r="H2615" s="6">
        <f t="shared" si="200"/>
        <v>108</v>
      </c>
    </row>
    <row r="2616" spans="1:8" hidden="1" x14ac:dyDescent="0.3">
      <c r="A2616" s="9">
        <v>45183</v>
      </c>
      <c r="B2616" t="s">
        <v>12</v>
      </c>
      <c r="C2616" t="s">
        <v>33</v>
      </c>
      <c r="D2616" t="s">
        <v>10</v>
      </c>
      <c r="E2616" t="s">
        <v>39</v>
      </c>
      <c r="F2616">
        <v>650</v>
      </c>
      <c r="G2616">
        <v>86</v>
      </c>
      <c r="H2616" s="6">
        <f t="shared" si="200"/>
        <v>55.9</v>
      </c>
    </row>
    <row r="2617" spans="1:8" hidden="1" x14ac:dyDescent="0.3">
      <c r="A2617" s="9">
        <v>45183</v>
      </c>
      <c r="B2617" t="s">
        <v>17</v>
      </c>
      <c r="C2617" t="s">
        <v>33</v>
      </c>
      <c r="D2617" t="s">
        <v>10</v>
      </c>
      <c r="E2617" t="s">
        <v>11</v>
      </c>
      <c r="F2617">
        <v>705</v>
      </c>
      <c r="G2617">
        <v>21</v>
      </c>
      <c r="H2617" s="6">
        <f t="shared" si="200"/>
        <v>14.805</v>
      </c>
    </row>
    <row r="2618" spans="1:8" hidden="1" x14ac:dyDescent="0.3">
      <c r="A2618" s="9">
        <v>45183</v>
      </c>
      <c r="B2618" t="s">
        <v>8</v>
      </c>
      <c r="C2618" t="s">
        <v>33</v>
      </c>
      <c r="D2618" t="s">
        <v>10</v>
      </c>
      <c r="E2618" t="s">
        <v>40</v>
      </c>
      <c r="F2618">
        <v>540</v>
      </c>
      <c r="G2618">
        <v>98</v>
      </c>
      <c r="H2618" s="6">
        <f t="shared" si="200"/>
        <v>52.92</v>
      </c>
    </row>
    <row r="2619" spans="1:8" hidden="1" x14ac:dyDescent="0.3">
      <c r="A2619" s="9">
        <v>45183</v>
      </c>
      <c r="B2619" t="s">
        <v>12</v>
      </c>
      <c r="C2619" t="s">
        <v>33</v>
      </c>
      <c r="D2619" t="s">
        <v>24</v>
      </c>
      <c r="E2619" t="s">
        <v>42</v>
      </c>
      <c r="F2619">
        <v>3205</v>
      </c>
      <c r="G2619">
        <v>21</v>
      </c>
      <c r="H2619" s="6">
        <f t="shared" si="200"/>
        <v>67.305000000000007</v>
      </c>
    </row>
    <row r="2620" spans="1:8" hidden="1" x14ac:dyDescent="0.3">
      <c r="A2620" s="9">
        <v>45183</v>
      </c>
      <c r="B2620" t="s">
        <v>8</v>
      </c>
      <c r="C2620" t="s">
        <v>35</v>
      </c>
      <c r="D2620" t="s">
        <v>24</v>
      </c>
      <c r="E2620" t="s">
        <v>32</v>
      </c>
      <c r="F2620">
        <v>1505</v>
      </c>
      <c r="G2620">
        <v>65</v>
      </c>
      <c r="H2620" s="6">
        <f t="shared" si="200"/>
        <v>97.825000000000003</v>
      </c>
    </row>
    <row r="2621" spans="1:8" hidden="1" x14ac:dyDescent="0.3">
      <c r="A2621" s="9">
        <v>45183</v>
      </c>
      <c r="B2621" t="s">
        <v>8</v>
      </c>
      <c r="C2621" t="s">
        <v>35</v>
      </c>
      <c r="D2621" t="s">
        <v>24</v>
      </c>
      <c r="E2621" t="s">
        <v>30</v>
      </c>
      <c r="F2621">
        <v>2970</v>
      </c>
      <c r="G2621">
        <v>17</v>
      </c>
      <c r="H2621" s="6">
        <f t="shared" si="200"/>
        <v>50.49</v>
      </c>
    </row>
    <row r="2622" spans="1:8" hidden="1" x14ac:dyDescent="0.3">
      <c r="A2622" s="13" t="s">
        <v>271</v>
      </c>
      <c r="H2622" s="6">
        <f>SUBTOTAL(9,H2609:H2621)</f>
        <v>0</v>
      </c>
    </row>
    <row r="2623" spans="1:8" hidden="1" x14ac:dyDescent="0.3">
      <c r="A2623" s="9">
        <v>45184</v>
      </c>
      <c r="B2623" t="s">
        <v>45</v>
      </c>
      <c r="C2623" t="s">
        <v>20</v>
      </c>
      <c r="D2623" t="s">
        <v>24</v>
      </c>
      <c r="E2623" t="s">
        <v>30</v>
      </c>
      <c r="F2623">
        <v>2970</v>
      </c>
      <c r="G2623">
        <v>69</v>
      </c>
      <c r="H2623" s="6">
        <f t="shared" ref="H2623:H2630" si="201">F2623*G2623/1000</f>
        <v>204.93</v>
      </c>
    </row>
    <row r="2624" spans="1:8" hidden="1" x14ac:dyDescent="0.3">
      <c r="A2624" s="9">
        <v>45184</v>
      </c>
      <c r="B2624" t="s">
        <v>45</v>
      </c>
      <c r="C2624" t="s">
        <v>26</v>
      </c>
      <c r="D2624" t="s">
        <v>10</v>
      </c>
      <c r="E2624" t="s">
        <v>11</v>
      </c>
      <c r="F2624">
        <v>705</v>
      </c>
      <c r="G2624">
        <v>32</v>
      </c>
      <c r="H2624" s="6">
        <f t="shared" si="201"/>
        <v>22.56</v>
      </c>
    </row>
    <row r="2625" spans="1:8" hidden="1" x14ac:dyDescent="0.3">
      <c r="A2625" s="9">
        <v>45184</v>
      </c>
      <c r="B2625" t="s">
        <v>45</v>
      </c>
      <c r="C2625" t="s">
        <v>26</v>
      </c>
      <c r="D2625" t="s">
        <v>13</v>
      </c>
      <c r="E2625" t="s">
        <v>14</v>
      </c>
      <c r="F2625">
        <v>1320</v>
      </c>
      <c r="G2625">
        <v>87</v>
      </c>
      <c r="H2625" s="6">
        <f t="shared" si="201"/>
        <v>114.84</v>
      </c>
    </row>
    <row r="2626" spans="1:8" hidden="1" x14ac:dyDescent="0.3">
      <c r="A2626" s="9">
        <v>45184</v>
      </c>
      <c r="B2626" t="s">
        <v>45</v>
      </c>
      <c r="C2626" t="s">
        <v>26</v>
      </c>
      <c r="D2626" t="s">
        <v>13</v>
      </c>
      <c r="E2626" t="s">
        <v>22</v>
      </c>
      <c r="F2626">
        <v>930</v>
      </c>
      <c r="G2626">
        <v>27</v>
      </c>
      <c r="H2626" s="6">
        <f t="shared" si="201"/>
        <v>25.11</v>
      </c>
    </row>
    <row r="2627" spans="1:8" hidden="1" x14ac:dyDescent="0.3">
      <c r="A2627" s="9">
        <v>45184</v>
      </c>
      <c r="B2627" t="s">
        <v>45</v>
      </c>
      <c r="C2627" t="s">
        <v>26</v>
      </c>
      <c r="D2627" t="s">
        <v>13</v>
      </c>
      <c r="E2627" t="s">
        <v>14</v>
      </c>
      <c r="F2627">
        <v>1320</v>
      </c>
      <c r="G2627">
        <v>98</v>
      </c>
      <c r="H2627" s="6">
        <f t="shared" si="201"/>
        <v>129.36000000000001</v>
      </c>
    </row>
    <row r="2628" spans="1:8" hidden="1" x14ac:dyDescent="0.3">
      <c r="A2628" s="9">
        <v>45184</v>
      </c>
      <c r="B2628" t="s">
        <v>12</v>
      </c>
      <c r="C2628" t="s">
        <v>15</v>
      </c>
      <c r="D2628" t="s">
        <v>24</v>
      </c>
      <c r="E2628" t="s">
        <v>36</v>
      </c>
      <c r="F2628">
        <v>2460</v>
      </c>
      <c r="G2628">
        <v>57</v>
      </c>
      <c r="H2628" s="6">
        <f t="shared" si="201"/>
        <v>140.22</v>
      </c>
    </row>
    <row r="2629" spans="1:8" hidden="1" x14ac:dyDescent="0.3">
      <c r="A2629" s="9">
        <v>45184</v>
      </c>
      <c r="B2629" t="s">
        <v>17</v>
      </c>
      <c r="C2629" t="s">
        <v>35</v>
      </c>
      <c r="D2629" t="s">
        <v>10</v>
      </c>
      <c r="E2629" t="s">
        <v>16</v>
      </c>
      <c r="F2629">
        <v>1380</v>
      </c>
      <c r="G2629">
        <v>57</v>
      </c>
      <c r="H2629" s="6">
        <f t="shared" si="201"/>
        <v>78.66</v>
      </c>
    </row>
    <row r="2630" spans="1:8" hidden="1" x14ac:dyDescent="0.3">
      <c r="A2630" s="9">
        <v>45184</v>
      </c>
      <c r="B2630" t="s">
        <v>8</v>
      </c>
      <c r="C2630" t="s">
        <v>35</v>
      </c>
      <c r="D2630" t="s">
        <v>24</v>
      </c>
      <c r="E2630" t="s">
        <v>42</v>
      </c>
      <c r="F2630">
        <v>3205</v>
      </c>
      <c r="G2630">
        <v>24</v>
      </c>
      <c r="H2630" s="6">
        <f t="shared" si="201"/>
        <v>76.92</v>
      </c>
    </row>
    <row r="2631" spans="1:8" hidden="1" x14ac:dyDescent="0.3">
      <c r="A2631" s="13" t="s">
        <v>272</v>
      </c>
      <c r="H2631" s="6">
        <f>SUBTOTAL(9,H2623:H2630)</f>
        <v>0</v>
      </c>
    </row>
    <row r="2632" spans="1:8" hidden="1" x14ac:dyDescent="0.3">
      <c r="A2632" s="9">
        <v>45185</v>
      </c>
      <c r="B2632" t="s">
        <v>8</v>
      </c>
      <c r="C2632" t="s">
        <v>20</v>
      </c>
      <c r="D2632" t="s">
        <v>10</v>
      </c>
      <c r="E2632" t="s">
        <v>16</v>
      </c>
      <c r="F2632">
        <v>1380</v>
      </c>
      <c r="G2632">
        <v>40</v>
      </c>
      <c r="H2632" s="6">
        <f t="shared" ref="H2632:H2639" si="202">F2632*G2632/1000</f>
        <v>55.2</v>
      </c>
    </row>
    <row r="2633" spans="1:8" hidden="1" x14ac:dyDescent="0.3">
      <c r="A2633" s="9">
        <v>45185</v>
      </c>
      <c r="B2633" t="s">
        <v>12</v>
      </c>
      <c r="C2633" t="s">
        <v>20</v>
      </c>
      <c r="D2633" t="s">
        <v>18</v>
      </c>
      <c r="E2633" t="s">
        <v>19</v>
      </c>
      <c r="F2633">
        <v>325</v>
      </c>
      <c r="G2633">
        <v>72</v>
      </c>
      <c r="H2633" s="6">
        <f t="shared" si="202"/>
        <v>23.4</v>
      </c>
    </row>
    <row r="2634" spans="1:8" hidden="1" x14ac:dyDescent="0.3">
      <c r="A2634" s="9">
        <v>45185</v>
      </c>
      <c r="B2634" t="s">
        <v>45</v>
      </c>
      <c r="C2634" t="s">
        <v>26</v>
      </c>
      <c r="D2634" t="s">
        <v>10</v>
      </c>
      <c r="E2634" t="s">
        <v>11</v>
      </c>
      <c r="F2634">
        <v>705</v>
      </c>
      <c r="G2634">
        <v>42</v>
      </c>
      <c r="H2634" s="6">
        <f t="shared" si="202"/>
        <v>29.61</v>
      </c>
    </row>
    <row r="2635" spans="1:8" hidden="1" x14ac:dyDescent="0.3">
      <c r="A2635" s="9">
        <v>45185</v>
      </c>
      <c r="B2635" t="s">
        <v>8</v>
      </c>
      <c r="C2635" t="s">
        <v>26</v>
      </c>
      <c r="D2635" t="s">
        <v>10</v>
      </c>
      <c r="E2635" t="s">
        <v>41</v>
      </c>
      <c r="F2635">
        <v>650</v>
      </c>
      <c r="G2635">
        <v>16</v>
      </c>
      <c r="H2635" s="6">
        <f t="shared" si="202"/>
        <v>10.4</v>
      </c>
    </row>
    <row r="2636" spans="1:8" hidden="1" x14ac:dyDescent="0.3">
      <c r="A2636" s="9">
        <v>45185</v>
      </c>
      <c r="B2636" t="s">
        <v>12</v>
      </c>
      <c r="C2636" t="s">
        <v>15</v>
      </c>
      <c r="D2636" t="s">
        <v>13</v>
      </c>
      <c r="E2636" t="s">
        <v>29</v>
      </c>
      <c r="F2636">
        <v>1230</v>
      </c>
      <c r="G2636">
        <v>38</v>
      </c>
      <c r="H2636" s="6">
        <f t="shared" si="202"/>
        <v>46.74</v>
      </c>
    </row>
    <row r="2637" spans="1:8" hidden="1" x14ac:dyDescent="0.3">
      <c r="A2637" s="9">
        <v>45185</v>
      </c>
      <c r="B2637" t="s">
        <v>17</v>
      </c>
      <c r="C2637" t="s">
        <v>33</v>
      </c>
      <c r="D2637" t="s">
        <v>24</v>
      </c>
      <c r="E2637" t="s">
        <v>32</v>
      </c>
      <c r="F2637">
        <v>1505</v>
      </c>
      <c r="G2637">
        <v>88</v>
      </c>
      <c r="H2637" s="6">
        <f t="shared" si="202"/>
        <v>132.44</v>
      </c>
    </row>
    <row r="2638" spans="1:8" hidden="1" x14ac:dyDescent="0.3">
      <c r="A2638" s="9">
        <v>45185</v>
      </c>
      <c r="B2638" t="s">
        <v>12</v>
      </c>
      <c r="C2638" t="s">
        <v>35</v>
      </c>
      <c r="D2638" t="s">
        <v>10</v>
      </c>
      <c r="E2638" t="s">
        <v>39</v>
      </c>
      <c r="F2638">
        <v>650</v>
      </c>
      <c r="G2638">
        <v>31</v>
      </c>
      <c r="H2638" s="6">
        <f t="shared" si="202"/>
        <v>20.149999999999999</v>
      </c>
    </row>
    <row r="2639" spans="1:8" hidden="1" x14ac:dyDescent="0.3">
      <c r="A2639" s="9">
        <v>45185</v>
      </c>
      <c r="B2639" t="s">
        <v>45</v>
      </c>
      <c r="C2639" t="s">
        <v>35</v>
      </c>
      <c r="D2639" t="s">
        <v>24</v>
      </c>
      <c r="E2639" t="s">
        <v>25</v>
      </c>
      <c r="F2639">
        <v>1760</v>
      </c>
      <c r="G2639">
        <v>71</v>
      </c>
      <c r="H2639" s="6">
        <f t="shared" si="202"/>
        <v>124.96</v>
      </c>
    </row>
    <row r="2640" spans="1:8" hidden="1" x14ac:dyDescent="0.3">
      <c r="A2640" s="13" t="s">
        <v>273</v>
      </c>
      <c r="H2640" s="6">
        <f>SUBTOTAL(9,H2632:H2639)</f>
        <v>0</v>
      </c>
    </row>
    <row r="2641" spans="1:8" hidden="1" x14ac:dyDescent="0.3">
      <c r="A2641" s="9">
        <v>45186</v>
      </c>
      <c r="B2641" t="s">
        <v>8</v>
      </c>
      <c r="C2641" t="s">
        <v>20</v>
      </c>
      <c r="D2641" t="s">
        <v>10</v>
      </c>
      <c r="E2641" t="s">
        <v>40</v>
      </c>
      <c r="F2641">
        <v>540</v>
      </c>
      <c r="G2641">
        <v>54</v>
      </c>
      <c r="H2641" s="6">
        <f t="shared" ref="H2641:H2647" si="203">F2641*G2641/1000</f>
        <v>29.16</v>
      </c>
    </row>
    <row r="2642" spans="1:8" hidden="1" x14ac:dyDescent="0.3">
      <c r="A2642" s="9">
        <v>45186</v>
      </c>
      <c r="B2642" t="s">
        <v>45</v>
      </c>
      <c r="C2642" t="s">
        <v>20</v>
      </c>
      <c r="D2642" t="s">
        <v>18</v>
      </c>
      <c r="E2642" t="s">
        <v>37</v>
      </c>
      <c r="F2642">
        <v>890</v>
      </c>
      <c r="G2642">
        <v>92</v>
      </c>
      <c r="H2642" s="6">
        <f t="shared" si="203"/>
        <v>81.88</v>
      </c>
    </row>
    <row r="2643" spans="1:8" hidden="1" x14ac:dyDescent="0.3">
      <c r="A2643" s="9">
        <v>45186</v>
      </c>
      <c r="B2643" t="s">
        <v>12</v>
      </c>
      <c r="C2643" t="s">
        <v>20</v>
      </c>
      <c r="D2643" t="s">
        <v>24</v>
      </c>
      <c r="E2643" t="s">
        <v>42</v>
      </c>
      <c r="F2643">
        <v>3205</v>
      </c>
      <c r="G2643">
        <v>59</v>
      </c>
      <c r="H2643" s="6">
        <f t="shared" si="203"/>
        <v>189.095</v>
      </c>
    </row>
    <row r="2644" spans="1:8" hidden="1" x14ac:dyDescent="0.3">
      <c r="A2644" s="9">
        <v>45186</v>
      </c>
      <c r="B2644" t="s">
        <v>17</v>
      </c>
      <c r="C2644" t="s">
        <v>26</v>
      </c>
      <c r="D2644" t="s">
        <v>18</v>
      </c>
      <c r="E2644" t="s">
        <v>28</v>
      </c>
      <c r="F2644">
        <v>690</v>
      </c>
      <c r="G2644">
        <v>50</v>
      </c>
      <c r="H2644" s="6">
        <f t="shared" si="203"/>
        <v>34.5</v>
      </c>
    </row>
    <row r="2645" spans="1:8" hidden="1" x14ac:dyDescent="0.3">
      <c r="A2645" s="9">
        <v>45186</v>
      </c>
      <c r="B2645" t="s">
        <v>45</v>
      </c>
      <c r="C2645" t="s">
        <v>26</v>
      </c>
      <c r="D2645" t="s">
        <v>13</v>
      </c>
      <c r="E2645" t="s">
        <v>38</v>
      </c>
      <c r="F2645">
        <v>2400</v>
      </c>
      <c r="G2645">
        <v>96</v>
      </c>
      <c r="H2645" s="6">
        <f t="shared" si="203"/>
        <v>230.4</v>
      </c>
    </row>
    <row r="2646" spans="1:8" hidden="1" x14ac:dyDescent="0.3">
      <c r="A2646" s="9">
        <v>45186</v>
      </c>
      <c r="B2646" t="s">
        <v>17</v>
      </c>
      <c r="C2646" t="s">
        <v>15</v>
      </c>
      <c r="D2646" t="s">
        <v>10</v>
      </c>
      <c r="E2646" t="s">
        <v>40</v>
      </c>
      <c r="F2646">
        <v>540</v>
      </c>
      <c r="G2646">
        <v>99</v>
      </c>
      <c r="H2646" s="6">
        <f t="shared" si="203"/>
        <v>53.46</v>
      </c>
    </row>
    <row r="2647" spans="1:8" hidden="1" x14ac:dyDescent="0.3">
      <c r="A2647" s="9">
        <v>45186</v>
      </c>
      <c r="B2647" t="s">
        <v>8</v>
      </c>
      <c r="C2647" t="s">
        <v>33</v>
      </c>
      <c r="D2647" t="s">
        <v>13</v>
      </c>
      <c r="E2647" t="s">
        <v>22</v>
      </c>
      <c r="F2647">
        <v>930</v>
      </c>
      <c r="G2647">
        <v>21</v>
      </c>
      <c r="H2647" s="6">
        <f t="shared" si="203"/>
        <v>19.53</v>
      </c>
    </row>
    <row r="2648" spans="1:8" hidden="1" x14ac:dyDescent="0.3">
      <c r="A2648" s="13" t="s">
        <v>274</v>
      </c>
      <c r="H2648" s="6">
        <f>SUBTOTAL(9,H2641:H2647)</f>
        <v>0</v>
      </c>
    </row>
    <row r="2649" spans="1:8" hidden="1" x14ac:dyDescent="0.3">
      <c r="A2649" s="9">
        <v>45187</v>
      </c>
      <c r="B2649" t="s">
        <v>17</v>
      </c>
      <c r="C2649" t="s">
        <v>20</v>
      </c>
      <c r="D2649" t="s">
        <v>18</v>
      </c>
      <c r="E2649" t="s">
        <v>37</v>
      </c>
      <c r="F2649">
        <v>890</v>
      </c>
      <c r="G2649">
        <v>76</v>
      </c>
      <c r="H2649" s="6">
        <f t="shared" ref="H2649:H2663" si="204">F2649*G2649/1000</f>
        <v>67.64</v>
      </c>
    </row>
    <row r="2650" spans="1:8" hidden="1" x14ac:dyDescent="0.3">
      <c r="A2650" s="9">
        <v>45187</v>
      </c>
      <c r="B2650" t="s">
        <v>12</v>
      </c>
      <c r="C2650" t="s">
        <v>20</v>
      </c>
      <c r="D2650" t="s">
        <v>24</v>
      </c>
      <c r="E2650" t="s">
        <v>30</v>
      </c>
      <c r="F2650">
        <v>2970</v>
      </c>
      <c r="G2650">
        <v>19</v>
      </c>
      <c r="H2650" s="6">
        <f t="shared" si="204"/>
        <v>56.43</v>
      </c>
    </row>
    <row r="2651" spans="1:8" hidden="1" x14ac:dyDescent="0.3">
      <c r="A2651" s="9">
        <v>45187</v>
      </c>
      <c r="B2651" t="s">
        <v>17</v>
      </c>
      <c r="C2651" t="s">
        <v>9</v>
      </c>
      <c r="D2651" t="s">
        <v>10</v>
      </c>
      <c r="E2651" t="s">
        <v>41</v>
      </c>
      <c r="F2651">
        <v>650</v>
      </c>
      <c r="G2651">
        <v>20</v>
      </c>
      <c r="H2651" s="6">
        <f t="shared" si="204"/>
        <v>13</v>
      </c>
    </row>
    <row r="2652" spans="1:8" hidden="1" x14ac:dyDescent="0.3">
      <c r="A2652" s="9">
        <v>45187</v>
      </c>
      <c r="B2652" t="s">
        <v>17</v>
      </c>
      <c r="C2652" t="s">
        <v>9</v>
      </c>
      <c r="D2652" t="s">
        <v>13</v>
      </c>
      <c r="E2652" t="s">
        <v>29</v>
      </c>
      <c r="F2652">
        <v>1230</v>
      </c>
      <c r="G2652">
        <v>79</v>
      </c>
      <c r="H2652" s="6">
        <f t="shared" si="204"/>
        <v>97.17</v>
      </c>
    </row>
    <row r="2653" spans="1:8" hidden="1" x14ac:dyDescent="0.3">
      <c r="A2653" s="9">
        <v>45187</v>
      </c>
      <c r="B2653" t="s">
        <v>12</v>
      </c>
      <c r="C2653" t="s">
        <v>9</v>
      </c>
      <c r="D2653" t="s">
        <v>24</v>
      </c>
      <c r="E2653" t="s">
        <v>30</v>
      </c>
      <c r="F2653">
        <v>2970</v>
      </c>
      <c r="G2653">
        <v>25</v>
      </c>
      <c r="H2653" s="6">
        <f t="shared" si="204"/>
        <v>74.25</v>
      </c>
    </row>
    <row r="2654" spans="1:8" hidden="1" x14ac:dyDescent="0.3">
      <c r="A2654" s="9">
        <v>45187</v>
      </c>
      <c r="B2654" t="s">
        <v>12</v>
      </c>
      <c r="C2654" t="s">
        <v>26</v>
      </c>
      <c r="D2654" t="s">
        <v>18</v>
      </c>
      <c r="E2654" t="s">
        <v>37</v>
      </c>
      <c r="F2654">
        <v>890</v>
      </c>
      <c r="G2654">
        <v>91</v>
      </c>
      <c r="H2654" s="6">
        <f t="shared" si="204"/>
        <v>80.989999999999995</v>
      </c>
    </row>
    <row r="2655" spans="1:8" hidden="1" x14ac:dyDescent="0.3">
      <c r="A2655" s="9">
        <v>45187</v>
      </c>
      <c r="B2655" t="s">
        <v>12</v>
      </c>
      <c r="C2655" t="s">
        <v>26</v>
      </c>
      <c r="D2655" t="s">
        <v>18</v>
      </c>
      <c r="E2655" t="s">
        <v>28</v>
      </c>
      <c r="F2655">
        <v>690</v>
      </c>
      <c r="G2655">
        <v>91</v>
      </c>
      <c r="H2655" s="6">
        <f t="shared" si="204"/>
        <v>62.79</v>
      </c>
    </row>
    <row r="2656" spans="1:8" hidden="1" x14ac:dyDescent="0.3">
      <c r="A2656" s="9">
        <v>45187</v>
      </c>
      <c r="B2656" t="s">
        <v>17</v>
      </c>
      <c r="C2656" t="s">
        <v>26</v>
      </c>
      <c r="D2656" t="s">
        <v>24</v>
      </c>
      <c r="E2656" t="s">
        <v>32</v>
      </c>
      <c r="F2656">
        <v>1505</v>
      </c>
      <c r="G2656">
        <v>19</v>
      </c>
      <c r="H2656" s="6">
        <f t="shared" si="204"/>
        <v>28.594999999999999</v>
      </c>
    </row>
    <row r="2657" spans="1:8" hidden="1" x14ac:dyDescent="0.3">
      <c r="A2657" s="9">
        <v>45187</v>
      </c>
      <c r="B2657" t="s">
        <v>45</v>
      </c>
      <c r="C2657" t="s">
        <v>33</v>
      </c>
      <c r="D2657" t="s">
        <v>10</v>
      </c>
      <c r="E2657" t="s">
        <v>16</v>
      </c>
      <c r="F2657">
        <v>1380</v>
      </c>
      <c r="G2657">
        <v>10</v>
      </c>
      <c r="H2657" s="6">
        <f t="shared" si="204"/>
        <v>13.8</v>
      </c>
    </row>
    <row r="2658" spans="1:8" hidden="1" x14ac:dyDescent="0.3">
      <c r="A2658" s="9">
        <v>45187</v>
      </c>
      <c r="B2658" t="s">
        <v>12</v>
      </c>
      <c r="C2658" t="s">
        <v>33</v>
      </c>
      <c r="D2658" t="s">
        <v>10</v>
      </c>
      <c r="E2658" t="s">
        <v>40</v>
      </c>
      <c r="F2658">
        <v>540</v>
      </c>
      <c r="G2658">
        <v>48</v>
      </c>
      <c r="H2658" s="6">
        <f t="shared" si="204"/>
        <v>25.92</v>
      </c>
    </row>
    <row r="2659" spans="1:8" hidden="1" x14ac:dyDescent="0.3">
      <c r="A2659" s="9">
        <v>45187</v>
      </c>
      <c r="B2659" t="s">
        <v>8</v>
      </c>
      <c r="C2659" t="s">
        <v>33</v>
      </c>
      <c r="D2659" t="s">
        <v>24</v>
      </c>
      <c r="E2659" t="s">
        <v>30</v>
      </c>
      <c r="F2659">
        <v>2970</v>
      </c>
      <c r="G2659">
        <v>72</v>
      </c>
      <c r="H2659" s="6">
        <f t="shared" si="204"/>
        <v>213.84</v>
      </c>
    </row>
    <row r="2660" spans="1:8" hidden="1" x14ac:dyDescent="0.3">
      <c r="A2660" s="9">
        <v>45187</v>
      </c>
      <c r="B2660" t="s">
        <v>12</v>
      </c>
      <c r="C2660" t="s">
        <v>33</v>
      </c>
      <c r="D2660" t="s">
        <v>24</v>
      </c>
      <c r="E2660" t="s">
        <v>32</v>
      </c>
      <c r="F2660">
        <v>1505</v>
      </c>
      <c r="G2660">
        <v>7</v>
      </c>
      <c r="H2660" s="6">
        <f t="shared" si="204"/>
        <v>10.535</v>
      </c>
    </row>
    <row r="2661" spans="1:8" hidden="1" x14ac:dyDescent="0.3">
      <c r="A2661" s="9">
        <v>45187</v>
      </c>
      <c r="B2661" t="s">
        <v>45</v>
      </c>
      <c r="C2661" t="s">
        <v>35</v>
      </c>
      <c r="D2661" t="s">
        <v>10</v>
      </c>
      <c r="E2661" t="s">
        <v>41</v>
      </c>
      <c r="F2661">
        <v>650</v>
      </c>
      <c r="G2661">
        <v>24</v>
      </c>
      <c r="H2661" s="6">
        <f t="shared" si="204"/>
        <v>15.6</v>
      </c>
    </row>
    <row r="2662" spans="1:8" hidden="1" x14ac:dyDescent="0.3">
      <c r="A2662" s="9">
        <v>45187</v>
      </c>
      <c r="B2662" t="s">
        <v>17</v>
      </c>
      <c r="C2662" t="s">
        <v>35</v>
      </c>
      <c r="D2662" t="s">
        <v>24</v>
      </c>
      <c r="E2662" t="s">
        <v>30</v>
      </c>
      <c r="F2662">
        <v>2970</v>
      </c>
      <c r="G2662">
        <v>74</v>
      </c>
      <c r="H2662" s="6">
        <f t="shared" si="204"/>
        <v>219.78</v>
      </c>
    </row>
    <row r="2663" spans="1:8" hidden="1" x14ac:dyDescent="0.3">
      <c r="A2663" s="9">
        <v>45187</v>
      </c>
      <c r="B2663" t="s">
        <v>45</v>
      </c>
      <c r="C2663" t="s">
        <v>35</v>
      </c>
      <c r="D2663" t="s">
        <v>24</v>
      </c>
      <c r="E2663" t="s">
        <v>34</v>
      </c>
      <c r="F2663">
        <v>1670</v>
      </c>
      <c r="G2663">
        <v>36</v>
      </c>
      <c r="H2663" s="6">
        <f t="shared" si="204"/>
        <v>60.12</v>
      </c>
    </row>
    <row r="2664" spans="1:8" hidden="1" x14ac:dyDescent="0.3">
      <c r="A2664" s="13" t="s">
        <v>275</v>
      </c>
      <c r="H2664" s="6">
        <f>SUBTOTAL(9,H2649:H2663)</f>
        <v>0</v>
      </c>
    </row>
    <row r="2665" spans="1:8" hidden="1" x14ac:dyDescent="0.3">
      <c r="A2665" s="9">
        <v>45188</v>
      </c>
      <c r="B2665" t="s">
        <v>12</v>
      </c>
      <c r="C2665" t="s">
        <v>9</v>
      </c>
      <c r="D2665" t="s">
        <v>24</v>
      </c>
      <c r="E2665" t="s">
        <v>25</v>
      </c>
      <c r="F2665">
        <v>1760</v>
      </c>
      <c r="G2665">
        <v>45</v>
      </c>
      <c r="H2665" s="6">
        <f t="shared" ref="H2665:H2671" si="205">F2665*G2665/1000</f>
        <v>79.2</v>
      </c>
    </row>
    <row r="2666" spans="1:8" hidden="1" x14ac:dyDescent="0.3">
      <c r="A2666" s="9">
        <v>45188</v>
      </c>
      <c r="B2666" t="s">
        <v>12</v>
      </c>
      <c r="C2666" t="s">
        <v>9</v>
      </c>
      <c r="D2666" t="s">
        <v>24</v>
      </c>
      <c r="E2666" t="s">
        <v>34</v>
      </c>
      <c r="F2666">
        <v>1670</v>
      </c>
      <c r="G2666">
        <v>100</v>
      </c>
      <c r="H2666" s="6">
        <f t="shared" si="205"/>
        <v>167</v>
      </c>
    </row>
    <row r="2667" spans="1:8" hidden="1" x14ac:dyDescent="0.3">
      <c r="A2667" s="9">
        <v>45188</v>
      </c>
      <c r="B2667" t="s">
        <v>8</v>
      </c>
      <c r="C2667" t="s">
        <v>15</v>
      </c>
      <c r="D2667" t="s">
        <v>18</v>
      </c>
      <c r="E2667" t="s">
        <v>31</v>
      </c>
      <c r="F2667">
        <v>715</v>
      </c>
      <c r="G2667">
        <v>95</v>
      </c>
      <c r="H2667" s="6">
        <f t="shared" si="205"/>
        <v>67.924999999999997</v>
      </c>
    </row>
    <row r="2668" spans="1:8" hidden="1" x14ac:dyDescent="0.3">
      <c r="A2668" s="9">
        <v>45188</v>
      </c>
      <c r="B2668" t="s">
        <v>12</v>
      </c>
      <c r="C2668" t="s">
        <v>15</v>
      </c>
      <c r="D2668" t="s">
        <v>24</v>
      </c>
      <c r="E2668" t="s">
        <v>34</v>
      </c>
      <c r="F2668">
        <v>1670</v>
      </c>
      <c r="G2668">
        <v>68</v>
      </c>
      <c r="H2668" s="6">
        <f t="shared" si="205"/>
        <v>113.56</v>
      </c>
    </row>
    <row r="2669" spans="1:8" hidden="1" x14ac:dyDescent="0.3">
      <c r="A2669" s="9">
        <v>45188</v>
      </c>
      <c r="B2669" t="s">
        <v>12</v>
      </c>
      <c r="C2669" t="s">
        <v>33</v>
      </c>
      <c r="D2669" t="s">
        <v>10</v>
      </c>
      <c r="E2669" t="s">
        <v>11</v>
      </c>
      <c r="F2669">
        <v>705</v>
      </c>
      <c r="G2669">
        <v>18</v>
      </c>
      <c r="H2669" s="6">
        <f t="shared" si="205"/>
        <v>12.69</v>
      </c>
    </row>
    <row r="2670" spans="1:8" hidden="1" x14ac:dyDescent="0.3">
      <c r="A2670" s="9">
        <v>45188</v>
      </c>
      <c r="B2670" t="s">
        <v>17</v>
      </c>
      <c r="C2670" t="s">
        <v>35</v>
      </c>
      <c r="D2670" t="s">
        <v>13</v>
      </c>
      <c r="E2670" t="s">
        <v>38</v>
      </c>
      <c r="F2670">
        <v>2400</v>
      </c>
      <c r="G2670">
        <v>81</v>
      </c>
      <c r="H2670" s="6">
        <f t="shared" si="205"/>
        <v>194.4</v>
      </c>
    </row>
    <row r="2671" spans="1:8" hidden="1" x14ac:dyDescent="0.3">
      <c r="A2671" s="9">
        <v>45188</v>
      </c>
      <c r="B2671" t="s">
        <v>8</v>
      </c>
      <c r="C2671" t="s">
        <v>35</v>
      </c>
      <c r="D2671" t="s">
        <v>24</v>
      </c>
      <c r="E2671" t="s">
        <v>36</v>
      </c>
      <c r="F2671">
        <v>2460</v>
      </c>
      <c r="G2671">
        <v>6</v>
      </c>
      <c r="H2671" s="6">
        <f t="shared" si="205"/>
        <v>14.76</v>
      </c>
    </row>
    <row r="2672" spans="1:8" hidden="1" x14ac:dyDescent="0.3">
      <c r="A2672" s="13" t="s">
        <v>276</v>
      </c>
      <c r="H2672" s="6">
        <f>SUBTOTAL(9,H2665:H2671)</f>
        <v>0</v>
      </c>
    </row>
    <row r="2673" spans="1:8" hidden="1" x14ac:dyDescent="0.3">
      <c r="A2673" s="9">
        <v>45189</v>
      </c>
      <c r="B2673" t="s">
        <v>45</v>
      </c>
      <c r="C2673" t="s">
        <v>20</v>
      </c>
      <c r="D2673" t="s">
        <v>10</v>
      </c>
      <c r="E2673" t="s">
        <v>23</v>
      </c>
      <c r="F2673">
        <v>640</v>
      </c>
      <c r="G2673">
        <v>34</v>
      </c>
      <c r="H2673" s="6">
        <f t="shared" ref="H2673:H2684" si="206">F2673*G2673/1000</f>
        <v>21.76</v>
      </c>
    </row>
    <row r="2674" spans="1:8" hidden="1" x14ac:dyDescent="0.3">
      <c r="A2674" s="9">
        <v>45189</v>
      </c>
      <c r="B2674" t="s">
        <v>8</v>
      </c>
      <c r="C2674" t="s">
        <v>20</v>
      </c>
      <c r="D2674" t="s">
        <v>24</v>
      </c>
      <c r="E2674" t="s">
        <v>30</v>
      </c>
      <c r="F2674">
        <v>2970</v>
      </c>
      <c r="G2674">
        <v>5</v>
      </c>
      <c r="H2674" s="6">
        <f t="shared" si="206"/>
        <v>14.85</v>
      </c>
    </row>
    <row r="2675" spans="1:8" hidden="1" x14ac:dyDescent="0.3">
      <c r="A2675" s="9">
        <v>45189</v>
      </c>
      <c r="B2675" t="s">
        <v>17</v>
      </c>
      <c r="C2675" t="s">
        <v>9</v>
      </c>
      <c r="D2675" t="s">
        <v>10</v>
      </c>
      <c r="E2675" t="s">
        <v>16</v>
      </c>
      <c r="F2675">
        <v>1380</v>
      </c>
      <c r="G2675">
        <v>85</v>
      </c>
      <c r="H2675" s="6">
        <f t="shared" si="206"/>
        <v>117.3</v>
      </c>
    </row>
    <row r="2676" spans="1:8" hidden="1" x14ac:dyDescent="0.3">
      <c r="A2676" s="9">
        <v>45189</v>
      </c>
      <c r="B2676" t="s">
        <v>12</v>
      </c>
      <c r="C2676" t="s">
        <v>9</v>
      </c>
      <c r="D2676" t="s">
        <v>10</v>
      </c>
      <c r="E2676" t="s">
        <v>16</v>
      </c>
      <c r="F2676">
        <v>1380</v>
      </c>
      <c r="G2676">
        <v>96</v>
      </c>
      <c r="H2676" s="6">
        <f t="shared" si="206"/>
        <v>132.47999999999999</v>
      </c>
    </row>
    <row r="2677" spans="1:8" hidden="1" x14ac:dyDescent="0.3">
      <c r="A2677" s="9">
        <v>45189</v>
      </c>
      <c r="B2677" t="s">
        <v>8</v>
      </c>
      <c r="C2677" t="s">
        <v>9</v>
      </c>
      <c r="D2677" t="s">
        <v>13</v>
      </c>
      <c r="E2677" t="s">
        <v>22</v>
      </c>
      <c r="F2677">
        <v>930</v>
      </c>
      <c r="G2677">
        <v>41</v>
      </c>
      <c r="H2677" s="6">
        <f t="shared" si="206"/>
        <v>38.130000000000003</v>
      </c>
    </row>
    <row r="2678" spans="1:8" hidden="1" x14ac:dyDescent="0.3">
      <c r="A2678" s="9">
        <v>45189</v>
      </c>
      <c r="B2678" t="s">
        <v>17</v>
      </c>
      <c r="C2678" t="s">
        <v>26</v>
      </c>
      <c r="D2678" t="s">
        <v>24</v>
      </c>
      <c r="E2678" t="s">
        <v>42</v>
      </c>
      <c r="F2678">
        <v>3205</v>
      </c>
      <c r="G2678">
        <v>23</v>
      </c>
      <c r="H2678" s="6">
        <f t="shared" si="206"/>
        <v>73.715000000000003</v>
      </c>
    </row>
    <row r="2679" spans="1:8" hidden="1" x14ac:dyDescent="0.3">
      <c r="A2679" s="9">
        <v>45189</v>
      </c>
      <c r="B2679" t="s">
        <v>12</v>
      </c>
      <c r="C2679" t="s">
        <v>15</v>
      </c>
      <c r="D2679" t="s">
        <v>10</v>
      </c>
      <c r="E2679" t="s">
        <v>41</v>
      </c>
      <c r="F2679">
        <v>650</v>
      </c>
      <c r="G2679">
        <v>51</v>
      </c>
      <c r="H2679" s="6">
        <f t="shared" si="206"/>
        <v>33.15</v>
      </c>
    </row>
    <row r="2680" spans="1:8" hidden="1" x14ac:dyDescent="0.3">
      <c r="A2680" s="9">
        <v>45189</v>
      </c>
      <c r="B2680" t="s">
        <v>17</v>
      </c>
      <c r="C2680" t="s">
        <v>15</v>
      </c>
      <c r="D2680" t="s">
        <v>10</v>
      </c>
      <c r="E2680" t="s">
        <v>41</v>
      </c>
      <c r="F2680">
        <v>650</v>
      </c>
      <c r="G2680">
        <v>88</v>
      </c>
      <c r="H2680" s="6">
        <f t="shared" si="206"/>
        <v>57.2</v>
      </c>
    </row>
    <row r="2681" spans="1:8" hidden="1" x14ac:dyDescent="0.3">
      <c r="A2681" s="9">
        <v>45189</v>
      </c>
      <c r="B2681" t="s">
        <v>8</v>
      </c>
      <c r="C2681" t="s">
        <v>15</v>
      </c>
      <c r="D2681" t="s">
        <v>13</v>
      </c>
      <c r="E2681" t="s">
        <v>38</v>
      </c>
      <c r="F2681">
        <v>2400</v>
      </c>
      <c r="G2681">
        <v>11</v>
      </c>
      <c r="H2681" s="6">
        <f t="shared" si="206"/>
        <v>26.4</v>
      </c>
    </row>
    <row r="2682" spans="1:8" hidden="1" x14ac:dyDescent="0.3">
      <c r="A2682" s="9">
        <v>45189</v>
      </c>
      <c r="B2682" t="s">
        <v>45</v>
      </c>
      <c r="C2682" t="s">
        <v>33</v>
      </c>
      <c r="D2682" t="s">
        <v>18</v>
      </c>
      <c r="E2682" t="s">
        <v>31</v>
      </c>
      <c r="F2682">
        <v>715</v>
      </c>
      <c r="G2682">
        <v>79</v>
      </c>
      <c r="H2682" s="6">
        <f t="shared" si="206"/>
        <v>56.484999999999999</v>
      </c>
    </row>
    <row r="2683" spans="1:8" hidden="1" x14ac:dyDescent="0.3">
      <c r="A2683" s="9">
        <v>45189</v>
      </c>
      <c r="B2683" t="s">
        <v>12</v>
      </c>
      <c r="C2683" t="s">
        <v>33</v>
      </c>
      <c r="D2683" t="s">
        <v>13</v>
      </c>
      <c r="E2683" t="s">
        <v>29</v>
      </c>
      <c r="F2683">
        <v>1230</v>
      </c>
      <c r="G2683">
        <v>50</v>
      </c>
      <c r="H2683" s="6">
        <f t="shared" si="206"/>
        <v>61.5</v>
      </c>
    </row>
    <row r="2684" spans="1:8" hidden="1" x14ac:dyDescent="0.3">
      <c r="A2684" s="9">
        <v>45189</v>
      </c>
      <c r="B2684" t="s">
        <v>17</v>
      </c>
      <c r="C2684" t="s">
        <v>35</v>
      </c>
      <c r="D2684" t="s">
        <v>13</v>
      </c>
      <c r="E2684" t="s">
        <v>44</v>
      </c>
      <c r="F2684">
        <v>2540</v>
      </c>
      <c r="G2684">
        <v>55</v>
      </c>
      <c r="H2684" s="6">
        <f t="shared" si="206"/>
        <v>139.69999999999999</v>
      </c>
    </row>
    <row r="2685" spans="1:8" hidden="1" x14ac:dyDescent="0.3">
      <c r="A2685" s="13" t="s">
        <v>277</v>
      </c>
      <c r="H2685" s="6">
        <f>SUBTOTAL(9,H2673:H2684)</f>
        <v>0</v>
      </c>
    </row>
    <row r="2686" spans="1:8" hidden="1" x14ac:dyDescent="0.3">
      <c r="A2686" s="9">
        <v>45190</v>
      </c>
      <c r="B2686" t="s">
        <v>12</v>
      </c>
      <c r="C2686" t="s">
        <v>20</v>
      </c>
      <c r="D2686" t="s">
        <v>10</v>
      </c>
      <c r="E2686" t="s">
        <v>16</v>
      </c>
      <c r="F2686">
        <v>1380</v>
      </c>
      <c r="G2686">
        <v>43</v>
      </c>
      <c r="H2686" s="6">
        <f t="shared" ref="H2686:H2700" si="207">F2686*G2686/1000</f>
        <v>59.34</v>
      </c>
    </row>
    <row r="2687" spans="1:8" hidden="1" x14ac:dyDescent="0.3">
      <c r="A2687" s="9">
        <v>45190</v>
      </c>
      <c r="B2687" t="s">
        <v>17</v>
      </c>
      <c r="C2687" t="s">
        <v>20</v>
      </c>
      <c r="D2687" t="s">
        <v>18</v>
      </c>
      <c r="E2687" t="s">
        <v>19</v>
      </c>
      <c r="F2687">
        <v>325</v>
      </c>
      <c r="G2687">
        <v>45</v>
      </c>
      <c r="H2687" s="6">
        <f t="shared" si="207"/>
        <v>14.625</v>
      </c>
    </row>
    <row r="2688" spans="1:8" hidden="1" x14ac:dyDescent="0.3">
      <c r="A2688" s="9">
        <v>45190</v>
      </c>
      <c r="B2688" t="s">
        <v>12</v>
      </c>
      <c r="C2688" t="s">
        <v>20</v>
      </c>
      <c r="D2688" t="s">
        <v>13</v>
      </c>
      <c r="E2688" t="s">
        <v>14</v>
      </c>
      <c r="F2688">
        <v>1320</v>
      </c>
      <c r="G2688">
        <v>17</v>
      </c>
      <c r="H2688" s="6">
        <f t="shared" si="207"/>
        <v>22.44</v>
      </c>
    </row>
    <row r="2689" spans="1:8" hidden="1" x14ac:dyDescent="0.3">
      <c r="A2689" s="9">
        <v>45190</v>
      </c>
      <c r="B2689" t="s">
        <v>12</v>
      </c>
      <c r="C2689" t="s">
        <v>20</v>
      </c>
      <c r="D2689" t="s">
        <v>13</v>
      </c>
      <c r="E2689" t="s">
        <v>44</v>
      </c>
      <c r="F2689">
        <v>2540</v>
      </c>
      <c r="G2689">
        <v>52</v>
      </c>
      <c r="H2689" s="6">
        <f t="shared" si="207"/>
        <v>132.08000000000001</v>
      </c>
    </row>
    <row r="2690" spans="1:8" hidden="1" x14ac:dyDescent="0.3">
      <c r="A2690" s="9">
        <v>45190</v>
      </c>
      <c r="B2690" t="s">
        <v>17</v>
      </c>
      <c r="C2690" t="s">
        <v>9</v>
      </c>
      <c r="D2690" t="s">
        <v>10</v>
      </c>
      <c r="E2690" t="s">
        <v>11</v>
      </c>
      <c r="F2690">
        <v>705</v>
      </c>
      <c r="G2690">
        <v>40</v>
      </c>
      <c r="H2690" s="6">
        <f t="shared" si="207"/>
        <v>28.2</v>
      </c>
    </row>
    <row r="2691" spans="1:8" hidden="1" x14ac:dyDescent="0.3">
      <c r="A2691" s="9">
        <v>45190</v>
      </c>
      <c r="B2691" t="s">
        <v>45</v>
      </c>
      <c r="C2691" t="s">
        <v>9</v>
      </c>
      <c r="D2691" t="s">
        <v>13</v>
      </c>
      <c r="E2691" t="s">
        <v>44</v>
      </c>
      <c r="F2691">
        <v>2540</v>
      </c>
      <c r="G2691">
        <v>56</v>
      </c>
      <c r="H2691" s="6">
        <f t="shared" si="207"/>
        <v>142.24</v>
      </c>
    </row>
    <row r="2692" spans="1:8" hidden="1" x14ac:dyDescent="0.3">
      <c r="A2692" s="9">
        <v>45190</v>
      </c>
      <c r="B2692" t="s">
        <v>17</v>
      </c>
      <c r="C2692" t="s">
        <v>9</v>
      </c>
      <c r="D2692" t="s">
        <v>13</v>
      </c>
      <c r="E2692" t="s">
        <v>43</v>
      </c>
      <c r="F2692">
        <v>1420</v>
      </c>
      <c r="G2692">
        <v>92</v>
      </c>
      <c r="H2692" s="6">
        <f t="shared" si="207"/>
        <v>130.63999999999999</v>
      </c>
    </row>
    <row r="2693" spans="1:8" hidden="1" x14ac:dyDescent="0.3">
      <c r="A2693" s="9">
        <v>45190</v>
      </c>
      <c r="B2693" t="s">
        <v>17</v>
      </c>
      <c r="C2693" t="s">
        <v>9</v>
      </c>
      <c r="D2693" t="s">
        <v>13</v>
      </c>
      <c r="E2693" t="s">
        <v>38</v>
      </c>
      <c r="F2693">
        <v>2400</v>
      </c>
      <c r="G2693">
        <v>99</v>
      </c>
      <c r="H2693" s="6">
        <f t="shared" si="207"/>
        <v>237.6</v>
      </c>
    </row>
    <row r="2694" spans="1:8" hidden="1" x14ac:dyDescent="0.3">
      <c r="A2694" s="9">
        <v>45190</v>
      </c>
      <c r="B2694" t="s">
        <v>17</v>
      </c>
      <c r="C2694" t="s">
        <v>15</v>
      </c>
      <c r="D2694" t="s">
        <v>10</v>
      </c>
      <c r="E2694" t="s">
        <v>23</v>
      </c>
      <c r="F2694">
        <v>640</v>
      </c>
      <c r="G2694">
        <v>84</v>
      </c>
      <c r="H2694" s="6">
        <f t="shared" si="207"/>
        <v>53.76</v>
      </c>
    </row>
    <row r="2695" spans="1:8" hidden="1" x14ac:dyDescent="0.3">
      <c r="A2695" s="9">
        <v>45190</v>
      </c>
      <c r="B2695" t="s">
        <v>8</v>
      </c>
      <c r="C2695" t="s">
        <v>15</v>
      </c>
      <c r="D2695" t="s">
        <v>13</v>
      </c>
      <c r="E2695" t="s">
        <v>22</v>
      </c>
      <c r="F2695">
        <v>930</v>
      </c>
      <c r="G2695">
        <v>83</v>
      </c>
      <c r="H2695" s="6">
        <f t="shared" si="207"/>
        <v>77.19</v>
      </c>
    </row>
    <row r="2696" spans="1:8" hidden="1" x14ac:dyDescent="0.3">
      <c r="A2696" s="9">
        <v>45190</v>
      </c>
      <c r="B2696" t="s">
        <v>8</v>
      </c>
      <c r="C2696" t="s">
        <v>15</v>
      </c>
      <c r="D2696" t="s">
        <v>24</v>
      </c>
      <c r="E2696" t="s">
        <v>25</v>
      </c>
      <c r="F2696">
        <v>1760</v>
      </c>
      <c r="G2696">
        <v>30</v>
      </c>
      <c r="H2696" s="6">
        <f t="shared" si="207"/>
        <v>52.8</v>
      </c>
    </row>
    <row r="2697" spans="1:8" hidden="1" x14ac:dyDescent="0.3">
      <c r="A2697" s="9">
        <v>45190</v>
      </c>
      <c r="B2697" t="s">
        <v>17</v>
      </c>
      <c r="C2697" t="s">
        <v>33</v>
      </c>
      <c r="D2697" t="s">
        <v>18</v>
      </c>
      <c r="E2697" t="s">
        <v>28</v>
      </c>
      <c r="F2697">
        <v>690</v>
      </c>
      <c r="G2697">
        <v>9</v>
      </c>
      <c r="H2697" s="6">
        <f t="shared" si="207"/>
        <v>6.21</v>
      </c>
    </row>
    <row r="2698" spans="1:8" hidden="1" x14ac:dyDescent="0.3">
      <c r="A2698" s="9">
        <v>45190</v>
      </c>
      <c r="B2698" t="s">
        <v>12</v>
      </c>
      <c r="C2698" t="s">
        <v>33</v>
      </c>
      <c r="D2698" t="s">
        <v>24</v>
      </c>
      <c r="E2698" t="s">
        <v>32</v>
      </c>
      <c r="F2698">
        <v>1505</v>
      </c>
      <c r="G2698">
        <v>47</v>
      </c>
      <c r="H2698" s="6">
        <f t="shared" si="207"/>
        <v>70.734999999999999</v>
      </c>
    </row>
    <row r="2699" spans="1:8" hidden="1" x14ac:dyDescent="0.3">
      <c r="A2699" s="9">
        <v>45190</v>
      </c>
      <c r="B2699" t="s">
        <v>17</v>
      </c>
      <c r="C2699" t="s">
        <v>35</v>
      </c>
      <c r="D2699" t="s">
        <v>10</v>
      </c>
      <c r="E2699" t="s">
        <v>40</v>
      </c>
      <c r="F2699">
        <v>540</v>
      </c>
      <c r="G2699">
        <v>16</v>
      </c>
      <c r="H2699" s="6">
        <f t="shared" si="207"/>
        <v>8.64</v>
      </c>
    </row>
    <row r="2700" spans="1:8" hidden="1" x14ac:dyDescent="0.3">
      <c r="A2700" s="9">
        <v>45190</v>
      </c>
      <c r="B2700" t="s">
        <v>45</v>
      </c>
      <c r="C2700" t="s">
        <v>35</v>
      </c>
      <c r="D2700" t="s">
        <v>24</v>
      </c>
      <c r="E2700" t="s">
        <v>34</v>
      </c>
      <c r="F2700">
        <v>1670</v>
      </c>
      <c r="G2700">
        <v>29</v>
      </c>
      <c r="H2700" s="6">
        <f t="shared" si="207"/>
        <v>48.43</v>
      </c>
    </row>
    <row r="2701" spans="1:8" hidden="1" x14ac:dyDescent="0.3">
      <c r="A2701" s="13" t="s">
        <v>278</v>
      </c>
      <c r="H2701" s="6">
        <f>SUBTOTAL(9,H2686:H2700)</f>
        <v>0</v>
      </c>
    </row>
    <row r="2702" spans="1:8" hidden="1" x14ac:dyDescent="0.3">
      <c r="A2702" s="9">
        <v>45191</v>
      </c>
      <c r="B2702" t="s">
        <v>12</v>
      </c>
      <c r="C2702" t="s">
        <v>20</v>
      </c>
      <c r="D2702" t="s">
        <v>24</v>
      </c>
      <c r="E2702" t="s">
        <v>32</v>
      </c>
      <c r="F2702">
        <v>1505</v>
      </c>
      <c r="G2702">
        <v>77</v>
      </c>
      <c r="H2702" s="6">
        <f t="shared" ref="H2702:H2714" si="208">F2702*G2702/1000</f>
        <v>115.88500000000001</v>
      </c>
    </row>
    <row r="2703" spans="1:8" hidden="1" x14ac:dyDescent="0.3">
      <c r="A2703" s="9">
        <v>45191</v>
      </c>
      <c r="B2703" t="s">
        <v>17</v>
      </c>
      <c r="C2703" t="s">
        <v>9</v>
      </c>
      <c r="D2703" t="s">
        <v>10</v>
      </c>
      <c r="E2703" t="s">
        <v>40</v>
      </c>
      <c r="F2703">
        <v>540</v>
      </c>
      <c r="G2703">
        <v>76</v>
      </c>
      <c r="H2703" s="6">
        <f t="shared" si="208"/>
        <v>41.04</v>
      </c>
    </row>
    <row r="2704" spans="1:8" hidden="1" x14ac:dyDescent="0.3">
      <c r="A2704" s="9">
        <v>45191</v>
      </c>
      <c r="B2704" t="s">
        <v>17</v>
      </c>
      <c r="C2704" t="s">
        <v>9</v>
      </c>
      <c r="D2704" t="s">
        <v>10</v>
      </c>
      <c r="E2704" t="s">
        <v>11</v>
      </c>
      <c r="F2704">
        <v>705</v>
      </c>
      <c r="G2704">
        <v>60</v>
      </c>
      <c r="H2704" s="6">
        <f t="shared" si="208"/>
        <v>42.3</v>
      </c>
    </row>
    <row r="2705" spans="1:8" hidden="1" x14ac:dyDescent="0.3">
      <c r="A2705" s="9">
        <v>45191</v>
      </c>
      <c r="B2705" t="s">
        <v>45</v>
      </c>
      <c r="C2705" t="s">
        <v>9</v>
      </c>
      <c r="D2705" t="s">
        <v>13</v>
      </c>
      <c r="E2705" t="s">
        <v>38</v>
      </c>
      <c r="F2705">
        <v>2400</v>
      </c>
      <c r="G2705">
        <v>93</v>
      </c>
      <c r="H2705" s="6">
        <f t="shared" si="208"/>
        <v>223.2</v>
      </c>
    </row>
    <row r="2706" spans="1:8" hidden="1" x14ac:dyDescent="0.3">
      <c r="A2706" s="9">
        <v>45191</v>
      </c>
      <c r="B2706" t="s">
        <v>17</v>
      </c>
      <c r="C2706" t="s">
        <v>26</v>
      </c>
      <c r="D2706" t="s">
        <v>13</v>
      </c>
      <c r="E2706" t="s">
        <v>22</v>
      </c>
      <c r="F2706">
        <v>930</v>
      </c>
      <c r="G2706">
        <v>17</v>
      </c>
      <c r="H2706" s="6">
        <f t="shared" si="208"/>
        <v>15.81</v>
      </c>
    </row>
    <row r="2707" spans="1:8" hidden="1" x14ac:dyDescent="0.3">
      <c r="A2707" s="9">
        <v>45191</v>
      </c>
      <c r="B2707" t="s">
        <v>12</v>
      </c>
      <c r="C2707" t="s">
        <v>26</v>
      </c>
      <c r="D2707" t="s">
        <v>13</v>
      </c>
      <c r="E2707" t="s">
        <v>44</v>
      </c>
      <c r="F2707">
        <v>2540</v>
      </c>
      <c r="G2707">
        <v>14</v>
      </c>
      <c r="H2707" s="6">
        <f t="shared" si="208"/>
        <v>35.56</v>
      </c>
    </row>
    <row r="2708" spans="1:8" hidden="1" x14ac:dyDescent="0.3">
      <c r="A2708" s="9">
        <v>45191</v>
      </c>
      <c r="B2708" t="s">
        <v>12</v>
      </c>
      <c r="C2708" t="s">
        <v>33</v>
      </c>
      <c r="D2708" t="s">
        <v>13</v>
      </c>
      <c r="E2708" t="s">
        <v>43</v>
      </c>
      <c r="F2708">
        <v>1420</v>
      </c>
      <c r="G2708">
        <v>25</v>
      </c>
      <c r="H2708" s="6">
        <f t="shared" si="208"/>
        <v>35.5</v>
      </c>
    </row>
    <row r="2709" spans="1:8" hidden="1" x14ac:dyDescent="0.3">
      <c r="A2709" s="9">
        <v>45191</v>
      </c>
      <c r="B2709" t="s">
        <v>17</v>
      </c>
      <c r="C2709" t="s">
        <v>33</v>
      </c>
      <c r="D2709" t="s">
        <v>13</v>
      </c>
      <c r="E2709" t="s">
        <v>43</v>
      </c>
      <c r="F2709">
        <v>1420</v>
      </c>
      <c r="G2709">
        <v>15</v>
      </c>
      <c r="H2709" s="6">
        <f t="shared" si="208"/>
        <v>21.3</v>
      </c>
    </row>
    <row r="2710" spans="1:8" hidden="1" x14ac:dyDescent="0.3">
      <c r="A2710" s="9">
        <v>45191</v>
      </c>
      <c r="B2710" t="s">
        <v>17</v>
      </c>
      <c r="C2710" t="s">
        <v>33</v>
      </c>
      <c r="D2710" t="s">
        <v>24</v>
      </c>
      <c r="E2710" t="s">
        <v>30</v>
      </c>
      <c r="F2710">
        <v>2970</v>
      </c>
      <c r="G2710">
        <v>72</v>
      </c>
      <c r="H2710" s="6">
        <f t="shared" si="208"/>
        <v>213.84</v>
      </c>
    </row>
    <row r="2711" spans="1:8" hidden="1" x14ac:dyDescent="0.3">
      <c r="A2711" s="9">
        <v>45191</v>
      </c>
      <c r="B2711" t="s">
        <v>8</v>
      </c>
      <c r="C2711" t="s">
        <v>35</v>
      </c>
      <c r="D2711" t="s">
        <v>10</v>
      </c>
      <c r="E2711" t="s">
        <v>41</v>
      </c>
      <c r="F2711">
        <v>650</v>
      </c>
      <c r="G2711">
        <v>35</v>
      </c>
      <c r="H2711" s="6">
        <f t="shared" si="208"/>
        <v>22.75</v>
      </c>
    </row>
    <row r="2712" spans="1:8" hidden="1" x14ac:dyDescent="0.3">
      <c r="A2712" s="9">
        <v>45191</v>
      </c>
      <c r="B2712" t="s">
        <v>45</v>
      </c>
      <c r="C2712" t="s">
        <v>35</v>
      </c>
      <c r="D2712" t="s">
        <v>18</v>
      </c>
      <c r="E2712" t="s">
        <v>28</v>
      </c>
      <c r="F2712">
        <v>690</v>
      </c>
      <c r="G2712">
        <v>57</v>
      </c>
      <c r="H2712" s="6">
        <f t="shared" si="208"/>
        <v>39.33</v>
      </c>
    </row>
    <row r="2713" spans="1:8" hidden="1" x14ac:dyDescent="0.3">
      <c r="A2713" s="9">
        <v>45191</v>
      </c>
      <c r="B2713" t="s">
        <v>45</v>
      </c>
      <c r="C2713" t="s">
        <v>35</v>
      </c>
      <c r="D2713" t="s">
        <v>18</v>
      </c>
      <c r="E2713" t="s">
        <v>19</v>
      </c>
      <c r="F2713">
        <v>325</v>
      </c>
      <c r="G2713">
        <v>42</v>
      </c>
      <c r="H2713" s="6">
        <f t="shared" si="208"/>
        <v>13.65</v>
      </c>
    </row>
    <row r="2714" spans="1:8" hidden="1" x14ac:dyDescent="0.3">
      <c r="A2714" s="9">
        <v>45191</v>
      </c>
      <c r="B2714" t="s">
        <v>45</v>
      </c>
      <c r="C2714" t="s">
        <v>35</v>
      </c>
      <c r="D2714" t="s">
        <v>13</v>
      </c>
      <c r="E2714" t="s">
        <v>14</v>
      </c>
      <c r="F2714">
        <v>1320</v>
      </c>
      <c r="G2714">
        <v>72</v>
      </c>
      <c r="H2714" s="6">
        <f t="shared" si="208"/>
        <v>95.04</v>
      </c>
    </row>
    <row r="2715" spans="1:8" hidden="1" x14ac:dyDescent="0.3">
      <c r="A2715" s="13" t="s">
        <v>279</v>
      </c>
      <c r="H2715" s="6">
        <f>SUBTOTAL(9,H2702:H2714)</f>
        <v>0</v>
      </c>
    </row>
    <row r="2716" spans="1:8" hidden="1" x14ac:dyDescent="0.3">
      <c r="A2716" s="9">
        <v>45192</v>
      </c>
      <c r="B2716" t="s">
        <v>8</v>
      </c>
      <c r="C2716" t="s">
        <v>20</v>
      </c>
      <c r="D2716" t="s">
        <v>10</v>
      </c>
      <c r="E2716" t="s">
        <v>16</v>
      </c>
      <c r="F2716">
        <v>1380</v>
      </c>
      <c r="G2716">
        <v>83</v>
      </c>
      <c r="H2716" s="6">
        <f t="shared" ref="H2716:H2726" si="209">F2716*G2716/1000</f>
        <v>114.54</v>
      </c>
    </row>
    <row r="2717" spans="1:8" hidden="1" x14ac:dyDescent="0.3">
      <c r="A2717" s="9">
        <v>45192</v>
      </c>
      <c r="B2717" t="s">
        <v>8</v>
      </c>
      <c r="C2717" t="s">
        <v>20</v>
      </c>
      <c r="D2717" t="s">
        <v>18</v>
      </c>
      <c r="E2717" t="s">
        <v>37</v>
      </c>
      <c r="F2717">
        <v>890</v>
      </c>
      <c r="G2717">
        <v>30</v>
      </c>
      <c r="H2717" s="6">
        <f t="shared" si="209"/>
        <v>26.7</v>
      </c>
    </row>
    <row r="2718" spans="1:8" hidden="1" x14ac:dyDescent="0.3">
      <c r="A2718" s="9">
        <v>45192</v>
      </c>
      <c r="B2718" t="s">
        <v>17</v>
      </c>
      <c r="C2718" t="s">
        <v>20</v>
      </c>
      <c r="D2718" t="s">
        <v>24</v>
      </c>
      <c r="E2718" t="s">
        <v>42</v>
      </c>
      <c r="F2718">
        <v>3205</v>
      </c>
      <c r="G2718">
        <v>43</v>
      </c>
      <c r="H2718" s="6">
        <f t="shared" si="209"/>
        <v>137.815</v>
      </c>
    </row>
    <row r="2719" spans="1:8" hidden="1" x14ac:dyDescent="0.3">
      <c r="A2719" s="9">
        <v>45192</v>
      </c>
      <c r="B2719" t="s">
        <v>8</v>
      </c>
      <c r="C2719" t="s">
        <v>20</v>
      </c>
      <c r="D2719" t="s">
        <v>24</v>
      </c>
      <c r="E2719" t="s">
        <v>42</v>
      </c>
      <c r="F2719">
        <v>3205</v>
      </c>
      <c r="G2719">
        <v>17</v>
      </c>
      <c r="H2719" s="6">
        <f t="shared" si="209"/>
        <v>54.484999999999999</v>
      </c>
    </row>
    <row r="2720" spans="1:8" hidden="1" x14ac:dyDescent="0.3">
      <c r="A2720" s="9">
        <v>45192</v>
      </c>
      <c r="B2720" t="s">
        <v>45</v>
      </c>
      <c r="C2720" t="s">
        <v>9</v>
      </c>
      <c r="D2720" t="s">
        <v>24</v>
      </c>
      <c r="E2720" t="s">
        <v>36</v>
      </c>
      <c r="F2720">
        <v>2460</v>
      </c>
      <c r="G2720">
        <v>8</v>
      </c>
      <c r="H2720" s="6">
        <f t="shared" si="209"/>
        <v>19.68</v>
      </c>
    </row>
    <row r="2721" spans="1:8" hidden="1" x14ac:dyDescent="0.3">
      <c r="A2721" s="9">
        <v>45192</v>
      </c>
      <c r="B2721" t="s">
        <v>12</v>
      </c>
      <c r="C2721" t="s">
        <v>26</v>
      </c>
      <c r="D2721" t="s">
        <v>10</v>
      </c>
      <c r="E2721" t="s">
        <v>39</v>
      </c>
      <c r="F2721">
        <v>650</v>
      </c>
      <c r="G2721">
        <v>71</v>
      </c>
      <c r="H2721" s="6">
        <f t="shared" si="209"/>
        <v>46.15</v>
      </c>
    </row>
    <row r="2722" spans="1:8" hidden="1" x14ac:dyDescent="0.3">
      <c r="A2722" s="9">
        <v>45192</v>
      </c>
      <c r="B2722" t="s">
        <v>12</v>
      </c>
      <c r="C2722" t="s">
        <v>26</v>
      </c>
      <c r="D2722" t="s">
        <v>18</v>
      </c>
      <c r="E2722" t="s">
        <v>31</v>
      </c>
      <c r="F2722">
        <v>715</v>
      </c>
      <c r="G2722">
        <v>88</v>
      </c>
      <c r="H2722" s="6">
        <f t="shared" si="209"/>
        <v>62.92</v>
      </c>
    </row>
    <row r="2723" spans="1:8" hidden="1" x14ac:dyDescent="0.3">
      <c r="A2723" s="9">
        <v>45192</v>
      </c>
      <c r="B2723" t="s">
        <v>45</v>
      </c>
      <c r="C2723" t="s">
        <v>15</v>
      </c>
      <c r="D2723" t="s">
        <v>10</v>
      </c>
      <c r="E2723" t="s">
        <v>40</v>
      </c>
      <c r="F2723">
        <v>540</v>
      </c>
      <c r="G2723">
        <v>65</v>
      </c>
      <c r="H2723" s="6">
        <f t="shared" si="209"/>
        <v>35.1</v>
      </c>
    </row>
    <row r="2724" spans="1:8" hidden="1" x14ac:dyDescent="0.3">
      <c r="A2724" s="9">
        <v>45192</v>
      </c>
      <c r="B2724" t="s">
        <v>17</v>
      </c>
      <c r="C2724" t="s">
        <v>15</v>
      </c>
      <c r="D2724" t="s">
        <v>18</v>
      </c>
      <c r="E2724" t="s">
        <v>27</v>
      </c>
      <c r="F2724">
        <v>460</v>
      </c>
      <c r="G2724">
        <v>13</v>
      </c>
      <c r="H2724" s="6">
        <f t="shared" si="209"/>
        <v>5.98</v>
      </c>
    </row>
    <row r="2725" spans="1:8" hidden="1" x14ac:dyDescent="0.3">
      <c r="A2725" s="9">
        <v>45192</v>
      </c>
      <c r="B2725" t="s">
        <v>45</v>
      </c>
      <c r="C2725" t="s">
        <v>15</v>
      </c>
      <c r="D2725" t="s">
        <v>13</v>
      </c>
      <c r="E2725" t="s">
        <v>44</v>
      </c>
      <c r="F2725">
        <v>2540</v>
      </c>
      <c r="G2725">
        <v>97</v>
      </c>
      <c r="H2725" s="6">
        <f t="shared" si="209"/>
        <v>246.38</v>
      </c>
    </row>
    <row r="2726" spans="1:8" hidden="1" x14ac:dyDescent="0.3">
      <c r="A2726" s="9">
        <v>45192</v>
      </c>
      <c r="B2726" t="s">
        <v>45</v>
      </c>
      <c r="C2726" t="s">
        <v>33</v>
      </c>
      <c r="D2726" t="s">
        <v>24</v>
      </c>
      <c r="E2726" t="s">
        <v>25</v>
      </c>
      <c r="F2726">
        <v>1760</v>
      </c>
      <c r="G2726">
        <v>41</v>
      </c>
      <c r="H2726" s="6">
        <f t="shared" si="209"/>
        <v>72.16</v>
      </c>
    </row>
    <row r="2727" spans="1:8" hidden="1" x14ac:dyDescent="0.3">
      <c r="A2727" s="13" t="s">
        <v>280</v>
      </c>
      <c r="H2727" s="6">
        <f>SUBTOTAL(9,H2716:H2726)</f>
        <v>0</v>
      </c>
    </row>
    <row r="2728" spans="1:8" hidden="1" x14ac:dyDescent="0.3">
      <c r="A2728" s="9">
        <v>45193</v>
      </c>
      <c r="B2728" t="s">
        <v>12</v>
      </c>
      <c r="C2728" t="s">
        <v>20</v>
      </c>
      <c r="D2728" t="s">
        <v>10</v>
      </c>
      <c r="E2728" t="s">
        <v>23</v>
      </c>
      <c r="F2728">
        <v>640</v>
      </c>
      <c r="G2728">
        <v>57</v>
      </c>
      <c r="H2728" s="6">
        <f t="shared" ref="H2728:H2738" si="210">F2728*G2728/1000</f>
        <v>36.479999999999997</v>
      </c>
    </row>
    <row r="2729" spans="1:8" hidden="1" x14ac:dyDescent="0.3">
      <c r="A2729" s="9">
        <v>45193</v>
      </c>
      <c r="B2729" t="s">
        <v>12</v>
      </c>
      <c r="C2729" t="s">
        <v>9</v>
      </c>
      <c r="D2729" t="s">
        <v>10</v>
      </c>
      <c r="E2729" t="s">
        <v>11</v>
      </c>
      <c r="F2729">
        <v>705</v>
      </c>
      <c r="G2729">
        <v>28</v>
      </c>
      <c r="H2729" s="6">
        <f t="shared" si="210"/>
        <v>19.739999999999998</v>
      </c>
    </row>
    <row r="2730" spans="1:8" hidden="1" x14ac:dyDescent="0.3">
      <c r="A2730" s="9">
        <v>45193</v>
      </c>
      <c r="B2730" t="s">
        <v>45</v>
      </c>
      <c r="C2730" t="s">
        <v>9</v>
      </c>
      <c r="D2730" t="s">
        <v>18</v>
      </c>
      <c r="E2730" t="s">
        <v>19</v>
      </c>
      <c r="F2730">
        <v>325</v>
      </c>
      <c r="G2730">
        <v>17</v>
      </c>
      <c r="H2730" s="6">
        <f t="shared" si="210"/>
        <v>5.5250000000000004</v>
      </c>
    </row>
    <row r="2731" spans="1:8" hidden="1" x14ac:dyDescent="0.3">
      <c r="A2731" s="9">
        <v>45193</v>
      </c>
      <c r="B2731" t="s">
        <v>8</v>
      </c>
      <c r="C2731" t="s">
        <v>15</v>
      </c>
      <c r="D2731" t="s">
        <v>10</v>
      </c>
      <c r="E2731" t="s">
        <v>41</v>
      </c>
      <c r="F2731">
        <v>650</v>
      </c>
      <c r="G2731">
        <v>26</v>
      </c>
      <c r="H2731" s="6">
        <f t="shared" si="210"/>
        <v>16.899999999999999</v>
      </c>
    </row>
    <row r="2732" spans="1:8" hidden="1" x14ac:dyDescent="0.3">
      <c r="A2732" s="9">
        <v>45193</v>
      </c>
      <c r="B2732" t="s">
        <v>17</v>
      </c>
      <c r="C2732" t="s">
        <v>15</v>
      </c>
      <c r="D2732" t="s">
        <v>24</v>
      </c>
      <c r="E2732" t="s">
        <v>25</v>
      </c>
      <c r="F2732">
        <v>1760</v>
      </c>
      <c r="G2732">
        <v>45</v>
      </c>
      <c r="H2732" s="6">
        <f t="shared" si="210"/>
        <v>79.2</v>
      </c>
    </row>
    <row r="2733" spans="1:8" hidden="1" x14ac:dyDescent="0.3">
      <c r="A2733" s="9">
        <v>45193</v>
      </c>
      <c r="B2733" t="s">
        <v>8</v>
      </c>
      <c r="C2733" t="s">
        <v>33</v>
      </c>
      <c r="D2733" t="s">
        <v>10</v>
      </c>
      <c r="E2733" t="s">
        <v>11</v>
      </c>
      <c r="F2733">
        <v>705</v>
      </c>
      <c r="G2733">
        <v>35</v>
      </c>
      <c r="H2733" s="6">
        <f t="shared" si="210"/>
        <v>24.675000000000001</v>
      </c>
    </row>
    <row r="2734" spans="1:8" hidden="1" x14ac:dyDescent="0.3">
      <c r="A2734" s="9">
        <v>45193</v>
      </c>
      <c r="B2734" t="s">
        <v>12</v>
      </c>
      <c r="C2734" t="s">
        <v>33</v>
      </c>
      <c r="D2734" t="s">
        <v>18</v>
      </c>
      <c r="E2734" t="s">
        <v>28</v>
      </c>
      <c r="F2734">
        <v>690</v>
      </c>
      <c r="G2734">
        <v>25</v>
      </c>
      <c r="H2734" s="6">
        <f t="shared" si="210"/>
        <v>17.25</v>
      </c>
    </row>
    <row r="2735" spans="1:8" hidden="1" x14ac:dyDescent="0.3">
      <c r="A2735" s="9">
        <v>45193</v>
      </c>
      <c r="B2735" t="s">
        <v>12</v>
      </c>
      <c r="C2735" t="s">
        <v>35</v>
      </c>
      <c r="D2735" t="s">
        <v>10</v>
      </c>
      <c r="E2735" t="s">
        <v>41</v>
      </c>
      <c r="F2735">
        <v>650</v>
      </c>
      <c r="G2735">
        <v>28</v>
      </c>
      <c r="H2735" s="6">
        <f t="shared" si="210"/>
        <v>18.2</v>
      </c>
    </row>
    <row r="2736" spans="1:8" hidden="1" x14ac:dyDescent="0.3">
      <c r="A2736" s="9">
        <v>45193</v>
      </c>
      <c r="B2736" t="s">
        <v>12</v>
      </c>
      <c r="C2736" t="s">
        <v>35</v>
      </c>
      <c r="D2736" t="s">
        <v>18</v>
      </c>
      <c r="E2736" t="s">
        <v>19</v>
      </c>
      <c r="F2736">
        <v>325</v>
      </c>
      <c r="G2736">
        <v>48</v>
      </c>
      <c r="H2736" s="6">
        <f t="shared" si="210"/>
        <v>15.6</v>
      </c>
    </row>
    <row r="2737" spans="1:8" hidden="1" x14ac:dyDescent="0.3">
      <c r="A2737" s="9">
        <v>45193</v>
      </c>
      <c r="B2737" t="s">
        <v>45</v>
      </c>
      <c r="C2737" t="s">
        <v>35</v>
      </c>
      <c r="D2737" t="s">
        <v>18</v>
      </c>
      <c r="E2737" t="s">
        <v>19</v>
      </c>
      <c r="F2737">
        <v>325</v>
      </c>
      <c r="G2737">
        <v>32</v>
      </c>
      <c r="H2737" s="6">
        <f t="shared" si="210"/>
        <v>10.4</v>
      </c>
    </row>
    <row r="2738" spans="1:8" hidden="1" x14ac:dyDescent="0.3">
      <c r="A2738" s="9">
        <v>45193</v>
      </c>
      <c r="B2738" t="s">
        <v>8</v>
      </c>
      <c r="C2738" t="s">
        <v>35</v>
      </c>
      <c r="D2738" t="s">
        <v>24</v>
      </c>
      <c r="E2738" t="s">
        <v>32</v>
      </c>
      <c r="F2738">
        <v>1505</v>
      </c>
      <c r="G2738">
        <v>93</v>
      </c>
      <c r="H2738" s="6">
        <f t="shared" si="210"/>
        <v>139.965</v>
      </c>
    </row>
    <row r="2739" spans="1:8" hidden="1" x14ac:dyDescent="0.3">
      <c r="A2739" s="13" t="s">
        <v>281</v>
      </c>
      <c r="H2739" s="6">
        <f>SUBTOTAL(9,H2728:H2738)</f>
        <v>0</v>
      </c>
    </row>
    <row r="2740" spans="1:8" hidden="1" x14ac:dyDescent="0.3">
      <c r="A2740" s="9">
        <v>45194</v>
      </c>
      <c r="B2740" t="s">
        <v>8</v>
      </c>
      <c r="C2740" t="s">
        <v>15</v>
      </c>
      <c r="D2740" t="s">
        <v>10</v>
      </c>
      <c r="E2740" t="s">
        <v>41</v>
      </c>
      <c r="F2740">
        <v>650</v>
      </c>
      <c r="G2740">
        <v>26</v>
      </c>
      <c r="H2740" s="6">
        <f>F2740*G2740/1000</f>
        <v>16.899999999999999</v>
      </c>
    </row>
    <row r="2741" spans="1:8" hidden="1" x14ac:dyDescent="0.3">
      <c r="A2741" s="9">
        <v>45194</v>
      </c>
      <c r="B2741" t="s">
        <v>12</v>
      </c>
      <c r="C2741" t="s">
        <v>15</v>
      </c>
      <c r="D2741" t="s">
        <v>13</v>
      </c>
      <c r="E2741" t="s">
        <v>29</v>
      </c>
      <c r="F2741">
        <v>1230</v>
      </c>
      <c r="G2741">
        <v>40</v>
      </c>
      <c r="H2741" s="6">
        <f>F2741*G2741/1000</f>
        <v>49.2</v>
      </c>
    </row>
    <row r="2742" spans="1:8" hidden="1" x14ac:dyDescent="0.3">
      <c r="A2742" s="9">
        <v>45194</v>
      </c>
      <c r="B2742" t="s">
        <v>12</v>
      </c>
      <c r="C2742" t="s">
        <v>15</v>
      </c>
      <c r="D2742" t="s">
        <v>24</v>
      </c>
      <c r="E2742" t="s">
        <v>36</v>
      </c>
      <c r="F2742">
        <v>2460</v>
      </c>
      <c r="G2742">
        <v>92</v>
      </c>
      <c r="H2742" s="6">
        <f>F2742*G2742/1000</f>
        <v>226.32</v>
      </c>
    </row>
    <row r="2743" spans="1:8" hidden="1" x14ac:dyDescent="0.3">
      <c r="A2743" s="13" t="s">
        <v>282</v>
      </c>
      <c r="H2743" s="6">
        <f>SUBTOTAL(9,H2740:H2742)</f>
        <v>0</v>
      </c>
    </row>
    <row r="2744" spans="1:8" hidden="1" x14ac:dyDescent="0.3">
      <c r="A2744" s="9">
        <v>45195</v>
      </c>
      <c r="B2744" t="s">
        <v>17</v>
      </c>
      <c r="C2744" t="s">
        <v>20</v>
      </c>
      <c r="D2744" t="s">
        <v>24</v>
      </c>
      <c r="E2744" t="s">
        <v>34</v>
      </c>
      <c r="F2744">
        <v>1670</v>
      </c>
      <c r="G2744">
        <v>9</v>
      </c>
      <c r="H2744" s="6">
        <f t="shared" ref="H2744:H2750" si="211">F2744*G2744/1000</f>
        <v>15.03</v>
      </c>
    </row>
    <row r="2745" spans="1:8" hidden="1" x14ac:dyDescent="0.3">
      <c r="A2745" s="9">
        <v>45195</v>
      </c>
      <c r="B2745" t="s">
        <v>8</v>
      </c>
      <c r="C2745" t="s">
        <v>15</v>
      </c>
      <c r="D2745" t="s">
        <v>24</v>
      </c>
      <c r="E2745" t="s">
        <v>36</v>
      </c>
      <c r="F2745">
        <v>2460</v>
      </c>
      <c r="G2745">
        <v>53</v>
      </c>
      <c r="H2745" s="6">
        <f t="shared" si="211"/>
        <v>130.38</v>
      </c>
    </row>
    <row r="2746" spans="1:8" hidden="1" x14ac:dyDescent="0.3">
      <c r="A2746" s="9">
        <v>45195</v>
      </c>
      <c r="B2746" t="s">
        <v>45</v>
      </c>
      <c r="C2746" t="s">
        <v>33</v>
      </c>
      <c r="D2746" t="s">
        <v>10</v>
      </c>
      <c r="E2746" t="s">
        <v>41</v>
      </c>
      <c r="F2746">
        <v>650</v>
      </c>
      <c r="G2746">
        <v>82</v>
      </c>
      <c r="H2746" s="6">
        <f t="shared" si="211"/>
        <v>53.3</v>
      </c>
    </row>
    <row r="2747" spans="1:8" hidden="1" x14ac:dyDescent="0.3">
      <c r="A2747" s="9">
        <v>45195</v>
      </c>
      <c r="B2747" t="s">
        <v>45</v>
      </c>
      <c r="C2747" t="s">
        <v>33</v>
      </c>
      <c r="D2747" t="s">
        <v>13</v>
      </c>
      <c r="E2747" t="s">
        <v>38</v>
      </c>
      <c r="F2747">
        <v>2400</v>
      </c>
      <c r="G2747">
        <v>43</v>
      </c>
      <c r="H2747" s="6">
        <f t="shared" si="211"/>
        <v>103.2</v>
      </c>
    </row>
    <row r="2748" spans="1:8" hidden="1" x14ac:dyDescent="0.3">
      <c r="A2748" s="9">
        <v>45195</v>
      </c>
      <c r="B2748" t="s">
        <v>12</v>
      </c>
      <c r="C2748" t="s">
        <v>33</v>
      </c>
      <c r="D2748" t="s">
        <v>24</v>
      </c>
      <c r="E2748" t="s">
        <v>36</v>
      </c>
      <c r="F2748">
        <v>2460</v>
      </c>
      <c r="G2748">
        <v>94</v>
      </c>
      <c r="H2748" s="6">
        <f t="shared" si="211"/>
        <v>231.24</v>
      </c>
    </row>
    <row r="2749" spans="1:8" hidden="1" x14ac:dyDescent="0.3">
      <c r="A2749" s="9">
        <v>45195</v>
      </c>
      <c r="B2749" t="s">
        <v>12</v>
      </c>
      <c r="C2749" t="s">
        <v>35</v>
      </c>
      <c r="D2749" t="s">
        <v>13</v>
      </c>
      <c r="E2749" t="s">
        <v>44</v>
      </c>
      <c r="F2749">
        <v>2540</v>
      </c>
      <c r="G2749">
        <v>8</v>
      </c>
      <c r="H2749" s="6">
        <f t="shared" si="211"/>
        <v>20.32</v>
      </c>
    </row>
    <row r="2750" spans="1:8" hidden="1" x14ac:dyDescent="0.3">
      <c r="A2750" s="9">
        <v>45195</v>
      </c>
      <c r="B2750" t="s">
        <v>12</v>
      </c>
      <c r="C2750" t="s">
        <v>35</v>
      </c>
      <c r="D2750" t="s">
        <v>24</v>
      </c>
      <c r="E2750" t="s">
        <v>30</v>
      </c>
      <c r="F2750">
        <v>2970</v>
      </c>
      <c r="G2750">
        <v>74</v>
      </c>
      <c r="H2750" s="6">
        <f t="shared" si="211"/>
        <v>219.78</v>
      </c>
    </row>
    <row r="2751" spans="1:8" hidden="1" x14ac:dyDescent="0.3">
      <c r="A2751" s="13" t="s">
        <v>283</v>
      </c>
      <c r="H2751" s="6">
        <f>SUBTOTAL(9,H2744:H2750)</f>
        <v>0</v>
      </c>
    </row>
    <row r="2752" spans="1:8" hidden="1" x14ac:dyDescent="0.3">
      <c r="A2752" s="9">
        <v>45196</v>
      </c>
      <c r="B2752" t="s">
        <v>12</v>
      </c>
      <c r="C2752" t="s">
        <v>20</v>
      </c>
      <c r="D2752" t="s">
        <v>10</v>
      </c>
      <c r="E2752" t="s">
        <v>39</v>
      </c>
      <c r="F2752">
        <v>650</v>
      </c>
      <c r="G2752">
        <v>60</v>
      </c>
      <c r="H2752" s="6">
        <f t="shared" ref="H2752:H2758" si="212">F2752*G2752/1000</f>
        <v>39</v>
      </c>
    </row>
    <row r="2753" spans="1:8" hidden="1" x14ac:dyDescent="0.3">
      <c r="A2753" s="9">
        <v>45196</v>
      </c>
      <c r="B2753" t="s">
        <v>12</v>
      </c>
      <c r="C2753" t="s">
        <v>26</v>
      </c>
      <c r="D2753" t="s">
        <v>18</v>
      </c>
      <c r="E2753" t="s">
        <v>27</v>
      </c>
      <c r="F2753">
        <v>460</v>
      </c>
      <c r="G2753">
        <v>39</v>
      </c>
      <c r="H2753" s="6">
        <f t="shared" si="212"/>
        <v>17.940000000000001</v>
      </c>
    </row>
    <row r="2754" spans="1:8" hidden="1" x14ac:dyDescent="0.3">
      <c r="A2754" s="9">
        <v>45196</v>
      </c>
      <c r="B2754" t="s">
        <v>12</v>
      </c>
      <c r="C2754" t="s">
        <v>26</v>
      </c>
      <c r="D2754" t="s">
        <v>13</v>
      </c>
      <c r="E2754" t="s">
        <v>14</v>
      </c>
      <c r="F2754">
        <v>1320</v>
      </c>
      <c r="G2754">
        <v>82</v>
      </c>
      <c r="H2754" s="6">
        <f t="shared" si="212"/>
        <v>108.24</v>
      </c>
    </row>
    <row r="2755" spans="1:8" hidden="1" x14ac:dyDescent="0.3">
      <c r="A2755" s="9">
        <v>45196</v>
      </c>
      <c r="B2755" t="s">
        <v>8</v>
      </c>
      <c r="C2755" t="s">
        <v>15</v>
      </c>
      <c r="D2755" t="s">
        <v>10</v>
      </c>
      <c r="E2755" t="s">
        <v>11</v>
      </c>
      <c r="F2755">
        <v>705</v>
      </c>
      <c r="G2755">
        <v>48</v>
      </c>
      <c r="H2755" s="6">
        <f t="shared" si="212"/>
        <v>33.840000000000003</v>
      </c>
    </row>
    <row r="2756" spans="1:8" hidden="1" x14ac:dyDescent="0.3">
      <c r="A2756" s="9">
        <v>45196</v>
      </c>
      <c r="B2756" t="s">
        <v>17</v>
      </c>
      <c r="C2756" t="s">
        <v>15</v>
      </c>
      <c r="D2756" t="s">
        <v>18</v>
      </c>
      <c r="E2756" t="s">
        <v>31</v>
      </c>
      <c r="F2756">
        <v>715</v>
      </c>
      <c r="G2756">
        <v>46</v>
      </c>
      <c r="H2756" s="6">
        <f t="shared" si="212"/>
        <v>32.89</v>
      </c>
    </row>
    <row r="2757" spans="1:8" hidden="1" x14ac:dyDescent="0.3">
      <c r="A2757" s="9">
        <v>45196</v>
      </c>
      <c r="B2757" t="s">
        <v>12</v>
      </c>
      <c r="C2757" t="s">
        <v>33</v>
      </c>
      <c r="D2757" t="s">
        <v>24</v>
      </c>
      <c r="E2757" t="s">
        <v>42</v>
      </c>
      <c r="F2757">
        <v>3205</v>
      </c>
      <c r="G2757">
        <v>97</v>
      </c>
      <c r="H2757" s="6">
        <f t="shared" si="212"/>
        <v>310.88499999999999</v>
      </c>
    </row>
    <row r="2758" spans="1:8" hidden="1" x14ac:dyDescent="0.3">
      <c r="A2758" s="9">
        <v>45196</v>
      </c>
      <c r="B2758" t="s">
        <v>45</v>
      </c>
      <c r="C2758" t="s">
        <v>35</v>
      </c>
      <c r="D2758" t="s">
        <v>13</v>
      </c>
      <c r="E2758" t="s">
        <v>38</v>
      </c>
      <c r="F2758">
        <v>2400</v>
      </c>
      <c r="G2758">
        <v>96</v>
      </c>
      <c r="H2758" s="6">
        <f t="shared" si="212"/>
        <v>230.4</v>
      </c>
    </row>
    <row r="2759" spans="1:8" hidden="1" x14ac:dyDescent="0.3">
      <c r="A2759" s="13" t="s">
        <v>284</v>
      </c>
      <c r="H2759" s="6">
        <f>SUBTOTAL(9,H2752:H2758)</f>
        <v>0</v>
      </c>
    </row>
    <row r="2760" spans="1:8" hidden="1" x14ac:dyDescent="0.3">
      <c r="A2760" s="9">
        <v>45197</v>
      </c>
      <c r="B2760" t="s">
        <v>17</v>
      </c>
      <c r="C2760" t="s">
        <v>20</v>
      </c>
      <c r="D2760" t="s">
        <v>10</v>
      </c>
      <c r="E2760" t="s">
        <v>40</v>
      </c>
      <c r="F2760">
        <v>540</v>
      </c>
      <c r="G2760">
        <v>17</v>
      </c>
      <c r="H2760" s="6">
        <f t="shared" ref="H2760:H2769" si="213">F2760*G2760/1000</f>
        <v>9.18</v>
      </c>
    </row>
    <row r="2761" spans="1:8" hidden="1" x14ac:dyDescent="0.3">
      <c r="A2761" s="9">
        <v>45197</v>
      </c>
      <c r="B2761" t="s">
        <v>17</v>
      </c>
      <c r="C2761" t="s">
        <v>20</v>
      </c>
      <c r="D2761" t="s">
        <v>10</v>
      </c>
      <c r="E2761" t="s">
        <v>40</v>
      </c>
      <c r="F2761">
        <v>540</v>
      </c>
      <c r="G2761">
        <v>83</v>
      </c>
      <c r="H2761" s="6">
        <f t="shared" si="213"/>
        <v>44.82</v>
      </c>
    </row>
    <row r="2762" spans="1:8" hidden="1" x14ac:dyDescent="0.3">
      <c r="A2762" s="9">
        <v>45197</v>
      </c>
      <c r="B2762" t="s">
        <v>17</v>
      </c>
      <c r="C2762" t="s">
        <v>20</v>
      </c>
      <c r="D2762" t="s">
        <v>18</v>
      </c>
      <c r="E2762" t="s">
        <v>21</v>
      </c>
      <c r="F2762">
        <v>450</v>
      </c>
      <c r="G2762">
        <v>74</v>
      </c>
      <c r="H2762" s="6">
        <f t="shared" si="213"/>
        <v>33.299999999999997</v>
      </c>
    </row>
    <row r="2763" spans="1:8" hidden="1" x14ac:dyDescent="0.3">
      <c r="A2763" s="9">
        <v>45197</v>
      </c>
      <c r="B2763" t="s">
        <v>45</v>
      </c>
      <c r="C2763" t="s">
        <v>9</v>
      </c>
      <c r="D2763" t="s">
        <v>18</v>
      </c>
      <c r="E2763" t="s">
        <v>19</v>
      </c>
      <c r="F2763">
        <v>325</v>
      </c>
      <c r="G2763">
        <v>97</v>
      </c>
      <c r="H2763" s="6">
        <f t="shared" si="213"/>
        <v>31.524999999999999</v>
      </c>
    </row>
    <row r="2764" spans="1:8" hidden="1" x14ac:dyDescent="0.3">
      <c r="A2764" s="9">
        <v>45197</v>
      </c>
      <c r="B2764" t="s">
        <v>12</v>
      </c>
      <c r="C2764" t="s">
        <v>26</v>
      </c>
      <c r="D2764" t="s">
        <v>10</v>
      </c>
      <c r="E2764" t="s">
        <v>11</v>
      </c>
      <c r="F2764">
        <v>705</v>
      </c>
      <c r="G2764">
        <v>29</v>
      </c>
      <c r="H2764" s="6">
        <f t="shared" si="213"/>
        <v>20.445</v>
      </c>
    </row>
    <row r="2765" spans="1:8" hidden="1" x14ac:dyDescent="0.3">
      <c r="A2765" s="9">
        <v>45197</v>
      </c>
      <c r="B2765" t="s">
        <v>12</v>
      </c>
      <c r="C2765" t="s">
        <v>26</v>
      </c>
      <c r="D2765" t="s">
        <v>13</v>
      </c>
      <c r="E2765" t="s">
        <v>43</v>
      </c>
      <c r="F2765">
        <v>1420</v>
      </c>
      <c r="G2765">
        <v>30</v>
      </c>
      <c r="H2765" s="6">
        <f t="shared" si="213"/>
        <v>42.6</v>
      </c>
    </row>
    <row r="2766" spans="1:8" hidden="1" x14ac:dyDescent="0.3">
      <c r="A2766" s="9">
        <v>45197</v>
      </c>
      <c r="B2766" t="s">
        <v>8</v>
      </c>
      <c r="C2766" t="s">
        <v>15</v>
      </c>
      <c r="D2766" t="s">
        <v>13</v>
      </c>
      <c r="E2766" t="s">
        <v>22</v>
      </c>
      <c r="F2766">
        <v>930</v>
      </c>
      <c r="G2766">
        <v>40</v>
      </c>
      <c r="H2766" s="6">
        <f t="shared" si="213"/>
        <v>37.200000000000003</v>
      </c>
    </row>
    <row r="2767" spans="1:8" hidden="1" x14ac:dyDescent="0.3">
      <c r="A2767" s="9">
        <v>45197</v>
      </c>
      <c r="B2767" t="s">
        <v>12</v>
      </c>
      <c r="C2767" t="s">
        <v>33</v>
      </c>
      <c r="D2767" t="s">
        <v>18</v>
      </c>
      <c r="E2767" t="s">
        <v>37</v>
      </c>
      <c r="F2767">
        <v>890</v>
      </c>
      <c r="G2767">
        <v>36</v>
      </c>
      <c r="H2767" s="6">
        <f t="shared" si="213"/>
        <v>32.04</v>
      </c>
    </row>
    <row r="2768" spans="1:8" hidden="1" x14ac:dyDescent="0.3">
      <c r="A2768" s="9">
        <v>45197</v>
      </c>
      <c r="B2768" t="s">
        <v>12</v>
      </c>
      <c r="C2768" t="s">
        <v>33</v>
      </c>
      <c r="D2768" t="s">
        <v>24</v>
      </c>
      <c r="E2768" t="s">
        <v>34</v>
      </c>
      <c r="F2768">
        <v>1670</v>
      </c>
      <c r="G2768">
        <v>22</v>
      </c>
      <c r="H2768" s="6">
        <f t="shared" si="213"/>
        <v>36.74</v>
      </c>
    </row>
    <row r="2769" spans="1:8" hidden="1" x14ac:dyDescent="0.3">
      <c r="A2769" s="9">
        <v>45197</v>
      </c>
      <c r="B2769" t="s">
        <v>17</v>
      </c>
      <c r="C2769" t="s">
        <v>35</v>
      </c>
      <c r="D2769" t="s">
        <v>10</v>
      </c>
      <c r="E2769" t="s">
        <v>39</v>
      </c>
      <c r="F2769">
        <v>650</v>
      </c>
      <c r="G2769">
        <v>67</v>
      </c>
      <c r="H2769" s="6">
        <f t="shared" si="213"/>
        <v>43.55</v>
      </c>
    </row>
    <row r="2770" spans="1:8" hidden="1" x14ac:dyDescent="0.3">
      <c r="A2770" s="13" t="s">
        <v>285</v>
      </c>
      <c r="H2770" s="6">
        <f>SUBTOTAL(9,H2760:H2769)</f>
        <v>0</v>
      </c>
    </row>
    <row r="2771" spans="1:8" hidden="1" x14ac:dyDescent="0.3">
      <c r="A2771" s="9">
        <v>45198</v>
      </c>
      <c r="B2771" t="s">
        <v>8</v>
      </c>
      <c r="C2771" t="s">
        <v>20</v>
      </c>
      <c r="D2771" t="s">
        <v>10</v>
      </c>
      <c r="E2771" t="s">
        <v>16</v>
      </c>
      <c r="F2771">
        <v>1380</v>
      </c>
      <c r="G2771">
        <v>58</v>
      </c>
      <c r="H2771" s="6">
        <f t="shared" ref="H2771:H2778" si="214">F2771*G2771/1000</f>
        <v>80.040000000000006</v>
      </c>
    </row>
    <row r="2772" spans="1:8" hidden="1" x14ac:dyDescent="0.3">
      <c r="A2772" s="9">
        <v>45198</v>
      </c>
      <c r="B2772" t="s">
        <v>12</v>
      </c>
      <c r="C2772" t="s">
        <v>20</v>
      </c>
      <c r="D2772" t="s">
        <v>13</v>
      </c>
      <c r="E2772" t="s">
        <v>29</v>
      </c>
      <c r="F2772">
        <v>1230</v>
      </c>
      <c r="G2772">
        <v>20</v>
      </c>
      <c r="H2772" s="6">
        <f t="shared" si="214"/>
        <v>24.6</v>
      </c>
    </row>
    <row r="2773" spans="1:8" hidden="1" x14ac:dyDescent="0.3">
      <c r="A2773" s="9">
        <v>45198</v>
      </c>
      <c r="B2773" t="s">
        <v>8</v>
      </c>
      <c r="C2773" t="s">
        <v>26</v>
      </c>
      <c r="D2773" t="s">
        <v>24</v>
      </c>
      <c r="E2773" t="s">
        <v>34</v>
      </c>
      <c r="F2773">
        <v>1670</v>
      </c>
      <c r="G2773">
        <v>67</v>
      </c>
      <c r="H2773" s="6">
        <f t="shared" si="214"/>
        <v>111.89</v>
      </c>
    </row>
    <row r="2774" spans="1:8" hidden="1" x14ac:dyDescent="0.3">
      <c r="A2774" s="9">
        <v>45198</v>
      </c>
      <c r="B2774" t="s">
        <v>45</v>
      </c>
      <c r="C2774" t="s">
        <v>15</v>
      </c>
      <c r="D2774" t="s">
        <v>10</v>
      </c>
      <c r="E2774" t="s">
        <v>11</v>
      </c>
      <c r="F2774">
        <v>705</v>
      </c>
      <c r="G2774">
        <v>59</v>
      </c>
      <c r="H2774" s="6">
        <f t="shared" si="214"/>
        <v>41.594999999999999</v>
      </c>
    </row>
    <row r="2775" spans="1:8" hidden="1" x14ac:dyDescent="0.3">
      <c r="A2775" s="9">
        <v>45198</v>
      </c>
      <c r="B2775" t="s">
        <v>12</v>
      </c>
      <c r="C2775" t="s">
        <v>33</v>
      </c>
      <c r="D2775" t="s">
        <v>18</v>
      </c>
      <c r="E2775" t="s">
        <v>19</v>
      </c>
      <c r="F2775">
        <v>325</v>
      </c>
      <c r="G2775">
        <v>52</v>
      </c>
      <c r="H2775" s="6">
        <f t="shared" si="214"/>
        <v>16.899999999999999</v>
      </c>
    </row>
    <row r="2776" spans="1:8" x14ac:dyDescent="0.3">
      <c r="A2776" s="9">
        <v>45198</v>
      </c>
      <c r="B2776" t="s">
        <v>45</v>
      </c>
      <c r="C2776" t="s">
        <v>33</v>
      </c>
      <c r="D2776" t="s">
        <v>13</v>
      </c>
      <c r="E2776" t="s">
        <v>29</v>
      </c>
      <c r="F2776">
        <v>1230</v>
      </c>
      <c r="G2776">
        <v>22</v>
      </c>
      <c r="H2776" s="6">
        <f t="shared" si="214"/>
        <v>27.06</v>
      </c>
    </row>
    <row r="2777" spans="1:8" hidden="1" x14ac:dyDescent="0.3">
      <c r="A2777" s="9">
        <v>45198</v>
      </c>
      <c r="B2777" t="s">
        <v>17</v>
      </c>
      <c r="C2777" t="s">
        <v>33</v>
      </c>
      <c r="D2777" t="s">
        <v>13</v>
      </c>
      <c r="E2777" t="s">
        <v>14</v>
      </c>
      <c r="F2777">
        <v>1320</v>
      </c>
      <c r="G2777">
        <v>5</v>
      </c>
      <c r="H2777" s="6">
        <f t="shared" si="214"/>
        <v>6.6</v>
      </c>
    </row>
    <row r="2778" spans="1:8" hidden="1" x14ac:dyDescent="0.3">
      <c r="A2778" s="9">
        <v>45198</v>
      </c>
      <c r="B2778" t="s">
        <v>45</v>
      </c>
      <c r="C2778" t="s">
        <v>35</v>
      </c>
      <c r="D2778" t="s">
        <v>10</v>
      </c>
      <c r="E2778" t="s">
        <v>41</v>
      </c>
      <c r="F2778">
        <v>650</v>
      </c>
      <c r="G2778">
        <v>25</v>
      </c>
      <c r="H2778" s="6">
        <f t="shared" si="214"/>
        <v>16.25</v>
      </c>
    </row>
    <row r="2779" spans="1:8" hidden="1" x14ac:dyDescent="0.3">
      <c r="A2779" s="13" t="s">
        <v>286</v>
      </c>
      <c r="H2779" s="6">
        <f>SUBTOTAL(9,H2771:H2778)</f>
        <v>27.06</v>
      </c>
    </row>
    <row r="2780" spans="1:8" hidden="1" x14ac:dyDescent="0.3">
      <c r="A2780" s="9">
        <v>45199</v>
      </c>
      <c r="B2780" t="s">
        <v>17</v>
      </c>
      <c r="C2780" t="s">
        <v>20</v>
      </c>
      <c r="D2780" t="s">
        <v>13</v>
      </c>
      <c r="E2780" t="s">
        <v>14</v>
      </c>
      <c r="F2780">
        <v>1320</v>
      </c>
      <c r="G2780">
        <v>11</v>
      </c>
      <c r="H2780" s="6">
        <f t="shared" ref="H2780:H2793" si="215">F2780*G2780/1000</f>
        <v>14.52</v>
      </c>
    </row>
    <row r="2781" spans="1:8" hidden="1" x14ac:dyDescent="0.3">
      <c r="A2781" s="9">
        <v>45199</v>
      </c>
      <c r="B2781" t="s">
        <v>12</v>
      </c>
      <c r="C2781" t="s">
        <v>20</v>
      </c>
      <c r="D2781" t="s">
        <v>13</v>
      </c>
      <c r="E2781" t="s">
        <v>44</v>
      </c>
      <c r="F2781">
        <v>2540</v>
      </c>
      <c r="G2781">
        <v>86</v>
      </c>
      <c r="H2781" s="6">
        <f t="shared" si="215"/>
        <v>218.44</v>
      </c>
    </row>
    <row r="2782" spans="1:8" hidden="1" x14ac:dyDescent="0.3">
      <c r="A2782" s="9">
        <v>45199</v>
      </c>
      <c r="B2782" t="s">
        <v>17</v>
      </c>
      <c r="C2782" t="s">
        <v>20</v>
      </c>
      <c r="D2782" t="s">
        <v>13</v>
      </c>
      <c r="E2782" t="s">
        <v>29</v>
      </c>
      <c r="F2782">
        <v>1230</v>
      </c>
      <c r="G2782">
        <v>42</v>
      </c>
      <c r="H2782" s="6">
        <f t="shared" si="215"/>
        <v>51.66</v>
      </c>
    </row>
    <row r="2783" spans="1:8" hidden="1" x14ac:dyDescent="0.3">
      <c r="A2783" s="9">
        <v>45199</v>
      </c>
      <c r="B2783" t="s">
        <v>17</v>
      </c>
      <c r="C2783" t="s">
        <v>20</v>
      </c>
      <c r="D2783" t="s">
        <v>24</v>
      </c>
      <c r="E2783" t="s">
        <v>34</v>
      </c>
      <c r="F2783">
        <v>1670</v>
      </c>
      <c r="G2783">
        <v>73</v>
      </c>
      <c r="H2783" s="6">
        <f t="shared" si="215"/>
        <v>121.91</v>
      </c>
    </row>
    <row r="2784" spans="1:8" hidden="1" x14ac:dyDescent="0.3">
      <c r="A2784" s="9">
        <v>45199</v>
      </c>
      <c r="B2784" t="s">
        <v>17</v>
      </c>
      <c r="C2784" t="s">
        <v>9</v>
      </c>
      <c r="D2784" t="s">
        <v>10</v>
      </c>
      <c r="E2784" t="s">
        <v>41</v>
      </c>
      <c r="F2784">
        <v>650</v>
      </c>
      <c r="G2784">
        <v>12</v>
      </c>
      <c r="H2784" s="6">
        <f t="shared" si="215"/>
        <v>7.8</v>
      </c>
    </row>
    <row r="2785" spans="1:8" hidden="1" x14ac:dyDescent="0.3">
      <c r="A2785" s="9">
        <v>45199</v>
      </c>
      <c r="B2785" t="s">
        <v>8</v>
      </c>
      <c r="C2785" t="s">
        <v>9</v>
      </c>
      <c r="D2785" t="s">
        <v>18</v>
      </c>
      <c r="E2785" t="s">
        <v>31</v>
      </c>
      <c r="F2785">
        <v>715</v>
      </c>
      <c r="G2785">
        <v>36</v>
      </c>
      <c r="H2785" s="6">
        <f t="shared" si="215"/>
        <v>25.74</v>
      </c>
    </row>
    <row r="2786" spans="1:8" hidden="1" x14ac:dyDescent="0.3">
      <c r="A2786" s="9">
        <v>45199</v>
      </c>
      <c r="B2786" t="s">
        <v>8</v>
      </c>
      <c r="C2786" t="s">
        <v>9</v>
      </c>
      <c r="D2786" t="s">
        <v>18</v>
      </c>
      <c r="E2786" t="s">
        <v>37</v>
      </c>
      <c r="F2786">
        <v>890</v>
      </c>
      <c r="G2786">
        <v>75</v>
      </c>
      <c r="H2786" s="6">
        <f t="shared" si="215"/>
        <v>66.75</v>
      </c>
    </row>
    <row r="2787" spans="1:8" hidden="1" x14ac:dyDescent="0.3">
      <c r="A2787" s="9">
        <v>45199</v>
      </c>
      <c r="B2787" t="s">
        <v>17</v>
      </c>
      <c r="C2787" t="s">
        <v>9</v>
      </c>
      <c r="D2787" t="s">
        <v>24</v>
      </c>
      <c r="E2787" t="s">
        <v>32</v>
      </c>
      <c r="F2787">
        <v>1505</v>
      </c>
      <c r="G2787">
        <v>8</v>
      </c>
      <c r="H2787" s="6">
        <f t="shared" si="215"/>
        <v>12.04</v>
      </c>
    </row>
    <row r="2788" spans="1:8" hidden="1" x14ac:dyDescent="0.3">
      <c r="A2788" s="9">
        <v>45199</v>
      </c>
      <c r="B2788" t="s">
        <v>45</v>
      </c>
      <c r="C2788" t="s">
        <v>26</v>
      </c>
      <c r="D2788" t="s">
        <v>10</v>
      </c>
      <c r="E2788" t="s">
        <v>41</v>
      </c>
      <c r="F2788">
        <v>650</v>
      </c>
      <c r="G2788">
        <v>45</v>
      </c>
      <c r="H2788" s="6">
        <f t="shared" si="215"/>
        <v>29.25</v>
      </c>
    </row>
    <row r="2789" spans="1:8" hidden="1" x14ac:dyDescent="0.3">
      <c r="A2789" s="9">
        <v>45199</v>
      </c>
      <c r="B2789" t="s">
        <v>12</v>
      </c>
      <c r="C2789" t="s">
        <v>26</v>
      </c>
      <c r="D2789" t="s">
        <v>13</v>
      </c>
      <c r="E2789" t="s">
        <v>29</v>
      </c>
      <c r="F2789">
        <v>1230</v>
      </c>
      <c r="G2789">
        <v>28</v>
      </c>
      <c r="H2789" s="6">
        <f t="shared" si="215"/>
        <v>34.44</v>
      </c>
    </row>
    <row r="2790" spans="1:8" hidden="1" x14ac:dyDescent="0.3">
      <c r="A2790" s="9">
        <v>45199</v>
      </c>
      <c r="B2790" t="s">
        <v>17</v>
      </c>
      <c r="C2790" t="s">
        <v>26</v>
      </c>
      <c r="D2790" t="s">
        <v>24</v>
      </c>
      <c r="E2790" t="s">
        <v>36</v>
      </c>
      <c r="F2790">
        <v>2460</v>
      </c>
      <c r="G2790">
        <v>32</v>
      </c>
      <c r="H2790" s="6">
        <f t="shared" si="215"/>
        <v>78.72</v>
      </c>
    </row>
    <row r="2791" spans="1:8" hidden="1" x14ac:dyDescent="0.3">
      <c r="A2791" s="9">
        <v>45199</v>
      </c>
      <c r="B2791" t="s">
        <v>45</v>
      </c>
      <c r="C2791" t="s">
        <v>15</v>
      </c>
      <c r="D2791" t="s">
        <v>10</v>
      </c>
      <c r="E2791" t="s">
        <v>11</v>
      </c>
      <c r="F2791">
        <v>705</v>
      </c>
      <c r="G2791">
        <v>44</v>
      </c>
      <c r="H2791" s="6">
        <f t="shared" si="215"/>
        <v>31.02</v>
      </c>
    </row>
    <row r="2792" spans="1:8" hidden="1" x14ac:dyDescent="0.3">
      <c r="A2792" s="9">
        <v>45199</v>
      </c>
      <c r="B2792" t="s">
        <v>8</v>
      </c>
      <c r="C2792" t="s">
        <v>33</v>
      </c>
      <c r="D2792" t="s">
        <v>18</v>
      </c>
      <c r="E2792" t="s">
        <v>19</v>
      </c>
      <c r="F2792">
        <v>325</v>
      </c>
      <c r="G2792">
        <v>43</v>
      </c>
      <c r="H2792" s="6">
        <f t="shared" si="215"/>
        <v>13.975</v>
      </c>
    </row>
    <row r="2793" spans="1:8" hidden="1" x14ac:dyDescent="0.3">
      <c r="A2793" s="9">
        <v>45199</v>
      </c>
      <c r="B2793" t="s">
        <v>12</v>
      </c>
      <c r="C2793" t="s">
        <v>33</v>
      </c>
      <c r="D2793" t="s">
        <v>18</v>
      </c>
      <c r="E2793" t="s">
        <v>21</v>
      </c>
      <c r="F2793">
        <v>450</v>
      </c>
      <c r="G2793">
        <v>17</v>
      </c>
      <c r="H2793" s="6">
        <f t="shared" si="215"/>
        <v>7.65</v>
      </c>
    </row>
    <row r="2794" spans="1:8" hidden="1" x14ac:dyDescent="0.3">
      <c r="A2794" s="13" t="s">
        <v>287</v>
      </c>
      <c r="H2794" s="6">
        <f>SUBTOTAL(9,H2780:H2793)</f>
        <v>0</v>
      </c>
    </row>
    <row r="2795" spans="1:8" hidden="1" x14ac:dyDescent="0.3">
      <c r="A2795" s="9">
        <v>45200</v>
      </c>
      <c r="B2795" t="s">
        <v>17</v>
      </c>
      <c r="C2795" t="s">
        <v>20</v>
      </c>
      <c r="D2795" t="s">
        <v>18</v>
      </c>
      <c r="E2795" t="s">
        <v>28</v>
      </c>
      <c r="F2795">
        <v>690</v>
      </c>
      <c r="G2795">
        <v>13</v>
      </c>
      <c r="H2795" s="6">
        <f t="shared" ref="H2795:H2806" si="216">F2795*G2795/1000</f>
        <v>8.9700000000000006</v>
      </c>
    </row>
    <row r="2796" spans="1:8" hidden="1" x14ac:dyDescent="0.3">
      <c r="A2796" s="9">
        <v>45200</v>
      </c>
      <c r="B2796" t="s">
        <v>17</v>
      </c>
      <c r="C2796" t="s">
        <v>20</v>
      </c>
      <c r="D2796" t="s">
        <v>13</v>
      </c>
      <c r="E2796" t="s">
        <v>29</v>
      </c>
      <c r="F2796">
        <v>1230</v>
      </c>
      <c r="G2796">
        <v>76</v>
      </c>
      <c r="H2796" s="6">
        <f t="shared" si="216"/>
        <v>93.48</v>
      </c>
    </row>
    <row r="2797" spans="1:8" hidden="1" x14ac:dyDescent="0.3">
      <c r="A2797" s="9">
        <v>45200</v>
      </c>
      <c r="B2797" t="s">
        <v>12</v>
      </c>
      <c r="C2797" t="s">
        <v>20</v>
      </c>
      <c r="D2797" t="s">
        <v>13</v>
      </c>
      <c r="E2797" t="s">
        <v>14</v>
      </c>
      <c r="F2797">
        <v>1320</v>
      </c>
      <c r="G2797">
        <v>39</v>
      </c>
      <c r="H2797" s="6">
        <f t="shared" si="216"/>
        <v>51.48</v>
      </c>
    </row>
    <row r="2798" spans="1:8" hidden="1" x14ac:dyDescent="0.3">
      <c r="A2798" s="9">
        <v>45200</v>
      </c>
      <c r="B2798" t="s">
        <v>45</v>
      </c>
      <c r="C2798" t="s">
        <v>9</v>
      </c>
      <c r="D2798" t="s">
        <v>18</v>
      </c>
      <c r="E2798" t="s">
        <v>31</v>
      </c>
      <c r="F2798">
        <v>715</v>
      </c>
      <c r="G2798">
        <v>36</v>
      </c>
      <c r="H2798" s="6">
        <f t="shared" si="216"/>
        <v>25.74</v>
      </c>
    </row>
    <row r="2799" spans="1:8" hidden="1" x14ac:dyDescent="0.3">
      <c r="A2799" s="9">
        <v>45200</v>
      </c>
      <c r="B2799" t="s">
        <v>12</v>
      </c>
      <c r="C2799" t="s">
        <v>9</v>
      </c>
      <c r="D2799" t="s">
        <v>13</v>
      </c>
      <c r="E2799" t="s">
        <v>22</v>
      </c>
      <c r="F2799">
        <v>930</v>
      </c>
      <c r="G2799">
        <v>25</v>
      </c>
      <c r="H2799" s="6">
        <f t="shared" si="216"/>
        <v>23.25</v>
      </c>
    </row>
    <row r="2800" spans="1:8" hidden="1" x14ac:dyDescent="0.3">
      <c r="A2800" s="9">
        <v>45200</v>
      </c>
      <c r="B2800" t="s">
        <v>12</v>
      </c>
      <c r="C2800" t="s">
        <v>9</v>
      </c>
      <c r="D2800" t="s">
        <v>24</v>
      </c>
      <c r="E2800" t="s">
        <v>32</v>
      </c>
      <c r="F2800">
        <v>1505</v>
      </c>
      <c r="G2800">
        <v>87</v>
      </c>
      <c r="H2800" s="6">
        <f t="shared" si="216"/>
        <v>130.935</v>
      </c>
    </row>
    <row r="2801" spans="1:8" hidden="1" x14ac:dyDescent="0.3">
      <c r="A2801" s="9">
        <v>45200</v>
      </c>
      <c r="B2801" t="s">
        <v>8</v>
      </c>
      <c r="C2801" t="s">
        <v>9</v>
      </c>
      <c r="D2801" t="s">
        <v>24</v>
      </c>
      <c r="E2801" t="s">
        <v>32</v>
      </c>
      <c r="F2801">
        <v>1505</v>
      </c>
      <c r="G2801">
        <v>11</v>
      </c>
      <c r="H2801" s="6">
        <f t="shared" si="216"/>
        <v>16.555</v>
      </c>
    </row>
    <row r="2802" spans="1:8" hidden="1" x14ac:dyDescent="0.3">
      <c r="A2802" s="9">
        <v>45200</v>
      </c>
      <c r="B2802" t="s">
        <v>8</v>
      </c>
      <c r="C2802" t="s">
        <v>26</v>
      </c>
      <c r="D2802" t="s">
        <v>13</v>
      </c>
      <c r="E2802" t="s">
        <v>29</v>
      </c>
      <c r="F2802">
        <v>1230</v>
      </c>
      <c r="G2802">
        <v>7</v>
      </c>
      <c r="H2802" s="6">
        <f t="shared" si="216"/>
        <v>8.61</v>
      </c>
    </row>
    <row r="2803" spans="1:8" hidden="1" x14ac:dyDescent="0.3">
      <c r="A2803" s="9">
        <v>45200</v>
      </c>
      <c r="B2803" t="s">
        <v>8</v>
      </c>
      <c r="C2803" t="s">
        <v>26</v>
      </c>
      <c r="D2803" t="s">
        <v>13</v>
      </c>
      <c r="E2803" t="s">
        <v>22</v>
      </c>
      <c r="F2803">
        <v>930</v>
      </c>
      <c r="G2803">
        <v>49</v>
      </c>
      <c r="H2803" s="6">
        <f t="shared" si="216"/>
        <v>45.57</v>
      </c>
    </row>
    <row r="2804" spans="1:8" hidden="1" x14ac:dyDescent="0.3">
      <c r="A2804" s="9">
        <v>45200</v>
      </c>
      <c r="B2804" t="s">
        <v>12</v>
      </c>
      <c r="C2804" t="s">
        <v>15</v>
      </c>
      <c r="D2804" t="s">
        <v>10</v>
      </c>
      <c r="E2804" t="s">
        <v>41</v>
      </c>
      <c r="F2804">
        <v>650</v>
      </c>
      <c r="G2804">
        <v>89</v>
      </c>
      <c r="H2804" s="6">
        <f t="shared" si="216"/>
        <v>57.85</v>
      </c>
    </row>
    <row r="2805" spans="1:8" hidden="1" x14ac:dyDescent="0.3">
      <c r="A2805" s="9">
        <v>45200</v>
      </c>
      <c r="B2805" t="s">
        <v>45</v>
      </c>
      <c r="C2805" t="s">
        <v>35</v>
      </c>
      <c r="D2805" t="s">
        <v>18</v>
      </c>
      <c r="E2805" t="s">
        <v>21</v>
      </c>
      <c r="F2805">
        <v>450</v>
      </c>
      <c r="G2805">
        <v>28</v>
      </c>
      <c r="H2805" s="6">
        <f t="shared" si="216"/>
        <v>12.6</v>
      </c>
    </row>
    <row r="2806" spans="1:8" hidden="1" x14ac:dyDescent="0.3">
      <c r="A2806" s="9">
        <v>45200</v>
      </c>
      <c r="B2806" t="s">
        <v>45</v>
      </c>
      <c r="C2806" t="s">
        <v>35</v>
      </c>
      <c r="D2806" t="s">
        <v>24</v>
      </c>
      <c r="E2806" t="s">
        <v>34</v>
      </c>
      <c r="F2806">
        <v>1670</v>
      </c>
      <c r="G2806">
        <v>99</v>
      </c>
      <c r="H2806" s="6">
        <f t="shared" si="216"/>
        <v>165.33</v>
      </c>
    </row>
    <row r="2807" spans="1:8" hidden="1" x14ac:dyDescent="0.3">
      <c r="A2807" s="13" t="s">
        <v>288</v>
      </c>
      <c r="H2807" s="6">
        <f>SUBTOTAL(9,H2795:H2806)</f>
        <v>0</v>
      </c>
    </row>
    <row r="2808" spans="1:8" hidden="1" x14ac:dyDescent="0.3">
      <c r="A2808" s="9">
        <v>45201</v>
      </c>
      <c r="B2808" t="s">
        <v>17</v>
      </c>
      <c r="C2808" t="s">
        <v>20</v>
      </c>
      <c r="D2808" t="s">
        <v>18</v>
      </c>
      <c r="E2808" t="s">
        <v>19</v>
      </c>
      <c r="F2808">
        <v>325</v>
      </c>
      <c r="G2808">
        <v>99</v>
      </c>
      <c r="H2808" s="6">
        <f t="shared" ref="H2808:H2815" si="217">F2808*G2808/1000</f>
        <v>32.174999999999997</v>
      </c>
    </row>
    <row r="2809" spans="1:8" hidden="1" x14ac:dyDescent="0.3">
      <c r="A2809" s="9">
        <v>45201</v>
      </c>
      <c r="B2809" t="s">
        <v>8</v>
      </c>
      <c r="C2809" t="s">
        <v>20</v>
      </c>
      <c r="D2809" t="s">
        <v>13</v>
      </c>
      <c r="E2809" t="s">
        <v>14</v>
      </c>
      <c r="F2809">
        <v>1320</v>
      </c>
      <c r="G2809">
        <v>60</v>
      </c>
      <c r="H2809" s="6">
        <f t="shared" si="217"/>
        <v>79.2</v>
      </c>
    </row>
    <row r="2810" spans="1:8" hidden="1" x14ac:dyDescent="0.3">
      <c r="A2810" s="9">
        <v>45201</v>
      </c>
      <c r="B2810" t="s">
        <v>45</v>
      </c>
      <c r="C2810" t="s">
        <v>9</v>
      </c>
      <c r="D2810" t="s">
        <v>18</v>
      </c>
      <c r="E2810" t="s">
        <v>19</v>
      </c>
      <c r="F2810">
        <v>325</v>
      </c>
      <c r="G2810">
        <v>91</v>
      </c>
      <c r="H2810" s="6">
        <f t="shared" si="217"/>
        <v>29.574999999999999</v>
      </c>
    </row>
    <row r="2811" spans="1:8" hidden="1" x14ac:dyDescent="0.3">
      <c r="A2811" s="9">
        <v>45201</v>
      </c>
      <c r="B2811" t="s">
        <v>12</v>
      </c>
      <c r="C2811" t="s">
        <v>9</v>
      </c>
      <c r="D2811" t="s">
        <v>24</v>
      </c>
      <c r="E2811" t="s">
        <v>30</v>
      </c>
      <c r="F2811">
        <v>2970</v>
      </c>
      <c r="G2811">
        <v>52</v>
      </c>
      <c r="H2811" s="6">
        <f t="shared" si="217"/>
        <v>154.44</v>
      </c>
    </row>
    <row r="2812" spans="1:8" hidden="1" x14ac:dyDescent="0.3">
      <c r="A2812" s="9">
        <v>45201</v>
      </c>
      <c r="B2812" t="s">
        <v>8</v>
      </c>
      <c r="C2812" t="s">
        <v>26</v>
      </c>
      <c r="D2812" t="s">
        <v>13</v>
      </c>
      <c r="E2812" t="s">
        <v>43</v>
      </c>
      <c r="F2812">
        <v>1420</v>
      </c>
      <c r="G2812">
        <v>53</v>
      </c>
      <c r="H2812" s="6">
        <f t="shared" si="217"/>
        <v>75.260000000000005</v>
      </c>
    </row>
    <row r="2813" spans="1:8" hidden="1" x14ac:dyDescent="0.3">
      <c r="A2813" s="9">
        <v>45201</v>
      </c>
      <c r="B2813" t="s">
        <v>8</v>
      </c>
      <c r="C2813" t="s">
        <v>15</v>
      </c>
      <c r="D2813" t="s">
        <v>24</v>
      </c>
      <c r="E2813" t="s">
        <v>42</v>
      </c>
      <c r="F2813">
        <v>3205</v>
      </c>
      <c r="G2813">
        <v>82</v>
      </c>
      <c r="H2813" s="6">
        <f t="shared" si="217"/>
        <v>262.81</v>
      </c>
    </row>
    <row r="2814" spans="1:8" hidden="1" x14ac:dyDescent="0.3">
      <c r="A2814" s="9">
        <v>45201</v>
      </c>
      <c r="B2814" t="s">
        <v>12</v>
      </c>
      <c r="C2814" t="s">
        <v>33</v>
      </c>
      <c r="D2814" t="s">
        <v>13</v>
      </c>
      <c r="E2814" t="s">
        <v>44</v>
      </c>
      <c r="F2814">
        <v>2540</v>
      </c>
      <c r="G2814">
        <v>29</v>
      </c>
      <c r="H2814" s="6">
        <f t="shared" si="217"/>
        <v>73.66</v>
      </c>
    </row>
    <row r="2815" spans="1:8" hidden="1" x14ac:dyDescent="0.3">
      <c r="A2815" s="9">
        <v>45201</v>
      </c>
      <c r="B2815" t="s">
        <v>8</v>
      </c>
      <c r="C2815" t="s">
        <v>35</v>
      </c>
      <c r="D2815" t="s">
        <v>13</v>
      </c>
      <c r="E2815" t="s">
        <v>38</v>
      </c>
      <c r="F2815">
        <v>2400</v>
      </c>
      <c r="G2815">
        <v>38</v>
      </c>
      <c r="H2815" s="6">
        <f t="shared" si="217"/>
        <v>91.2</v>
      </c>
    </row>
    <row r="2816" spans="1:8" hidden="1" x14ac:dyDescent="0.3">
      <c r="A2816" s="13" t="s">
        <v>289</v>
      </c>
      <c r="H2816" s="6">
        <f>SUBTOTAL(9,H2808:H2815)</f>
        <v>0</v>
      </c>
    </row>
    <row r="2817" spans="1:8" hidden="1" x14ac:dyDescent="0.3">
      <c r="A2817" s="9">
        <v>45202</v>
      </c>
      <c r="B2817" t="s">
        <v>17</v>
      </c>
      <c r="C2817" t="s">
        <v>20</v>
      </c>
      <c r="D2817" t="s">
        <v>10</v>
      </c>
      <c r="E2817" t="s">
        <v>23</v>
      </c>
      <c r="F2817">
        <v>640</v>
      </c>
      <c r="G2817">
        <v>22</v>
      </c>
      <c r="H2817" s="6">
        <f t="shared" ref="H2817:H2827" si="218">F2817*G2817/1000</f>
        <v>14.08</v>
      </c>
    </row>
    <row r="2818" spans="1:8" hidden="1" x14ac:dyDescent="0.3">
      <c r="A2818" s="9">
        <v>45202</v>
      </c>
      <c r="B2818" t="s">
        <v>12</v>
      </c>
      <c r="C2818" t="s">
        <v>20</v>
      </c>
      <c r="D2818" t="s">
        <v>13</v>
      </c>
      <c r="E2818" t="s">
        <v>38</v>
      </c>
      <c r="F2818">
        <v>2400</v>
      </c>
      <c r="G2818">
        <v>77</v>
      </c>
      <c r="H2818" s="6">
        <f t="shared" si="218"/>
        <v>184.8</v>
      </c>
    </row>
    <row r="2819" spans="1:8" hidden="1" x14ac:dyDescent="0.3">
      <c r="A2819" s="9">
        <v>45202</v>
      </c>
      <c r="B2819" t="s">
        <v>8</v>
      </c>
      <c r="C2819" t="s">
        <v>20</v>
      </c>
      <c r="D2819" t="s">
        <v>13</v>
      </c>
      <c r="E2819" t="s">
        <v>22</v>
      </c>
      <c r="F2819">
        <v>930</v>
      </c>
      <c r="G2819">
        <v>41</v>
      </c>
      <c r="H2819" s="6">
        <f t="shared" si="218"/>
        <v>38.130000000000003</v>
      </c>
    </row>
    <row r="2820" spans="1:8" hidden="1" x14ac:dyDescent="0.3">
      <c r="A2820" s="9">
        <v>45202</v>
      </c>
      <c r="B2820" t="s">
        <v>8</v>
      </c>
      <c r="C2820" t="s">
        <v>20</v>
      </c>
      <c r="D2820" t="s">
        <v>24</v>
      </c>
      <c r="E2820" t="s">
        <v>42</v>
      </c>
      <c r="F2820">
        <v>3205</v>
      </c>
      <c r="G2820">
        <v>57</v>
      </c>
      <c r="H2820" s="6">
        <f t="shared" si="218"/>
        <v>182.685</v>
      </c>
    </row>
    <row r="2821" spans="1:8" hidden="1" x14ac:dyDescent="0.3">
      <c r="A2821" s="9">
        <v>45202</v>
      </c>
      <c r="B2821" t="s">
        <v>8</v>
      </c>
      <c r="C2821" t="s">
        <v>26</v>
      </c>
      <c r="D2821" t="s">
        <v>13</v>
      </c>
      <c r="E2821" t="s">
        <v>14</v>
      </c>
      <c r="F2821">
        <v>1320</v>
      </c>
      <c r="G2821">
        <v>29</v>
      </c>
      <c r="H2821" s="6">
        <f t="shared" si="218"/>
        <v>38.28</v>
      </c>
    </row>
    <row r="2822" spans="1:8" hidden="1" x14ac:dyDescent="0.3">
      <c r="A2822" s="9">
        <v>45202</v>
      </c>
      <c r="B2822" t="s">
        <v>12</v>
      </c>
      <c r="C2822" t="s">
        <v>26</v>
      </c>
      <c r="D2822" t="s">
        <v>13</v>
      </c>
      <c r="E2822" t="s">
        <v>43</v>
      </c>
      <c r="F2822">
        <v>1420</v>
      </c>
      <c r="G2822">
        <v>88</v>
      </c>
      <c r="H2822" s="6">
        <f t="shared" si="218"/>
        <v>124.96</v>
      </c>
    </row>
    <row r="2823" spans="1:8" hidden="1" x14ac:dyDescent="0.3">
      <c r="A2823" s="9">
        <v>45202</v>
      </c>
      <c r="B2823" t="s">
        <v>12</v>
      </c>
      <c r="C2823" t="s">
        <v>15</v>
      </c>
      <c r="D2823" t="s">
        <v>13</v>
      </c>
      <c r="E2823" t="s">
        <v>14</v>
      </c>
      <c r="F2823">
        <v>1320</v>
      </c>
      <c r="G2823">
        <v>70</v>
      </c>
      <c r="H2823" s="6">
        <f t="shared" si="218"/>
        <v>92.4</v>
      </c>
    </row>
    <row r="2824" spans="1:8" hidden="1" x14ac:dyDescent="0.3">
      <c r="A2824" s="9">
        <v>45202</v>
      </c>
      <c r="B2824" t="s">
        <v>12</v>
      </c>
      <c r="C2824" t="s">
        <v>15</v>
      </c>
      <c r="D2824" t="s">
        <v>13</v>
      </c>
      <c r="E2824" t="s">
        <v>44</v>
      </c>
      <c r="F2824">
        <v>2540</v>
      </c>
      <c r="G2824">
        <v>15</v>
      </c>
      <c r="H2824" s="6">
        <f t="shared" si="218"/>
        <v>38.1</v>
      </c>
    </row>
    <row r="2825" spans="1:8" hidden="1" x14ac:dyDescent="0.3">
      <c r="A2825" s="9">
        <v>45202</v>
      </c>
      <c r="B2825" t="s">
        <v>8</v>
      </c>
      <c r="C2825" t="s">
        <v>33</v>
      </c>
      <c r="D2825" t="s">
        <v>13</v>
      </c>
      <c r="E2825" t="s">
        <v>22</v>
      </c>
      <c r="F2825">
        <v>930</v>
      </c>
      <c r="G2825">
        <v>70</v>
      </c>
      <c r="H2825" s="6">
        <f t="shared" si="218"/>
        <v>65.099999999999994</v>
      </c>
    </row>
    <row r="2826" spans="1:8" hidden="1" x14ac:dyDescent="0.3">
      <c r="A2826" s="9">
        <v>45202</v>
      </c>
      <c r="B2826" t="s">
        <v>17</v>
      </c>
      <c r="C2826" t="s">
        <v>33</v>
      </c>
      <c r="D2826" t="s">
        <v>13</v>
      </c>
      <c r="E2826" t="s">
        <v>43</v>
      </c>
      <c r="F2826">
        <v>1420</v>
      </c>
      <c r="G2826">
        <v>68</v>
      </c>
      <c r="H2826" s="6">
        <f t="shared" si="218"/>
        <v>96.56</v>
      </c>
    </row>
    <row r="2827" spans="1:8" hidden="1" x14ac:dyDescent="0.3">
      <c r="A2827" s="9">
        <v>45202</v>
      </c>
      <c r="B2827" t="s">
        <v>17</v>
      </c>
      <c r="C2827" t="s">
        <v>35</v>
      </c>
      <c r="D2827" t="s">
        <v>18</v>
      </c>
      <c r="E2827" t="s">
        <v>19</v>
      </c>
      <c r="F2827">
        <v>325</v>
      </c>
      <c r="G2827">
        <v>57</v>
      </c>
      <c r="H2827" s="6">
        <f t="shared" si="218"/>
        <v>18.524999999999999</v>
      </c>
    </row>
    <row r="2828" spans="1:8" hidden="1" x14ac:dyDescent="0.3">
      <c r="A2828" s="13" t="s">
        <v>290</v>
      </c>
      <c r="H2828" s="6">
        <f>SUBTOTAL(9,H2817:H2827)</f>
        <v>0</v>
      </c>
    </row>
    <row r="2829" spans="1:8" hidden="1" x14ac:dyDescent="0.3">
      <c r="A2829" s="9">
        <v>45203</v>
      </c>
      <c r="B2829" t="s">
        <v>17</v>
      </c>
      <c r="C2829" t="s">
        <v>9</v>
      </c>
      <c r="D2829" t="s">
        <v>18</v>
      </c>
      <c r="E2829" t="s">
        <v>21</v>
      </c>
      <c r="F2829">
        <v>450</v>
      </c>
      <c r="G2829">
        <v>99</v>
      </c>
      <c r="H2829" s="6">
        <f t="shared" ref="H2829:H2840" si="219">F2829*G2829/1000</f>
        <v>44.55</v>
      </c>
    </row>
    <row r="2830" spans="1:8" hidden="1" x14ac:dyDescent="0.3">
      <c r="A2830" s="9">
        <v>45203</v>
      </c>
      <c r="B2830" t="s">
        <v>12</v>
      </c>
      <c r="C2830" t="s">
        <v>26</v>
      </c>
      <c r="D2830" t="s">
        <v>18</v>
      </c>
      <c r="E2830" t="s">
        <v>27</v>
      </c>
      <c r="F2830">
        <v>460</v>
      </c>
      <c r="G2830">
        <v>97</v>
      </c>
      <c r="H2830" s="6">
        <f t="shared" si="219"/>
        <v>44.62</v>
      </c>
    </row>
    <row r="2831" spans="1:8" hidden="1" x14ac:dyDescent="0.3">
      <c r="A2831" s="9">
        <v>45203</v>
      </c>
      <c r="B2831" t="s">
        <v>45</v>
      </c>
      <c r="C2831" t="s">
        <v>26</v>
      </c>
      <c r="D2831" t="s">
        <v>18</v>
      </c>
      <c r="E2831" t="s">
        <v>27</v>
      </c>
      <c r="F2831">
        <v>460</v>
      </c>
      <c r="G2831">
        <v>48</v>
      </c>
      <c r="H2831" s="6">
        <f t="shared" si="219"/>
        <v>22.08</v>
      </c>
    </row>
    <row r="2832" spans="1:8" hidden="1" x14ac:dyDescent="0.3">
      <c r="A2832" s="9">
        <v>45203</v>
      </c>
      <c r="B2832" t="s">
        <v>12</v>
      </c>
      <c r="C2832" t="s">
        <v>15</v>
      </c>
      <c r="D2832" t="s">
        <v>18</v>
      </c>
      <c r="E2832" t="s">
        <v>21</v>
      </c>
      <c r="F2832">
        <v>450</v>
      </c>
      <c r="G2832">
        <v>53</v>
      </c>
      <c r="H2832" s="6">
        <f t="shared" si="219"/>
        <v>23.85</v>
      </c>
    </row>
    <row r="2833" spans="1:8" hidden="1" x14ac:dyDescent="0.3">
      <c r="A2833" s="9">
        <v>45203</v>
      </c>
      <c r="B2833" t="s">
        <v>17</v>
      </c>
      <c r="C2833" t="s">
        <v>15</v>
      </c>
      <c r="D2833" t="s">
        <v>13</v>
      </c>
      <c r="E2833" t="s">
        <v>22</v>
      </c>
      <c r="F2833">
        <v>930</v>
      </c>
      <c r="G2833">
        <v>100</v>
      </c>
      <c r="H2833" s="6">
        <f t="shared" si="219"/>
        <v>93</v>
      </c>
    </row>
    <row r="2834" spans="1:8" hidden="1" x14ac:dyDescent="0.3">
      <c r="A2834" s="9">
        <v>45203</v>
      </c>
      <c r="B2834" t="s">
        <v>45</v>
      </c>
      <c r="C2834" t="s">
        <v>15</v>
      </c>
      <c r="D2834" t="s">
        <v>24</v>
      </c>
      <c r="E2834" t="s">
        <v>30</v>
      </c>
      <c r="F2834">
        <v>2970</v>
      </c>
      <c r="G2834">
        <v>11</v>
      </c>
      <c r="H2834" s="6">
        <f t="shared" si="219"/>
        <v>32.67</v>
      </c>
    </row>
    <row r="2835" spans="1:8" hidden="1" x14ac:dyDescent="0.3">
      <c r="A2835" s="9">
        <v>45203</v>
      </c>
      <c r="B2835" t="s">
        <v>8</v>
      </c>
      <c r="C2835" t="s">
        <v>15</v>
      </c>
      <c r="D2835" t="s">
        <v>24</v>
      </c>
      <c r="E2835" t="s">
        <v>42</v>
      </c>
      <c r="F2835">
        <v>3205</v>
      </c>
      <c r="G2835">
        <v>50</v>
      </c>
      <c r="H2835" s="6">
        <f t="shared" si="219"/>
        <v>160.25</v>
      </c>
    </row>
    <row r="2836" spans="1:8" hidden="1" x14ac:dyDescent="0.3">
      <c r="A2836" s="9">
        <v>45203</v>
      </c>
      <c r="B2836" t="s">
        <v>45</v>
      </c>
      <c r="C2836" t="s">
        <v>33</v>
      </c>
      <c r="D2836" t="s">
        <v>18</v>
      </c>
      <c r="E2836" t="s">
        <v>37</v>
      </c>
      <c r="F2836">
        <v>890</v>
      </c>
      <c r="G2836">
        <v>90</v>
      </c>
      <c r="H2836" s="6">
        <f t="shared" si="219"/>
        <v>80.099999999999994</v>
      </c>
    </row>
    <row r="2837" spans="1:8" hidden="1" x14ac:dyDescent="0.3">
      <c r="A2837" s="9">
        <v>45203</v>
      </c>
      <c r="B2837" t="s">
        <v>12</v>
      </c>
      <c r="C2837" t="s">
        <v>33</v>
      </c>
      <c r="D2837" t="s">
        <v>13</v>
      </c>
      <c r="E2837" t="s">
        <v>14</v>
      </c>
      <c r="F2837">
        <v>1320</v>
      </c>
      <c r="G2837">
        <v>32</v>
      </c>
      <c r="H2837" s="6">
        <f t="shared" si="219"/>
        <v>42.24</v>
      </c>
    </row>
    <row r="2838" spans="1:8" hidden="1" x14ac:dyDescent="0.3">
      <c r="A2838" s="9">
        <v>45203</v>
      </c>
      <c r="B2838" t="s">
        <v>17</v>
      </c>
      <c r="C2838" t="s">
        <v>35</v>
      </c>
      <c r="D2838" t="s">
        <v>10</v>
      </c>
      <c r="E2838" t="s">
        <v>16</v>
      </c>
      <c r="F2838">
        <v>1380</v>
      </c>
      <c r="G2838">
        <v>17</v>
      </c>
      <c r="H2838" s="6">
        <f t="shared" si="219"/>
        <v>23.46</v>
      </c>
    </row>
    <row r="2839" spans="1:8" hidden="1" x14ac:dyDescent="0.3">
      <c r="A2839" s="9">
        <v>45203</v>
      </c>
      <c r="B2839" t="s">
        <v>8</v>
      </c>
      <c r="C2839" t="s">
        <v>35</v>
      </c>
      <c r="D2839" t="s">
        <v>13</v>
      </c>
      <c r="E2839" t="s">
        <v>29</v>
      </c>
      <c r="F2839">
        <v>1230</v>
      </c>
      <c r="G2839">
        <v>44</v>
      </c>
      <c r="H2839" s="6">
        <f t="shared" si="219"/>
        <v>54.12</v>
      </c>
    </row>
    <row r="2840" spans="1:8" hidden="1" x14ac:dyDescent="0.3">
      <c r="A2840" s="9">
        <v>45203</v>
      </c>
      <c r="B2840" t="s">
        <v>17</v>
      </c>
      <c r="C2840" t="s">
        <v>35</v>
      </c>
      <c r="D2840" t="s">
        <v>24</v>
      </c>
      <c r="E2840" t="s">
        <v>36</v>
      </c>
      <c r="F2840">
        <v>2460</v>
      </c>
      <c r="G2840">
        <v>90</v>
      </c>
      <c r="H2840" s="6">
        <f t="shared" si="219"/>
        <v>221.4</v>
      </c>
    </row>
    <row r="2841" spans="1:8" hidden="1" x14ac:dyDescent="0.3">
      <c r="A2841" s="13" t="s">
        <v>291</v>
      </c>
      <c r="H2841" s="6">
        <f>SUBTOTAL(9,H2829:H2840)</f>
        <v>0</v>
      </c>
    </row>
    <row r="2842" spans="1:8" hidden="1" x14ac:dyDescent="0.3">
      <c r="A2842" s="9">
        <v>45204</v>
      </c>
      <c r="B2842" t="s">
        <v>8</v>
      </c>
      <c r="C2842" t="s">
        <v>20</v>
      </c>
      <c r="D2842" t="s">
        <v>13</v>
      </c>
      <c r="E2842" t="s">
        <v>44</v>
      </c>
      <c r="F2842">
        <v>2540</v>
      </c>
      <c r="G2842">
        <v>87</v>
      </c>
      <c r="H2842" s="6">
        <f t="shared" ref="H2842:H2850" si="220">F2842*G2842/1000</f>
        <v>220.98</v>
      </c>
    </row>
    <row r="2843" spans="1:8" hidden="1" x14ac:dyDescent="0.3">
      <c r="A2843" s="9">
        <v>45204</v>
      </c>
      <c r="B2843" t="s">
        <v>45</v>
      </c>
      <c r="C2843" t="s">
        <v>15</v>
      </c>
      <c r="D2843" t="s">
        <v>10</v>
      </c>
      <c r="E2843" t="s">
        <v>40</v>
      </c>
      <c r="F2843">
        <v>540</v>
      </c>
      <c r="G2843">
        <v>17</v>
      </c>
      <c r="H2843" s="6">
        <f t="shared" si="220"/>
        <v>9.18</v>
      </c>
    </row>
    <row r="2844" spans="1:8" hidden="1" x14ac:dyDescent="0.3">
      <c r="A2844" s="9">
        <v>45204</v>
      </c>
      <c r="B2844" t="s">
        <v>45</v>
      </c>
      <c r="C2844" t="s">
        <v>15</v>
      </c>
      <c r="D2844" t="s">
        <v>24</v>
      </c>
      <c r="E2844" t="s">
        <v>25</v>
      </c>
      <c r="F2844">
        <v>1760</v>
      </c>
      <c r="G2844">
        <v>61</v>
      </c>
      <c r="H2844" s="6">
        <f t="shared" si="220"/>
        <v>107.36</v>
      </c>
    </row>
    <row r="2845" spans="1:8" hidden="1" x14ac:dyDescent="0.3">
      <c r="A2845" s="9">
        <v>45204</v>
      </c>
      <c r="B2845" t="s">
        <v>17</v>
      </c>
      <c r="C2845" t="s">
        <v>15</v>
      </c>
      <c r="D2845" t="s">
        <v>24</v>
      </c>
      <c r="E2845" t="s">
        <v>32</v>
      </c>
      <c r="F2845">
        <v>1505</v>
      </c>
      <c r="G2845">
        <v>47</v>
      </c>
      <c r="H2845" s="6">
        <f t="shared" si="220"/>
        <v>70.734999999999999</v>
      </c>
    </row>
    <row r="2846" spans="1:8" hidden="1" x14ac:dyDescent="0.3">
      <c r="A2846" s="9">
        <v>45204</v>
      </c>
      <c r="B2846" t="s">
        <v>8</v>
      </c>
      <c r="C2846" t="s">
        <v>33</v>
      </c>
      <c r="D2846" t="s">
        <v>10</v>
      </c>
      <c r="E2846" t="s">
        <v>39</v>
      </c>
      <c r="F2846">
        <v>650</v>
      </c>
      <c r="G2846">
        <v>49</v>
      </c>
      <c r="H2846" s="6">
        <f t="shared" si="220"/>
        <v>31.85</v>
      </c>
    </row>
    <row r="2847" spans="1:8" hidden="1" x14ac:dyDescent="0.3">
      <c r="A2847" s="9">
        <v>45204</v>
      </c>
      <c r="B2847" t="s">
        <v>8</v>
      </c>
      <c r="C2847" t="s">
        <v>33</v>
      </c>
      <c r="D2847" t="s">
        <v>18</v>
      </c>
      <c r="E2847" t="s">
        <v>19</v>
      </c>
      <c r="F2847">
        <v>325</v>
      </c>
      <c r="G2847">
        <v>43</v>
      </c>
      <c r="H2847" s="6">
        <f t="shared" si="220"/>
        <v>13.975</v>
      </c>
    </row>
    <row r="2848" spans="1:8" hidden="1" x14ac:dyDescent="0.3">
      <c r="A2848" s="9">
        <v>45204</v>
      </c>
      <c r="B2848" t="s">
        <v>45</v>
      </c>
      <c r="C2848" t="s">
        <v>35</v>
      </c>
      <c r="D2848" t="s">
        <v>10</v>
      </c>
      <c r="E2848" t="s">
        <v>40</v>
      </c>
      <c r="F2848">
        <v>540</v>
      </c>
      <c r="G2848">
        <v>15</v>
      </c>
      <c r="H2848" s="6">
        <f t="shared" si="220"/>
        <v>8.1</v>
      </c>
    </row>
    <row r="2849" spans="1:8" hidden="1" x14ac:dyDescent="0.3">
      <c r="A2849" s="9">
        <v>45204</v>
      </c>
      <c r="B2849" t="s">
        <v>12</v>
      </c>
      <c r="C2849" t="s">
        <v>35</v>
      </c>
      <c r="D2849" t="s">
        <v>10</v>
      </c>
      <c r="E2849" t="s">
        <v>11</v>
      </c>
      <c r="F2849">
        <v>705</v>
      </c>
      <c r="G2849">
        <v>99</v>
      </c>
      <c r="H2849" s="6">
        <f t="shared" si="220"/>
        <v>69.795000000000002</v>
      </c>
    </row>
    <row r="2850" spans="1:8" hidden="1" x14ac:dyDescent="0.3">
      <c r="A2850" s="9">
        <v>45204</v>
      </c>
      <c r="B2850" t="s">
        <v>12</v>
      </c>
      <c r="C2850" t="s">
        <v>35</v>
      </c>
      <c r="D2850" t="s">
        <v>24</v>
      </c>
      <c r="E2850" t="s">
        <v>34</v>
      </c>
      <c r="F2850">
        <v>1670</v>
      </c>
      <c r="G2850">
        <v>77</v>
      </c>
      <c r="H2850" s="6">
        <f t="shared" si="220"/>
        <v>128.59</v>
      </c>
    </row>
    <row r="2851" spans="1:8" hidden="1" x14ac:dyDescent="0.3">
      <c r="A2851" s="13" t="s">
        <v>292</v>
      </c>
      <c r="H2851" s="6">
        <f>SUBTOTAL(9,H2842:H2850)</f>
        <v>0</v>
      </c>
    </row>
    <row r="2852" spans="1:8" hidden="1" x14ac:dyDescent="0.3">
      <c r="A2852" s="9">
        <v>45205</v>
      </c>
      <c r="B2852" t="s">
        <v>45</v>
      </c>
      <c r="C2852" t="s">
        <v>9</v>
      </c>
      <c r="D2852" t="s">
        <v>10</v>
      </c>
      <c r="E2852" t="s">
        <v>16</v>
      </c>
      <c r="F2852">
        <v>1380</v>
      </c>
      <c r="G2852">
        <v>80</v>
      </c>
      <c r="H2852" s="6">
        <f t="shared" ref="H2852:H2857" si="221">F2852*G2852/1000</f>
        <v>110.4</v>
      </c>
    </row>
    <row r="2853" spans="1:8" hidden="1" x14ac:dyDescent="0.3">
      <c r="A2853" s="9">
        <v>45205</v>
      </c>
      <c r="B2853" t="s">
        <v>45</v>
      </c>
      <c r="C2853" t="s">
        <v>9</v>
      </c>
      <c r="D2853" t="s">
        <v>18</v>
      </c>
      <c r="E2853" t="s">
        <v>21</v>
      </c>
      <c r="F2853">
        <v>450</v>
      </c>
      <c r="G2853">
        <v>21</v>
      </c>
      <c r="H2853" s="6">
        <f t="shared" si="221"/>
        <v>9.4499999999999993</v>
      </c>
    </row>
    <row r="2854" spans="1:8" hidden="1" x14ac:dyDescent="0.3">
      <c r="A2854" s="9">
        <v>45205</v>
      </c>
      <c r="B2854" t="s">
        <v>12</v>
      </c>
      <c r="C2854" t="s">
        <v>26</v>
      </c>
      <c r="D2854" t="s">
        <v>24</v>
      </c>
      <c r="E2854" t="s">
        <v>34</v>
      </c>
      <c r="F2854">
        <v>1670</v>
      </c>
      <c r="G2854">
        <v>32</v>
      </c>
      <c r="H2854" s="6">
        <f t="shared" si="221"/>
        <v>53.44</v>
      </c>
    </row>
    <row r="2855" spans="1:8" hidden="1" x14ac:dyDescent="0.3">
      <c r="A2855" s="9">
        <v>45205</v>
      </c>
      <c r="B2855" t="s">
        <v>17</v>
      </c>
      <c r="C2855" t="s">
        <v>15</v>
      </c>
      <c r="D2855" t="s">
        <v>18</v>
      </c>
      <c r="E2855" t="s">
        <v>31</v>
      </c>
      <c r="F2855">
        <v>715</v>
      </c>
      <c r="G2855">
        <v>81</v>
      </c>
      <c r="H2855" s="6">
        <f t="shared" si="221"/>
        <v>57.914999999999999</v>
      </c>
    </row>
    <row r="2856" spans="1:8" hidden="1" x14ac:dyDescent="0.3">
      <c r="A2856" s="9">
        <v>45205</v>
      </c>
      <c r="B2856" t="s">
        <v>17</v>
      </c>
      <c r="C2856" t="s">
        <v>33</v>
      </c>
      <c r="D2856" t="s">
        <v>10</v>
      </c>
      <c r="E2856" t="s">
        <v>23</v>
      </c>
      <c r="F2856">
        <v>640</v>
      </c>
      <c r="G2856">
        <v>60</v>
      </c>
      <c r="H2856" s="6">
        <f t="shared" si="221"/>
        <v>38.4</v>
      </c>
    </row>
    <row r="2857" spans="1:8" hidden="1" x14ac:dyDescent="0.3">
      <c r="A2857" s="9">
        <v>45205</v>
      </c>
      <c r="B2857" t="s">
        <v>8</v>
      </c>
      <c r="C2857" t="s">
        <v>33</v>
      </c>
      <c r="D2857" t="s">
        <v>13</v>
      </c>
      <c r="E2857" t="s">
        <v>44</v>
      </c>
      <c r="F2857">
        <v>2540</v>
      </c>
      <c r="G2857">
        <v>58</v>
      </c>
      <c r="H2857" s="6">
        <f t="shared" si="221"/>
        <v>147.32</v>
      </c>
    </row>
    <row r="2858" spans="1:8" hidden="1" x14ac:dyDescent="0.3">
      <c r="A2858" s="13" t="s">
        <v>293</v>
      </c>
      <c r="H2858" s="6">
        <f>SUBTOTAL(9,H2852:H2857)</f>
        <v>0</v>
      </c>
    </row>
    <row r="2859" spans="1:8" hidden="1" x14ac:dyDescent="0.3">
      <c r="A2859" s="9">
        <v>45206</v>
      </c>
      <c r="B2859" t="s">
        <v>8</v>
      </c>
      <c r="C2859" t="s">
        <v>20</v>
      </c>
      <c r="D2859" t="s">
        <v>10</v>
      </c>
      <c r="E2859" t="s">
        <v>41</v>
      </c>
      <c r="F2859">
        <v>650</v>
      </c>
      <c r="G2859">
        <v>86</v>
      </c>
      <c r="H2859" s="6">
        <f t="shared" ref="H2859:H2866" si="222">F2859*G2859/1000</f>
        <v>55.9</v>
      </c>
    </row>
    <row r="2860" spans="1:8" hidden="1" x14ac:dyDescent="0.3">
      <c r="A2860" s="9">
        <v>45206</v>
      </c>
      <c r="B2860" t="s">
        <v>8</v>
      </c>
      <c r="C2860" t="s">
        <v>20</v>
      </c>
      <c r="D2860" t="s">
        <v>18</v>
      </c>
      <c r="E2860" t="s">
        <v>31</v>
      </c>
      <c r="F2860">
        <v>715</v>
      </c>
      <c r="G2860">
        <v>49</v>
      </c>
      <c r="H2860" s="6">
        <f t="shared" si="222"/>
        <v>35.034999999999997</v>
      </c>
    </row>
    <row r="2861" spans="1:8" hidden="1" x14ac:dyDescent="0.3">
      <c r="A2861" s="9">
        <v>45206</v>
      </c>
      <c r="B2861" t="s">
        <v>17</v>
      </c>
      <c r="C2861" t="s">
        <v>20</v>
      </c>
      <c r="D2861" t="s">
        <v>13</v>
      </c>
      <c r="E2861" t="s">
        <v>43</v>
      </c>
      <c r="F2861">
        <v>1420</v>
      </c>
      <c r="G2861">
        <v>96</v>
      </c>
      <c r="H2861" s="6">
        <f t="shared" si="222"/>
        <v>136.32</v>
      </c>
    </row>
    <row r="2862" spans="1:8" hidden="1" x14ac:dyDescent="0.3">
      <c r="A2862" s="9">
        <v>45206</v>
      </c>
      <c r="B2862" t="s">
        <v>17</v>
      </c>
      <c r="C2862" t="s">
        <v>20</v>
      </c>
      <c r="D2862" t="s">
        <v>13</v>
      </c>
      <c r="E2862" t="s">
        <v>44</v>
      </c>
      <c r="F2862">
        <v>2540</v>
      </c>
      <c r="G2862">
        <v>68</v>
      </c>
      <c r="H2862" s="6">
        <f t="shared" si="222"/>
        <v>172.72</v>
      </c>
    </row>
    <row r="2863" spans="1:8" hidden="1" x14ac:dyDescent="0.3">
      <c r="A2863" s="9">
        <v>45206</v>
      </c>
      <c r="B2863" t="s">
        <v>17</v>
      </c>
      <c r="C2863" t="s">
        <v>9</v>
      </c>
      <c r="D2863" t="s">
        <v>10</v>
      </c>
      <c r="E2863" t="s">
        <v>11</v>
      </c>
      <c r="F2863">
        <v>705</v>
      </c>
      <c r="G2863">
        <v>65</v>
      </c>
      <c r="H2863" s="6">
        <f t="shared" si="222"/>
        <v>45.825000000000003</v>
      </c>
    </row>
    <row r="2864" spans="1:8" hidden="1" x14ac:dyDescent="0.3">
      <c r="A2864" s="9">
        <v>45206</v>
      </c>
      <c r="B2864" t="s">
        <v>12</v>
      </c>
      <c r="C2864" t="s">
        <v>26</v>
      </c>
      <c r="D2864" t="s">
        <v>18</v>
      </c>
      <c r="E2864" t="s">
        <v>19</v>
      </c>
      <c r="F2864">
        <v>325</v>
      </c>
      <c r="G2864">
        <v>52</v>
      </c>
      <c r="H2864" s="6">
        <f t="shared" si="222"/>
        <v>16.899999999999999</v>
      </c>
    </row>
    <row r="2865" spans="1:8" hidden="1" x14ac:dyDescent="0.3">
      <c r="A2865" s="9">
        <v>45206</v>
      </c>
      <c r="B2865" t="s">
        <v>8</v>
      </c>
      <c r="C2865" t="s">
        <v>15</v>
      </c>
      <c r="D2865" t="s">
        <v>10</v>
      </c>
      <c r="E2865" t="s">
        <v>41</v>
      </c>
      <c r="F2865">
        <v>650</v>
      </c>
      <c r="G2865">
        <v>79</v>
      </c>
      <c r="H2865" s="6">
        <f t="shared" si="222"/>
        <v>51.35</v>
      </c>
    </row>
    <row r="2866" spans="1:8" hidden="1" x14ac:dyDescent="0.3">
      <c r="A2866" s="9">
        <v>45206</v>
      </c>
      <c r="B2866" t="s">
        <v>45</v>
      </c>
      <c r="C2866" t="s">
        <v>33</v>
      </c>
      <c r="D2866" t="s">
        <v>24</v>
      </c>
      <c r="E2866" t="s">
        <v>34</v>
      </c>
      <c r="F2866">
        <v>1670</v>
      </c>
      <c r="G2866">
        <v>14</v>
      </c>
      <c r="H2866" s="6">
        <f t="shared" si="222"/>
        <v>23.38</v>
      </c>
    </row>
    <row r="2867" spans="1:8" hidden="1" x14ac:dyDescent="0.3">
      <c r="A2867" s="13" t="s">
        <v>294</v>
      </c>
      <c r="H2867" s="6">
        <f>SUBTOTAL(9,H2859:H2866)</f>
        <v>0</v>
      </c>
    </row>
    <row r="2868" spans="1:8" hidden="1" x14ac:dyDescent="0.3">
      <c r="A2868" s="9">
        <v>45207</v>
      </c>
      <c r="B2868" t="s">
        <v>17</v>
      </c>
      <c r="C2868" t="s">
        <v>9</v>
      </c>
      <c r="D2868" t="s">
        <v>10</v>
      </c>
      <c r="E2868" t="s">
        <v>40</v>
      </c>
      <c r="F2868">
        <v>540</v>
      </c>
      <c r="G2868">
        <v>26</v>
      </c>
      <c r="H2868" s="6">
        <f t="shared" ref="H2868:H2874" si="223">F2868*G2868/1000</f>
        <v>14.04</v>
      </c>
    </row>
    <row r="2869" spans="1:8" hidden="1" x14ac:dyDescent="0.3">
      <c r="A2869" s="9">
        <v>45207</v>
      </c>
      <c r="B2869" t="s">
        <v>8</v>
      </c>
      <c r="C2869" t="s">
        <v>9</v>
      </c>
      <c r="D2869" t="s">
        <v>18</v>
      </c>
      <c r="E2869" t="s">
        <v>37</v>
      </c>
      <c r="F2869">
        <v>890</v>
      </c>
      <c r="G2869">
        <v>15</v>
      </c>
      <c r="H2869" s="6">
        <f t="shared" si="223"/>
        <v>13.35</v>
      </c>
    </row>
    <row r="2870" spans="1:8" hidden="1" x14ac:dyDescent="0.3">
      <c r="A2870" s="9">
        <v>45207</v>
      </c>
      <c r="B2870" t="s">
        <v>12</v>
      </c>
      <c r="C2870" t="s">
        <v>26</v>
      </c>
      <c r="D2870" t="s">
        <v>18</v>
      </c>
      <c r="E2870" t="s">
        <v>19</v>
      </c>
      <c r="F2870">
        <v>325</v>
      </c>
      <c r="G2870">
        <v>64</v>
      </c>
      <c r="H2870" s="6">
        <f t="shared" si="223"/>
        <v>20.8</v>
      </c>
    </row>
    <row r="2871" spans="1:8" hidden="1" x14ac:dyDescent="0.3">
      <c r="A2871" s="9">
        <v>45207</v>
      </c>
      <c r="B2871" t="s">
        <v>12</v>
      </c>
      <c r="C2871" t="s">
        <v>33</v>
      </c>
      <c r="D2871" t="s">
        <v>13</v>
      </c>
      <c r="E2871" t="s">
        <v>43</v>
      </c>
      <c r="F2871">
        <v>1420</v>
      </c>
      <c r="G2871">
        <v>70</v>
      </c>
      <c r="H2871" s="6">
        <f t="shared" si="223"/>
        <v>99.4</v>
      </c>
    </row>
    <row r="2872" spans="1:8" hidden="1" x14ac:dyDescent="0.3">
      <c r="A2872" s="9">
        <v>45207</v>
      </c>
      <c r="B2872" t="s">
        <v>8</v>
      </c>
      <c r="C2872" t="s">
        <v>33</v>
      </c>
      <c r="D2872" t="s">
        <v>24</v>
      </c>
      <c r="E2872" t="s">
        <v>32</v>
      </c>
      <c r="F2872">
        <v>1505</v>
      </c>
      <c r="G2872">
        <v>21</v>
      </c>
      <c r="H2872" s="6">
        <f t="shared" si="223"/>
        <v>31.605</v>
      </c>
    </row>
    <row r="2873" spans="1:8" hidden="1" x14ac:dyDescent="0.3">
      <c r="A2873" s="9">
        <v>45207</v>
      </c>
      <c r="B2873" t="s">
        <v>8</v>
      </c>
      <c r="C2873" t="s">
        <v>35</v>
      </c>
      <c r="D2873" t="s">
        <v>18</v>
      </c>
      <c r="E2873" t="s">
        <v>37</v>
      </c>
      <c r="F2873">
        <v>890</v>
      </c>
      <c r="G2873">
        <v>67</v>
      </c>
      <c r="H2873" s="6">
        <f t="shared" si="223"/>
        <v>59.63</v>
      </c>
    </row>
    <row r="2874" spans="1:8" hidden="1" x14ac:dyDescent="0.3">
      <c r="A2874" s="9">
        <v>45207</v>
      </c>
      <c r="B2874" t="s">
        <v>12</v>
      </c>
      <c r="C2874" t="s">
        <v>35</v>
      </c>
      <c r="D2874" t="s">
        <v>24</v>
      </c>
      <c r="E2874" t="s">
        <v>42</v>
      </c>
      <c r="F2874">
        <v>3205</v>
      </c>
      <c r="G2874">
        <v>9</v>
      </c>
      <c r="H2874" s="6">
        <f t="shared" si="223"/>
        <v>28.844999999999999</v>
      </c>
    </row>
    <row r="2875" spans="1:8" hidden="1" x14ac:dyDescent="0.3">
      <c r="A2875" s="13" t="s">
        <v>295</v>
      </c>
      <c r="H2875" s="6">
        <f>SUBTOTAL(9,H2868:H2874)</f>
        <v>0</v>
      </c>
    </row>
    <row r="2876" spans="1:8" hidden="1" x14ac:dyDescent="0.3">
      <c r="A2876" s="9">
        <v>45208</v>
      </c>
      <c r="B2876" t="s">
        <v>45</v>
      </c>
      <c r="C2876" t="s">
        <v>20</v>
      </c>
      <c r="D2876" t="s">
        <v>10</v>
      </c>
      <c r="E2876" t="s">
        <v>40</v>
      </c>
      <c r="F2876">
        <v>540</v>
      </c>
      <c r="G2876">
        <v>36</v>
      </c>
      <c r="H2876" s="6">
        <f t="shared" ref="H2876:H2884" si="224">F2876*G2876/1000</f>
        <v>19.440000000000001</v>
      </c>
    </row>
    <row r="2877" spans="1:8" hidden="1" x14ac:dyDescent="0.3">
      <c r="A2877" s="9">
        <v>45208</v>
      </c>
      <c r="B2877" t="s">
        <v>45</v>
      </c>
      <c r="C2877" t="s">
        <v>20</v>
      </c>
      <c r="D2877" t="s">
        <v>13</v>
      </c>
      <c r="E2877" t="s">
        <v>22</v>
      </c>
      <c r="F2877">
        <v>930</v>
      </c>
      <c r="G2877">
        <v>99</v>
      </c>
      <c r="H2877" s="6">
        <f t="shared" si="224"/>
        <v>92.07</v>
      </c>
    </row>
    <row r="2878" spans="1:8" hidden="1" x14ac:dyDescent="0.3">
      <c r="A2878" s="9">
        <v>45208</v>
      </c>
      <c r="B2878" t="s">
        <v>12</v>
      </c>
      <c r="C2878" t="s">
        <v>26</v>
      </c>
      <c r="D2878" t="s">
        <v>10</v>
      </c>
      <c r="E2878" t="s">
        <v>40</v>
      </c>
      <c r="F2878">
        <v>540</v>
      </c>
      <c r="G2878">
        <v>19</v>
      </c>
      <c r="H2878" s="6">
        <f t="shared" si="224"/>
        <v>10.26</v>
      </c>
    </row>
    <row r="2879" spans="1:8" hidden="1" x14ac:dyDescent="0.3">
      <c r="A2879" s="9">
        <v>45208</v>
      </c>
      <c r="B2879" t="s">
        <v>8</v>
      </c>
      <c r="C2879" t="s">
        <v>15</v>
      </c>
      <c r="D2879" t="s">
        <v>18</v>
      </c>
      <c r="E2879" t="s">
        <v>21</v>
      </c>
      <c r="F2879">
        <v>450</v>
      </c>
      <c r="G2879">
        <v>66</v>
      </c>
      <c r="H2879" s="6">
        <f t="shared" si="224"/>
        <v>29.7</v>
      </c>
    </row>
    <row r="2880" spans="1:8" hidden="1" x14ac:dyDescent="0.3">
      <c r="A2880" s="9">
        <v>45208</v>
      </c>
      <c r="B2880" t="s">
        <v>8</v>
      </c>
      <c r="C2880" t="s">
        <v>15</v>
      </c>
      <c r="D2880" t="s">
        <v>13</v>
      </c>
      <c r="E2880" t="s">
        <v>14</v>
      </c>
      <c r="F2880">
        <v>1320</v>
      </c>
      <c r="G2880">
        <v>79</v>
      </c>
      <c r="H2880" s="6">
        <f t="shared" si="224"/>
        <v>104.28</v>
      </c>
    </row>
    <row r="2881" spans="1:8" x14ac:dyDescent="0.3">
      <c r="A2881" s="9">
        <v>45208</v>
      </c>
      <c r="B2881" t="s">
        <v>45</v>
      </c>
      <c r="C2881" t="s">
        <v>15</v>
      </c>
      <c r="D2881" t="s">
        <v>13</v>
      </c>
      <c r="E2881" t="s">
        <v>29</v>
      </c>
      <c r="F2881">
        <v>1230</v>
      </c>
      <c r="G2881">
        <v>8</v>
      </c>
      <c r="H2881" s="6">
        <f t="shared" si="224"/>
        <v>9.84</v>
      </c>
    </row>
    <row r="2882" spans="1:8" hidden="1" x14ac:dyDescent="0.3">
      <c r="A2882" s="9">
        <v>45208</v>
      </c>
      <c r="B2882" t="s">
        <v>8</v>
      </c>
      <c r="C2882" t="s">
        <v>15</v>
      </c>
      <c r="D2882" t="s">
        <v>24</v>
      </c>
      <c r="E2882" t="s">
        <v>32</v>
      </c>
      <c r="F2882">
        <v>1505</v>
      </c>
      <c r="G2882">
        <v>85</v>
      </c>
      <c r="H2882" s="6">
        <f t="shared" si="224"/>
        <v>127.925</v>
      </c>
    </row>
    <row r="2883" spans="1:8" hidden="1" x14ac:dyDescent="0.3">
      <c r="A2883" s="9">
        <v>45208</v>
      </c>
      <c r="B2883" t="s">
        <v>12</v>
      </c>
      <c r="C2883" t="s">
        <v>35</v>
      </c>
      <c r="D2883" t="s">
        <v>13</v>
      </c>
      <c r="E2883" t="s">
        <v>38</v>
      </c>
      <c r="F2883">
        <v>2400</v>
      </c>
      <c r="G2883">
        <v>10</v>
      </c>
      <c r="H2883" s="6">
        <f t="shared" si="224"/>
        <v>24</v>
      </c>
    </row>
    <row r="2884" spans="1:8" hidden="1" x14ac:dyDescent="0.3">
      <c r="A2884" s="9">
        <v>45208</v>
      </c>
      <c r="B2884" t="s">
        <v>17</v>
      </c>
      <c r="C2884" t="s">
        <v>35</v>
      </c>
      <c r="D2884" t="s">
        <v>13</v>
      </c>
      <c r="E2884" t="s">
        <v>44</v>
      </c>
      <c r="F2884">
        <v>2540</v>
      </c>
      <c r="G2884">
        <v>67</v>
      </c>
      <c r="H2884" s="6">
        <f t="shared" si="224"/>
        <v>170.18</v>
      </c>
    </row>
    <row r="2885" spans="1:8" hidden="1" x14ac:dyDescent="0.3">
      <c r="A2885" s="13" t="s">
        <v>296</v>
      </c>
      <c r="H2885" s="6">
        <f>SUBTOTAL(9,H2876:H2884)</f>
        <v>9.84</v>
      </c>
    </row>
    <row r="2886" spans="1:8" hidden="1" x14ac:dyDescent="0.3">
      <c r="A2886" s="9">
        <v>45209</v>
      </c>
      <c r="B2886" t="s">
        <v>17</v>
      </c>
      <c r="C2886" t="s">
        <v>9</v>
      </c>
      <c r="D2886" t="s">
        <v>13</v>
      </c>
      <c r="E2886" t="s">
        <v>14</v>
      </c>
      <c r="F2886">
        <v>1320</v>
      </c>
      <c r="G2886">
        <v>11</v>
      </c>
      <c r="H2886" s="6">
        <f t="shared" ref="H2886:H2893" si="225">F2886*G2886/1000</f>
        <v>14.52</v>
      </c>
    </row>
    <row r="2887" spans="1:8" hidden="1" x14ac:dyDescent="0.3">
      <c r="A2887" s="9">
        <v>45209</v>
      </c>
      <c r="B2887" t="s">
        <v>45</v>
      </c>
      <c r="C2887" t="s">
        <v>26</v>
      </c>
      <c r="D2887" t="s">
        <v>18</v>
      </c>
      <c r="E2887" t="s">
        <v>37</v>
      </c>
      <c r="F2887">
        <v>890</v>
      </c>
      <c r="G2887">
        <v>50</v>
      </c>
      <c r="H2887" s="6">
        <f t="shared" si="225"/>
        <v>44.5</v>
      </c>
    </row>
    <row r="2888" spans="1:8" hidden="1" x14ac:dyDescent="0.3">
      <c r="A2888" s="9">
        <v>45209</v>
      </c>
      <c r="B2888" t="s">
        <v>45</v>
      </c>
      <c r="C2888" t="s">
        <v>26</v>
      </c>
      <c r="D2888" t="s">
        <v>13</v>
      </c>
      <c r="E2888" t="s">
        <v>22</v>
      </c>
      <c r="F2888">
        <v>930</v>
      </c>
      <c r="G2888">
        <v>48</v>
      </c>
      <c r="H2888" s="6">
        <f t="shared" si="225"/>
        <v>44.64</v>
      </c>
    </row>
    <row r="2889" spans="1:8" hidden="1" x14ac:dyDescent="0.3">
      <c r="A2889" s="9">
        <v>45209</v>
      </c>
      <c r="B2889" t="s">
        <v>12</v>
      </c>
      <c r="C2889" t="s">
        <v>15</v>
      </c>
      <c r="D2889" t="s">
        <v>18</v>
      </c>
      <c r="E2889" t="s">
        <v>21</v>
      </c>
      <c r="F2889">
        <v>450</v>
      </c>
      <c r="G2889">
        <v>89</v>
      </c>
      <c r="H2889" s="6">
        <f t="shared" si="225"/>
        <v>40.049999999999997</v>
      </c>
    </row>
    <row r="2890" spans="1:8" hidden="1" x14ac:dyDescent="0.3">
      <c r="A2890" s="9">
        <v>45209</v>
      </c>
      <c r="B2890" t="s">
        <v>17</v>
      </c>
      <c r="C2890" t="s">
        <v>15</v>
      </c>
      <c r="D2890" t="s">
        <v>13</v>
      </c>
      <c r="E2890" t="s">
        <v>38</v>
      </c>
      <c r="F2890">
        <v>2400</v>
      </c>
      <c r="G2890">
        <v>14</v>
      </c>
      <c r="H2890" s="6">
        <f t="shared" si="225"/>
        <v>33.6</v>
      </c>
    </row>
    <row r="2891" spans="1:8" hidden="1" x14ac:dyDescent="0.3">
      <c r="A2891" s="9">
        <v>45209</v>
      </c>
      <c r="B2891" t="s">
        <v>17</v>
      </c>
      <c r="C2891" t="s">
        <v>15</v>
      </c>
      <c r="D2891" t="s">
        <v>24</v>
      </c>
      <c r="E2891" t="s">
        <v>32</v>
      </c>
      <c r="F2891">
        <v>1505</v>
      </c>
      <c r="G2891">
        <v>83</v>
      </c>
      <c r="H2891" s="6">
        <f t="shared" si="225"/>
        <v>124.91500000000001</v>
      </c>
    </row>
    <row r="2892" spans="1:8" hidden="1" x14ac:dyDescent="0.3">
      <c r="A2892" s="9">
        <v>45209</v>
      </c>
      <c r="B2892" t="s">
        <v>17</v>
      </c>
      <c r="C2892" t="s">
        <v>33</v>
      </c>
      <c r="D2892" t="s">
        <v>10</v>
      </c>
      <c r="E2892" t="s">
        <v>16</v>
      </c>
      <c r="F2892">
        <v>1380</v>
      </c>
      <c r="G2892">
        <v>85</v>
      </c>
      <c r="H2892" s="6">
        <f t="shared" si="225"/>
        <v>117.3</v>
      </c>
    </row>
    <row r="2893" spans="1:8" hidden="1" x14ac:dyDescent="0.3">
      <c r="A2893" s="9">
        <v>45209</v>
      </c>
      <c r="B2893" t="s">
        <v>12</v>
      </c>
      <c r="C2893" t="s">
        <v>35</v>
      </c>
      <c r="D2893" t="s">
        <v>10</v>
      </c>
      <c r="E2893" t="s">
        <v>39</v>
      </c>
      <c r="F2893">
        <v>650</v>
      </c>
      <c r="G2893">
        <v>59</v>
      </c>
      <c r="H2893" s="6">
        <f t="shared" si="225"/>
        <v>38.35</v>
      </c>
    </row>
    <row r="2894" spans="1:8" hidden="1" x14ac:dyDescent="0.3">
      <c r="A2894" s="13" t="s">
        <v>297</v>
      </c>
      <c r="H2894" s="6">
        <f>SUBTOTAL(9,H2886:H2893)</f>
        <v>0</v>
      </c>
    </row>
    <row r="2895" spans="1:8" hidden="1" x14ac:dyDescent="0.3">
      <c r="A2895" s="9">
        <v>45210</v>
      </c>
      <c r="B2895" t="s">
        <v>17</v>
      </c>
      <c r="C2895" t="s">
        <v>20</v>
      </c>
      <c r="D2895" t="s">
        <v>10</v>
      </c>
      <c r="E2895" t="s">
        <v>39</v>
      </c>
      <c r="F2895">
        <v>650</v>
      </c>
      <c r="G2895">
        <v>76</v>
      </c>
      <c r="H2895" s="6">
        <f t="shared" ref="H2895:H2907" si="226">F2895*G2895/1000</f>
        <v>49.4</v>
      </c>
    </row>
    <row r="2896" spans="1:8" hidden="1" x14ac:dyDescent="0.3">
      <c r="A2896" s="9">
        <v>45210</v>
      </c>
      <c r="B2896" t="s">
        <v>12</v>
      </c>
      <c r="C2896" t="s">
        <v>20</v>
      </c>
      <c r="D2896" t="s">
        <v>18</v>
      </c>
      <c r="E2896" t="s">
        <v>37</v>
      </c>
      <c r="F2896">
        <v>890</v>
      </c>
      <c r="G2896">
        <v>52</v>
      </c>
      <c r="H2896" s="6">
        <f t="shared" si="226"/>
        <v>46.28</v>
      </c>
    </row>
    <row r="2897" spans="1:8" hidden="1" x14ac:dyDescent="0.3">
      <c r="A2897" s="9">
        <v>45210</v>
      </c>
      <c r="B2897" t="s">
        <v>8</v>
      </c>
      <c r="C2897" t="s">
        <v>9</v>
      </c>
      <c r="D2897" t="s">
        <v>10</v>
      </c>
      <c r="E2897" t="s">
        <v>16</v>
      </c>
      <c r="F2897">
        <v>1380</v>
      </c>
      <c r="G2897">
        <v>38</v>
      </c>
      <c r="H2897" s="6">
        <f t="shared" si="226"/>
        <v>52.44</v>
      </c>
    </row>
    <row r="2898" spans="1:8" hidden="1" x14ac:dyDescent="0.3">
      <c r="A2898" s="9">
        <v>45210</v>
      </c>
      <c r="B2898" t="s">
        <v>17</v>
      </c>
      <c r="C2898" t="s">
        <v>9</v>
      </c>
      <c r="D2898" t="s">
        <v>13</v>
      </c>
      <c r="E2898" t="s">
        <v>44</v>
      </c>
      <c r="F2898">
        <v>2540</v>
      </c>
      <c r="G2898">
        <v>95</v>
      </c>
      <c r="H2898" s="6">
        <f t="shared" si="226"/>
        <v>241.3</v>
      </c>
    </row>
    <row r="2899" spans="1:8" hidden="1" x14ac:dyDescent="0.3">
      <c r="A2899" s="9">
        <v>45210</v>
      </c>
      <c r="B2899" t="s">
        <v>8</v>
      </c>
      <c r="C2899" t="s">
        <v>26</v>
      </c>
      <c r="D2899" t="s">
        <v>10</v>
      </c>
      <c r="E2899" t="s">
        <v>16</v>
      </c>
      <c r="F2899">
        <v>1380</v>
      </c>
      <c r="G2899">
        <v>10</v>
      </c>
      <c r="H2899" s="6">
        <f t="shared" si="226"/>
        <v>13.8</v>
      </c>
    </row>
    <row r="2900" spans="1:8" hidden="1" x14ac:dyDescent="0.3">
      <c r="A2900" s="9">
        <v>45210</v>
      </c>
      <c r="B2900" t="s">
        <v>17</v>
      </c>
      <c r="C2900" t="s">
        <v>15</v>
      </c>
      <c r="D2900" t="s">
        <v>10</v>
      </c>
      <c r="E2900" t="s">
        <v>16</v>
      </c>
      <c r="F2900">
        <v>1380</v>
      </c>
      <c r="G2900">
        <v>23</v>
      </c>
      <c r="H2900" s="6">
        <f t="shared" si="226"/>
        <v>31.74</v>
      </c>
    </row>
    <row r="2901" spans="1:8" hidden="1" x14ac:dyDescent="0.3">
      <c r="A2901" s="9">
        <v>45210</v>
      </c>
      <c r="B2901" t="s">
        <v>45</v>
      </c>
      <c r="C2901" t="s">
        <v>15</v>
      </c>
      <c r="D2901" t="s">
        <v>18</v>
      </c>
      <c r="E2901" t="s">
        <v>28</v>
      </c>
      <c r="F2901">
        <v>690</v>
      </c>
      <c r="G2901">
        <v>74</v>
      </c>
      <c r="H2901" s="6">
        <f t="shared" si="226"/>
        <v>51.06</v>
      </c>
    </row>
    <row r="2902" spans="1:8" hidden="1" x14ac:dyDescent="0.3">
      <c r="A2902" s="9">
        <v>45210</v>
      </c>
      <c r="B2902" t="s">
        <v>17</v>
      </c>
      <c r="C2902" t="s">
        <v>15</v>
      </c>
      <c r="D2902" t="s">
        <v>24</v>
      </c>
      <c r="E2902" t="s">
        <v>30</v>
      </c>
      <c r="F2902">
        <v>2970</v>
      </c>
      <c r="G2902">
        <v>48</v>
      </c>
      <c r="H2902" s="6">
        <f t="shared" si="226"/>
        <v>142.56</v>
      </c>
    </row>
    <row r="2903" spans="1:8" hidden="1" x14ac:dyDescent="0.3">
      <c r="A2903" s="9">
        <v>45210</v>
      </c>
      <c r="B2903" t="s">
        <v>17</v>
      </c>
      <c r="C2903" t="s">
        <v>33</v>
      </c>
      <c r="D2903" t="s">
        <v>10</v>
      </c>
      <c r="E2903" t="s">
        <v>40</v>
      </c>
      <c r="F2903">
        <v>540</v>
      </c>
      <c r="G2903">
        <v>64</v>
      </c>
      <c r="H2903" s="6">
        <f t="shared" si="226"/>
        <v>34.56</v>
      </c>
    </row>
    <row r="2904" spans="1:8" hidden="1" x14ac:dyDescent="0.3">
      <c r="A2904" s="9">
        <v>45210</v>
      </c>
      <c r="B2904" t="s">
        <v>8</v>
      </c>
      <c r="C2904" t="s">
        <v>33</v>
      </c>
      <c r="D2904" t="s">
        <v>10</v>
      </c>
      <c r="E2904" t="s">
        <v>39</v>
      </c>
      <c r="F2904">
        <v>650</v>
      </c>
      <c r="G2904">
        <v>26</v>
      </c>
      <c r="H2904" s="6">
        <f t="shared" si="226"/>
        <v>16.899999999999999</v>
      </c>
    </row>
    <row r="2905" spans="1:8" hidden="1" x14ac:dyDescent="0.3">
      <c r="A2905" s="9">
        <v>45210</v>
      </c>
      <c r="B2905" t="s">
        <v>17</v>
      </c>
      <c r="C2905" t="s">
        <v>33</v>
      </c>
      <c r="D2905" t="s">
        <v>18</v>
      </c>
      <c r="E2905" t="s">
        <v>19</v>
      </c>
      <c r="F2905">
        <v>325</v>
      </c>
      <c r="G2905">
        <v>94</v>
      </c>
      <c r="H2905" s="6">
        <f t="shared" si="226"/>
        <v>30.55</v>
      </c>
    </row>
    <row r="2906" spans="1:8" hidden="1" x14ac:dyDescent="0.3">
      <c r="A2906" s="9">
        <v>45210</v>
      </c>
      <c r="B2906" t="s">
        <v>17</v>
      </c>
      <c r="C2906" t="s">
        <v>33</v>
      </c>
      <c r="D2906" t="s">
        <v>13</v>
      </c>
      <c r="E2906" t="s">
        <v>43</v>
      </c>
      <c r="F2906">
        <v>1420</v>
      </c>
      <c r="G2906">
        <v>61</v>
      </c>
      <c r="H2906" s="6">
        <f t="shared" si="226"/>
        <v>86.62</v>
      </c>
    </row>
    <row r="2907" spans="1:8" hidden="1" x14ac:dyDescent="0.3">
      <c r="A2907" s="9">
        <v>45210</v>
      </c>
      <c r="B2907" t="s">
        <v>45</v>
      </c>
      <c r="C2907" t="s">
        <v>35</v>
      </c>
      <c r="D2907" t="s">
        <v>24</v>
      </c>
      <c r="E2907" t="s">
        <v>34</v>
      </c>
      <c r="F2907">
        <v>1670</v>
      </c>
      <c r="G2907">
        <v>48</v>
      </c>
      <c r="H2907" s="6">
        <f t="shared" si="226"/>
        <v>80.16</v>
      </c>
    </row>
    <row r="2908" spans="1:8" hidden="1" x14ac:dyDescent="0.3">
      <c r="A2908" s="13" t="s">
        <v>298</v>
      </c>
      <c r="H2908" s="6">
        <f>SUBTOTAL(9,H2895:H2907)</f>
        <v>0</v>
      </c>
    </row>
    <row r="2909" spans="1:8" hidden="1" x14ac:dyDescent="0.3">
      <c r="A2909" s="9">
        <v>45211</v>
      </c>
      <c r="B2909" t="s">
        <v>17</v>
      </c>
      <c r="C2909" t="s">
        <v>20</v>
      </c>
      <c r="D2909" t="s">
        <v>13</v>
      </c>
      <c r="E2909" t="s">
        <v>44</v>
      </c>
      <c r="F2909">
        <v>2540</v>
      </c>
      <c r="G2909">
        <v>89</v>
      </c>
      <c r="H2909" s="6">
        <f>F2909*G2909/1000</f>
        <v>226.06</v>
      </c>
    </row>
    <row r="2910" spans="1:8" hidden="1" x14ac:dyDescent="0.3">
      <c r="A2910" s="9">
        <v>45211</v>
      </c>
      <c r="B2910" t="s">
        <v>17</v>
      </c>
      <c r="C2910" t="s">
        <v>20</v>
      </c>
      <c r="D2910" t="s">
        <v>24</v>
      </c>
      <c r="E2910" t="s">
        <v>42</v>
      </c>
      <c r="F2910">
        <v>3205</v>
      </c>
      <c r="G2910">
        <v>41</v>
      </c>
      <c r="H2910" s="6">
        <f>F2910*G2910/1000</f>
        <v>131.405</v>
      </c>
    </row>
    <row r="2911" spans="1:8" hidden="1" x14ac:dyDescent="0.3">
      <c r="A2911" s="9">
        <v>45211</v>
      </c>
      <c r="B2911" t="s">
        <v>8</v>
      </c>
      <c r="C2911" t="s">
        <v>33</v>
      </c>
      <c r="D2911" t="s">
        <v>18</v>
      </c>
      <c r="E2911" t="s">
        <v>21</v>
      </c>
      <c r="F2911">
        <v>450</v>
      </c>
      <c r="G2911">
        <v>50</v>
      </c>
      <c r="H2911" s="6">
        <f>F2911*G2911/1000</f>
        <v>22.5</v>
      </c>
    </row>
    <row r="2912" spans="1:8" hidden="1" x14ac:dyDescent="0.3">
      <c r="A2912" s="13" t="s">
        <v>299</v>
      </c>
      <c r="H2912" s="6">
        <f>SUBTOTAL(9,H2909:H2911)</f>
        <v>0</v>
      </c>
    </row>
    <row r="2913" spans="1:8" hidden="1" x14ac:dyDescent="0.3">
      <c r="A2913" s="9">
        <v>45212</v>
      </c>
      <c r="B2913" t="s">
        <v>45</v>
      </c>
      <c r="C2913" t="s">
        <v>20</v>
      </c>
      <c r="D2913" t="s">
        <v>10</v>
      </c>
      <c r="E2913" t="s">
        <v>16</v>
      </c>
      <c r="F2913">
        <v>1380</v>
      </c>
      <c r="G2913">
        <v>44</v>
      </c>
      <c r="H2913" s="6">
        <f t="shared" ref="H2913:H2924" si="227">F2913*G2913/1000</f>
        <v>60.72</v>
      </c>
    </row>
    <row r="2914" spans="1:8" hidden="1" x14ac:dyDescent="0.3">
      <c r="A2914" s="9">
        <v>45212</v>
      </c>
      <c r="B2914" t="s">
        <v>45</v>
      </c>
      <c r="C2914" t="s">
        <v>9</v>
      </c>
      <c r="D2914" t="s">
        <v>18</v>
      </c>
      <c r="E2914" t="s">
        <v>37</v>
      </c>
      <c r="F2914">
        <v>890</v>
      </c>
      <c r="G2914">
        <v>83</v>
      </c>
      <c r="H2914" s="6">
        <f t="shared" si="227"/>
        <v>73.87</v>
      </c>
    </row>
    <row r="2915" spans="1:8" hidden="1" x14ac:dyDescent="0.3">
      <c r="A2915" s="9">
        <v>45212</v>
      </c>
      <c r="B2915" t="s">
        <v>17</v>
      </c>
      <c r="C2915" t="s">
        <v>9</v>
      </c>
      <c r="D2915" t="s">
        <v>24</v>
      </c>
      <c r="E2915" t="s">
        <v>30</v>
      </c>
      <c r="F2915">
        <v>2970</v>
      </c>
      <c r="G2915">
        <v>16</v>
      </c>
      <c r="H2915" s="6">
        <f t="shared" si="227"/>
        <v>47.52</v>
      </c>
    </row>
    <row r="2916" spans="1:8" hidden="1" x14ac:dyDescent="0.3">
      <c r="A2916" s="9">
        <v>45212</v>
      </c>
      <c r="B2916" t="s">
        <v>12</v>
      </c>
      <c r="C2916" t="s">
        <v>26</v>
      </c>
      <c r="D2916" t="s">
        <v>13</v>
      </c>
      <c r="E2916" t="s">
        <v>38</v>
      </c>
      <c r="F2916">
        <v>2400</v>
      </c>
      <c r="G2916">
        <v>83</v>
      </c>
      <c r="H2916" s="6">
        <f t="shared" si="227"/>
        <v>199.2</v>
      </c>
    </row>
    <row r="2917" spans="1:8" hidden="1" x14ac:dyDescent="0.3">
      <c r="A2917" s="9">
        <v>45212</v>
      </c>
      <c r="B2917" t="s">
        <v>17</v>
      </c>
      <c r="C2917" t="s">
        <v>26</v>
      </c>
      <c r="D2917" t="s">
        <v>24</v>
      </c>
      <c r="E2917" t="s">
        <v>25</v>
      </c>
      <c r="F2917">
        <v>1760</v>
      </c>
      <c r="G2917">
        <v>27</v>
      </c>
      <c r="H2917" s="6">
        <f t="shared" si="227"/>
        <v>47.52</v>
      </c>
    </row>
    <row r="2918" spans="1:8" hidden="1" x14ac:dyDescent="0.3">
      <c r="A2918" s="9">
        <v>45212</v>
      </c>
      <c r="B2918" t="s">
        <v>45</v>
      </c>
      <c r="C2918" t="s">
        <v>15</v>
      </c>
      <c r="D2918" t="s">
        <v>24</v>
      </c>
      <c r="E2918" t="s">
        <v>42</v>
      </c>
      <c r="F2918">
        <v>3205</v>
      </c>
      <c r="G2918">
        <v>36</v>
      </c>
      <c r="H2918" s="6">
        <f t="shared" si="227"/>
        <v>115.38</v>
      </c>
    </row>
    <row r="2919" spans="1:8" hidden="1" x14ac:dyDescent="0.3">
      <c r="A2919" s="9">
        <v>45212</v>
      </c>
      <c r="B2919" t="s">
        <v>8</v>
      </c>
      <c r="C2919" t="s">
        <v>15</v>
      </c>
      <c r="D2919" t="s">
        <v>24</v>
      </c>
      <c r="E2919" t="s">
        <v>25</v>
      </c>
      <c r="F2919">
        <v>1760</v>
      </c>
      <c r="G2919">
        <v>69</v>
      </c>
      <c r="H2919" s="6">
        <f t="shared" si="227"/>
        <v>121.44</v>
      </c>
    </row>
    <row r="2920" spans="1:8" hidden="1" x14ac:dyDescent="0.3">
      <c r="A2920" s="9">
        <v>45212</v>
      </c>
      <c r="B2920" t="s">
        <v>8</v>
      </c>
      <c r="C2920" t="s">
        <v>33</v>
      </c>
      <c r="D2920" t="s">
        <v>10</v>
      </c>
      <c r="E2920" t="s">
        <v>11</v>
      </c>
      <c r="F2920">
        <v>705</v>
      </c>
      <c r="G2920">
        <v>33</v>
      </c>
      <c r="H2920" s="6">
        <f t="shared" si="227"/>
        <v>23.265000000000001</v>
      </c>
    </row>
    <row r="2921" spans="1:8" hidden="1" x14ac:dyDescent="0.3">
      <c r="A2921" s="9">
        <v>45212</v>
      </c>
      <c r="B2921" t="s">
        <v>12</v>
      </c>
      <c r="C2921" t="s">
        <v>33</v>
      </c>
      <c r="D2921" t="s">
        <v>10</v>
      </c>
      <c r="E2921" t="s">
        <v>23</v>
      </c>
      <c r="F2921">
        <v>640</v>
      </c>
      <c r="G2921">
        <v>21</v>
      </c>
      <c r="H2921" s="6">
        <f t="shared" si="227"/>
        <v>13.44</v>
      </c>
    </row>
    <row r="2922" spans="1:8" hidden="1" x14ac:dyDescent="0.3">
      <c r="A2922" s="9">
        <v>45212</v>
      </c>
      <c r="B2922" t="s">
        <v>17</v>
      </c>
      <c r="C2922" t="s">
        <v>35</v>
      </c>
      <c r="D2922" t="s">
        <v>10</v>
      </c>
      <c r="E2922" t="s">
        <v>23</v>
      </c>
      <c r="F2922">
        <v>640</v>
      </c>
      <c r="G2922">
        <v>46</v>
      </c>
      <c r="H2922" s="6">
        <f t="shared" si="227"/>
        <v>29.44</v>
      </c>
    </row>
    <row r="2923" spans="1:8" hidden="1" x14ac:dyDescent="0.3">
      <c r="A2923" s="9">
        <v>45212</v>
      </c>
      <c r="B2923" t="s">
        <v>12</v>
      </c>
      <c r="C2923" t="s">
        <v>35</v>
      </c>
      <c r="D2923" t="s">
        <v>18</v>
      </c>
      <c r="E2923" t="s">
        <v>21</v>
      </c>
      <c r="F2923">
        <v>450</v>
      </c>
      <c r="G2923">
        <v>34</v>
      </c>
      <c r="H2923" s="6">
        <f t="shared" si="227"/>
        <v>15.3</v>
      </c>
    </row>
    <row r="2924" spans="1:8" hidden="1" x14ac:dyDescent="0.3">
      <c r="A2924" s="9">
        <v>45212</v>
      </c>
      <c r="B2924" t="s">
        <v>12</v>
      </c>
      <c r="C2924" t="s">
        <v>35</v>
      </c>
      <c r="D2924" t="s">
        <v>13</v>
      </c>
      <c r="E2924" t="s">
        <v>44</v>
      </c>
      <c r="F2924">
        <v>2540</v>
      </c>
      <c r="G2924">
        <v>6</v>
      </c>
      <c r="H2924" s="6">
        <f t="shared" si="227"/>
        <v>15.24</v>
      </c>
    </row>
    <row r="2925" spans="1:8" hidden="1" x14ac:dyDescent="0.3">
      <c r="A2925" s="13" t="s">
        <v>300</v>
      </c>
      <c r="H2925" s="6">
        <f>SUBTOTAL(9,H2913:H2924)</f>
        <v>0</v>
      </c>
    </row>
    <row r="2926" spans="1:8" hidden="1" x14ac:dyDescent="0.3">
      <c r="A2926" s="9">
        <v>45213</v>
      </c>
      <c r="B2926" t="s">
        <v>17</v>
      </c>
      <c r="C2926" t="s">
        <v>20</v>
      </c>
      <c r="D2926" t="s">
        <v>24</v>
      </c>
      <c r="E2926" t="s">
        <v>32</v>
      </c>
      <c r="F2926">
        <v>1505</v>
      </c>
      <c r="G2926">
        <v>80</v>
      </c>
      <c r="H2926" s="6">
        <f t="shared" ref="H2926:H2934" si="228">F2926*G2926/1000</f>
        <v>120.4</v>
      </c>
    </row>
    <row r="2927" spans="1:8" hidden="1" x14ac:dyDescent="0.3">
      <c r="A2927" s="9">
        <v>45213</v>
      </c>
      <c r="B2927" t="s">
        <v>45</v>
      </c>
      <c r="C2927" t="s">
        <v>9</v>
      </c>
      <c r="D2927" t="s">
        <v>10</v>
      </c>
      <c r="E2927" t="s">
        <v>40</v>
      </c>
      <c r="F2927">
        <v>540</v>
      </c>
      <c r="G2927">
        <v>39</v>
      </c>
      <c r="H2927" s="6">
        <f t="shared" si="228"/>
        <v>21.06</v>
      </c>
    </row>
    <row r="2928" spans="1:8" hidden="1" x14ac:dyDescent="0.3">
      <c r="A2928" s="9">
        <v>45213</v>
      </c>
      <c r="B2928" t="s">
        <v>17</v>
      </c>
      <c r="C2928" t="s">
        <v>9</v>
      </c>
      <c r="D2928" t="s">
        <v>18</v>
      </c>
      <c r="E2928" t="s">
        <v>31</v>
      </c>
      <c r="F2928">
        <v>715</v>
      </c>
      <c r="G2928">
        <v>88</v>
      </c>
      <c r="H2928" s="6">
        <f t="shared" si="228"/>
        <v>62.92</v>
      </c>
    </row>
    <row r="2929" spans="1:8" hidden="1" x14ac:dyDescent="0.3">
      <c r="A2929" s="9">
        <v>45213</v>
      </c>
      <c r="B2929" t="s">
        <v>12</v>
      </c>
      <c r="C2929" t="s">
        <v>26</v>
      </c>
      <c r="D2929" t="s">
        <v>10</v>
      </c>
      <c r="E2929" t="s">
        <v>40</v>
      </c>
      <c r="F2929">
        <v>540</v>
      </c>
      <c r="G2929">
        <v>38</v>
      </c>
      <c r="H2929" s="6">
        <f t="shared" si="228"/>
        <v>20.52</v>
      </c>
    </row>
    <row r="2930" spans="1:8" hidden="1" x14ac:dyDescent="0.3">
      <c r="A2930" s="9">
        <v>45213</v>
      </c>
      <c r="B2930" t="s">
        <v>12</v>
      </c>
      <c r="C2930" t="s">
        <v>26</v>
      </c>
      <c r="D2930" t="s">
        <v>13</v>
      </c>
      <c r="E2930" t="s">
        <v>14</v>
      </c>
      <c r="F2930">
        <v>1320</v>
      </c>
      <c r="G2930">
        <v>30</v>
      </c>
      <c r="H2930" s="6">
        <f t="shared" si="228"/>
        <v>39.6</v>
      </c>
    </row>
    <row r="2931" spans="1:8" hidden="1" x14ac:dyDescent="0.3">
      <c r="A2931" s="9">
        <v>45213</v>
      </c>
      <c r="B2931" t="s">
        <v>12</v>
      </c>
      <c r="C2931" t="s">
        <v>15</v>
      </c>
      <c r="D2931" t="s">
        <v>10</v>
      </c>
      <c r="E2931" t="s">
        <v>11</v>
      </c>
      <c r="F2931">
        <v>705</v>
      </c>
      <c r="G2931">
        <v>81</v>
      </c>
      <c r="H2931" s="6">
        <f t="shared" si="228"/>
        <v>57.104999999999997</v>
      </c>
    </row>
    <row r="2932" spans="1:8" hidden="1" x14ac:dyDescent="0.3">
      <c r="A2932" s="9">
        <v>45213</v>
      </c>
      <c r="B2932" t="s">
        <v>8</v>
      </c>
      <c r="C2932" t="s">
        <v>15</v>
      </c>
      <c r="D2932" t="s">
        <v>10</v>
      </c>
      <c r="E2932" t="s">
        <v>41</v>
      </c>
      <c r="F2932">
        <v>650</v>
      </c>
      <c r="G2932">
        <v>35</v>
      </c>
      <c r="H2932" s="6">
        <f t="shared" si="228"/>
        <v>22.75</v>
      </c>
    </row>
    <row r="2933" spans="1:8" hidden="1" x14ac:dyDescent="0.3">
      <c r="A2933" s="9">
        <v>45213</v>
      </c>
      <c r="B2933" t="s">
        <v>17</v>
      </c>
      <c r="C2933" t="s">
        <v>15</v>
      </c>
      <c r="D2933" t="s">
        <v>10</v>
      </c>
      <c r="E2933" t="s">
        <v>23</v>
      </c>
      <c r="F2933">
        <v>640</v>
      </c>
      <c r="G2933">
        <v>63</v>
      </c>
      <c r="H2933" s="6">
        <f t="shared" si="228"/>
        <v>40.32</v>
      </c>
    </row>
    <row r="2934" spans="1:8" hidden="1" x14ac:dyDescent="0.3">
      <c r="A2934" s="9">
        <v>45213</v>
      </c>
      <c r="B2934" t="s">
        <v>17</v>
      </c>
      <c r="C2934" t="s">
        <v>33</v>
      </c>
      <c r="D2934" t="s">
        <v>13</v>
      </c>
      <c r="E2934" t="s">
        <v>38</v>
      </c>
      <c r="F2934">
        <v>2400</v>
      </c>
      <c r="G2934">
        <v>70</v>
      </c>
      <c r="H2934" s="6">
        <f t="shared" si="228"/>
        <v>168</v>
      </c>
    </row>
    <row r="2935" spans="1:8" hidden="1" x14ac:dyDescent="0.3">
      <c r="A2935" s="13" t="s">
        <v>301</v>
      </c>
      <c r="H2935" s="6">
        <f>SUBTOTAL(9,H2926:H2934)</f>
        <v>0</v>
      </c>
    </row>
    <row r="2936" spans="1:8" hidden="1" x14ac:dyDescent="0.3">
      <c r="A2936" s="9">
        <v>45214</v>
      </c>
      <c r="B2936" t="s">
        <v>8</v>
      </c>
      <c r="C2936" t="s">
        <v>20</v>
      </c>
      <c r="D2936" t="s">
        <v>10</v>
      </c>
      <c r="E2936" t="s">
        <v>16</v>
      </c>
      <c r="F2936">
        <v>1380</v>
      </c>
      <c r="G2936">
        <v>59</v>
      </c>
      <c r="H2936" s="6">
        <f t="shared" ref="H2936:H2949" si="229">F2936*G2936/1000</f>
        <v>81.42</v>
      </c>
    </row>
    <row r="2937" spans="1:8" hidden="1" x14ac:dyDescent="0.3">
      <c r="A2937" s="9">
        <v>45214</v>
      </c>
      <c r="B2937" t="s">
        <v>45</v>
      </c>
      <c r="C2937" t="s">
        <v>20</v>
      </c>
      <c r="D2937" t="s">
        <v>13</v>
      </c>
      <c r="E2937" t="s">
        <v>38</v>
      </c>
      <c r="F2937">
        <v>2400</v>
      </c>
      <c r="G2937">
        <v>86</v>
      </c>
      <c r="H2937" s="6">
        <f t="shared" si="229"/>
        <v>206.4</v>
      </c>
    </row>
    <row r="2938" spans="1:8" hidden="1" x14ac:dyDescent="0.3">
      <c r="A2938" s="9">
        <v>45214</v>
      </c>
      <c r="B2938" t="s">
        <v>17</v>
      </c>
      <c r="C2938" t="s">
        <v>20</v>
      </c>
      <c r="D2938" t="s">
        <v>13</v>
      </c>
      <c r="E2938" t="s">
        <v>14</v>
      </c>
      <c r="F2938">
        <v>1320</v>
      </c>
      <c r="G2938">
        <v>40</v>
      </c>
      <c r="H2938" s="6">
        <f t="shared" si="229"/>
        <v>52.8</v>
      </c>
    </row>
    <row r="2939" spans="1:8" hidden="1" x14ac:dyDescent="0.3">
      <c r="A2939" s="9">
        <v>45214</v>
      </c>
      <c r="B2939" t="s">
        <v>17</v>
      </c>
      <c r="C2939" t="s">
        <v>9</v>
      </c>
      <c r="D2939" t="s">
        <v>10</v>
      </c>
      <c r="E2939" t="s">
        <v>40</v>
      </c>
      <c r="F2939">
        <v>540</v>
      </c>
      <c r="G2939">
        <v>23</v>
      </c>
      <c r="H2939" s="6">
        <f t="shared" si="229"/>
        <v>12.42</v>
      </c>
    </row>
    <row r="2940" spans="1:8" hidden="1" x14ac:dyDescent="0.3">
      <c r="A2940" s="9">
        <v>45214</v>
      </c>
      <c r="B2940" t="s">
        <v>45</v>
      </c>
      <c r="C2940" t="s">
        <v>9</v>
      </c>
      <c r="D2940" t="s">
        <v>13</v>
      </c>
      <c r="E2940" t="s">
        <v>14</v>
      </c>
      <c r="F2940">
        <v>1320</v>
      </c>
      <c r="G2940">
        <v>68</v>
      </c>
      <c r="H2940" s="6">
        <f t="shared" si="229"/>
        <v>89.76</v>
      </c>
    </row>
    <row r="2941" spans="1:8" hidden="1" x14ac:dyDescent="0.3">
      <c r="A2941" s="9">
        <v>45214</v>
      </c>
      <c r="B2941" t="s">
        <v>45</v>
      </c>
      <c r="C2941" t="s">
        <v>9</v>
      </c>
      <c r="D2941" t="s">
        <v>24</v>
      </c>
      <c r="E2941" t="s">
        <v>30</v>
      </c>
      <c r="F2941">
        <v>2970</v>
      </c>
      <c r="G2941">
        <v>20</v>
      </c>
      <c r="H2941" s="6">
        <f t="shared" si="229"/>
        <v>59.4</v>
      </c>
    </row>
    <row r="2942" spans="1:8" hidden="1" x14ac:dyDescent="0.3">
      <c r="A2942" s="9">
        <v>45214</v>
      </c>
      <c r="B2942" t="s">
        <v>45</v>
      </c>
      <c r="C2942" t="s">
        <v>15</v>
      </c>
      <c r="D2942" t="s">
        <v>10</v>
      </c>
      <c r="E2942" t="s">
        <v>23</v>
      </c>
      <c r="F2942">
        <v>640</v>
      </c>
      <c r="G2942">
        <v>83</v>
      </c>
      <c r="H2942" s="6">
        <f t="shared" si="229"/>
        <v>53.12</v>
      </c>
    </row>
    <row r="2943" spans="1:8" hidden="1" x14ac:dyDescent="0.3">
      <c r="A2943" s="9">
        <v>45214</v>
      </c>
      <c r="B2943" t="s">
        <v>17</v>
      </c>
      <c r="C2943" t="s">
        <v>15</v>
      </c>
      <c r="D2943" t="s">
        <v>18</v>
      </c>
      <c r="E2943" t="s">
        <v>31</v>
      </c>
      <c r="F2943">
        <v>715</v>
      </c>
      <c r="G2943">
        <v>14</v>
      </c>
      <c r="H2943" s="6">
        <f t="shared" si="229"/>
        <v>10.01</v>
      </c>
    </row>
    <row r="2944" spans="1:8" hidden="1" x14ac:dyDescent="0.3">
      <c r="A2944" s="9">
        <v>45214</v>
      </c>
      <c r="B2944" t="s">
        <v>45</v>
      </c>
      <c r="C2944" t="s">
        <v>15</v>
      </c>
      <c r="D2944" t="s">
        <v>13</v>
      </c>
      <c r="E2944" t="s">
        <v>43</v>
      </c>
      <c r="F2944">
        <v>1420</v>
      </c>
      <c r="G2944">
        <v>8</v>
      </c>
      <c r="H2944" s="6">
        <f t="shared" si="229"/>
        <v>11.36</v>
      </c>
    </row>
    <row r="2945" spans="1:8" hidden="1" x14ac:dyDescent="0.3">
      <c r="A2945" s="9">
        <v>45214</v>
      </c>
      <c r="B2945" t="s">
        <v>8</v>
      </c>
      <c r="C2945" t="s">
        <v>33</v>
      </c>
      <c r="D2945" t="s">
        <v>10</v>
      </c>
      <c r="E2945" t="s">
        <v>11</v>
      </c>
      <c r="F2945">
        <v>705</v>
      </c>
      <c r="G2945">
        <v>21</v>
      </c>
      <c r="H2945" s="6">
        <f t="shared" si="229"/>
        <v>14.805</v>
      </c>
    </row>
    <row r="2946" spans="1:8" hidden="1" x14ac:dyDescent="0.3">
      <c r="A2946" s="9">
        <v>45214</v>
      </c>
      <c r="B2946" t="s">
        <v>8</v>
      </c>
      <c r="C2946" t="s">
        <v>33</v>
      </c>
      <c r="D2946" t="s">
        <v>13</v>
      </c>
      <c r="E2946" t="s">
        <v>44</v>
      </c>
      <c r="F2946">
        <v>2540</v>
      </c>
      <c r="G2946">
        <v>72</v>
      </c>
      <c r="H2946" s="6">
        <f t="shared" si="229"/>
        <v>182.88</v>
      </c>
    </row>
    <row r="2947" spans="1:8" hidden="1" x14ac:dyDescent="0.3">
      <c r="A2947" s="9">
        <v>45214</v>
      </c>
      <c r="B2947" t="s">
        <v>17</v>
      </c>
      <c r="C2947" t="s">
        <v>33</v>
      </c>
      <c r="D2947" t="s">
        <v>24</v>
      </c>
      <c r="E2947" t="s">
        <v>30</v>
      </c>
      <c r="F2947">
        <v>2970</v>
      </c>
      <c r="G2947">
        <v>32</v>
      </c>
      <c r="H2947" s="6">
        <f t="shared" si="229"/>
        <v>95.04</v>
      </c>
    </row>
    <row r="2948" spans="1:8" hidden="1" x14ac:dyDescent="0.3">
      <c r="A2948" s="9">
        <v>45214</v>
      </c>
      <c r="B2948" t="s">
        <v>8</v>
      </c>
      <c r="C2948" t="s">
        <v>35</v>
      </c>
      <c r="D2948" t="s">
        <v>10</v>
      </c>
      <c r="E2948" t="s">
        <v>39</v>
      </c>
      <c r="F2948">
        <v>650</v>
      </c>
      <c r="G2948">
        <v>57</v>
      </c>
      <c r="H2948" s="6">
        <f t="shared" si="229"/>
        <v>37.049999999999997</v>
      </c>
    </row>
    <row r="2949" spans="1:8" hidden="1" x14ac:dyDescent="0.3">
      <c r="A2949" s="9">
        <v>45214</v>
      </c>
      <c r="B2949" t="s">
        <v>17</v>
      </c>
      <c r="C2949" t="s">
        <v>35</v>
      </c>
      <c r="D2949" t="s">
        <v>13</v>
      </c>
      <c r="E2949" t="s">
        <v>38</v>
      </c>
      <c r="F2949">
        <v>2400</v>
      </c>
      <c r="G2949">
        <v>60</v>
      </c>
      <c r="H2949" s="6">
        <f t="shared" si="229"/>
        <v>144</v>
      </c>
    </row>
    <row r="2950" spans="1:8" hidden="1" x14ac:dyDescent="0.3">
      <c r="A2950" s="13" t="s">
        <v>302</v>
      </c>
      <c r="H2950" s="6">
        <f>SUBTOTAL(9,H2936:H2949)</f>
        <v>0</v>
      </c>
    </row>
    <row r="2951" spans="1:8" hidden="1" x14ac:dyDescent="0.3">
      <c r="A2951" s="9">
        <v>45215</v>
      </c>
      <c r="B2951" t="s">
        <v>12</v>
      </c>
      <c r="C2951" t="s">
        <v>20</v>
      </c>
      <c r="D2951" t="s">
        <v>13</v>
      </c>
      <c r="E2951" t="s">
        <v>29</v>
      </c>
      <c r="F2951">
        <v>1230</v>
      </c>
      <c r="G2951">
        <v>51</v>
      </c>
      <c r="H2951" s="6">
        <f t="shared" ref="H2951:H2958" si="230">F2951*G2951/1000</f>
        <v>62.73</v>
      </c>
    </row>
    <row r="2952" spans="1:8" hidden="1" x14ac:dyDescent="0.3">
      <c r="A2952" s="9">
        <v>45215</v>
      </c>
      <c r="B2952" t="s">
        <v>45</v>
      </c>
      <c r="C2952" t="s">
        <v>9</v>
      </c>
      <c r="D2952" t="s">
        <v>10</v>
      </c>
      <c r="E2952" t="s">
        <v>41</v>
      </c>
      <c r="F2952">
        <v>650</v>
      </c>
      <c r="G2952">
        <v>95</v>
      </c>
      <c r="H2952" s="6">
        <f t="shared" si="230"/>
        <v>61.75</v>
      </c>
    </row>
    <row r="2953" spans="1:8" hidden="1" x14ac:dyDescent="0.3">
      <c r="A2953" s="9">
        <v>45215</v>
      </c>
      <c r="B2953" t="s">
        <v>17</v>
      </c>
      <c r="C2953" t="s">
        <v>9</v>
      </c>
      <c r="D2953" t="s">
        <v>18</v>
      </c>
      <c r="E2953" t="s">
        <v>31</v>
      </c>
      <c r="F2953">
        <v>715</v>
      </c>
      <c r="G2953">
        <v>80</v>
      </c>
      <c r="H2953" s="6">
        <f t="shared" si="230"/>
        <v>57.2</v>
      </c>
    </row>
    <row r="2954" spans="1:8" hidden="1" x14ac:dyDescent="0.3">
      <c r="A2954" s="9">
        <v>45215</v>
      </c>
      <c r="B2954" t="s">
        <v>45</v>
      </c>
      <c r="C2954" t="s">
        <v>9</v>
      </c>
      <c r="D2954" t="s">
        <v>18</v>
      </c>
      <c r="E2954" t="s">
        <v>37</v>
      </c>
      <c r="F2954">
        <v>890</v>
      </c>
      <c r="G2954">
        <v>58</v>
      </c>
      <c r="H2954" s="6">
        <f t="shared" si="230"/>
        <v>51.62</v>
      </c>
    </row>
    <row r="2955" spans="1:8" hidden="1" x14ac:dyDescent="0.3">
      <c r="A2955" s="9">
        <v>45215</v>
      </c>
      <c r="B2955" t="s">
        <v>8</v>
      </c>
      <c r="C2955" t="s">
        <v>9</v>
      </c>
      <c r="D2955" t="s">
        <v>24</v>
      </c>
      <c r="E2955" t="s">
        <v>36</v>
      </c>
      <c r="F2955">
        <v>2460</v>
      </c>
      <c r="G2955">
        <v>69</v>
      </c>
      <c r="H2955" s="6">
        <f t="shared" si="230"/>
        <v>169.74</v>
      </c>
    </row>
    <row r="2956" spans="1:8" hidden="1" x14ac:dyDescent="0.3">
      <c r="A2956" s="9">
        <v>45215</v>
      </c>
      <c r="B2956" t="s">
        <v>17</v>
      </c>
      <c r="C2956" t="s">
        <v>26</v>
      </c>
      <c r="D2956" t="s">
        <v>10</v>
      </c>
      <c r="E2956" t="s">
        <v>23</v>
      </c>
      <c r="F2956">
        <v>640</v>
      </c>
      <c r="G2956">
        <v>97</v>
      </c>
      <c r="H2956" s="6">
        <f t="shared" si="230"/>
        <v>62.08</v>
      </c>
    </row>
    <row r="2957" spans="1:8" hidden="1" x14ac:dyDescent="0.3">
      <c r="A2957" s="9">
        <v>45215</v>
      </c>
      <c r="B2957" t="s">
        <v>8</v>
      </c>
      <c r="C2957" t="s">
        <v>35</v>
      </c>
      <c r="D2957" t="s">
        <v>10</v>
      </c>
      <c r="E2957" t="s">
        <v>16</v>
      </c>
      <c r="F2957">
        <v>1380</v>
      </c>
      <c r="G2957">
        <v>45</v>
      </c>
      <c r="H2957" s="6">
        <f t="shared" si="230"/>
        <v>62.1</v>
      </c>
    </row>
    <row r="2958" spans="1:8" hidden="1" x14ac:dyDescent="0.3">
      <c r="A2958" s="9">
        <v>45215</v>
      </c>
      <c r="B2958" t="s">
        <v>12</v>
      </c>
      <c r="C2958" t="s">
        <v>35</v>
      </c>
      <c r="D2958" t="s">
        <v>13</v>
      </c>
      <c r="E2958" t="s">
        <v>22</v>
      </c>
      <c r="F2958">
        <v>930</v>
      </c>
      <c r="G2958">
        <v>9</v>
      </c>
      <c r="H2958" s="6">
        <f t="shared" si="230"/>
        <v>8.3699999999999992</v>
      </c>
    </row>
    <row r="2959" spans="1:8" hidden="1" x14ac:dyDescent="0.3">
      <c r="A2959" s="13" t="s">
        <v>303</v>
      </c>
      <c r="H2959" s="6">
        <f>SUBTOTAL(9,H2951:H2958)</f>
        <v>0</v>
      </c>
    </row>
    <row r="2960" spans="1:8" hidden="1" x14ac:dyDescent="0.3">
      <c r="A2960" s="9">
        <v>45216</v>
      </c>
      <c r="B2960" t="s">
        <v>8</v>
      </c>
      <c r="C2960" t="s">
        <v>20</v>
      </c>
      <c r="D2960" t="s">
        <v>24</v>
      </c>
      <c r="E2960" t="s">
        <v>42</v>
      </c>
      <c r="F2960">
        <v>3205</v>
      </c>
      <c r="G2960">
        <v>28</v>
      </c>
      <c r="H2960" s="6">
        <f t="shared" ref="H2960:H2974" si="231">F2960*G2960/1000</f>
        <v>89.74</v>
      </c>
    </row>
    <row r="2961" spans="1:8" hidden="1" x14ac:dyDescent="0.3">
      <c r="A2961" s="9">
        <v>45216</v>
      </c>
      <c r="B2961" t="s">
        <v>12</v>
      </c>
      <c r="C2961" t="s">
        <v>20</v>
      </c>
      <c r="D2961" t="s">
        <v>24</v>
      </c>
      <c r="E2961" t="s">
        <v>30</v>
      </c>
      <c r="F2961">
        <v>2970</v>
      </c>
      <c r="G2961">
        <v>84</v>
      </c>
      <c r="H2961" s="6">
        <f t="shared" si="231"/>
        <v>249.48</v>
      </c>
    </row>
    <row r="2962" spans="1:8" hidden="1" x14ac:dyDescent="0.3">
      <c r="A2962" s="9">
        <v>45216</v>
      </c>
      <c r="B2962" t="s">
        <v>17</v>
      </c>
      <c r="C2962" t="s">
        <v>9</v>
      </c>
      <c r="D2962" t="s">
        <v>18</v>
      </c>
      <c r="E2962" t="s">
        <v>37</v>
      </c>
      <c r="F2962">
        <v>890</v>
      </c>
      <c r="G2962">
        <v>16</v>
      </c>
      <c r="H2962" s="6">
        <f t="shared" si="231"/>
        <v>14.24</v>
      </c>
    </row>
    <row r="2963" spans="1:8" hidden="1" x14ac:dyDescent="0.3">
      <c r="A2963" s="9">
        <v>45216</v>
      </c>
      <c r="B2963" t="s">
        <v>12</v>
      </c>
      <c r="C2963" t="s">
        <v>9</v>
      </c>
      <c r="D2963" t="s">
        <v>13</v>
      </c>
      <c r="E2963" t="s">
        <v>29</v>
      </c>
      <c r="F2963">
        <v>1230</v>
      </c>
      <c r="G2963">
        <v>91</v>
      </c>
      <c r="H2963" s="6">
        <f t="shared" si="231"/>
        <v>111.93</v>
      </c>
    </row>
    <row r="2964" spans="1:8" hidden="1" x14ac:dyDescent="0.3">
      <c r="A2964" s="9">
        <v>45216</v>
      </c>
      <c r="B2964" t="s">
        <v>17</v>
      </c>
      <c r="C2964" t="s">
        <v>26</v>
      </c>
      <c r="D2964" t="s">
        <v>24</v>
      </c>
      <c r="E2964" t="s">
        <v>25</v>
      </c>
      <c r="F2964">
        <v>1760</v>
      </c>
      <c r="G2964">
        <v>13</v>
      </c>
      <c r="H2964" s="6">
        <f t="shared" si="231"/>
        <v>22.88</v>
      </c>
    </row>
    <row r="2965" spans="1:8" hidden="1" x14ac:dyDescent="0.3">
      <c r="A2965" s="9">
        <v>45216</v>
      </c>
      <c r="B2965" t="s">
        <v>12</v>
      </c>
      <c r="C2965" t="s">
        <v>26</v>
      </c>
      <c r="D2965" t="s">
        <v>24</v>
      </c>
      <c r="E2965" t="s">
        <v>30</v>
      </c>
      <c r="F2965">
        <v>2970</v>
      </c>
      <c r="G2965">
        <v>65</v>
      </c>
      <c r="H2965" s="6">
        <f t="shared" si="231"/>
        <v>193.05</v>
      </c>
    </row>
    <row r="2966" spans="1:8" hidden="1" x14ac:dyDescent="0.3">
      <c r="A2966" s="9">
        <v>45216</v>
      </c>
      <c r="B2966" t="s">
        <v>8</v>
      </c>
      <c r="C2966" t="s">
        <v>15</v>
      </c>
      <c r="D2966" t="s">
        <v>18</v>
      </c>
      <c r="E2966" t="s">
        <v>31</v>
      </c>
      <c r="F2966">
        <v>715</v>
      </c>
      <c r="G2966">
        <v>70</v>
      </c>
      <c r="H2966" s="6">
        <f t="shared" si="231"/>
        <v>50.05</v>
      </c>
    </row>
    <row r="2967" spans="1:8" hidden="1" x14ac:dyDescent="0.3">
      <c r="A2967" s="9">
        <v>45216</v>
      </c>
      <c r="B2967" t="s">
        <v>12</v>
      </c>
      <c r="C2967" t="s">
        <v>15</v>
      </c>
      <c r="D2967" t="s">
        <v>24</v>
      </c>
      <c r="E2967" t="s">
        <v>32</v>
      </c>
      <c r="F2967">
        <v>1505</v>
      </c>
      <c r="G2967">
        <v>28</v>
      </c>
      <c r="H2967" s="6">
        <f t="shared" si="231"/>
        <v>42.14</v>
      </c>
    </row>
    <row r="2968" spans="1:8" hidden="1" x14ac:dyDescent="0.3">
      <c r="A2968" s="9">
        <v>45216</v>
      </c>
      <c r="B2968" t="s">
        <v>12</v>
      </c>
      <c r="C2968" t="s">
        <v>33</v>
      </c>
      <c r="D2968" t="s">
        <v>10</v>
      </c>
      <c r="E2968" t="s">
        <v>16</v>
      </c>
      <c r="F2968">
        <v>1380</v>
      </c>
      <c r="G2968">
        <v>61</v>
      </c>
      <c r="H2968" s="6">
        <f t="shared" si="231"/>
        <v>84.18</v>
      </c>
    </row>
    <row r="2969" spans="1:8" hidden="1" x14ac:dyDescent="0.3">
      <c r="A2969" s="9">
        <v>45216</v>
      </c>
      <c r="B2969" t="s">
        <v>45</v>
      </c>
      <c r="C2969" t="s">
        <v>33</v>
      </c>
      <c r="D2969" t="s">
        <v>18</v>
      </c>
      <c r="E2969" t="s">
        <v>37</v>
      </c>
      <c r="F2969">
        <v>890</v>
      </c>
      <c r="G2969">
        <v>25</v>
      </c>
      <c r="H2969" s="6">
        <f t="shared" si="231"/>
        <v>22.25</v>
      </c>
    </row>
    <row r="2970" spans="1:8" hidden="1" x14ac:dyDescent="0.3">
      <c r="A2970" s="9">
        <v>45216</v>
      </c>
      <c r="B2970" t="s">
        <v>45</v>
      </c>
      <c r="C2970" t="s">
        <v>33</v>
      </c>
      <c r="D2970" t="s">
        <v>13</v>
      </c>
      <c r="E2970" t="s">
        <v>38</v>
      </c>
      <c r="F2970">
        <v>2400</v>
      </c>
      <c r="G2970">
        <v>6</v>
      </c>
      <c r="H2970" s="6">
        <f t="shared" si="231"/>
        <v>14.4</v>
      </c>
    </row>
    <row r="2971" spans="1:8" hidden="1" x14ac:dyDescent="0.3">
      <c r="A2971" s="9">
        <v>45216</v>
      </c>
      <c r="B2971" t="s">
        <v>8</v>
      </c>
      <c r="C2971" t="s">
        <v>35</v>
      </c>
      <c r="D2971" t="s">
        <v>10</v>
      </c>
      <c r="E2971" t="s">
        <v>41</v>
      </c>
      <c r="F2971">
        <v>650</v>
      </c>
      <c r="G2971">
        <v>37</v>
      </c>
      <c r="H2971" s="6">
        <f t="shared" si="231"/>
        <v>24.05</v>
      </c>
    </row>
    <row r="2972" spans="1:8" hidden="1" x14ac:dyDescent="0.3">
      <c r="A2972" s="9">
        <v>45216</v>
      </c>
      <c r="B2972" t="s">
        <v>45</v>
      </c>
      <c r="C2972" t="s">
        <v>35</v>
      </c>
      <c r="D2972" t="s">
        <v>10</v>
      </c>
      <c r="E2972" t="s">
        <v>39</v>
      </c>
      <c r="F2972">
        <v>650</v>
      </c>
      <c r="G2972">
        <v>98</v>
      </c>
      <c r="H2972" s="6">
        <f t="shared" si="231"/>
        <v>63.7</v>
      </c>
    </row>
    <row r="2973" spans="1:8" hidden="1" x14ac:dyDescent="0.3">
      <c r="A2973" s="9">
        <v>45216</v>
      </c>
      <c r="B2973" t="s">
        <v>12</v>
      </c>
      <c r="C2973" t="s">
        <v>35</v>
      </c>
      <c r="D2973" t="s">
        <v>18</v>
      </c>
      <c r="E2973" t="s">
        <v>27</v>
      </c>
      <c r="F2973">
        <v>460</v>
      </c>
      <c r="G2973">
        <v>31</v>
      </c>
      <c r="H2973" s="6">
        <f t="shared" si="231"/>
        <v>14.26</v>
      </c>
    </row>
    <row r="2974" spans="1:8" hidden="1" x14ac:dyDescent="0.3">
      <c r="A2974" s="9">
        <v>45216</v>
      </c>
      <c r="B2974" t="s">
        <v>8</v>
      </c>
      <c r="C2974" t="s">
        <v>35</v>
      </c>
      <c r="D2974" t="s">
        <v>24</v>
      </c>
      <c r="E2974" t="s">
        <v>34</v>
      </c>
      <c r="F2974">
        <v>1670</v>
      </c>
      <c r="G2974">
        <v>7</v>
      </c>
      <c r="H2974" s="6">
        <f t="shared" si="231"/>
        <v>11.69</v>
      </c>
    </row>
    <row r="2975" spans="1:8" hidden="1" x14ac:dyDescent="0.3">
      <c r="A2975" s="13" t="s">
        <v>304</v>
      </c>
      <c r="H2975" s="6">
        <f>SUBTOTAL(9,H2960:H2974)</f>
        <v>0</v>
      </c>
    </row>
    <row r="2976" spans="1:8" hidden="1" x14ac:dyDescent="0.3">
      <c r="A2976" s="9">
        <v>45217</v>
      </c>
      <c r="B2976" t="s">
        <v>8</v>
      </c>
      <c r="C2976" t="s">
        <v>20</v>
      </c>
      <c r="D2976" t="s">
        <v>24</v>
      </c>
      <c r="E2976" t="s">
        <v>36</v>
      </c>
      <c r="F2976">
        <v>2460</v>
      </c>
      <c r="G2976">
        <v>8</v>
      </c>
      <c r="H2976" s="6">
        <f>F2976*G2976/1000</f>
        <v>19.68</v>
      </c>
    </row>
    <row r="2977" spans="1:8" hidden="1" x14ac:dyDescent="0.3">
      <c r="A2977" s="9">
        <v>45217</v>
      </c>
      <c r="B2977" t="s">
        <v>45</v>
      </c>
      <c r="C2977" t="s">
        <v>20</v>
      </c>
      <c r="D2977" t="s">
        <v>24</v>
      </c>
      <c r="E2977" t="s">
        <v>42</v>
      </c>
      <c r="F2977">
        <v>3205</v>
      </c>
      <c r="G2977">
        <v>94</v>
      </c>
      <c r="H2977" s="6">
        <f>F2977*G2977/1000</f>
        <v>301.27</v>
      </c>
    </row>
    <row r="2978" spans="1:8" hidden="1" x14ac:dyDescent="0.3">
      <c r="A2978" s="9">
        <v>45217</v>
      </c>
      <c r="B2978" t="s">
        <v>17</v>
      </c>
      <c r="C2978" t="s">
        <v>9</v>
      </c>
      <c r="D2978" t="s">
        <v>10</v>
      </c>
      <c r="E2978" t="s">
        <v>23</v>
      </c>
      <c r="F2978">
        <v>640</v>
      </c>
      <c r="G2978">
        <v>8</v>
      </c>
      <c r="H2978" s="6">
        <f>F2978*G2978/1000</f>
        <v>5.12</v>
      </c>
    </row>
    <row r="2979" spans="1:8" hidden="1" x14ac:dyDescent="0.3">
      <c r="A2979" s="9">
        <v>45217</v>
      </c>
      <c r="B2979" t="s">
        <v>45</v>
      </c>
      <c r="C2979" t="s">
        <v>26</v>
      </c>
      <c r="D2979" t="s">
        <v>24</v>
      </c>
      <c r="E2979" t="s">
        <v>30</v>
      </c>
      <c r="F2979">
        <v>2970</v>
      </c>
      <c r="G2979">
        <v>62</v>
      </c>
      <c r="H2979" s="6">
        <f>F2979*G2979/1000</f>
        <v>184.14</v>
      </c>
    </row>
    <row r="2980" spans="1:8" hidden="1" x14ac:dyDescent="0.3">
      <c r="A2980" s="9">
        <v>45217</v>
      </c>
      <c r="B2980" t="s">
        <v>12</v>
      </c>
      <c r="C2980" t="s">
        <v>15</v>
      </c>
      <c r="D2980" t="s">
        <v>13</v>
      </c>
      <c r="E2980" t="s">
        <v>14</v>
      </c>
      <c r="F2980">
        <v>1320</v>
      </c>
      <c r="G2980">
        <v>22</v>
      </c>
      <c r="H2980" s="6">
        <f>F2980*G2980/1000</f>
        <v>29.04</v>
      </c>
    </row>
    <row r="2981" spans="1:8" hidden="1" x14ac:dyDescent="0.3">
      <c r="A2981" s="13" t="s">
        <v>305</v>
      </c>
      <c r="H2981" s="6">
        <f>SUBTOTAL(9,H2976:H2980)</f>
        <v>0</v>
      </c>
    </row>
    <row r="2982" spans="1:8" hidden="1" x14ac:dyDescent="0.3">
      <c r="A2982" s="9">
        <v>45218</v>
      </c>
      <c r="B2982" t="s">
        <v>17</v>
      </c>
      <c r="C2982" t="s">
        <v>20</v>
      </c>
      <c r="D2982" t="s">
        <v>10</v>
      </c>
      <c r="E2982" t="s">
        <v>39</v>
      </c>
      <c r="F2982">
        <v>650</v>
      </c>
      <c r="G2982">
        <v>54</v>
      </c>
      <c r="H2982" s="6">
        <f t="shared" ref="H2982:H2994" si="232">F2982*G2982/1000</f>
        <v>35.1</v>
      </c>
    </row>
    <row r="2983" spans="1:8" hidden="1" x14ac:dyDescent="0.3">
      <c r="A2983" s="9">
        <v>45218</v>
      </c>
      <c r="B2983" t="s">
        <v>45</v>
      </c>
      <c r="C2983" t="s">
        <v>9</v>
      </c>
      <c r="D2983" t="s">
        <v>10</v>
      </c>
      <c r="E2983" t="s">
        <v>16</v>
      </c>
      <c r="F2983">
        <v>1380</v>
      </c>
      <c r="G2983">
        <v>13</v>
      </c>
      <c r="H2983" s="6">
        <f t="shared" si="232"/>
        <v>17.940000000000001</v>
      </c>
    </row>
    <row r="2984" spans="1:8" hidden="1" x14ac:dyDescent="0.3">
      <c r="A2984" s="9">
        <v>45218</v>
      </c>
      <c r="B2984" t="s">
        <v>45</v>
      </c>
      <c r="C2984" t="s">
        <v>9</v>
      </c>
      <c r="D2984" t="s">
        <v>24</v>
      </c>
      <c r="E2984" t="s">
        <v>32</v>
      </c>
      <c r="F2984">
        <v>1505</v>
      </c>
      <c r="G2984">
        <v>41</v>
      </c>
      <c r="H2984" s="6">
        <f t="shared" si="232"/>
        <v>61.704999999999998</v>
      </c>
    </row>
    <row r="2985" spans="1:8" hidden="1" x14ac:dyDescent="0.3">
      <c r="A2985" s="9">
        <v>45218</v>
      </c>
      <c r="B2985" t="s">
        <v>8</v>
      </c>
      <c r="C2985" t="s">
        <v>15</v>
      </c>
      <c r="D2985" t="s">
        <v>10</v>
      </c>
      <c r="E2985" t="s">
        <v>11</v>
      </c>
      <c r="F2985">
        <v>705</v>
      </c>
      <c r="G2985">
        <v>62</v>
      </c>
      <c r="H2985" s="6">
        <f t="shared" si="232"/>
        <v>43.71</v>
      </c>
    </row>
    <row r="2986" spans="1:8" hidden="1" x14ac:dyDescent="0.3">
      <c r="A2986" s="9">
        <v>45218</v>
      </c>
      <c r="B2986" t="s">
        <v>12</v>
      </c>
      <c r="C2986" t="s">
        <v>15</v>
      </c>
      <c r="D2986" t="s">
        <v>13</v>
      </c>
      <c r="E2986" t="s">
        <v>14</v>
      </c>
      <c r="F2986">
        <v>1320</v>
      </c>
      <c r="G2986">
        <v>85</v>
      </c>
      <c r="H2986" s="6">
        <f t="shared" si="232"/>
        <v>112.2</v>
      </c>
    </row>
    <row r="2987" spans="1:8" hidden="1" x14ac:dyDescent="0.3">
      <c r="A2987" s="9">
        <v>45218</v>
      </c>
      <c r="B2987" t="s">
        <v>45</v>
      </c>
      <c r="C2987" t="s">
        <v>15</v>
      </c>
      <c r="D2987" t="s">
        <v>24</v>
      </c>
      <c r="E2987" t="s">
        <v>30</v>
      </c>
      <c r="F2987">
        <v>2970</v>
      </c>
      <c r="G2987">
        <v>23</v>
      </c>
      <c r="H2987" s="6">
        <f t="shared" si="232"/>
        <v>68.31</v>
      </c>
    </row>
    <row r="2988" spans="1:8" hidden="1" x14ac:dyDescent="0.3">
      <c r="A2988" s="9">
        <v>45218</v>
      </c>
      <c r="B2988" t="s">
        <v>8</v>
      </c>
      <c r="C2988" t="s">
        <v>15</v>
      </c>
      <c r="D2988" t="s">
        <v>24</v>
      </c>
      <c r="E2988" t="s">
        <v>32</v>
      </c>
      <c r="F2988">
        <v>1505</v>
      </c>
      <c r="G2988">
        <v>58</v>
      </c>
      <c r="H2988" s="6">
        <f t="shared" si="232"/>
        <v>87.29</v>
      </c>
    </row>
    <row r="2989" spans="1:8" hidden="1" x14ac:dyDescent="0.3">
      <c r="A2989" s="9">
        <v>45218</v>
      </c>
      <c r="B2989" t="s">
        <v>17</v>
      </c>
      <c r="C2989" t="s">
        <v>33</v>
      </c>
      <c r="D2989" t="s">
        <v>10</v>
      </c>
      <c r="E2989" t="s">
        <v>39</v>
      </c>
      <c r="F2989">
        <v>650</v>
      </c>
      <c r="G2989">
        <v>83</v>
      </c>
      <c r="H2989" s="6">
        <f t="shared" si="232"/>
        <v>53.95</v>
      </c>
    </row>
    <row r="2990" spans="1:8" hidden="1" x14ac:dyDescent="0.3">
      <c r="A2990" s="9">
        <v>45218</v>
      </c>
      <c r="B2990" t="s">
        <v>17</v>
      </c>
      <c r="C2990" t="s">
        <v>33</v>
      </c>
      <c r="D2990" t="s">
        <v>18</v>
      </c>
      <c r="E2990" t="s">
        <v>28</v>
      </c>
      <c r="F2990">
        <v>690</v>
      </c>
      <c r="G2990">
        <v>12</v>
      </c>
      <c r="H2990" s="6">
        <f t="shared" si="232"/>
        <v>8.2799999999999994</v>
      </c>
    </row>
    <row r="2991" spans="1:8" hidden="1" x14ac:dyDescent="0.3">
      <c r="A2991" s="9">
        <v>45218</v>
      </c>
      <c r="B2991" t="s">
        <v>8</v>
      </c>
      <c r="C2991" t="s">
        <v>33</v>
      </c>
      <c r="D2991" t="s">
        <v>24</v>
      </c>
      <c r="E2991" t="s">
        <v>34</v>
      </c>
      <c r="F2991">
        <v>1670</v>
      </c>
      <c r="G2991">
        <v>74</v>
      </c>
      <c r="H2991" s="6">
        <f t="shared" si="232"/>
        <v>123.58</v>
      </c>
    </row>
    <row r="2992" spans="1:8" hidden="1" x14ac:dyDescent="0.3">
      <c r="A2992" s="9">
        <v>45218</v>
      </c>
      <c r="B2992" t="s">
        <v>17</v>
      </c>
      <c r="C2992" t="s">
        <v>35</v>
      </c>
      <c r="D2992" t="s">
        <v>13</v>
      </c>
      <c r="E2992" t="s">
        <v>38</v>
      </c>
      <c r="F2992">
        <v>2400</v>
      </c>
      <c r="G2992">
        <v>64</v>
      </c>
      <c r="H2992" s="6">
        <f t="shared" si="232"/>
        <v>153.6</v>
      </c>
    </row>
    <row r="2993" spans="1:8" hidden="1" x14ac:dyDescent="0.3">
      <c r="A2993" s="9">
        <v>45218</v>
      </c>
      <c r="B2993" t="s">
        <v>8</v>
      </c>
      <c r="C2993" t="s">
        <v>35</v>
      </c>
      <c r="D2993" t="s">
        <v>13</v>
      </c>
      <c r="E2993" t="s">
        <v>29</v>
      </c>
      <c r="F2993">
        <v>1230</v>
      </c>
      <c r="G2993">
        <v>85</v>
      </c>
      <c r="H2993" s="6">
        <f t="shared" si="232"/>
        <v>104.55</v>
      </c>
    </row>
    <row r="2994" spans="1:8" hidden="1" x14ac:dyDescent="0.3">
      <c r="A2994" s="9">
        <v>45218</v>
      </c>
      <c r="B2994" t="s">
        <v>12</v>
      </c>
      <c r="C2994" t="s">
        <v>35</v>
      </c>
      <c r="D2994" t="s">
        <v>24</v>
      </c>
      <c r="E2994" t="s">
        <v>30</v>
      </c>
      <c r="F2994">
        <v>2970</v>
      </c>
      <c r="G2994">
        <v>96</v>
      </c>
      <c r="H2994" s="6">
        <f t="shared" si="232"/>
        <v>285.12</v>
      </c>
    </row>
    <row r="2995" spans="1:8" hidden="1" x14ac:dyDescent="0.3">
      <c r="A2995" s="13" t="s">
        <v>306</v>
      </c>
      <c r="H2995" s="6">
        <f>SUBTOTAL(9,H2982:H2994)</f>
        <v>0</v>
      </c>
    </row>
    <row r="2996" spans="1:8" hidden="1" x14ac:dyDescent="0.3">
      <c r="A2996" s="9">
        <v>45219</v>
      </c>
      <c r="B2996" t="s">
        <v>12</v>
      </c>
      <c r="C2996" t="s">
        <v>20</v>
      </c>
      <c r="D2996" t="s">
        <v>10</v>
      </c>
      <c r="E2996" t="s">
        <v>16</v>
      </c>
      <c r="F2996">
        <v>1380</v>
      </c>
      <c r="G2996">
        <v>18</v>
      </c>
      <c r="H2996" s="6">
        <f t="shared" ref="H2996:H3007" si="233">F2996*G2996/1000</f>
        <v>24.84</v>
      </c>
    </row>
    <row r="2997" spans="1:8" hidden="1" x14ac:dyDescent="0.3">
      <c r="A2997" s="9">
        <v>45219</v>
      </c>
      <c r="B2997" t="s">
        <v>45</v>
      </c>
      <c r="C2997" t="s">
        <v>20</v>
      </c>
      <c r="D2997" t="s">
        <v>18</v>
      </c>
      <c r="E2997" t="s">
        <v>31</v>
      </c>
      <c r="F2997">
        <v>715</v>
      </c>
      <c r="G2997">
        <v>25</v>
      </c>
      <c r="H2997" s="6">
        <f t="shared" si="233"/>
        <v>17.875</v>
      </c>
    </row>
    <row r="2998" spans="1:8" hidden="1" x14ac:dyDescent="0.3">
      <c r="A2998" s="9">
        <v>45219</v>
      </c>
      <c r="B2998" t="s">
        <v>12</v>
      </c>
      <c r="C2998" t="s">
        <v>20</v>
      </c>
      <c r="D2998" t="s">
        <v>18</v>
      </c>
      <c r="E2998" t="s">
        <v>27</v>
      </c>
      <c r="F2998">
        <v>460</v>
      </c>
      <c r="G2998">
        <v>87</v>
      </c>
      <c r="H2998" s="6">
        <f t="shared" si="233"/>
        <v>40.020000000000003</v>
      </c>
    </row>
    <row r="2999" spans="1:8" hidden="1" x14ac:dyDescent="0.3">
      <c r="A2999" s="9">
        <v>45219</v>
      </c>
      <c r="B2999" t="s">
        <v>17</v>
      </c>
      <c r="C2999" t="s">
        <v>20</v>
      </c>
      <c r="D2999" t="s">
        <v>13</v>
      </c>
      <c r="E2999" t="s">
        <v>14</v>
      </c>
      <c r="F2999">
        <v>1320</v>
      </c>
      <c r="G2999">
        <v>74</v>
      </c>
      <c r="H2999" s="6">
        <f t="shared" si="233"/>
        <v>97.68</v>
      </c>
    </row>
    <row r="3000" spans="1:8" hidden="1" x14ac:dyDescent="0.3">
      <c r="A3000" s="9">
        <v>45219</v>
      </c>
      <c r="B3000" t="s">
        <v>12</v>
      </c>
      <c r="C3000" t="s">
        <v>26</v>
      </c>
      <c r="D3000" t="s">
        <v>18</v>
      </c>
      <c r="E3000" t="s">
        <v>37</v>
      </c>
      <c r="F3000">
        <v>890</v>
      </c>
      <c r="G3000">
        <v>30</v>
      </c>
      <c r="H3000" s="6">
        <f t="shared" si="233"/>
        <v>26.7</v>
      </c>
    </row>
    <row r="3001" spans="1:8" hidden="1" x14ac:dyDescent="0.3">
      <c r="A3001" s="9">
        <v>45219</v>
      </c>
      <c r="B3001" t="s">
        <v>45</v>
      </c>
      <c r="C3001" t="s">
        <v>26</v>
      </c>
      <c r="D3001" t="s">
        <v>18</v>
      </c>
      <c r="E3001" t="s">
        <v>28</v>
      </c>
      <c r="F3001">
        <v>690</v>
      </c>
      <c r="G3001">
        <v>96</v>
      </c>
      <c r="H3001" s="6">
        <f t="shared" si="233"/>
        <v>66.239999999999995</v>
      </c>
    </row>
    <row r="3002" spans="1:8" hidden="1" x14ac:dyDescent="0.3">
      <c r="A3002" s="9">
        <v>45219</v>
      </c>
      <c r="B3002" t="s">
        <v>12</v>
      </c>
      <c r="C3002" t="s">
        <v>15</v>
      </c>
      <c r="D3002" t="s">
        <v>18</v>
      </c>
      <c r="E3002" t="s">
        <v>27</v>
      </c>
      <c r="F3002">
        <v>460</v>
      </c>
      <c r="G3002">
        <v>75</v>
      </c>
      <c r="H3002" s="6">
        <f t="shared" si="233"/>
        <v>34.5</v>
      </c>
    </row>
    <row r="3003" spans="1:8" hidden="1" x14ac:dyDescent="0.3">
      <c r="A3003" s="9">
        <v>45219</v>
      </c>
      <c r="B3003" t="s">
        <v>45</v>
      </c>
      <c r="C3003" t="s">
        <v>15</v>
      </c>
      <c r="D3003" t="s">
        <v>18</v>
      </c>
      <c r="E3003" t="s">
        <v>21</v>
      </c>
      <c r="F3003">
        <v>450</v>
      </c>
      <c r="G3003">
        <v>76</v>
      </c>
      <c r="H3003" s="6">
        <f t="shared" si="233"/>
        <v>34.200000000000003</v>
      </c>
    </row>
    <row r="3004" spans="1:8" hidden="1" x14ac:dyDescent="0.3">
      <c r="A3004" s="9">
        <v>45219</v>
      </c>
      <c r="B3004" t="s">
        <v>17</v>
      </c>
      <c r="C3004" t="s">
        <v>15</v>
      </c>
      <c r="D3004" t="s">
        <v>18</v>
      </c>
      <c r="E3004" t="s">
        <v>21</v>
      </c>
      <c r="F3004">
        <v>450</v>
      </c>
      <c r="G3004">
        <v>12</v>
      </c>
      <c r="H3004" s="6">
        <f t="shared" si="233"/>
        <v>5.4</v>
      </c>
    </row>
    <row r="3005" spans="1:8" hidden="1" x14ac:dyDescent="0.3">
      <c r="A3005" s="9">
        <v>45219</v>
      </c>
      <c r="B3005" t="s">
        <v>8</v>
      </c>
      <c r="C3005" t="s">
        <v>15</v>
      </c>
      <c r="D3005" t="s">
        <v>13</v>
      </c>
      <c r="E3005" t="s">
        <v>44</v>
      </c>
      <c r="F3005">
        <v>2540</v>
      </c>
      <c r="G3005">
        <v>22</v>
      </c>
      <c r="H3005" s="6">
        <f t="shared" si="233"/>
        <v>55.88</v>
      </c>
    </row>
    <row r="3006" spans="1:8" hidden="1" x14ac:dyDescent="0.3">
      <c r="A3006" s="9">
        <v>45219</v>
      </c>
      <c r="B3006" t="s">
        <v>8</v>
      </c>
      <c r="C3006" t="s">
        <v>33</v>
      </c>
      <c r="D3006" t="s">
        <v>10</v>
      </c>
      <c r="E3006" t="s">
        <v>41</v>
      </c>
      <c r="F3006">
        <v>650</v>
      </c>
      <c r="G3006">
        <v>98</v>
      </c>
      <c r="H3006" s="6">
        <f t="shared" si="233"/>
        <v>63.7</v>
      </c>
    </row>
    <row r="3007" spans="1:8" hidden="1" x14ac:dyDescent="0.3">
      <c r="A3007" s="9">
        <v>45219</v>
      </c>
      <c r="B3007" t="s">
        <v>8</v>
      </c>
      <c r="C3007" t="s">
        <v>33</v>
      </c>
      <c r="D3007" t="s">
        <v>10</v>
      </c>
      <c r="E3007" t="s">
        <v>23</v>
      </c>
      <c r="F3007">
        <v>640</v>
      </c>
      <c r="G3007">
        <v>63</v>
      </c>
      <c r="H3007" s="6">
        <f t="shared" si="233"/>
        <v>40.32</v>
      </c>
    </row>
    <row r="3008" spans="1:8" hidden="1" x14ac:dyDescent="0.3">
      <c r="A3008" s="13" t="s">
        <v>307</v>
      </c>
      <c r="H3008" s="6">
        <f>SUBTOTAL(9,H2996:H3007)</f>
        <v>0</v>
      </c>
    </row>
    <row r="3009" spans="1:8" hidden="1" x14ac:dyDescent="0.3">
      <c r="A3009" s="9">
        <v>45220</v>
      </c>
      <c r="B3009" t="s">
        <v>8</v>
      </c>
      <c r="C3009" t="s">
        <v>20</v>
      </c>
      <c r="D3009" t="s">
        <v>24</v>
      </c>
      <c r="E3009" t="s">
        <v>25</v>
      </c>
      <c r="F3009">
        <v>1760</v>
      </c>
      <c r="G3009">
        <v>17</v>
      </c>
      <c r="H3009" s="6">
        <f t="shared" ref="H3009:H3016" si="234">F3009*G3009/1000</f>
        <v>29.92</v>
      </c>
    </row>
    <row r="3010" spans="1:8" hidden="1" x14ac:dyDescent="0.3">
      <c r="A3010" s="9">
        <v>45220</v>
      </c>
      <c r="B3010" t="s">
        <v>45</v>
      </c>
      <c r="C3010" t="s">
        <v>9</v>
      </c>
      <c r="D3010" t="s">
        <v>24</v>
      </c>
      <c r="E3010" t="s">
        <v>36</v>
      </c>
      <c r="F3010">
        <v>2460</v>
      </c>
      <c r="G3010">
        <v>80</v>
      </c>
      <c r="H3010" s="6">
        <f t="shared" si="234"/>
        <v>196.8</v>
      </c>
    </row>
    <row r="3011" spans="1:8" hidden="1" x14ac:dyDescent="0.3">
      <c r="A3011" s="9">
        <v>45220</v>
      </c>
      <c r="B3011" t="s">
        <v>45</v>
      </c>
      <c r="C3011" t="s">
        <v>26</v>
      </c>
      <c r="D3011" t="s">
        <v>10</v>
      </c>
      <c r="E3011" t="s">
        <v>23</v>
      </c>
      <c r="F3011">
        <v>640</v>
      </c>
      <c r="G3011">
        <v>98</v>
      </c>
      <c r="H3011" s="6">
        <f t="shared" si="234"/>
        <v>62.72</v>
      </c>
    </row>
    <row r="3012" spans="1:8" hidden="1" x14ac:dyDescent="0.3">
      <c r="A3012" s="9">
        <v>45220</v>
      </c>
      <c r="B3012" t="s">
        <v>12</v>
      </c>
      <c r="C3012" t="s">
        <v>26</v>
      </c>
      <c r="D3012" t="s">
        <v>13</v>
      </c>
      <c r="E3012" t="s">
        <v>22</v>
      </c>
      <c r="F3012">
        <v>930</v>
      </c>
      <c r="G3012">
        <v>81</v>
      </c>
      <c r="H3012" s="6">
        <f t="shared" si="234"/>
        <v>75.33</v>
      </c>
    </row>
    <row r="3013" spans="1:8" hidden="1" x14ac:dyDescent="0.3">
      <c r="A3013" s="9">
        <v>45220</v>
      </c>
      <c r="B3013" t="s">
        <v>12</v>
      </c>
      <c r="C3013" t="s">
        <v>15</v>
      </c>
      <c r="D3013" t="s">
        <v>13</v>
      </c>
      <c r="E3013" t="s">
        <v>22</v>
      </c>
      <c r="F3013">
        <v>930</v>
      </c>
      <c r="G3013">
        <v>29</v>
      </c>
      <c r="H3013" s="6">
        <f t="shared" si="234"/>
        <v>26.97</v>
      </c>
    </row>
    <row r="3014" spans="1:8" hidden="1" x14ac:dyDescent="0.3">
      <c r="A3014" s="9">
        <v>45220</v>
      </c>
      <c r="B3014" t="s">
        <v>8</v>
      </c>
      <c r="C3014" t="s">
        <v>15</v>
      </c>
      <c r="D3014" t="s">
        <v>24</v>
      </c>
      <c r="E3014" t="s">
        <v>30</v>
      </c>
      <c r="F3014">
        <v>2970</v>
      </c>
      <c r="G3014">
        <v>98</v>
      </c>
      <c r="H3014" s="6">
        <f t="shared" si="234"/>
        <v>291.06</v>
      </c>
    </row>
    <row r="3015" spans="1:8" hidden="1" x14ac:dyDescent="0.3">
      <c r="A3015" s="9">
        <v>45220</v>
      </c>
      <c r="B3015" t="s">
        <v>17</v>
      </c>
      <c r="C3015" t="s">
        <v>33</v>
      </c>
      <c r="D3015" t="s">
        <v>10</v>
      </c>
      <c r="E3015" t="s">
        <v>16</v>
      </c>
      <c r="F3015">
        <v>1380</v>
      </c>
      <c r="G3015">
        <v>62</v>
      </c>
      <c r="H3015" s="6">
        <f t="shared" si="234"/>
        <v>85.56</v>
      </c>
    </row>
    <row r="3016" spans="1:8" hidden="1" x14ac:dyDescent="0.3">
      <c r="A3016" s="9">
        <v>45220</v>
      </c>
      <c r="B3016" t="s">
        <v>12</v>
      </c>
      <c r="C3016" t="s">
        <v>33</v>
      </c>
      <c r="D3016" t="s">
        <v>13</v>
      </c>
      <c r="E3016" t="s">
        <v>43</v>
      </c>
      <c r="F3016">
        <v>1420</v>
      </c>
      <c r="G3016">
        <v>44</v>
      </c>
      <c r="H3016" s="6">
        <f t="shared" si="234"/>
        <v>62.48</v>
      </c>
    </row>
    <row r="3017" spans="1:8" hidden="1" x14ac:dyDescent="0.3">
      <c r="A3017" s="13" t="s">
        <v>308</v>
      </c>
      <c r="H3017" s="6">
        <f>SUBTOTAL(9,H3009:H3016)</f>
        <v>0</v>
      </c>
    </row>
    <row r="3018" spans="1:8" hidden="1" x14ac:dyDescent="0.3">
      <c r="A3018" s="9">
        <v>45221</v>
      </c>
      <c r="B3018" t="s">
        <v>8</v>
      </c>
      <c r="C3018" t="s">
        <v>20</v>
      </c>
      <c r="D3018" t="s">
        <v>10</v>
      </c>
      <c r="E3018" t="s">
        <v>11</v>
      </c>
      <c r="F3018">
        <v>705</v>
      </c>
      <c r="G3018">
        <v>67</v>
      </c>
      <c r="H3018" s="6">
        <f t="shared" ref="H3018:H3023" si="235">F3018*G3018/1000</f>
        <v>47.234999999999999</v>
      </c>
    </row>
    <row r="3019" spans="1:8" hidden="1" x14ac:dyDescent="0.3">
      <c r="A3019" s="9">
        <v>45221</v>
      </c>
      <c r="B3019" t="s">
        <v>8</v>
      </c>
      <c r="C3019" t="s">
        <v>26</v>
      </c>
      <c r="D3019" t="s">
        <v>18</v>
      </c>
      <c r="E3019" t="s">
        <v>31</v>
      </c>
      <c r="F3019">
        <v>715</v>
      </c>
      <c r="G3019">
        <v>65</v>
      </c>
      <c r="H3019" s="6">
        <f t="shared" si="235"/>
        <v>46.475000000000001</v>
      </c>
    </row>
    <row r="3020" spans="1:8" hidden="1" x14ac:dyDescent="0.3">
      <c r="A3020" s="9">
        <v>45221</v>
      </c>
      <c r="B3020" t="s">
        <v>12</v>
      </c>
      <c r="C3020" t="s">
        <v>26</v>
      </c>
      <c r="D3020" t="s">
        <v>24</v>
      </c>
      <c r="E3020" t="s">
        <v>34</v>
      </c>
      <c r="F3020">
        <v>1670</v>
      </c>
      <c r="G3020">
        <v>68</v>
      </c>
      <c r="H3020" s="6">
        <f t="shared" si="235"/>
        <v>113.56</v>
      </c>
    </row>
    <row r="3021" spans="1:8" hidden="1" x14ac:dyDescent="0.3">
      <c r="A3021" s="9">
        <v>45221</v>
      </c>
      <c r="B3021" t="s">
        <v>12</v>
      </c>
      <c r="C3021" t="s">
        <v>26</v>
      </c>
      <c r="D3021" t="s">
        <v>24</v>
      </c>
      <c r="E3021" t="s">
        <v>42</v>
      </c>
      <c r="F3021">
        <v>3205</v>
      </c>
      <c r="G3021">
        <v>48</v>
      </c>
      <c r="H3021" s="6">
        <f t="shared" si="235"/>
        <v>153.84</v>
      </c>
    </row>
    <row r="3022" spans="1:8" hidden="1" x14ac:dyDescent="0.3">
      <c r="A3022" s="9">
        <v>45221</v>
      </c>
      <c r="B3022" t="s">
        <v>45</v>
      </c>
      <c r="C3022" t="s">
        <v>35</v>
      </c>
      <c r="D3022" t="s">
        <v>10</v>
      </c>
      <c r="E3022" t="s">
        <v>23</v>
      </c>
      <c r="F3022">
        <v>640</v>
      </c>
      <c r="G3022">
        <v>70</v>
      </c>
      <c r="H3022" s="6">
        <f t="shared" si="235"/>
        <v>44.8</v>
      </c>
    </row>
    <row r="3023" spans="1:8" hidden="1" x14ac:dyDescent="0.3">
      <c r="A3023" s="9">
        <v>45221</v>
      </c>
      <c r="B3023" t="s">
        <v>8</v>
      </c>
      <c r="C3023" t="s">
        <v>35</v>
      </c>
      <c r="D3023" t="s">
        <v>13</v>
      </c>
      <c r="E3023" t="s">
        <v>14</v>
      </c>
      <c r="F3023">
        <v>1320</v>
      </c>
      <c r="G3023">
        <v>79</v>
      </c>
      <c r="H3023" s="6">
        <f t="shared" si="235"/>
        <v>104.28</v>
      </c>
    </row>
    <row r="3024" spans="1:8" hidden="1" x14ac:dyDescent="0.3">
      <c r="A3024" s="13" t="s">
        <v>309</v>
      </c>
      <c r="H3024" s="6">
        <f>SUBTOTAL(9,H3018:H3023)</f>
        <v>0</v>
      </c>
    </row>
    <row r="3025" spans="1:8" hidden="1" x14ac:dyDescent="0.3">
      <c r="A3025" s="9">
        <v>45222</v>
      </c>
      <c r="B3025" t="s">
        <v>8</v>
      </c>
      <c r="C3025" t="s">
        <v>20</v>
      </c>
      <c r="D3025" t="s">
        <v>13</v>
      </c>
      <c r="E3025" t="s">
        <v>14</v>
      </c>
      <c r="F3025">
        <v>1320</v>
      </c>
      <c r="G3025">
        <v>69</v>
      </c>
      <c r="H3025" s="6">
        <f t="shared" ref="H3025:H3034" si="236">F3025*G3025/1000</f>
        <v>91.08</v>
      </c>
    </row>
    <row r="3026" spans="1:8" hidden="1" x14ac:dyDescent="0.3">
      <c r="A3026" s="9">
        <v>45222</v>
      </c>
      <c r="B3026" t="s">
        <v>8</v>
      </c>
      <c r="C3026" t="s">
        <v>9</v>
      </c>
      <c r="D3026" t="s">
        <v>18</v>
      </c>
      <c r="E3026" t="s">
        <v>31</v>
      </c>
      <c r="F3026">
        <v>715</v>
      </c>
      <c r="G3026">
        <v>30</v>
      </c>
      <c r="H3026" s="6">
        <f t="shared" si="236"/>
        <v>21.45</v>
      </c>
    </row>
    <row r="3027" spans="1:8" hidden="1" x14ac:dyDescent="0.3">
      <c r="A3027" s="9">
        <v>45222</v>
      </c>
      <c r="B3027" t="s">
        <v>17</v>
      </c>
      <c r="C3027" t="s">
        <v>9</v>
      </c>
      <c r="D3027" t="s">
        <v>13</v>
      </c>
      <c r="E3027" t="s">
        <v>43</v>
      </c>
      <c r="F3027">
        <v>1420</v>
      </c>
      <c r="G3027">
        <v>82</v>
      </c>
      <c r="H3027" s="6">
        <f t="shared" si="236"/>
        <v>116.44</v>
      </c>
    </row>
    <row r="3028" spans="1:8" hidden="1" x14ac:dyDescent="0.3">
      <c r="A3028" s="9">
        <v>45222</v>
      </c>
      <c r="B3028" t="s">
        <v>17</v>
      </c>
      <c r="C3028" t="s">
        <v>26</v>
      </c>
      <c r="D3028" t="s">
        <v>18</v>
      </c>
      <c r="E3028" t="s">
        <v>21</v>
      </c>
      <c r="F3028">
        <v>450</v>
      </c>
      <c r="G3028">
        <v>81</v>
      </c>
      <c r="H3028" s="6">
        <f t="shared" si="236"/>
        <v>36.450000000000003</v>
      </c>
    </row>
    <row r="3029" spans="1:8" hidden="1" x14ac:dyDescent="0.3">
      <c r="A3029" s="9">
        <v>45222</v>
      </c>
      <c r="B3029" t="s">
        <v>8</v>
      </c>
      <c r="C3029" t="s">
        <v>26</v>
      </c>
      <c r="D3029" t="s">
        <v>24</v>
      </c>
      <c r="E3029" t="s">
        <v>30</v>
      </c>
      <c r="F3029">
        <v>2970</v>
      </c>
      <c r="G3029">
        <v>52</v>
      </c>
      <c r="H3029" s="6">
        <f t="shared" si="236"/>
        <v>154.44</v>
      </c>
    </row>
    <row r="3030" spans="1:8" hidden="1" x14ac:dyDescent="0.3">
      <c r="A3030" s="9">
        <v>45222</v>
      </c>
      <c r="B3030" t="s">
        <v>45</v>
      </c>
      <c r="C3030" t="s">
        <v>15</v>
      </c>
      <c r="D3030" t="s">
        <v>10</v>
      </c>
      <c r="E3030" t="s">
        <v>16</v>
      </c>
      <c r="F3030">
        <v>1380</v>
      </c>
      <c r="G3030">
        <v>97</v>
      </c>
      <c r="H3030" s="6">
        <f t="shared" si="236"/>
        <v>133.86000000000001</v>
      </c>
    </row>
    <row r="3031" spans="1:8" hidden="1" x14ac:dyDescent="0.3">
      <c r="A3031" s="9">
        <v>45222</v>
      </c>
      <c r="B3031" t="s">
        <v>12</v>
      </c>
      <c r="C3031" t="s">
        <v>33</v>
      </c>
      <c r="D3031" t="s">
        <v>18</v>
      </c>
      <c r="E3031" t="s">
        <v>27</v>
      </c>
      <c r="F3031">
        <v>460</v>
      </c>
      <c r="G3031">
        <v>70</v>
      </c>
      <c r="H3031" s="6">
        <f t="shared" si="236"/>
        <v>32.200000000000003</v>
      </c>
    </row>
    <row r="3032" spans="1:8" hidden="1" x14ac:dyDescent="0.3">
      <c r="A3032" s="9">
        <v>45222</v>
      </c>
      <c r="B3032" t="s">
        <v>17</v>
      </c>
      <c r="C3032" t="s">
        <v>33</v>
      </c>
      <c r="D3032" t="s">
        <v>13</v>
      </c>
      <c r="E3032" t="s">
        <v>14</v>
      </c>
      <c r="F3032">
        <v>1320</v>
      </c>
      <c r="G3032">
        <v>50</v>
      </c>
      <c r="H3032" s="6">
        <f t="shared" si="236"/>
        <v>66</v>
      </c>
    </row>
    <row r="3033" spans="1:8" hidden="1" x14ac:dyDescent="0.3">
      <c r="A3033" s="9">
        <v>45222</v>
      </c>
      <c r="B3033" t="s">
        <v>12</v>
      </c>
      <c r="C3033" t="s">
        <v>35</v>
      </c>
      <c r="D3033" t="s">
        <v>13</v>
      </c>
      <c r="E3033" t="s">
        <v>44</v>
      </c>
      <c r="F3033">
        <v>2540</v>
      </c>
      <c r="G3033">
        <v>93</v>
      </c>
      <c r="H3033" s="6">
        <f t="shared" si="236"/>
        <v>236.22</v>
      </c>
    </row>
    <row r="3034" spans="1:8" hidden="1" x14ac:dyDescent="0.3">
      <c r="A3034" s="9">
        <v>45222</v>
      </c>
      <c r="B3034" t="s">
        <v>12</v>
      </c>
      <c r="C3034" t="s">
        <v>35</v>
      </c>
      <c r="D3034" t="s">
        <v>13</v>
      </c>
      <c r="E3034" t="s">
        <v>38</v>
      </c>
      <c r="F3034">
        <v>2400</v>
      </c>
      <c r="G3034">
        <v>33</v>
      </c>
      <c r="H3034" s="6">
        <f t="shared" si="236"/>
        <v>79.2</v>
      </c>
    </row>
    <row r="3035" spans="1:8" hidden="1" x14ac:dyDescent="0.3">
      <c r="A3035" s="13" t="s">
        <v>310</v>
      </c>
      <c r="H3035" s="6">
        <f>SUBTOTAL(9,H3025:H3034)</f>
        <v>0</v>
      </c>
    </row>
    <row r="3036" spans="1:8" hidden="1" x14ac:dyDescent="0.3">
      <c r="A3036" s="9">
        <v>45223</v>
      </c>
      <c r="B3036" t="s">
        <v>45</v>
      </c>
      <c r="C3036" t="s">
        <v>20</v>
      </c>
      <c r="D3036" t="s">
        <v>13</v>
      </c>
      <c r="E3036" t="s">
        <v>43</v>
      </c>
      <c r="F3036">
        <v>1420</v>
      </c>
      <c r="G3036">
        <v>25</v>
      </c>
      <c r="H3036" s="6">
        <f t="shared" ref="H3036:H3046" si="237">F3036*G3036/1000</f>
        <v>35.5</v>
      </c>
    </row>
    <row r="3037" spans="1:8" hidden="1" x14ac:dyDescent="0.3">
      <c r="A3037" s="9">
        <v>45223</v>
      </c>
      <c r="B3037" t="s">
        <v>8</v>
      </c>
      <c r="C3037" t="s">
        <v>9</v>
      </c>
      <c r="D3037" t="s">
        <v>10</v>
      </c>
      <c r="E3037" t="s">
        <v>23</v>
      </c>
      <c r="F3037">
        <v>640</v>
      </c>
      <c r="G3037">
        <v>76</v>
      </c>
      <c r="H3037" s="6">
        <f t="shared" si="237"/>
        <v>48.64</v>
      </c>
    </row>
    <row r="3038" spans="1:8" hidden="1" x14ac:dyDescent="0.3">
      <c r="A3038" s="9">
        <v>45223</v>
      </c>
      <c r="B3038" t="s">
        <v>17</v>
      </c>
      <c r="C3038" t="s">
        <v>9</v>
      </c>
      <c r="D3038" t="s">
        <v>13</v>
      </c>
      <c r="E3038" t="s">
        <v>14</v>
      </c>
      <c r="F3038">
        <v>1320</v>
      </c>
      <c r="G3038">
        <v>53</v>
      </c>
      <c r="H3038" s="6">
        <f t="shared" si="237"/>
        <v>69.959999999999994</v>
      </c>
    </row>
    <row r="3039" spans="1:8" hidden="1" x14ac:dyDescent="0.3">
      <c r="A3039" s="9">
        <v>45223</v>
      </c>
      <c r="B3039" t="s">
        <v>45</v>
      </c>
      <c r="C3039" t="s">
        <v>9</v>
      </c>
      <c r="D3039" t="s">
        <v>24</v>
      </c>
      <c r="E3039" t="s">
        <v>42</v>
      </c>
      <c r="F3039">
        <v>3205</v>
      </c>
      <c r="G3039">
        <v>12</v>
      </c>
      <c r="H3039" s="6">
        <f t="shared" si="237"/>
        <v>38.46</v>
      </c>
    </row>
    <row r="3040" spans="1:8" hidden="1" x14ac:dyDescent="0.3">
      <c r="A3040" s="9">
        <v>45223</v>
      </c>
      <c r="B3040" t="s">
        <v>8</v>
      </c>
      <c r="C3040" t="s">
        <v>26</v>
      </c>
      <c r="D3040" t="s">
        <v>10</v>
      </c>
      <c r="E3040" t="s">
        <v>23</v>
      </c>
      <c r="F3040">
        <v>640</v>
      </c>
      <c r="G3040">
        <v>43</v>
      </c>
      <c r="H3040" s="6">
        <f t="shared" si="237"/>
        <v>27.52</v>
      </c>
    </row>
    <row r="3041" spans="1:8" hidden="1" x14ac:dyDescent="0.3">
      <c r="A3041" s="9">
        <v>45223</v>
      </c>
      <c r="B3041" t="s">
        <v>8</v>
      </c>
      <c r="C3041" t="s">
        <v>26</v>
      </c>
      <c r="D3041" t="s">
        <v>24</v>
      </c>
      <c r="E3041" t="s">
        <v>30</v>
      </c>
      <c r="F3041">
        <v>2970</v>
      </c>
      <c r="G3041">
        <v>36</v>
      </c>
      <c r="H3041" s="6">
        <f t="shared" si="237"/>
        <v>106.92</v>
      </c>
    </row>
    <row r="3042" spans="1:8" hidden="1" x14ac:dyDescent="0.3">
      <c r="A3042" s="9">
        <v>45223</v>
      </c>
      <c r="B3042" t="s">
        <v>12</v>
      </c>
      <c r="C3042" t="s">
        <v>15</v>
      </c>
      <c r="D3042" t="s">
        <v>24</v>
      </c>
      <c r="E3042" t="s">
        <v>25</v>
      </c>
      <c r="F3042">
        <v>1760</v>
      </c>
      <c r="G3042">
        <v>13</v>
      </c>
      <c r="H3042" s="6">
        <f t="shared" si="237"/>
        <v>22.88</v>
      </c>
    </row>
    <row r="3043" spans="1:8" hidden="1" x14ac:dyDescent="0.3">
      <c r="A3043" s="9">
        <v>45223</v>
      </c>
      <c r="B3043" t="s">
        <v>45</v>
      </c>
      <c r="C3043" t="s">
        <v>33</v>
      </c>
      <c r="D3043" t="s">
        <v>24</v>
      </c>
      <c r="E3043" t="s">
        <v>25</v>
      </c>
      <c r="F3043">
        <v>1760</v>
      </c>
      <c r="G3043">
        <v>100</v>
      </c>
      <c r="H3043" s="6">
        <f t="shared" si="237"/>
        <v>176</v>
      </c>
    </row>
    <row r="3044" spans="1:8" hidden="1" x14ac:dyDescent="0.3">
      <c r="A3044" s="9">
        <v>45223</v>
      </c>
      <c r="B3044" t="s">
        <v>45</v>
      </c>
      <c r="C3044" t="s">
        <v>35</v>
      </c>
      <c r="D3044" t="s">
        <v>10</v>
      </c>
      <c r="E3044" t="s">
        <v>39</v>
      </c>
      <c r="F3044">
        <v>650</v>
      </c>
      <c r="G3044">
        <v>33</v>
      </c>
      <c r="H3044" s="6">
        <f t="shared" si="237"/>
        <v>21.45</v>
      </c>
    </row>
    <row r="3045" spans="1:8" hidden="1" x14ac:dyDescent="0.3">
      <c r="A3045" s="9">
        <v>45223</v>
      </c>
      <c r="B3045" t="s">
        <v>12</v>
      </c>
      <c r="C3045" t="s">
        <v>35</v>
      </c>
      <c r="D3045" t="s">
        <v>13</v>
      </c>
      <c r="E3045" t="s">
        <v>43</v>
      </c>
      <c r="F3045">
        <v>1420</v>
      </c>
      <c r="G3045">
        <v>23</v>
      </c>
      <c r="H3045" s="6">
        <f t="shared" si="237"/>
        <v>32.659999999999997</v>
      </c>
    </row>
    <row r="3046" spans="1:8" hidden="1" x14ac:dyDescent="0.3">
      <c r="A3046" s="9">
        <v>45223</v>
      </c>
      <c r="B3046" t="s">
        <v>8</v>
      </c>
      <c r="C3046" t="s">
        <v>35</v>
      </c>
      <c r="D3046" t="s">
        <v>13</v>
      </c>
      <c r="E3046" t="s">
        <v>43</v>
      </c>
      <c r="F3046">
        <v>1420</v>
      </c>
      <c r="G3046">
        <v>19</v>
      </c>
      <c r="H3046" s="6">
        <f t="shared" si="237"/>
        <v>26.98</v>
      </c>
    </row>
    <row r="3047" spans="1:8" hidden="1" x14ac:dyDescent="0.3">
      <c r="A3047" s="13" t="s">
        <v>311</v>
      </c>
      <c r="H3047" s="6">
        <f>SUBTOTAL(9,H3036:H3046)</f>
        <v>0</v>
      </c>
    </row>
    <row r="3048" spans="1:8" hidden="1" x14ac:dyDescent="0.3">
      <c r="A3048" s="9">
        <v>45224</v>
      </c>
      <c r="B3048" t="s">
        <v>12</v>
      </c>
      <c r="C3048" t="s">
        <v>9</v>
      </c>
      <c r="D3048" t="s">
        <v>18</v>
      </c>
      <c r="E3048" t="s">
        <v>28</v>
      </c>
      <c r="F3048">
        <v>690</v>
      </c>
      <c r="G3048">
        <v>39</v>
      </c>
      <c r="H3048" s="6">
        <f t="shared" ref="H3048:H3054" si="238">F3048*G3048/1000</f>
        <v>26.91</v>
      </c>
    </row>
    <row r="3049" spans="1:8" hidden="1" x14ac:dyDescent="0.3">
      <c r="A3049" s="9">
        <v>45224</v>
      </c>
      <c r="B3049" t="s">
        <v>17</v>
      </c>
      <c r="C3049" t="s">
        <v>9</v>
      </c>
      <c r="D3049" t="s">
        <v>18</v>
      </c>
      <c r="E3049" t="s">
        <v>19</v>
      </c>
      <c r="F3049">
        <v>325</v>
      </c>
      <c r="G3049">
        <v>51</v>
      </c>
      <c r="H3049" s="6">
        <f t="shared" si="238"/>
        <v>16.574999999999999</v>
      </c>
    </row>
    <row r="3050" spans="1:8" hidden="1" x14ac:dyDescent="0.3">
      <c r="A3050" s="9">
        <v>45224</v>
      </c>
      <c r="B3050" t="s">
        <v>17</v>
      </c>
      <c r="C3050" t="s">
        <v>33</v>
      </c>
      <c r="D3050" t="s">
        <v>18</v>
      </c>
      <c r="E3050" t="s">
        <v>31</v>
      </c>
      <c r="F3050">
        <v>715</v>
      </c>
      <c r="G3050">
        <v>86</v>
      </c>
      <c r="H3050" s="6">
        <f t="shared" si="238"/>
        <v>61.49</v>
      </c>
    </row>
    <row r="3051" spans="1:8" hidden="1" x14ac:dyDescent="0.3">
      <c r="A3051" s="9">
        <v>45224</v>
      </c>
      <c r="B3051" t="s">
        <v>17</v>
      </c>
      <c r="C3051" t="s">
        <v>33</v>
      </c>
      <c r="D3051" t="s">
        <v>18</v>
      </c>
      <c r="E3051" t="s">
        <v>37</v>
      </c>
      <c r="F3051">
        <v>890</v>
      </c>
      <c r="G3051">
        <v>61</v>
      </c>
      <c r="H3051" s="6">
        <f t="shared" si="238"/>
        <v>54.29</v>
      </c>
    </row>
    <row r="3052" spans="1:8" hidden="1" x14ac:dyDescent="0.3">
      <c r="A3052" s="9">
        <v>45224</v>
      </c>
      <c r="B3052" t="s">
        <v>12</v>
      </c>
      <c r="C3052" t="s">
        <v>33</v>
      </c>
      <c r="D3052" t="s">
        <v>13</v>
      </c>
      <c r="E3052" t="s">
        <v>14</v>
      </c>
      <c r="F3052">
        <v>1320</v>
      </c>
      <c r="G3052">
        <v>89</v>
      </c>
      <c r="H3052" s="6">
        <f t="shared" si="238"/>
        <v>117.48</v>
      </c>
    </row>
    <row r="3053" spans="1:8" hidden="1" x14ac:dyDescent="0.3">
      <c r="A3053" s="9">
        <v>45224</v>
      </c>
      <c r="B3053" t="s">
        <v>8</v>
      </c>
      <c r="C3053" t="s">
        <v>35</v>
      </c>
      <c r="D3053" t="s">
        <v>10</v>
      </c>
      <c r="E3053" t="s">
        <v>39</v>
      </c>
      <c r="F3053">
        <v>650</v>
      </c>
      <c r="G3053">
        <v>64</v>
      </c>
      <c r="H3053" s="6">
        <f t="shared" si="238"/>
        <v>41.6</v>
      </c>
    </row>
    <row r="3054" spans="1:8" hidden="1" x14ac:dyDescent="0.3">
      <c r="A3054" s="9">
        <v>45224</v>
      </c>
      <c r="B3054" t="s">
        <v>45</v>
      </c>
      <c r="C3054" t="s">
        <v>35</v>
      </c>
      <c r="D3054" t="s">
        <v>13</v>
      </c>
      <c r="E3054" t="s">
        <v>22</v>
      </c>
      <c r="F3054">
        <v>930</v>
      </c>
      <c r="G3054">
        <v>89</v>
      </c>
      <c r="H3054" s="6">
        <f t="shared" si="238"/>
        <v>82.77</v>
      </c>
    </row>
    <row r="3055" spans="1:8" hidden="1" x14ac:dyDescent="0.3">
      <c r="A3055" s="13" t="s">
        <v>312</v>
      </c>
      <c r="H3055" s="6">
        <f>SUBTOTAL(9,H3048:H3054)</f>
        <v>0</v>
      </c>
    </row>
    <row r="3056" spans="1:8" hidden="1" x14ac:dyDescent="0.3">
      <c r="A3056" s="9">
        <v>45225</v>
      </c>
      <c r="B3056" t="s">
        <v>8</v>
      </c>
      <c r="C3056" t="s">
        <v>20</v>
      </c>
      <c r="D3056" t="s">
        <v>13</v>
      </c>
      <c r="E3056" t="s">
        <v>44</v>
      </c>
      <c r="F3056">
        <v>2540</v>
      </c>
      <c r="G3056">
        <v>75</v>
      </c>
      <c r="H3056" s="6">
        <f t="shared" ref="H3056:H3068" si="239">F3056*G3056/1000</f>
        <v>190.5</v>
      </c>
    </row>
    <row r="3057" spans="1:8" hidden="1" x14ac:dyDescent="0.3">
      <c r="A3057" s="9">
        <v>45225</v>
      </c>
      <c r="B3057" t="s">
        <v>12</v>
      </c>
      <c r="C3057" t="s">
        <v>9</v>
      </c>
      <c r="D3057" t="s">
        <v>13</v>
      </c>
      <c r="E3057" t="s">
        <v>22</v>
      </c>
      <c r="F3057">
        <v>930</v>
      </c>
      <c r="G3057">
        <v>48</v>
      </c>
      <c r="H3057" s="6">
        <f t="shared" si="239"/>
        <v>44.64</v>
      </c>
    </row>
    <row r="3058" spans="1:8" hidden="1" x14ac:dyDescent="0.3">
      <c r="A3058" s="9">
        <v>45225</v>
      </c>
      <c r="B3058" t="s">
        <v>8</v>
      </c>
      <c r="C3058" t="s">
        <v>9</v>
      </c>
      <c r="D3058" t="s">
        <v>13</v>
      </c>
      <c r="E3058" t="s">
        <v>22</v>
      </c>
      <c r="F3058">
        <v>930</v>
      </c>
      <c r="G3058">
        <v>70</v>
      </c>
      <c r="H3058" s="6">
        <f t="shared" si="239"/>
        <v>65.099999999999994</v>
      </c>
    </row>
    <row r="3059" spans="1:8" hidden="1" x14ac:dyDescent="0.3">
      <c r="A3059" s="9">
        <v>45225</v>
      </c>
      <c r="B3059" t="s">
        <v>8</v>
      </c>
      <c r="C3059" t="s">
        <v>26</v>
      </c>
      <c r="D3059" t="s">
        <v>18</v>
      </c>
      <c r="E3059" t="s">
        <v>21</v>
      </c>
      <c r="F3059">
        <v>450</v>
      </c>
      <c r="G3059">
        <v>58</v>
      </c>
      <c r="H3059" s="6">
        <f t="shared" si="239"/>
        <v>26.1</v>
      </c>
    </row>
    <row r="3060" spans="1:8" hidden="1" x14ac:dyDescent="0.3">
      <c r="A3060" s="9">
        <v>45225</v>
      </c>
      <c r="B3060" t="s">
        <v>12</v>
      </c>
      <c r="C3060" t="s">
        <v>26</v>
      </c>
      <c r="D3060" t="s">
        <v>13</v>
      </c>
      <c r="E3060" t="s">
        <v>44</v>
      </c>
      <c r="F3060">
        <v>2540</v>
      </c>
      <c r="G3060">
        <v>30</v>
      </c>
      <c r="H3060" s="6">
        <f t="shared" si="239"/>
        <v>76.2</v>
      </c>
    </row>
    <row r="3061" spans="1:8" hidden="1" x14ac:dyDescent="0.3">
      <c r="A3061" s="9">
        <v>45225</v>
      </c>
      <c r="B3061" t="s">
        <v>45</v>
      </c>
      <c r="C3061" t="s">
        <v>26</v>
      </c>
      <c r="D3061" t="s">
        <v>13</v>
      </c>
      <c r="E3061" t="s">
        <v>44</v>
      </c>
      <c r="F3061">
        <v>2540</v>
      </c>
      <c r="G3061">
        <v>53</v>
      </c>
      <c r="H3061" s="6">
        <f t="shared" si="239"/>
        <v>134.62</v>
      </c>
    </row>
    <row r="3062" spans="1:8" hidden="1" x14ac:dyDescent="0.3">
      <c r="A3062" s="9">
        <v>45225</v>
      </c>
      <c r="B3062" t="s">
        <v>45</v>
      </c>
      <c r="C3062" t="s">
        <v>26</v>
      </c>
      <c r="D3062" t="s">
        <v>24</v>
      </c>
      <c r="E3062" t="s">
        <v>25</v>
      </c>
      <c r="F3062">
        <v>1760</v>
      </c>
      <c r="G3062">
        <v>89</v>
      </c>
      <c r="H3062" s="6">
        <f t="shared" si="239"/>
        <v>156.63999999999999</v>
      </c>
    </row>
    <row r="3063" spans="1:8" hidden="1" x14ac:dyDescent="0.3">
      <c r="A3063" s="9">
        <v>45225</v>
      </c>
      <c r="B3063" t="s">
        <v>17</v>
      </c>
      <c r="C3063" t="s">
        <v>26</v>
      </c>
      <c r="D3063" t="s">
        <v>24</v>
      </c>
      <c r="E3063" t="s">
        <v>34</v>
      </c>
      <c r="F3063">
        <v>1670</v>
      </c>
      <c r="G3063">
        <v>23</v>
      </c>
      <c r="H3063" s="6">
        <f t="shared" si="239"/>
        <v>38.409999999999997</v>
      </c>
    </row>
    <row r="3064" spans="1:8" hidden="1" x14ac:dyDescent="0.3">
      <c r="A3064" s="9">
        <v>45225</v>
      </c>
      <c r="B3064" t="s">
        <v>12</v>
      </c>
      <c r="C3064" t="s">
        <v>15</v>
      </c>
      <c r="D3064" t="s">
        <v>10</v>
      </c>
      <c r="E3064" t="s">
        <v>23</v>
      </c>
      <c r="F3064">
        <v>640</v>
      </c>
      <c r="G3064">
        <v>8</v>
      </c>
      <c r="H3064" s="6">
        <f t="shared" si="239"/>
        <v>5.12</v>
      </c>
    </row>
    <row r="3065" spans="1:8" hidden="1" x14ac:dyDescent="0.3">
      <c r="A3065" s="9">
        <v>45225</v>
      </c>
      <c r="B3065" t="s">
        <v>8</v>
      </c>
      <c r="C3065" t="s">
        <v>15</v>
      </c>
      <c r="D3065" t="s">
        <v>18</v>
      </c>
      <c r="E3065" t="s">
        <v>21</v>
      </c>
      <c r="F3065">
        <v>450</v>
      </c>
      <c r="G3065">
        <v>91</v>
      </c>
      <c r="H3065" s="6">
        <f t="shared" si="239"/>
        <v>40.950000000000003</v>
      </c>
    </row>
    <row r="3066" spans="1:8" hidden="1" x14ac:dyDescent="0.3">
      <c r="A3066" s="9">
        <v>45225</v>
      </c>
      <c r="B3066" t="s">
        <v>12</v>
      </c>
      <c r="C3066" t="s">
        <v>33</v>
      </c>
      <c r="D3066" t="s">
        <v>10</v>
      </c>
      <c r="E3066" t="s">
        <v>39</v>
      </c>
      <c r="F3066">
        <v>650</v>
      </c>
      <c r="G3066">
        <v>11</v>
      </c>
      <c r="H3066" s="6">
        <f t="shared" si="239"/>
        <v>7.15</v>
      </c>
    </row>
    <row r="3067" spans="1:8" hidden="1" x14ac:dyDescent="0.3">
      <c r="A3067" s="9">
        <v>45225</v>
      </c>
      <c r="B3067" t="s">
        <v>17</v>
      </c>
      <c r="C3067" t="s">
        <v>33</v>
      </c>
      <c r="D3067" t="s">
        <v>18</v>
      </c>
      <c r="E3067" t="s">
        <v>37</v>
      </c>
      <c r="F3067">
        <v>890</v>
      </c>
      <c r="G3067">
        <v>95</v>
      </c>
      <c r="H3067" s="6">
        <f t="shared" si="239"/>
        <v>84.55</v>
      </c>
    </row>
    <row r="3068" spans="1:8" hidden="1" x14ac:dyDescent="0.3">
      <c r="A3068" s="9">
        <v>45225</v>
      </c>
      <c r="B3068" t="s">
        <v>12</v>
      </c>
      <c r="C3068" t="s">
        <v>33</v>
      </c>
      <c r="D3068" t="s">
        <v>24</v>
      </c>
      <c r="E3068" t="s">
        <v>25</v>
      </c>
      <c r="F3068">
        <v>1760</v>
      </c>
      <c r="G3068">
        <v>23</v>
      </c>
      <c r="H3068" s="6">
        <f t="shared" si="239"/>
        <v>40.479999999999997</v>
      </c>
    </row>
    <row r="3069" spans="1:8" hidden="1" x14ac:dyDescent="0.3">
      <c r="A3069" s="13" t="s">
        <v>313</v>
      </c>
      <c r="H3069" s="6">
        <f>SUBTOTAL(9,H3056:H3068)</f>
        <v>0</v>
      </c>
    </row>
    <row r="3070" spans="1:8" hidden="1" x14ac:dyDescent="0.3">
      <c r="A3070" s="9">
        <v>45226</v>
      </c>
      <c r="B3070" t="s">
        <v>8</v>
      </c>
      <c r="C3070" t="s">
        <v>20</v>
      </c>
      <c r="D3070" t="s">
        <v>13</v>
      </c>
      <c r="E3070" t="s">
        <v>29</v>
      </c>
      <c r="F3070">
        <v>1230</v>
      </c>
      <c r="G3070">
        <v>86</v>
      </c>
      <c r="H3070" s="6">
        <f t="shared" ref="H3070:H3082" si="240">F3070*G3070/1000</f>
        <v>105.78</v>
      </c>
    </row>
    <row r="3071" spans="1:8" hidden="1" x14ac:dyDescent="0.3">
      <c r="A3071" s="9">
        <v>45226</v>
      </c>
      <c r="B3071" t="s">
        <v>8</v>
      </c>
      <c r="C3071" t="s">
        <v>20</v>
      </c>
      <c r="D3071" t="s">
        <v>13</v>
      </c>
      <c r="E3071" t="s">
        <v>22</v>
      </c>
      <c r="F3071">
        <v>930</v>
      </c>
      <c r="G3071">
        <v>19</v>
      </c>
      <c r="H3071" s="6">
        <f t="shared" si="240"/>
        <v>17.670000000000002</v>
      </c>
    </row>
    <row r="3072" spans="1:8" hidden="1" x14ac:dyDescent="0.3">
      <c r="A3072" s="9">
        <v>45226</v>
      </c>
      <c r="B3072" t="s">
        <v>8</v>
      </c>
      <c r="C3072" t="s">
        <v>9</v>
      </c>
      <c r="D3072" t="s">
        <v>10</v>
      </c>
      <c r="E3072" t="s">
        <v>40</v>
      </c>
      <c r="F3072">
        <v>540</v>
      </c>
      <c r="G3072">
        <v>97</v>
      </c>
      <c r="H3072" s="6">
        <f t="shared" si="240"/>
        <v>52.38</v>
      </c>
    </row>
    <row r="3073" spans="1:8" hidden="1" x14ac:dyDescent="0.3">
      <c r="A3073" s="9">
        <v>45226</v>
      </c>
      <c r="B3073" t="s">
        <v>45</v>
      </c>
      <c r="C3073" t="s">
        <v>9</v>
      </c>
      <c r="D3073" t="s">
        <v>10</v>
      </c>
      <c r="E3073" t="s">
        <v>23</v>
      </c>
      <c r="F3073">
        <v>640</v>
      </c>
      <c r="G3073">
        <v>5</v>
      </c>
      <c r="H3073" s="6">
        <f t="shared" si="240"/>
        <v>3.2</v>
      </c>
    </row>
    <row r="3074" spans="1:8" hidden="1" x14ac:dyDescent="0.3">
      <c r="A3074" s="9">
        <v>45226</v>
      </c>
      <c r="B3074" t="s">
        <v>12</v>
      </c>
      <c r="C3074" t="s">
        <v>9</v>
      </c>
      <c r="D3074" t="s">
        <v>24</v>
      </c>
      <c r="E3074" t="s">
        <v>34</v>
      </c>
      <c r="F3074">
        <v>1670</v>
      </c>
      <c r="G3074">
        <v>54</v>
      </c>
      <c r="H3074" s="6">
        <f t="shared" si="240"/>
        <v>90.18</v>
      </c>
    </row>
    <row r="3075" spans="1:8" hidden="1" x14ac:dyDescent="0.3">
      <c r="A3075" s="9">
        <v>45226</v>
      </c>
      <c r="B3075" t="s">
        <v>8</v>
      </c>
      <c r="C3075" t="s">
        <v>9</v>
      </c>
      <c r="D3075" t="s">
        <v>24</v>
      </c>
      <c r="E3075" t="s">
        <v>34</v>
      </c>
      <c r="F3075">
        <v>1670</v>
      </c>
      <c r="G3075">
        <v>26</v>
      </c>
      <c r="H3075" s="6">
        <f t="shared" si="240"/>
        <v>43.42</v>
      </c>
    </row>
    <row r="3076" spans="1:8" hidden="1" x14ac:dyDescent="0.3">
      <c r="A3076" s="9">
        <v>45226</v>
      </c>
      <c r="B3076" t="s">
        <v>17</v>
      </c>
      <c r="C3076" t="s">
        <v>26</v>
      </c>
      <c r="D3076" t="s">
        <v>10</v>
      </c>
      <c r="E3076" t="s">
        <v>11</v>
      </c>
      <c r="F3076">
        <v>705</v>
      </c>
      <c r="G3076">
        <v>49</v>
      </c>
      <c r="H3076" s="6">
        <f t="shared" si="240"/>
        <v>34.545000000000002</v>
      </c>
    </row>
    <row r="3077" spans="1:8" hidden="1" x14ac:dyDescent="0.3">
      <c r="A3077" s="9">
        <v>45226</v>
      </c>
      <c r="B3077" t="s">
        <v>8</v>
      </c>
      <c r="C3077" t="s">
        <v>26</v>
      </c>
      <c r="D3077" t="s">
        <v>13</v>
      </c>
      <c r="E3077" t="s">
        <v>38</v>
      </c>
      <c r="F3077">
        <v>2400</v>
      </c>
      <c r="G3077">
        <v>73</v>
      </c>
      <c r="H3077" s="6">
        <f t="shared" si="240"/>
        <v>175.2</v>
      </c>
    </row>
    <row r="3078" spans="1:8" hidden="1" x14ac:dyDescent="0.3">
      <c r="A3078" s="9">
        <v>45226</v>
      </c>
      <c r="B3078" t="s">
        <v>45</v>
      </c>
      <c r="C3078" t="s">
        <v>15</v>
      </c>
      <c r="D3078" t="s">
        <v>10</v>
      </c>
      <c r="E3078" t="s">
        <v>16</v>
      </c>
      <c r="F3078">
        <v>1380</v>
      </c>
      <c r="G3078">
        <v>98</v>
      </c>
      <c r="H3078" s="6">
        <f t="shared" si="240"/>
        <v>135.24</v>
      </c>
    </row>
    <row r="3079" spans="1:8" hidden="1" x14ac:dyDescent="0.3">
      <c r="A3079" s="9">
        <v>45226</v>
      </c>
      <c r="B3079" t="s">
        <v>12</v>
      </c>
      <c r="C3079" t="s">
        <v>15</v>
      </c>
      <c r="D3079" t="s">
        <v>18</v>
      </c>
      <c r="E3079" t="s">
        <v>31</v>
      </c>
      <c r="F3079">
        <v>715</v>
      </c>
      <c r="G3079">
        <v>55</v>
      </c>
      <c r="H3079" s="6">
        <f t="shared" si="240"/>
        <v>39.325000000000003</v>
      </c>
    </row>
    <row r="3080" spans="1:8" x14ac:dyDescent="0.3">
      <c r="A3080" s="9">
        <v>45226</v>
      </c>
      <c r="B3080" t="s">
        <v>45</v>
      </c>
      <c r="C3080" t="s">
        <v>33</v>
      </c>
      <c r="D3080" t="s">
        <v>13</v>
      </c>
      <c r="E3080" t="s">
        <v>29</v>
      </c>
      <c r="F3080">
        <v>1230</v>
      </c>
      <c r="G3080">
        <v>51</v>
      </c>
      <c r="H3080" s="6">
        <f t="shared" si="240"/>
        <v>62.73</v>
      </c>
    </row>
    <row r="3081" spans="1:8" hidden="1" x14ac:dyDescent="0.3">
      <c r="A3081" s="9">
        <v>45226</v>
      </c>
      <c r="B3081" t="s">
        <v>8</v>
      </c>
      <c r="C3081" t="s">
        <v>33</v>
      </c>
      <c r="D3081" t="s">
        <v>13</v>
      </c>
      <c r="E3081" t="s">
        <v>14</v>
      </c>
      <c r="F3081">
        <v>1320</v>
      </c>
      <c r="G3081">
        <v>33</v>
      </c>
      <c r="H3081" s="6">
        <f t="shared" si="240"/>
        <v>43.56</v>
      </c>
    </row>
    <row r="3082" spans="1:8" hidden="1" x14ac:dyDescent="0.3">
      <c r="A3082" s="9">
        <v>45226</v>
      </c>
      <c r="B3082" t="s">
        <v>45</v>
      </c>
      <c r="C3082" t="s">
        <v>35</v>
      </c>
      <c r="D3082" t="s">
        <v>18</v>
      </c>
      <c r="E3082" t="s">
        <v>27</v>
      </c>
      <c r="F3082">
        <v>460</v>
      </c>
      <c r="G3082">
        <v>74</v>
      </c>
      <c r="H3082" s="6">
        <f t="shared" si="240"/>
        <v>34.04</v>
      </c>
    </row>
    <row r="3083" spans="1:8" hidden="1" x14ac:dyDescent="0.3">
      <c r="A3083" s="13" t="s">
        <v>314</v>
      </c>
      <c r="H3083" s="6">
        <f>SUBTOTAL(9,H3070:H3082)</f>
        <v>62.73</v>
      </c>
    </row>
    <row r="3084" spans="1:8" hidden="1" x14ac:dyDescent="0.3">
      <c r="A3084" s="9">
        <v>45227</v>
      </c>
      <c r="B3084" t="s">
        <v>12</v>
      </c>
      <c r="C3084" t="s">
        <v>20</v>
      </c>
      <c r="D3084" t="s">
        <v>10</v>
      </c>
      <c r="E3084" t="s">
        <v>16</v>
      </c>
      <c r="F3084">
        <v>1380</v>
      </c>
      <c r="G3084">
        <v>16</v>
      </c>
      <c r="H3084" s="6">
        <f t="shared" ref="H3084:H3093" si="241">F3084*G3084/1000</f>
        <v>22.08</v>
      </c>
    </row>
    <row r="3085" spans="1:8" hidden="1" x14ac:dyDescent="0.3">
      <c r="A3085" s="9">
        <v>45227</v>
      </c>
      <c r="B3085" t="s">
        <v>12</v>
      </c>
      <c r="C3085" t="s">
        <v>20</v>
      </c>
      <c r="D3085" t="s">
        <v>18</v>
      </c>
      <c r="E3085" t="s">
        <v>27</v>
      </c>
      <c r="F3085">
        <v>460</v>
      </c>
      <c r="G3085">
        <v>92</v>
      </c>
      <c r="H3085" s="6">
        <f t="shared" si="241"/>
        <v>42.32</v>
      </c>
    </row>
    <row r="3086" spans="1:8" hidden="1" x14ac:dyDescent="0.3">
      <c r="A3086" s="9">
        <v>45227</v>
      </c>
      <c r="B3086" t="s">
        <v>17</v>
      </c>
      <c r="C3086" t="s">
        <v>20</v>
      </c>
      <c r="D3086" t="s">
        <v>18</v>
      </c>
      <c r="E3086" t="s">
        <v>19</v>
      </c>
      <c r="F3086">
        <v>325</v>
      </c>
      <c r="G3086">
        <v>88</v>
      </c>
      <c r="H3086" s="6">
        <f t="shared" si="241"/>
        <v>28.6</v>
      </c>
    </row>
    <row r="3087" spans="1:8" hidden="1" x14ac:dyDescent="0.3">
      <c r="A3087" s="9">
        <v>45227</v>
      </c>
      <c r="B3087" t="s">
        <v>17</v>
      </c>
      <c r="C3087" t="s">
        <v>20</v>
      </c>
      <c r="D3087" t="s">
        <v>13</v>
      </c>
      <c r="E3087" t="s">
        <v>43</v>
      </c>
      <c r="F3087">
        <v>1420</v>
      </c>
      <c r="G3087">
        <v>89</v>
      </c>
      <c r="H3087" s="6">
        <f t="shared" si="241"/>
        <v>126.38</v>
      </c>
    </row>
    <row r="3088" spans="1:8" hidden="1" x14ac:dyDescent="0.3">
      <c r="A3088" s="9">
        <v>45227</v>
      </c>
      <c r="B3088" t="s">
        <v>17</v>
      </c>
      <c r="C3088" t="s">
        <v>9</v>
      </c>
      <c r="D3088" t="s">
        <v>10</v>
      </c>
      <c r="E3088" t="s">
        <v>11</v>
      </c>
      <c r="F3088">
        <v>705</v>
      </c>
      <c r="G3088">
        <v>38</v>
      </c>
      <c r="H3088" s="6">
        <f t="shared" si="241"/>
        <v>26.79</v>
      </c>
    </row>
    <row r="3089" spans="1:8" hidden="1" x14ac:dyDescent="0.3">
      <c r="A3089" s="9">
        <v>45227</v>
      </c>
      <c r="B3089" t="s">
        <v>45</v>
      </c>
      <c r="C3089" t="s">
        <v>9</v>
      </c>
      <c r="D3089" t="s">
        <v>18</v>
      </c>
      <c r="E3089" t="s">
        <v>31</v>
      </c>
      <c r="F3089">
        <v>715</v>
      </c>
      <c r="G3089">
        <v>25</v>
      </c>
      <c r="H3089" s="6">
        <f t="shared" si="241"/>
        <v>17.875</v>
      </c>
    </row>
    <row r="3090" spans="1:8" hidden="1" x14ac:dyDescent="0.3">
      <c r="A3090" s="9">
        <v>45227</v>
      </c>
      <c r="B3090" t="s">
        <v>12</v>
      </c>
      <c r="C3090" t="s">
        <v>9</v>
      </c>
      <c r="D3090" t="s">
        <v>13</v>
      </c>
      <c r="E3090" t="s">
        <v>38</v>
      </c>
      <c r="F3090">
        <v>2400</v>
      </c>
      <c r="G3090">
        <v>92</v>
      </c>
      <c r="H3090" s="6">
        <f t="shared" si="241"/>
        <v>220.8</v>
      </c>
    </row>
    <row r="3091" spans="1:8" hidden="1" x14ac:dyDescent="0.3">
      <c r="A3091" s="9">
        <v>45227</v>
      </c>
      <c r="B3091" t="s">
        <v>17</v>
      </c>
      <c r="C3091" t="s">
        <v>26</v>
      </c>
      <c r="D3091" t="s">
        <v>10</v>
      </c>
      <c r="E3091" t="s">
        <v>16</v>
      </c>
      <c r="F3091">
        <v>1380</v>
      </c>
      <c r="G3091">
        <v>36</v>
      </c>
      <c r="H3091" s="6">
        <f t="shared" si="241"/>
        <v>49.68</v>
      </c>
    </row>
    <row r="3092" spans="1:8" hidden="1" x14ac:dyDescent="0.3">
      <c r="A3092" s="9">
        <v>45227</v>
      </c>
      <c r="B3092" t="s">
        <v>17</v>
      </c>
      <c r="C3092" t="s">
        <v>26</v>
      </c>
      <c r="D3092" t="s">
        <v>13</v>
      </c>
      <c r="E3092" t="s">
        <v>14</v>
      </c>
      <c r="F3092">
        <v>1320</v>
      </c>
      <c r="G3092">
        <v>46</v>
      </c>
      <c r="H3092" s="6">
        <f t="shared" si="241"/>
        <v>60.72</v>
      </c>
    </row>
    <row r="3093" spans="1:8" hidden="1" x14ac:dyDescent="0.3">
      <c r="A3093" s="9">
        <v>45227</v>
      </c>
      <c r="B3093" t="s">
        <v>17</v>
      </c>
      <c r="C3093" t="s">
        <v>26</v>
      </c>
      <c r="D3093" t="s">
        <v>24</v>
      </c>
      <c r="E3093" t="s">
        <v>42</v>
      </c>
      <c r="F3093">
        <v>3205</v>
      </c>
      <c r="G3093">
        <v>77</v>
      </c>
      <c r="H3093" s="6">
        <f t="shared" si="241"/>
        <v>246.785</v>
      </c>
    </row>
    <row r="3094" spans="1:8" hidden="1" x14ac:dyDescent="0.3">
      <c r="A3094" s="13" t="s">
        <v>315</v>
      </c>
      <c r="H3094" s="6">
        <f>SUBTOTAL(9,H3084:H3093)</f>
        <v>0</v>
      </c>
    </row>
    <row r="3095" spans="1:8" hidden="1" x14ac:dyDescent="0.3">
      <c r="A3095" s="9">
        <v>45228</v>
      </c>
      <c r="B3095" t="s">
        <v>8</v>
      </c>
      <c r="C3095" t="s">
        <v>20</v>
      </c>
      <c r="D3095" t="s">
        <v>13</v>
      </c>
      <c r="E3095" t="s">
        <v>14</v>
      </c>
      <c r="F3095">
        <v>1320</v>
      </c>
      <c r="G3095">
        <v>46</v>
      </c>
      <c r="H3095" s="6">
        <f t="shared" ref="H3095:H3100" si="242">F3095*G3095/1000</f>
        <v>60.72</v>
      </c>
    </row>
    <row r="3096" spans="1:8" hidden="1" x14ac:dyDescent="0.3">
      <c r="A3096" s="9">
        <v>45228</v>
      </c>
      <c r="B3096" t="s">
        <v>45</v>
      </c>
      <c r="C3096" t="s">
        <v>20</v>
      </c>
      <c r="D3096" t="s">
        <v>24</v>
      </c>
      <c r="E3096" t="s">
        <v>42</v>
      </c>
      <c r="F3096">
        <v>3205</v>
      </c>
      <c r="G3096">
        <v>51</v>
      </c>
      <c r="H3096" s="6">
        <f t="shared" si="242"/>
        <v>163.45500000000001</v>
      </c>
    </row>
    <row r="3097" spans="1:8" hidden="1" x14ac:dyDescent="0.3">
      <c r="A3097" s="9">
        <v>45228</v>
      </c>
      <c r="B3097" t="s">
        <v>8</v>
      </c>
      <c r="C3097" t="s">
        <v>15</v>
      </c>
      <c r="D3097" t="s">
        <v>10</v>
      </c>
      <c r="E3097" t="s">
        <v>16</v>
      </c>
      <c r="F3097">
        <v>1380</v>
      </c>
      <c r="G3097">
        <v>86</v>
      </c>
      <c r="H3097" s="6">
        <f t="shared" si="242"/>
        <v>118.68</v>
      </c>
    </row>
    <row r="3098" spans="1:8" hidden="1" x14ac:dyDescent="0.3">
      <c r="A3098" s="9">
        <v>45228</v>
      </c>
      <c r="B3098" t="s">
        <v>17</v>
      </c>
      <c r="C3098" t="s">
        <v>15</v>
      </c>
      <c r="D3098" t="s">
        <v>10</v>
      </c>
      <c r="E3098" t="s">
        <v>16</v>
      </c>
      <c r="F3098">
        <v>1380</v>
      </c>
      <c r="G3098">
        <v>50</v>
      </c>
      <c r="H3098" s="6">
        <f t="shared" si="242"/>
        <v>69</v>
      </c>
    </row>
    <row r="3099" spans="1:8" x14ac:dyDescent="0.3">
      <c r="A3099" s="9">
        <v>45228</v>
      </c>
      <c r="B3099" t="s">
        <v>45</v>
      </c>
      <c r="C3099" t="s">
        <v>15</v>
      </c>
      <c r="D3099" t="s">
        <v>13</v>
      </c>
      <c r="E3099" t="s">
        <v>29</v>
      </c>
      <c r="F3099">
        <v>1230</v>
      </c>
      <c r="G3099">
        <v>90</v>
      </c>
      <c r="H3099" s="6">
        <f t="shared" si="242"/>
        <v>110.7</v>
      </c>
    </row>
    <row r="3100" spans="1:8" hidden="1" x14ac:dyDescent="0.3">
      <c r="A3100" s="9">
        <v>45228</v>
      </c>
      <c r="B3100" t="s">
        <v>8</v>
      </c>
      <c r="C3100" t="s">
        <v>33</v>
      </c>
      <c r="D3100" t="s">
        <v>10</v>
      </c>
      <c r="E3100" t="s">
        <v>39</v>
      </c>
      <c r="F3100">
        <v>650</v>
      </c>
      <c r="G3100">
        <v>59</v>
      </c>
      <c r="H3100" s="6">
        <f t="shared" si="242"/>
        <v>38.35</v>
      </c>
    </row>
    <row r="3101" spans="1:8" hidden="1" x14ac:dyDescent="0.3">
      <c r="A3101" s="13" t="s">
        <v>316</v>
      </c>
      <c r="H3101" s="6">
        <f>SUBTOTAL(9,H3095:H3100)</f>
        <v>110.7</v>
      </c>
    </row>
    <row r="3102" spans="1:8" hidden="1" x14ac:dyDescent="0.3">
      <c r="A3102" s="9">
        <v>45229</v>
      </c>
      <c r="B3102" t="s">
        <v>17</v>
      </c>
      <c r="C3102" t="s">
        <v>20</v>
      </c>
      <c r="D3102" t="s">
        <v>10</v>
      </c>
      <c r="E3102" t="s">
        <v>41</v>
      </c>
      <c r="F3102">
        <v>650</v>
      </c>
      <c r="G3102">
        <v>15</v>
      </c>
      <c r="H3102" s="6">
        <f t="shared" ref="H3102:H3115" si="243">F3102*G3102/1000</f>
        <v>9.75</v>
      </c>
    </row>
    <row r="3103" spans="1:8" hidden="1" x14ac:dyDescent="0.3">
      <c r="A3103" s="9">
        <v>45229</v>
      </c>
      <c r="B3103" t="s">
        <v>17</v>
      </c>
      <c r="C3103" t="s">
        <v>20</v>
      </c>
      <c r="D3103" t="s">
        <v>18</v>
      </c>
      <c r="E3103" t="s">
        <v>27</v>
      </c>
      <c r="F3103">
        <v>460</v>
      </c>
      <c r="G3103">
        <v>33</v>
      </c>
      <c r="H3103" s="6">
        <f t="shared" si="243"/>
        <v>15.18</v>
      </c>
    </row>
    <row r="3104" spans="1:8" hidden="1" x14ac:dyDescent="0.3">
      <c r="A3104" s="9">
        <v>45229</v>
      </c>
      <c r="B3104" t="s">
        <v>12</v>
      </c>
      <c r="C3104" t="s">
        <v>20</v>
      </c>
      <c r="D3104" t="s">
        <v>24</v>
      </c>
      <c r="E3104" t="s">
        <v>30</v>
      </c>
      <c r="F3104">
        <v>2970</v>
      </c>
      <c r="G3104">
        <v>100</v>
      </c>
      <c r="H3104" s="6">
        <f t="shared" si="243"/>
        <v>297</v>
      </c>
    </row>
    <row r="3105" spans="1:8" hidden="1" x14ac:dyDescent="0.3">
      <c r="A3105" s="9">
        <v>45229</v>
      </c>
      <c r="B3105" t="s">
        <v>17</v>
      </c>
      <c r="C3105" t="s">
        <v>20</v>
      </c>
      <c r="D3105" t="s">
        <v>24</v>
      </c>
      <c r="E3105" t="s">
        <v>30</v>
      </c>
      <c r="F3105">
        <v>2970</v>
      </c>
      <c r="G3105">
        <v>13</v>
      </c>
      <c r="H3105" s="6">
        <f t="shared" si="243"/>
        <v>38.61</v>
      </c>
    </row>
    <row r="3106" spans="1:8" hidden="1" x14ac:dyDescent="0.3">
      <c r="A3106" s="9">
        <v>45229</v>
      </c>
      <c r="B3106" t="s">
        <v>12</v>
      </c>
      <c r="C3106" t="s">
        <v>9</v>
      </c>
      <c r="D3106" t="s">
        <v>10</v>
      </c>
      <c r="E3106" t="s">
        <v>11</v>
      </c>
      <c r="F3106">
        <v>705</v>
      </c>
      <c r="G3106">
        <v>53</v>
      </c>
      <c r="H3106" s="6">
        <f t="shared" si="243"/>
        <v>37.365000000000002</v>
      </c>
    </row>
    <row r="3107" spans="1:8" hidden="1" x14ac:dyDescent="0.3">
      <c r="A3107" s="9">
        <v>45229</v>
      </c>
      <c r="B3107" t="s">
        <v>17</v>
      </c>
      <c r="C3107" t="s">
        <v>9</v>
      </c>
      <c r="D3107" t="s">
        <v>18</v>
      </c>
      <c r="E3107" t="s">
        <v>27</v>
      </c>
      <c r="F3107">
        <v>460</v>
      </c>
      <c r="G3107">
        <v>47</v>
      </c>
      <c r="H3107" s="6">
        <f t="shared" si="243"/>
        <v>21.62</v>
      </c>
    </row>
    <row r="3108" spans="1:8" hidden="1" x14ac:dyDescent="0.3">
      <c r="A3108" s="9">
        <v>45229</v>
      </c>
      <c r="B3108" t="s">
        <v>17</v>
      </c>
      <c r="C3108" t="s">
        <v>9</v>
      </c>
      <c r="D3108" t="s">
        <v>13</v>
      </c>
      <c r="E3108" t="s">
        <v>43</v>
      </c>
      <c r="F3108">
        <v>1420</v>
      </c>
      <c r="G3108">
        <v>75</v>
      </c>
      <c r="H3108" s="6">
        <f t="shared" si="243"/>
        <v>106.5</v>
      </c>
    </row>
    <row r="3109" spans="1:8" hidden="1" x14ac:dyDescent="0.3">
      <c r="A3109" s="9">
        <v>45229</v>
      </c>
      <c r="B3109" t="s">
        <v>45</v>
      </c>
      <c r="C3109" t="s">
        <v>26</v>
      </c>
      <c r="D3109" t="s">
        <v>13</v>
      </c>
      <c r="E3109" t="s">
        <v>38</v>
      </c>
      <c r="F3109">
        <v>2400</v>
      </c>
      <c r="G3109">
        <v>60</v>
      </c>
      <c r="H3109" s="6">
        <f t="shared" si="243"/>
        <v>144</v>
      </c>
    </row>
    <row r="3110" spans="1:8" hidden="1" x14ac:dyDescent="0.3">
      <c r="A3110" s="9">
        <v>45229</v>
      </c>
      <c r="B3110" t="s">
        <v>8</v>
      </c>
      <c r="C3110" t="s">
        <v>15</v>
      </c>
      <c r="D3110" t="s">
        <v>18</v>
      </c>
      <c r="E3110" t="s">
        <v>31</v>
      </c>
      <c r="F3110">
        <v>715</v>
      </c>
      <c r="G3110">
        <v>64</v>
      </c>
      <c r="H3110" s="6">
        <f t="shared" si="243"/>
        <v>45.76</v>
      </c>
    </row>
    <row r="3111" spans="1:8" hidden="1" x14ac:dyDescent="0.3">
      <c r="A3111" s="9">
        <v>45229</v>
      </c>
      <c r="B3111" t="s">
        <v>45</v>
      </c>
      <c r="C3111" t="s">
        <v>15</v>
      </c>
      <c r="D3111" t="s">
        <v>18</v>
      </c>
      <c r="E3111" t="s">
        <v>37</v>
      </c>
      <c r="F3111">
        <v>890</v>
      </c>
      <c r="G3111">
        <v>70</v>
      </c>
      <c r="H3111" s="6">
        <f t="shared" si="243"/>
        <v>62.3</v>
      </c>
    </row>
    <row r="3112" spans="1:8" hidden="1" x14ac:dyDescent="0.3">
      <c r="A3112" s="9">
        <v>45229</v>
      </c>
      <c r="B3112" t="s">
        <v>12</v>
      </c>
      <c r="C3112" t="s">
        <v>33</v>
      </c>
      <c r="D3112" t="s">
        <v>18</v>
      </c>
      <c r="E3112" t="s">
        <v>27</v>
      </c>
      <c r="F3112">
        <v>460</v>
      </c>
      <c r="G3112">
        <v>43</v>
      </c>
      <c r="H3112" s="6">
        <f t="shared" si="243"/>
        <v>19.78</v>
      </c>
    </row>
    <row r="3113" spans="1:8" hidden="1" x14ac:dyDescent="0.3">
      <c r="A3113" s="9">
        <v>45229</v>
      </c>
      <c r="B3113" t="s">
        <v>12</v>
      </c>
      <c r="C3113" t="s">
        <v>35</v>
      </c>
      <c r="D3113" t="s">
        <v>10</v>
      </c>
      <c r="E3113" t="s">
        <v>16</v>
      </c>
      <c r="F3113">
        <v>1380</v>
      </c>
      <c r="G3113">
        <v>46</v>
      </c>
      <c r="H3113" s="6">
        <f t="shared" si="243"/>
        <v>63.48</v>
      </c>
    </row>
    <row r="3114" spans="1:8" hidden="1" x14ac:dyDescent="0.3">
      <c r="A3114" s="9">
        <v>45229</v>
      </c>
      <c r="B3114" t="s">
        <v>17</v>
      </c>
      <c r="C3114" t="s">
        <v>35</v>
      </c>
      <c r="D3114" t="s">
        <v>13</v>
      </c>
      <c r="E3114" t="s">
        <v>38</v>
      </c>
      <c r="F3114">
        <v>2400</v>
      </c>
      <c r="G3114">
        <v>20</v>
      </c>
      <c r="H3114" s="6">
        <f t="shared" si="243"/>
        <v>48</v>
      </c>
    </row>
    <row r="3115" spans="1:8" hidden="1" x14ac:dyDescent="0.3">
      <c r="A3115" s="9">
        <v>45229</v>
      </c>
      <c r="B3115" t="s">
        <v>12</v>
      </c>
      <c r="C3115" t="s">
        <v>35</v>
      </c>
      <c r="D3115" t="s">
        <v>24</v>
      </c>
      <c r="E3115" t="s">
        <v>42</v>
      </c>
      <c r="F3115">
        <v>3205</v>
      </c>
      <c r="G3115">
        <v>66</v>
      </c>
      <c r="H3115" s="6">
        <f t="shared" si="243"/>
        <v>211.53</v>
      </c>
    </row>
    <row r="3116" spans="1:8" hidden="1" x14ac:dyDescent="0.3">
      <c r="A3116" s="13" t="s">
        <v>317</v>
      </c>
      <c r="H3116" s="6">
        <f>SUBTOTAL(9,H3102:H3115)</f>
        <v>0</v>
      </c>
    </row>
    <row r="3117" spans="1:8" hidden="1" x14ac:dyDescent="0.3">
      <c r="A3117" s="9">
        <v>45230</v>
      </c>
      <c r="B3117" t="s">
        <v>12</v>
      </c>
      <c r="C3117" t="s">
        <v>26</v>
      </c>
      <c r="D3117" t="s">
        <v>10</v>
      </c>
      <c r="E3117" t="s">
        <v>16</v>
      </c>
      <c r="F3117">
        <v>1380</v>
      </c>
      <c r="G3117">
        <v>53</v>
      </c>
      <c r="H3117" s="6">
        <f t="shared" ref="H3117:H3123" si="244">F3117*G3117/1000</f>
        <v>73.14</v>
      </c>
    </row>
    <row r="3118" spans="1:8" hidden="1" x14ac:dyDescent="0.3">
      <c r="A3118" s="9">
        <v>45230</v>
      </c>
      <c r="B3118" t="s">
        <v>12</v>
      </c>
      <c r="C3118" t="s">
        <v>26</v>
      </c>
      <c r="D3118" t="s">
        <v>18</v>
      </c>
      <c r="E3118" t="s">
        <v>31</v>
      </c>
      <c r="F3118">
        <v>715</v>
      </c>
      <c r="G3118">
        <v>15</v>
      </c>
      <c r="H3118" s="6">
        <f t="shared" si="244"/>
        <v>10.725</v>
      </c>
    </row>
    <row r="3119" spans="1:8" hidden="1" x14ac:dyDescent="0.3">
      <c r="A3119" s="9">
        <v>45230</v>
      </c>
      <c r="B3119" t="s">
        <v>45</v>
      </c>
      <c r="C3119" t="s">
        <v>26</v>
      </c>
      <c r="D3119" t="s">
        <v>13</v>
      </c>
      <c r="E3119" t="s">
        <v>43</v>
      </c>
      <c r="F3119">
        <v>1420</v>
      </c>
      <c r="G3119">
        <v>50</v>
      </c>
      <c r="H3119" s="6">
        <f t="shared" si="244"/>
        <v>71</v>
      </c>
    </row>
    <row r="3120" spans="1:8" hidden="1" x14ac:dyDescent="0.3">
      <c r="A3120" s="9">
        <v>45230</v>
      </c>
      <c r="B3120" t="s">
        <v>45</v>
      </c>
      <c r="C3120" t="s">
        <v>26</v>
      </c>
      <c r="D3120" t="s">
        <v>13</v>
      </c>
      <c r="E3120" t="s">
        <v>43</v>
      </c>
      <c r="F3120">
        <v>1420</v>
      </c>
      <c r="G3120">
        <v>100</v>
      </c>
      <c r="H3120" s="6">
        <f t="shared" si="244"/>
        <v>142</v>
      </c>
    </row>
    <row r="3121" spans="1:8" hidden="1" x14ac:dyDescent="0.3">
      <c r="A3121" s="9">
        <v>45230</v>
      </c>
      <c r="B3121" t="s">
        <v>45</v>
      </c>
      <c r="C3121" t="s">
        <v>26</v>
      </c>
      <c r="D3121" t="s">
        <v>24</v>
      </c>
      <c r="E3121" t="s">
        <v>42</v>
      </c>
      <c r="F3121">
        <v>3205</v>
      </c>
      <c r="G3121">
        <v>22</v>
      </c>
      <c r="H3121" s="6">
        <f t="shared" si="244"/>
        <v>70.510000000000005</v>
      </c>
    </row>
    <row r="3122" spans="1:8" hidden="1" x14ac:dyDescent="0.3">
      <c r="A3122" s="9">
        <v>45230</v>
      </c>
      <c r="B3122" t="s">
        <v>17</v>
      </c>
      <c r="C3122" t="s">
        <v>33</v>
      </c>
      <c r="D3122" t="s">
        <v>18</v>
      </c>
      <c r="E3122" t="s">
        <v>28</v>
      </c>
      <c r="F3122">
        <v>690</v>
      </c>
      <c r="G3122">
        <v>41</v>
      </c>
      <c r="H3122" s="6">
        <f t="shared" si="244"/>
        <v>28.29</v>
      </c>
    </row>
    <row r="3123" spans="1:8" hidden="1" x14ac:dyDescent="0.3">
      <c r="A3123" s="9">
        <v>45230</v>
      </c>
      <c r="B3123" t="s">
        <v>17</v>
      </c>
      <c r="C3123" t="s">
        <v>35</v>
      </c>
      <c r="D3123" t="s">
        <v>10</v>
      </c>
      <c r="E3123" t="s">
        <v>39</v>
      </c>
      <c r="F3123">
        <v>650</v>
      </c>
      <c r="G3123">
        <v>83</v>
      </c>
      <c r="H3123" s="6">
        <f t="shared" si="244"/>
        <v>53.95</v>
      </c>
    </row>
    <row r="3124" spans="1:8" hidden="1" x14ac:dyDescent="0.3">
      <c r="A3124" s="13" t="s">
        <v>318</v>
      </c>
      <c r="H3124" s="6">
        <f>SUBTOTAL(9,H3117:H3123)</f>
        <v>0</v>
      </c>
    </row>
    <row r="3125" spans="1:8" hidden="1" x14ac:dyDescent="0.3">
      <c r="A3125" s="9">
        <v>45231</v>
      </c>
      <c r="B3125" t="s">
        <v>17</v>
      </c>
      <c r="C3125" t="s">
        <v>20</v>
      </c>
      <c r="D3125" t="s">
        <v>18</v>
      </c>
      <c r="E3125" t="s">
        <v>19</v>
      </c>
      <c r="F3125">
        <v>325</v>
      </c>
      <c r="G3125">
        <v>51</v>
      </c>
      <c r="H3125" s="6">
        <f t="shared" ref="H3125:H3138" si="245">F3125*G3125/1000</f>
        <v>16.574999999999999</v>
      </c>
    </row>
    <row r="3126" spans="1:8" hidden="1" x14ac:dyDescent="0.3">
      <c r="A3126" s="9">
        <v>45231</v>
      </c>
      <c r="B3126" t="s">
        <v>12</v>
      </c>
      <c r="C3126" t="s">
        <v>20</v>
      </c>
      <c r="D3126" t="s">
        <v>13</v>
      </c>
      <c r="E3126" t="s">
        <v>22</v>
      </c>
      <c r="F3126">
        <v>930</v>
      </c>
      <c r="G3126">
        <v>40</v>
      </c>
      <c r="H3126" s="6">
        <f t="shared" si="245"/>
        <v>37.200000000000003</v>
      </c>
    </row>
    <row r="3127" spans="1:8" hidden="1" x14ac:dyDescent="0.3">
      <c r="A3127" s="9">
        <v>45231</v>
      </c>
      <c r="B3127" t="s">
        <v>12</v>
      </c>
      <c r="C3127" t="s">
        <v>9</v>
      </c>
      <c r="D3127" t="s">
        <v>10</v>
      </c>
      <c r="E3127" t="s">
        <v>16</v>
      </c>
      <c r="F3127">
        <v>1380</v>
      </c>
      <c r="G3127">
        <v>26</v>
      </c>
      <c r="H3127" s="6">
        <f t="shared" si="245"/>
        <v>35.880000000000003</v>
      </c>
    </row>
    <row r="3128" spans="1:8" hidden="1" x14ac:dyDescent="0.3">
      <c r="A3128" s="9">
        <v>45231</v>
      </c>
      <c r="B3128" t="s">
        <v>17</v>
      </c>
      <c r="C3128" t="s">
        <v>9</v>
      </c>
      <c r="D3128" t="s">
        <v>18</v>
      </c>
      <c r="E3128" t="s">
        <v>19</v>
      </c>
      <c r="F3128">
        <v>325</v>
      </c>
      <c r="G3128">
        <v>7</v>
      </c>
      <c r="H3128" s="6">
        <f t="shared" si="245"/>
        <v>2.2749999999999999</v>
      </c>
    </row>
    <row r="3129" spans="1:8" hidden="1" x14ac:dyDescent="0.3">
      <c r="A3129" s="9">
        <v>45231</v>
      </c>
      <c r="B3129" t="s">
        <v>17</v>
      </c>
      <c r="C3129" t="s">
        <v>9</v>
      </c>
      <c r="D3129" t="s">
        <v>13</v>
      </c>
      <c r="E3129" t="s">
        <v>14</v>
      </c>
      <c r="F3129">
        <v>1320</v>
      </c>
      <c r="G3129">
        <v>42</v>
      </c>
      <c r="H3129" s="6">
        <f t="shared" si="245"/>
        <v>55.44</v>
      </c>
    </row>
    <row r="3130" spans="1:8" hidden="1" x14ac:dyDescent="0.3">
      <c r="A3130" s="9">
        <v>45231</v>
      </c>
      <c r="B3130" t="s">
        <v>8</v>
      </c>
      <c r="C3130" t="s">
        <v>9</v>
      </c>
      <c r="D3130" t="s">
        <v>24</v>
      </c>
      <c r="E3130" t="s">
        <v>32</v>
      </c>
      <c r="F3130">
        <v>1505</v>
      </c>
      <c r="G3130">
        <v>95</v>
      </c>
      <c r="H3130" s="6">
        <f t="shared" si="245"/>
        <v>142.97499999999999</v>
      </c>
    </row>
    <row r="3131" spans="1:8" hidden="1" x14ac:dyDescent="0.3">
      <c r="A3131" s="9">
        <v>45231</v>
      </c>
      <c r="B3131" t="s">
        <v>12</v>
      </c>
      <c r="C3131" t="s">
        <v>26</v>
      </c>
      <c r="D3131" t="s">
        <v>13</v>
      </c>
      <c r="E3131" t="s">
        <v>14</v>
      </c>
      <c r="F3131">
        <v>1320</v>
      </c>
      <c r="G3131">
        <v>83</v>
      </c>
      <c r="H3131" s="6">
        <f t="shared" si="245"/>
        <v>109.56</v>
      </c>
    </row>
    <row r="3132" spans="1:8" hidden="1" x14ac:dyDescent="0.3">
      <c r="A3132" s="9">
        <v>45231</v>
      </c>
      <c r="B3132" t="s">
        <v>17</v>
      </c>
      <c r="C3132" t="s">
        <v>26</v>
      </c>
      <c r="D3132" t="s">
        <v>24</v>
      </c>
      <c r="E3132" t="s">
        <v>34</v>
      </c>
      <c r="F3132">
        <v>1670</v>
      </c>
      <c r="G3132">
        <v>75</v>
      </c>
      <c r="H3132" s="6">
        <f t="shared" si="245"/>
        <v>125.25</v>
      </c>
    </row>
    <row r="3133" spans="1:8" hidden="1" x14ac:dyDescent="0.3">
      <c r="A3133" s="9">
        <v>45231</v>
      </c>
      <c r="B3133" t="s">
        <v>12</v>
      </c>
      <c r="C3133" t="s">
        <v>15</v>
      </c>
      <c r="D3133" t="s">
        <v>10</v>
      </c>
      <c r="E3133" t="s">
        <v>40</v>
      </c>
      <c r="F3133">
        <v>540</v>
      </c>
      <c r="G3133">
        <v>36</v>
      </c>
      <c r="H3133" s="6">
        <f t="shared" si="245"/>
        <v>19.440000000000001</v>
      </c>
    </row>
    <row r="3134" spans="1:8" hidden="1" x14ac:dyDescent="0.3">
      <c r="A3134" s="9">
        <v>45231</v>
      </c>
      <c r="B3134" t="s">
        <v>45</v>
      </c>
      <c r="C3134" t="s">
        <v>15</v>
      </c>
      <c r="D3134" t="s">
        <v>18</v>
      </c>
      <c r="E3134" t="s">
        <v>31</v>
      </c>
      <c r="F3134">
        <v>715</v>
      </c>
      <c r="G3134">
        <v>100</v>
      </c>
      <c r="H3134" s="6">
        <f t="shared" si="245"/>
        <v>71.5</v>
      </c>
    </row>
    <row r="3135" spans="1:8" hidden="1" x14ac:dyDescent="0.3">
      <c r="A3135" s="9">
        <v>45231</v>
      </c>
      <c r="B3135" t="s">
        <v>12</v>
      </c>
      <c r="C3135" t="s">
        <v>15</v>
      </c>
      <c r="D3135" t="s">
        <v>18</v>
      </c>
      <c r="E3135" t="s">
        <v>31</v>
      </c>
      <c r="F3135">
        <v>715</v>
      </c>
      <c r="G3135">
        <v>64</v>
      </c>
      <c r="H3135" s="6">
        <f t="shared" si="245"/>
        <v>45.76</v>
      </c>
    </row>
    <row r="3136" spans="1:8" hidden="1" x14ac:dyDescent="0.3">
      <c r="A3136" s="9">
        <v>45231</v>
      </c>
      <c r="B3136" t="s">
        <v>17</v>
      </c>
      <c r="C3136" t="s">
        <v>15</v>
      </c>
      <c r="D3136" t="s">
        <v>13</v>
      </c>
      <c r="E3136" t="s">
        <v>29</v>
      </c>
      <c r="F3136">
        <v>1230</v>
      </c>
      <c r="G3136">
        <v>97</v>
      </c>
      <c r="H3136" s="6">
        <f t="shared" si="245"/>
        <v>119.31</v>
      </c>
    </row>
    <row r="3137" spans="1:8" hidden="1" x14ac:dyDescent="0.3">
      <c r="A3137" s="9">
        <v>45231</v>
      </c>
      <c r="B3137" t="s">
        <v>17</v>
      </c>
      <c r="C3137" t="s">
        <v>15</v>
      </c>
      <c r="D3137" t="s">
        <v>13</v>
      </c>
      <c r="E3137" t="s">
        <v>29</v>
      </c>
      <c r="F3137">
        <v>1230</v>
      </c>
      <c r="G3137">
        <v>27</v>
      </c>
      <c r="H3137" s="6">
        <f t="shared" si="245"/>
        <v>33.21</v>
      </c>
    </row>
    <row r="3138" spans="1:8" hidden="1" x14ac:dyDescent="0.3">
      <c r="A3138" s="9">
        <v>45231</v>
      </c>
      <c r="B3138" t="s">
        <v>12</v>
      </c>
      <c r="C3138" t="s">
        <v>35</v>
      </c>
      <c r="D3138" t="s">
        <v>13</v>
      </c>
      <c r="E3138" t="s">
        <v>29</v>
      </c>
      <c r="F3138">
        <v>1230</v>
      </c>
      <c r="G3138">
        <v>90</v>
      </c>
      <c r="H3138" s="6">
        <f t="shared" si="245"/>
        <v>110.7</v>
      </c>
    </row>
    <row r="3139" spans="1:8" hidden="1" x14ac:dyDescent="0.3">
      <c r="A3139" s="13" t="s">
        <v>319</v>
      </c>
      <c r="H3139" s="6">
        <f>SUBTOTAL(9,H3125:H3138)</f>
        <v>0</v>
      </c>
    </row>
    <row r="3140" spans="1:8" hidden="1" x14ac:dyDescent="0.3">
      <c r="A3140" s="9">
        <v>45232</v>
      </c>
      <c r="B3140" t="s">
        <v>8</v>
      </c>
      <c r="C3140" t="s">
        <v>20</v>
      </c>
      <c r="D3140" t="s">
        <v>10</v>
      </c>
      <c r="E3140" t="s">
        <v>23</v>
      </c>
      <c r="F3140">
        <v>640</v>
      </c>
      <c r="G3140">
        <v>66</v>
      </c>
      <c r="H3140" s="6">
        <f t="shared" ref="H3140:H3147" si="246">F3140*G3140/1000</f>
        <v>42.24</v>
      </c>
    </row>
    <row r="3141" spans="1:8" hidden="1" x14ac:dyDescent="0.3">
      <c r="A3141" s="9">
        <v>45232</v>
      </c>
      <c r="B3141" t="s">
        <v>45</v>
      </c>
      <c r="C3141" t="s">
        <v>9</v>
      </c>
      <c r="D3141" t="s">
        <v>10</v>
      </c>
      <c r="E3141" t="s">
        <v>11</v>
      </c>
      <c r="F3141">
        <v>705</v>
      </c>
      <c r="G3141">
        <v>17</v>
      </c>
      <c r="H3141" s="6">
        <f t="shared" si="246"/>
        <v>11.984999999999999</v>
      </c>
    </row>
    <row r="3142" spans="1:8" hidden="1" x14ac:dyDescent="0.3">
      <c r="A3142" s="9">
        <v>45232</v>
      </c>
      <c r="B3142" t="s">
        <v>17</v>
      </c>
      <c r="C3142" t="s">
        <v>9</v>
      </c>
      <c r="D3142" t="s">
        <v>18</v>
      </c>
      <c r="E3142" t="s">
        <v>31</v>
      </c>
      <c r="F3142">
        <v>715</v>
      </c>
      <c r="G3142">
        <v>8</v>
      </c>
      <c r="H3142" s="6">
        <f t="shared" si="246"/>
        <v>5.72</v>
      </c>
    </row>
    <row r="3143" spans="1:8" hidden="1" x14ac:dyDescent="0.3">
      <c r="A3143" s="9">
        <v>45232</v>
      </c>
      <c r="B3143" t="s">
        <v>45</v>
      </c>
      <c r="C3143" t="s">
        <v>33</v>
      </c>
      <c r="D3143" t="s">
        <v>18</v>
      </c>
      <c r="E3143" t="s">
        <v>31</v>
      </c>
      <c r="F3143">
        <v>715</v>
      </c>
      <c r="G3143">
        <v>63</v>
      </c>
      <c r="H3143" s="6">
        <f t="shared" si="246"/>
        <v>45.045000000000002</v>
      </c>
    </row>
    <row r="3144" spans="1:8" hidden="1" x14ac:dyDescent="0.3">
      <c r="A3144" s="9">
        <v>45232</v>
      </c>
      <c r="B3144" t="s">
        <v>8</v>
      </c>
      <c r="C3144" t="s">
        <v>35</v>
      </c>
      <c r="D3144" t="s">
        <v>10</v>
      </c>
      <c r="E3144" t="s">
        <v>16</v>
      </c>
      <c r="F3144">
        <v>1380</v>
      </c>
      <c r="G3144">
        <v>22</v>
      </c>
      <c r="H3144" s="6">
        <f t="shared" si="246"/>
        <v>30.36</v>
      </c>
    </row>
    <row r="3145" spans="1:8" hidden="1" x14ac:dyDescent="0.3">
      <c r="A3145" s="9">
        <v>45232</v>
      </c>
      <c r="B3145" t="s">
        <v>8</v>
      </c>
      <c r="C3145" t="s">
        <v>35</v>
      </c>
      <c r="D3145" t="s">
        <v>24</v>
      </c>
      <c r="E3145" t="s">
        <v>36</v>
      </c>
      <c r="F3145">
        <v>2460</v>
      </c>
      <c r="G3145">
        <v>13</v>
      </c>
      <c r="H3145" s="6">
        <f t="shared" si="246"/>
        <v>31.98</v>
      </c>
    </row>
    <row r="3146" spans="1:8" hidden="1" x14ac:dyDescent="0.3">
      <c r="A3146" s="9">
        <v>45232</v>
      </c>
      <c r="B3146" t="s">
        <v>17</v>
      </c>
      <c r="C3146" t="s">
        <v>35</v>
      </c>
      <c r="D3146" t="s">
        <v>24</v>
      </c>
      <c r="E3146" t="s">
        <v>36</v>
      </c>
      <c r="F3146">
        <v>2460</v>
      </c>
      <c r="G3146">
        <v>22</v>
      </c>
      <c r="H3146" s="6">
        <f t="shared" si="246"/>
        <v>54.12</v>
      </c>
    </row>
    <row r="3147" spans="1:8" hidden="1" x14ac:dyDescent="0.3">
      <c r="A3147" s="9">
        <v>45232</v>
      </c>
      <c r="B3147" t="s">
        <v>17</v>
      </c>
      <c r="C3147" t="s">
        <v>35</v>
      </c>
      <c r="D3147" t="s">
        <v>24</v>
      </c>
      <c r="E3147" t="s">
        <v>25</v>
      </c>
      <c r="F3147">
        <v>1760</v>
      </c>
      <c r="G3147">
        <v>9</v>
      </c>
      <c r="H3147" s="6">
        <f t="shared" si="246"/>
        <v>15.84</v>
      </c>
    </row>
    <row r="3148" spans="1:8" hidden="1" x14ac:dyDescent="0.3">
      <c r="A3148" s="13" t="s">
        <v>320</v>
      </c>
      <c r="H3148" s="6">
        <f>SUBTOTAL(9,H3140:H3147)</f>
        <v>0</v>
      </c>
    </row>
    <row r="3149" spans="1:8" hidden="1" x14ac:dyDescent="0.3">
      <c r="A3149" s="9">
        <v>45233</v>
      </c>
      <c r="B3149" t="s">
        <v>8</v>
      </c>
      <c r="C3149" t="s">
        <v>20</v>
      </c>
      <c r="D3149" t="s">
        <v>24</v>
      </c>
      <c r="E3149" t="s">
        <v>36</v>
      </c>
      <c r="F3149">
        <v>2460</v>
      </c>
      <c r="G3149">
        <v>12</v>
      </c>
      <c r="H3149" s="6">
        <f t="shared" ref="H3149:H3160" si="247">F3149*G3149/1000</f>
        <v>29.52</v>
      </c>
    </row>
    <row r="3150" spans="1:8" hidden="1" x14ac:dyDescent="0.3">
      <c r="A3150" s="9">
        <v>45233</v>
      </c>
      <c r="B3150" t="s">
        <v>12</v>
      </c>
      <c r="C3150" t="s">
        <v>9</v>
      </c>
      <c r="D3150" t="s">
        <v>10</v>
      </c>
      <c r="E3150" t="s">
        <v>11</v>
      </c>
      <c r="F3150">
        <v>705</v>
      </c>
      <c r="G3150">
        <v>73</v>
      </c>
      <c r="H3150" s="6">
        <f t="shared" si="247"/>
        <v>51.465000000000003</v>
      </c>
    </row>
    <row r="3151" spans="1:8" hidden="1" x14ac:dyDescent="0.3">
      <c r="A3151" s="9">
        <v>45233</v>
      </c>
      <c r="B3151" t="s">
        <v>45</v>
      </c>
      <c r="C3151" t="s">
        <v>9</v>
      </c>
      <c r="D3151" t="s">
        <v>18</v>
      </c>
      <c r="E3151" t="s">
        <v>27</v>
      </c>
      <c r="F3151">
        <v>460</v>
      </c>
      <c r="G3151">
        <v>87</v>
      </c>
      <c r="H3151" s="6">
        <f t="shared" si="247"/>
        <v>40.020000000000003</v>
      </c>
    </row>
    <row r="3152" spans="1:8" hidden="1" x14ac:dyDescent="0.3">
      <c r="A3152" s="9">
        <v>45233</v>
      </c>
      <c r="B3152" t="s">
        <v>45</v>
      </c>
      <c r="C3152" t="s">
        <v>9</v>
      </c>
      <c r="D3152" t="s">
        <v>24</v>
      </c>
      <c r="E3152" t="s">
        <v>30</v>
      </c>
      <c r="F3152">
        <v>2970</v>
      </c>
      <c r="G3152">
        <v>53</v>
      </c>
      <c r="H3152" s="6">
        <f t="shared" si="247"/>
        <v>157.41</v>
      </c>
    </row>
    <row r="3153" spans="1:8" hidden="1" x14ac:dyDescent="0.3">
      <c r="A3153" s="9">
        <v>45233</v>
      </c>
      <c r="B3153" t="s">
        <v>45</v>
      </c>
      <c r="C3153" t="s">
        <v>26</v>
      </c>
      <c r="D3153" t="s">
        <v>18</v>
      </c>
      <c r="E3153" t="s">
        <v>27</v>
      </c>
      <c r="F3153">
        <v>460</v>
      </c>
      <c r="G3153">
        <v>80</v>
      </c>
      <c r="H3153" s="6">
        <f t="shared" si="247"/>
        <v>36.799999999999997</v>
      </c>
    </row>
    <row r="3154" spans="1:8" hidden="1" x14ac:dyDescent="0.3">
      <c r="A3154" s="9">
        <v>45233</v>
      </c>
      <c r="B3154" t="s">
        <v>45</v>
      </c>
      <c r="C3154" t="s">
        <v>26</v>
      </c>
      <c r="D3154" t="s">
        <v>13</v>
      </c>
      <c r="E3154" t="s">
        <v>44</v>
      </c>
      <c r="F3154">
        <v>2540</v>
      </c>
      <c r="G3154">
        <v>44</v>
      </c>
      <c r="H3154" s="6">
        <f t="shared" si="247"/>
        <v>111.76</v>
      </c>
    </row>
    <row r="3155" spans="1:8" hidden="1" x14ac:dyDescent="0.3">
      <c r="A3155" s="9">
        <v>45233</v>
      </c>
      <c r="B3155" t="s">
        <v>17</v>
      </c>
      <c r="C3155" t="s">
        <v>26</v>
      </c>
      <c r="D3155" t="s">
        <v>24</v>
      </c>
      <c r="E3155" t="s">
        <v>25</v>
      </c>
      <c r="F3155">
        <v>1760</v>
      </c>
      <c r="G3155">
        <v>82</v>
      </c>
      <c r="H3155" s="6">
        <f t="shared" si="247"/>
        <v>144.32</v>
      </c>
    </row>
    <row r="3156" spans="1:8" hidden="1" x14ac:dyDescent="0.3">
      <c r="A3156" s="9">
        <v>45233</v>
      </c>
      <c r="B3156" t="s">
        <v>17</v>
      </c>
      <c r="C3156" t="s">
        <v>33</v>
      </c>
      <c r="D3156" t="s">
        <v>24</v>
      </c>
      <c r="E3156" t="s">
        <v>25</v>
      </c>
      <c r="F3156">
        <v>1760</v>
      </c>
      <c r="G3156">
        <v>55</v>
      </c>
      <c r="H3156" s="6">
        <f t="shared" si="247"/>
        <v>96.8</v>
      </c>
    </row>
    <row r="3157" spans="1:8" hidden="1" x14ac:dyDescent="0.3">
      <c r="A3157" s="9">
        <v>45233</v>
      </c>
      <c r="B3157" t="s">
        <v>17</v>
      </c>
      <c r="C3157" t="s">
        <v>35</v>
      </c>
      <c r="D3157" t="s">
        <v>10</v>
      </c>
      <c r="E3157" t="s">
        <v>40</v>
      </c>
      <c r="F3157">
        <v>540</v>
      </c>
      <c r="G3157">
        <v>83</v>
      </c>
      <c r="H3157" s="6">
        <f t="shared" si="247"/>
        <v>44.82</v>
      </c>
    </row>
    <row r="3158" spans="1:8" x14ac:dyDescent="0.3">
      <c r="A3158" s="9">
        <v>45233</v>
      </c>
      <c r="B3158" t="s">
        <v>45</v>
      </c>
      <c r="C3158" t="s">
        <v>35</v>
      </c>
      <c r="D3158" t="s">
        <v>13</v>
      </c>
      <c r="E3158" t="s">
        <v>29</v>
      </c>
      <c r="F3158">
        <v>1230</v>
      </c>
      <c r="G3158">
        <v>46</v>
      </c>
      <c r="H3158" s="6">
        <f t="shared" si="247"/>
        <v>56.58</v>
      </c>
    </row>
    <row r="3159" spans="1:8" hidden="1" x14ac:dyDescent="0.3">
      <c r="A3159" s="9">
        <v>45233</v>
      </c>
      <c r="B3159" t="s">
        <v>8</v>
      </c>
      <c r="C3159" t="s">
        <v>35</v>
      </c>
      <c r="D3159" t="s">
        <v>13</v>
      </c>
      <c r="E3159" t="s">
        <v>43</v>
      </c>
      <c r="F3159">
        <v>1420</v>
      </c>
      <c r="G3159">
        <v>58</v>
      </c>
      <c r="H3159" s="6">
        <f t="shared" si="247"/>
        <v>82.36</v>
      </c>
    </row>
    <row r="3160" spans="1:8" hidden="1" x14ac:dyDescent="0.3">
      <c r="A3160" s="9">
        <v>45233</v>
      </c>
      <c r="B3160" t="s">
        <v>17</v>
      </c>
      <c r="C3160" t="s">
        <v>35</v>
      </c>
      <c r="D3160" t="s">
        <v>24</v>
      </c>
      <c r="E3160" t="s">
        <v>25</v>
      </c>
      <c r="F3160">
        <v>1760</v>
      </c>
      <c r="G3160">
        <v>75</v>
      </c>
      <c r="H3160" s="6">
        <f t="shared" si="247"/>
        <v>132</v>
      </c>
    </row>
    <row r="3161" spans="1:8" hidden="1" x14ac:dyDescent="0.3">
      <c r="A3161" s="13" t="s">
        <v>321</v>
      </c>
      <c r="H3161" s="6">
        <f>SUBTOTAL(9,H3149:H3160)</f>
        <v>56.58</v>
      </c>
    </row>
    <row r="3162" spans="1:8" hidden="1" x14ac:dyDescent="0.3">
      <c r="A3162" s="9">
        <v>45234</v>
      </c>
      <c r="B3162" t="s">
        <v>45</v>
      </c>
      <c r="C3162" t="s">
        <v>20</v>
      </c>
      <c r="D3162" t="s">
        <v>10</v>
      </c>
      <c r="E3162" t="s">
        <v>40</v>
      </c>
      <c r="F3162">
        <v>540</v>
      </c>
      <c r="G3162">
        <v>85</v>
      </c>
      <c r="H3162" s="6">
        <f t="shared" ref="H3162:H3172" si="248">F3162*G3162/1000</f>
        <v>45.9</v>
      </c>
    </row>
    <row r="3163" spans="1:8" hidden="1" x14ac:dyDescent="0.3">
      <c r="A3163" s="9">
        <v>45234</v>
      </c>
      <c r="B3163" t="s">
        <v>8</v>
      </c>
      <c r="C3163" t="s">
        <v>20</v>
      </c>
      <c r="D3163" t="s">
        <v>18</v>
      </c>
      <c r="E3163" t="s">
        <v>27</v>
      </c>
      <c r="F3163">
        <v>460</v>
      </c>
      <c r="G3163">
        <v>75</v>
      </c>
      <c r="H3163" s="6">
        <f t="shared" si="248"/>
        <v>34.5</v>
      </c>
    </row>
    <row r="3164" spans="1:8" hidden="1" x14ac:dyDescent="0.3">
      <c r="A3164" s="9">
        <v>45234</v>
      </c>
      <c r="B3164" t="s">
        <v>12</v>
      </c>
      <c r="C3164" t="s">
        <v>20</v>
      </c>
      <c r="D3164" t="s">
        <v>13</v>
      </c>
      <c r="E3164" t="s">
        <v>22</v>
      </c>
      <c r="F3164">
        <v>930</v>
      </c>
      <c r="G3164">
        <v>36</v>
      </c>
      <c r="H3164" s="6">
        <f t="shared" si="248"/>
        <v>33.479999999999997</v>
      </c>
    </row>
    <row r="3165" spans="1:8" hidden="1" x14ac:dyDescent="0.3">
      <c r="A3165" s="9">
        <v>45234</v>
      </c>
      <c r="B3165" t="s">
        <v>8</v>
      </c>
      <c r="C3165" t="s">
        <v>20</v>
      </c>
      <c r="D3165" t="s">
        <v>13</v>
      </c>
      <c r="E3165" t="s">
        <v>29</v>
      </c>
      <c r="F3165">
        <v>1230</v>
      </c>
      <c r="G3165">
        <v>78</v>
      </c>
      <c r="H3165" s="6">
        <f t="shared" si="248"/>
        <v>95.94</v>
      </c>
    </row>
    <row r="3166" spans="1:8" hidden="1" x14ac:dyDescent="0.3">
      <c r="A3166" s="9">
        <v>45234</v>
      </c>
      <c r="B3166" t="s">
        <v>17</v>
      </c>
      <c r="C3166" t="s">
        <v>9</v>
      </c>
      <c r="D3166" t="s">
        <v>10</v>
      </c>
      <c r="E3166" t="s">
        <v>41</v>
      </c>
      <c r="F3166">
        <v>650</v>
      </c>
      <c r="G3166">
        <v>80</v>
      </c>
      <c r="H3166" s="6">
        <f t="shared" si="248"/>
        <v>52</v>
      </c>
    </row>
    <row r="3167" spans="1:8" hidden="1" x14ac:dyDescent="0.3">
      <c r="A3167" s="9">
        <v>45234</v>
      </c>
      <c r="B3167" t="s">
        <v>8</v>
      </c>
      <c r="C3167" t="s">
        <v>26</v>
      </c>
      <c r="D3167" t="s">
        <v>10</v>
      </c>
      <c r="E3167" t="s">
        <v>16</v>
      </c>
      <c r="F3167">
        <v>1380</v>
      </c>
      <c r="G3167">
        <v>15</v>
      </c>
      <c r="H3167" s="6">
        <f t="shared" si="248"/>
        <v>20.7</v>
      </c>
    </row>
    <row r="3168" spans="1:8" hidden="1" x14ac:dyDescent="0.3">
      <c r="A3168" s="9">
        <v>45234</v>
      </c>
      <c r="B3168" t="s">
        <v>8</v>
      </c>
      <c r="C3168" t="s">
        <v>26</v>
      </c>
      <c r="D3168" t="s">
        <v>18</v>
      </c>
      <c r="E3168" t="s">
        <v>37</v>
      </c>
      <c r="F3168">
        <v>890</v>
      </c>
      <c r="G3168">
        <v>66</v>
      </c>
      <c r="H3168" s="6">
        <f t="shared" si="248"/>
        <v>58.74</v>
      </c>
    </row>
    <row r="3169" spans="1:8" hidden="1" x14ac:dyDescent="0.3">
      <c r="A3169" s="9">
        <v>45234</v>
      </c>
      <c r="B3169" t="s">
        <v>45</v>
      </c>
      <c r="C3169" t="s">
        <v>26</v>
      </c>
      <c r="D3169" t="s">
        <v>13</v>
      </c>
      <c r="E3169" t="s">
        <v>22</v>
      </c>
      <c r="F3169">
        <v>930</v>
      </c>
      <c r="G3169">
        <v>89</v>
      </c>
      <c r="H3169" s="6">
        <f t="shared" si="248"/>
        <v>82.77</v>
      </c>
    </row>
    <row r="3170" spans="1:8" hidden="1" x14ac:dyDescent="0.3">
      <c r="A3170" s="9">
        <v>45234</v>
      </c>
      <c r="B3170" t="s">
        <v>17</v>
      </c>
      <c r="C3170" t="s">
        <v>26</v>
      </c>
      <c r="D3170" t="s">
        <v>24</v>
      </c>
      <c r="E3170" t="s">
        <v>30</v>
      </c>
      <c r="F3170">
        <v>2970</v>
      </c>
      <c r="G3170">
        <v>39</v>
      </c>
      <c r="H3170" s="6">
        <f t="shared" si="248"/>
        <v>115.83</v>
      </c>
    </row>
    <row r="3171" spans="1:8" hidden="1" x14ac:dyDescent="0.3">
      <c r="A3171" s="9">
        <v>45234</v>
      </c>
      <c r="B3171" t="s">
        <v>45</v>
      </c>
      <c r="C3171" t="s">
        <v>15</v>
      </c>
      <c r="D3171" t="s">
        <v>10</v>
      </c>
      <c r="E3171" t="s">
        <v>40</v>
      </c>
      <c r="F3171">
        <v>540</v>
      </c>
      <c r="G3171">
        <v>8</v>
      </c>
      <c r="H3171" s="6">
        <f t="shared" si="248"/>
        <v>4.32</v>
      </c>
    </row>
    <row r="3172" spans="1:8" hidden="1" x14ac:dyDescent="0.3">
      <c r="A3172" s="9">
        <v>45234</v>
      </c>
      <c r="B3172" t="s">
        <v>45</v>
      </c>
      <c r="C3172" t="s">
        <v>35</v>
      </c>
      <c r="D3172" t="s">
        <v>24</v>
      </c>
      <c r="E3172" t="s">
        <v>36</v>
      </c>
      <c r="F3172">
        <v>2460</v>
      </c>
      <c r="G3172">
        <v>32</v>
      </c>
      <c r="H3172" s="6">
        <f t="shared" si="248"/>
        <v>78.72</v>
      </c>
    </row>
    <row r="3173" spans="1:8" hidden="1" x14ac:dyDescent="0.3">
      <c r="A3173" s="13" t="s">
        <v>322</v>
      </c>
      <c r="H3173" s="6">
        <f>SUBTOTAL(9,H3162:H3172)</f>
        <v>0</v>
      </c>
    </row>
    <row r="3174" spans="1:8" hidden="1" x14ac:dyDescent="0.3">
      <c r="A3174" s="9">
        <v>45235</v>
      </c>
      <c r="B3174" t="s">
        <v>17</v>
      </c>
      <c r="C3174" t="s">
        <v>20</v>
      </c>
      <c r="D3174" t="s">
        <v>10</v>
      </c>
      <c r="E3174" t="s">
        <v>16</v>
      </c>
      <c r="F3174">
        <v>1380</v>
      </c>
      <c r="G3174">
        <v>6</v>
      </c>
      <c r="H3174" s="6">
        <f t="shared" ref="H3174:H3181" si="249">F3174*G3174/1000</f>
        <v>8.2799999999999994</v>
      </c>
    </row>
    <row r="3175" spans="1:8" hidden="1" x14ac:dyDescent="0.3">
      <c r="A3175" s="9">
        <v>45235</v>
      </c>
      <c r="B3175" t="s">
        <v>8</v>
      </c>
      <c r="C3175" t="s">
        <v>20</v>
      </c>
      <c r="D3175" t="s">
        <v>13</v>
      </c>
      <c r="E3175" t="s">
        <v>43</v>
      </c>
      <c r="F3175">
        <v>1420</v>
      </c>
      <c r="G3175">
        <v>75</v>
      </c>
      <c r="H3175" s="6">
        <f t="shared" si="249"/>
        <v>106.5</v>
      </c>
    </row>
    <row r="3176" spans="1:8" hidden="1" x14ac:dyDescent="0.3">
      <c r="A3176" s="9">
        <v>45235</v>
      </c>
      <c r="B3176" t="s">
        <v>17</v>
      </c>
      <c r="C3176" t="s">
        <v>20</v>
      </c>
      <c r="D3176" t="s">
        <v>24</v>
      </c>
      <c r="E3176" t="s">
        <v>32</v>
      </c>
      <c r="F3176">
        <v>1505</v>
      </c>
      <c r="G3176">
        <v>88</v>
      </c>
      <c r="H3176" s="6">
        <f t="shared" si="249"/>
        <v>132.44</v>
      </c>
    </row>
    <row r="3177" spans="1:8" hidden="1" x14ac:dyDescent="0.3">
      <c r="A3177" s="9">
        <v>45235</v>
      </c>
      <c r="B3177" t="s">
        <v>17</v>
      </c>
      <c r="C3177" t="s">
        <v>9</v>
      </c>
      <c r="D3177" t="s">
        <v>10</v>
      </c>
      <c r="E3177" t="s">
        <v>11</v>
      </c>
      <c r="F3177">
        <v>705</v>
      </c>
      <c r="G3177">
        <v>5</v>
      </c>
      <c r="H3177" s="6">
        <f t="shared" si="249"/>
        <v>3.5249999999999999</v>
      </c>
    </row>
    <row r="3178" spans="1:8" hidden="1" x14ac:dyDescent="0.3">
      <c r="A3178" s="9">
        <v>45235</v>
      </c>
      <c r="B3178" t="s">
        <v>45</v>
      </c>
      <c r="C3178" t="s">
        <v>9</v>
      </c>
      <c r="D3178" t="s">
        <v>18</v>
      </c>
      <c r="E3178" t="s">
        <v>19</v>
      </c>
      <c r="F3178">
        <v>325</v>
      </c>
      <c r="G3178">
        <v>40</v>
      </c>
      <c r="H3178" s="6">
        <f t="shared" si="249"/>
        <v>13</v>
      </c>
    </row>
    <row r="3179" spans="1:8" hidden="1" x14ac:dyDescent="0.3">
      <c r="A3179" s="9">
        <v>45235</v>
      </c>
      <c r="B3179" t="s">
        <v>17</v>
      </c>
      <c r="C3179" t="s">
        <v>26</v>
      </c>
      <c r="D3179" t="s">
        <v>13</v>
      </c>
      <c r="E3179" t="s">
        <v>38</v>
      </c>
      <c r="F3179">
        <v>2400</v>
      </c>
      <c r="G3179">
        <v>22</v>
      </c>
      <c r="H3179" s="6">
        <f t="shared" si="249"/>
        <v>52.8</v>
      </c>
    </row>
    <row r="3180" spans="1:8" hidden="1" x14ac:dyDescent="0.3">
      <c r="A3180" s="9">
        <v>45235</v>
      </c>
      <c r="B3180" t="s">
        <v>8</v>
      </c>
      <c r="C3180" t="s">
        <v>15</v>
      </c>
      <c r="D3180" t="s">
        <v>10</v>
      </c>
      <c r="E3180" t="s">
        <v>39</v>
      </c>
      <c r="F3180">
        <v>650</v>
      </c>
      <c r="G3180">
        <v>10</v>
      </c>
      <c r="H3180" s="6">
        <f t="shared" si="249"/>
        <v>6.5</v>
      </c>
    </row>
    <row r="3181" spans="1:8" hidden="1" x14ac:dyDescent="0.3">
      <c r="A3181" s="9">
        <v>45235</v>
      </c>
      <c r="B3181" t="s">
        <v>8</v>
      </c>
      <c r="C3181" t="s">
        <v>15</v>
      </c>
      <c r="D3181" t="s">
        <v>13</v>
      </c>
      <c r="E3181" t="s">
        <v>29</v>
      </c>
      <c r="F3181">
        <v>1230</v>
      </c>
      <c r="G3181">
        <v>34</v>
      </c>
      <c r="H3181" s="6">
        <f t="shared" si="249"/>
        <v>41.82</v>
      </c>
    </row>
    <row r="3182" spans="1:8" hidden="1" x14ac:dyDescent="0.3">
      <c r="A3182" s="13" t="s">
        <v>323</v>
      </c>
      <c r="H3182" s="6">
        <f>SUBTOTAL(9,H3174:H3181)</f>
        <v>0</v>
      </c>
    </row>
    <row r="3183" spans="1:8" hidden="1" x14ac:dyDescent="0.3">
      <c r="A3183" s="9">
        <v>45236</v>
      </c>
      <c r="B3183" t="s">
        <v>45</v>
      </c>
      <c r="C3183" t="s">
        <v>20</v>
      </c>
      <c r="D3183" t="s">
        <v>13</v>
      </c>
      <c r="E3183" t="s">
        <v>38</v>
      </c>
      <c r="F3183">
        <v>2400</v>
      </c>
      <c r="G3183">
        <v>6</v>
      </c>
      <c r="H3183" s="6">
        <f t="shared" ref="H3183:H3197" si="250">F3183*G3183/1000</f>
        <v>14.4</v>
      </c>
    </row>
    <row r="3184" spans="1:8" hidden="1" x14ac:dyDescent="0.3">
      <c r="A3184" s="9">
        <v>45236</v>
      </c>
      <c r="B3184" t="s">
        <v>17</v>
      </c>
      <c r="C3184" t="s">
        <v>20</v>
      </c>
      <c r="D3184" t="s">
        <v>13</v>
      </c>
      <c r="E3184" t="s">
        <v>22</v>
      </c>
      <c r="F3184">
        <v>930</v>
      </c>
      <c r="G3184">
        <v>54</v>
      </c>
      <c r="H3184" s="6">
        <f t="shared" si="250"/>
        <v>50.22</v>
      </c>
    </row>
    <row r="3185" spans="1:8" hidden="1" x14ac:dyDescent="0.3">
      <c r="A3185" s="9">
        <v>45236</v>
      </c>
      <c r="B3185" t="s">
        <v>12</v>
      </c>
      <c r="C3185" t="s">
        <v>9</v>
      </c>
      <c r="D3185" t="s">
        <v>18</v>
      </c>
      <c r="E3185" t="s">
        <v>31</v>
      </c>
      <c r="F3185">
        <v>715</v>
      </c>
      <c r="G3185">
        <v>91</v>
      </c>
      <c r="H3185" s="6">
        <f t="shared" si="250"/>
        <v>65.064999999999998</v>
      </c>
    </row>
    <row r="3186" spans="1:8" hidden="1" x14ac:dyDescent="0.3">
      <c r="A3186" s="9">
        <v>45236</v>
      </c>
      <c r="B3186" t="s">
        <v>17</v>
      </c>
      <c r="C3186" t="s">
        <v>9</v>
      </c>
      <c r="D3186" t="s">
        <v>18</v>
      </c>
      <c r="E3186" t="s">
        <v>31</v>
      </c>
      <c r="F3186">
        <v>715</v>
      </c>
      <c r="G3186">
        <v>90</v>
      </c>
      <c r="H3186" s="6">
        <f t="shared" si="250"/>
        <v>64.349999999999994</v>
      </c>
    </row>
    <row r="3187" spans="1:8" hidden="1" x14ac:dyDescent="0.3">
      <c r="A3187" s="9">
        <v>45236</v>
      </c>
      <c r="B3187" t="s">
        <v>8</v>
      </c>
      <c r="C3187" t="s">
        <v>9</v>
      </c>
      <c r="D3187" t="s">
        <v>13</v>
      </c>
      <c r="E3187" t="s">
        <v>22</v>
      </c>
      <c r="F3187">
        <v>930</v>
      </c>
      <c r="G3187">
        <v>81</v>
      </c>
      <c r="H3187" s="6">
        <f t="shared" si="250"/>
        <v>75.33</v>
      </c>
    </row>
    <row r="3188" spans="1:8" hidden="1" x14ac:dyDescent="0.3">
      <c r="A3188" s="9">
        <v>45236</v>
      </c>
      <c r="B3188" t="s">
        <v>17</v>
      </c>
      <c r="C3188" t="s">
        <v>15</v>
      </c>
      <c r="D3188" t="s">
        <v>10</v>
      </c>
      <c r="E3188" t="s">
        <v>41</v>
      </c>
      <c r="F3188">
        <v>650</v>
      </c>
      <c r="G3188">
        <v>93</v>
      </c>
      <c r="H3188" s="6">
        <f t="shared" si="250"/>
        <v>60.45</v>
      </c>
    </row>
    <row r="3189" spans="1:8" hidden="1" x14ac:dyDescent="0.3">
      <c r="A3189" s="9">
        <v>45236</v>
      </c>
      <c r="B3189" t="s">
        <v>45</v>
      </c>
      <c r="C3189" t="s">
        <v>15</v>
      </c>
      <c r="D3189" t="s">
        <v>18</v>
      </c>
      <c r="E3189" t="s">
        <v>37</v>
      </c>
      <c r="F3189">
        <v>890</v>
      </c>
      <c r="G3189">
        <v>51</v>
      </c>
      <c r="H3189" s="6">
        <f t="shared" si="250"/>
        <v>45.39</v>
      </c>
    </row>
    <row r="3190" spans="1:8" hidden="1" x14ac:dyDescent="0.3">
      <c r="A3190" s="9">
        <v>45236</v>
      </c>
      <c r="B3190" t="s">
        <v>45</v>
      </c>
      <c r="C3190" t="s">
        <v>15</v>
      </c>
      <c r="D3190" t="s">
        <v>13</v>
      </c>
      <c r="E3190" t="s">
        <v>22</v>
      </c>
      <c r="F3190">
        <v>930</v>
      </c>
      <c r="G3190">
        <v>57</v>
      </c>
      <c r="H3190" s="6">
        <f t="shared" si="250"/>
        <v>53.01</v>
      </c>
    </row>
    <row r="3191" spans="1:8" hidden="1" x14ac:dyDescent="0.3">
      <c r="A3191" s="9">
        <v>45236</v>
      </c>
      <c r="B3191" t="s">
        <v>17</v>
      </c>
      <c r="C3191" t="s">
        <v>15</v>
      </c>
      <c r="D3191" t="s">
        <v>24</v>
      </c>
      <c r="E3191" t="s">
        <v>25</v>
      </c>
      <c r="F3191">
        <v>1760</v>
      </c>
      <c r="G3191">
        <v>26</v>
      </c>
      <c r="H3191" s="6">
        <f t="shared" si="250"/>
        <v>45.76</v>
      </c>
    </row>
    <row r="3192" spans="1:8" hidden="1" x14ac:dyDescent="0.3">
      <c r="A3192" s="9">
        <v>45236</v>
      </c>
      <c r="B3192" t="s">
        <v>17</v>
      </c>
      <c r="C3192" t="s">
        <v>15</v>
      </c>
      <c r="D3192" t="s">
        <v>24</v>
      </c>
      <c r="E3192" t="s">
        <v>32</v>
      </c>
      <c r="F3192">
        <v>1505</v>
      </c>
      <c r="G3192">
        <v>28</v>
      </c>
      <c r="H3192" s="6">
        <f t="shared" si="250"/>
        <v>42.14</v>
      </c>
    </row>
    <row r="3193" spans="1:8" hidden="1" x14ac:dyDescent="0.3">
      <c r="A3193" s="9">
        <v>45236</v>
      </c>
      <c r="B3193" t="s">
        <v>17</v>
      </c>
      <c r="C3193" t="s">
        <v>33</v>
      </c>
      <c r="D3193" t="s">
        <v>10</v>
      </c>
      <c r="E3193" t="s">
        <v>40</v>
      </c>
      <c r="F3193">
        <v>540</v>
      </c>
      <c r="G3193">
        <v>42</v>
      </c>
      <c r="H3193" s="6">
        <f t="shared" si="250"/>
        <v>22.68</v>
      </c>
    </row>
    <row r="3194" spans="1:8" hidden="1" x14ac:dyDescent="0.3">
      <c r="A3194" s="9">
        <v>45236</v>
      </c>
      <c r="B3194" t="s">
        <v>8</v>
      </c>
      <c r="C3194" t="s">
        <v>35</v>
      </c>
      <c r="D3194" t="s">
        <v>10</v>
      </c>
      <c r="E3194" t="s">
        <v>39</v>
      </c>
      <c r="F3194">
        <v>650</v>
      </c>
      <c r="G3194">
        <v>59</v>
      </c>
      <c r="H3194" s="6">
        <f t="shared" si="250"/>
        <v>38.35</v>
      </c>
    </row>
    <row r="3195" spans="1:8" hidden="1" x14ac:dyDescent="0.3">
      <c r="A3195" s="9">
        <v>45236</v>
      </c>
      <c r="B3195" t="s">
        <v>45</v>
      </c>
      <c r="C3195" t="s">
        <v>35</v>
      </c>
      <c r="D3195" t="s">
        <v>18</v>
      </c>
      <c r="E3195" t="s">
        <v>27</v>
      </c>
      <c r="F3195">
        <v>460</v>
      </c>
      <c r="G3195">
        <v>62</v>
      </c>
      <c r="H3195" s="6">
        <f t="shared" si="250"/>
        <v>28.52</v>
      </c>
    </row>
    <row r="3196" spans="1:8" hidden="1" x14ac:dyDescent="0.3">
      <c r="A3196" s="9">
        <v>45236</v>
      </c>
      <c r="B3196" t="s">
        <v>8</v>
      </c>
      <c r="C3196" t="s">
        <v>35</v>
      </c>
      <c r="D3196" t="s">
        <v>18</v>
      </c>
      <c r="E3196" t="s">
        <v>19</v>
      </c>
      <c r="F3196">
        <v>325</v>
      </c>
      <c r="G3196">
        <v>37</v>
      </c>
      <c r="H3196" s="6">
        <f t="shared" si="250"/>
        <v>12.025</v>
      </c>
    </row>
    <row r="3197" spans="1:8" hidden="1" x14ac:dyDescent="0.3">
      <c r="A3197" s="9">
        <v>45236</v>
      </c>
      <c r="B3197" t="s">
        <v>45</v>
      </c>
      <c r="C3197" t="s">
        <v>35</v>
      </c>
      <c r="D3197" t="s">
        <v>13</v>
      </c>
      <c r="E3197" t="s">
        <v>43</v>
      </c>
      <c r="F3197">
        <v>1420</v>
      </c>
      <c r="G3197">
        <v>20</v>
      </c>
      <c r="H3197" s="6">
        <f t="shared" si="250"/>
        <v>28.4</v>
      </c>
    </row>
    <row r="3198" spans="1:8" hidden="1" x14ac:dyDescent="0.3">
      <c r="A3198" s="13" t="s">
        <v>324</v>
      </c>
      <c r="H3198" s="6">
        <f>SUBTOTAL(9,H3183:H3197)</f>
        <v>0</v>
      </c>
    </row>
    <row r="3199" spans="1:8" hidden="1" x14ac:dyDescent="0.3">
      <c r="A3199" s="9">
        <v>45237</v>
      </c>
      <c r="B3199" t="s">
        <v>45</v>
      </c>
      <c r="C3199" t="s">
        <v>20</v>
      </c>
      <c r="D3199" t="s">
        <v>10</v>
      </c>
      <c r="E3199" t="s">
        <v>40</v>
      </c>
      <c r="F3199">
        <v>540</v>
      </c>
      <c r="G3199">
        <v>62</v>
      </c>
      <c r="H3199" s="6">
        <f t="shared" ref="H3199:H3211" si="251">F3199*G3199/1000</f>
        <v>33.479999999999997</v>
      </c>
    </row>
    <row r="3200" spans="1:8" hidden="1" x14ac:dyDescent="0.3">
      <c r="A3200" s="9">
        <v>45237</v>
      </c>
      <c r="B3200" t="s">
        <v>8</v>
      </c>
      <c r="C3200" t="s">
        <v>9</v>
      </c>
      <c r="D3200" t="s">
        <v>10</v>
      </c>
      <c r="E3200" t="s">
        <v>40</v>
      </c>
      <c r="F3200">
        <v>540</v>
      </c>
      <c r="G3200">
        <v>11</v>
      </c>
      <c r="H3200" s="6">
        <f t="shared" si="251"/>
        <v>5.94</v>
      </c>
    </row>
    <row r="3201" spans="1:8" hidden="1" x14ac:dyDescent="0.3">
      <c r="A3201" s="9">
        <v>45237</v>
      </c>
      <c r="B3201" t="s">
        <v>45</v>
      </c>
      <c r="C3201" t="s">
        <v>9</v>
      </c>
      <c r="D3201" t="s">
        <v>13</v>
      </c>
      <c r="E3201" t="s">
        <v>14</v>
      </c>
      <c r="F3201">
        <v>1320</v>
      </c>
      <c r="G3201">
        <v>30</v>
      </c>
      <c r="H3201" s="6">
        <f t="shared" si="251"/>
        <v>39.6</v>
      </c>
    </row>
    <row r="3202" spans="1:8" hidden="1" x14ac:dyDescent="0.3">
      <c r="A3202" s="9">
        <v>45237</v>
      </c>
      <c r="B3202" t="s">
        <v>45</v>
      </c>
      <c r="C3202" t="s">
        <v>15</v>
      </c>
      <c r="D3202" t="s">
        <v>18</v>
      </c>
      <c r="E3202" t="s">
        <v>19</v>
      </c>
      <c r="F3202">
        <v>325</v>
      </c>
      <c r="G3202">
        <v>93</v>
      </c>
      <c r="H3202" s="6">
        <f t="shared" si="251"/>
        <v>30.225000000000001</v>
      </c>
    </row>
    <row r="3203" spans="1:8" hidden="1" x14ac:dyDescent="0.3">
      <c r="A3203" s="9">
        <v>45237</v>
      </c>
      <c r="B3203" t="s">
        <v>45</v>
      </c>
      <c r="C3203" t="s">
        <v>15</v>
      </c>
      <c r="D3203" t="s">
        <v>18</v>
      </c>
      <c r="E3203" t="s">
        <v>37</v>
      </c>
      <c r="F3203">
        <v>890</v>
      </c>
      <c r="G3203">
        <v>24</v>
      </c>
      <c r="H3203" s="6">
        <f t="shared" si="251"/>
        <v>21.36</v>
      </c>
    </row>
    <row r="3204" spans="1:8" hidden="1" x14ac:dyDescent="0.3">
      <c r="A3204" s="9">
        <v>45237</v>
      </c>
      <c r="B3204" t="s">
        <v>8</v>
      </c>
      <c r="C3204" t="s">
        <v>15</v>
      </c>
      <c r="D3204" t="s">
        <v>24</v>
      </c>
      <c r="E3204" t="s">
        <v>36</v>
      </c>
      <c r="F3204">
        <v>2460</v>
      </c>
      <c r="G3204">
        <v>90</v>
      </c>
      <c r="H3204" s="6">
        <f t="shared" si="251"/>
        <v>221.4</v>
      </c>
    </row>
    <row r="3205" spans="1:8" hidden="1" x14ac:dyDescent="0.3">
      <c r="A3205" s="9">
        <v>45237</v>
      </c>
      <c r="B3205" t="s">
        <v>17</v>
      </c>
      <c r="C3205" t="s">
        <v>15</v>
      </c>
      <c r="D3205" t="s">
        <v>24</v>
      </c>
      <c r="E3205" t="s">
        <v>34</v>
      </c>
      <c r="F3205">
        <v>1670</v>
      </c>
      <c r="G3205">
        <v>88</v>
      </c>
      <c r="H3205" s="6">
        <f t="shared" si="251"/>
        <v>146.96</v>
      </c>
    </row>
    <row r="3206" spans="1:8" hidden="1" x14ac:dyDescent="0.3">
      <c r="A3206" s="9">
        <v>45237</v>
      </c>
      <c r="B3206" t="s">
        <v>45</v>
      </c>
      <c r="C3206" t="s">
        <v>15</v>
      </c>
      <c r="D3206" t="s">
        <v>24</v>
      </c>
      <c r="E3206" t="s">
        <v>36</v>
      </c>
      <c r="F3206">
        <v>2460</v>
      </c>
      <c r="G3206">
        <v>88</v>
      </c>
      <c r="H3206" s="6">
        <f t="shared" si="251"/>
        <v>216.48</v>
      </c>
    </row>
    <row r="3207" spans="1:8" hidden="1" x14ac:dyDescent="0.3">
      <c r="A3207" s="9">
        <v>45237</v>
      </c>
      <c r="B3207" t="s">
        <v>12</v>
      </c>
      <c r="C3207" t="s">
        <v>33</v>
      </c>
      <c r="D3207" t="s">
        <v>18</v>
      </c>
      <c r="E3207" t="s">
        <v>31</v>
      </c>
      <c r="F3207">
        <v>715</v>
      </c>
      <c r="G3207">
        <v>46</v>
      </c>
      <c r="H3207" s="6">
        <f t="shared" si="251"/>
        <v>32.89</v>
      </c>
    </row>
    <row r="3208" spans="1:8" hidden="1" x14ac:dyDescent="0.3">
      <c r="A3208" s="9">
        <v>45237</v>
      </c>
      <c r="B3208" t="s">
        <v>45</v>
      </c>
      <c r="C3208" t="s">
        <v>35</v>
      </c>
      <c r="D3208" t="s">
        <v>13</v>
      </c>
      <c r="E3208" t="s">
        <v>38</v>
      </c>
      <c r="F3208">
        <v>2400</v>
      </c>
      <c r="G3208">
        <v>11</v>
      </c>
      <c r="H3208" s="6">
        <f t="shared" si="251"/>
        <v>26.4</v>
      </c>
    </row>
    <row r="3209" spans="1:8" hidden="1" x14ac:dyDescent="0.3">
      <c r="A3209" s="9">
        <v>45237</v>
      </c>
      <c r="B3209" t="s">
        <v>45</v>
      </c>
      <c r="C3209" t="s">
        <v>35</v>
      </c>
      <c r="D3209" t="s">
        <v>13</v>
      </c>
      <c r="E3209" t="s">
        <v>22</v>
      </c>
      <c r="F3209">
        <v>930</v>
      </c>
      <c r="G3209">
        <v>86</v>
      </c>
      <c r="H3209" s="6">
        <f t="shared" si="251"/>
        <v>79.98</v>
      </c>
    </row>
    <row r="3210" spans="1:8" hidden="1" x14ac:dyDescent="0.3">
      <c r="A3210" s="9">
        <v>45237</v>
      </c>
      <c r="B3210" t="s">
        <v>12</v>
      </c>
      <c r="C3210" t="s">
        <v>35</v>
      </c>
      <c r="D3210" t="s">
        <v>24</v>
      </c>
      <c r="E3210" t="s">
        <v>42</v>
      </c>
      <c r="F3210">
        <v>3205</v>
      </c>
      <c r="G3210">
        <v>28</v>
      </c>
      <c r="H3210" s="6">
        <f t="shared" si="251"/>
        <v>89.74</v>
      </c>
    </row>
    <row r="3211" spans="1:8" hidden="1" x14ac:dyDescent="0.3">
      <c r="A3211" s="9">
        <v>45237</v>
      </c>
      <c r="B3211" t="s">
        <v>17</v>
      </c>
      <c r="C3211" t="s">
        <v>35</v>
      </c>
      <c r="D3211" t="s">
        <v>24</v>
      </c>
      <c r="E3211" t="s">
        <v>34</v>
      </c>
      <c r="F3211">
        <v>1670</v>
      </c>
      <c r="G3211">
        <v>9</v>
      </c>
      <c r="H3211" s="6">
        <f t="shared" si="251"/>
        <v>15.03</v>
      </c>
    </row>
    <row r="3212" spans="1:8" hidden="1" x14ac:dyDescent="0.3">
      <c r="A3212" s="13" t="s">
        <v>325</v>
      </c>
      <c r="H3212" s="6">
        <f>SUBTOTAL(9,H3199:H3211)</f>
        <v>0</v>
      </c>
    </row>
    <row r="3213" spans="1:8" hidden="1" x14ac:dyDescent="0.3">
      <c r="A3213" s="9">
        <v>45238</v>
      </c>
      <c r="B3213" t="s">
        <v>12</v>
      </c>
      <c r="C3213" t="s">
        <v>20</v>
      </c>
      <c r="D3213" t="s">
        <v>18</v>
      </c>
      <c r="E3213" t="s">
        <v>31</v>
      </c>
      <c r="F3213">
        <v>715</v>
      </c>
      <c r="G3213">
        <v>58</v>
      </c>
      <c r="H3213" s="6">
        <f t="shared" ref="H3213:H3220" si="252">F3213*G3213/1000</f>
        <v>41.47</v>
      </c>
    </row>
    <row r="3214" spans="1:8" hidden="1" x14ac:dyDescent="0.3">
      <c r="A3214" s="9">
        <v>45238</v>
      </c>
      <c r="B3214" t="s">
        <v>8</v>
      </c>
      <c r="C3214" t="s">
        <v>20</v>
      </c>
      <c r="D3214" t="s">
        <v>13</v>
      </c>
      <c r="E3214" t="s">
        <v>43</v>
      </c>
      <c r="F3214">
        <v>1420</v>
      </c>
      <c r="G3214">
        <v>58</v>
      </c>
      <c r="H3214" s="6">
        <f t="shared" si="252"/>
        <v>82.36</v>
      </c>
    </row>
    <row r="3215" spans="1:8" hidden="1" x14ac:dyDescent="0.3">
      <c r="A3215" s="9">
        <v>45238</v>
      </c>
      <c r="B3215" t="s">
        <v>8</v>
      </c>
      <c r="C3215" t="s">
        <v>9</v>
      </c>
      <c r="D3215" t="s">
        <v>13</v>
      </c>
      <c r="E3215" t="s">
        <v>22</v>
      </c>
      <c r="F3215">
        <v>930</v>
      </c>
      <c r="G3215">
        <v>50</v>
      </c>
      <c r="H3215" s="6">
        <f t="shared" si="252"/>
        <v>46.5</v>
      </c>
    </row>
    <row r="3216" spans="1:8" hidden="1" x14ac:dyDescent="0.3">
      <c r="A3216" s="9">
        <v>45238</v>
      </c>
      <c r="B3216" t="s">
        <v>45</v>
      </c>
      <c r="C3216" t="s">
        <v>15</v>
      </c>
      <c r="D3216" t="s">
        <v>10</v>
      </c>
      <c r="E3216" t="s">
        <v>40</v>
      </c>
      <c r="F3216">
        <v>540</v>
      </c>
      <c r="G3216">
        <v>51</v>
      </c>
      <c r="H3216" s="6">
        <f t="shared" si="252"/>
        <v>27.54</v>
      </c>
    </row>
    <row r="3217" spans="1:8" hidden="1" x14ac:dyDescent="0.3">
      <c r="A3217" s="9">
        <v>45238</v>
      </c>
      <c r="B3217" t="s">
        <v>8</v>
      </c>
      <c r="C3217" t="s">
        <v>33</v>
      </c>
      <c r="D3217" t="s">
        <v>10</v>
      </c>
      <c r="E3217" t="s">
        <v>39</v>
      </c>
      <c r="F3217">
        <v>650</v>
      </c>
      <c r="G3217">
        <v>32</v>
      </c>
      <c r="H3217" s="6">
        <f t="shared" si="252"/>
        <v>20.8</v>
      </c>
    </row>
    <row r="3218" spans="1:8" hidden="1" x14ac:dyDescent="0.3">
      <c r="A3218" s="9">
        <v>45238</v>
      </c>
      <c r="B3218" t="s">
        <v>8</v>
      </c>
      <c r="C3218" t="s">
        <v>33</v>
      </c>
      <c r="D3218" t="s">
        <v>13</v>
      </c>
      <c r="E3218" t="s">
        <v>43</v>
      </c>
      <c r="F3218">
        <v>1420</v>
      </c>
      <c r="G3218">
        <v>73</v>
      </c>
      <c r="H3218" s="6">
        <f t="shared" si="252"/>
        <v>103.66</v>
      </c>
    </row>
    <row r="3219" spans="1:8" hidden="1" x14ac:dyDescent="0.3">
      <c r="A3219" s="9">
        <v>45238</v>
      </c>
      <c r="B3219" t="s">
        <v>17</v>
      </c>
      <c r="C3219" t="s">
        <v>35</v>
      </c>
      <c r="D3219" t="s">
        <v>10</v>
      </c>
      <c r="E3219" t="s">
        <v>41</v>
      </c>
      <c r="F3219">
        <v>650</v>
      </c>
      <c r="G3219">
        <v>21</v>
      </c>
      <c r="H3219" s="6">
        <f t="shared" si="252"/>
        <v>13.65</v>
      </c>
    </row>
    <row r="3220" spans="1:8" hidden="1" x14ac:dyDescent="0.3">
      <c r="A3220" s="9">
        <v>45238</v>
      </c>
      <c r="B3220" t="s">
        <v>45</v>
      </c>
      <c r="C3220" t="s">
        <v>35</v>
      </c>
      <c r="D3220" t="s">
        <v>10</v>
      </c>
      <c r="E3220" t="s">
        <v>39</v>
      </c>
      <c r="F3220">
        <v>650</v>
      </c>
      <c r="G3220">
        <v>99</v>
      </c>
      <c r="H3220" s="6">
        <f t="shared" si="252"/>
        <v>64.349999999999994</v>
      </c>
    </row>
    <row r="3221" spans="1:8" hidden="1" x14ac:dyDescent="0.3">
      <c r="A3221" s="13" t="s">
        <v>326</v>
      </c>
      <c r="H3221" s="6">
        <f>SUBTOTAL(9,H3213:H3220)</f>
        <v>0</v>
      </c>
    </row>
    <row r="3222" spans="1:8" hidden="1" x14ac:dyDescent="0.3">
      <c r="A3222" s="9">
        <v>45239</v>
      </c>
      <c r="B3222" t="s">
        <v>12</v>
      </c>
      <c r="C3222" t="s">
        <v>20</v>
      </c>
      <c r="D3222" t="s">
        <v>24</v>
      </c>
      <c r="E3222" t="s">
        <v>32</v>
      </c>
      <c r="F3222">
        <v>1505</v>
      </c>
      <c r="G3222">
        <v>99</v>
      </c>
      <c r="H3222" s="6">
        <f t="shared" ref="H3222:H3231" si="253">F3222*G3222/1000</f>
        <v>148.995</v>
      </c>
    </row>
    <row r="3223" spans="1:8" hidden="1" x14ac:dyDescent="0.3">
      <c r="A3223" s="9">
        <v>45239</v>
      </c>
      <c r="B3223" t="s">
        <v>45</v>
      </c>
      <c r="C3223" t="s">
        <v>9</v>
      </c>
      <c r="D3223" t="s">
        <v>18</v>
      </c>
      <c r="E3223" t="s">
        <v>28</v>
      </c>
      <c r="F3223">
        <v>690</v>
      </c>
      <c r="G3223">
        <v>47</v>
      </c>
      <c r="H3223" s="6">
        <f t="shared" si="253"/>
        <v>32.43</v>
      </c>
    </row>
    <row r="3224" spans="1:8" hidden="1" x14ac:dyDescent="0.3">
      <c r="A3224" s="9">
        <v>45239</v>
      </c>
      <c r="B3224" t="s">
        <v>17</v>
      </c>
      <c r="C3224" t="s">
        <v>15</v>
      </c>
      <c r="D3224" t="s">
        <v>10</v>
      </c>
      <c r="E3224" t="s">
        <v>39</v>
      </c>
      <c r="F3224">
        <v>650</v>
      </c>
      <c r="G3224">
        <v>13</v>
      </c>
      <c r="H3224" s="6">
        <f t="shared" si="253"/>
        <v>8.4499999999999993</v>
      </c>
    </row>
    <row r="3225" spans="1:8" hidden="1" x14ac:dyDescent="0.3">
      <c r="A3225" s="9">
        <v>45239</v>
      </c>
      <c r="B3225" t="s">
        <v>8</v>
      </c>
      <c r="C3225" t="s">
        <v>15</v>
      </c>
      <c r="D3225" t="s">
        <v>24</v>
      </c>
      <c r="E3225" t="s">
        <v>36</v>
      </c>
      <c r="F3225">
        <v>2460</v>
      </c>
      <c r="G3225">
        <v>45</v>
      </c>
      <c r="H3225" s="6">
        <f t="shared" si="253"/>
        <v>110.7</v>
      </c>
    </row>
    <row r="3226" spans="1:8" hidden="1" x14ac:dyDescent="0.3">
      <c r="A3226" s="9">
        <v>45239</v>
      </c>
      <c r="B3226" t="s">
        <v>17</v>
      </c>
      <c r="C3226" t="s">
        <v>33</v>
      </c>
      <c r="D3226" t="s">
        <v>18</v>
      </c>
      <c r="E3226" t="s">
        <v>19</v>
      </c>
      <c r="F3226">
        <v>325</v>
      </c>
      <c r="G3226">
        <v>56</v>
      </c>
      <c r="H3226" s="6">
        <f t="shared" si="253"/>
        <v>18.2</v>
      </c>
    </row>
    <row r="3227" spans="1:8" hidden="1" x14ac:dyDescent="0.3">
      <c r="A3227" s="9">
        <v>45239</v>
      </c>
      <c r="B3227" t="s">
        <v>8</v>
      </c>
      <c r="C3227" t="s">
        <v>33</v>
      </c>
      <c r="D3227" t="s">
        <v>18</v>
      </c>
      <c r="E3227" t="s">
        <v>21</v>
      </c>
      <c r="F3227">
        <v>450</v>
      </c>
      <c r="G3227">
        <v>33</v>
      </c>
      <c r="H3227" s="6">
        <f t="shared" si="253"/>
        <v>14.85</v>
      </c>
    </row>
    <row r="3228" spans="1:8" hidden="1" x14ac:dyDescent="0.3">
      <c r="A3228" s="9">
        <v>45239</v>
      </c>
      <c r="B3228" t="s">
        <v>12</v>
      </c>
      <c r="C3228" t="s">
        <v>33</v>
      </c>
      <c r="D3228" t="s">
        <v>13</v>
      </c>
      <c r="E3228" t="s">
        <v>44</v>
      </c>
      <c r="F3228">
        <v>2540</v>
      </c>
      <c r="G3228">
        <v>77</v>
      </c>
      <c r="H3228" s="6">
        <f t="shared" si="253"/>
        <v>195.58</v>
      </c>
    </row>
    <row r="3229" spans="1:8" x14ac:dyDescent="0.3">
      <c r="A3229" s="9">
        <v>45239</v>
      </c>
      <c r="B3229" t="s">
        <v>45</v>
      </c>
      <c r="C3229" t="s">
        <v>33</v>
      </c>
      <c r="D3229" t="s">
        <v>13</v>
      </c>
      <c r="E3229" t="s">
        <v>29</v>
      </c>
      <c r="F3229">
        <v>1230</v>
      </c>
      <c r="G3229">
        <v>60</v>
      </c>
      <c r="H3229" s="6">
        <f t="shared" si="253"/>
        <v>73.8</v>
      </c>
    </row>
    <row r="3230" spans="1:8" hidden="1" x14ac:dyDescent="0.3">
      <c r="A3230" s="9">
        <v>45239</v>
      </c>
      <c r="B3230" t="s">
        <v>12</v>
      </c>
      <c r="C3230" t="s">
        <v>33</v>
      </c>
      <c r="D3230" t="s">
        <v>24</v>
      </c>
      <c r="E3230" t="s">
        <v>36</v>
      </c>
      <c r="F3230">
        <v>2460</v>
      </c>
      <c r="G3230">
        <v>62</v>
      </c>
      <c r="H3230" s="6">
        <f t="shared" si="253"/>
        <v>152.52000000000001</v>
      </c>
    </row>
    <row r="3231" spans="1:8" hidden="1" x14ac:dyDescent="0.3">
      <c r="A3231" s="9">
        <v>45239</v>
      </c>
      <c r="B3231" t="s">
        <v>17</v>
      </c>
      <c r="C3231" t="s">
        <v>35</v>
      </c>
      <c r="D3231" t="s">
        <v>10</v>
      </c>
      <c r="E3231" t="s">
        <v>40</v>
      </c>
      <c r="F3231">
        <v>540</v>
      </c>
      <c r="G3231">
        <v>19</v>
      </c>
      <c r="H3231" s="6">
        <f t="shared" si="253"/>
        <v>10.26</v>
      </c>
    </row>
    <row r="3232" spans="1:8" hidden="1" x14ac:dyDescent="0.3">
      <c r="A3232" s="13" t="s">
        <v>327</v>
      </c>
      <c r="H3232" s="6">
        <f>SUBTOTAL(9,H3222:H3231)</f>
        <v>73.8</v>
      </c>
    </row>
    <row r="3233" spans="1:8" hidden="1" x14ac:dyDescent="0.3">
      <c r="A3233" s="9">
        <v>45240</v>
      </c>
      <c r="B3233" t="s">
        <v>8</v>
      </c>
      <c r="C3233" t="s">
        <v>20</v>
      </c>
      <c r="D3233" t="s">
        <v>18</v>
      </c>
      <c r="E3233" t="s">
        <v>27</v>
      </c>
      <c r="F3233">
        <v>460</v>
      </c>
      <c r="G3233">
        <v>79</v>
      </c>
      <c r="H3233" s="6">
        <f t="shared" ref="H3233:H3242" si="254">F3233*G3233/1000</f>
        <v>36.340000000000003</v>
      </c>
    </row>
    <row r="3234" spans="1:8" hidden="1" x14ac:dyDescent="0.3">
      <c r="A3234" s="9">
        <v>45240</v>
      </c>
      <c r="B3234" t="s">
        <v>45</v>
      </c>
      <c r="C3234" t="s">
        <v>20</v>
      </c>
      <c r="D3234" t="s">
        <v>13</v>
      </c>
      <c r="E3234" t="s">
        <v>14</v>
      </c>
      <c r="F3234">
        <v>1320</v>
      </c>
      <c r="G3234">
        <v>7</v>
      </c>
      <c r="H3234" s="6">
        <f t="shared" si="254"/>
        <v>9.24</v>
      </c>
    </row>
    <row r="3235" spans="1:8" hidden="1" x14ac:dyDescent="0.3">
      <c r="A3235" s="9">
        <v>45240</v>
      </c>
      <c r="B3235" t="s">
        <v>12</v>
      </c>
      <c r="C3235" t="s">
        <v>20</v>
      </c>
      <c r="D3235" t="s">
        <v>24</v>
      </c>
      <c r="E3235" t="s">
        <v>25</v>
      </c>
      <c r="F3235">
        <v>1760</v>
      </c>
      <c r="G3235">
        <v>13</v>
      </c>
      <c r="H3235" s="6">
        <f t="shared" si="254"/>
        <v>22.88</v>
      </c>
    </row>
    <row r="3236" spans="1:8" hidden="1" x14ac:dyDescent="0.3">
      <c r="A3236" s="9">
        <v>45240</v>
      </c>
      <c r="B3236" t="s">
        <v>45</v>
      </c>
      <c r="C3236" t="s">
        <v>9</v>
      </c>
      <c r="D3236" t="s">
        <v>18</v>
      </c>
      <c r="E3236" t="s">
        <v>28</v>
      </c>
      <c r="F3236">
        <v>690</v>
      </c>
      <c r="G3236">
        <v>57</v>
      </c>
      <c r="H3236" s="6">
        <f t="shared" si="254"/>
        <v>39.33</v>
      </c>
    </row>
    <row r="3237" spans="1:8" hidden="1" x14ac:dyDescent="0.3">
      <c r="A3237" s="9">
        <v>45240</v>
      </c>
      <c r="B3237" t="s">
        <v>45</v>
      </c>
      <c r="C3237" t="s">
        <v>9</v>
      </c>
      <c r="D3237" t="s">
        <v>13</v>
      </c>
      <c r="E3237" t="s">
        <v>43</v>
      </c>
      <c r="F3237">
        <v>1420</v>
      </c>
      <c r="G3237">
        <v>11</v>
      </c>
      <c r="H3237" s="6">
        <f t="shared" si="254"/>
        <v>15.62</v>
      </c>
    </row>
    <row r="3238" spans="1:8" hidden="1" x14ac:dyDescent="0.3">
      <c r="A3238" s="9">
        <v>45240</v>
      </c>
      <c r="B3238" t="s">
        <v>45</v>
      </c>
      <c r="C3238" t="s">
        <v>9</v>
      </c>
      <c r="D3238" t="s">
        <v>24</v>
      </c>
      <c r="E3238" t="s">
        <v>30</v>
      </c>
      <c r="F3238">
        <v>2970</v>
      </c>
      <c r="G3238">
        <v>54</v>
      </c>
      <c r="H3238" s="6">
        <f t="shared" si="254"/>
        <v>160.38</v>
      </c>
    </row>
    <row r="3239" spans="1:8" hidden="1" x14ac:dyDescent="0.3">
      <c r="A3239" s="9">
        <v>45240</v>
      </c>
      <c r="B3239" t="s">
        <v>17</v>
      </c>
      <c r="C3239" t="s">
        <v>15</v>
      </c>
      <c r="D3239" t="s">
        <v>10</v>
      </c>
      <c r="E3239" t="s">
        <v>16</v>
      </c>
      <c r="F3239">
        <v>1380</v>
      </c>
      <c r="G3239">
        <v>74</v>
      </c>
      <c r="H3239" s="6">
        <f t="shared" si="254"/>
        <v>102.12</v>
      </c>
    </row>
    <row r="3240" spans="1:8" hidden="1" x14ac:dyDescent="0.3">
      <c r="A3240" s="9">
        <v>45240</v>
      </c>
      <c r="B3240" t="s">
        <v>12</v>
      </c>
      <c r="C3240" t="s">
        <v>33</v>
      </c>
      <c r="D3240" t="s">
        <v>18</v>
      </c>
      <c r="E3240" t="s">
        <v>31</v>
      </c>
      <c r="F3240">
        <v>715</v>
      </c>
      <c r="G3240">
        <v>33</v>
      </c>
      <c r="H3240" s="6">
        <f t="shared" si="254"/>
        <v>23.594999999999999</v>
      </c>
    </row>
    <row r="3241" spans="1:8" hidden="1" x14ac:dyDescent="0.3">
      <c r="A3241" s="9">
        <v>45240</v>
      </c>
      <c r="B3241" t="s">
        <v>12</v>
      </c>
      <c r="C3241" t="s">
        <v>33</v>
      </c>
      <c r="D3241" t="s">
        <v>24</v>
      </c>
      <c r="E3241" t="s">
        <v>25</v>
      </c>
      <c r="F3241">
        <v>1760</v>
      </c>
      <c r="G3241">
        <v>90</v>
      </c>
      <c r="H3241" s="6">
        <f t="shared" si="254"/>
        <v>158.4</v>
      </c>
    </row>
    <row r="3242" spans="1:8" hidden="1" x14ac:dyDescent="0.3">
      <c r="A3242" s="9">
        <v>45240</v>
      </c>
      <c r="B3242" t="s">
        <v>17</v>
      </c>
      <c r="C3242" t="s">
        <v>35</v>
      </c>
      <c r="D3242" t="s">
        <v>13</v>
      </c>
      <c r="E3242" t="s">
        <v>14</v>
      </c>
      <c r="F3242">
        <v>1320</v>
      </c>
      <c r="G3242">
        <v>40</v>
      </c>
      <c r="H3242" s="6">
        <f t="shared" si="254"/>
        <v>52.8</v>
      </c>
    </row>
    <row r="3243" spans="1:8" hidden="1" x14ac:dyDescent="0.3">
      <c r="A3243" s="13" t="s">
        <v>328</v>
      </c>
      <c r="H3243" s="6">
        <f>SUBTOTAL(9,H3233:H3242)</f>
        <v>0</v>
      </c>
    </row>
    <row r="3244" spans="1:8" hidden="1" x14ac:dyDescent="0.3">
      <c r="A3244" s="9">
        <v>45241</v>
      </c>
      <c r="B3244" t="s">
        <v>8</v>
      </c>
      <c r="C3244" t="s">
        <v>20</v>
      </c>
      <c r="D3244" t="s">
        <v>24</v>
      </c>
      <c r="E3244" t="s">
        <v>42</v>
      </c>
      <c r="F3244">
        <v>3205</v>
      </c>
      <c r="G3244">
        <v>83</v>
      </c>
      <c r="H3244" s="6">
        <f t="shared" ref="H3244:H3251" si="255">F3244*G3244/1000</f>
        <v>266.01499999999999</v>
      </c>
    </row>
    <row r="3245" spans="1:8" hidden="1" x14ac:dyDescent="0.3">
      <c r="A3245" s="9">
        <v>45241</v>
      </c>
      <c r="B3245" t="s">
        <v>8</v>
      </c>
      <c r="C3245" t="s">
        <v>9</v>
      </c>
      <c r="D3245" t="s">
        <v>13</v>
      </c>
      <c r="E3245" t="s">
        <v>22</v>
      </c>
      <c r="F3245">
        <v>930</v>
      </c>
      <c r="G3245">
        <v>33</v>
      </c>
      <c r="H3245" s="6">
        <f t="shared" si="255"/>
        <v>30.69</v>
      </c>
    </row>
    <row r="3246" spans="1:8" hidden="1" x14ac:dyDescent="0.3">
      <c r="A3246" s="9">
        <v>45241</v>
      </c>
      <c r="B3246" t="s">
        <v>17</v>
      </c>
      <c r="C3246" t="s">
        <v>9</v>
      </c>
      <c r="D3246" t="s">
        <v>24</v>
      </c>
      <c r="E3246" t="s">
        <v>30</v>
      </c>
      <c r="F3246">
        <v>2970</v>
      </c>
      <c r="G3246">
        <v>65</v>
      </c>
      <c r="H3246" s="6">
        <f t="shared" si="255"/>
        <v>193.05</v>
      </c>
    </row>
    <row r="3247" spans="1:8" hidden="1" x14ac:dyDescent="0.3">
      <c r="A3247" s="9">
        <v>45241</v>
      </c>
      <c r="B3247" t="s">
        <v>8</v>
      </c>
      <c r="C3247" t="s">
        <v>33</v>
      </c>
      <c r="D3247" t="s">
        <v>18</v>
      </c>
      <c r="E3247" t="s">
        <v>28</v>
      </c>
      <c r="F3247">
        <v>690</v>
      </c>
      <c r="G3247">
        <v>43</v>
      </c>
      <c r="H3247" s="6">
        <f t="shared" si="255"/>
        <v>29.67</v>
      </c>
    </row>
    <row r="3248" spans="1:8" hidden="1" x14ac:dyDescent="0.3">
      <c r="A3248" s="9">
        <v>45241</v>
      </c>
      <c r="B3248" t="s">
        <v>12</v>
      </c>
      <c r="C3248" t="s">
        <v>33</v>
      </c>
      <c r="D3248" t="s">
        <v>13</v>
      </c>
      <c r="E3248" t="s">
        <v>14</v>
      </c>
      <c r="F3248">
        <v>1320</v>
      </c>
      <c r="G3248">
        <v>58</v>
      </c>
      <c r="H3248" s="6">
        <f t="shared" si="255"/>
        <v>76.56</v>
      </c>
    </row>
    <row r="3249" spans="1:8" hidden="1" x14ac:dyDescent="0.3">
      <c r="A3249" s="9">
        <v>45241</v>
      </c>
      <c r="B3249" t="s">
        <v>8</v>
      </c>
      <c r="C3249" t="s">
        <v>33</v>
      </c>
      <c r="D3249" t="s">
        <v>24</v>
      </c>
      <c r="E3249" t="s">
        <v>34</v>
      </c>
      <c r="F3249">
        <v>1670</v>
      </c>
      <c r="G3249">
        <v>25</v>
      </c>
      <c r="H3249" s="6">
        <f t="shared" si="255"/>
        <v>41.75</v>
      </c>
    </row>
    <row r="3250" spans="1:8" hidden="1" x14ac:dyDescent="0.3">
      <c r="A3250" s="9">
        <v>45241</v>
      </c>
      <c r="B3250" t="s">
        <v>17</v>
      </c>
      <c r="C3250" t="s">
        <v>35</v>
      </c>
      <c r="D3250" t="s">
        <v>13</v>
      </c>
      <c r="E3250" t="s">
        <v>14</v>
      </c>
      <c r="F3250">
        <v>1320</v>
      </c>
      <c r="G3250">
        <v>13</v>
      </c>
      <c r="H3250" s="6">
        <f t="shared" si="255"/>
        <v>17.16</v>
      </c>
    </row>
    <row r="3251" spans="1:8" hidden="1" x14ac:dyDescent="0.3">
      <c r="A3251" s="9">
        <v>45241</v>
      </c>
      <c r="B3251" t="s">
        <v>17</v>
      </c>
      <c r="C3251" t="s">
        <v>35</v>
      </c>
      <c r="D3251" t="s">
        <v>24</v>
      </c>
      <c r="E3251" t="s">
        <v>36</v>
      </c>
      <c r="F3251">
        <v>2460</v>
      </c>
      <c r="G3251">
        <v>81</v>
      </c>
      <c r="H3251" s="6">
        <f t="shared" si="255"/>
        <v>199.26</v>
      </c>
    </row>
    <row r="3252" spans="1:8" hidden="1" x14ac:dyDescent="0.3">
      <c r="A3252" s="13" t="s">
        <v>329</v>
      </c>
      <c r="H3252" s="6">
        <f>SUBTOTAL(9,H3244:H3251)</f>
        <v>0</v>
      </c>
    </row>
    <row r="3253" spans="1:8" hidden="1" x14ac:dyDescent="0.3">
      <c r="A3253" s="9">
        <v>45242</v>
      </c>
      <c r="B3253" t="s">
        <v>8</v>
      </c>
      <c r="C3253" t="s">
        <v>20</v>
      </c>
      <c r="D3253" t="s">
        <v>24</v>
      </c>
      <c r="E3253" t="s">
        <v>25</v>
      </c>
      <c r="F3253">
        <v>1760</v>
      </c>
      <c r="G3253">
        <v>28</v>
      </c>
      <c r="H3253" s="6">
        <f t="shared" ref="H3253:H3261" si="256">F3253*G3253/1000</f>
        <v>49.28</v>
      </c>
    </row>
    <row r="3254" spans="1:8" hidden="1" x14ac:dyDescent="0.3">
      <c r="A3254" s="9">
        <v>45242</v>
      </c>
      <c r="B3254" t="s">
        <v>45</v>
      </c>
      <c r="C3254" t="s">
        <v>9</v>
      </c>
      <c r="D3254" t="s">
        <v>13</v>
      </c>
      <c r="E3254" t="s">
        <v>14</v>
      </c>
      <c r="F3254">
        <v>1320</v>
      </c>
      <c r="G3254">
        <v>63</v>
      </c>
      <c r="H3254" s="6">
        <f t="shared" si="256"/>
        <v>83.16</v>
      </c>
    </row>
    <row r="3255" spans="1:8" hidden="1" x14ac:dyDescent="0.3">
      <c r="A3255" s="9">
        <v>45242</v>
      </c>
      <c r="B3255" t="s">
        <v>8</v>
      </c>
      <c r="C3255" t="s">
        <v>26</v>
      </c>
      <c r="D3255" t="s">
        <v>10</v>
      </c>
      <c r="E3255" t="s">
        <v>23</v>
      </c>
      <c r="F3255">
        <v>640</v>
      </c>
      <c r="G3255">
        <v>52</v>
      </c>
      <c r="H3255" s="6">
        <f t="shared" si="256"/>
        <v>33.28</v>
      </c>
    </row>
    <row r="3256" spans="1:8" hidden="1" x14ac:dyDescent="0.3">
      <c r="A3256" s="9">
        <v>45242</v>
      </c>
      <c r="B3256" t="s">
        <v>12</v>
      </c>
      <c r="C3256" t="s">
        <v>33</v>
      </c>
      <c r="D3256" t="s">
        <v>10</v>
      </c>
      <c r="E3256" t="s">
        <v>40</v>
      </c>
      <c r="F3256">
        <v>540</v>
      </c>
      <c r="G3256">
        <v>56</v>
      </c>
      <c r="H3256" s="6">
        <f t="shared" si="256"/>
        <v>30.24</v>
      </c>
    </row>
    <row r="3257" spans="1:8" hidden="1" x14ac:dyDescent="0.3">
      <c r="A3257" s="9">
        <v>45242</v>
      </c>
      <c r="B3257" t="s">
        <v>12</v>
      </c>
      <c r="C3257" t="s">
        <v>33</v>
      </c>
      <c r="D3257" t="s">
        <v>13</v>
      </c>
      <c r="E3257" t="s">
        <v>22</v>
      </c>
      <c r="F3257">
        <v>930</v>
      </c>
      <c r="G3257">
        <v>92</v>
      </c>
      <c r="H3257" s="6">
        <f t="shared" si="256"/>
        <v>85.56</v>
      </c>
    </row>
    <row r="3258" spans="1:8" hidden="1" x14ac:dyDescent="0.3">
      <c r="A3258" s="9">
        <v>45242</v>
      </c>
      <c r="B3258" t="s">
        <v>45</v>
      </c>
      <c r="C3258" t="s">
        <v>35</v>
      </c>
      <c r="D3258" t="s">
        <v>10</v>
      </c>
      <c r="E3258" t="s">
        <v>39</v>
      </c>
      <c r="F3258">
        <v>650</v>
      </c>
      <c r="G3258">
        <v>54</v>
      </c>
      <c r="H3258" s="6">
        <f t="shared" si="256"/>
        <v>35.1</v>
      </c>
    </row>
    <row r="3259" spans="1:8" hidden="1" x14ac:dyDescent="0.3">
      <c r="A3259" s="9">
        <v>45242</v>
      </c>
      <c r="B3259" t="s">
        <v>45</v>
      </c>
      <c r="C3259" t="s">
        <v>35</v>
      </c>
      <c r="D3259" t="s">
        <v>10</v>
      </c>
      <c r="E3259" t="s">
        <v>23</v>
      </c>
      <c r="F3259">
        <v>640</v>
      </c>
      <c r="G3259">
        <v>58</v>
      </c>
      <c r="H3259" s="6">
        <f t="shared" si="256"/>
        <v>37.119999999999997</v>
      </c>
    </row>
    <row r="3260" spans="1:8" hidden="1" x14ac:dyDescent="0.3">
      <c r="A3260" s="9">
        <v>45242</v>
      </c>
      <c r="B3260" t="s">
        <v>45</v>
      </c>
      <c r="C3260" t="s">
        <v>35</v>
      </c>
      <c r="D3260" t="s">
        <v>18</v>
      </c>
      <c r="E3260" t="s">
        <v>21</v>
      </c>
      <c r="F3260">
        <v>450</v>
      </c>
      <c r="G3260">
        <v>17</v>
      </c>
      <c r="H3260" s="6">
        <f t="shared" si="256"/>
        <v>7.65</v>
      </c>
    </row>
    <row r="3261" spans="1:8" hidden="1" x14ac:dyDescent="0.3">
      <c r="A3261" s="9">
        <v>45242</v>
      </c>
      <c r="B3261" t="s">
        <v>8</v>
      </c>
      <c r="C3261" t="s">
        <v>35</v>
      </c>
      <c r="D3261" t="s">
        <v>24</v>
      </c>
      <c r="E3261" t="s">
        <v>36</v>
      </c>
      <c r="F3261">
        <v>2460</v>
      </c>
      <c r="G3261">
        <v>57</v>
      </c>
      <c r="H3261" s="6">
        <f t="shared" si="256"/>
        <v>140.22</v>
      </c>
    </row>
    <row r="3262" spans="1:8" hidden="1" x14ac:dyDescent="0.3">
      <c r="A3262" s="13" t="s">
        <v>330</v>
      </c>
      <c r="H3262" s="6">
        <f>SUBTOTAL(9,H3253:H3261)</f>
        <v>0</v>
      </c>
    </row>
    <row r="3263" spans="1:8" hidden="1" x14ac:dyDescent="0.3">
      <c r="A3263" s="9">
        <v>45243</v>
      </c>
      <c r="B3263" t="s">
        <v>8</v>
      </c>
      <c r="C3263" t="s">
        <v>20</v>
      </c>
      <c r="D3263" t="s">
        <v>13</v>
      </c>
      <c r="E3263" t="s">
        <v>43</v>
      </c>
      <c r="F3263">
        <v>1420</v>
      </c>
      <c r="G3263">
        <v>67</v>
      </c>
      <c r="H3263" s="6">
        <f t="shared" ref="H3263:H3271" si="257">F3263*G3263/1000</f>
        <v>95.14</v>
      </c>
    </row>
    <row r="3264" spans="1:8" hidden="1" x14ac:dyDescent="0.3">
      <c r="A3264" s="9">
        <v>45243</v>
      </c>
      <c r="B3264" t="s">
        <v>12</v>
      </c>
      <c r="C3264" t="s">
        <v>9</v>
      </c>
      <c r="D3264" t="s">
        <v>10</v>
      </c>
      <c r="E3264" t="s">
        <v>41</v>
      </c>
      <c r="F3264">
        <v>650</v>
      </c>
      <c r="G3264">
        <v>12</v>
      </c>
      <c r="H3264" s="6">
        <f t="shared" si="257"/>
        <v>7.8</v>
      </c>
    </row>
    <row r="3265" spans="1:8" hidden="1" x14ac:dyDescent="0.3">
      <c r="A3265" s="9">
        <v>45243</v>
      </c>
      <c r="B3265" t="s">
        <v>8</v>
      </c>
      <c r="C3265" t="s">
        <v>9</v>
      </c>
      <c r="D3265" t="s">
        <v>24</v>
      </c>
      <c r="E3265" t="s">
        <v>32</v>
      </c>
      <c r="F3265">
        <v>1505</v>
      </c>
      <c r="G3265">
        <v>79</v>
      </c>
      <c r="H3265" s="6">
        <f t="shared" si="257"/>
        <v>118.895</v>
      </c>
    </row>
    <row r="3266" spans="1:8" hidden="1" x14ac:dyDescent="0.3">
      <c r="A3266" s="9">
        <v>45243</v>
      </c>
      <c r="B3266" t="s">
        <v>45</v>
      </c>
      <c r="C3266" t="s">
        <v>9</v>
      </c>
      <c r="D3266" t="s">
        <v>24</v>
      </c>
      <c r="E3266" t="s">
        <v>30</v>
      </c>
      <c r="F3266">
        <v>2970</v>
      </c>
      <c r="G3266">
        <v>28</v>
      </c>
      <c r="H3266" s="6">
        <f t="shared" si="257"/>
        <v>83.16</v>
      </c>
    </row>
    <row r="3267" spans="1:8" hidden="1" x14ac:dyDescent="0.3">
      <c r="A3267" s="9">
        <v>45243</v>
      </c>
      <c r="B3267" t="s">
        <v>12</v>
      </c>
      <c r="C3267" t="s">
        <v>26</v>
      </c>
      <c r="D3267" t="s">
        <v>18</v>
      </c>
      <c r="E3267" t="s">
        <v>19</v>
      </c>
      <c r="F3267">
        <v>325</v>
      </c>
      <c r="G3267">
        <v>44</v>
      </c>
      <c r="H3267" s="6">
        <f t="shared" si="257"/>
        <v>14.3</v>
      </c>
    </row>
    <row r="3268" spans="1:8" hidden="1" x14ac:dyDescent="0.3">
      <c r="A3268" s="9">
        <v>45243</v>
      </c>
      <c r="B3268" t="s">
        <v>45</v>
      </c>
      <c r="C3268" t="s">
        <v>26</v>
      </c>
      <c r="D3268" t="s">
        <v>18</v>
      </c>
      <c r="E3268" t="s">
        <v>19</v>
      </c>
      <c r="F3268">
        <v>325</v>
      </c>
      <c r="G3268">
        <v>60</v>
      </c>
      <c r="H3268" s="6">
        <f t="shared" si="257"/>
        <v>19.5</v>
      </c>
    </row>
    <row r="3269" spans="1:8" hidden="1" x14ac:dyDescent="0.3">
      <c r="A3269" s="9">
        <v>45243</v>
      </c>
      <c r="B3269" t="s">
        <v>8</v>
      </c>
      <c r="C3269" t="s">
        <v>26</v>
      </c>
      <c r="D3269" t="s">
        <v>13</v>
      </c>
      <c r="E3269" t="s">
        <v>43</v>
      </c>
      <c r="F3269">
        <v>1420</v>
      </c>
      <c r="G3269">
        <v>72</v>
      </c>
      <c r="H3269" s="6">
        <f t="shared" si="257"/>
        <v>102.24</v>
      </c>
    </row>
    <row r="3270" spans="1:8" hidden="1" x14ac:dyDescent="0.3">
      <c r="A3270" s="9">
        <v>45243</v>
      </c>
      <c r="B3270" t="s">
        <v>45</v>
      </c>
      <c r="C3270" t="s">
        <v>15</v>
      </c>
      <c r="D3270" t="s">
        <v>24</v>
      </c>
      <c r="E3270" t="s">
        <v>36</v>
      </c>
      <c r="F3270">
        <v>2460</v>
      </c>
      <c r="G3270">
        <v>83</v>
      </c>
      <c r="H3270" s="6">
        <f t="shared" si="257"/>
        <v>204.18</v>
      </c>
    </row>
    <row r="3271" spans="1:8" hidden="1" x14ac:dyDescent="0.3">
      <c r="A3271" s="9">
        <v>45243</v>
      </c>
      <c r="B3271" t="s">
        <v>12</v>
      </c>
      <c r="C3271" t="s">
        <v>33</v>
      </c>
      <c r="D3271" t="s">
        <v>10</v>
      </c>
      <c r="E3271" t="s">
        <v>41</v>
      </c>
      <c r="F3271">
        <v>650</v>
      </c>
      <c r="G3271">
        <v>47</v>
      </c>
      <c r="H3271" s="6">
        <f t="shared" si="257"/>
        <v>30.55</v>
      </c>
    </row>
    <row r="3272" spans="1:8" hidden="1" x14ac:dyDescent="0.3">
      <c r="A3272" s="13" t="s">
        <v>331</v>
      </c>
      <c r="H3272" s="6">
        <f>SUBTOTAL(9,H3263:H3271)</f>
        <v>0</v>
      </c>
    </row>
    <row r="3273" spans="1:8" hidden="1" x14ac:dyDescent="0.3">
      <c r="A3273" s="9">
        <v>45244</v>
      </c>
      <c r="B3273" t="s">
        <v>17</v>
      </c>
      <c r="C3273" t="s">
        <v>20</v>
      </c>
      <c r="D3273" t="s">
        <v>10</v>
      </c>
      <c r="E3273" t="s">
        <v>41</v>
      </c>
      <c r="F3273">
        <v>650</v>
      </c>
      <c r="G3273">
        <v>41</v>
      </c>
      <c r="H3273" s="6">
        <f t="shared" ref="H3273:H3280" si="258">F3273*G3273/1000</f>
        <v>26.65</v>
      </c>
    </row>
    <row r="3274" spans="1:8" hidden="1" x14ac:dyDescent="0.3">
      <c r="A3274" s="9">
        <v>45244</v>
      </c>
      <c r="B3274" t="s">
        <v>45</v>
      </c>
      <c r="C3274" t="s">
        <v>9</v>
      </c>
      <c r="D3274" t="s">
        <v>18</v>
      </c>
      <c r="E3274" t="s">
        <v>28</v>
      </c>
      <c r="F3274">
        <v>690</v>
      </c>
      <c r="G3274">
        <v>23</v>
      </c>
      <c r="H3274" s="6">
        <f t="shared" si="258"/>
        <v>15.87</v>
      </c>
    </row>
    <row r="3275" spans="1:8" hidden="1" x14ac:dyDescent="0.3">
      <c r="A3275" s="9">
        <v>45244</v>
      </c>
      <c r="B3275" t="s">
        <v>8</v>
      </c>
      <c r="C3275" t="s">
        <v>9</v>
      </c>
      <c r="D3275" t="s">
        <v>13</v>
      </c>
      <c r="E3275" t="s">
        <v>29</v>
      </c>
      <c r="F3275">
        <v>1230</v>
      </c>
      <c r="G3275">
        <v>56</v>
      </c>
      <c r="H3275" s="6">
        <f t="shared" si="258"/>
        <v>68.88</v>
      </c>
    </row>
    <row r="3276" spans="1:8" hidden="1" x14ac:dyDescent="0.3">
      <c r="A3276" s="9">
        <v>45244</v>
      </c>
      <c r="B3276" t="s">
        <v>17</v>
      </c>
      <c r="C3276" t="s">
        <v>9</v>
      </c>
      <c r="D3276" t="s">
        <v>24</v>
      </c>
      <c r="E3276" t="s">
        <v>30</v>
      </c>
      <c r="F3276">
        <v>2970</v>
      </c>
      <c r="G3276">
        <v>8</v>
      </c>
      <c r="H3276" s="6">
        <f t="shared" si="258"/>
        <v>23.76</v>
      </c>
    </row>
    <row r="3277" spans="1:8" hidden="1" x14ac:dyDescent="0.3">
      <c r="A3277" s="9">
        <v>45244</v>
      </c>
      <c r="B3277" t="s">
        <v>17</v>
      </c>
      <c r="C3277" t="s">
        <v>15</v>
      </c>
      <c r="D3277" t="s">
        <v>18</v>
      </c>
      <c r="E3277" t="s">
        <v>27</v>
      </c>
      <c r="F3277">
        <v>460</v>
      </c>
      <c r="G3277">
        <v>90</v>
      </c>
      <c r="H3277" s="6">
        <f t="shared" si="258"/>
        <v>41.4</v>
      </c>
    </row>
    <row r="3278" spans="1:8" hidden="1" x14ac:dyDescent="0.3">
      <c r="A3278" s="9">
        <v>45244</v>
      </c>
      <c r="B3278" t="s">
        <v>17</v>
      </c>
      <c r="C3278" t="s">
        <v>15</v>
      </c>
      <c r="D3278" t="s">
        <v>24</v>
      </c>
      <c r="E3278" t="s">
        <v>30</v>
      </c>
      <c r="F3278">
        <v>2970</v>
      </c>
      <c r="G3278">
        <v>98</v>
      </c>
      <c r="H3278" s="6">
        <f t="shared" si="258"/>
        <v>291.06</v>
      </c>
    </row>
    <row r="3279" spans="1:8" hidden="1" x14ac:dyDescent="0.3">
      <c r="A3279" s="9">
        <v>45244</v>
      </c>
      <c r="B3279" t="s">
        <v>45</v>
      </c>
      <c r="C3279" t="s">
        <v>35</v>
      </c>
      <c r="D3279" t="s">
        <v>18</v>
      </c>
      <c r="E3279" t="s">
        <v>19</v>
      </c>
      <c r="F3279">
        <v>325</v>
      </c>
      <c r="G3279">
        <v>50</v>
      </c>
      <c r="H3279" s="6">
        <f t="shared" si="258"/>
        <v>16.25</v>
      </c>
    </row>
    <row r="3280" spans="1:8" hidden="1" x14ac:dyDescent="0.3">
      <c r="A3280" s="9">
        <v>45244</v>
      </c>
      <c r="B3280" t="s">
        <v>45</v>
      </c>
      <c r="C3280" t="s">
        <v>35</v>
      </c>
      <c r="D3280" t="s">
        <v>24</v>
      </c>
      <c r="E3280" t="s">
        <v>25</v>
      </c>
      <c r="F3280">
        <v>1760</v>
      </c>
      <c r="G3280">
        <v>57</v>
      </c>
      <c r="H3280" s="6">
        <f t="shared" si="258"/>
        <v>100.32</v>
      </c>
    </row>
    <row r="3281" spans="1:8" hidden="1" x14ac:dyDescent="0.3">
      <c r="A3281" s="13" t="s">
        <v>332</v>
      </c>
      <c r="H3281" s="6">
        <f>SUBTOTAL(9,H3273:H3280)</f>
        <v>0</v>
      </c>
    </row>
    <row r="3282" spans="1:8" hidden="1" x14ac:dyDescent="0.3">
      <c r="A3282" s="9">
        <v>45245</v>
      </c>
      <c r="B3282" t="s">
        <v>8</v>
      </c>
      <c r="C3282" t="s">
        <v>20</v>
      </c>
      <c r="D3282" t="s">
        <v>10</v>
      </c>
      <c r="E3282" t="s">
        <v>39</v>
      </c>
      <c r="F3282">
        <v>650</v>
      </c>
      <c r="G3282">
        <v>70</v>
      </c>
      <c r="H3282" s="6">
        <f>F3282*G3282/1000</f>
        <v>45.5</v>
      </c>
    </row>
    <row r="3283" spans="1:8" hidden="1" x14ac:dyDescent="0.3">
      <c r="A3283" s="9">
        <v>45245</v>
      </c>
      <c r="B3283" t="s">
        <v>17</v>
      </c>
      <c r="C3283" t="s">
        <v>20</v>
      </c>
      <c r="D3283" t="s">
        <v>13</v>
      </c>
      <c r="E3283" t="s">
        <v>22</v>
      </c>
      <c r="F3283">
        <v>930</v>
      </c>
      <c r="G3283">
        <v>11</v>
      </c>
      <c r="H3283" s="6">
        <f>F3283*G3283/1000</f>
        <v>10.23</v>
      </c>
    </row>
    <row r="3284" spans="1:8" hidden="1" x14ac:dyDescent="0.3">
      <c r="A3284" s="9">
        <v>45245</v>
      </c>
      <c r="B3284" t="s">
        <v>12</v>
      </c>
      <c r="C3284" t="s">
        <v>26</v>
      </c>
      <c r="D3284" t="s">
        <v>18</v>
      </c>
      <c r="E3284" t="s">
        <v>31</v>
      </c>
      <c r="F3284">
        <v>715</v>
      </c>
      <c r="G3284">
        <v>93</v>
      </c>
      <c r="H3284" s="6">
        <f>F3284*G3284/1000</f>
        <v>66.495000000000005</v>
      </c>
    </row>
    <row r="3285" spans="1:8" hidden="1" x14ac:dyDescent="0.3">
      <c r="A3285" s="9">
        <v>45245</v>
      </c>
      <c r="B3285" t="s">
        <v>8</v>
      </c>
      <c r="C3285" t="s">
        <v>15</v>
      </c>
      <c r="D3285" t="s">
        <v>24</v>
      </c>
      <c r="E3285" t="s">
        <v>42</v>
      </c>
      <c r="F3285">
        <v>3205</v>
      </c>
      <c r="G3285">
        <v>27</v>
      </c>
      <c r="H3285" s="6">
        <f>F3285*G3285/1000</f>
        <v>86.534999999999997</v>
      </c>
    </row>
    <row r="3286" spans="1:8" hidden="1" x14ac:dyDescent="0.3">
      <c r="A3286" s="9">
        <v>45245</v>
      </c>
      <c r="B3286" t="s">
        <v>8</v>
      </c>
      <c r="C3286" t="s">
        <v>35</v>
      </c>
      <c r="D3286" t="s">
        <v>24</v>
      </c>
      <c r="E3286" t="s">
        <v>25</v>
      </c>
      <c r="F3286">
        <v>1760</v>
      </c>
      <c r="G3286">
        <v>62</v>
      </c>
      <c r="H3286" s="6">
        <f>F3286*G3286/1000</f>
        <v>109.12</v>
      </c>
    </row>
    <row r="3287" spans="1:8" hidden="1" x14ac:dyDescent="0.3">
      <c r="A3287" s="13" t="s">
        <v>333</v>
      </c>
      <c r="H3287" s="6">
        <f>SUBTOTAL(9,H3282:H3286)</f>
        <v>0</v>
      </c>
    </row>
    <row r="3288" spans="1:8" hidden="1" x14ac:dyDescent="0.3">
      <c r="A3288" s="9">
        <v>45246</v>
      </c>
      <c r="B3288" t="s">
        <v>45</v>
      </c>
      <c r="C3288" t="s">
        <v>9</v>
      </c>
      <c r="D3288" t="s">
        <v>24</v>
      </c>
      <c r="E3288" t="s">
        <v>30</v>
      </c>
      <c r="F3288">
        <v>2970</v>
      </c>
      <c r="G3288">
        <v>77</v>
      </c>
      <c r="H3288" s="6">
        <f>F3288*G3288/1000</f>
        <v>228.69</v>
      </c>
    </row>
    <row r="3289" spans="1:8" hidden="1" x14ac:dyDescent="0.3">
      <c r="A3289" s="9">
        <v>45246</v>
      </c>
      <c r="B3289" t="s">
        <v>45</v>
      </c>
      <c r="C3289" t="s">
        <v>26</v>
      </c>
      <c r="D3289" t="s">
        <v>10</v>
      </c>
      <c r="E3289" t="s">
        <v>23</v>
      </c>
      <c r="F3289">
        <v>640</v>
      </c>
      <c r="G3289">
        <v>43</v>
      </c>
      <c r="H3289" s="6">
        <f>F3289*G3289/1000</f>
        <v>27.52</v>
      </c>
    </row>
    <row r="3290" spans="1:8" hidden="1" x14ac:dyDescent="0.3">
      <c r="A3290" s="9">
        <v>45246</v>
      </c>
      <c r="B3290" t="s">
        <v>45</v>
      </c>
      <c r="C3290" t="s">
        <v>33</v>
      </c>
      <c r="D3290" t="s">
        <v>24</v>
      </c>
      <c r="E3290" t="s">
        <v>30</v>
      </c>
      <c r="F3290">
        <v>2970</v>
      </c>
      <c r="G3290">
        <v>37</v>
      </c>
      <c r="H3290" s="6">
        <f>F3290*G3290/1000</f>
        <v>109.89</v>
      </c>
    </row>
    <row r="3291" spans="1:8" hidden="1" x14ac:dyDescent="0.3">
      <c r="A3291" s="13" t="s">
        <v>334</v>
      </c>
      <c r="H3291" s="6">
        <f>SUBTOTAL(9,H3288:H3290)</f>
        <v>0</v>
      </c>
    </row>
    <row r="3292" spans="1:8" hidden="1" x14ac:dyDescent="0.3">
      <c r="A3292" s="9">
        <v>45247</v>
      </c>
      <c r="B3292" t="s">
        <v>17</v>
      </c>
      <c r="C3292" t="s">
        <v>20</v>
      </c>
      <c r="D3292" t="s">
        <v>18</v>
      </c>
      <c r="E3292" t="s">
        <v>28</v>
      </c>
      <c r="F3292">
        <v>690</v>
      </c>
      <c r="G3292">
        <v>52</v>
      </c>
      <c r="H3292" s="6">
        <f t="shared" ref="H3292:H3299" si="259">F3292*G3292/1000</f>
        <v>35.880000000000003</v>
      </c>
    </row>
    <row r="3293" spans="1:8" hidden="1" x14ac:dyDescent="0.3">
      <c r="A3293" s="9">
        <v>45247</v>
      </c>
      <c r="B3293" t="s">
        <v>17</v>
      </c>
      <c r="C3293" t="s">
        <v>9</v>
      </c>
      <c r="D3293" t="s">
        <v>10</v>
      </c>
      <c r="E3293" t="s">
        <v>40</v>
      </c>
      <c r="F3293">
        <v>540</v>
      </c>
      <c r="G3293">
        <v>77</v>
      </c>
      <c r="H3293" s="6">
        <f t="shared" si="259"/>
        <v>41.58</v>
      </c>
    </row>
    <row r="3294" spans="1:8" hidden="1" x14ac:dyDescent="0.3">
      <c r="A3294" s="9">
        <v>45247</v>
      </c>
      <c r="B3294" t="s">
        <v>45</v>
      </c>
      <c r="C3294" t="s">
        <v>9</v>
      </c>
      <c r="D3294" t="s">
        <v>18</v>
      </c>
      <c r="E3294" t="s">
        <v>27</v>
      </c>
      <c r="F3294">
        <v>460</v>
      </c>
      <c r="G3294">
        <v>80</v>
      </c>
      <c r="H3294" s="6">
        <f t="shared" si="259"/>
        <v>36.799999999999997</v>
      </c>
    </row>
    <row r="3295" spans="1:8" hidden="1" x14ac:dyDescent="0.3">
      <c r="A3295" s="9">
        <v>45247</v>
      </c>
      <c r="B3295" t="s">
        <v>17</v>
      </c>
      <c r="C3295" t="s">
        <v>9</v>
      </c>
      <c r="D3295" t="s">
        <v>18</v>
      </c>
      <c r="E3295" t="s">
        <v>28</v>
      </c>
      <c r="F3295">
        <v>690</v>
      </c>
      <c r="G3295">
        <v>86</v>
      </c>
      <c r="H3295" s="6">
        <f t="shared" si="259"/>
        <v>59.34</v>
      </c>
    </row>
    <row r="3296" spans="1:8" hidden="1" x14ac:dyDescent="0.3">
      <c r="A3296" s="9">
        <v>45247</v>
      </c>
      <c r="B3296" t="s">
        <v>8</v>
      </c>
      <c r="C3296" t="s">
        <v>26</v>
      </c>
      <c r="D3296" t="s">
        <v>24</v>
      </c>
      <c r="E3296" t="s">
        <v>25</v>
      </c>
      <c r="F3296">
        <v>1760</v>
      </c>
      <c r="G3296">
        <v>59</v>
      </c>
      <c r="H3296" s="6">
        <f t="shared" si="259"/>
        <v>103.84</v>
      </c>
    </row>
    <row r="3297" spans="1:8" hidden="1" x14ac:dyDescent="0.3">
      <c r="A3297" s="9">
        <v>45247</v>
      </c>
      <c r="B3297" t="s">
        <v>45</v>
      </c>
      <c r="C3297" t="s">
        <v>15</v>
      </c>
      <c r="D3297" t="s">
        <v>13</v>
      </c>
      <c r="E3297" t="s">
        <v>22</v>
      </c>
      <c r="F3297">
        <v>930</v>
      </c>
      <c r="G3297">
        <v>97</v>
      </c>
      <c r="H3297" s="6">
        <f t="shared" si="259"/>
        <v>90.21</v>
      </c>
    </row>
    <row r="3298" spans="1:8" hidden="1" x14ac:dyDescent="0.3">
      <c r="A3298" s="9">
        <v>45247</v>
      </c>
      <c r="B3298" t="s">
        <v>8</v>
      </c>
      <c r="C3298" t="s">
        <v>15</v>
      </c>
      <c r="D3298" t="s">
        <v>24</v>
      </c>
      <c r="E3298" t="s">
        <v>30</v>
      </c>
      <c r="F3298">
        <v>2970</v>
      </c>
      <c r="G3298">
        <v>91</v>
      </c>
      <c r="H3298" s="6">
        <f t="shared" si="259"/>
        <v>270.27</v>
      </c>
    </row>
    <row r="3299" spans="1:8" hidden="1" x14ac:dyDescent="0.3">
      <c r="A3299" s="9">
        <v>45247</v>
      </c>
      <c r="B3299" t="s">
        <v>17</v>
      </c>
      <c r="C3299" t="s">
        <v>35</v>
      </c>
      <c r="D3299" t="s">
        <v>13</v>
      </c>
      <c r="E3299" t="s">
        <v>14</v>
      </c>
      <c r="F3299">
        <v>1320</v>
      </c>
      <c r="G3299">
        <v>33</v>
      </c>
      <c r="H3299" s="6">
        <f t="shared" si="259"/>
        <v>43.56</v>
      </c>
    </row>
    <row r="3300" spans="1:8" hidden="1" x14ac:dyDescent="0.3">
      <c r="A3300" s="13" t="s">
        <v>335</v>
      </c>
      <c r="H3300" s="6">
        <f>SUBTOTAL(9,H3292:H3299)</f>
        <v>0</v>
      </c>
    </row>
    <row r="3301" spans="1:8" hidden="1" x14ac:dyDescent="0.3">
      <c r="A3301" s="9">
        <v>45248</v>
      </c>
      <c r="B3301" t="s">
        <v>12</v>
      </c>
      <c r="C3301" t="s">
        <v>20</v>
      </c>
      <c r="D3301" t="s">
        <v>10</v>
      </c>
      <c r="E3301" t="s">
        <v>16</v>
      </c>
      <c r="F3301">
        <v>1380</v>
      </c>
      <c r="G3301">
        <v>67</v>
      </c>
      <c r="H3301" s="6">
        <f t="shared" ref="H3301:H3306" si="260">F3301*G3301/1000</f>
        <v>92.46</v>
      </c>
    </row>
    <row r="3302" spans="1:8" hidden="1" x14ac:dyDescent="0.3">
      <c r="A3302" s="9">
        <v>45248</v>
      </c>
      <c r="B3302" t="s">
        <v>8</v>
      </c>
      <c r="C3302" t="s">
        <v>20</v>
      </c>
      <c r="D3302" t="s">
        <v>24</v>
      </c>
      <c r="E3302" t="s">
        <v>32</v>
      </c>
      <c r="F3302">
        <v>1505</v>
      </c>
      <c r="G3302">
        <v>55</v>
      </c>
      <c r="H3302" s="6">
        <f t="shared" si="260"/>
        <v>82.775000000000006</v>
      </c>
    </row>
    <row r="3303" spans="1:8" hidden="1" x14ac:dyDescent="0.3">
      <c r="A3303" s="9">
        <v>45248</v>
      </c>
      <c r="B3303" t="s">
        <v>45</v>
      </c>
      <c r="C3303" t="s">
        <v>15</v>
      </c>
      <c r="D3303" t="s">
        <v>13</v>
      </c>
      <c r="E3303" t="s">
        <v>38</v>
      </c>
      <c r="F3303">
        <v>2400</v>
      </c>
      <c r="G3303">
        <v>11</v>
      </c>
      <c r="H3303" s="6">
        <f t="shared" si="260"/>
        <v>26.4</v>
      </c>
    </row>
    <row r="3304" spans="1:8" hidden="1" x14ac:dyDescent="0.3">
      <c r="A3304" s="9">
        <v>45248</v>
      </c>
      <c r="B3304" t="s">
        <v>8</v>
      </c>
      <c r="C3304" t="s">
        <v>15</v>
      </c>
      <c r="D3304" t="s">
        <v>24</v>
      </c>
      <c r="E3304" t="s">
        <v>32</v>
      </c>
      <c r="F3304">
        <v>1505</v>
      </c>
      <c r="G3304">
        <v>53</v>
      </c>
      <c r="H3304" s="6">
        <f t="shared" si="260"/>
        <v>79.765000000000001</v>
      </c>
    </row>
    <row r="3305" spans="1:8" hidden="1" x14ac:dyDescent="0.3">
      <c r="A3305" s="9">
        <v>45248</v>
      </c>
      <c r="B3305" t="s">
        <v>8</v>
      </c>
      <c r="C3305" t="s">
        <v>15</v>
      </c>
      <c r="D3305" t="s">
        <v>24</v>
      </c>
      <c r="E3305" t="s">
        <v>36</v>
      </c>
      <c r="F3305">
        <v>2460</v>
      </c>
      <c r="G3305">
        <v>82</v>
      </c>
      <c r="H3305" s="6">
        <f t="shared" si="260"/>
        <v>201.72</v>
      </c>
    </row>
    <row r="3306" spans="1:8" hidden="1" x14ac:dyDescent="0.3">
      <c r="A3306" s="9">
        <v>45248</v>
      </c>
      <c r="B3306" t="s">
        <v>12</v>
      </c>
      <c r="C3306" t="s">
        <v>33</v>
      </c>
      <c r="D3306" t="s">
        <v>10</v>
      </c>
      <c r="E3306" t="s">
        <v>11</v>
      </c>
      <c r="F3306">
        <v>705</v>
      </c>
      <c r="G3306">
        <v>62</v>
      </c>
      <c r="H3306" s="6">
        <f t="shared" si="260"/>
        <v>43.71</v>
      </c>
    </row>
    <row r="3307" spans="1:8" hidden="1" x14ac:dyDescent="0.3">
      <c r="A3307" s="13" t="s">
        <v>336</v>
      </c>
      <c r="H3307" s="6">
        <f>SUBTOTAL(9,H3301:H3306)</f>
        <v>0</v>
      </c>
    </row>
    <row r="3308" spans="1:8" hidden="1" x14ac:dyDescent="0.3">
      <c r="A3308" s="9">
        <v>45249</v>
      </c>
      <c r="B3308" t="s">
        <v>12</v>
      </c>
      <c r="C3308" t="s">
        <v>20</v>
      </c>
      <c r="D3308" t="s">
        <v>18</v>
      </c>
      <c r="E3308" t="s">
        <v>28</v>
      </c>
      <c r="F3308">
        <v>690</v>
      </c>
      <c r="G3308">
        <v>82</v>
      </c>
      <c r="H3308" s="6">
        <f t="shared" ref="H3308:H3320" si="261">F3308*G3308/1000</f>
        <v>56.58</v>
      </c>
    </row>
    <row r="3309" spans="1:8" hidden="1" x14ac:dyDescent="0.3">
      <c r="A3309" s="9">
        <v>45249</v>
      </c>
      <c r="B3309" t="s">
        <v>17</v>
      </c>
      <c r="C3309" t="s">
        <v>20</v>
      </c>
      <c r="D3309" t="s">
        <v>13</v>
      </c>
      <c r="E3309" t="s">
        <v>43</v>
      </c>
      <c r="F3309">
        <v>1420</v>
      </c>
      <c r="G3309">
        <v>25</v>
      </c>
      <c r="H3309" s="6">
        <f t="shared" si="261"/>
        <v>35.5</v>
      </c>
    </row>
    <row r="3310" spans="1:8" hidden="1" x14ac:dyDescent="0.3">
      <c r="A3310" s="9">
        <v>45249</v>
      </c>
      <c r="B3310" t="s">
        <v>8</v>
      </c>
      <c r="C3310" t="s">
        <v>20</v>
      </c>
      <c r="D3310" t="s">
        <v>24</v>
      </c>
      <c r="E3310" t="s">
        <v>42</v>
      </c>
      <c r="F3310">
        <v>3205</v>
      </c>
      <c r="G3310">
        <v>97</v>
      </c>
      <c r="H3310" s="6">
        <f t="shared" si="261"/>
        <v>310.88499999999999</v>
      </c>
    </row>
    <row r="3311" spans="1:8" hidden="1" x14ac:dyDescent="0.3">
      <c r="A3311" s="9">
        <v>45249</v>
      </c>
      <c r="B3311" t="s">
        <v>45</v>
      </c>
      <c r="C3311" t="s">
        <v>9</v>
      </c>
      <c r="D3311" t="s">
        <v>10</v>
      </c>
      <c r="E3311" t="s">
        <v>41</v>
      </c>
      <c r="F3311">
        <v>650</v>
      </c>
      <c r="G3311">
        <v>88</v>
      </c>
      <c r="H3311" s="6">
        <f t="shared" si="261"/>
        <v>57.2</v>
      </c>
    </row>
    <row r="3312" spans="1:8" hidden="1" x14ac:dyDescent="0.3">
      <c r="A3312" s="9">
        <v>45249</v>
      </c>
      <c r="B3312" t="s">
        <v>12</v>
      </c>
      <c r="C3312" t="s">
        <v>26</v>
      </c>
      <c r="D3312" t="s">
        <v>10</v>
      </c>
      <c r="E3312" t="s">
        <v>16</v>
      </c>
      <c r="F3312">
        <v>1380</v>
      </c>
      <c r="G3312">
        <v>78</v>
      </c>
      <c r="H3312" s="6">
        <f t="shared" si="261"/>
        <v>107.64</v>
      </c>
    </row>
    <row r="3313" spans="1:8" hidden="1" x14ac:dyDescent="0.3">
      <c r="A3313" s="9">
        <v>45249</v>
      </c>
      <c r="B3313" t="s">
        <v>45</v>
      </c>
      <c r="C3313" t="s">
        <v>26</v>
      </c>
      <c r="D3313" t="s">
        <v>13</v>
      </c>
      <c r="E3313" t="s">
        <v>43</v>
      </c>
      <c r="F3313">
        <v>1420</v>
      </c>
      <c r="G3313">
        <v>72</v>
      </c>
      <c r="H3313" s="6">
        <f t="shared" si="261"/>
        <v>102.24</v>
      </c>
    </row>
    <row r="3314" spans="1:8" hidden="1" x14ac:dyDescent="0.3">
      <c r="A3314" s="9">
        <v>45249</v>
      </c>
      <c r="B3314" t="s">
        <v>45</v>
      </c>
      <c r="C3314" t="s">
        <v>15</v>
      </c>
      <c r="D3314" t="s">
        <v>10</v>
      </c>
      <c r="E3314" t="s">
        <v>11</v>
      </c>
      <c r="F3314">
        <v>705</v>
      </c>
      <c r="G3314">
        <v>85</v>
      </c>
      <c r="H3314" s="6">
        <f t="shared" si="261"/>
        <v>59.924999999999997</v>
      </c>
    </row>
    <row r="3315" spans="1:8" hidden="1" x14ac:dyDescent="0.3">
      <c r="A3315" s="9">
        <v>45249</v>
      </c>
      <c r="B3315" t="s">
        <v>8</v>
      </c>
      <c r="C3315" t="s">
        <v>15</v>
      </c>
      <c r="D3315" t="s">
        <v>10</v>
      </c>
      <c r="E3315" t="s">
        <v>11</v>
      </c>
      <c r="F3315">
        <v>705</v>
      </c>
      <c r="G3315">
        <v>8</v>
      </c>
      <c r="H3315" s="6">
        <f t="shared" si="261"/>
        <v>5.64</v>
      </c>
    </row>
    <row r="3316" spans="1:8" hidden="1" x14ac:dyDescent="0.3">
      <c r="A3316" s="9">
        <v>45249</v>
      </c>
      <c r="B3316" t="s">
        <v>45</v>
      </c>
      <c r="C3316" t="s">
        <v>33</v>
      </c>
      <c r="D3316" t="s">
        <v>10</v>
      </c>
      <c r="E3316" t="s">
        <v>16</v>
      </c>
      <c r="F3316">
        <v>1380</v>
      </c>
      <c r="G3316">
        <v>30</v>
      </c>
      <c r="H3316" s="6">
        <f t="shared" si="261"/>
        <v>41.4</v>
      </c>
    </row>
    <row r="3317" spans="1:8" hidden="1" x14ac:dyDescent="0.3">
      <c r="A3317" s="9">
        <v>45249</v>
      </c>
      <c r="B3317" t="s">
        <v>8</v>
      </c>
      <c r="C3317" t="s">
        <v>33</v>
      </c>
      <c r="D3317" t="s">
        <v>13</v>
      </c>
      <c r="E3317" t="s">
        <v>22</v>
      </c>
      <c r="F3317">
        <v>930</v>
      </c>
      <c r="G3317">
        <v>12</v>
      </c>
      <c r="H3317" s="6">
        <f t="shared" si="261"/>
        <v>11.16</v>
      </c>
    </row>
    <row r="3318" spans="1:8" hidden="1" x14ac:dyDescent="0.3">
      <c r="A3318" s="9">
        <v>45249</v>
      </c>
      <c r="B3318" t="s">
        <v>45</v>
      </c>
      <c r="C3318" t="s">
        <v>33</v>
      </c>
      <c r="D3318" t="s">
        <v>24</v>
      </c>
      <c r="E3318" t="s">
        <v>34</v>
      </c>
      <c r="F3318">
        <v>1670</v>
      </c>
      <c r="G3318">
        <v>31</v>
      </c>
      <c r="H3318" s="6">
        <f t="shared" si="261"/>
        <v>51.77</v>
      </c>
    </row>
    <row r="3319" spans="1:8" hidden="1" x14ac:dyDescent="0.3">
      <c r="A3319" s="9">
        <v>45249</v>
      </c>
      <c r="B3319" t="s">
        <v>45</v>
      </c>
      <c r="C3319" t="s">
        <v>33</v>
      </c>
      <c r="D3319" t="s">
        <v>24</v>
      </c>
      <c r="E3319" t="s">
        <v>42</v>
      </c>
      <c r="F3319">
        <v>3205</v>
      </c>
      <c r="G3319">
        <v>54</v>
      </c>
      <c r="H3319" s="6">
        <f t="shared" si="261"/>
        <v>173.07</v>
      </c>
    </row>
    <row r="3320" spans="1:8" hidden="1" x14ac:dyDescent="0.3">
      <c r="A3320" s="9">
        <v>45249</v>
      </c>
      <c r="B3320" t="s">
        <v>17</v>
      </c>
      <c r="C3320" t="s">
        <v>35</v>
      </c>
      <c r="D3320" t="s">
        <v>10</v>
      </c>
      <c r="E3320" t="s">
        <v>16</v>
      </c>
      <c r="F3320">
        <v>1380</v>
      </c>
      <c r="G3320">
        <v>9</v>
      </c>
      <c r="H3320" s="6">
        <f t="shared" si="261"/>
        <v>12.42</v>
      </c>
    </row>
    <row r="3321" spans="1:8" hidden="1" x14ac:dyDescent="0.3">
      <c r="A3321" s="13" t="s">
        <v>337</v>
      </c>
      <c r="H3321" s="6">
        <f>SUBTOTAL(9,H3308:H3320)</f>
        <v>0</v>
      </c>
    </row>
    <row r="3322" spans="1:8" hidden="1" x14ac:dyDescent="0.3">
      <c r="A3322" s="9">
        <v>45250</v>
      </c>
      <c r="B3322" t="s">
        <v>12</v>
      </c>
      <c r="C3322" t="s">
        <v>9</v>
      </c>
      <c r="D3322" t="s">
        <v>18</v>
      </c>
      <c r="E3322" t="s">
        <v>28</v>
      </c>
      <c r="F3322">
        <v>690</v>
      </c>
      <c r="G3322">
        <v>31</v>
      </c>
      <c r="H3322" s="6">
        <f t="shared" ref="H3322:H3327" si="262">F3322*G3322/1000</f>
        <v>21.39</v>
      </c>
    </row>
    <row r="3323" spans="1:8" hidden="1" x14ac:dyDescent="0.3">
      <c r="A3323" s="9">
        <v>45250</v>
      </c>
      <c r="B3323" t="s">
        <v>8</v>
      </c>
      <c r="C3323" t="s">
        <v>26</v>
      </c>
      <c r="D3323" t="s">
        <v>13</v>
      </c>
      <c r="E3323" t="s">
        <v>44</v>
      </c>
      <c r="F3323">
        <v>2540</v>
      </c>
      <c r="G3323">
        <v>9</v>
      </c>
      <c r="H3323" s="6">
        <f t="shared" si="262"/>
        <v>22.86</v>
      </c>
    </row>
    <row r="3324" spans="1:8" hidden="1" x14ac:dyDescent="0.3">
      <c r="A3324" s="9">
        <v>45250</v>
      </c>
      <c r="B3324" t="s">
        <v>12</v>
      </c>
      <c r="C3324" t="s">
        <v>15</v>
      </c>
      <c r="D3324" t="s">
        <v>10</v>
      </c>
      <c r="E3324" t="s">
        <v>16</v>
      </c>
      <c r="F3324">
        <v>1380</v>
      </c>
      <c r="G3324">
        <v>25</v>
      </c>
      <c r="H3324" s="6">
        <f t="shared" si="262"/>
        <v>34.5</v>
      </c>
    </row>
    <row r="3325" spans="1:8" hidden="1" x14ac:dyDescent="0.3">
      <c r="A3325" s="9">
        <v>45250</v>
      </c>
      <c r="B3325" t="s">
        <v>8</v>
      </c>
      <c r="C3325" t="s">
        <v>15</v>
      </c>
      <c r="D3325" t="s">
        <v>10</v>
      </c>
      <c r="E3325" t="s">
        <v>16</v>
      </c>
      <c r="F3325">
        <v>1380</v>
      </c>
      <c r="G3325">
        <v>66</v>
      </c>
      <c r="H3325" s="6">
        <f t="shared" si="262"/>
        <v>91.08</v>
      </c>
    </row>
    <row r="3326" spans="1:8" hidden="1" x14ac:dyDescent="0.3">
      <c r="A3326" s="9">
        <v>45250</v>
      </c>
      <c r="B3326" t="s">
        <v>8</v>
      </c>
      <c r="C3326" t="s">
        <v>15</v>
      </c>
      <c r="D3326" t="s">
        <v>18</v>
      </c>
      <c r="E3326" t="s">
        <v>37</v>
      </c>
      <c r="F3326">
        <v>890</v>
      </c>
      <c r="G3326">
        <v>47</v>
      </c>
      <c r="H3326" s="6">
        <f t="shared" si="262"/>
        <v>41.83</v>
      </c>
    </row>
    <row r="3327" spans="1:8" hidden="1" x14ac:dyDescent="0.3">
      <c r="A3327" s="9">
        <v>45250</v>
      </c>
      <c r="B3327" t="s">
        <v>17</v>
      </c>
      <c r="C3327" t="s">
        <v>33</v>
      </c>
      <c r="D3327" t="s">
        <v>24</v>
      </c>
      <c r="E3327" t="s">
        <v>36</v>
      </c>
      <c r="F3327">
        <v>2460</v>
      </c>
      <c r="G3327">
        <v>79</v>
      </c>
      <c r="H3327" s="6">
        <f t="shared" si="262"/>
        <v>194.34</v>
      </c>
    </row>
    <row r="3328" spans="1:8" hidden="1" x14ac:dyDescent="0.3">
      <c r="A3328" s="13" t="s">
        <v>338</v>
      </c>
      <c r="H3328" s="6">
        <f>SUBTOTAL(9,H3322:H3327)</f>
        <v>0</v>
      </c>
    </row>
    <row r="3329" spans="1:8" hidden="1" x14ac:dyDescent="0.3">
      <c r="A3329" s="9">
        <v>45251</v>
      </c>
      <c r="B3329" t="s">
        <v>17</v>
      </c>
      <c r="C3329" t="s">
        <v>20</v>
      </c>
      <c r="D3329" t="s">
        <v>18</v>
      </c>
      <c r="E3329" t="s">
        <v>28</v>
      </c>
      <c r="F3329">
        <v>690</v>
      </c>
      <c r="G3329">
        <v>90</v>
      </c>
      <c r="H3329" s="6">
        <f t="shared" ref="H3329:H3342" si="263">F3329*G3329/1000</f>
        <v>62.1</v>
      </c>
    </row>
    <row r="3330" spans="1:8" hidden="1" x14ac:dyDescent="0.3">
      <c r="A3330" s="9">
        <v>45251</v>
      </c>
      <c r="B3330" t="s">
        <v>45</v>
      </c>
      <c r="C3330" t="s">
        <v>20</v>
      </c>
      <c r="D3330" t="s">
        <v>18</v>
      </c>
      <c r="E3330" t="s">
        <v>31</v>
      </c>
      <c r="F3330">
        <v>715</v>
      </c>
      <c r="G3330">
        <v>20</v>
      </c>
      <c r="H3330" s="6">
        <f t="shared" si="263"/>
        <v>14.3</v>
      </c>
    </row>
    <row r="3331" spans="1:8" hidden="1" x14ac:dyDescent="0.3">
      <c r="A3331" s="9">
        <v>45251</v>
      </c>
      <c r="B3331" t="s">
        <v>12</v>
      </c>
      <c r="C3331" t="s">
        <v>20</v>
      </c>
      <c r="D3331" t="s">
        <v>13</v>
      </c>
      <c r="E3331" t="s">
        <v>38</v>
      </c>
      <c r="F3331">
        <v>2400</v>
      </c>
      <c r="G3331">
        <v>81</v>
      </c>
      <c r="H3331" s="6">
        <f t="shared" si="263"/>
        <v>194.4</v>
      </c>
    </row>
    <row r="3332" spans="1:8" hidden="1" x14ac:dyDescent="0.3">
      <c r="A3332" s="9">
        <v>45251</v>
      </c>
      <c r="B3332" t="s">
        <v>17</v>
      </c>
      <c r="C3332" t="s">
        <v>9</v>
      </c>
      <c r="D3332" t="s">
        <v>10</v>
      </c>
      <c r="E3332" t="s">
        <v>39</v>
      </c>
      <c r="F3332">
        <v>650</v>
      </c>
      <c r="G3332">
        <v>81</v>
      </c>
      <c r="H3332" s="6">
        <f t="shared" si="263"/>
        <v>52.65</v>
      </c>
    </row>
    <row r="3333" spans="1:8" hidden="1" x14ac:dyDescent="0.3">
      <c r="A3333" s="9">
        <v>45251</v>
      </c>
      <c r="B3333" t="s">
        <v>45</v>
      </c>
      <c r="C3333" t="s">
        <v>9</v>
      </c>
      <c r="D3333" t="s">
        <v>18</v>
      </c>
      <c r="E3333" t="s">
        <v>21</v>
      </c>
      <c r="F3333">
        <v>450</v>
      </c>
      <c r="G3333">
        <v>79</v>
      </c>
      <c r="H3333" s="6">
        <f t="shared" si="263"/>
        <v>35.549999999999997</v>
      </c>
    </row>
    <row r="3334" spans="1:8" hidden="1" x14ac:dyDescent="0.3">
      <c r="A3334" s="9">
        <v>45251</v>
      </c>
      <c r="B3334" t="s">
        <v>45</v>
      </c>
      <c r="C3334" t="s">
        <v>9</v>
      </c>
      <c r="D3334" t="s">
        <v>13</v>
      </c>
      <c r="E3334" t="s">
        <v>38</v>
      </c>
      <c r="F3334">
        <v>2400</v>
      </c>
      <c r="G3334">
        <v>84</v>
      </c>
      <c r="H3334" s="6">
        <f t="shared" si="263"/>
        <v>201.6</v>
      </c>
    </row>
    <row r="3335" spans="1:8" hidden="1" x14ac:dyDescent="0.3">
      <c r="A3335" s="9">
        <v>45251</v>
      </c>
      <c r="B3335" t="s">
        <v>12</v>
      </c>
      <c r="C3335" t="s">
        <v>9</v>
      </c>
      <c r="D3335" t="s">
        <v>24</v>
      </c>
      <c r="E3335" t="s">
        <v>30</v>
      </c>
      <c r="F3335">
        <v>2970</v>
      </c>
      <c r="G3335">
        <v>36</v>
      </c>
      <c r="H3335" s="6">
        <f t="shared" si="263"/>
        <v>106.92</v>
      </c>
    </row>
    <row r="3336" spans="1:8" hidden="1" x14ac:dyDescent="0.3">
      <c r="A3336" s="9">
        <v>45251</v>
      </c>
      <c r="B3336" t="s">
        <v>45</v>
      </c>
      <c r="C3336" t="s">
        <v>26</v>
      </c>
      <c r="D3336" t="s">
        <v>10</v>
      </c>
      <c r="E3336" t="s">
        <v>16</v>
      </c>
      <c r="F3336">
        <v>1380</v>
      </c>
      <c r="G3336">
        <v>70</v>
      </c>
      <c r="H3336" s="6">
        <f t="shared" si="263"/>
        <v>96.6</v>
      </c>
    </row>
    <row r="3337" spans="1:8" hidden="1" x14ac:dyDescent="0.3">
      <c r="A3337" s="9">
        <v>45251</v>
      </c>
      <c r="B3337" t="s">
        <v>45</v>
      </c>
      <c r="C3337" t="s">
        <v>26</v>
      </c>
      <c r="D3337" t="s">
        <v>24</v>
      </c>
      <c r="E3337" t="s">
        <v>36</v>
      </c>
      <c r="F3337">
        <v>2460</v>
      </c>
      <c r="G3337">
        <v>62</v>
      </c>
      <c r="H3337" s="6">
        <f t="shared" si="263"/>
        <v>152.52000000000001</v>
      </c>
    </row>
    <row r="3338" spans="1:8" hidden="1" x14ac:dyDescent="0.3">
      <c r="A3338" s="9">
        <v>45251</v>
      </c>
      <c r="B3338" t="s">
        <v>45</v>
      </c>
      <c r="C3338" t="s">
        <v>15</v>
      </c>
      <c r="D3338" t="s">
        <v>13</v>
      </c>
      <c r="E3338" t="s">
        <v>43</v>
      </c>
      <c r="F3338">
        <v>1420</v>
      </c>
      <c r="G3338">
        <v>62</v>
      </c>
      <c r="H3338" s="6">
        <f t="shared" si="263"/>
        <v>88.04</v>
      </c>
    </row>
    <row r="3339" spans="1:8" hidden="1" x14ac:dyDescent="0.3">
      <c r="A3339" s="9">
        <v>45251</v>
      </c>
      <c r="B3339" t="s">
        <v>45</v>
      </c>
      <c r="C3339" t="s">
        <v>15</v>
      </c>
      <c r="D3339" t="s">
        <v>13</v>
      </c>
      <c r="E3339" t="s">
        <v>44</v>
      </c>
      <c r="F3339">
        <v>2540</v>
      </c>
      <c r="G3339">
        <v>63</v>
      </c>
      <c r="H3339" s="6">
        <f t="shared" si="263"/>
        <v>160.02000000000001</v>
      </c>
    </row>
    <row r="3340" spans="1:8" hidden="1" x14ac:dyDescent="0.3">
      <c r="A3340" s="9">
        <v>45251</v>
      </c>
      <c r="B3340" t="s">
        <v>45</v>
      </c>
      <c r="C3340" t="s">
        <v>15</v>
      </c>
      <c r="D3340" t="s">
        <v>24</v>
      </c>
      <c r="E3340" t="s">
        <v>36</v>
      </c>
      <c r="F3340">
        <v>2460</v>
      </c>
      <c r="G3340">
        <v>70</v>
      </c>
      <c r="H3340" s="6">
        <f t="shared" si="263"/>
        <v>172.2</v>
      </c>
    </row>
    <row r="3341" spans="1:8" hidden="1" x14ac:dyDescent="0.3">
      <c r="A3341" s="9">
        <v>45251</v>
      </c>
      <c r="B3341" t="s">
        <v>45</v>
      </c>
      <c r="C3341" t="s">
        <v>33</v>
      </c>
      <c r="D3341" t="s">
        <v>18</v>
      </c>
      <c r="E3341" t="s">
        <v>31</v>
      </c>
      <c r="F3341">
        <v>715</v>
      </c>
      <c r="G3341">
        <v>55</v>
      </c>
      <c r="H3341" s="6">
        <f t="shared" si="263"/>
        <v>39.325000000000003</v>
      </c>
    </row>
    <row r="3342" spans="1:8" hidden="1" x14ac:dyDescent="0.3">
      <c r="A3342" s="9">
        <v>45251</v>
      </c>
      <c r="B3342" t="s">
        <v>17</v>
      </c>
      <c r="C3342" t="s">
        <v>35</v>
      </c>
      <c r="D3342" t="s">
        <v>13</v>
      </c>
      <c r="E3342" t="s">
        <v>14</v>
      </c>
      <c r="F3342">
        <v>1320</v>
      </c>
      <c r="G3342">
        <v>39</v>
      </c>
      <c r="H3342" s="6">
        <f t="shared" si="263"/>
        <v>51.48</v>
      </c>
    </row>
    <row r="3343" spans="1:8" hidden="1" x14ac:dyDescent="0.3">
      <c r="A3343" s="13" t="s">
        <v>339</v>
      </c>
      <c r="H3343" s="6">
        <f>SUBTOTAL(9,H3329:H3342)</f>
        <v>0</v>
      </c>
    </row>
    <row r="3344" spans="1:8" hidden="1" x14ac:dyDescent="0.3">
      <c r="A3344" s="9">
        <v>45252</v>
      </c>
      <c r="B3344" t="s">
        <v>8</v>
      </c>
      <c r="C3344" t="s">
        <v>20</v>
      </c>
      <c r="D3344" t="s">
        <v>10</v>
      </c>
      <c r="E3344" t="s">
        <v>11</v>
      </c>
      <c r="F3344">
        <v>705</v>
      </c>
      <c r="G3344">
        <v>34</v>
      </c>
      <c r="H3344" s="6">
        <f t="shared" ref="H3344:H3354" si="264">F3344*G3344/1000</f>
        <v>23.97</v>
      </c>
    </row>
    <row r="3345" spans="1:8" hidden="1" x14ac:dyDescent="0.3">
      <c r="A3345" s="9">
        <v>45252</v>
      </c>
      <c r="B3345" t="s">
        <v>17</v>
      </c>
      <c r="C3345" t="s">
        <v>9</v>
      </c>
      <c r="D3345" t="s">
        <v>13</v>
      </c>
      <c r="E3345" t="s">
        <v>38</v>
      </c>
      <c r="F3345">
        <v>2400</v>
      </c>
      <c r="G3345">
        <v>43</v>
      </c>
      <c r="H3345" s="6">
        <f t="shared" si="264"/>
        <v>103.2</v>
      </c>
    </row>
    <row r="3346" spans="1:8" hidden="1" x14ac:dyDescent="0.3">
      <c r="A3346" s="9">
        <v>45252</v>
      </c>
      <c r="B3346" t="s">
        <v>12</v>
      </c>
      <c r="C3346" t="s">
        <v>9</v>
      </c>
      <c r="D3346" t="s">
        <v>24</v>
      </c>
      <c r="E3346" t="s">
        <v>32</v>
      </c>
      <c r="F3346">
        <v>1505</v>
      </c>
      <c r="G3346">
        <v>6</v>
      </c>
      <c r="H3346" s="6">
        <f t="shared" si="264"/>
        <v>9.0299999999999994</v>
      </c>
    </row>
    <row r="3347" spans="1:8" hidden="1" x14ac:dyDescent="0.3">
      <c r="A3347" s="9">
        <v>45252</v>
      </c>
      <c r="B3347" t="s">
        <v>17</v>
      </c>
      <c r="C3347" t="s">
        <v>26</v>
      </c>
      <c r="D3347" t="s">
        <v>10</v>
      </c>
      <c r="E3347" t="s">
        <v>11</v>
      </c>
      <c r="F3347">
        <v>705</v>
      </c>
      <c r="G3347">
        <v>23</v>
      </c>
      <c r="H3347" s="6">
        <f t="shared" si="264"/>
        <v>16.215</v>
      </c>
    </row>
    <row r="3348" spans="1:8" hidden="1" x14ac:dyDescent="0.3">
      <c r="A3348" s="9">
        <v>45252</v>
      </c>
      <c r="B3348" t="s">
        <v>12</v>
      </c>
      <c r="C3348" t="s">
        <v>26</v>
      </c>
      <c r="D3348" t="s">
        <v>18</v>
      </c>
      <c r="E3348" t="s">
        <v>19</v>
      </c>
      <c r="F3348">
        <v>325</v>
      </c>
      <c r="G3348">
        <v>88</v>
      </c>
      <c r="H3348" s="6">
        <f t="shared" si="264"/>
        <v>28.6</v>
      </c>
    </row>
    <row r="3349" spans="1:8" hidden="1" x14ac:dyDescent="0.3">
      <c r="A3349" s="9">
        <v>45252</v>
      </c>
      <c r="B3349" t="s">
        <v>17</v>
      </c>
      <c r="C3349" t="s">
        <v>26</v>
      </c>
      <c r="D3349" t="s">
        <v>24</v>
      </c>
      <c r="E3349" t="s">
        <v>32</v>
      </c>
      <c r="F3349">
        <v>1505</v>
      </c>
      <c r="G3349">
        <v>92</v>
      </c>
      <c r="H3349" s="6">
        <f t="shared" si="264"/>
        <v>138.46</v>
      </c>
    </row>
    <row r="3350" spans="1:8" hidden="1" x14ac:dyDescent="0.3">
      <c r="A3350" s="9">
        <v>45252</v>
      </c>
      <c r="B3350" t="s">
        <v>45</v>
      </c>
      <c r="C3350" t="s">
        <v>15</v>
      </c>
      <c r="D3350" t="s">
        <v>10</v>
      </c>
      <c r="E3350" t="s">
        <v>39</v>
      </c>
      <c r="F3350">
        <v>650</v>
      </c>
      <c r="G3350">
        <v>93</v>
      </c>
      <c r="H3350" s="6">
        <f t="shared" si="264"/>
        <v>60.45</v>
      </c>
    </row>
    <row r="3351" spans="1:8" hidden="1" x14ac:dyDescent="0.3">
      <c r="A3351" s="9">
        <v>45252</v>
      </c>
      <c r="B3351" t="s">
        <v>8</v>
      </c>
      <c r="C3351" t="s">
        <v>15</v>
      </c>
      <c r="D3351" t="s">
        <v>18</v>
      </c>
      <c r="E3351" t="s">
        <v>19</v>
      </c>
      <c r="F3351">
        <v>325</v>
      </c>
      <c r="G3351">
        <v>48</v>
      </c>
      <c r="H3351" s="6">
        <f t="shared" si="264"/>
        <v>15.6</v>
      </c>
    </row>
    <row r="3352" spans="1:8" hidden="1" x14ac:dyDescent="0.3">
      <c r="A3352" s="9">
        <v>45252</v>
      </c>
      <c r="B3352" t="s">
        <v>8</v>
      </c>
      <c r="C3352" t="s">
        <v>33</v>
      </c>
      <c r="D3352" t="s">
        <v>10</v>
      </c>
      <c r="E3352" t="s">
        <v>11</v>
      </c>
      <c r="F3352">
        <v>705</v>
      </c>
      <c r="G3352">
        <v>53</v>
      </c>
      <c r="H3352" s="6">
        <f t="shared" si="264"/>
        <v>37.365000000000002</v>
      </c>
    </row>
    <row r="3353" spans="1:8" hidden="1" x14ac:dyDescent="0.3">
      <c r="A3353" s="9">
        <v>45252</v>
      </c>
      <c r="B3353" t="s">
        <v>8</v>
      </c>
      <c r="C3353" t="s">
        <v>33</v>
      </c>
      <c r="D3353" t="s">
        <v>13</v>
      </c>
      <c r="E3353" t="s">
        <v>43</v>
      </c>
      <c r="F3353">
        <v>1420</v>
      </c>
      <c r="G3353">
        <v>64</v>
      </c>
      <c r="H3353" s="6">
        <f t="shared" si="264"/>
        <v>90.88</v>
      </c>
    </row>
    <row r="3354" spans="1:8" x14ac:dyDescent="0.3">
      <c r="A3354" s="9">
        <v>45252</v>
      </c>
      <c r="B3354" t="s">
        <v>45</v>
      </c>
      <c r="C3354" t="s">
        <v>35</v>
      </c>
      <c r="D3354" t="s">
        <v>13</v>
      </c>
      <c r="E3354" t="s">
        <v>29</v>
      </c>
      <c r="F3354">
        <v>1230</v>
      </c>
      <c r="G3354">
        <v>22</v>
      </c>
      <c r="H3354" s="6">
        <f t="shared" si="264"/>
        <v>27.06</v>
      </c>
    </row>
    <row r="3355" spans="1:8" hidden="1" x14ac:dyDescent="0.3">
      <c r="A3355" s="13" t="s">
        <v>340</v>
      </c>
      <c r="H3355" s="6">
        <f>SUBTOTAL(9,H3344:H3354)</f>
        <v>27.06</v>
      </c>
    </row>
    <row r="3356" spans="1:8" hidden="1" x14ac:dyDescent="0.3">
      <c r="A3356" s="9">
        <v>45253</v>
      </c>
      <c r="B3356" t="s">
        <v>45</v>
      </c>
      <c r="C3356" t="s">
        <v>20</v>
      </c>
      <c r="D3356" t="s">
        <v>18</v>
      </c>
      <c r="E3356" t="s">
        <v>28</v>
      </c>
      <c r="F3356">
        <v>690</v>
      </c>
      <c r="G3356">
        <v>89</v>
      </c>
      <c r="H3356" s="6">
        <f t="shared" ref="H3356:H3362" si="265">F3356*G3356/1000</f>
        <v>61.41</v>
      </c>
    </row>
    <row r="3357" spans="1:8" hidden="1" x14ac:dyDescent="0.3">
      <c r="A3357" s="9">
        <v>45253</v>
      </c>
      <c r="B3357" t="s">
        <v>17</v>
      </c>
      <c r="C3357" t="s">
        <v>26</v>
      </c>
      <c r="D3357" t="s">
        <v>10</v>
      </c>
      <c r="E3357" t="s">
        <v>23</v>
      </c>
      <c r="F3357">
        <v>640</v>
      </c>
      <c r="G3357">
        <v>38</v>
      </c>
      <c r="H3357" s="6">
        <f t="shared" si="265"/>
        <v>24.32</v>
      </c>
    </row>
    <row r="3358" spans="1:8" hidden="1" x14ac:dyDescent="0.3">
      <c r="A3358" s="9">
        <v>45253</v>
      </c>
      <c r="B3358" t="s">
        <v>8</v>
      </c>
      <c r="C3358" t="s">
        <v>15</v>
      </c>
      <c r="D3358" t="s">
        <v>10</v>
      </c>
      <c r="E3358" t="s">
        <v>11</v>
      </c>
      <c r="F3358">
        <v>705</v>
      </c>
      <c r="G3358">
        <v>37</v>
      </c>
      <c r="H3358" s="6">
        <f t="shared" si="265"/>
        <v>26.085000000000001</v>
      </c>
    </row>
    <row r="3359" spans="1:8" hidden="1" x14ac:dyDescent="0.3">
      <c r="A3359" s="9">
        <v>45253</v>
      </c>
      <c r="B3359" t="s">
        <v>17</v>
      </c>
      <c r="C3359" t="s">
        <v>15</v>
      </c>
      <c r="D3359" t="s">
        <v>18</v>
      </c>
      <c r="E3359" t="s">
        <v>19</v>
      </c>
      <c r="F3359">
        <v>325</v>
      </c>
      <c r="G3359">
        <v>75</v>
      </c>
      <c r="H3359" s="6">
        <f t="shared" si="265"/>
        <v>24.375</v>
      </c>
    </row>
    <row r="3360" spans="1:8" hidden="1" x14ac:dyDescent="0.3">
      <c r="A3360" s="9">
        <v>45253</v>
      </c>
      <c r="B3360" t="s">
        <v>17</v>
      </c>
      <c r="C3360" t="s">
        <v>15</v>
      </c>
      <c r="D3360" t="s">
        <v>13</v>
      </c>
      <c r="E3360" t="s">
        <v>43</v>
      </c>
      <c r="F3360">
        <v>1420</v>
      </c>
      <c r="G3360">
        <v>95</v>
      </c>
      <c r="H3360" s="6">
        <f t="shared" si="265"/>
        <v>134.9</v>
      </c>
    </row>
    <row r="3361" spans="1:8" hidden="1" x14ac:dyDescent="0.3">
      <c r="A3361" s="9">
        <v>45253</v>
      </c>
      <c r="B3361" t="s">
        <v>8</v>
      </c>
      <c r="C3361" t="s">
        <v>33</v>
      </c>
      <c r="D3361" t="s">
        <v>10</v>
      </c>
      <c r="E3361" t="s">
        <v>16</v>
      </c>
      <c r="F3361">
        <v>1380</v>
      </c>
      <c r="G3361">
        <v>14</v>
      </c>
      <c r="H3361" s="6">
        <f t="shared" si="265"/>
        <v>19.32</v>
      </c>
    </row>
    <row r="3362" spans="1:8" hidden="1" x14ac:dyDescent="0.3">
      <c r="A3362" s="9">
        <v>45253</v>
      </c>
      <c r="B3362" t="s">
        <v>8</v>
      </c>
      <c r="C3362" t="s">
        <v>33</v>
      </c>
      <c r="D3362" t="s">
        <v>24</v>
      </c>
      <c r="E3362" t="s">
        <v>32</v>
      </c>
      <c r="F3362">
        <v>1505</v>
      </c>
      <c r="G3362">
        <v>90</v>
      </c>
      <c r="H3362" s="6">
        <f t="shared" si="265"/>
        <v>135.44999999999999</v>
      </c>
    </row>
    <row r="3363" spans="1:8" hidden="1" x14ac:dyDescent="0.3">
      <c r="A3363" s="13" t="s">
        <v>341</v>
      </c>
      <c r="H3363" s="6">
        <f>SUBTOTAL(9,H3356:H3362)</f>
        <v>0</v>
      </c>
    </row>
    <row r="3364" spans="1:8" x14ac:dyDescent="0.3">
      <c r="A3364" s="9">
        <v>45254</v>
      </c>
      <c r="B3364" t="s">
        <v>45</v>
      </c>
      <c r="C3364" t="s">
        <v>20</v>
      </c>
      <c r="D3364" t="s">
        <v>13</v>
      </c>
      <c r="E3364" t="s">
        <v>29</v>
      </c>
      <c r="F3364">
        <v>1230</v>
      </c>
      <c r="G3364">
        <v>42</v>
      </c>
      <c r="H3364" s="6">
        <f t="shared" ref="H3364:H3375" si="266">F3364*G3364/1000</f>
        <v>51.66</v>
      </c>
    </row>
    <row r="3365" spans="1:8" hidden="1" x14ac:dyDescent="0.3">
      <c r="A3365" s="9">
        <v>45254</v>
      </c>
      <c r="B3365" t="s">
        <v>17</v>
      </c>
      <c r="C3365" t="s">
        <v>9</v>
      </c>
      <c r="D3365" t="s">
        <v>13</v>
      </c>
      <c r="E3365" t="s">
        <v>29</v>
      </c>
      <c r="F3365">
        <v>1230</v>
      </c>
      <c r="G3365">
        <v>46</v>
      </c>
      <c r="H3365" s="6">
        <f t="shared" si="266"/>
        <v>56.58</v>
      </c>
    </row>
    <row r="3366" spans="1:8" hidden="1" x14ac:dyDescent="0.3">
      <c r="A3366" s="9">
        <v>45254</v>
      </c>
      <c r="B3366" t="s">
        <v>45</v>
      </c>
      <c r="C3366" t="s">
        <v>26</v>
      </c>
      <c r="D3366" t="s">
        <v>13</v>
      </c>
      <c r="E3366" t="s">
        <v>43</v>
      </c>
      <c r="F3366">
        <v>1420</v>
      </c>
      <c r="G3366">
        <v>45</v>
      </c>
      <c r="H3366" s="6">
        <f t="shared" si="266"/>
        <v>63.9</v>
      </c>
    </row>
    <row r="3367" spans="1:8" hidden="1" x14ac:dyDescent="0.3">
      <c r="A3367" s="9">
        <v>45254</v>
      </c>
      <c r="B3367" t="s">
        <v>8</v>
      </c>
      <c r="C3367" t="s">
        <v>26</v>
      </c>
      <c r="D3367" t="s">
        <v>13</v>
      </c>
      <c r="E3367" t="s">
        <v>22</v>
      </c>
      <c r="F3367">
        <v>930</v>
      </c>
      <c r="G3367">
        <v>93</v>
      </c>
      <c r="H3367" s="6">
        <f t="shared" si="266"/>
        <v>86.49</v>
      </c>
    </row>
    <row r="3368" spans="1:8" hidden="1" x14ac:dyDescent="0.3">
      <c r="A3368" s="9">
        <v>45254</v>
      </c>
      <c r="B3368" t="s">
        <v>8</v>
      </c>
      <c r="C3368" t="s">
        <v>26</v>
      </c>
      <c r="D3368" t="s">
        <v>24</v>
      </c>
      <c r="E3368" t="s">
        <v>42</v>
      </c>
      <c r="F3368">
        <v>3205</v>
      </c>
      <c r="G3368">
        <v>82</v>
      </c>
      <c r="H3368" s="6">
        <f t="shared" si="266"/>
        <v>262.81</v>
      </c>
    </row>
    <row r="3369" spans="1:8" hidden="1" x14ac:dyDescent="0.3">
      <c r="A3369" s="9">
        <v>45254</v>
      </c>
      <c r="B3369" t="s">
        <v>12</v>
      </c>
      <c r="C3369" t="s">
        <v>15</v>
      </c>
      <c r="D3369" t="s">
        <v>13</v>
      </c>
      <c r="E3369" t="s">
        <v>44</v>
      </c>
      <c r="F3369">
        <v>2540</v>
      </c>
      <c r="G3369">
        <v>48</v>
      </c>
      <c r="H3369" s="6">
        <f t="shared" si="266"/>
        <v>121.92</v>
      </c>
    </row>
    <row r="3370" spans="1:8" hidden="1" x14ac:dyDescent="0.3">
      <c r="A3370" s="9">
        <v>45254</v>
      </c>
      <c r="B3370" t="s">
        <v>12</v>
      </c>
      <c r="C3370" t="s">
        <v>15</v>
      </c>
      <c r="D3370" t="s">
        <v>13</v>
      </c>
      <c r="E3370" t="s">
        <v>38</v>
      </c>
      <c r="F3370">
        <v>2400</v>
      </c>
      <c r="G3370">
        <v>36</v>
      </c>
      <c r="H3370" s="6">
        <f t="shared" si="266"/>
        <v>86.4</v>
      </c>
    </row>
    <row r="3371" spans="1:8" hidden="1" x14ac:dyDescent="0.3">
      <c r="A3371" s="9">
        <v>45254</v>
      </c>
      <c r="B3371" t="s">
        <v>45</v>
      </c>
      <c r="C3371" t="s">
        <v>15</v>
      </c>
      <c r="D3371" t="s">
        <v>13</v>
      </c>
      <c r="E3371" t="s">
        <v>22</v>
      </c>
      <c r="F3371">
        <v>930</v>
      </c>
      <c r="G3371">
        <v>58</v>
      </c>
      <c r="H3371" s="6">
        <f t="shared" si="266"/>
        <v>53.94</v>
      </c>
    </row>
    <row r="3372" spans="1:8" hidden="1" x14ac:dyDescent="0.3">
      <c r="A3372" s="9">
        <v>45254</v>
      </c>
      <c r="B3372" t="s">
        <v>45</v>
      </c>
      <c r="C3372" t="s">
        <v>15</v>
      </c>
      <c r="D3372" t="s">
        <v>24</v>
      </c>
      <c r="E3372" t="s">
        <v>30</v>
      </c>
      <c r="F3372">
        <v>2970</v>
      </c>
      <c r="G3372">
        <v>68</v>
      </c>
      <c r="H3372" s="6">
        <f t="shared" si="266"/>
        <v>201.96</v>
      </c>
    </row>
    <row r="3373" spans="1:8" hidden="1" x14ac:dyDescent="0.3">
      <c r="A3373" s="9">
        <v>45254</v>
      </c>
      <c r="B3373" t="s">
        <v>17</v>
      </c>
      <c r="C3373" t="s">
        <v>15</v>
      </c>
      <c r="D3373" t="s">
        <v>24</v>
      </c>
      <c r="E3373" t="s">
        <v>36</v>
      </c>
      <c r="F3373">
        <v>2460</v>
      </c>
      <c r="G3373">
        <v>28</v>
      </c>
      <c r="H3373" s="6">
        <f t="shared" si="266"/>
        <v>68.88</v>
      </c>
    </row>
    <row r="3374" spans="1:8" hidden="1" x14ac:dyDescent="0.3">
      <c r="A3374" s="9">
        <v>45254</v>
      </c>
      <c r="B3374" t="s">
        <v>12</v>
      </c>
      <c r="C3374" t="s">
        <v>33</v>
      </c>
      <c r="D3374" t="s">
        <v>24</v>
      </c>
      <c r="E3374" t="s">
        <v>32</v>
      </c>
      <c r="F3374">
        <v>1505</v>
      </c>
      <c r="G3374">
        <v>29</v>
      </c>
      <c r="H3374" s="6">
        <f t="shared" si="266"/>
        <v>43.645000000000003</v>
      </c>
    </row>
    <row r="3375" spans="1:8" hidden="1" x14ac:dyDescent="0.3">
      <c r="A3375" s="9">
        <v>45254</v>
      </c>
      <c r="B3375" t="s">
        <v>8</v>
      </c>
      <c r="C3375" t="s">
        <v>35</v>
      </c>
      <c r="D3375" t="s">
        <v>18</v>
      </c>
      <c r="E3375" t="s">
        <v>27</v>
      </c>
      <c r="F3375">
        <v>460</v>
      </c>
      <c r="G3375">
        <v>28</v>
      </c>
      <c r="H3375" s="6">
        <f t="shared" si="266"/>
        <v>12.88</v>
      </c>
    </row>
    <row r="3376" spans="1:8" hidden="1" x14ac:dyDescent="0.3">
      <c r="A3376" s="13" t="s">
        <v>342</v>
      </c>
      <c r="H3376" s="6">
        <f>SUBTOTAL(9,H3364:H3375)</f>
        <v>51.66</v>
      </c>
    </row>
    <row r="3377" spans="1:8" hidden="1" x14ac:dyDescent="0.3">
      <c r="A3377" s="9">
        <v>45255</v>
      </c>
      <c r="B3377" t="s">
        <v>8</v>
      </c>
      <c r="C3377" t="s">
        <v>20</v>
      </c>
      <c r="D3377" t="s">
        <v>10</v>
      </c>
      <c r="E3377" t="s">
        <v>39</v>
      </c>
      <c r="F3377">
        <v>650</v>
      </c>
      <c r="G3377">
        <v>40</v>
      </c>
      <c r="H3377" s="6">
        <f t="shared" ref="H3377:H3387" si="267">F3377*G3377/1000</f>
        <v>26</v>
      </c>
    </row>
    <row r="3378" spans="1:8" hidden="1" x14ac:dyDescent="0.3">
      <c r="A3378" s="9">
        <v>45255</v>
      </c>
      <c r="B3378" t="s">
        <v>45</v>
      </c>
      <c r="C3378" t="s">
        <v>9</v>
      </c>
      <c r="D3378" t="s">
        <v>24</v>
      </c>
      <c r="E3378" t="s">
        <v>30</v>
      </c>
      <c r="F3378">
        <v>2970</v>
      </c>
      <c r="G3378">
        <v>65</v>
      </c>
      <c r="H3378" s="6">
        <f t="shared" si="267"/>
        <v>193.05</v>
      </c>
    </row>
    <row r="3379" spans="1:8" hidden="1" x14ac:dyDescent="0.3">
      <c r="A3379" s="9">
        <v>45255</v>
      </c>
      <c r="B3379" t="s">
        <v>45</v>
      </c>
      <c r="C3379" t="s">
        <v>26</v>
      </c>
      <c r="D3379" t="s">
        <v>13</v>
      </c>
      <c r="E3379" t="s">
        <v>14</v>
      </c>
      <c r="F3379">
        <v>1320</v>
      </c>
      <c r="G3379">
        <v>79</v>
      </c>
      <c r="H3379" s="6">
        <f t="shared" si="267"/>
        <v>104.28</v>
      </c>
    </row>
    <row r="3380" spans="1:8" hidden="1" x14ac:dyDescent="0.3">
      <c r="A3380" s="9">
        <v>45255</v>
      </c>
      <c r="B3380" t="s">
        <v>8</v>
      </c>
      <c r="C3380" t="s">
        <v>15</v>
      </c>
      <c r="D3380" t="s">
        <v>13</v>
      </c>
      <c r="E3380" t="s">
        <v>43</v>
      </c>
      <c r="F3380">
        <v>1420</v>
      </c>
      <c r="G3380">
        <v>62</v>
      </c>
      <c r="H3380" s="6">
        <f t="shared" si="267"/>
        <v>88.04</v>
      </c>
    </row>
    <row r="3381" spans="1:8" hidden="1" x14ac:dyDescent="0.3">
      <c r="A3381" s="9">
        <v>45255</v>
      </c>
      <c r="B3381" t="s">
        <v>17</v>
      </c>
      <c r="C3381" t="s">
        <v>15</v>
      </c>
      <c r="D3381" t="s">
        <v>24</v>
      </c>
      <c r="E3381" t="s">
        <v>36</v>
      </c>
      <c r="F3381">
        <v>2460</v>
      </c>
      <c r="G3381">
        <v>51</v>
      </c>
      <c r="H3381" s="6">
        <f t="shared" si="267"/>
        <v>125.46</v>
      </c>
    </row>
    <row r="3382" spans="1:8" hidden="1" x14ac:dyDescent="0.3">
      <c r="A3382" s="9">
        <v>45255</v>
      </c>
      <c r="B3382" t="s">
        <v>45</v>
      </c>
      <c r="C3382" t="s">
        <v>15</v>
      </c>
      <c r="D3382" t="s">
        <v>24</v>
      </c>
      <c r="E3382" t="s">
        <v>32</v>
      </c>
      <c r="F3382">
        <v>1505</v>
      </c>
      <c r="G3382">
        <v>53</v>
      </c>
      <c r="H3382" s="6">
        <f t="shared" si="267"/>
        <v>79.765000000000001</v>
      </c>
    </row>
    <row r="3383" spans="1:8" hidden="1" x14ac:dyDescent="0.3">
      <c r="A3383" s="9">
        <v>45255</v>
      </c>
      <c r="B3383" t="s">
        <v>45</v>
      </c>
      <c r="C3383" t="s">
        <v>33</v>
      </c>
      <c r="D3383" t="s">
        <v>10</v>
      </c>
      <c r="E3383" t="s">
        <v>11</v>
      </c>
      <c r="F3383">
        <v>705</v>
      </c>
      <c r="G3383">
        <v>90</v>
      </c>
      <c r="H3383" s="6">
        <f t="shared" si="267"/>
        <v>63.45</v>
      </c>
    </row>
    <row r="3384" spans="1:8" hidden="1" x14ac:dyDescent="0.3">
      <c r="A3384" s="9">
        <v>45255</v>
      </c>
      <c r="B3384" t="s">
        <v>45</v>
      </c>
      <c r="C3384" t="s">
        <v>33</v>
      </c>
      <c r="D3384" t="s">
        <v>13</v>
      </c>
      <c r="E3384" t="s">
        <v>44</v>
      </c>
      <c r="F3384">
        <v>2540</v>
      </c>
      <c r="G3384">
        <v>33</v>
      </c>
      <c r="H3384" s="6">
        <f t="shared" si="267"/>
        <v>83.82</v>
      </c>
    </row>
    <row r="3385" spans="1:8" hidden="1" x14ac:dyDescent="0.3">
      <c r="A3385" s="9">
        <v>45255</v>
      </c>
      <c r="B3385" t="s">
        <v>45</v>
      </c>
      <c r="C3385" t="s">
        <v>33</v>
      </c>
      <c r="D3385" t="s">
        <v>13</v>
      </c>
      <c r="E3385" t="s">
        <v>44</v>
      </c>
      <c r="F3385">
        <v>2540</v>
      </c>
      <c r="G3385">
        <v>9</v>
      </c>
      <c r="H3385" s="6">
        <f t="shared" si="267"/>
        <v>22.86</v>
      </c>
    </row>
    <row r="3386" spans="1:8" hidden="1" x14ac:dyDescent="0.3">
      <c r="A3386" s="9">
        <v>45255</v>
      </c>
      <c r="B3386" t="s">
        <v>17</v>
      </c>
      <c r="C3386" t="s">
        <v>33</v>
      </c>
      <c r="D3386" t="s">
        <v>24</v>
      </c>
      <c r="E3386" t="s">
        <v>32</v>
      </c>
      <c r="F3386">
        <v>1505</v>
      </c>
      <c r="G3386">
        <v>53</v>
      </c>
      <c r="H3386" s="6">
        <f t="shared" si="267"/>
        <v>79.765000000000001</v>
      </c>
    </row>
    <row r="3387" spans="1:8" hidden="1" x14ac:dyDescent="0.3">
      <c r="A3387" s="9">
        <v>45255</v>
      </c>
      <c r="B3387" t="s">
        <v>8</v>
      </c>
      <c r="C3387" t="s">
        <v>35</v>
      </c>
      <c r="D3387" t="s">
        <v>18</v>
      </c>
      <c r="E3387" t="s">
        <v>31</v>
      </c>
      <c r="F3387">
        <v>715</v>
      </c>
      <c r="G3387">
        <v>95</v>
      </c>
      <c r="H3387" s="6">
        <f t="shared" si="267"/>
        <v>67.924999999999997</v>
      </c>
    </row>
    <row r="3388" spans="1:8" hidden="1" x14ac:dyDescent="0.3">
      <c r="A3388" s="13" t="s">
        <v>343</v>
      </c>
      <c r="H3388" s="6">
        <f>SUBTOTAL(9,H3377:H3387)</f>
        <v>0</v>
      </c>
    </row>
    <row r="3389" spans="1:8" hidden="1" x14ac:dyDescent="0.3">
      <c r="A3389" s="9">
        <v>45256</v>
      </c>
      <c r="B3389" t="s">
        <v>17</v>
      </c>
      <c r="C3389" t="s">
        <v>20</v>
      </c>
      <c r="D3389" t="s">
        <v>10</v>
      </c>
      <c r="E3389" t="s">
        <v>16</v>
      </c>
      <c r="F3389">
        <v>1380</v>
      </c>
      <c r="G3389">
        <v>65</v>
      </c>
      <c r="H3389" s="6">
        <f t="shared" ref="H3389:H3395" si="268">F3389*G3389/1000</f>
        <v>89.7</v>
      </c>
    </row>
    <row r="3390" spans="1:8" hidden="1" x14ac:dyDescent="0.3">
      <c r="A3390" s="9">
        <v>45256</v>
      </c>
      <c r="B3390" t="s">
        <v>8</v>
      </c>
      <c r="C3390" t="s">
        <v>20</v>
      </c>
      <c r="D3390" t="s">
        <v>18</v>
      </c>
      <c r="E3390" t="s">
        <v>31</v>
      </c>
      <c r="F3390">
        <v>715</v>
      </c>
      <c r="G3390">
        <v>11</v>
      </c>
      <c r="H3390" s="6">
        <f t="shared" si="268"/>
        <v>7.8650000000000002</v>
      </c>
    </row>
    <row r="3391" spans="1:8" x14ac:dyDescent="0.3">
      <c r="A3391" s="9">
        <v>45256</v>
      </c>
      <c r="B3391" t="s">
        <v>45</v>
      </c>
      <c r="C3391" t="s">
        <v>20</v>
      </c>
      <c r="D3391" t="s">
        <v>13</v>
      </c>
      <c r="E3391" t="s">
        <v>29</v>
      </c>
      <c r="F3391">
        <v>1230</v>
      </c>
      <c r="G3391">
        <v>18</v>
      </c>
      <c r="H3391" s="6">
        <f t="shared" si="268"/>
        <v>22.14</v>
      </c>
    </row>
    <row r="3392" spans="1:8" hidden="1" x14ac:dyDescent="0.3">
      <c r="A3392" s="9">
        <v>45256</v>
      </c>
      <c r="B3392" t="s">
        <v>17</v>
      </c>
      <c r="C3392" t="s">
        <v>20</v>
      </c>
      <c r="D3392" t="s">
        <v>13</v>
      </c>
      <c r="E3392" t="s">
        <v>43</v>
      </c>
      <c r="F3392">
        <v>1420</v>
      </c>
      <c r="G3392">
        <v>42</v>
      </c>
      <c r="H3392" s="6">
        <f t="shared" si="268"/>
        <v>59.64</v>
      </c>
    </row>
    <row r="3393" spans="1:8" hidden="1" x14ac:dyDescent="0.3">
      <c r="A3393" s="9">
        <v>45256</v>
      </c>
      <c r="B3393" t="s">
        <v>8</v>
      </c>
      <c r="C3393" t="s">
        <v>9</v>
      </c>
      <c r="D3393" t="s">
        <v>13</v>
      </c>
      <c r="E3393" t="s">
        <v>14</v>
      </c>
      <c r="F3393">
        <v>1320</v>
      </c>
      <c r="G3393">
        <v>66</v>
      </c>
      <c r="H3393" s="6">
        <f t="shared" si="268"/>
        <v>87.12</v>
      </c>
    </row>
    <row r="3394" spans="1:8" hidden="1" x14ac:dyDescent="0.3">
      <c r="A3394" s="9">
        <v>45256</v>
      </c>
      <c r="B3394" t="s">
        <v>8</v>
      </c>
      <c r="C3394" t="s">
        <v>26</v>
      </c>
      <c r="D3394" t="s">
        <v>24</v>
      </c>
      <c r="E3394" t="s">
        <v>36</v>
      </c>
      <c r="F3394">
        <v>2460</v>
      </c>
      <c r="G3394">
        <v>21</v>
      </c>
      <c r="H3394" s="6">
        <f t="shared" si="268"/>
        <v>51.66</v>
      </c>
    </row>
    <row r="3395" spans="1:8" hidden="1" x14ac:dyDescent="0.3">
      <c r="A3395" s="9">
        <v>45256</v>
      </c>
      <c r="B3395" t="s">
        <v>8</v>
      </c>
      <c r="C3395" t="s">
        <v>26</v>
      </c>
      <c r="D3395" t="s">
        <v>24</v>
      </c>
      <c r="E3395" t="s">
        <v>34</v>
      </c>
      <c r="F3395">
        <v>1670</v>
      </c>
      <c r="G3395">
        <v>88</v>
      </c>
      <c r="H3395" s="6">
        <f t="shared" si="268"/>
        <v>146.96</v>
      </c>
    </row>
    <row r="3396" spans="1:8" hidden="1" x14ac:dyDescent="0.3">
      <c r="A3396" s="13" t="s">
        <v>344</v>
      </c>
      <c r="H3396" s="6">
        <f>SUBTOTAL(9,H3389:H3395)</f>
        <v>22.14</v>
      </c>
    </row>
    <row r="3397" spans="1:8" hidden="1" x14ac:dyDescent="0.3">
      <c r="A3397" s="9">
        <v>45257</v>
      </c>
      <c r="B3397" t="s">
        <v>17</v>
      </c>
      <c r="C3397" t="s">
        <v>20</v>
      </c>
      <c r="D3397" t="s">
        <v>10</v>
      </c>
      <c r="E3397" t="s">
        <v>16</v>
      </c>
      <c r="F3397">
        <v>1380</v>
      </c>
      <c r="G3397">
        <v>44</v>
      </c>
      <c r="H3397" s="6">
        <f t="shared" ref="H3397:H3413" si="269">F3397*G3397/1000</f>
        <v>60.72</v>
      </c>
    </row>
    <row r="3398" spans="1:8" hidden="1" x14ac:dyDescent="0.3">
      <c r="A3398" s="9">
        <v>45257</v>
      </c>
      <c r="B3398" t="s">
        <v>12</v>
      </c>
      <c r="C3398" t="s">
        <v>20</v>
      </c>
      <c r="D3398" t="s">
        <v>18</v>
      </c>
      <c r="E3398" t="s">
        <v>28</v>
      </c>
      <c r="F3398">
        <v>690</v>
      </c>
      <c r="G3398">
        <v>21</v>
      </c>
      <c r="H3398" s="6">
        <f t="shared" si="269"/>
        <v>14.49</v>
      </c>
    </row>
    <row r="3399" spans="1:8" hidden="1" x14ac:dyDescent="0.3">
      <c r="A3399" s="9">
        <v>45257</v>
      </c>
      <c r="B3399" t="s">
        <v>12</v>
      </c>
      <c r="C3399" t="s">
        <v>20</v>
      </c>
      <c r="D3399" t="s">
        <v>24</v>
      </c>
      <c r="E3399" t="s">
        <v>42</v>
      </c>
      <c r="F3399">
        <v>3205</v>
      </c>
      <c r="G3399">
        <v>17</v>
      </c>
      <c r="H3399" s="6">
        <f t="shared" si="269"/>
        <v>54.484999999999999</v>
      </c>
    </row>
    <row r="3400" spans="1:8" hidden="1" x14ac:dyDescent="0.3">
      <c r="A3400" s="9">
        <v>45257</v>
      </c>
      <c r="B3400" t="s">
        <v>45</v>
      </c>
      <c r="C3400" t="s">
        <v>20</v>
      </c>
      <c r="D3400" t="s">
        <v>24</v>
      </c>
      <c r="E3400" t="s">
        <v>36</v>
      </c>
      <c r="F3400">
        <v>2460</v>
      </c>
      <c r="G3400">
        <v>33</v>
      </c>
      <c r="H3400" s="6">
        <f t="shared" si="269"/>
        <v>81.180000000000007</v>
      </c>
    </row>
    <row r="3401" spans="1:8" hidden="1" x14ac:dyDescent="0.3">
      <c r="A3401" s="9">
        <v>45257</v>
      </c>
      <c r="B3401" t="s">
        <v>8</v>
      </c>
      <c r="C3401" t="s">
        <v>20</v>
      </c>
      <c r="D3401" t="s">
        <v>24</v>
      </c>
      <c r="E3401" t="s">
        <v>25</v>
      </c>
      <c r="F3401">
        <v>1760</v>
      </c>
      <c r="G3401">
        <v>100</v>
      </c>
      <c r="H3401" s="6">
        <f t="shared" si="269"/>
        <v>176</v>
      </c>
    </row>
    <row r="3402" spans="1:8" hidden="1" x14ac:dyDescent="0.3">
      <c r="A3402" s="9">
        <v>45257</v>
      </c>
      <c r="B3402" t="s">
        <v>12</v>
      </c>
      <c r="C3402" t="s">
        <v>26</v>
      </c>
      <c r="D3402" t="s">
        <v>18</v>
      </c>
      <c r="E3402" t="s">
        <v>37</v>
      </c>
      <c r="F3402">
        <v>890</v>
      </c>
      <c r="G3402">
        <v>54</v>
      </c>
      <c r="H3402" s="6">
        <f t="shared" si="269"/>
        <v>48.06</v>
      </c>
    </row>
    <row r="3403" spans="1:8" hidden="1" x14ac:dyDescent="0.3">
      <c r="A3403" s="9">
        <v>45257</v>
      </c>
      <c r="B3403" t="s">
        <v>12</v>
      </c>
      <c r="C3403" t="s">
        <v>26</v>
      </c>
      <c r="D3403" t="s">
        <v>13</v>
      </c>
      <c r="E3403" t="s">
        <v>44</v>
      </c>
      <c r="F3403">
        <v>2540</v>
      </c>
      <c r="G3403">
        <v>42</v>
      </c>
      <c r="H3403" s="6">
        <f t="shared" si="269"/>
        <v>106.68</v>
      </c>
    </row>
    <row r="3404" spans="1:8" hidden="1" x14ac:dyDescent="0.3">
      <c r="A3404" s="9">
        <v>45257</v>
      </c>
      <c r="B3404" t="s">
        <v>12</v>
      </c>
      <c r="C3404" t="s">
        <v>26</v>
      </c>
      <c r="D3404" t="s">
        <v>24</v>
      </c>
      <c r="E3404" t="s">
        <v>32</v>
      </c>
      <c r="F3404">
        <v>1505</v>
      </c>
      <c r="G3404">
        <v>40</v>
      </c>
      <c r="H3404" s="6">
        <f t="shared" si="269"/>
        <v>60.2</v>
      </c>
    </row>
    <row r="3405" spans="1:8" hidden="1" x14ac:dyDescent="0.3">
      <c r="A3405" s="9">
        <v>45257</v>
      </c>
      <c r="B3405" t="s">
        <v>8</v>
      </c>
      <c r="C3405" t="s">
        <v>15</v>
      </c>
      <c r="D3405" t="s">
        <v>18</v>
      </c>
      <c r="E3405" t="s">
        <v>37</v>
      </c>
      <c r="F3405">
        <v>890</v>
      </c>
      <c r="G3405">
        <v>95</v>
      </c>
      <c r="H3405" s="6">
        <f t="shared" si="269"/>
        <v>84.55</v>
      </c>
    </row>
    <row r="3406" spans="1:8" hidden="1" x14ac:dyDescent="0.3">
      <c r="A3406" s="9">
        <v>45257</v>
      </c>
      <c r="B3406" t="s">
        <v>8</v>
      </c>
      <c r="C3406" t="s">
        <v>15</v>
      </c>
      <c r="D3406" t="s">
        <v>18</v>
      </c>
      <c r="E3406" t="s">
        <v>37</v>
      </c>
      <c r="F3406">
        <v>890</v>
      </c>
      <c r="G3406">
        <v>52</v>
      </c>
      <c r="H3406" s="6">
        <f t="shared" si="269"/>
        <v>46.28</v>
      </c>
    </row>
    <row r="3407" spans="1:8" hidden="1" x14ac:dyDescent="0.3">
      <c r="A3407" s="9">
        <v>45257</v>
      </c>
      <c r="B3407" t="s">
        <v>12</v>
      </c>
      <c r="C3407" t="s">
        <v>15</v>
      </c>
      <c r="D3407" t="s">
        <v>13</v>
      </c>
      <c r="E3407" t="s">
        <v>14</v>
      </c>
      <c r="F3407">
        <v>1320</v>
      </c>
      <c r="G3407">
        <v>77</v>
      </c>
      <c r="H3407" s="6">
        <f t="shared" si="269"/>
        <v>101.64</v>
      </c>
    </row>
    <row r="3408" spans="1:8" hidden="1" x14ac:dyDescent="0.3">
      <c r="A3408" s="9">
        <v>45257</v>
      </c>
      <c r="B3408" t="s">
        <v>45</v>
      </c>
      <c r="C3408" t="s">
        <v>33</v>
      </c>
      <c r="D3408" t="s">
        <v>18</v>
      </c>
      <c r="E3408" t="s">
        <v>27</v>
      </c>
      <c r="F3408">
        <v>460</v>
      </c>
      <c r="G3408">
        <v>78</v>
      </c>
      <c r="H3408" s="6">
        <f t="shared" si="269"/>
        <v>35.880000000000003</v>
      </c>
    </row>
    <row r="3409" spans="1:8" hidden="1" x14ac:dyDescent="0.3">
      <c r="A3409" s="9">
        <v>45257</v>
      </c>
      <c r="B3409" t="s">
        <v>12</v>
      </c>
      <c r="C3409" t="s">
        <v>33</v>
      </c>
      <c r="D3409" t="s">
        <v>18</v>
      </c>
      <c r="E3409" t="s">
        <v>27</v>
      </c>
      <c r="F3409">
        <v>460</v>
      </c>
      <c r="G3409">
        <v>98</v>
      </c>
      <c r="H3409" s="6">
        <f t="shared" si="269"/>
        <v>45.08</v>
      </c>
    </row>
    <row r="3410" spans="1:8" hidden="1" x14ac:dyDescent="0.3">
      <c r="A3410" s="9">
        <v>45257</v>
      </c>
      <c r="B3410" t="s">
        <v>17</v>
      </c>
      <c r="C3410" t="s">
        <v>33</v>
      </c>
      <c r="D3410" t="s">
        <v>13</v>
      </c>
      <c r="E3410" t="s">
        <v>22</v>
      </c>
      <c r="F3410">
        <v>930</v>
      </c>
      <c r="G3410">
        <v>12</v>
      </c>
      <c r="H3410" s="6">
        <f t="shared" si="269"/>
        <v>11.16</v>
      </c>
    </row>
    <row r="3411" spans="1:8" hidden="1" x14ac:dyDescent="0.3">
      <c r="A3411" s="9">
        <v>45257</v>
      </c>
      <c r="B3411" t="s">
        <v>12</v>
      </c>
      <c r="C3411" t="s">
        <v>33</v>
      </c>
      <c r="D3411" t="s">
        <v>13</v>
      </c>
      <c r="E3411" t="s">
        <v>29</v>
      </c>
      <c r="F3411">
        <v>1230</v>
      </c>
      <c r="G3411">
        <v>59</v>
      </c>
      <c r="H3411" s="6">
        <f t="shared" si="269"/>
        <v>72.569999999999993</v>
      </c>
    </row>
    <row r="3412" spans="1:8" hidden="1" x14ac:dyDescent="0.3">
      <c r="A3412" s="9">
        <v>45257</v>
      </c>
      <c r="B3412" t="s">
        <v>17</v>
      </c>
      <c r="C3412" t="s">
        <v>33</v>
      </c>
      <c r="D3412" t="s">
        <v>24</v>
      </c>
      <c r="E3412" t="s">
        <v>32</v>
      </c>
      <c r="F3412">
        <v>1505</v>
      </c>
      <c r="G3412">
        <v>63</v>
      </c>
      <c r="H3412" s="6">
        <f t="shared" si="269"/>
        <v>94.814999999999998</v>
      </c>
    </row>
    <row r="3413" spans="1:8" hidden="1" x14ac:dyDescent="0.3">
      <c r="A3413" s="9">
        <v>45257</v>
      </c>
      <c r="B3413" t="s">
        <v>8</v>
      </c>
      <c r="C3413" t="s">
        <v>35</v>
      </c>
      <c r="D3413" t="s">
        <v>10</v>
      </c>
      <c r="E3413" t="s">
        <v>16</v>
      </c>
      <c r="F3413">
        <v>1380</v>
      </c>
      <c r="G3413">
        <v>30</v>
      </c>
      <c r="H3413" s="6">
        <f t="shared" si="269"/>
        <v>41.4</v>
      </c>
    </row>
    <row r="3414" spans="1:8" hidden="1" x14ac:dyDescent="0.3">
      <c r="A3414" s="13" t="s">
        <v>345</v>
      </c>
      <c r="H3414" s="6">
        <f>SUBTOTAL(9,H3397:H3413)</f>
        <v>0</v>
      </c>
    </row>
    <row r="3415" spans="1:8" hidden="1" x14ac:dyDescent="0.3">
      <c r="A3415" s="9">
        <v>45258</v>
      </c>
      <c r="B3415" t="s">
        <v>8</v>
      </c>
      <c r="C3415" t="s">
        <v>20</v>
      </c>
      <c r="D3415" t="s">
        <v>18</v>
      </c>
      <c r="E3415" t="s">
        <v>21</v>
      </c>
      <c r="F3415">
        <v>450</v>
      </c>
      <c r="G3415">
        <v>88</v>
      </c>
      <c r="H3415" s="6">
        <f t="shared" ref="H3415:H3425" si="270">F3415*G3415/1000</f>
        <v>39.6</v>
      </c>
    </row>
    <row r="3416" spans="1:8" hidden="1" x14ac:dyDescent="0.3">
      <c r="A3416" s="9">
        <v>45258</v>
      </c>
      <c r="B3416" t="s">
        <v>45</v>
      </c>
      <c r="C3416" t="s">
        <v>20</v>
      </c>
      <c r="D3416" t="s">
        <v>18</v>
      </c>
      <c r="E3416" t="s">
        <v>37</v>
      </c>
      <c r="F3416">
        <v>890</v>
      </c>
      <c r="G3416">
        <v>22</v>
      </c>
      <c r="H3416" s="6">
        <f t="shared" si="270"/>
        <v>19.579999999999998</v>
      </c>
    </row>
    <row r="3417" spans="1:8" hidden="1" x14ac:dyDescent="0.3">
      <c r="A3417" s="9">
        <v>45258</v>
      </c>
      <c r="B3417" t="s">
        <v>17</v>
      </c>
      <c r="C3417" t="s">
        <v>9</v>
      </c>
      <c r="D3417" t="s">
        <v>18</v>
      </c>
      <c r="E3417" t="s">
        <v>28</v>
      </c>
      <c r="F3417">
        <v>690</v>
      </c>
      <c r="G3417">
        <v>35</v>
      </c>
      <c r="H3417" s="6">
        <f t="shared" si="270"/>
        <v>24.15</v>
      </c>
    </row>
    <row r="3418" spans="1:8" hidden="1" x14ac:dyDescent="0.3">
      <c r="A3418" s="9">
        <v>45258</v>
      </c>
      <c r="B3418" t="s">
        <v>17</v>
      </c>
      <c r="C3418" t="s">
        <v>26</v>
      </c>
      <c r="D3418" t="s">
        <v>18</v>
      </c>
      <c r="E3418" t="s">
        <v>19</v>
      </c>
      <c r="F3418">
        <v>325</v>
      </c>
      <c r="G3418">
        <v>70</v>
      </c>
      <c r="H3418" s="6">
        <f t="shared" si="270"/>
        <v>22.75</v>
      </c>
    </row>
    <row r="3419" spans="1:8" hidden="1" x14ac:dyDescent="0.3">
      <c r="A3419" s="9">
        <v>45258</v>
      </c>
      <c r="B3419" t="s">
        <v>17</v>
      </c>
      <c r="C3419" t="s">
        <v>26</v>
      </c>
      <c r="D3419" t="s">
        <v>18</v>
      </c>
      <c r="E3419" t="s">
        <v>31</v>
      </c>
      <c r="F3419">
        <v>715</v>
      </c>
      <c r="G3419">
        <v>31</v>
      </c>
      <c r="H3419" s="6">
        <f t="shared" si="270"/>
        <v>22.164999999999999</v>
      </c>
    </row>
    <row r="3420" spans="1:8" hidden="1" x14ac:dyDescent="0.3">
      <c r="A3420" s="9">
        <v>45258</v>
      </c>
      <c r="B3420" t="s">
        <v>45</v>
      </c>
      <c r="C3420" t="s">
        <v>26</v>
      </c>
      <c r="D3420" t="s">
        <v>24</v>
      </c>
      <c r="E3420" t="s">
        <v>42</v>
      </c>
      <c r="F3420">
        <v>3205</v>
      </c>
      <c r="G3420">
        <v>8</v>
      </c>
      <c r="H3420" s="6">
        <f t="shared" si="270"/>
        <v>25.64</v>
      </c>
    </row>
    <row r="3421" spans="1:8" hidden="1" x14ac:dyDescent="0.3">
      <c r="A3421" s="9">
        <v>45258</v>
      </c>
      <c r="B3421" t="s">
        <v>17</v>
      </c>
      <c r="C3421" t="s">
        <v>15</v>
      </c>
      <c r="D3421" t="s">
        <v>10</v>
      </c>
      <c r="E3421" t="s">
        <v>39</v>
      </c>
      <c r="F3421">
        <v>650</v>
      </c>
      <c r="G3421">
        <v>24</v>
      </c>
      <c r="H3421" s="6">
        <f t="shared" si="270"/>
        <v>15.6</v>
      </c>
    </row>
    <row r="3422" spans="1:8" hidden="1" x14ac:dyDescent="0.3">
      <c r="A3422" s="9">
        <v>45258</v>
      </c>
      <c r="B3422" t="s">
        <v>45</v>
      </c>
      <c r="C3422" t="s">
        <v>15</v>
      </c>
      <c r="D3422" t="s">
        <v>10</v>
      </c>
      <c r="E3422" t="s">
        <v>23</v>
      </c>
      <c r="F3422">
        <v>640</v>
      </c>
      <c r="G3422">
        <v>12</v>
      </c>
      <c r="H3422" s="6">
        <f t="shared" si="270"/>
        <v>7.68</v>
      </c>
    </row>
    <row r="3423" spans="1:8" hidden="1" x14ac:dyDescent="0.3">
      <c r="A3423" s="9">
        <v>45258</v>
      </c>
      <c r="B3423" t="s">
        <v>8</v>
      </c>
      <c r="C3423" t="s">
        <v>15</v>
      </c>
      <c r="D3423" t="s">
        <v>13</v>
      </c>
      <c r="E3423" t="s">
        <v>43</v>
      </c>
      <c r="F3423">
        <v>1420</v>
      </c>
      <c r="G3423">
        <v>7</v>
      </c>
      <c r="H3423" s="6">
        <f t="shared" si="270"/>
        <v>9.94</v>
      </c>
    </row>
    <row r="3424" spans="1:8" hidden="1" x14ac:dyDescent="0.3">
      <c r="A3424" s="9">
        <v>45258</v>
      </c>
      <c r="B3424" t="s">
        <v>45</v>
      </c>
      <c r="C3424" t="s">
        <v>33</v>
      </c>
      <c r="D3424" t="s">
        <v>24</v>
      </c>
      <c r="E3424" t="s">
        <v>36</v>
      </c>
      <c r="F3424">
        <v>2460</v>
      </c>
      <c r="G3424">
        <v>10</v>
      </c>
      <c r="H3424" s="6">
        <f t="shared" si="270"/>
        <v>24.6</v>
      </c>
    </row>
    <row r="3425" spans="1:8" hidden="1" x14ac:dyDescent="0.3">
      <c r="A3425" s="9">
        <v>45258</v>
      </c>
      <c r="B3425" t="s">
        <v>12</v>
      </c>
      <c r="C3425" t="s">
        <v>35</v>
      </c>
      <c r="D3425" t="s">
        <v>18</v>
      </c>
      <c r="E3425" t="s">
        <v>21</v>
      </c>
      <c r="F3425">
        <v>450</v>
      </c>
      <c r="G3425">
        <v>99</v>
      </c>
      <c r="H3425" s="6">
        <f t="shared" si="270"/>
        <v>44.55</v>
      </c>
    </row>
    <row r="3426" spans="1:8" hidden="1" x14ac:dyDescent="0.3">
      <c r="A3426" s="13" t="s">
        <v>346</v>
      </c>
      <c r="H3426" s="6">
        <f>SUBTOTAL(9,H3415:H3425)</f>
        <v>0</v>
      </c>
    </row>
    <row r="3427" spans="1:8" hidden="1" x14ac:dyDescent="0.3">
      <c r="A3427" s="9">
        <v>45259</v>
      </c>
      <c r="B3427" t="s">
        <v>45</v>
      </c>
      <c r="C3427" t="s">
        <v>26</v>
      </c>
      <c r="D3427" t="s">
        <v>24</v>
      </c>
      <c r="E3427" t="s">
        <v>32</v>
      </c>
      <c r="F3427">
        <v>1505</v>
      </c>
      <c r="G3427">
        <v>54</v>
      </c>
      <c r="H3427" s="6">
        <f t="shared" ref="H3427:H3434" si="271">F3427*G3427/1000</f>
        <v>81.27</v>
      </c>
    </row>
    <row r="3428" spans="1:8" hidden="1" x14ac:dyDescent="0.3">
      <c r="A3428" s="9">
        <v>45259</v>
      </c>
      <c r="B3428" t="s">
        <v>45</v>
      </c>
      <c r="C3428" t="s">
        <v>15</v>
      </c>
      <c r="D3428" t="s">
        <v>18</v>
      </c>
      <c r="E3428" t="s">
        <v>28</v>
      </c>
      <c r="F3428">
        <v>690</v>
      </c>
      <c r="G3428">
        <v>7</v>
      </c>
      <c r="H3428" s="6">
        <f t="shared" si="271"/>
        <v>4.83</v>
      </c>
    </row>
    <row r="3429" spans="1:8" hidden="1" x14ac:dyDescent="0.3">
      <c r="A3429" s="9">
        <v>45259</v>
      </c>
      <c r="B3429" t="s">
        <v>17</v>
      </c>
      <c r="C3429" t="s">
        <v>15</v>
      </c>
      <c r="D3429" t="s">
        <v>13</v>
      </c>
      <c r="E3429" t="s">
        <v>44</v>
      </c>
      <c r="F3429">
        <v>2540</v>
      </c>
      <c r="G3429">
        <v>28</v>
      </c>
      <c r="H3429" s="6">
        <f t="shared" si="271"/>
        <v>71.12</v>
      </c>
    </row>
    <row r="3430" spans="1:8" hidden="1" x14ac:dyDescent="0.3">
      <c r="A3430" s="9">
        <v>45259</v>
      </c>
      <c r="B3430" t="s">
        <v>17</v>
      </c>
      <c r="C3430" t="s">
        <v>33</v>
      </c>
      <c r="D3430" t="s">
        <v>10</v>
      </c>
      <c r="E3430" t="s">
        <v>23</v>
      </c>
      <c r="F3430">
        <v>640</v>
      </c>
      <c r="G3430">
        <v>87</v>
      </c>
      <c r="H3430" s="6">
        <f t="shared" si="271"/>
        <v>55.68</v>
      </c>
    </row>
    <row r="3431" spans="1:8" hidden="1" x14ac:dyDescent="0.3">
      <c r="A3431" s="9">
        <v>45259</v>
      </c>
      <c r="B3431" t="s">
        <v>17</v>
      </c>
      <c r="C3431" t="s">
        <v>33</v>
      </c>
      <c r="D3431" t="s">
        <v>10</v>
      </c>
      <c r="E3431" t="s">
        <v>11</v>
      </c>
      <c r="F3431">
        <v>705</v>
      </c>
      <c r="G3431">
        <v>65</v>
      </c>
      <c r="H3431" s="6">
        <f t="shared" si="271"/>
        <v>45.825000000000003</v>
      </c>
    </row>
    <row r="3432" spans="1:8" hidden="1" x14ac:dyDescent="0.3">
      <c r="A3432" s="9">
        <v>45259</v>
      </c>
      <c r="B3432" t="s">
        <v>17</v>
      </c>
      <c r="C3432" t="s">
        <v>33</v>
      </c>
      <c r="D3432" t="s">
        <v>24</v>
      </c>
      <c r="E3432" t="s">
        <v>34</v>
      </c>
      <c r="F3432">
        <v>1670</v>
      </c>
      <c r="G3432">
        <v>81</v>
      </c>
      <c r="H3432" s="6">
        <f t="shared" si="271"/>
        <v>135.27000000000001</v>
      </c>
    </row>
    <row r="3433" spans="1:8" hidden="1" x14ac:dyDescent="0.3">
      <c r="A3433" s="9">
        <v>45259</v>
      </c>
      <c r="B3433" t="s">
        <v>12</v>
      </c>
      <c r="C3433" t="s">
        <v>33</v>
      </c>
      <c r="D3433" t="s">
        <v>24</v>
      </c>
      <c r="E3433" t="s">
        <v>34</v>
      </c>
      <c r="F3433">
        <v>1670</v>
      </c>
      <c r="G3433">
        <v>60</v>
      </c>
      <c r="H3433" s="6">
        <f t="shared" si="271"/>
        <v>100.2</v>
      </c>
    </row>
    <row r="3434" spans="1:8" hidden="1" x14ac:dyDescent="0.3">
      <c r="A3434" s="9">
        <v>45259</v>
      </c>
      <c r="B3434" t="s">
        <v>12</v>
      </c>
      <c r="C3434" t="s">
        <v>35</v>
      </c>
      <c r="D3434" t="s">
        <v>13</v>
      </c>
      <c r="E3434" t="s">
        <v>22</v>
      </c>
      <c r="F3434">
        <v>930</v>
      </c>
      <c r="G3434">
        <v>52</v>
      </c>
      <c r="H3434" s="6">
        <f t="shared" si="271"/>
        <v>48.36</v>
      </c>
    </row>
    <row r="3435" spans="1:8" hidden="1" x14ac:dyDescent="0.3">
      <c r="A3435" s="13" t="s">
        <v>347</v>
      </c>
      <c r="H3435" s="6">
        <f>SUBTOTAL(9,H3427:H3434)</f>
        <v>0</v>
      </c>
    </row>
    <row r="3436" spans="1:8" hidden="1" x14ac:dyDescent="0.3">
      <c r="A3436" s="9">
        <v>45260</v>
      </c>
      <c r="B3436" t="s">
        <v>8</v>
      </c>
      <c r="C3436" t="s">
        <v>20</v>
      </c>
      <c r="D3436" t="s">
        <v>24</v>
      </c>
      <c r="E3436" t="s">
        <v>36</v>
      </c>
      <c r="F3436">
        <v>2460</v>
      </c>
      <c r="G3436">
        <v>96</v>
      </c>
      <c r="H3436" s="6">
        <f t="shared" ref="H3436:H3443" si="272">F3436*G3436/1000</f>
        <v>236.16</v>
      </c>
    </row>
    <row r="3437" spans="1:8" hidden="1" x14ac:dyDescent="0.3">
      <c r="A3437" s="9">
        <v>45260</v>
      </c>
      <c r="B3437" t="s">
        <v>8</v>
      </c>
      <c r="C3437" t="s">
        <v>20</v>
      </c>
      <c r="D3437" t="s">
        <v>24</v>
      </c>
      <c r="E3437" t="s">
        <v>25</v>
      </c>
      <c r="F3437">
        <v>1760</v>
      </c>
      <c r="G3437">
        <v>18</v>
      </c>
      <c r="H3437" s="6">
        <f t="shared" si="272"/>
        <v>31.68</v>
      </c>
    </row>
    <row r="3438" spans="1:8" hidden="1" x14ac:dyDescent="0.3">
      <c r="A3438" s="9">
        <v>45260</v>
      </c>
      <c r="B3438" t="s">
        <v>12</v>
      </c>
      <c r="C3438" t="s">
        <v>9</v>
      </c>
      <c r="D3438" t="s">
        <v>24</v>
      </c>
      <c r="E3438" t="s">
        <v>36</v>
      </c>
      <c r="F3438">
        <v>2460</v>
      </c>
      <c r="G3438">
        <v>69</v>
      </c>
      <c r="H3438" s="6">
        <f t="shared" si="272"/>
        <v>169.74</v>
      </c>
    </row>
    <row r="3439" spans="1:8" hidden="1" x14ac:dyDescent="0.3">
      <c r="A3439" s="9">
        <v>45260</v>
      </c>
      <c r="B3439" t="s">
        <v>12</v>
      </c>
      <c r="C3439" t="s">
        <v>26</v>
      </c>
      <c r="D3439" t="s">
        <v>18</v>
      </c>
      <c r="E3439" t="s">
        <v>28</v>
      </c>
      <c r="F3439">
        <v>690</v>
      </c>
      <c r="G3439">
        <v>63</v>
      </c>
      <c r="H3439" s="6">
        <f t="shared" si="272"/>
        <v>43.47</v>
      </c>
    </row>
    <row r="3440" spans="1:8" hidden="1" x14ac:dyDescent="0.3">
      <c r="A3440" s="9">
        <v>45260</v>
      </c>
      <c r="B3440" t="s">
        <v>45</v>
      </c>
      <c r="C3440" t="s">
        <v>26</v>
      </c>
      <c r="D3440" t="s">
        <v>24</v>
      </c>
      <c r="E3440" t="s">
        <v>34</v>
      </c>
      <c r="F3440">
        <v>1670</v>
      </c>
      <c r="G3440">
        <v>72</v>
      </c>
      <c r="H3440" s="6">
        <f t="shared" si="272"/>
        <v>120.24</v>
      </c>
    </row>
    <row r="3441" spans="1:8" hidden="1" x14ac:dyDescent="0.3">
      <c r="A3441" s="9">
        <v>45260</v>
      </c>
      <c r="B3441" t="s">
        <v>17</v>
      </c>
      <c r="C3441" t="s">
        <v>33</v>
      </c>
      <c r="D3441" t="s">
        <v>13</v>
      </c>
      <c r="E3441" t="s">
        <v>43</v>
      </c>
      <c r="F3441">
        <v>1420</v>
      </c>
      <c r="G3441">
        <v>36</v>
      </c>
      <c r="H3441" s="6">
        <f t="shared" si="272"/>
        <v>51.12</v>
      </c>
    </row>
    <row r="3442" spans="1:8" hidden="1" x14ac:dyDescent="0.3">
      <c r="A3442" s="9">
        <v>45260</v>
      </c>
      <c r="B3442" t="s">
        <v>45</v>
      </c>
      <c r="C3442" t="s">
        <v>33</v>
      </c>
      <c r="D3442" t="s">
        <v>24</v>
      </c>
      <c r="E3442" t="s">
        <v>32</v>
      </c>
      <c r="F3442">
        <v>1505</v>
      </c>
      <c r="G3442">
        <v>56</v>
      </c>
      <c r="H3442" s="6">
        <f t="shared" si="272"/>
        <v>84.28</v>
      </c>
    </row>
    <row r="3443" spans="1:8" hidden="1" x14ac:dyDescent="0.3">
      <c r="A3443" s="9">
        <v>45260</v>
      </c>
      <c r="B3443" t="s">
        <v>8</v>
      </c>
      <c r="C3443" t="s">
        <v>33</v>
      </c>
      <c r="D3443" t="s">
        <v>24</v>
      </c>
      <c r="E3443" t="s">
        <v>30</v>
      </c>
      <c r="F3443">
        <v>2970</v>
      </c>
      <c r="G3443">
        <v>31</v>
      </c>
      <c r="H3443" s="6">
        <f t="shared" si="272"/>
        <v>92.07</v>
      </c>
    </row>
    <row r="3444" spans="1:8" hidden="1" x14ac:dyDescent="0.3">
      <c r="A3444" s="13" t="s">
        <v>348</v>
      </c>
      <c r="H3444" s="6">
        <f>SUBTOTAL(9,H3436:H3443)</f>
        <v>0</v>
      </c>
    </row>
    <row r="3445" spans="1:8" hidden="1" x14ac:dyDescent="0.3">
      <c r="A3445" s="9">
        <v>45261</v>
      </c>
      <c r="B3445" t="s">
        <v>45</v>
      </c>
      <c r="C3445" t="s">
        <v>20</v>
      </c>
      <c r="D3445" t="s">
        <v>24</v>
      </c>
      <c r="E3445" t="s">
        <v>42</v>
      </c>
      <c r="F3445">
        <v>3205</v>
      </c>
      <c r="G3445">
        <v>67</v>
      </c>
      <c r="H3445" s="6">
        <f t="shared" ref="H3445:H3453" si="273">F3445*G3445/1000</f>
        <v>214.73500000000001</v>
      </c>
    </row>
    <row r="3446" spans="1:8" hidden="1" x14ac:dyDescent="0.3">
      <c r="A3446" s="9">
        <v>45261</v>
      </c>
      <c r="B3446" t="s">
        <v>17</v>
      </c>
      <c r="C3446" t="s">
        <v>20</v>
      </c>
      <c r="D3446" t="s">
        <v>24</v>
      </c>
      <c r="E3446" t="s">
        <v>42</v>
      </c>
      <c r="F3446">
        <v>3205</v>
      </c>
      <c r="G3446">
        <v>84</v>
      </c>
      <c r="H3446" s="6">
        <f t="shared" si="273"/>
        <v>269.22000000000003</v>
      </c>
    </row>
    <row r="3447" spans="1:8" hidden="1" x14ac:dyDescent="0.3">
      <c r="A3447" s="9">
        <v>45261</v>
      </c>
      <c r="B3447" t="s">
        <v>12</v>
      </c>
      <c r="C3447" t="s">
        <v>26</v>
      </c>
      <c r="D3447" t="s">
        <v>10</v>
      </c>
      <c r="E3447" t="s">
        <v>41</v>
      </c>
      <c r="F3447">
        <v>650</v>
      </c>
      <c r="G3447">
        <v>79</v>
      </c>
      <c r="H3447" s="6">
        <f t="shared" si="273"/>
        <v>51.35</v>
      </c>
    </row>
    <row r="3448" spans="1:8" hidden="1" x14ac:dyDescent="0.3">
      <c r="A3448" s="9">
        <v>45261</v>
      </c>
      <c r="B3448" t="s">
        <v>8</v>
      </c>
      <c r="C3448" t="s">
        <v>26</v>
      </c>
      <c r="D3448" t="s">
        <v>18</v>
      </c>
      <c r="E3448" t="s">
        <v>37</v>
      </c>
      <c r="F3448">
        <v>890</v>
      </c>
      <c r="G3448">
        <v>67</v>
      </c>
      <c r="H3448" s="6">
        <f t="shared" si="273"/>
        <v>59.63</v>
      </c>
    </row>
    <row r="3449" spans="1:8" hidden="1" x14ac:dyDescent="0.3">
      <c r="A3449" s="9">
        <v>45261</v>
      </c>
      <c r="B3449" t="s">
        <v>45</v>
      </c>
      <c r="C3449" t="s">
        <v>26</v>
      </c>
      <c r="D3449" t="s">
        <v>13</v>
      </c>
      <c r="E3449" t="s">
        <v>43</v>
      </c>
      <c r="F3449">
        <v>1420</v>
      </c>
      <c r="G3449">
        <v>98</v>
      </c>
      <c r="H3449" s="6">
        <f t="shared" si="273"/>
        <v>139.16</v>
      </c>
    </row>
    <row r="3450" spans="1:8" hidden="1" x14ac:dyDescent="0.3">
      <c r="A3450" s="9">
        <v>45261</v>
      </c>
      <c r="B3450" t="s">
        <v>12</v>
      </c>
      <c r="C3450" t="s">
        <v>26</v>
      </c>
      <c r="D3450" t="s">
        <v>24</v>
      </c>
      <c r="E3450" t="s">
        <v>32</v>
      </c>
      <c r="F3450">
        <v>1505</v>
      </c>
      <c r="G3450">
        <v>33</v>
      </c>
      <c r="H3450" s="6">
        <f t="shared" si="273"/>
        <v>49.664999999999999</v>
      </c>
    </row>
    <row r="3451" spans="1:8" hidden="1" x14ac:dyDescent="0.3">
      <c r="A3451" s="9">
        <v>45261</v>
      </c>
      <c r="B3451" t="s">
        <v>8</v>
      </c>
      <c r="C3451" t="s">
        <v>15</v>
      </c>
      <c r="D3451" t="s">
        <v>13</v>
      </c>
      <c r="E3451" t="s">
        <v>43</v>
      </c>
      <c r="F3451">
        <v>1420</v>
      </c>
      <c r="G3451">
        <v>13</v>
      </c>
      <c r="H3451" s="6">
        <f t="shared" si="273"/>
        <v>18.46</v>
      </c>
    </row>
    <row r="3452" spans="1:8" hidden="1" x14ac:dyDescent="0.3">
      <c r="A3452" s="9">
        <v>45261</v>
      </c>
      <c r="B3452" t="s">
        <v>8</v>
      </c>
      <c r="C3452" t="s">
        <v>35</v>
      </c>
      <c r="D3452" t="s">
        <v>10</v>
      </c>
      <c r="E3452" t="s">
        <v>11</v>
      </c>
      <c r="F3452">
        <v>705</v>
      </c>
      <c r="G3452">
        <v>22</v>
      </c>
      <c r="H3452" s="6">
        <f t="shared" si="273"/>
        <v>15.51</v>
      </c>
    </row>
    <row r="3453" spans="1:8" hidden="1" x14ac:dyDescent="0.3">
      <c r="A3453" s="9">
        <v>45261</v>
      </c>
      <c r="B3453" t="s">
        <v>45</v>
      </c>
      <c r="C3453" t="s">
        <v>35</v>
      </c>
      <c r="D3453" t="s">
        <v>24</v>
      </c>
      <c r="E3453" t="s">
        <v>36</v>
      </c>
      <c r="F3453">
        <v>2460</v>
      </c>
      <c r="G3453">
        <v>11</v>
      </c>
      <c r="H3453" s="6">
        <f t="shared" si="273"/>
        <v>27.06</v>
      </c>
    </row>
    <row r="3454" spans="1:8" hidden="1" x14ac:dyDescent="0.3">
      <c r="A3454" s="13" t="s">
        <v>349</v>
      </c>
      <c r="H3454" s="6">
        <f>SUBTOTAL(9,H3445:H3453)</f>
        <v>0</v>
      </c>
    </row>
    <row r="3455" spans="1:8" hidden="1" x14ac:dyDescent="0.3">
      <c r="A3455" s="9">
        <v>45262</v>
      </c>
      <c r="B3455" t="s">
        <v>17</v>
      </c>
      <c r="C3455" t="s">
        <v>20</v>
      </c>
      <c r="D3455" t="s">
        <v>18</v>
      </c>
      <c r="E3455" t="s">
        <v>31</v>
      </c>
      <c r="F3455">
        <v>715</v>
      </c>
      <c r="G3455">
        <v>45</v>
      </c>
      <c r="H3455" s="6">
        <f t="shared" ref="H3455:H3467" si="274">F3455*G3455/1000</f>
        <v>32.174999999999997</v>
      </c>
    </row>
    <row r="3456" spans="1:8" hidden="1" x14ac:dyDescent="0.3">
      <c r="A3456" s="9">
        <v>45262</v>
      </c>
      <c r="B3456" t="s">
        <v>17</v>
      </c>
      <c r="C3456" t="s">
        <v>20</v>
      </c>
      <c r="D3456" t="s">
        <v>18</v>
      </c>
      <c r="E3456" t="s">
        <v>28</v>
      </c>
      <c r="F3456">
        <v>690</v>
      </c>
      <c r="G3456">
        <v>50</v>
      </c>
      <c r="H3456" s="6">
        <f t="shared" si="274"/>
        <v>34.5</v>
      </c>
    </row>
    <row r="3457" spans="1:8" hidden="1" x14ac:dyDescent="0.3">
      <c r="A3457" s="9">
        <v>45262</v>
      </c>
      <c r="B3457" t="s">
        <v>8</v>
      </c>
      <c r="C3457" t="s">
        <v>9</v>
      </c>
      <c r="D3457" t="s">
        <v>10</v>
      </c>
      <c r="E3457" t="s">
        <v>11</v>
      </c>
      <c r="F3457">
        <v>705</v>
      </c>
      <c r="G3457">
        <v>70</v>
      </c>
      <c r="H3457" s="6">
        <f t="shared" si="274"/>
        <v>49.35</v>
      </c>
    </row>
    <row r="3458" spans="1:8" hidden="1" x14ac:dyDescent="0.3">
      <c r="A3458" s="9">
        <v>45262</v>
      </c>
      <c r="B3458" t="s">
        <v>45</v>
      </c>
      <c r="C3458" t="s">
        <v>9</v>
      </c>
      <c r="D3458" t="s">
        <v>18</v>
      </c>
      <c r="E3458" t="s">
        <v>21</v>
      </c>
      <c r="F3458">
        <v>450</v>
      </c>
      <c r="G3458">
        <v>40</v>
      </c>
      <c r="H3458" s="6">
        <f t="shared" si="274"/>
        <v>18</v>
      </c>
    </row>
    <row r="3459" spans="1:8" hidden="1" x14ac:dyDescent="0.3">
      <c r="A3459" s="9">
        <v>45262</v>
      </c>
      <c r="B3459" t="s">
        <v>12</v>
      </c>
      <c r="C3459" t="s">
        <v>9</v>
      </c>
      <c r="D3459" t="s">
        <v>13</v>
      </c>
      <c r="E3459" t="s">
        <v>38</v>
      </c>
      <c r="F3459">
        <v>2400</v>
      </c>
      <c r="G3459">
        <v>57</v>
      </c>
      <c r="H3459" s="6">
        <f t="shared" si="274"/>
        <v>136.80000000000001</v>
      </c>
    </row>
    <row r="3460" spans="1:8" hidden="1" x14ac:dyDescent="0.3">
      <c r="A3460" s="9">
        <v>45262</v>
      </c>
      <c r="B3460" t="s">
        <v>45</v>
      </c>
      <c r="C3460" t="s">
        <v>9</v>
      </c>
      <c r="D3460" t="s">
        <v>24</v>
      </c>
      <c r="E3460" t="s">
        <v>34</v>
      </c>
      <c r="F3460">
        <v>1670</v>
      </c>
      <c r="G3460">
        <v>76</v>
      </c>
      <c r="H3460" s="6">
        <f t="shared" si="274"/>
        <v>126.92</v>
      </c>
    </row>
    <row r="3461" spans="1:8" hidden="1" x14ac:dyDescent="0.3">
      <c r="A3461" s="9">
        <v>45262</v>
      </c>
      <c r="B3461" t="s">
        <v>12</v>
      </c>
      <c r="C3461" t="s">
        <v>9</v>
      </c>
      <c r="D3461" t="s">
        <v>24</v>
      </c>
      <c r="E3461" t="s">
        <v>30</v>
      </c>
      <c r="F3461">
        <v>2970</v>
      </c>
      <c r="G3461">
        <v>12</v>
      </c>
      <c r="H3461" s="6">
        <f t="shared" si="274"/>
        <v>35.64</v>
      </c>
    </row>
    <row r="3462" spans="1:8" hidden="1" x14ac:dyDescent="0.3">
      <c r="A3462" s="9">
        <v>45262</v>
      </c>
      <c r="B3462" t="s">
        <v>17</v>
      </c>
      <c r="C3462" t="s">
        <v>26</v>
      </c>
      <c r="D3462" t="s">
        <v>13</v>
      </c>
      <c r="E3462" t="s">
        <v>38</v>
      </c>
      <c r="F3462">
        <v>2400</v>
      </c>
      <c r="G3462">
        <v>90</v>
      </c>
      <c r="H3462" s="6">
        <f t="shared" si="274"/>
        <v>216</v>
      </c>
    </row>
    <row r="3463" spans="1:8" hidden="1" x14ac:dyDescent="0.3">
      <c r="A3463" s="9">
        <v>45262</v>
      </c>
      <c r="B3463" t="s">
        <v>8</v>
      </c>
      <c r="C3463" t="s">
        <v>15</v>
      </c>
      <c r="D3463" t="s">
        <v>18</v>
      </c>
      <c r="E3463" t="s">
        <v>19</v>
      </c>
      <c r="F3463">
        <v>325</v>
      </c>
      <c r="G3463">
        <v>29</v>
      </c>
      <c r="H3463" s="6">
        <f t="shared" si="274"/>
        <v>9.4250000000000007</v>
      </c>
    </row>
    <row r="3464" spans="1:8" hidden="1" x14ac:dyDescent="0.3">
      <c r="A3464" s="9">
        <v>45262</v>
      </c>
      <c r="B3464" t="s">
        <v>8</v>
      </c>
      <c r="C3464" t="s">
        <v>15</v>
      </c>
      <c r="D3464" t="s">
        <v>24</v>
      </c>
      <c r="E3464" t="s">
        <v>34</v>
      </c>
      <c r="F3464">
        <v>1670</v>
      </c>
      <c r="G3464">
        <v>72</v>
      </c>
      <c r="H3464" s="6">
        <f t="shared" si="274"/>
        <v>120.24</v>
      </c>
    </row>
    <row r="3465" spans="1:8" hidden="1" x14ac:dyDescent="0.3">
      <c r="A3465" s="9">
        <v>45262</v>
      </c>
      <c r="B3465" t="s">
        <v>17</v>
      </c>
      <c r="C3465" t="s">
        <v>33</v>
      </c>
      <c r="D3465" t="s">
        <v>18</v>
      </c>
      <c r="E3465" t="s">
        <v>21</v>
      </c>
      <c r="F3465">
        <v>450</v>
      </c>
      <c r="G3465">
        <v>53</v>
      </c>
      <c r="H3465" s="6">
        <f t="shared" si="274"/>
        <v>23.85</v>
      </c>
    </row>
    <row r="3466" spans="1:8" hidden="1" x14ac:dyDescent="0.3">
      <c r="A3466" s="9">
        <v>45262</v>
      </c>
      <c r="B3466" t="s">
        <v>45</v>
      </c>
      <c r="C3466" t="s">
        <v>33</v>
      </c>
      <c r="D3466" t="s">
        <v>13</v>
      </c>
      <c r="E3466" t="s">
        <v>43</v>
      </c>
      <c r="F3466">
        <v>1420</v>
      </c>
      <c r="G3466">
        <v>27</v>
      </c>
      <c r="H3466" s="6">
        <f t="shared" si="274"/>
        <v>38.340000000000003</v>
      </c>
    </row>
    <row r="3467" spans="1:8" hidden="1" x14ac:dyDescent="0.3">
      <c r="A3467" s="9">
        <v>45262</v>
      </c>
      <c r="B3467" t="s">
        <v>12</v>
      </c>
      <c r="C3467" t="s">
        <v>35</v>
      </c>
      <c r="D3467" t="s">
        <v>18</v>
      </c>
      <c r="E3467" t="s">
        <v>19</v>
      </c>
      <c r="F3467">
        <v>325</v>
      </c>
      <c r="G3467">
        <v>86</v>
      </c>
      <c r="H3467" s="6">
        <f t="shared" si="274"/>
        <v>27.95</v>
      </c>
    </row>
    <row r="3468" spans="1:8" hidden="1" x14ac:dyDescent="0.3">
      <c r="A3468" s="13" t="s">
        <v>350</v>
      </c>
      <c r="H3468" s="6">
        <f>SUBTOTAL(9,H3455:H3467)</f>
        <v>0</v>
      </c>
    </row>
    <row r="3469" spans="1:8" hidden="1" x14ac:dyDescent="0.3">
      <c r="A3469" s="9">
        <v>45263</v>
      </c>
      <c r="B3469" t="s">
        <v>45</v>
      </c>
      <c r="C3469" t="s">
        <v>20</v>
      </c>
      <c r="D3469" t="s">
        <v>10</v>
      </c>
      <c r="E3469" t="s">
        <v>40</v>
      </c>
      <c r="F3469">
        <v>540</v>
      </c>
      <c r="G3469">
        <v>52</v>
      </c>
      <c r="H3469" s="6">
        <f>F3469*G3469/1000</f>
        <v>28.08</v>
      </c>
    </row>
    <row r="3470" spans="1:8" hidden="1" x14ac:dyDescent="0.3">
      <c r="A3470" s="9">
        <v>45263</v>
      </c>
      <c r="B3470" t="s">
        <v>45</v>
      </c>
      <c r="C3470" t="s">
        <v>33</v>
      </c>
      <c r="D3470" t="s">
        <v>24</v>
      </c>
      <c r="E3470" t="s">
        <v>42</v>
      </c>
      <c r="F3470">
        <v>3205</v>
      </c>
      <c r="G3470">
        <v>64</v>
      </c>
      <c r="H3470" s="6">
        <f>F3470*G3470/1000</f>
        <v>205.12</v>
      </c>
    </row>
    <row r="3471" spans="1:8" hidden="1" x14ac:dyDescent="0.3">
      <c r="A3471" s="13" t="s">
        <v>351</v>
      </c>
      <c r="H3471" s="6">
        <f>SUBTOTAL(9,H3469:H3470)</f>
        <v>0</v>
      </c>
    </row>
    <row r="3472" spans="1:8" hidden="1" x14ac:dyDescent="0.3">
      <c r="A3472" s="9">
        <v>45264</v>
      </c>
      <c r="B3472" t="s">
        <v>8</v>
      </c>
      <c r="C3472" t="s">
        <v>20</v>
      </c>
      <c r="D3472" t="s">
        <v>10</v>
      </c>
      <c r="E3472" t="s">
        <v>16</v>
      </c>
      <c r="F3472">
        <v>1380</v>
      </c>
      <c r="G3472">
        <v>22</v>
      </c>
      <c r="H3472" s="6">
        <f t="shared" ref="H3472:H3483" si="275">F3472*G3472/1000</f>
        <v>30.36</v>
      </c>
    </row>
    <row r="3473" spans="1:8" hidden="1" x14ac:dyDescent="0.3">
      <c r="A3473" s="9">
        <v>45264</v>
      </c>
      <c r="B3473" t="s">
        <v>17</v>
      </c>
      <c r="C3473" t="s">
        <v>9</v>
      </c>
      <c r="D3473" t="s">
        <v>10</v>
      </c>
      <c r="E3473" t="s">
        <v>23</v>
      </c>
      <c r="F3473">
        <v>640</v>
      </c>
      <c r="G3473">
        <v>37</v>
      </c>
      <c r="H3473" s="6">
        <f t="shared" si="275"/>
        <v>23.68</v>
      </c>
    </row>
    <row r="3474" spans="1:8" hidden="1" x14ac:dyDescent="0.3">
      <c r="A3474" s="9">
        <v>45264</v>
      </c>
      <c r="B3474" t="s">
        <v>17</v>
      </c>
      <c r="C3474" t="s">
        <v>26</v>
      </c>
      <c r="D3474" t="s">
        <v>10</v>
      </c>
      <c r="E3474" t="s">
        <v>39</v>
      </c>
      <c r="F3474">
        <v>650</v>
      </c>
      <c r="G3474">
        <v>26</v>
      </c>
      <c r="H3474" s="6">
        <f t="shared" si="275"/>
        <v>16.899999999999999</v>
      </c>
    </row>
    <row r="3475" spans="1:8" hidden="1" x14ac:dyDescent="0.3">
      <c r="A3475" s="9">
        <v>45264</v>
      </c>
      <c r="B3475" t="s">
        <v>12</v>
      </c>
      <c r="C3475" t="s">
        <v>15</v>
      </c>
      <c r="D3475" t="s">
        <v>18</v>
      </c>
      <c r="E3475" t="s">
        <v>21</v>
      </c>
      <c r="F3475">
        <v>450</v>
      </c>
      <c r="G3475">
        <v>47</v>
      </c>
      <c r="H3475" s="6">
        <f t="shared" si="275"/>
        <v>21.15</v>
      </c>
    </row>
    <row r="3476" spans="1:8" hidden="1" x14ac:dyDescent="0.3">
      <c r="A3476" s="9">
        <v>45264</v>
      </c>
      <c r="B3476" t="s">
        <v>12</v>
      </c>
      <c r="C3476" t="s">
        <v>15</v>
      </c>
      <c r="D3476" t="s">
        <v>24</v>
      </c>
      <c r="E3476" t="s">
        <v>30</v>
      </c>
      <c r="F3476">
        <v>2970</v>
      </c>
      <c r="G3476">
        <v>46</v>
      </c>
      <c r="H3476" s="6">
        <f t="shared" si="275"/>
        <v>136.62</v>
      </c>
    </row>
    <row r="3477" spans="1:8" hidden="1" x14ac:dyDescent="0.3">
      <c r="A3477" s="9">
        <v>45264</v>
      </c>
      <c r="B3477" t="s">
        <v>45</v>
      </c>
      <c r="C3477" t="s">
        <v>15</v>
      </c>
      <c r="D3477" t="s">
        <v>24</v>
      </c>
      <c r="E3477" t="s">
        <v>30</v>
      </c>
      <c r="F3477">
        <v>2970</v>
      </c>
      <c r="G3477">
        <v>24</v>
      </c>
      <c r="H3477" s="6">
        <f t="shared" si="275"/>
        <v>71.28</v>
      </c>
    </row>
    <row r="3478" spans="1:8" hidden="1" x14ac:dyDescent="0.3">
      <c r="A3478" s="9">
        <v>45264</v>
      </c>
      <c r="B3478" t="s">
        <v>8</v>
      </c>
      <c r="C3478" t="s">
        <v>33</v>
      </c>
      <c r="D3478" t="s">
        <v>18</v>
      </c>
      <c r="E3478" t="s">
        <v>21</v>
      </c>
      <c r="F3478">
        <v>450</v>
      </c>
      <c r="G3478">
        <v>95</v>
      </c>
      <c r="H3478" s="6">
        <f t="shared" si="275"/>
        <v>42.75</v>
      </c>
    </row>
    <row r="3479" spans="1:8" hidden="1" x14ac:dyDescent="0.3">
      <c r="A3479" s="9">
        <v>45264</v>
      </c>
      <c r="B3479" t="s">
        <v>12</v>
      </c>
      <c r="C3479" t="s">
        <v>33</v>
      </c>
      <c r="D3479" t="s">
        <v>18</v>
      </c>
      <c r="E3479" t="s">
        <v>19</v>
      </c>
      <c r="F3479">
        <v>325</v>
      </c>
      <c r="G3479">
        <v>42</v>
      </c>
      <c r="H3479" s="6">
        <f t="shared" si="275"/>
        <v>13.65</v>
      </c>
    </row>
    <row r="3480" spans="1:8" hidden="1" x14ac:dyDescent="0.3">
      <c r="A3480" s="9">
        <v>45264</v>
      </c>
      <c r="B3480" t="s">
        <v>8</v>
      </c>
      <c r="C3480" t="s">
        <v>33</v>
      </c>
      <c r="D3480" t="s">
        <v>24</v>
      </c>
      <c r="E3480" t="s">
        <v>42</v>
      </c>
      <c r="F3480">
        <v>3205</v>
      </c>
      <c r="G3480">
        <v>83</v>
      </c>
      <c r="H3480" s="6">
        <f t="shared" si="275"/>
        <v>266.01499999999999</v>
      </c>
    </row>
    <row r="3481" spans="1:8" hidden="1" x14ac:dyDescent="0.3">
      <c r="A3481" s="9">
        <v>45264</v>
      </c>
      <c r="B3481" t="s">
        <v>45</v>
      </c>
      <c r="C3481" t="s">
        <v>35</v>
      </c>
      <c r="D3481" t="s">
        <v>10</v>
      </c>
      <c r="E3481" t="s">
        <v>23</v>
      </c>
      <c r="F3481">
        <v>640</v>
      </c>
      <c r="G3481">
        <v>68</v>
      </c>
      <c r="H3481" s="6">
        <f t="shared" si="275"/>
        <v>43.52</v>
      </c>
    </row>
    <row r="3482" spans="1:8" hidden="1" x14ac:dyDescent="0.3">
      <c r="A3482" s="9">
        <v>45264</v>
      </c>
      <c r="B3482" t="s">
        <v>45</v>
      </c>
      <c r="C3482" t="s">
        <v>35</v>
      </c>
      <c r="D3482" t="s">
        <v>10</v>
      </c>
      <c r="E3482" t="s">
        <v>41</v>
      </c>
      <c r="F3482">
        <v>650</v>
      </c>
      <c r="G3482">
        <v>39</v>
      </c>
      <c r="H3482" s="6">
        <f t="shared" si="275"/>
        <v>25.35</v>
      </c>
    </row>
    <row r="3483" spans="1:8" hidden="1" x14ac:dyDescent="0.3">
      <c r="A3483" s="9">
        <v>45264</v>
      </c>
      <c r="B3483" t="s">
        <v>17</v>
      </c>
      <c r="C3483" t="s">
        <v>35</v>
      </c>
      <c r="D3483" t="s">
        <v>18</v>
      </c>
      <c r="E3483" t="s">
        <v>37</v>
      </c>
      <c r="F3483">
        <v>890</v>
      </c>
      <c r="G3483">
        <v>20</v>
      </c>
      <c r="H3483" s="6">
        <f t="shared" si="275"/>
        <v>17.8</v>
      </c>
    </row>
    <row r="3484" spans="1:8" hidden="1" x14ac:dyDescent="0.3">
      <c r="A3484" s="13" t="s">
        <v>352</v>
      </c>
      <c r="H3484" s="6">
        <f>SUBTOTAL(9,H3472:H3483)</f>
        <v>0</v>
      </c>
    </row>
    <row r="3485" spans="1:8" hidden="1" x14ac:dyDescent="0.3">
      <c r="A3485" s="9">
        <v>45265</v>
      </c>
      <c r="B3485" t="s">
        <v>8</v>
      </c>
      <c r="C3485" t="s">
        <v>20</v>
      </c>
      <c r="D3485" t="s">
        <v>24</v>
      </c>
      <c r="E3485" t="s">
        <v>25</v>
      </c>
      <c r="F3485">
        <v>1760</v>
      </c>
      <c r="G3485">
        <v>13</v>
      </c>
      <c r="H3485" s="6">
        <f t="shared" ref="H3485:H3497" si="276">F3485*G3485/1000</f>
        <v>22.88</v>
      </c>
    </row>
    <row r="3486" spans="1:8" hidden="1" x14ac:dyDescent="0.3">
      <c r="A3486" s="9">
        <v>45265</v>
      </c>
      <c r="B3486" t="s">
        <v>12</v>
      </c>
      <c r="C3486" t="s">
        <v>20</v>
      </c>
      <c r="D3486" t="s">
        <v>24</v>
      </c>
      <c r="E3486" t="s">
        <v>36</v>
      </c>
      <c r="F3486">
        <v>2460</v>
      </c>
      <c r="G3486">
        <v>16</v>
      </c>
      <c r="H3486" s="6">
        <f t="shared" si="276"/>
        <v>39.36</v>
      </c>
    </row>
    <row r="3487" spans="1:8" hidden="1" x14ac:dyDescent="0.3">
      <c r="A3487" s="9">
        <v>45265</v>
      </c>
      <c r="B3487" t="s">
        <v>12</v>
      </c>
      <c r="C3487" t="s">
        <v>9</v>
      </c>
      <c r="D3487" t="s">
        <v>10</v>
      </c>
      <c r="E3487" t="s">
        <v>41</v>
      </c>
      <c r="F3487">
        <v>650</v>
      </c>
      <c r="G3487">
        <v>93</v>
      </c>
      <c r="H3487" s="6">
        <f t="shared" si="276"/>
        <v>60.45</v>
      </c>
    </row>
    <row r="3488" spans="1:8" hidden="1" x14ac:dyDescent="0.3">
      <c r="A3488" s="9">
        <v>45265</v>
      </c>
      <c r="B3488" t="s">
        <v>12</v>
      </c>
      <c r="C3488" t="s">
        <v>9</v>
      </c>
      <c r="D3488" t="s">
        <v>10</v>
      </c>
      <c r="E3488" t="s">
        <v>39</v>
      </c>
      <c r="F3488">
        <v>650</v>
      </c>
      <c r="G3488">
        <v>25</v>
      </c>
      <c r="H3488" s="6">
        <f t="shared" si="276"/>
        <v>16.25</v>
      </c>
    </row>
    <row r="3489" spans="1:8" hidden="1" x14ac:dyDescent="0.3">
      <c r="A3489" s="9">
        <v>45265</v>
      </c>
      <c r="B3489" t="s">
        <v>45</v>
      </c>
      <c r="C3489" t="s">
        <v>9</v>
      </c>
      <c r="D3489" t="s">
        <v>13</v>
      </c>
      <c r="E3489" t="s">
        <v>14</v>
      </c>
      <c r="F3489">
        <v>1320</v>
      </c>
      <c r="G3489">
        <v>50</v>
      </c>
      <c r="H3489" s="6">
        <f t="shared" si="276"/>
        <v>66</v>
      </c>
    </row>
    <row r="3490" spans="1:8" hidden="1" x14ac:dyDescent="0.3">
      <c r="A3490" s="9">
        <v>45265</v>
      </c>
      <c r="B3490" t="s">
        <v>17</v>
      </c>
      <c r="C3490" t="s">
        <v>26</v>
      </c>
      <c r="D3490" t="s">
        <v>10</v>
      </c>
      <c r="E3490" t="s">
        <v>41</v>
      </c>
      <c r="F3490">
        <v>650</v>
      </c>
      <c r="G3490">
        <v>55</v>
      </c>
      <c r="H3490" s="6">
        <f t="shared" si="276"/>
        <v>35.75</v>
      </c>
    </row>
    <row r="3491" spans="1:8" hidden="1" x14ac:dyDescent="0.3">
      <c r="A3491" s="9">
        <v>45265</v>
      </c>
      <c r="B3491" t="s">
        <v>17</v>
      </c>
      <c r="C3491" t="s">
        <v>26</v>
      </c>
      <c r="D3491" t="s">
        <v>13</v>
      </c>
      <c r="E3491" t="s">
        <v>38</v>
      </c>
      <c r="F3491">
        <v>2400</v>
      </c>
      <c r="G3491">
        <v>29</v>
      </c>
      <c r="H3491" s="6">
        <f t="shared" si="276"/>
        <v>69.599999999999994</v>
      </c>
    </row>
    <row r="3492" spans="1:8" hidden="1" x14ac:dyDescent="0.3">
      <c r="A3492" s="9">
        <v>45265</v>
      </c>
      <c r="B3492" t="s">
        <v>45</v>
      </c>
      <c r="C3492" t="s">
        <v>26</v>
      </c>
      <c r="D3492" t="s">
        <v>13</v>
      </c>
      <c r="E3492" t="s">
        <v>38</v>
      </c>
      <c r="F3492">
        <v>2400</v>
      </c>
      <c r="G3492">
        <v>99</v>
      </c>
      <c r="H3492" s="6">
        <f t="shared" si="276"/>
        <v>237.6</v>
      </c>
    </row>
    <row r="3493" spans="1:8" hidden="1" x14ac:dyDescent="0.3">
      <c r="A3493" s="9">
        <v>45265</v>
      </c>
      <c r="B3493" t="s">
        <v>17</v>
      </c>
      <c r="C3493" t="s">
        <v>15</v>
      </c>
      <c r="D3493" t="s">
        <v>10</v>
      </c>
      <c r="E3493" t="s">
        <v>40</v>
      </c>
      <c r="F3493">
        <v>540</v>
      </c>
      <c r="G3493">
        <v>39</v>
      </c>
      <c r="H3493" s="6">
        <f t="shared" si="276"/>
        <v>21.06</v>
      </c>
    </row>
    <row r="3494" spans="1:8" hidden="1" x14ac:dyDescent="0.3">
      <c r="A3494" s="9">
        <v>45265</v>
      </c>
      <c r="B3494" t="s">
        <v>12</v>
      </c>
      <c r="C3494" t="s">
        <v>15</v>
      </c>
      <c r="D3494" t="s">
        <v>24</v>
      </c>
      <c r="E3494" t="s">
        <v>42</v>
      </c>
      <c r="F3494">
        <v>3205</v>
      </c>
      <c r="G3494">
        <v>95</v>
      </c>
      <c r="H3494" s="6">
        <f t="shared" si="276"/>
        <v>304.47500000000002</v>
      </c>
    </row>
    <row r="3495" spans="1:8" hidden="1" x14ac:dyDescent="0.3">
      <c r="A3495" s="9">
        <v>45265</v>
      </c>
      <c r="B3495" t="s">
        <v>12</v>
      </c>
      <c r="C3495" t="s">
        <v>33</v>
      </c>
      <c r="D3495" t="s">
        <v>18</v>
      </c>
      <c r="E3495" t="s">
        <v>21</v>
      </c>
      <c r="F3495">
        <v>450</v>
      </c>
      <c r="G3495">
        <v>52</v>
      </c>
      <c r="H3495" s="6">
        <f t="shared" si="276"/>
        <v>23.4</v>
      </c>
    </row>
    <row r="3496" spans="1:8" hidden="1" x14ac:dyDescent="0.3">
      <c r="A3496" s="9">
        <v>45265</v>
      </c>
      <c r="B3496" t="s">
        <v>17</v>
      </c>
      <c r="C3496" t="s">
        <v>35</v>
      </c>
      <c r="D3496" t="s">
        <v>24</v>
      </c>
      <c r="E3496" t="s">
        <v>30</v>
      </c>
      <c r="F3496">
        <v>2970</v>
      </c>
      <c r="G3496">
        <v>62</v>
      </c>
      <c r="H3496" s="6">
        <f t="shared" si="276"/>
        <v>184.14</v>
      </c>
    </row>
    <row r="3497" spans="1:8" hidden="1" x14ac:dyDescent="0.3">
      <c r="A3497" s="9">
        <v>45265</v>
      </c>
      <c r="B3497" t="s">
        <v>12</v>
      </c>
      <c r="C3497" t="s">
        <v>35</v>
      </c>
      <c r="D3497" t="s">
        <v>24</v>
      </c>
      <c r="E3497" t="s">
        <v>25</v>
      </c>
      <c r="F3497">
        <v>1760</v>
      </c>
      <c r="G3497">
        <v>66</v>
      </c>
      <c r="H3497" s="6">
        <f t="shared" si="276"/>
        <v>116.16</v>
      </c>
    </row>
    <row r="3498" spans="1:8" hidden="1" x14ac:dyDescent="0.3">
      <c r="A3498" s="13" t="s">
        <v>353</v>
      </c>
      <c r="H3498" s="6">
        <f>SUBTOTAL(9,H3485:H3497)</f>
        <v>0</v>
      </c>
    </row>
    <row r="3499" spans="1:8" hidden="1" x14ac:dyDescent="0.3">
      <c r="A3499" s="9">
        <v>45266</v>
      </c>
      <c r="B3499" t="s">
        <v>8</v>
      </c>
      <c r="C3499" t="s">
        <v>20</v>
      </c>
      <c r="D3499" t="s">
        <v>18</v>
      </c>
      <c r="E3499" t="s">
        <v>19</v>
      </c>
      <c r="F3499">
        <v>325</v>
      </c>
      <c r="G3499">
        <v>58</v>
      </c>
      <c r="H3499" s="6">
        <f t="shared" ref="H3499:H3510" si="277">F3499*G3499/1000</f>
        <v>18.850000000000001</v>
      </c>
    </row>
    <row r="3500" spans="1:8" hidden="1" x14ac:dyDescent="0.3">
      <c r="A3500" s="9">
        <v>45266</v>
      </c>
      <c r="B3500" t="s">
        <v>45</v>
      </c>
      <c r="C3500" t="s">
        <v>20</v>
      </c>
      <c r="D3500" t="s">
        <v>18</v>
      </c>
      <c r="E3500" t="s">
        <v>27</v>
      </c>
      <c r="F3500">
        <v>460</v>
      </c>
      <c r="G3500">
        <v>33</v>
      </c>
      <c r="H3500" s="6">
        <f t="shared" si="277"/>
        <v>15.18</v>
      </c>
    </row>
    <row r="3501" spans="1:8" hidden="1" x14ac:dyDescent="0.3">
      <c r="A3501" s="9">
        <v>45266</v>
      </c>
      <c r="B3501" t="s">
        <v>12</v>
      </c>
      <c r="C3501" t="s">
        <v>20</v>
      </c>
      <c r="D3501" t="s">
        <v>24</v>
      </c>
      <c r="E3501" t="s">
        <v>36</v>
      </c>
      <c r="F3501">
        <v>2460</v>
      </c>
      <c r="G3501">
        <v>58</v>
      </c>
      <c r="H3501" s="6">
        <f t="shared" si="277"/>
        <v>142.68</v>
      </c>
    </row>
    <row r="3502" spans="1:8" hidden="1" x14ac:dyDescent="0.3">
      <c r="A3502" s="9">
        <v>45266</v>
      </c>
      <c r="B3502" t="s">
        <v>8</v>
      </c>
      <c r="C3502" t="s">
        <v>9</v>
      </c>
      <c r="D3502" t="s">
        <v>13</v>
      </c>
      <c r="E3502" t="s">
        <v>43</v>
      </c>
      <c r="F3502">
        <v>1420</v>
      </c>
      <c r="G3502">
        <v>87</v>
      </c>
      <c r="H3502" s="6">
        <f t="shared" si="277"/>
        <v>123.54</v>
      </c>
    </row>
    <row r="3503" spans="1:8" hidden="1" x14ac:dyDescent="0.3">
      <c r="A3503" s="9">
        <v>45266</v>
      </c>
      <c r="B3503" t="s">
        <v>45</v>
      </c>
      <c r="C3503" t="s">
        <v>15</v>
      </c>
      <c r="D3503" t="s">
        <v>24</v>
      </c>
      <c r="E3503" t="s">
        <v>36</v>
      </c>
      <c r="F3503">
        <v>2460</v>
      </c>
      <c r="G3503">
        <v>77</v>
      </c>
      <c r="H3503" s="6">
        <f t="shared" si="277"/>
        <v>189.42</v>
      </c>
    </row>
    <row r="3504" spans="1:8" hidden="1" x14ac:dyDescent="0.3">
      <c r="A3504" s="9">
        <v>45266</v>
      </c>
      <c r="B3504" t="s">
        <v>17</v>
      </c>
      <c r="C3504" t="s">
        <v>15</v>
      </c>
      <c r="D3504" t="s">
        <v>24</v>
      </c>
      <c r="E3504" t="s">
        <v>25</v>
      </c>
      <c r="F3504">
        <v>1760</v>
      </c>
      <c r="G3504">
        <v>18</v>
      </c>
      <c r="H3504" s="6">
        <f t="shared" si="277"/>
        <v>31.68</v>
      </c>
    </row>
    <row r="3505" spans="1:8" hidden="1" x14ac:dyDescent="0.3">
      <c r="A3505" s="9">
        <v>45266</v>
      </c>
      <c r="B3505" t="s">
        <v>8</v>
      </c>
      <c r="C3505" t="s">
        <v>15</v>
      </c>
      <c r="D3505" t="s">
        <v>24</v>
      </c>
      <c r="E3505" t="s">
        <v>36</v>
      </c>
      <c r="F3505">
        <v>2460</v>
      </c>
      <c r="G3505">
        <v>19</v>
      </c>
      <c r="H3505" s="6">
        <f t="shared" si="277"/>
        <v>46.74</v>
      </c>
    </row>
    <row r="3506" spans="1:8" hidden="1" x14ac:dyDescent="0.3">
      <c r="A3506" s="9">
        <v>45266</v>
      </c>
      <c r="B3506" t="s">
        <v>17</v>
      </c>
      <c r="C3506" t="s">
        <v>33</v>
      </c>
      <c r="D3506" t="s">
        <v>18</v>
      </c>
      <c r="E3506" t="s">
        <v>28</v>
      </c>
      <c r="F3506">
        <v>690</v>
      </c>
      <c r="G3506">
        <v>11</v>
      </c>
      <c r="H3506" s="6">
        <f t="shared" si="277"/>
        <v>7.59</v>
      </c>
    </row>
    <row r="3507" spans="1:8" hidden="1" x14ac:dyDescent="0.3">
      <c r="A3507" s="9">
        <v>45266</v>
      </c>
      <c r="B3507" t="s">
        <v>17</v>
      </c>
      <c r="C3507" t="s">
        <v>33</v>
      </c>
      <c r="D3507" t="s">
        <v>18</v>
      </c>
      <c r="E3507" t="s">
        <v>19</v>
      </c>
      <c r="F3507">
        <v>325</v>
      </c>
      <c r="G3507">
        <v>26</v>
      </c>
      <c r="H3507" s="6">
        <f t="shared" si="277"/>
        <v>8.4499999999999993</v>
      </c>
    </row>
    <row r="3508" spans="1:8" hidden="1" x14ac:dyDescent="0.3">
      <c r="A3508" s="9">
        <v>45266</v>
      </c>
      <c r="B3508" t="s">
        <v>8</v>
      </c>
      <c r="C3508" t="s">
        <v>33</v>
      </c>
      <c r="D3508" t="s">
        <v>18</v>
      </c>
      <c r="E3508" t="s">
        <v>19</v>
      </c>
      <c r="F3508">
        <v>325</v>
      </c>
      <c r="G3508">
        <v>12</v>
      </c>
      <c r="H3508" s="6">
        <f t="shared" si="277"/>
        <v>3.9</v>
      </c>
    </row>
    <row r="3509" spans="1:8" hidden="1" x14ac:dyDescent="0.3">
      <c r="A3509" s="9">
        <v>45266</v>
      </c>
      <c r="B3509" t="s">
        <v>12</v>
      </c>
      <c r="C3509" t="s">
        <v>33</v>
      </c>
      <c r="D3509" t="s">
        <v>13</v>
      </c>
      <c r="E3509" t="s">
        <v>14</v>
      </c>
      <c r="F3509">
        <v>1320</v>
      </c>
      <c r="G3509">
        <v>83</v>
      </c>
      <c r="H3509" s="6">
        <f t="shared" si="277"/>
        <v>109.56</v>
      </c>
    </row>
    <row r="3510" spans="1:8" hidden="1" x14ac:dyDescent="0.3">
      <c r="A3510" s="9">
        <v>45266</v>
      </c>
      <c r="B3510" t="s">
        <v>17</v>
      </c>
      <c r="C3510" t="s">
        <v>33</v>
      </c>
      <c r="D3510" t="s">
        <v>24</v>
      </c>
      <c r="E3510" t="s">
        <v>34</v>
      </c>
      <c r="F3510">
        <v>1670</v>
      </c>
      <c r="G3510">
        <v>85</v>
      </c>
      <c r="H3510" s="6">
        <f t="shared" si="277"/>
        <v>141.94999999999999</v>
      </c>
    </row>
    <row r="3511" spans="1:8" hidden="1" x14ac:dyDescent="0.3">
      <c r="A3511" s="13" t="s">
        <v>354</v>
      </c>
      <c r="H3511" s="6">
        <f>SUBTOTAL(9,H3499:H3510)</f>
        <v>0</v>
      </c>
    </row>
    <row r="3512" spans="1:8" hidden="1" x14ac:dyDescent="0.3">
      <c r="A3512" s="9">
        <v>45267</v>
      </c>
      <c r="B3512" t="s">
        <v>12</v>
      </c>
      <c r="C3512" t="s">
        <v>20</v>
      </c>
      <c r="D3512" t="s">
        <v>18</v>
      </c>
      <c r="E3512" t="s">
        <v>21</v>
      </c>
      <c r="F3512">
        <v>450</v>
      </c>
      <c r="G3512">
        <v>8</v>
      </c>
      <c r="H3512" s="6">
        <f t="shared" ref="H3512:H3521" si="278">F3512*G3512/1000</f>
        <v>3.6</v>
      </c>
    </row>
    <row r="3513" spans="1:8" hidden="1" x14ac:dyDescent="0.3">
      <c r="A3513" s="9">
        <v>45267</v>
      </c>
      <c r="B3513" t="s">
        <v>17</v>
      </c>
      <c r="C3513" t="s">
        <v>9</v>
      </c>
      <c r="D3513" t="s">
        <v>18</v>
      </c>
      <c r="E3513" t="s">
        <v>21</v>
      </c>
      <c r="F3513">
        <v>450</v>
      </c>
      <c r="G3513">
        <v>97</v>
      </c>
      <c r="H3513" s="6">
        <f t="shared" si="278"/>
        <v>43.65</v>
      </c>
    </row>
    <row r="3514" spans="1:8" hidden="1" x14ac:dyDescent="0.3">
      <c r="A3514" s="9">
        <v>45267</v>
      </c>
      <c r="B3514" t="s">
        <v>45</v>
      </c>
      <c r="C3514" t="s">
        <v>9</v>
      </c>
      <c r="D3514" t="s">
        <v>18</v>
      </c>
      <c r="E3514" t="s">
        <v>37</v>
      </c>
      <c r="F3514">
        <v>890</v>
      </c>
      <c r="G3514">
        <v>5</v>
      </c>
      <c r="H3514" s="6">
        <f t="shared" si="278"/>
        <v>4.45</v>
      </c>
    </row>
    <row r="3515" spans="1:8" hidden="1" x14ac:dyDescent="0.3">
      <c r="A3515" s="9">
        <v>45267</v>
      </c>
      <c r="B3515" t="s">
        <v>17</v>
      </c>
      <c r="C3515" t="s">
        <v>9</v>
      </c>
      <c r="D3515" t="s">
        <v>18</v>
      </c>
      <c r="E3515" t="s">
        <v>21</v>
      </c>
      <c r="F3515">
        <v>450</v>
      </c>
      <c r="G3515">
        <v>60</v>
      </c>
      <c r="H3515" s="6">
        <f t="shared" si="278"/>
        <v>27</v>
      </c>
    </row>
    <row r="3516" spans="1:8" hidden="1" x14ac:dyDescent="0.3">
      <c r="A3516" s="9">
        <v>45267</v>
      </c>
      <c r="B3516" t="s">
        <v>12</v>
      </c>
      <c r="C3516" t="s">
        <v>26</v>
      </c>
      <c r="D3516" t="s">
        <v>24</v>
      </c>
      <c r="E3516" t="s">
        <v>30</v>
      </c>
      <c r="F3516">
        <v>2970</v>
      </c>
      <c r="G3516">
        <v>15</v>
      </c>
      <c r="H3516" s="6">
        <f t="shared" si="278"/>
        <v>44.55</v>
      </c>
    </row>
    <row r="3517" spans="1:8" hidden="1" x14ac:dyDescent="0.3">
      <c r="A3517" s="9">
        <v>45267</v>
      </c>
      <c r="B3517" t="s">
        <v>17</v>
      </c>
      <c r="C3517" t="s">
        <v>15</v>
      </c>
      <c r="D3517" t="s">
        <v>18</v>
      </c>
      <c r="E3517" t="s">
        <v>28</v>
      </c>
      <c r="F3517">
        <v>690</v>
      </c>
      <c r="G3517">
        <v>47</v>
      </c>
      <c r="H3517" s="6">
        <f t="shared" si="278"/>
        <v>32.43</v>
      </c>
    </row>
    <row r="3518" spans="1:8" hidden="1" x14ac:dyDescent="0.3">
      <c r="A3518" s="9">
        <v>45267</v>
      </c>
      <c r="B3518" t="s">
        <v>45</v>
      </c>
      <c r="C3518" t="s">
        <v>33</v>
      </c>
      <c r="D3518" t="s">
        <v>13</v>
      </c>
      <c r="E3518" t="s">
        <v>43</v>
      </c>
      <c r="F3518">
        <v>1420</v>
      </c>
      <c r="G3518">
        <v>6</v>
      </c>
      <c r="H3518" s="6">
        <f t="shared" si="278"/>
        <v>8.52</v>
      </c>
    </row>
    <row r="3519" spans="1:8" hidden="1" x14ac:dyDescent="0.3">
      <c r="A3519" s="9">
        <v>45267</v>
      </c>
      <c r="B3519" t="s">
        <v>17</v>
      </c>
      <c r="C3519" t="s">
        <v>35</v>
      </c>
      <c r="D3519" t="s">
        <v>10</v>
      </c>
      <c r="E3519" t="s">
        <v>23</v>
      </c>
      <c r="F3519">
        <v>640</v>
      </c>
      <c r="G3519">
        <v>40</v>
      </c>
      <c r="H3519" s="6">
        <f t="shared" si="278"/>
        <v>25.6</v>
      </c>
    </row>
    <row r="3520" spans="1:8" hidden="1" x14ac:dyDescent="0.3">
      <c r="A3520" s="9">
        <v>45267</v>
      </c>
      <c r="B3520" t="s">
        <v>12</v>
      </c>
      <c r="C3520" t="s">
        <v>35</v>
      </c>
      <c r="D3520" t="s">
        <v>13</v>
      </c>
      <c r="E3520" t="s">
        <v>38</v>
      </c>
      <c r="F3520">
        <v>2400</v>
      </c>
      <c r="G3520">
        <v>70</v>
      </c>
      <c r="H3520" s="6">
        <f t="shared" si="278"/>
        <v>168</v>
      </c>
    </row>
    <row r="3521" spans="1:8" hidden="1" x14ac:dyDescent="0.3">
      <c r="A3521" s="9">
        <v>45267</v>
      </c>
      <c r="B3521" t="s">
        <v>12</v>
      </c>
      <c r="C3521" t="s">
        <v>35</v>
      </c>
      <c r="D3521" t="s">
        <v>13</v>
      </c>
      <c r="E3521" t="s">
        <v>44</v>
      </c>
      <c r="F3521">
        <v>2540</v>
      </c>
      <c r="G3521">
        <v>62</v>
      </c>
      <c r="H3521" s="6">
        <f t="shared" si="278"/>
        <v>157.47999999999999</v>
      </c>
    </row>
    <row r="3522" spans="1:8" hidden="1" x14ac:dyDescent="0.3">
      <c r="A3522" s="13" t="s">
        <v>355</v>
      </c>
      <c r="H3522" s="6">
        <f>SUBTOTAL(9,H3512:H3521)</f>
        <v>0</v>
      </c>
    </row>
    <row r="3523" spans="1:8" hidden="1" x14ac:dyDescent="0.3">
      <c r="A3523" s="9">
        <v>45268</v>
      </c>
      <c r="B3523" t="s">
        <v>17</v>
      </c>
      <c r="C3523" t="s">
        <v>20</v>
      </c>
      <c r="D3523" t="s">
        <v>18</v>
      </c>
      <c r="E3523" t="s">
        <v>37</v>
      </c>
      <c r="F3523">
        <v>890</v>
      </c>
      <c r="G3523">
        <v>87</v>
      </c>
      <c r="H3523" s="6">
        <f t="shared" ref="H3523:H3539" si="279">F3523*G3523/1000</f>
        <v>77.430000000000007</v>
      </c>
    </row>
    <row r="3524" spans="1:8" hidden="1" x14ac:dyDescent="0.3">
      <c r="A3524" s="9">
        <v>45268</v>
      </c>
      <c r="B3524" t="s">
        <v>17</v>
      </c>
      <c r="C3524" t="s">
        <v>20</v>
      </c>
      <c r="D3524" t="s">
        <v>13</v>
      </c>
      <c r="E3524" t="s">
        <v>38</v>
      </c>
      <c r="F3524">
        <v>2400</v>
      </c>
      <c r="G3524">
        <v>22</v>
      </c>
      <c r="H3524" s="6">
        <f t="shared" si="279"/>
        <v>52.8</v>
      </c>
    </row>
    <row r="3525" spans="1:8" hidden="1" x14ac:dyDescent="0.3">
      <c r="A3525" s="9">
        <v>45268</v>
      </c>
      <c r="B3525" t="s">
        <v>8</v>
      </c>
      <c r="C3525" t="s">
        <v>20</v>
      </c>
      <c r="D3525" t="s">
        <v>13</v>
      </c>
      <c r="E3525" t="s">
        <v>44</v>
      </c>
      <c r="F3525">
        <v>2540</v>
      </c>
      <c r="G3525">
        <v>52</v>
      </c>
      <c r="H3525" s="6">
        <f t="shared" si="279"/>
        <v>132.08000000000001</v>
      </c>
    </row>
    <row r="3526" spans="1:8" hidden="1" x14ac:dyDescent="0.3">
      <c r="A3526" s="9">
        <v>45268</v>
      </c>
      <c r="B3526" t="s">
        <v>8</v>
      </c>
      <c r="C3526" t="s">
        <v>9</v>
      </c>
      <c r="D3526" t="s">
        <v>13</v>
      </c>
      <c r="E3526" t="s">
        <v>22</v>
      </c>
      <c r="F3526">
        <v>930</v>
      </c>
      <c r="G3526">
        <v>19</v>
      </c>
      <c r="H3526" s="6">
        <f t="shared" si="279"/>
        <v>17.670000000000002</v>
      </c>
    </row>
    <row r="3527" spans="1:8" hidden="1" x14ac:dyDescent="0.3">
      <c r="A3527" s="9">
        <v>45268</v>
      </c>
      <c r="B3527" t="s">
        <v>12</v>
      </c>
      <c r="C3527" t="s">
        <v>9</v>
      </c>
      <c r="D3527" t="s">
        <v>24</v>
      </c>
      <c r="E3527" t="s">
        <v>30</v>
      </c>
      <c r="F3527">
        <v>2970</v>
      </c>
      <c r="G3527">
        <v>34</v>
      </c>
      <c r="H3527" s="6">
        <f t="shared" si="279"/>
        <v>100.98</v>
      </c>
    </row>
    <row r="3528" spans="1:8" hidden="1" x14ac:dyDescent="0.3">
      <c r="A3528" s="9">
        <v>45268</v>
      </c>
      <c r="B3528" t="s">
        <v>45</v>
      </c>
      <c r="C3528" t="s">
        <v>26</v>
      </c>
      <c r="D3528" t="s">
        <v>10</v>
      </c>
      <c r="E3528" t="s">
        <v>41</v>
      </c>
      <c r="F3528">
        <v>650</v>
      </c>
      <c r="G3528">
        <v>91</v>
      </c>
      <c r="H3528" s="6">
        <f t="shared" si="279"/>
        <v>59.15</v>
      </c>
    </row>
    <row r="3529" spans="1:8" hidden="1" x14ac:dyDescent="0.3">
      <c r="A3529" s="9">
        <v>45268</v>
      </c>
      <c r="B3529" t="s">
        <v>12</v>
      </c>
      <c r="C3529" t="s">
        <v>26</v>
      </c>
      <c r="D3529" t="s">
        <v>10</v>
      </c>
      <c r="E3529" t="s">
        <v>41</v>
      </c>
      <c r="F3529">
        <v>650</v>
      </c>
      <c r="G3529">
        <v>30</v>
      </c>
      <c r="H3529" s="6">
        <f t="shared" si="279"/>
        <v>19.5</v>
      </c>
    </row>
    <row r="3530" spans="1:8" hidden="1" x14ac:dyDescent="0.3">
      <c r="A3530" s="9">
        <v>45268</v>
      </c>
      <c r="B3530" t="s">
        <v>8</v>
      </c>
      <c r="C3530" t="s">
        <v>26</v>
      </c>
      <c r="D3530" t="s">
        <v>18</v>
      </c>
      <c r="E3530" t="s">
        <v>19</v>
      </c>
      <c r="F3530">
        <v>325</v>
      </c>
      <c r="G3530">
        <v>78</v>
      </c>
      <c r="H3530" s="6">
        <f t="shared" si="279"/>
        <v>25.35</v>
      </c>
    </row>
    <row r="3531" spans="1:8" hidden="1" x14ac:dyDescent="0.3">
      <c r="A3531" s="9">
        <v>45268</v>
      </c>
      <c r="B3531" t="s">
        <v>45</v>
      </c>
      <c r="C3531" t="s">
        <v>26</v>
      </c>
      <c r="D3531" t="s">
        <v>18</v>
      </c>
      <c r="E3531" t="s">
        <v>28</v>
      </c>
      <c r="F3531">
        <v>690</v>
      </c>
      <c r="G3531">
        <v>72</v>
      </c>
      <c r="H3531" s="6">
        <f t="shared" si="279"/>
        <v>49.68</v>
      </c>
    </row>
    <row r="3532" spans="1:8" hidden="1" x14ac:dyDescent="0.3">
      <c r="A3532" s="9">
        <v>45268</v>
      </c>
      <c r="B3532" t="s">
        <v>17</v>
      </c>
      <c r="C3532" t="s">
        <v>26</v>
      </c>
      <c r="D3532" t="s">
        <v>24</v>
      </c>
      <c r="E3532" t="s">
        <v>32</v>
      </c>
      <c r="F3532">
        <v>1505</v>
      </c>
      <c r="G3532">
        <v>77</v>
      </c>
      <c r="H3532" s="6">
        <f t="shared" si="279"/>
        <v>115.88500000000001</v>
      </c>
    </row>
    <row r="3533" spans="1:8" hidden="1" x14ac:dyDescent="0.3">
      <c r="A3533" s="9">
        <v>45268</v>
      </c>
      <c r="B3533" t="s">
        <v>45</v>
      </c>
      <c r="C3533" t="s">
        <v>15</v>
      </c>
      <c r="D3533" t="s">
        <v>10</v>
      </c>
      <c r="E3533" t="s">
        <v>41</v>
      </c>
      <c r="F3533">
        <v>650</v>
      </c>
      <c r="G3533">
        <v>36</v>
      </c>
      <c r="H3533" s="6">
        <f t="shared" si="279"/>
        <v>23.4</v>
      </c>
    </row>
    <row r="3534" spans="1:8" hidden="1" x14ac:dyDescent="0.3">
      <c r="A3534" s="9">
        <v>45268</v>
      </c>
      <c r="B3534" t="s">
        <v>12</v>
      </c>
      <c r="C3534" t="s">
        <v>15</v>
      </c>
      <c r="D3534" t="s">
        <v>10</v>
      </c>
      <c r="E3534" t="s">
        <v>40</v>
      </c>
      <c r="F3534">
        <v>540</v>
      </c>
      <c r="G3534">
        <v>40</v>
      </c>
      <c r="H3534" s="6">
        <f t="shared" si="279"/>
        <v>21.6</v>
      </c>
    </row>
    <row r="3535" spans="1:8" hidden="1" x14ac:dyDescent="0.3">
      <c r="A3535" s="9">
        <v>45268</v>
      </c>
      <c r="B3535" t="s">
        <v>12</v>
      </c>
      <c r="C3535" t="s">
        <v>15</v>
      </c>
      <c r="D3535" t="s">
        <v>13</v>
      </c>
      <c r="E3535" t="s">
        <v>29</v>
      </c>
      <c r="F3535">
        <v>1230</v>
      </c>
      <c r="G3535">
        <v>14</v>
      </c>
      <c r="H3535" s="6">
        <f t="shared" si="279"/>
        <v>17.22</v>
      </c>
    </row>
    <row r="3536" spans="1:8" hidden="1" x14ac:dyDescent="0.3">
      <c r="A3536" s="9">
        <v>45268</v>
      </c>
      <c r="B3536" t="s">
        <v>8</v>
      </c>
      <c r="C3536" t="s">
        <v>33</v>
      </c>
      <c r="D3536" t="s">
        <v>18</v>
      </c>
      <c r="E3536" t="s">
        <v>31</v>
      </c>
      <c r="F3536">
        <v>715</v>
      </c>
      <c r="G3536">
        <v>33</v>
      </c>
      <c r="H3536" s="6">
        <f t="shared" si="279"/>
        <v>23.594999999999999</v>
      </c>
    </row>
    <row r="3537" spans="1:8" hidden="1" x14ac:dyDescent="0.3">
      <c r="A3537" s="9">
        <v>45268</v>
      </c>
      <c r="B3537" t="s">
        <v>45</v>
      </c>
      <c r="C3537" t="s">
        <v>33</v>
      </c>
      <c r="D3537" t="s">
        <v>24</v>
      </c>
      <c r="E3537" t="s">
        <v>34</v>
      </c>
      <c r="F3537">
        <v>1670</v>
      </c>
      <c r="G3537">
        <v>14</v>
      </c>
      <c r="H3537" s="6">
        <f t="shared" si="279"/>
        <v>23.38</v>
      </c>
    </row>
    <row r="3538" spans="1:8" hidden="1" x14ac:dyDescent="0.3">
      <c r="A3538" s="9">
        <v>45268</v>
      </c>
      <c r="B3538" t="s">
        <v>45</v>
      </c>
      <c r="C3538" t="s">
        <v>35</v>
      </c>
      <c r="D3538" t="s">
        <v>13</v>
      </c>
      <c r="E3538" t="s">
        <v>14</v>
      </c>
      <c r="F3538">
        <v>1320</v>
      </c>
      <c r="G3538">
        <v>9</v>
      </c>
      <c r="H3538" s="6">
        <f t="shared" si="279"/>
        <v>11.88</v>
      </c>
    </row>
    <row r="3539" spans="1:8" hidden="1" x14ac:dyDescent="0.3">
      <c r="A3539" s="9">
        <v>45268</v>
      </c>
      <c r="B3539" t="s">
        <v>45</v>
      </c>
      <c r="C3539" t="s">
        <v>35</v>
      </c>
      <c r="D3539" t="s">
        <v>24</v>
      </c>
      <c r="E3539" t="s">
        <v>25</v>
      </c>
      <c r="F3539">
        <v>1760</v>
      </c>
      <c r="G3539">
        <v>24</v>
      </c>
      <c r="H3539" s="6">
        <f t="shared" si="279"/>
        <v>42.24</v>
      </c>
    </row>
    <row r="3540" spans="1:8" hidden="1" x14ac:dyDescent="0.3">
      <c r="A3540" s="13" t="s">
        <v>356</v>
      </c>
      <c r="H3540" s="6">
        <f>SUBTOTAL(9,H3523:H3539)</f>
        <v>0</v>
      </c>
    </row>
    <row r="3541" spans="1:8" hidden="1" x14ac:dyDescent="0.3">
      <c r="A3541" s="9">
        <v>45269</v>
      </c>
      <c r="B3541" t="s">
        <v>8</v>
      </c>
      <c r="C3541" t="s">
        <v>20</v>
      </c>
      <c r="D3541" t="s">
        <v>24</v>
      </c>
      <c r="E3541" t="s">
        <v>34</v>
      </c>
      <c r="F3541">
        <v>1670</v>
      </c>
      <c r="G3541">
        <v>6</v>
      </c>
      <c r="H3541" s="6">
        <f t="shared" ref="H3541:H3546" si="280">F3541*G3541/1000</f>
        <v>10.02</v>
      </c>
    </row>
    <row r="3542" spans="1:8" hidden="1" x14ac:dyDescent="0.3">
      <c r="A3542" s="9">
        <v>45269</v>
      </c>
      <c r="B3542" t="s">
        <v>45</v>
      </c>
      <c r="C3542" t="s">
        <v>26</v>
      </c>
      <c r="D3542" t="s">
        <v>10</v>
      </c>
      <c r="E3542" t="s">
        <v>39</v>
      </c>
      <c r="F3542">
        <v>650</v>
      </c>
      <c r="G3542">
        <v>46</v>
      </c>
      <c r="H3542" s="6">
        <f t="shared" si="280"/>
        <v>29.9</v>
      </c>
    </row>
    <row r="3543" spans="1:8" hidden="1" x14ac:dyDescent="0.3">
      <c r="A3543" s="9">
        <v>45269</v>
      </c>
      <c r="B3543" t="s">
        <v>12</v>
      </c>
      <c r="C3543" t="s">
        <v>26</v>
      </c>
      <c r="D3543" t="s">
        <v>13</v>
      </c>
      <c r="E3543" t="s">
        <v>14</v>
      </c>
      <c r="F3543">
        <v>1320</v>
      </c>
      <c r="G3543">
        <v>17</v>
      </c>
      <c r="H3543" s="6">
        <f t="shared" si="280"/>
        <v>22.44</v>
      </c>
    </row>
    <row r="3544" spans="1:8" hidden="1" x14ac:dyDescent="0.3">
      <c r="A3544" s="9">
        <v>45269</v>
      </c>
      <c r="B3544" t="s">
        <v>8</v>
      </c>
      <c r="C3544" t="s">
        <v>26</v>
      </c>
      <c r="D3544" t="s">
        <v>24</v>
      </c>
      <c r="E3544" t="s">
        <v>36</v>
      </c>
      <c r="F3544">
        <v>2460</v>
      </c>
      <c r="G3544">
        <v>5</v>
      </c>
      <c r="H3544" s="6">
        <f t="shared" si="280"/>
        <v>12.3</v>
      </c>
    </row>
    <row r="3545" spans="1:8" hidden="1" x14ac:dyDescent="0.3">
      <c r="A3545" s="9">
        <v>45269</v>
      </c>
      <c r="B3545" t="s">
        <v>17</v>
      </c>
      <c r="C3545" t="s">
        <v>15</v>
      </c>
      <c r="D3545" t="s">
        <v>13</v>
      </c>
      <c r="E3545" t="s">
        <v>29</v>
      </c>
      <c r="F3545">
        <v>1230</v>
      </c>
      <c r="G3545">
        <v>90</v>
      </c>
      <c r="H3545" s="6">
        <f t="shared" si="280"/>
        <v>110.7</v>
      </c>
    </row>
    <row r="3546" spans="1:8" hidden="1" x14ac:dyDescent="0.3">
      <c r="A3546" s="9">
        <v>45269</v>
      </c>
      <c r="B3546" t="s">
        <v>17</v>
      </c>
      <c r="C3546" t="s">
        <v>35</v>
      </c>
      <c r="D3546" t="s">
        <v>18</v>
      </c>
      <c r="E3546" t="s">
        <v>31</v>
      </c>
      <c r="F3546">
        <v>715</v>
      </c>
      <c r="G3546">
        <v>28</v>
      </c>
      <c r="H3546" s="6">
        <f t="shared" si="280"/>
        <v>20.02</v>
      </c>
    </row>
    <row r="3547" spans="1:8" hidden="1" x14ac:dyDescent="0.3">
      <c r="A3547" s="13" t="s">
        <v>357</v>
      </c>
      <c r="H3547" s="6">
        <f>SUBTOTAL(9,H3541:H3546)</f>
        <v>0</v>
      </c>
    </row>
    <row r="3548" spans="1:8" hidden="1" x14ac:dyDescent="0.3">
      <c r="A3548" s="9">
        <v>45270</v>
      </c>
      <c r="B3548" t="s">
        <v>45</v>
      </c>
      <c r="C3548" t="s">
        <v>20</v>
      </c>
      <c r="D3548" t="s">
        <v>18</v>
      </c>
      <c r="E3548" t="s">
        <v>37</v>
      </c>
      <c r="F3548">
        <v>890</v>
      </c>
      <c r="G3548">
        <v>29</v>
      </c>
      <c r="H3548" s="6">
        <f t="shared" ref="H3548:H3560" si="281">F3548*G3548/1000</f>
        <v>25.81</v>
      </c>
    </row>
    <row r="3549" spans="1:8" hidden="1" x14ac:dyDescent="0.3">
      <c r="A3549" s="9">
        <v>45270</v>
      </c>
      <c r="B3549" t="s">
        <v>45</v>
      </c>
      <c r="C3549" t="s">
        <v>20</v>
      </c>
      <c r="D3549" t="s">
        <v>18</v>
      </c>
      <c r="E3549" t="s">
        <v>31</v>
      </c>
      <c r="F3549">
        <v>715</v>
      </c>
      <c r="G3549">
        <v>51</v>
      </c>
      <c r="H3549" s="6">
        <f t="shared" si="281"/>
        <v>36.465000000000003</v>
      </c>
    </row>
    <row r="3550" spans="1:8" hidden="1" x14ac:dyDescent="0.3">
      <c r="A3550" s="9">
        <v>45270</v>
      </c>
      <c r="B3550" t="s">
        <v>45</v>
      </c>
      <c r="C3550" t="s">
        <v>20</v>
      </c>
      <c r="D3550" t="s">
        <v>24</v>
      </c>
      <c r="E3550" t="s">
        <v>25</v>
      </c>
      <c r="F3550">
        <v>1760</v>
      </c>
      <c r="G3550">
        <v>86</v>
      </c>
      <c r="H3550" s="6">
        <f t="shared" si="281"/>
        <v>151.36000000000001</v>
      </c>
    </row>
    <row r="3551" spans="1:8" hidden="1" x14ac:dyDescent="0.3">
      <c r="A3551" s="9">
        <v>45270</v>
      </c>
      <c r="B3551" t="s">
        <v>8</v>
      </c>
      <c r="C3551" t="s">
        <v>9</v>
      </c>
      <c r="D3551" t="s">
        <v>18</v>
      </c>
      <c r="E3551" t="s">
        <v>28</v>
      </c>
      <c r="F3551">
        <v>690</v>
      </c>
      <c r="G3551">
        <v>97</v>
      </c>
      <c r="H3551" s="6">
        <f t="shared" si="281"/>
        <v>66.930000000000007</v>
      </c>
    </row>
    <row r="3552" spans="1:8" hidden="1" x14ac:dyDescent="0.3">
      <c r="A3552" s="9">
        <v>45270</v>
      </c>
      <c r="B3552" t="s">
        <v>8</v>
      </c>
      <c r="C3552" t="s">
        <v>26</v>
      </c>
      <c r="D3552" t="s">
        <v>18</v>
      </c>
      <c r="E3552" t="s">
        <v>28</v>
      </c>
      <c r="F3552">
        <v>690</v>
      </c>
      <c r="G3552">
        <v>27</v>
      </c>
      <c r="H3552" s="6">
        <f t="shared" si="281"/>
        <v>18.63</v>
      </c>
    </row>
    <row r="3553" spans="1:8" hidden="1" x14ac:dyDescent="0.3">
      <c r="A3553" s="9">
        <v>45270</v>
      </c>
      <c r="B3553" t="s">
        <v>17</v>
      </c>
      <c r="C3553" t="s">
        <v>26</v>
      </c>
      <c r="D3553" t="s">
        <v>18</v>
      </c>
      <c r="E3553" t="s">
        <v>37</v>
      </c>
      <c r="F3553">
        <v>890</v>
      </c>
      <c r="G3553">
        <v>68</v>
      </c>
      <c r="H3553" s="6">
        <f t="shared" si="281"/>
        <v>60.52</v>
      </c>
    </row>
    <row r="3554" spans="1:8" hidden="1" x14ac:dyDescent="0.3">
      <c r="A3554" s="9">
        <v>45270</v>
      </c>
      <c r="B3554" t="s">
        <v>45</v>
      </c>
      <c r="C3554" t="s">
        <v>15</v>
      </c>
      <c r="D3554" t="s">
        <v>10</v>
      </c>
      <c r="E3554" t="s">
        <v>39</v>
      </c>
      <c r="F3554">
        <v>650</v>
      </c>
      <c r="G3554">
        <v>34</v>
      </c>
      <c r="H3554" s="6">
        <f t="shared" si="281"/>
        <v>22.1</v>
      </c>
    </row>
    <row r="3555" spans="1:8" hidden="1" x14ac:dyDescent="0.3">
      <c r="A3555" s="9">
        <v>45270</v>
      </c>
      <c r="B3555" t="s">
        <v>45</v>
      </c>
      <c r="C3555" t="s">
        <v>15</v>
      </c>
      <c r="D3555" t="s">
        <v>13</v>
      </c>
      <c r="E3555" t="s">
        <v>22</v>
      </c>
      <c r="F3555">
        <v>930</v>
      </c>
      <c r="G3555">
        <v>33</v>
      </c>
      <c r="H3555" s="6">
        <f t="shared" si="281"/>
        <v>30.69</v>
      </c>
    </row>
    <row r="3556" spans="1:8" hidden="1" x14ac:dyDescent="0.3">
      <c r="A3556" s="9">
        <v>45270</v>
      </c>
      <c r="B3556" t="s">
        <v>17</v>
      </c>
      <c r="C3556" t="s">
        <v>15</v>
      </c>
      <c r="D3556" t="s">
        <v>24</v>
      </c>
      <c r="E3556" t="s">
        <v>25</v>
      </c>
      <c r="F3556">
        <v>1760</v>
      </c>
      <c r="G3556">
        <v>9</v>
      </c>
      <c r="H3556" s="6">
        <f t="shared" si="281"/>
        <v>15.84</v>
      </c>
    </row>
    <row r="3557" spans="1:8" hidden="1" x14ac:dyDescent="0.3">
      <c r="A3557" s="9">
        <v>45270</v>
      </c>
      <c r="B3557" t="s">
        <v>45</v>
      </c>
      <c r="C3557" t="s">
        <v>33</v>
      </c>
      <c r="D3557" t="s">
        <v>24</v>
      </c>
      <c r="E3557" t="s">
        <v>32</v>
      </c>
      <c r="F3557">
        <v>1505</v>
      </c>
      <c r="G3557">
        <v>15</v>
      </c>
      <c r="H3557" s="6">
        <f t="shared" si="281"/>
        <v>22.574999999999999</v>
      </c>
    </row>
    <row r="3558" spans="1:8" hidden="1" x14ac:dyDescent="0.3">
      <c r="A3558" s="9">
        <v>45270</v>
      </c>
      <c r="B3558" t="s">
        <v>8</v>
      </c>
      <c r="C3558" t="s">
        <v>35</v>
      </c>
      <c r="D3558" t="s">
        <v>10</v>
      </c>
      <c r="E3558" t="s">
        <v>16</v>
      </c>
      <c r="F3558">
        <v>1380</v>
      </c>
      <c r="G3558">
        <v>65</v>
      </c>
      <c r="H3558" s="6">
        <f t="shared" si="281"/>
        <v>89.7</v>
      </c>
    </row>
    <row r="3559" spans="1:8" hidden="1" x14ac:dyDescent="0.3">
      <c r="A3559" s="9">
        <v>45270</v>
      </c>
      <c r="B3559" t="s">
        <v>45</v>
      </c>
      <c r="C3559" t="s">
        <v>35</v>
      </c>
      <c r="D3559" t="s">
        <v>18</v>
      </c>
      <c r="E3559" t="s">
        <v>31</v>
      </c>
      <c r="F3559">
        <v>715</v>
      </c>
      <c r="G3559">
        <v>35</v>
      </c>
      <c r="H3559" s="6">
        <f t="shared" si="281"/>
        <v>25.024999999999999</v>
      </c>
    </row>
    <row r="3560" spans="1:8" hidden="1" x14ac:dyDescent="0.3">
      <c r="A3560" s="9">
        <v>45270</v>
      </c>
      <c r="B3560" t="s">
        <v>12</v>
      </c>
      <c r="C3560" t="s">
        <v>35</v>
      </c>
      <c r="D3560" t="s">
        <v>13</v>
      </c>
      <c r="E3560" t="s">
        <v>43</v>
      </c>
      <c r="F3560">
        <v>1420</v>
      </c>
      <c r="G3560">
        <v>69</v>
      </c>
      <c r="H3560" s="6">
        <f t="shared" si="281"/>
        <v>97.98</v>
      </c>
    </row>
    <row r="3561" spans="1:8" hidden="1" x14ac:dyDescent="0.3">
      <c r="A3561" s="13" t="s">
        <v>358</v>
      </c>
      <c r="H3561" s="6">
        <f>SUBTOTAL(9,H3548:H3560)</f>
        <v>0</v>
      </c>
    </row>
    <row r="3562" spans="1:8" hidden="1" x14ac:dyDescent="0.3">
      <c r="A3562" s="9">
        <v>45271</v>
      </c>
      <c r="B3562" t="s">
        <v>17</v>
      </c>
      <c r="C3562" t="s">
        <v>20</v>
      </c>
      <c r="D3562" t="s">
        <v>18</v>
      </c>
      <c r="E3562" t="s">
        <v>19</v>
      </c>
      <c r="F3562">
        <v>325</v>
      </c>
      <c r="G3562">
        <v>75</v>
      </c>
      <c r="H3562" s="6">
        <f>F3562*G3562/1000</f>
        <v>24.375</v>
      </c>
    </row>
    <row r="3563" spans="1:8" hidden="1" x14ac:dyDescent="0.3">
      <c r="A3563" s="9">
        <v>45271</v>
      </c>
      <c r="B3563" t="s">
        <v>12</v>
      </c>
      <c r="C3563" t="s">
        <v>20</v>
      </c>
      <c r="D3563" t="s">
        <v>18</v>
      </c>
      <c r="E3563" t="s">
        <v>19</v>
      </c>
      <c r="F3563">
        <v>325</v>
      </c>
      <c r="G3563">
        <v>87</v>
      </c>
      <c r="H3563" s="6">
        <f>F3563*G3563/1000</f>
        <v>28.274999999999999</v>
      </c>
    </row>
    <row r="3564" spans="1:8" hidden="1" x14ac:dyDescent="0.3">
      <c r="A3564" s="9">
        <v>45271</v>
      </c>
      <c r="B3564" t="s">
        <v>45</v>
      </c>
      <c r="C3564" t="s">
        <v>35</v>
      </c>
      <c r="D3564" t="s">
        <v>10</v>
      </c>
      <c r="E3564" t="s">
        <v>23</v>
      </c>
      <c r="F3564">
        <v>640</v>
      </c>
      <c r="G3564">
        <v>80</v>
      </c>
      <c r="H3564" s="6">
        <f>F3564*G3564/1000</f>
        <v>51.2</v>
      </c>
    </row>
    <row r="3565" spans="1:8" hidden="1" x14ac:dyDescent="0.3">
      <c r="A3565" s="9">
        <v>45271</v>
      </c>
      <c r="B3565" t="s">
        <v>8</v>
      </c>
      <c r="C3565" t="s">
        <v>35</v>
      </c>
      <c r="D3565" t="s">
        <v>10</v>
      </c>
      <c r="E3565" t="s">
        <v>23</v>
      </c>
      <c r="F3565">
        <v>640</v>
      </c>
      <c r="G3565">
        <v>78</v>
      </c>
      <c r="H3565" s="6">
        <f>F3565*G3565/1000</f>
        <v>49.92</v>
      </c>
    </row>
    <row r="3566" spans="1:8" hidden="1" x14ac:dyDescent="0.3">
      <c r="A3566" s="9">
        <v>45271</v>
      </c>
      <c r="B3566" t="s">
        <v>8</v>
      </c>
      <c r="C3566" t="s">
        <v>35</v>
      </c>
      <c r="D3566" t="s">
        <v>13</v>
      </c>
      <c r="E3566" t="s">
        <v>44</v>
      </c>
      <c r="F3566">
        <v>2540</v>
      </c>
      <c r="G3566">
        <v>24</v>
      </c>
      <c r="H3566" s="6">
        <f>F3566*G3566/1000</f>
        <v>60.96</v>
      </c>
    </row>
    <row r="3567" spans="1:8" hidden="1" x14ac:dyDescent="0.3">
      <c r="A3567" s="13" t="s">
        <v>359</v>
      </c>
      <c r="H3567" s="6">
        <f>SUBTOTAL(9,H3562:H3566)</f>
        <v>0</v>
      </c>
    </row>
    <row r="3568" spans="1:8" hidden="1" x14ac:dyDescent="0.3">
      <c r="A3568" s="9">
        <v>45272</v>
      </c>
      <c r="B3568" t="s">
        <v>8</v>
      </c>
      <c r="C3568" t="s">
        <v>20</v>
      </c>
      <c r="D3568" t="s">
        <v>24</v>
      </c>
      <c r="E3568" t="s">
        <v>42</v>
      </c>
      <c r="F3568">
        <v>3205</v>
      </c>
      <c r="G3568">
        <v>10</v>
      </c>
      <c r="H3568" s="6">
        <f t="shared" ref="H3568:H3575" si="282">F3568*G3568/1000</f>
        <v>32.049999999999997</v>
      </c>
    </row>
    <row r="3569" spans="1:8" hidden="1" x14ac:dyDescent="0.3">
      <c r="A3569" s="9">
        <v>45272</v>
      </c>
      <c r="B3569" t="s">
        <v>8</v>
      </c>
      <c r="C3569" t="s">
        <v>9</v>
      </c>
      <c r="D3569" t="s">
        <v>10</v>
      </c>
      <c r="E3569" t="s">
        <v>11</v>
      </c>
      <c r="F3569">
        <v>705</v>
      </c>
      <c r="G3569">
        <v>78</v>
      </c>
      <c r="H3569" s="6">
        <f t="shared" si="282"/>
        <v>54.99</v>
      </c>
    </row>
    <row r="3570" spans="1:8" hidden="1" x14ac:dyDescent="0.3">
      <c r="A3570" s="9">
        <v>45272</v>
      </c>
      <c r="B3570" t="s">
        <v>45</v>
      </c>
      <c r="C3570" t="s">
        <v>26</v>
      </c>
      <c r="D3570" t="s">
        <v>10</v>
      </c>
      <c r="E3570" t="s">
        <v>41</v>
      </c>
      <c r="F3570">
        <v>650</v>
      </c>
      <c r="G3570">
        <v>69</v>
      </c>
      <c r="H3570" s="6">
        <f t="shared" si="282"/>
        <v>44.85</v>
      </c>
    </row>
    <row r="3571" spans="1:8" hidden="1" x14ac:dyDescent="0.3">
      <c r="A3571" s="9">
        <v>45272</v>
      </c>
      <c r="B3571" t="s">
        <v>45</v>
      </c>
      <c r="C3571" t="s">
        <v>15</v>
      </c>
      <c r="D3571" t="s">
        <v>13</v>
      </c>
      <c r="E3571" t="s">
        <v>38</v>
      </c>
      <c r="F3571">
        <v>2400</v>
      </c>
      <c r="G3571">
        <v>28</v>
      </c>
      <c r="H3571" s="6">
        <f t="shared" si="282"/>
        <v>67.2</v>
      </c>
    </row>
    <row r="3572" spans="1:8" hidden="1" x14ac:dyDescent="0.3">
      <c r="A3572" s="9">
        <v>45272</v>
      </c>
      <c r="B3572" t="s">
        <v>45</v>
      </c>
      <c r="C3572" t="s">
        <v>15</v>
      </c>
      <c r="D3572" t="s">
        <v>24</v>
      </c>
      <c r="E3572" t="s">
        <v>25</v>
      </c>
      <c r="F3572">
        <v>1760</v>
      </c>
      <c r="G3572">
        <v>82</v>
      </c>
      <c r="H3572" s="6">
        <f t="shared" si="282"/>
        <v>144.32</v>
      </c>
    </row>
    <row r="3573" spans="1:8" hidden="1" x14ac:dyDescent="0.3">
      <c r="A3573" s="9">
        <v>45272</v>
      </c>
      <c r="B3573" t="s">
        <v>12</v>
      </c>
      <c r="C3573" t="s">
        <v>15</v>
      </c>
      <c r="D3573" t="s">
        <v>24</v>
      </c>
      <c r="E3573" t="s">
        <v>30</v>
      </c>
      <c r="F3573">
        <v>2970</v>
      </c>
      <c r="G3573">
        <v>5</v>
      </c>
      <c r="H3573" s="6">
        <f t="shared" si="282"/>
        <v>14.85</v>
      </c>
    </row>
    <row r="3574" spans="1:8" hidden="1" x14ac:dyDescent="0.3">
      <c r="A3574" s="9">
        <v>45272</v>
      </c>
      <c r="B3574" t="s">
        <v>12</v>
      </c>
      <c r="C3574" t="s">
        <v>33</v>
      </c>
      <c r="D3574" t="s">
        <v>13</v>
      </c>
      <c r="E3574" t="s">
        <v>43</v>
      </c>
      <c r="F3574">
        <v>1420</v>
      </c>
      <c r="G3574">
        <v>34</v>
      </c>
      <c r="H3574" s="6">
        <f t="shared" si="282"/>
        <v>48.28</v>
      </c>
    </row>
    <row r="3575" spans="1:8" hidden="1" x14ac:dyDescent="0.3">
      <c r="A3575" s="9">
        <v>45272</v>
      </c>
      <c r="B3575" t="s">
        <v>8</v>
      </c>
      <c r="C3575" t="s">
        <v>33</v>
      </c>
      <c r="D3575" t="s">
        <v>24</v>
      </c>
      <c r="E3575" t="s">
        <v>42</v>
      </c>
      <c r="F3575">
        <v>3205</v>
      </c>
      <c r="G3575">
        <v>34</v>
      </c>
      <c r="H3575" s="6">
        <f t="shared" si="282"/>
        <v>108.97</v>
      </c>
    </row>
    <row r="3576" spans="1:8" hidden="1" x14ac:dyDescent="0.3">
      <c r="A3576" s="13" t="s">
        <v>360</v>
      </c>
      <c r="H3576" s="6">
        <f>SUBTOTAL(9,H3568:H3575)</f>
        <v>0</v>
      </c>
    </row>
    <row r="3577" spans="1:8" hidden="1" x14ac:dyDescent="0.3">
      <c r="A3577" s="9">
        <v>45273</v>
      </c>
      <c r="B3577" t="s">
        <v>12</v>
      </c>
      <c r="C3577" t="s">
        <v>20</v>
      </c>
      <c r="D3577" t="s">
        <v>18</v>
      </c>
      <c r="E3577" t="s">
        <v>28</v>
      </c>
      <c r="F3577">
        <v>690</v>
      </c>
      <c r="G3577">
        <v>24</v>
      </c>
      <c r="H3577" s="6">
        <f>F3577*G3577/1000</f>
        <v>16.559999999999999</v>
      </c>
    </row>
    <row r="3578" spans="1:8" hidden="1" x14ac:dyDescent="0.3">
      <c r="A3578" s="9">
        <v>45273</v>
      </c>
      <c r="B3578" t="s">
        <v>45</v>
      </c>
      <c r="C3578" t="s">
        <v>20</v>
      </c>
      <c r="D3578" t="s">
        <v>24</v>
      </c>
      <c r="E3578" t="s">
        <v>32</v>
      </c>
      <c r="F3578">
        <v>1505</v>
      </c>
      <c r="G3578">
        <v>9</v>
      </c>
      <c r="H3578" s="6">
        <f>F3578*G3578/1000</f>
        <v>13.545</v>
      </c>
    </row>
    <row r="3579" spans="1:8" hidden="1" x14ac:dyDescent="0.3">
      <c r="A3579" s="9">
        <v>45273</v>
      </c>
      <c r="B3579" t="s">
        <v>8</v>
      </c>
      <c r="C3579" t="s">
        <v>9</v>
      </c>
      <c r="D3579" t="s">
        <v>13</v>
      </c>
      <c r="E3579" t="s">
        <v>43</v>
      </c>
      <c r="F3579">
        <v>1420</v>
      </c>
      <c r="G3579">
        <v>29</v>
      </c>
      <c r="H3579" s="6">
        <f>F3579*G3579/1000</f>
        <v>41.18</v>
      </c>
    </row>
    <row r="3580" spans="1:8" hidden="1" x14ac:dyDescent="0.3">
      <c r="A3580" s="9">
        <v>45273</v>
      </c>
      <c r="B3580" t="s">
        <v>45</v>
      </c>
      <c r="C3580" t="s">
        <v>26</v>
      </c>
      <c r="D3580" t="s">
        <v>10</v>
      </c>
      <c r="E3580" t="s">
        <v>16</v>
      </c>
      <c r="F3580">
        <v>1380</v>
      </c>
      <c r="G3580">
        <v>45</v>
      </c>
      <c r="H3580" s="6">
        <f>F3580*G3580/1000</f>
        <v>62.1</v>
      </c>
    </row>
    <row r="3581" spans="1:8" hidden="1" x14ac:dyDescent="0.3">
      <c r="A3581" s="9">
        <v>45273</v>
      </c>
      <c r="B3581" t="s">
        <v>17</v>
      </c>
      <c r="C3581" t="s">
        <v>33</v>
      </c>
      <c r="D3581" t="s">
        <v>24</v>
      </c>
      <c r="E3581" t="s">
        <v>34</v>
      </c>
      <c r="F3581">
        <v>1670</v>
      </c>
      <c r="G3581">
        <v>84</v>
      </c>
      <c r="H3581" s="6">
        <f>F3581*G3581/1000</f>
        <v>140.28</v>
      </c>
    </row>
    <row r="3582" spans="1:8" hidden="1" x14ac:dyDescent="0.3">
      <c r="A3582" s="13" t="s">
        <v>361</v>
      </c>
      <c r="H3582" s="6">
        <f>SUBTOTAL(9,H3577:H3581)</f>
        <v>0</v>
      </c>
    </row>
    <row r="3583" spans="1:8" hidden="1" x14ac:dyDescent="0.3">
      <c r="A3583" s="9">
        <v>45274</v>
      </c>
      <c r="B3583" t="s">
        <v>17</v>
      </c>
      <c r="C3583" t="s">
        <v>20</v>
      </c>
      <c r="D3583" t="s">
        <v>10</v>
      </c>
      <c r="E3583" t="s">
        <v>39</v>
      </c>
      <c r="F3583">
        <v>650</v>
      </c>
      <c r="G3583">
        <v>33</v>
      </c>
      <c r="H3583" s="6">
        <f t="shared" ref="H3583:H3592" si="283">F3583*G3583/1000</f>
        <v>21.45</v>
      </c>
    </row>
    <row r="3584" spans="1:8" hidden="1" x14ac:dyDescent="0.3">
      <c r="A3584" s="9">
        <v>45274</v>
      </c>
      <c r="B3584" t="s">
        <v>17</v>
      </c>
      <c r="C3584" t="s">
        <v>20</v>
      </c>
      <c r="D3584" t="s">
        <v>18</v>
      </c>
      <c r="E3584" t="s">
        <v>27</v>
      </c>
      <c r="F3584">
        <v>460</v>
      </c>
      <c r="G3584">
        <v>32</v>
      </c>
      <c r="H3584" s="6">
        <f t="shared" si="283"/>
        <v>14.72</v>
      </c>
    </row>
    <row r="3585" spans="1:8" hidden="1" x14ac:dyDescent="0.3">
      <c r="A3585" s="9">
        <v>45274</v>
      </c>
      <c r="B3585" t="s">
        <v>45</v>
      </c>
      <c r="C3585" t="s">
        <v>20</v>
      </c>
      <c r="D3585" t="s">
        <v>18</v>
      </c>
      <c r="E3585" t="s">
        <v>31</v>
      </c>
      <c r="F3585">
        <v>715</v>
      </c>
      <c r="G3585">
        <v>22</v>
      </c>
      <c r="H3585" s="6">
        <f t="shared" si="283"/>
        <v>15.73</v>
      </c>
    </row>
    <row r="3586" spans="1:8" hidden="1" x14ac:dyDescent="0.3">
      <c r="A3586" s="9">
        <v>45274</v>
      </c>
      <c r="B3586" t="s">
        <v>8</v>
      </c>
      <c r="C3586" t="s">
        <v>20</v>
      </c>
      <c r="D3586" t="s">
        <v>13</v>
      </c>
      <c r="E3586" t="s">
        <v>29</v>
      </c>
      <c r="F3586">
        <v>1230</v>
      </c>
      <c r="G3586">
        <v>17</v>
      </c>
      <c r="H3586" s="6">
        <f t="shared" si="283"/>
        <v>20.91</v>
      </c>
    </row>
    <row r="3587" spans="1:8" x14ac:dyDescent="0.3">
      <c r="A3587" s="9">
        <v>45274</v>
      </c>
      <c r="B3587" t="s">
        <v>45</v>
      </c>
      <c r="C3587" t="s">
        <v>20</v>
      </c>
      <c r="D3587" t="s">
        <v>13</v>
      </c>
      <c r="E3587" t="s">
        <v>29</v>
      </c>
      <c r="F3587">
        <v>1230</v>
      </c>
      <c r="G3587">
        <v>36</v>
      </c>
      <c r="H3587" s="6">
        <f t="shared" si="283"/>
        <v>44.28</v>
      </c>
    </row>
    <row r="3588" spans="1:8" hidden="1" x14ac:dyDescent="0.3">
      <c r="A3588" s="9">
        <v>45274</v>
      </c>
      <c r="B3588" t="s">
        <v>45</v>
      </c>
      <c r="C3588" t="s">
        <v>20</v>
      </c>
      <c r="D3588" t="s">
        <v>13</v>
      </c>
      <c r="E3588" t="s">
        <v>44</v>
      </c>
      <c r="F3588">
        <v>2540</v>
      </c>
      <c r="G3588">
        <v>7</v>
      </c>
      <c r="H3588" s="6">
        <f t="shared" si="283"/>
        <v>17.78</v>
      </c>
    </row>
    <row r="3589" spans="1:8" hidden="1" x14ac:dyDescent="0.3">
      <c r="A3589" s="9">
        <v>45274</v>
      </c>
      <c r="B3589" t="s">
        <v>8</v>
      </c>
      <c r="C3589" t="s">
        <v>9</v>
      </c>
      <c r="D3589" t="s">
        <v>10</v>
      </c>
      <c r="E3589" t="s">
        <v>11</v>
      </c>
      <c r="F3589">
        <v>705</v>
      </c>
      <c r="G3589">
        <v>76</v>
      </c>
      <c r="H3589" s="6">
        <f t="shared" si="283"/>
        <v>53.58</v>
      </c>
    </row>
    <row r="3590" spans="1:8" hidden="1" x14ac:dyDescent="0.3">
      <c r="A3590" s="9">
        <v>45274</v>
      </c>
      <c r="B3590" t="s">
        <v>17</v>
      </c>
      <c r="C3590" t="s">
        <v>9</v>
      </c>
      <c r="D3590" t="s">
        <v>24</v>
      </c>
      <c r="E3590" t="s">
        <v>42</v>
      </c>
      <c r="F3590">
        <v>3205</v>
      </c>
      <c r="G3590">
        <v>89</v>
      </c>
      <c r="H3590" s="6">
        <f t="shared" si="283"/>
        <v>285.245</v>
      </c>
    </row>
    <row r="3591" spans="1:8" hidden="1" x14ac:dyDescent="0.3">
      <c r="A3591" s="9">
        <v>45274</v>
      </c>
      <c r="B3591" t="s">
        <v>17</v>
      </c>
      <c r="C3591" t="s">
        <v>26</v>
      </c>
      <c r="D3591" t="s">
        <v>24</v>
      </c>
      <c r="E3591" t="s">
        <v>32</v>
      </c>
      <c r="F3591">
        <v>1505</v>
      </c>
      <c r="G3591">
        <v>97</v>
      </c>
      <c r="H3591" s="6">
        <f t="shared" si="283"/>
        <v>145.98500000000001</v>
      </c>
    </row>
    <row r="3592" spans="1:8" hidden="1" x14ac:dyDescent="0.3">
      <c r="A3592" s="9">
        <v>45274</v>
      </c>
      <c r="B3592" t="s">
        <v>12</v>
      </c>
      <c r="C3592" t="s">
        <v>35</v>
      </c>
      <c r="D3592" t="s">
        <v>13</v>
      </c>
      <c r="E3592" t="s">
        <v>29</v>
      </c>
      <c r="F3592">
        <v>1230</v>
      </c>
      <c r="G3592">
        <v>64</v>
      </c>
      <c r="H3592" s="6">
        <f t="shared" si="283"/>
        <v>78.72</v>
      </c>
    </row>
    <row r="3593" spans="1:8" hidden="1" x14ac:dyDescent="0.3">
      <c r="A3593" s="13" t="s">
        <v>362</v>
      </c>
      <c r="H3593" s="6">
        <f>SUBTOTAL(9,H3583:H3592)</f>
        <v>44.28</v>
      </c>
    </row>
    <row r="3594" spans="1:8" hidden="1" x14ac:dyDescent="0.3">
      <c r="A3594" s="9">
        <v>45275</v>
      </c>
      <c r="B3594" t="s">
        <v>8</v>
      </c>
      <c r="C3594" t="s">
        <v>20</v>
      </c>
      <c r="D3594" t="s">
        <v>24</v>
      </c>
      <c r="E3594" t="s">
        <v>32</v>
      </c>
      <c r="F3594">
        <v>1505</v>
      </c>
      <c r="G3594">
        <v>69</v>
      </c>
      <c r="H3594" s="6">
        <f t="shared" ref="H3594:H3604" si="284">F3594*G3594/1000</f>
        <v>103.845</v>
      </c>
    </row>
    <row r="3595" spans="1:8" hidden="1" x14ac:dyDescent="0.3">
      <c r="A3595" s="9">
        <v>45275</v>
      </c>
      <c r="B3595" t="s">
        <v>45</v>
      </c>
      <c r="C3595" t="s">
        <v>9</v>
      </c>
      <c r="D3595" t="s">
        <v>10</v>
      </c>
      <c r="E3595" t="s">
        <v>41</v>
      </c>
      <c r="F3595">
        <v>650</v>
      </c>
      <c r="G3595">
        <v>48</v>
      </c>
      <c r="H3595" s="6">
        <f t="shared" si="284"/>
        <v>31.2</v>
      </c>
    </row>
    <row r="3596" spans="1:8" hidden="1" x14ac:dyDescent="0.3">
      <c r="A3596" s="9">
        <v>45275</v>
      </c>
      <c r="B3596" t="s">
        <v>8</v>
      </c>
      <c r="C3596" t="s">
        <v>9</v>
      </c>
      <c r="D3596" t="s">
        <v>18</v>
      </c>
      <c r="E3596" t="s">
        <v>21</v>
      </c>
      <c r="F3596">
        <v>450</v>
      </c>
      <c r="G3596">
        <v>98</v>
      </c>
      <c r="H3596" s="6">
        <f t="shared" si="284"/>
        <v>44.1</v>
      </c>
    </row>
    <row r="3597" spans="1:8" hidden="1" x14ac:dyDescent="0.3">
      <c r="A3597" s="9">
        <v>45275</v>
      </c>
      <c r="B3597" t="s">
        <v>45</v>
      </c>
      <c r="C3597" t="s">
        <v>9</v>
      </c>
      <c r="D3597" t="s">
        <v>13</v>
      </c>
      <c r="E3597" t="s">
        <v>14</v>
      </c>
      <c r="F3597">
        <v>1320</v>
      </c>
      <c r="G3597">
        <v>49</v>
      </c>
      <c r="H3597" s="6">
        <f t="shared" si="284"/>
        <v>64.680000000000007</v>
      </c>
    </row>
    <row r="3598" spans="1:8" hidden="1" x14ac:dyDescent="0.3">
      <c r="A3598" s="9">
        <v>45275</v>
      </c>
      <c r="B3598" t="s">
        <v>12</v>
      </c>
      <c r="C3598" t="s">
        <v>9</v>
      </c>
      <c r="D3598" t="s">
        <v>24</v>
      </c>
      <c r="E3598" t="s">
        <v>36</v>
      </c>
      <c r="F3598">
        <v>2460</v>
      </c>
      <c r="G3598">
        <v>85</v>
      </c>
      <c r="H3598" s="6">
        <f t="shared" si="284"/>
        <v>209.1</v>
      </c>
    </row>
    <row r="3599" spans="1:8" hidden="1" x14ac:dyDescent="0.3">
      <c r="A3599" s="9">
        <v>45275</v>
      </c>
      <c r="B3599" t="s">
        <v>45</v>
      </c>
      <c r="C3599" t="s">
        <v>26</v>
      </c>
      <c r="D3599" t="s">
        <v>24</v>
      </c>
      <c r="E3599" t="s">
        <v>36</v>
      </c>
      <c r="F3599">
        <v>2460</v>
      </c>
      <c r="G3599">
        <v>74</v>
      </c>
      <c r="H3599" s="6">
        <f t="shared" si="284"/>
        <v>182.04</v>
      </c>
    </row>
    <row r="3600" spans="1:8" hidden="1" x14ac:dyDescent="0.3">
      <c r="A3600" s="9">
        <v>45275</v>
      </c>
      <c r="B3600" t="s">
        <v>45</v>
      </c>
      <c r="C3600" t="s">
        <v>26</v>
      </c>
      <c r="D3600" t="s">
        <v>24</v>
      </c>
      <c r="E3600" t="s">
        <v>32</v>
      </c>
      <c r="F3600">
        <v>1505</v>
      </c>
      <c r="G3600">
        <v>82</v>
      </c>
      <c r="H3600" s="6">
        <f t="shared" si="284"/>
        <v>123.41</v>
      </c>
    </row>
    <row r="3601" spans="1:8" x14ac:dyDescent="0.3">
      <c r="A3601" s="9">
        <v>45275</v>
      </c>
      <c r="B3601" t="s">
        <v>45</v>
      </c>
      <c r="C3601" t="s">
        <v>15</v>
      </c>
      <c r="D3601" t="s">
        <v>13</v>
      </c>
      <c r="E3601" t="s">
        <v>29</v>
      </c>
      <c r="F3601">
        <v>1230</v>
      </c>
      <c r="G3601">
        <v>49</v>
      </c>
      <c r="H3601" s="6">
        <f t="shared" si="284"/>
        <v>60.27</v>
      </c>
    </row>
    <row r="3602" spans="1:8" hidden="1" x14ac:dyDescent="0.3">
      <c r="A3602" s="9">
        <v>45275</v>
      </c>
      <c r="B3602" t="s">
        <v>17</v>
      </c>
      <c r="C3602" t="s">
        <v>33</v>
      </c>
      <c r="D3602" t="s">
        <v>18</v>
      </c>
      <c r="E3602" t="s">
        <v>27</v>
      </c>
      <c r="F3602">
        <v>460</v>
      </c>
      <c r="G3602">
        <v>23</v>
      </c>
      <c r="H3602" s="6">
        <f t="shared" si="284"/>
        <v>10.58</v>
      </c>
    </row>
    <row r="3603" spans="1:8" hidden="1" x14ac:dyDescent="0.3">
      <c r="A3603" s="9">
        <v>45275</v>
      </c>
      <c r="B3603" t="s">
        <v>8</v>
      </c>
      <c r="C3603" t="s">
        <v>35</v>
      </c>
      <c r="D3603" t="s">
        <v>18</v>
      </c>
      <c r="E3603" t="s">
        <v>19</v>
      </c>
      <c r="F3603">
        <v>325</v>
      </c>
      <c r="G3603">
        <v>68</v>
      </c>
      <c r="H3603" s="6">
        <f t="shared" si="284"/>
        <v>22.1</v>
      </c>
    </row>
    <row r="3604" spans="1:8" hidden="1" x14ac:dyDescent="0.3">
      <c r="A3604" s="9">
        <v>45275</v>
      </c>
      <c r="B3604" t="s">
        <v>12</v>
      </c>
      <c r="C3604" t="s">
        <v>35</v>
      </c>
      <c r="D3604" t="s">
        <v>13</v>
      </c>
      <c r="E3604" t="s">
        <v>38</v>
      </c>
      <c r="F3604">
        <v>2400</v>
      </c>
      <c r="G3604">
        <v>24</v>
      </c>
      <c r="H3604" s="6">
        <f t="shared" si="284"/>
        <v>57.6</v>
      </c>
    </row>
    <row r="3605" spans="1:8" hidden="1" x14ac:dyDescent="0.3">
      <c r="A3605" s="13" t="s">
        <v>363</v>
      </c>
      <c r="H3605" s="6">
        <f>SUBTOTAL(9,H3594:H3604)</f>
        <v>60.27</v>
      </c>
    </row>
    <row r="3606" spans="1:8" hidden="1" x14ac:dyDescent="0.3">
      <c r="A3606" s="9">
        <v>45276</v>
      </c>
      <c r="B3606" t="s">
        <v>12</v>
      </c>
      <c r="C3606" t="s">
        <v>20</v>
      </c>
      <c r="D3606" t="s">
        <v>18</v>
      </c>
      <c r="E3606" t="s">
        <v>27</v>
      </c>
      <c r="F3606">
        <v>460</v>
      </c>
      <c r="G3606">
        <v>12</v>
      </c>
      <c r="H3606" s="6">
        <f t="shared" ref="H3606:H3612" si="285">F3606*G3606/1000</f>
        <v>5.52</v>
      </c>
    </row>
    <row r="3607" spans="1:8" hidden="1" x14ac:dyDescent="0.3">
      <c r="A3607" s="9">
        <v>45276</v>
      </c>
      <c r="B3607" t="s">
        <v>17</v>
      </c>
      <c r="C3607" t="s">
        <v>20</v>
      </c>
      <c r="D3607" t="s">
        <v>24</v>
      </c>
      <c r="E3607" t="s">
        <v>25</v>
      </c>
      <c r="F3607">
        <v>1760</v>
      </c>
      <c r="G3607">
        <v>58</v>
      </c>
      <c r="H3607" s="6">
        <f t="shared" si="285"/>
        <v>102.08</v>
      </c>
    </row>
    <row r="3608" spans="1:8" hidden="1" x14ac:dyDescent="0.3">
      <c r="A3608" s="9">
        <v>45276</v>
      </c>
      <c r="B3608" t="s">
        <v>17</v>
      </c>
      <c r="C3608" t="s">
        <v>9</v>
      </c>
      <c r="D3608" t="s">
        <v>10</v>
      </c>
      <c r="E3608" t="s">
        <v>23</v>
      </c>
      <c r="F3608">
        <v>640</v>
      </c>
      <c r="G3608">
        <v>40</v>
      </c>
      <c r="H3608" s="6">
        <f t="shared" si="285"/>
        <v>25.6</v>
      </c>
    </row>
    <row r="3609" spans="1:8" hidden="1" x14ac:dyDescent="0.3">
      <c r="A3609" s="9">
        <v>45276</v>
      </c>
      <c r="B3609" t="s">
        <v>8</v>
      </c>
      <c r="C3609" t="s">
        <v>15</v>
      </c>
      <c r="D3609" t="s">
        <v>10</v>
      </c>
      <c r="E3609" t="s">
        <v>40</v>
      </c>
      <c r="F3609">
        <v>540</v>
      </c>
      <c r="G3609">
        <v>65</v>
      </c>
      <c r="H3609" s="6">
        <f t="shared" si="285"/>
        <v>35.1</v>
      </c>
    </row>
    <row r="3610" spans="1:8" hidden="1" x14ac:dyDescent="0.3">
      <c r="A3610" s="9">
        <v>45276</v>
      </c>
      <c r="B3610" t="s">
        <v>8</v>
      </c>
      <c r="C3610" t="s">
        <v>35</v>
      </c>
      <c r="D3610" t="s">
        <v>10</v>
      </c>
      <c r="E3610" t="s">
        <v>16</v>
      </c>
      <c r="F3610">
        <v>1380</v>
      </c>
      <c r="G3610">
        <v>44</v>
      </c>
      <c r="H3610" s="6">
        <f t="shared" si="285"/>
        <v>60.72</v>
      </c>
    </row>
    <row r="3611" spans="1:8" hidden="1" x14ac:dyDescent="0.3">
      <c r="A3611" s="9">
        <v>45276</v>
      </c>
      <c r="B3611" t="s">
        <v>17</v>
      </c>
      <c r="C3611" t="s">
        <v>35</v>
      </c>
      <c r="D3611" t="s">
        <v>18</v>
      </c>
      <c r="E3611" t="s">
        <v>37</v>
      </c>
      <c r="F3611">
        <v>890</v>
      </c>
      <c r="G3611">
        <v>63</v>
      </c>
      <c r="H3611" s="6">
        <f t="shared" si="285"/>
        <v>56.07</v>
      </c>
    </row>
    <row r="3612" spans="1:8" hidden="1" x14ac:dyDescent="0.3">
      <c r="A3612" s="9">
        <v>45276</v>
      </c>
      <c r="B3612" t="s">
        <v>12</v>
      </c>
      <c r="C3612" t="s">
        <v>35</v>
      </c>
      <c r="D3612" t="s">
        <v>13</v>
      </c>
      <c r="E3612" t="s">
        <v>14</v>
      </c>
      <c r="F3612">
        <v>1320</v>
      </c>
      <c r="G3612">
        <v>54</v>
      </c>
      <c r="H3612" s="6">
        <f t="shared" si="285"/>
        <v>71.28</v>
      </c>
    </row>
    <row r="3613" spans="1:8" hidden="1" x14ac:dyDescent="0.3">
      <c r="A3613" s="13" t="s">
        <v>364</v>
      </c>
      <c r="H3613" s="6">
        <f>SUBTOTAL(9,H3606:H3612)</f>
        <v>0</v>
      </c>
    </row>
    <row r="3614" spans="1:8" hidden="1" x14ac:dyDescent="0.3">
      <c r="A3614" s="9">
        <v>45277</v>
      </c>
      <c r="B3614" t="s">
        <v>12</v>
      </c>
      <c r="C3614" t="s">
        <v>20</v>
      </c>
      <c r="D3614" t="s">
        <v>10</v>
      </c>
      <c r="E3614" t="s">
        <v>41</v>
      </c>
      <c r="F3614">
        <v>650</v>
      </c>
      <c r="G3614">
        <v>44</v>
      </c>
      <c r="H3614" s="6">
        <f t="shared" ref="H3614:H3624" si="286">F3614*G3614/1000</f>
        <v>28.6</v>
      </c>
    </row>
    <row r="3615" spans="1:8" hidden="1" x14ac:dyDescent="0.3">
      <c r="A3615" s="9">
        <v>45277</v>
      </c>
      <c r="B3615" t="s">
        <v>12</v>
      </c>
      <c r="C3615" t="s">
        <v>20</v>
      </c>
      <c r="D3615" t="s">
        <v>10</v>
      </c>
      <c r="E3615" t="s">
        <v>39</v>
      </c>
      <c r="F3615">
        <v>650</v>
      </c>
      <c r="G3615">
        <v>26</v>
      </c>
      <c r="H3615" s="6">
        <f t="shared" si="286"/>
        <v>16.899999999999999</v>
      </c>
    </row>
    <row r="3616" spans="1:8" hidden="1" x14ac:dyDescent="0.3">
      <c r="A3616" s="9">
        <v>45277</v>
      </c>
      <c r="B3616" t="s">
        <v>17</v>
      </c>
      <c r="C3616" t="s">
        <v>9</v>
      </c>
      <c r="D3616" t="s">
        <v>13</v>
      </c>
      <c r="E3616" t="s">
        <v>22</v>
      </c>
      <c r="F3616">
        <v>930</v>
      </c>
      <c r="G3616">
        <v>87</v>
      </c>
      <c r="H3616" s="6">
        <f t="shared" si="286"/>
        <v>80.91</v>
      </c>
    </row>
    <row r="3617" spans="1:8" hidden="1" x14ac:dyDescent="0.3">
      <c r="A3617" s="9">
        <v>45277</v>
      </c>
      <c r="B3617" t="s">
        <v>12</v>
      </c>
      <c r="C3617" t="s">
        <v>9</v>
      </c>
      <c r="D3617" t="s">
        <v>13</v>
      </c>
      <c r="E3617" t="s">
        <v>29</v>
      </c>
      <c r="F3617">
        <v>1230</v>
      </c>
      <c r="G3617">
        <v>61</v>
      </c>
      <c r="H3617" s="6">
        <f t="shared" si="286"/>
        <v>75.03</v>
      </c>
    </row>
    <row r="3618" spans="1:8" hidden="1" x14ac:dyDescent="0.3">
      <c r="A3618" s="9">
        <v>45277</v>
      </c>
      <c r="B3618" t="s">
        <v>12</v>
      </c>
      <c r="C3618" t="s">
        <v>9</v>
      </c>
      <c r="D3618" t="s">
        <v>13</v>
      </c>
      <c r="E3618" t="s">
        <v>29</v>
      </c>
      <c r="F3618">
        <v>1230</v>
      </c>
      <c r="G3618">
        <v>17</v>
      </c>
      <c r="H3618" s="6">
        <f t="shared" si="286"/>
        <v>20.91</v>
      </c>
    </row>
    <row r="3619" spans="1:8" hidden="1" x14ac:dyDescent="0.3">
      <c r="A3619" s="9">
        <v>45277</v>
      </c>
      <c r="B3619" t="s">
        <v>8</v>
      </c>
      <c r="C3619" t="s">
        <v>26</v>
      </c>
      <c r="D3619" t="s">
        <v>13</v>
      </c>
      <c r="E3619" t="s">
        <v>44</v>
      </c>
      <c r="F3619">
        <v>2540</v>
      </c>
      <c r="G3619">
        <v>88</v>
      </c>
      <c r="H3619" s="6">
        <f t="shared" si="286"/>
        <v>223.52</v>
      </c>
    </row>
    <row r="3620" spans="1:8" hidden="1" x14ac:dyDescent="0.3">
      <c r="A3620" s="9">
        <v>45277</v>
      </c>
      <c r="B3620" t="s">
        <v>12</v>
      </c>
      <c r="C3620" t="s">
        <v>26</v>
      </c>
      <c r="D3620" t="s">
        <v>13</v>
      </c>
      <c r="E3620" t="s">
        <v>22</v>
      </c>
      <c r="F3620">
        <v>930</v>
      </c>
      <c r="G3620">
        <v>66</v>
      </c>
      <c r="H3620" s="6">
        <f t="shared" si="286"/>
        <v>61.38</v>
      </c>
    </row>
    <row r="3621" spans="1:8" hidden="1" x14ac:dyDescent="0.3">
      <c r="A3621" s="9">
        <v>45277</v>
      </c>
      <c r="B3621" t="s">
        <v>12</v>
      </c>
      <c r="C3621" t="s">
        <v>26</v>
      </c>
      <c r="D3621" t="s">
        <v>13</v>
      </c>
      <c r="E3621" t="s">
        <v>14</v>
      </c>
      <c r="F3621">
        <v>1320</v>
      </c>
      <c r="G3621">
        <v>94</v>
      </c>
      <c r="H3621" s="6">
        <f t="shared" si="286"/>
        <v>124.08</v>
      </c>
    </row>
    <row r="3622" spans="1:8" hidden="1" x14ac:dyDescent="0.3">
      <c r="A3622" s="9">
        <v>45277</v>
      </c>
      <c r="B3622" t="s">
        <v>8</v>
      </c>
      <c r="C3622" t="s">
        <v>15</v>
      </c>
      <c r="D3622" t="s">
        <v>24</v>
      </c>
      <c r="E3622" t="s">
        <v>25</v>
      </c>
      <c r="F3622">
        <v>1760</v>
      </c>
      <c r="G3622">
        <v>20</v>
      </c>
      <c r="H3622" s="6">
        <f t="shared" si="286"/>
        <v>35.200000000000003</v>
      </c>
    </row>
    <row r="3623" spans="1:8" hidden="1" x14ac:dyDescent="0.3">
      <c r="A3623" s="9">
        <v>45277</v>
      </c>
      <c r="B3623" t="s">
        <v>8</v>
      </c>
      <c r="C3623" t="s">
        <v>35</v>
      </c>
      <c r="D3623" t="s">
        <v>10</v>
      </c>
      <c r="E3623" t="s">
        <v>16</v>
      </c>
      <c r="F3623">
        <v>1380</v>
      </c>
      <c r="G3623">
        <v>22</v>
      </c>
      <c r="H3623" s="6">
        <f t="shared" si="286"/>
        <v>30.36</v>
      </c>
    </row>
    <row r="3624" spans="1:8" hidden="1" x14ac:dyDescent="0.3">
      <c r="A3624" s="9">
        <v>45277</v>
      </c>
      <c r="B3624" t="s">
        <v>45</v>
      </c>
      <c r="C3624" t="s">
        <v>35</v>
      </c>
      <c r="D3624" t="s">
        <v>18</v>
      </c>
      <c r="E3624" t="s">
        <v>37</v>
      </c>
      <c r="F3624">
        <v>890</v>
      </c>
      <c r="G3624">
        <v>95</v>
      </c>
      <c r="H3624" s="6">
        <f t="shared" si="286"/>
        <v>84.55</v>
      </c>
    </row>
    <row r="3625" spans="1:8" hidden="1" x14ac:dyDescent="0.3">
      <c r="A3625" s="13" t="s">
        <v>365</v>
      </c>
      <c r="H3625" s="6">
        <f>SUBTOTAL(9,H3614:H3624)</f>
        <v>0</v>
      </c>
    </row>
    <row r="3626" spans="1:8" hidden="1" x14ac:dyDescent="0.3">
      <c r="A3626" s="9">
        <v>45278</v>
      </c>
      <c r="B3626" t="s">
        <v>12</v>
      </c>
      <c r="C3626" t="s">
        <v>20</v>
      </c>
      <c r="D3626" t="s">
        <v>10</v>
      </c>
      <c r="E3626" t="s">
        <v>23</v>
      </c>
      <c r="F3626">
        <v>640</v>
      </c>
      <c r="G3626">
        <v>62</v>
      </c>
      <c r="H3626" s="6">
        <f t="shared" ref="H3626:H3634" si="287">F3626*G3626/1000</f>
        <v>39.68</v>
      </c>
    </row>
    <row r="3627" spans="1:8" hidden="1" x14ac:dyDescent="0.3">
      <c r="A3627" s="9">
        <v>45278</v>
      </c>
      <c r="B3627" t="s">
        <v>17</v>
      </c>
      <c r="C3627" t="s">
        <v>20</v>
      </c>
      <c r="D3627" t="s">
        <v>13</v>
      </c>
      <c r="E3627" t="s">
        <v>22</v>
      </c>
      <c r="F3627">
        <v>930</v>
      </c>
      <c r="G3627">
        <v>35</v>
      </c>
      <c r="H3627" s="6">
        <f t="shared" si="287"/>
        <v>32.549999999999997</v>
      </c>
    </row>
    <row r="3628" spans="1:8" hidden="1" x14ac:dyDescent="0.3">
      <c r="A3628" s="9">
        <v>45278</v>
      </c>
      <c r="B3628" t="s">
        <v>12</v>
      </c>
      <c r="C3628" t="s">
        <v>9</v>
      </c>
      <c r="D3628" t="s">
        <v>18</v>
      </c>
      <c r="E3628" t="s">
        <v>31</v>
      </c>
      <c r="F3628">
        <v>715</v>
      </c>
      <c r="G3628">
        <v>46</v>
      </c>
      <c r="H3628" s="6">
        <f t="shared" si="287"/>
        <v>32.89</v>
      </c>
    </row>
    <row r="3629" spans="1:8" hidden="1" x14ac:dyDescent="0.3">
      <c r="A3629" s="9">
        <v>45278</v>
      </c>
      <c r="B3629" t="s">
        <v>8</v>
      </c>
      <c r="C3629" t="s">
        <v>26</v>
      </c>
      <c r="D3629" t="s">
        <v>18</v>
      </c>
      <c r="E3629" t="s">
        <v>31</v>
      </c>
      <c r="F3629">
        <v>715</v>
      </c>
      <c r="G3629">
        <v>60</v>
      </c>
      <c r="H3629" s="6">
        <f t="shared" si="287"/>
        <v>42.9</v>
      </c>
    </row>
    <row r="3630" spans="1:8" hidden="1" x14ac:dyDescent="0.3">
      <c r="A3630" s="9">
        <v>45278</v>
      </c>
      <c r="B3630" t="s">
        <v>12</v>
      </c>
      <c r="C3630" t="s">
        <v>26</v>
      </c>
      <c r="D3630" t="s">
        <v>24</v>
      </c>
      <c r="E3630" t="s">
        <v>30</v>
      </c>
      <c r="F3630">
        <v>2970</v>
      </c>
      <c r="G3630">
        <v>76</v>
      </c>
      <c r="H3630" s="6">
        <f t="shared" si="287"/>
        <v>225.72</v>
      </c>
    </row>
    <row r="3631" spans="1:8" hidden="1" x14ac:dyDescent="0.3">
      <c r="A3631" s="9">
        <v>45278</v>
      </c>
      <c r="B3631" t="s">
        <v>45</v>
      </c>
      <c r="C3631" t="s">
        <v>15</v>
      </c>
      <c r="D3631" t="s">
        <v>10</v>
      </c>
      <c r="E3631" t="s">
        <v>40</v>
      </c>
      <c r="F3631">
        <v>540</v>
      </c>
      <c r="G3631">
        <v>19</v>
      </c>
      <c r="H3631" s="6">
        <f t="shared" si="287"/>
        <v>10.26</v>
      </c>
    </row>
    <row r="3632" spans="1:8" hidden="1" x14ac:dyDescent="0.3">
      <c r="A3632" s="9">
        <v>45278</v>
      </c>
      <c r="B3632" t="s">
        <v>12</v>
      </c>
      <c r="C3632" t="s">
        <v>33</v>
      </c>
      <c r="D3632" t="s">
        <v>18</v>
      </c>
      <c r="E3632" t="s">
        <v>27</v>
      </c>
      <c r="F3632">
        <v>460</v>
      </c>
      <c r="G3632">
        <v>26</v>
      </c>
      <c r="H3632" s="6">
        <f t="shared" si="287"/>
        <v>11.96</v>
      </c>
    </row>
    <row r="3633" spans="1:8" hidden="1" x14ac:dyDescent="0.3">
      <c r="A3633" s="9">
        <v>45278</v>
      </c>
      <c r="B3633" t="s">
        <v>17</v>
      </c>
      <c r="C3633" t="s">
        <v>33</v>
      </c>
      <c r="D3633" t="s">
        <v>13</v>
      </c>
      <c r="E3633" t="s">
        <v>22</v>
      </c>
      <c r="F3633">
        <v>930</v>
      </c>
      <c r="G3633">
        <v>66</v>
      </c>
      <c r="H3633" s="6">
        <f t="shared" si="287"/>
        <v>61.38</v>
      </c>
    </row>
    <row r="3634" spans="1:8" hidden="1" x14ac:dyDescent="0.3">
      <c r="A3634" s="9">
        <v>45278</v>
      </c>
      <c r="B3634" t="s">
        <v>17</v>
      </c>
      <c r="C3634" t="s">
        <v>33</v>
      </c>
      <c r="D3634" t="s">
        <v>24</v>
      </c>
      <c r="E3634" t="s">
        <v>32</v>
      </c>
      <c r="F3634">
        <v>1505</v>
      </c>
      <c r="G3634">
        <v>36</v>
      </c>
      <c r="H3634" s="6">
        <f t="shared" si="287"/>
        <v>54.18</v>
      </c>
    </row>
    <row r="3635" spans="1:8" hidden="1" x14ac:dyDescent="0.3">
      <c r="A3635" s="13" t="s">
        <v>366</v>
      </c>
      <c r="H3635" s="6">
        <f>SUBTOTAL(9,H3626:H3634)</f>
        <v>0</v>
      </c>
    </row>
    <row r="3636" spans="1:8" hidden="1" x14ac:dyDescent="0.3">
      <c r="A3636" s="9">
        <v>45279</v>
      </c>
      <c r="B3636" t="s">
        <v>12</v>
      </c>
      <c r="C3636" t="s">
        <v>20</v>
      </c>
      <c r="D3636" t="s">
        <v>10</v>
      </c>
      <c r="E3636" t="s">
        <v>40</v>
      </c>
      <c r="F3636">
        <v>540</v>
      </c>
      <c r="G3636">
        <v>65</v>
      </c>
      <c r="H3636" s="6">
        <f t="shared" ref="H3636:H3647" si="288">F3636*G3636/1000</f>
        <v>35.1</v>
      </c>
    </row>
    <row r="3637" spans="1:8" hidden="1" x14ac:dyDescent="0.3">
      <c r="A3637" s="9">
        <v>45279</v>
      </c>
      <c r="B3637" t="s">
        <v>12</v>
      </c>
      <c r="C3637" t="s">
        <v>20</v>
      </c>
      <c r="D3637" t="s">
        <v>13</v>
      </c>
      <c r="E3637" t="s">
        <v>29</v>
      </c>
      <c r="F3637">
        <v>1230</v>
      </c>
      <c r="G3637">
        <v>16</v>
      </c>
      <c r="H3637" s="6">
        <f t="shared" si="288"/>
        <v>19.68</v>
      </c>
    </row>
    <row r="3638" spans="1:8" hidden="1" x14ac:dyDescent="0.3">
      <c r="A3638" s="9">
        <v>45279</v>
      </c>
      <c r="B3638" t="s">
        <v>17</v>
      </c>
      <c r="C3638" t="s">
        <v>20</v>
      </c>
      <c r="D3638" t="s">
        <v>24</v>
      </c>
      <c r="E3638" t="s">
        <v>30</v>
      </c>
      <c r="F3638">
        <v>2970</v>
      </c>
      <c r="G3638">
        <v>52</v>
      </c>
      <c r="H3638" s="6">
        <f t="shared" si="288"/>
        <v>154.44</v>
      </c>
    </row>
    <row r="3639" spans="1:8" hidden="1" x14ac:dyDescent="0.3">
      <c r="A3639" s="9">
        <v>45279</v>
      </c>
      <c r="B3639" t="s">
        <v>45</v>
      </c>
      <c r="C3639" t="s">
        <v>20</v>
      </c>
      <c r="D3639" t="s">
        <v>24</v>
      </c>
      <c r="E3639" t="s">
        <v>36</v>
      </c>
      <c r="F3639">
        <v>2460</v>
      </c>
      <c r="G3639">
        <v>79</v>
      </c>
      <c r="H3639" s="6">
        <f t="shared" si="288"/>
        <v>194.34</v>
      </c>
    </row>
    <row r="3640" spans="1:8" hidden="1" x14ac:dyDescent="0.3">
      <c r="A3640" s="9">
        <v>45279</v>
      </c>
      <c r="B3640" t="s">
        <v>45</v>
      </c>
      <c r="C3640" t="s">
        <v>9</v>
      </c>
      <c r="D3640" t="s">
        <v>24</v>
      </c>
      <c r="E3640" t="s">
        <v>25</v>
      </c>
      <c r="F3640">
        <v>1760</v>
      </c>
      <c r="G3640">
        <v>68</v>
      </c>
      <c r="H3640" s="6">
        <f t="shared" si="288"/>
        <v>119.68</v>
      </c>
    </row>
    <row r="3641" spans="1:8" hidden="1" x14ac:dyDescent="0.3">
      <c r="A3641" s="9">
        <v>45279</v>
      </c>
      <c r="B3641" t="s">
        <v>45</v>
      </c>
      <c r="C3641" t="s">
        <v>15</v>
      </c>
      <c r="D3641" t="s">
        <v>18</v>
      </c>
      <c r="E3641" t="s">
        <v>27</v>
      </c>
      <c r="F3641">
        <v>460</v>
      </c>
      <c r="G3641">
        <v>57</v>
      </c>
      <c r="H3641" s="6">
        <f t="shared" si="288"/>
        <v>26.22</v>
      </c>
    </row>
    <row r="3642" spans="1:8" hidden="1" x14ac:dyDescent="0.3">
      <c r="A3642" s="9">
        <v>45279</v>
      </c>
      <c r="B3642" t="s">
        <v>8</v>
      </c>
      <c r="C3642" t="s">
        <v>15</v>
      </c>
      <c r="D3642" t="s">
        <v>18</v>
      </c>
      <c r="E3642" t="s">
        <v>19</v>
      </c>
      <c r="F3642">
        <v>325</v>
      </c>
      <c r="G3642">
        <v>5</v>
      </c>
      <c r="H3642" s="6">
        <f t="shared" si="288"/>
        <v>1.625</v>
      </c>
    </row>
    <row r="3643" spans="1:8" hidden="1" x14ac:dyDescent="0.3">
      <c r="A3643" s="9">
        <v>45279</v>
      </c>
      <c r="B3643" t="s">
        <v>12</v>
      </c>
      <c r="C3643" t="s">
        <v>15</v>
      </c>
      <c r="D3643" t="s">
        <v>13</v>
      </c>
      <c r="E3643" t="s">
        <v>14</v>
      </c>
      <c r="F3643">
        <v>1320</v>
      </c>
      <c r="G3643">
        <v>82</v>
      </c>
      <c r="H3643" s="6">
        <f t="shared" si="288"/>
        <v>108.24</v>
      </c>
    </row>
    <row r="3644" spans="1:8" hidden="1" x14ac:dyDescent="0.3">
      <c r="A3644" s="9">
        <v>45279</v>
      </c>
      <c r="B3644" t="s">
        <v>8</v>
      </c>
      <c r="C3644" t="s">
        <v>33</v>
      </c>
      <c r="D3644" t="s">
        <v>10</v>
      </c>
      <c r="E3644" t="s">
        <v>23</v>
      </c>
      <c r="F3644">
        <v>640</v>
      </c>
      <c r="G3644">
        <v>45</v>
      </c>
      <c r="H3644" s="6">
        <f t="shared" si="288"/>
        <v>28.8</v>
      </c>
    </row>
    <row r="3645" spans="1:8" hidden="1" x14ac:dyDescent="0.3">
      <c r="A3645" s="9">
        <v>45279</v>
      </c>
      <c r="B3645" t="s">
        <v>17</v>
      </c>
      <c r="C3645" t="s">
        <v>35</v>
      </c>
      <c r="D3645" t="s">
        <v>10</v>
      </c>
      <c r="E3645" t="s">
        <v>16</v>
      </c>
      <c r="F3645">
        <v>1380</v>
      </c>
      <c r="G3645">
        <v>82</v>
      </c>
      <c r="H3645" s="6">
        <f t="shared" si="288"/>
        <v>113.16</v>
      </c>
    </row>
    <row r="3646" spans="1:8" hidden="1" x14ac:dyDescent="0.3">
      <c r="A3646" s="9">
        <v>45279</v>
      </c>
      <c r="B3646" t="s">
        <v>12</v>
      </c>
      <c r="C3646" t="s">
        <v>35</v>
      </c>
      <c r="D3646" t="s">
        <v>10</v>
      </c>
      <c r="E3646" t="s">
        <v>40</v>
      </c>
      <c r="F3646">
        <v>540</v>
      </c>
      <c r="G3646">
        <v>70</v>
      </c>
      <c r="H3646" s="6">
        <f t="shared" si="288"/>
        <v>37.799999999999997</v>
      </c>
    </row>
    <row r="3647" spans="1:8" hidden="1" x14ac:dyDescent="0.3">
      <c r="A3647" s="9">
        <v>45279</v>
      </c>
      <c r="B3647" t="s">
        <v>12</v>
      </c>
      <c r="C3647" t="s">
        <v>35</v>
      </c>
      <c r="D3647" t="s">
        <v>13</v>
      </c>
      <c r="E3647" t="s">
        <v>44</v>
      </c>
      <c r="F3647">
        <v>2540</v>
      </c>
      <c r="G3647">
        <v>54</v>
      </c>
      <c r="H3647" s="6">
        <f t="shared" si="288"/>
        <v>137.16</v>
      </c>
    </row>
    <row r="3648" spans="1:8" hidden="1" x14ac:dyDescent="0.3">
      <c r="A3648" s="13" t="s">
        <v>367</v>
      </c>
      <c r="H3648" s="6">
        <f>SUBTOTAL(9,H3636:H3647)</f>
        <v>0</v>
      </c>
    </row>
    <row r="3649" spans="1:8" hidden="1" x14ac:dyDescent="0.3">
      <c r="A3649" s="9">
        <v>45280</v>
      </c>
      <c r="B3649" t="s">
        <v>17</v>
      </c>
      <c r="C3649" t="s">
        <v>9</v>
      </c>
      <c r="D3649" t="s">
        <v>18</v>
      </c>
      <c r="E3649" t="s">
        <v>28</v>
      </c>
      <c r="F3649">
        <v>690</v>
      </c>
      <c r="G3649">
        <v>51</v>
      </c>
      <c r="H3649" s="6">
        <f t="shared" ref="H3649:H3661" si="289">F3649*G3649/1000</f>
        <v>35.19</v>
      </c>
    </row>
    <row r="3650" spans="1:8" hidden="1" x14ac:dyDescent="0.3">
      <c r="A3650" s="9">
        <v>45280</v>
      </c>
      <c r="B3650" t="s">
        <v>12</v>
      </c>
      <c r="C3650" t="s">
        <v>9</v>
      </c>
      <c r="D3650" t="s">
        <v>13</v>
      </c>
      <c r="E3650" t="s">
        <v>14</v>
      </c>
      <c r="F3650">
        <v>1320</v>
      </c>
      <c r="G3650">
        <v>84</v>
      </c>
      <c r="H3650" s="6">
        <f t="shared" si="289"/>
        <v>110.88</v>
      </c>
    </row>
    <row r="3651" spans="1:8" hidden="1" x14ac:dyDescent="0.3">
      <c r="A3651" s="9">
        <v>45280</v>
      </c>
      <c r="B3651" t="s">
        <v>45</v>
      </c>
      <c r="C3651" t="s">
        <v>26</v>
      </c>
      <c r="D3651" t="s">
        <v>24</v>
      </c>
      <c r="E3651" t="s">
        <v>32</v>
      </c>
      <c r="F3651">
        <v>1505</v>
      </c>
      <c r="G3651">
        <v>45</v>
      </c>
      <c r="H3651" s="6">
        <f t="shared" si="289"/>
        <v>67.724999999999994</v>
      </c>
    </row>
    <row r="3652" spans="1:8" hidden="1" x14ac:dyDescent="0.3">
      <c r="A3652" s="9">
        <v>45280</v>
      </c>
      <c r="B3652" t="s">
        <v>17</v>
      </c>
      <c r="C3652" t="s">
        <v>15</v>
      </c>
      <c r="D3652" t="s">
        <v>18</v>
      </c>
      <c r="E3652" t="s">
        <v>19</v>
      </c>
      <c r="F3652">
        <v>325</v>
      </c>
      <c r="G3652">
        <v>15</v>
      </c>
      <c r="H3652" s="6">
        <f t="shared" si="289"/>
        <v>4.875</v>
      </c>
    </row>
    <row r="3653" spans="1:8" hidden="1" x14ac:dyDescent="0.3">
      <c r="A3653" s="9">
        <v>45280</v>
      </c>
      <c r="B3653" t="s">
        <v>12</v>
      </c>
      <c r="C3653" t="s">
        <v>15</v>
      </c>
      <c r="D3653" t="s">
        <v>13</v>
      </c>
      <c r="E3653" t="s">
        <v>43</v>
      </c>
      <c r="F3653">
        <v>1420</v>
      </c>
      <c r="G3653">
        <v>38</v>
      </c>
      <c r="H3653" s="6">
        <f t="shared" si="289"/>
        <v>53.96</v>
      </c>
    </row>
    <row r="3654" spans="1:8" hidden="1" x14ac:dyDescent="0.3">
      <c r="A3654" s="9">
        <v>45280</v>
      </c>
      <c r="B3654" t="s">
        <v>8</v>
      </c>
      <c r="C3654" t="s">
        <v>33</v>
      </c>
      <c r="D3654" t="s">
        <v>10</v>
      </c>
      <c r="E3654" t="s">
        <v>23</v>
      </c>
      <c r="F3654">
        <v>640</v>
      </c>
      <c r="G3654">
        <v>45</v>
      </c>
      <c r="H3654" s="6">
        <f t="shared" si="289"/>
        <v>28.8</v>
      </c>
    </row>
    <row r="3655" spans="1:8" hidden="1" x14ac:dyDescent="0.3">
      <c r="A3655" s="9">
        <v>45280</v>
      </c>
      <c r="B3655" t="s">
        <v>8</v>
      </c>
      <c r="C3655" t="s">
        <v>33</v>
      </c>
      <c r="D3655" t="s">
        <v>18</v>
      </c>
      <c r="E3655" t="s">
        <v>28</v>
      </c>
      <c r="F3655">
        <v>690</v>
      </c>
      <c r="G3655">
        <v>27</v>
      </c>
      <c r="H3655" s="6">
        <f t="shared" si="289"/>
        <v>18.63</v>
      </c>
    </row>
    <row r="3656" spans="1:8" hidden="1" x14ac:dyDescent="0.3">
      <c r="A3656" s="9">
        <v>45280</v>
      </c>
      <c r="B3656" t="s">
        <v>17</v>
      </c>
      <c r="C3656" t="s">
        <v>33</v>
      </c>
      <c r="D3656" t="s">
        <v>18</v>
      </c>
      <c r="E3656" t="s">
        <v>19</v>
      </c>
      <c r="F3656">
        <v>325</v>
      </c>
      <c r="G3656">
        <v>52</v>
      </c>
      <c r="H3656" s="6">
        <f t="shared" si="289"/>
        <v>16.899999999999999</v>
      </c>
    </row>
    <row r="3657" spans="1:8" hidden="1" x14ac:dyDescent="0.3">
      <c r="A3657" s="9">
        <v>45280</v>
      </c>
      <c r="B3657" t="s">
        <v>17</v>
      </c>
      <c r="C3657" t="s">
        <v>33</v>
      </c>
      <c r="D3657" t="s">
        <v>13</v>
      </c>
      <c r="E3657" t="s">
        <v>14</v>
      </c>
      <c r="F3657">
        <v>1320</v>
      </c>
      <c r="G3657">
        <v>42</v>
      </c>
      <c r="H3657" s="6">
        <f t="shared" si="289"/>
        <v>55.44</v>
      </c>
    </row>
    <row r="3658" spans="1:8" hidden="1" x14ac:dyDescent="0.3">
      <c r="A3658" s="9">
        <v>45280</v>
      </c>
      <c r="B3658" t="s">
        <v>17</v>
      </c>
      <c r="C3658" t="s">
        <v>33</v>
      </c>
      <c r="D3658" t="s">
        <v>24</v>
      </c>
      <c r="E3658" t="s">
        <v>32</v>
      </c>
      <c r="F3658">
        <v>1505</v>
      </c>
      <c r="G3658">
        <v>30</v>
      </c>
      <c r="H3658" s="6">
        <f t="shared" si="289"/>
        <v>45.15</v>
      </c>
    </row>
    <row r="3659" spans="1:8" hidden="1" x14ac:dyDescent="0.3">
      <c r="A3659" s="9">
        <v>45280</v>
      </c>
      <c r="B3659" t="s">
        <v>17</v>
      </c>
      <c r="C3659" t="s">
        <v>35</v>
      </c>
      <c r="D3659" t="s">
        <v>18</v>
      </c>
      <c r="E3659" t="s">
        <v>31</v>
      </c>
      <c r="F3659">
        <v>715</v>
      </c>
      <c r="G3659">
        <v>62</v>
      </c>
      <c r="H3659" s="6">
        <f t="shared" si="289"/>
        <v>44.33</v>
      </c>
    </row>
    <row r="3660" spans="1:8" hidden="1" x14ac:dyDescent="0.3">
      <c r="A3660" s="9">
        <v>45280</v>
      </c>
      <c r="B3660" t="s">
        <v>45</v>
      </c>
      <c r="C3660" t="s">
        <v>35</v>
      </c>
      <c r="D3660" t="s">
        <v>18</v>
      </c>
      <c r="E3660" t="s">
        <v>28</v>
      </c>
      <c r="F3660">
        <v>690</v>
      </c>
      <c r="G3660">
        <v>71</v>
      </c>
      <c r="H3660" s="6">
        <f t="shared" si="289"/>
        <v>48.99</v>
      </c>
    </row>
    <row r="3661" spans="1:8" hidden="1" x14ac:dyDescent="0.3">
      <c r="A3661" s="9">
        <v>45280</v>
      </c>
      <c r="B3661" t="s">
        <v>12</v>
      </c>
      <c r="C3661" t="s">
        <v>35</v>
      </c>
      <c r="D3661" t="s">
        <v>18</v>
      </c>
      <c r="E3661" t="s">
        <v>37</v>
      </c>
      <c r="F3661">
        <v>890</v>
      </c>
      <c r="G3661">
        <v>27</v>
      </c>
      <c r="H3661" s="6">
        <f t="shared" si="289"/>
        <v>24.03</v>
      </c>
    </row>
    <row r="3662" spans="1:8" hidden="1" x14ac:dyDescent="0.3">
      <c r="A3662" s="13" t="s">
        <v>368</v>
      </c>
      <c r="H3662" s="6">
        <f>SUBTOTAL(9,H3649:H3661)</f>
        <v>0</v>
      </c>
    </row>
    <row r="3663" spans="1:8" hidden="1" x14ac:dyDescent="0.3">
      <c r="A3663" s="9">
        <v>45281</v>
      </c>
      <c r="B3663" t="s">
        <v>8</v>
      </c>
      <c r="C3663" t="s">
        <v>26</v>
      </c>
      <c r="D3663" t="s">
        <v>10</v>
      </c>
      <c r="E3663" t="s">
        <v>11</v>
      </c>
      <c r="F3663">
        <v>705</v>
      </c>
      <c r="G3663">
        <v>93</v>
      </c>
      <c r="H3663" s="6">
        <f t="shared" ref="H3663:H3668" si="290">F3663*G3663/1000</f>
        <v>65.564999999999998</v>
      </c>
    </row>
    <row r="3664" spans="1:8" hidden="1" x14ac:dyDescent="0.3">
      <c r="A3664" s="9">
        <v>45281</v>
      </c>
      <c r="B3664" t="s">
        <v>8</v>
      </c>
      <c r="C3664" t="s">
        <v>26</v>
      </c>
      <c r="D3664" t="s">
        <v>24</v>
      </c>
      <c r="E3664" t="s">
        <v>32</v>
      </c>
      <c r="F3664">
        <v>1505</v>
      </c>
      <c r="G3664">
        <v>67</v>
      </c>
      <c r="H3664" s="6">
        <f t="shared" si="290"/>
        <v>100.83499999999999</v>
      </c>
    </row>
    <row r="3665" spans="1:8" x14ac:dyDescent="0.3">
      <c r="A3665" s="9">
        <v>45281</v>
      </c>
      <c r="B3665" t="s">
        <v>45</v>
      </c>
      <c r="C3665" t="s">
        <v>15</v>
      </c>
      <c r="D3665" t="s">
        <v>13</v>
      </c>
      <c r="E3665" t="s">
        <v>29</v>
      </c>
      <c r="F3665">
        <v>1230</v>
      </c>
      <c r="G3665">
        <v>40</v>
      </c>
      <c r="H3665" s="6">
        <f t="shared" si="290"/>
        <v>49.2</v>
      </c>
    </row>
    <row r="3666" spans="1:8" hidden="1" x14ac:dyDescent="0.3">
      <c r="A3666" s="9">
        <v>45281</v>
      </c>
      <c r="B3666" t="s">
        <v>45</v>
      </c>
      <c r="C3666" t="s">
        <v>35</v>
      </c>
      <c r="D3666" t="s">
        <v>10</v>
      </c>
      <c r="E3666" t="s">
        <v>16</v>
      </c>
      <c r="F3666">
        <v>1380</v>
      </c>
      <c r="G3666">
        <v>34</v>
      </c>
      <c r="H3666" s="6">
        <f t="shared" si="290"/>
        <v>46.92</v>
      </c>
    </row>
    <row r="3667" spans="1:8" hidden="1" x14ac:dyDescent="0.3">
      <c r="A3667" s="9">
        <v>45281</v>
      </c>
      <c r="B3667" t="s">
        <v>12</v>
      </c>
      <c r="C3667" t="s">
        <v>35</v>
      </c>
      <c r="D3667" t="s">
        <v>18</v>
      </c>
      <c r="E3667" t="s">
        <v>19</v>
      </c>
      <c r="F3667">
        <v>325</v>
      </c>
      <c r="G3667">
        <v>35</v>
      </c>
      <c r="H3667" s="6">
        <f t="shared" si="290"/>
        <v>11.375</v>
      </c>
    </row>
    <row r="3668" spans="1:8" hidden="1" x14ac:dyDescent="0.3">
      <c r="A3668" s="9">
        <v>45281</v>
      </c>
      <c r="B3668" t="s">
        <v>17</v>
      </c>
      <c r="C3668" t="s">
        <v>35</v>
      </c>
      <c r="D3668" t="s">
        <v>18</v>
      </c>
      <c r="E3668" t="s">
        <v>31</v>
      </c>
      <c r="F3668">
        <v>715</v>
      </c>
      <c r="G3668">
        <v>12</v>
      </c>
      <c r="H3668" s="6">
        <f t="shared" si="290"/>
        <v>8.58</v>
      </c>
    </row>
    <row r="3669" spans="1:8" hidden="1" x14ac:dyDescent="0.3">
      <c r="A3669" s="13" t="s">
        <v>369</v>
      </c>
      <c r="H3669" s="6">
        <f>SUBTOTAL(9,H3663:H3668)</f>
        <v>49.2</v>
      </c>
    </row>
    <row r="3670" spans="1:8" hidden="1" x14ac:dyDescent="0.3">
      <c r="A3670" s="9">
        <v>45282</v>
      </c>
      <c r="B3670" t="s">
        <v>45</v>
      </c>
      <c r="C3670" t="s">
        <v>20</v>
      </c>
      <c r="D3670" t="s">
        <v>18</v>
      </c>
      <c r="E3670" t="s">
        <v>27</v>
      </c>
      <c r="F3670">
        <v>460</v>
      </c>
      <c r="G3670">
        <v>60</v>
      </c>
      <c r="H3670" s="6">
        <f t="shared" ref="H3670:H3680" si="291">F3670*G3670/1000</f>
        <v>27.6</v>
      </c>
    </row>
    <row r="3671" spans="1:8" hidden="1" x14ac:dyDescent="0.3">
      <c r="A3671" s="9">
        <v>45282</v>
      </c>
      <c r="B3671" t="s">
        <v>45</v>
      </c>
      <c r="C3671" t="s">
        <v>9</v>
      </c>
      <c r="D3671" t="s">
        <v>18</v>
      </c>
      <c r="E3671" t="s">
        <v>21</v>
      </c>
      <c r="F3671">
        <v>450</v>
      </c>
      <c r="G3671">
        <v>14</v>
      </c>
      <c r="H3671" s="6">
        <f t="shared" si="291"/>
        <v>6.3</v>
      </c>
    </row>
    <row r="3672" spans="1:8" hidden="1" x14ac:dyDescent="0.3">
      <c r="A3672" s="9">
        <v>45282</v>
      </c>
      <c r="B3672" t="s">
        <v>45</v>
      </c>
      <c r="C3672" t="s">
        <v>26</v>
      </c>
      <c r="D3672" t="s">
        <v>18</v>
      </c>
      <c r="E3672" t="s">
        <v>27</v>
      </c>
      <c r="F3672">
        <v>460</v>
      </c>
      <c r="G3672">
        <v>23</v>
      </c>
      <c r="H3672" s="6">
        <f t="shared" si="291"/>
        <v>10.58</v>
      </c>
    </row>
    <row r="3673" spans="1:8" hidden="1" x14ac:dyDescent="0.3">
      <c r="A3673" s="9">
        <v>45282</v>
      </c>
      <c r="B3673" t="s">
        <v>12</v>
      </c>
      <c r="C3673" t="s">
        <v>26</v>
      </c>
      <c r="D3673" t="s">
        <v>24</v>
      </c>
      <c r="E3673" t="s">
        <v>42</v>
      </c>
      <c r="F3673">
        <v>3205</v>
      </c>
      <c r="G3673">
        <v>85</v>
      </c>
      <c r="H3673" s="6">
        <f t="shared" si="291"/>
        <v>272.42500000000001</v>
      </c>
    </row>
    <row r="3674" spans="1:8" hidden="1" x14ac:dyDescent="0.3">
      <c r="A3674" s="9">
        <v>45282</v>
      </c>
      <c r="B3674" t="s">
        <v>17</v>
      </c>
      <c r="C3674" t="s">
        <v>33</v>
      </c>
      <c r="D3674" t="s">
        <v>10</v>
      </c>
      <c r="E3674" t="s">
        <v>23</v>
      </c>
      <c r="F3674">
        <v>640</v>
      </c>
      <c r="G3674">
        <v>22</v>
      </c>
      <c r="H3674" s="6">
        <f t="shared" si="291"/>
        <v>14.08</v>
      </c>
    </row>
    <row r="3675" spans="1:8" hidden="1" x14ac:dyDescent="0.3">
      <c r="A3675" s="9">
        <v>45282</v>
      </c>
      <c r="B3675" t="s">
        <v>17</v>
      </c>
      <c r="C3675" t="s">
        <v>33</v>
      </c>
      <c r="D3675" t="s">
        <v>10</v>
      </c>
      <c r="E3675" t="s">
        <v>39</v>
      </c>
      <c r="F3675">
        <v>650</v>
      </c>
      <c r="G3675">
        <v>54</v>
      </c>
      <c r="H3675" s="6">
        <f t="shared" si="291"/>
        <v>35.1</v>
      </c>
    </row>
    <row r="3676" spans="1:8" hidden="1" x14ac:dyDescent="0.3">
      <c r="A3676" s="9">
        <v>45282</v>
      </c>
      <c r="B3676" t="s">
        <v>12</v>
      </c>
      <c r="C3676" t="s">
        <v>33</v>
      </c>
      <c r="D3676" t="s">
        <v>13</v>
      </c>
      <c r="E3676" t="s">
        <v>22</v>
      </c>
      <c r="F3676">
        <v>930</v>
      </c>
      <c r="G3676">
        <v>93</v>
      </c>
      <c r="H3676" s="6">
        <f t="shared" si="291"/>
        <v>86.49</v>
      </c>
    </row>
    <row r="3677" spans="1:8" hidden="1" x14ac:dyDescent="0.3">
      <c r="A3677" s="9">
        <v>45282</v>
      </c>
      <c r="B3677" t="s">
        <v>45</v>
      </c>
      <c r="C3677" t="s">
        <v>35</v>
      </c>
      <c r="D3677" t="s">
        <v>10</v>
      </c>
      <c r="E3677" t="s">
        <v>41</v>
      </c>
      <c r="F3677">
        <v>650</v>
      </c>
      <c r="G3677">
        <v>66</v>
      </c>
      <c r="H3677" s="6">
        <f t="shared" si="291"/>
        <v>42.9</v>
      </c>
    </row>
    <row r="3678" spans="1:8" hidden="1" x14ac:dyDescent="0.3">
      <c r="A3678" s="9">
        <v>45282</v>
      </c>
      <c r="B3678" t="s">
        <v>45</v>
      </c>
      <c r="C3678" t="s">
        <v>35</v>
      </c>
      <c r="D3678" t="s">
        <v>10</v>
      </c>
      <c r="E3678" t="s">
        <v>39</v>
      </c>
      <c r="F3678">
        <v>650</v>
      </c>
      <c r="G3678">
        <v>50</v>
      </c>
      <c r="H3678" s="6">
        <f t="shared" si="291"/>
        <v>32.5</v>
      </c>
    </row>
    <row r="3679" spans="1:8" hidden="1" x14ac:dyDescent="0.3">
      <c r="A3679" s="9">
        <v>45282</v>
      </c>
      <c r="B3679" t="s">
        <v>17</v>
      </c>
      <c r="C3679" t="s">
        <v>35</v>
      </c>
      <c r="D3679" t="s">
        <v>18</v>
      </c>
      <c r="E3679" t="s">
        <v>31</v>
      </c>
      <c r="F3679">
        <v>715</v>
      </c>
      <c r="G3679">
        <v>66</v>
      </c>
      <c r="H3679" s="6">
        <f t="shared" si="291"/>
        <v>47.19</v>
      </c>
    </row>
    <row r="3680" spans="1:8" hidden="1" x14ac:dyDescent="0.3">
      <c r="A3680" s="9">
        <v>45282</v>
      </c>
      <c r="B3680" t="s">
        <v>17</v>
      </c>
      <c r="C3680" t="s">
        <v>35</v>
      </c>
      <c r="D3680" t="s">
        <v>24</v>
      </c>
      <c r="E3680" t="s">
        <v>42</v>
      </c>
      <c r="F3680">
        <v>3205</v>
      </c>
      <c r="G3680">
        <v>71</v>
      </c>
      <c r="H3680" s="6">
        <f t="shared" si="291"/>
        <v>227.55500000000001</v>
      </c>
    </row>
    <row r="3681" spans="1:8" hidden="1" x14ac:dyDescent="0.3">
      <c r="A3681" s="13" t="s">
        <v>370</v>
      </c>
      <c r="H3681" s="6">
        <f>SUBTOTAL(9,H3670:H3680)</f>
        <v>0</v>
      </c>
    </row>
    <row r="3682" spans="1:8" hidden="1" x14ac:dyDescent="0.3">
      <c r="A3682" s="9">
        <v>45283</v>
      </c>
      <c r="B3682" t="s">
        <v>17</v>
      </c>
      <c r="C3682" t="s">
        <v>20</v>
      </c>
      <c r="D3682" t="s">
        <v>13</v>
      </c>
      <c r="E3682" t="s">
        <v>29</v>
      </c>
      <c r="F3682">
        <v>1230</v>
      </c>
      <c r="G3682">
        <v>37</v>
      </c>
      <c r="H3682" s="6">
        <f t="shared" ref="H3682:H3691" si="292">F3682*G3682/1000</f>
        <v>45.51</v>
      </c>
    </row>
    <row r="3683" spans="1:8" hidden="1" x14ac:dyDescent="0.3">
      <c r="A3683" s="9">
        <v>45283</v>
      </c>
      <c r="B3683" t="s">
        <v>12</v>
      </c>
      <c r="C3683" t="s">
        <v>9</v>
      </c>
      <c r="D3683" t="s">
        <v>10</v>
      </c>
      <c r="E3683" t="s">
        <v>39</v>
      </c>
      <c r="F3683">
        <v>650</v>
      </c>
      <c r="G3683">
        <v>65</v>
      </c>
      <c r="H3683" s="6">
        <f t="shared" si="292"/>
        <v>42.25</v>
      </c>
    </row>
    <row r="3684" spans="1:8" hidden="1" x14ac:dyDescent="0.3">
      <c r="A3684" s="9">
        <v>45283</v>
      </c>
      <c r="B3684" t="s">
        <v>12</v>
      </c>
      <c r="C3684" t="s">
        <v>9</v>
      </c>
      <c r="D3684" t="s">
        <v>18</v>
      </c>
      <c r="E3684" t="s">
        <v>31</v>
      </c>
      <c r="F3684">
        <v>715</v>
      </c>
      <c r="G3684">
        <v>53</v>
      </c>
      <c r="H3684" s="6">
        <f t="shared" si="292"/>
        <v>37.895000000000003</v>
      </c>
    </row>
    <row r="3685" spans="1:8" hidden="1" x14ac:dyDescent="0.3">
      <c r="A3685" s="9">
        <v>45283</v>
      </c>
      <c r="B3685" t="s">
        <v>17</v>
      </c>
      <c r="C3685" t="s">
        <v>9</v>
      </c>
      <c r="D3685" t="s">
        <v>24</v>
      </c>
      <c r="E3685" t="s">
        <v>36</v>
      </c>
      <c r="F3685">
        <v>2460</v>
      </c>
      <c r="G3685">
        <v>24</v>
      </c>
      <c r="H3685" s="6">
        <f t="shared" si="292"/>
        <v>59.04</v>
      </c>
    </row>
    <row r="3686" spans="1:8" hidden="1" x14ac:dyDescent="0.3">
      <c r="A3686" s="9">
        <v>45283</v>
      </c>
      <c r="B3686" t="s">
        <v>45</v>
      </c>
      <c r="C3686" t="s">
        <v>26</v>
      </c>
      <c r="D3686" t="s">
        <v>18</v>
      </c>
      <c r="E3686" t="s">
        <v>31</v>
      </c>
      <c r="F3686">
        <v>715</v>
      </c>
      <c r="G3686">
        <v>84</v>
      </c>
      <c r="H3686" s="6">
        <f t="shared" si="292"/>
        <v>60.06</v>
      </c>
    </row>
    <row r="3687" spans="1:8" hidden="1" x14ac:dyDescent="0.3">
      <c r="A3687" s="9">
        <v>45283</v>
      </c>
      <c r="B3687" t="s">
        <v>8</v>
      </c>
      <c r="C3687" t="s">
        <v>26</v>
      </c>
      <c r="D3687" t="s">
        <v>13</v>
      </c>
      <c r="E3687" t="s">
        <v>38</v>
      </c>
      <c r="F3687">
        <v>2400</v>
      </c>
      <c r="G3687">
        <v>87</v>
      </c>
      <c r="H3687" s="6">
        <f t="shared" si="292"/>
        <v>208.8</v>
      </c>
    </row>
    <row r="3688" spans="1:8" hidden="1" x14ac:dyDescent="0.3">
      <c r="A3688" s="9">
        <v>45283</v>
      </c>
      <c r="B3688" t="s">
        <v>12</v>
      </c>
      <c r="C3688" t="s">
        <v>33</v>
      </c>
      <c r="D3688" t="s">
        <v>10</v>
      </c>
      <c r="E3688" t="s">
        <v>11</v>
      </c>
      <c r="F3688">
        <v>705</v>
      </c>
      <c r="G3688">
        <v>15</v>
      </c>
      <c r="H3688" s="6">
        <f t="shared" si="292"/>
        <v>10.574999999999999</v>
      </c>
    </row>
    <row r="3689" spans="1:8" hidden="1" x14ac:dyDescent="0.3">
      <c r="A3689" s="9">
        <v>45283</v>
      </c>
      <c r="B3689" t="s">
        <v>45</v>
      </c>
      <c r="C3689" t="s">
        <v>33</v>
      </c>
      <c r="D3689" t="s">
        <v>18</v>
      </c>
      <c r="E3689" t="s">
        <v>27</v>
      </c>
      <c r="F3689">
        <v>460</v>
      </c>
      <c r="G3689">
        <v>85</v>
      </c>
      <c r="H3689" s="6">
        <f t="shared" si="292"/>
        <v>39.1</v>
      </c>
    </row>
    <row r="3690" spans="1:8" hidden="1" x14ac:dyDescent="0.3">
      <c r="A3690" s="9">
        <v>45283</v>
      </c>
      <c r="B3690" t="s">
        <v>17</v>
      </c>
      <c r="C3690" t="s">
        <v>33</v>
      </c>
      <c r="D3690" t="s">
        <v>18</v>
      </c>
      <c r="E3690" t="s">
        <v>31</v>
      </c>
      <c r="F3690">
        <v>715</v>
      </c>
      <c r="G3690">
        <v>32</v>
      </c>
      <c r="H3690" s="6">
        <f t="shared" si="292"/>
        <v>22.88</v>
      </c>
    </row>
    <row r="3691" spans="1:8" hidden="1" x14ac:dyDescent="0.3">
      <c r="A3691" s="9">
        <v>45283</v>
      </c>
      <c r="B3691" t="s">
        <v>45</v>
      </c>
      <c r="C3691" t="s">
        <v>33</v>
      </c>
      <c r="D3691" t="s">
        <v>13</v>
      </c>
      <c r="E3691" t="s">
        <v>43</v>
      </c>
      <c r="F3691">
        <v>1420</v>
      </c>
      <c r="G3691">
        <v>97</v>
      </c>
      <c r="H3691" s="6">
        <f t="shared" si="292"/>
        <v>137.74</v>
      </c>
    </row>
    <row r="3692" spans="1:8" hidden="1" x14ac:dyDescent="0.3">
      <c r="A3692" s="13" t="s">
        <v>371</v>
      </c>
      <c r="H3692" s="6">
        <f>SUBTOTAL(9,H3682:H3691)</f>
        <v>0</v>
      </c>
    </row>
    <row r="3693" spans="1:8" hidden="1" x14ac:dyDescent="0.3">
      <c r="A3693" s="9">
        <v>45284</v>
      </c>
      <c r="B3693" t="s">
        <v>12</v>
      </c>
      <c r="C3693" t="s">
        <v>20</v>
      </c>
      <c r="D3693" t="s">
        <v>18</v>
      </c>
      <c r="E3693" t="s">
        <v>27</v>
      </c>
      <c r="F3693">
        <v>460</v>
      </c>
      <c r="G3693">
        <v>69</v>
      </c>
      <c r="H3693" s="6">
        <f t="shared" ref="H3693:H3703" si="293">F3693*G3693/1000</f>
        <v>31.74</v>
      </c>
    </row>
    <row r="3694" spans="1:8" hidden="1" x14ac:dyDescent="0.3">
      <c r="A3694" s="9">
        <v>45284</v>
      </c>
      <c r="B3694" t="s">
        <v>12</v>
      </c>
      <c r="C3694" t="s">
        <v>9</v>
      </c>
      <c r="D3694" t="s">
        <v>10</v>
      </c>
      <c r="E3694" t="s">
        <v>23</v>
      </c>
      <c r="F3694">
        <v>640</v>
      </c>
      <c r="G3694">
        <v>24</v>
      </c>
      <c r="H3694" s="6">
        <f t="shared" si="293"/>
        <v>15.36</v>
      </c>
    </row>
    <row r="3695" spans="1:8" hidden="1" x14ac:dyDescent="0.3">
      <c r="A3695" s="9">
        <v>45284</v>
      </c>
      <c r="B3695" t="s">
        <v>17</v>
      </c>
      <c r="C3695" t="s">
        <v>9</v>
      </c>
      <c r="D3695" t="s">
        <v>10</v>
      </c>
      <c r="E3695" t="s">
        <v>16</v>
      </c>
      <c r="F3695">
        <v>1380</v>
      </c>
      <c r="G3695">
        <v>61</v>
      </c>
      <c r="H3695" s="6">
        <f t="shared" si="293"/>
        <v>84.18</v>
      </c>
    </row>
    <row r="3696" spans="1:8" hidden="1" x14ac:dyDescent="0.3">
      <c r="A3696" s="9">
        <v>45284</v>
      </c>
      <c r="B3696" t="s">
        <v>12</v>
      </c>
      <c r="C3696" t="s">
        <v>9</v>
      </c>
      <c r="D3696" t="s">
        <v>24</v>
      </c>
      <c r="E3696" t="s">
        <v>30</v>
      </c>
      <c r="F3696">
        <v>2970</v>
      </c>
      <c r="G3696">
        <v>42</v>
      </c>
      <c r="H3696" s="6">
        <f t="shared" si="293"/>
        <v>124.74</v>
      </c>
    </row>
    <row r="3697" spans="1:8" hidden="1" x14ac:dyDescent="0.3">
      <c r="A3697" s="9">
        <v>45284</v>
      </c>
      <c r="B3697" t="s">
        <v>12</v>
      </c>
      <c r="C3697" t="s">
        <v>26</v>
      </c>
      <c r="D3697" t="s">
        <v>13</v>
      </c>
      <c r="E3697" t="s">
        <v>22</v>
      </c>
      <c r="F3697">
        <v>930</v>
      </c>
      <c r="G3697">
        <v>38</v>
      </c>
      <c r="H3697" s="6">
        <f t="shared" si="293"/>
        <v>35.340000000000003</v>
      </c>
    </row>
    <row r="3698" spans="1:8" hidden="1" x14ac:dyDescent="0.3">
      <c r="A3698" s="9">
        <v>45284</v>
      </c>
      <c r="B3698" t="s">
        <v>8</v>
      </c>
      <c r="C3698" t="s">
        <v>15</v>
      </c>
      <c r="D3698" t="s">
        <v>18</v>
      </c>
      <c r="E3698" t="s">
        <v>19</v>
      </c>
      <c r="F3698">
        <v>325</v>
      </c>
      <c r="G3698">
        <v>81</v>
      </c>
      <c r="H3698" s="6">
        <f t="shared" si="293"/>
        <v>26.324999999999999</v>
      </c>
    </row>
    <row r="3699" spans="1:8" hidden="1" x14ac:dyDescent="0.3">
      <c r="A3699" s="9">
        <v>45284</v>
      </c>
      <c r="B3699" t="s">
        <v>45</v>
      </c>
      <c r="C3699" t="s">
        <v>33</v>
      </c>
      <c r="D3699" t="s">
        <v>13</v>
      </c>
      <c r="E3699" t="s">
        <v>44</v>
      </c>
      <c r="F3699">
        <v>2540</v>
      </c>
      <c r="G3699">
        <v>43</v>
      </c>
      <c r="H3699" s="6">
        <f t="shared" si="293"/>
        <v>109.22</v>
      </c>
    </row>
    <row r="3700" spans="1:8" hidden="1" x14ac:dyDescent="0.3">
      <c r="A3700" s="9">
        <v>45284</v>
      </c>
      <c r="B3700" t="s">
        <v>12</v>
      </c>
      <c r="C3700" t="s">
        <v>33</v>
      </c>
      <c r="D3700" t="s">
        <v>24</v>
      </c>
      <c r="E3700" t="s">
        <v>34</v>
      </c>
      <c r="F3700">
        <v>1670</v>
      </c>
      <c r="G3700">
        <v>6</v>
      </c>
      <c r="H3700" s="6">
        <f t="shared" si="293"/>
        <v>10.02</v>
      </c>
    </row>
    <row r="3701" spans="1:8" hidden="1" x14ac:dyDescent="0.3">
      <c r="A3701" s="9">
        <v>45284</v>
      </c>
      <c r="B3701" t="s">
        <v>12</v>
      </c>
      <c r="C3701" t="s">
        <v>35</v>
      </c>
      <c r="D3701" t="s">
        <v>18</v>
      </c>
      <c r="E3701" t="s">
        <v>37</v>
      </c>
      <c r="F3701">
        <v>890</v>
      </c>
      <c r="G3701">
        <v>97</v>
      </c>
      <c r="H3701" s="6">
        <f t="shared" si="293"/>
        <v>86.33</v>
      </c>
    </row>
    <row r="3702" spans="1:8" hidden="1" x14ac:dyDescent="0.3">
      <c r="A3702" s="9">
        <v>45284</v>
      </c>
      <c r="B3702" t="s">
        <v>45</v>
      </c>
      <c r="C3702" t="s">
        <v>35</v>
      </c>
      <c r="D3702" t="s">
        <v>18</v>
      </c>
      <c r="E3702" t="s">
        <v>31</v>
      </c>
      <c r="F3702">
        <v>715</v>
      </c>
      <c r="G3702">
        <v>51</v>
      </c>
      <c r="H3702" s="6">
        <f t="shared" si="293"/>
        <v>36.465000000000003</v>
      </c>
    </row>
    <row r="3703" spans="1:8" hidden="1" x14ac:dyDescent="0.3">
      <c r="A3703" s="9">
        <v>45284</v>
      </c>
      <c r="B3703" t="s">
        <v>45</v>
      </c>
      <c r="C3703" t="s">
        <v>35</v>
      </c>
      <c r="D3703" t="s">
        <v>18</v>
      </c>
      <c r="E3703" t="s">
        <v>37</v>
      </c>
      <c r="F3703">
        <v>890</v>
      </c>
      <c r="G3703">
        <v>40</v>
      </c>
      <c r="H3703" s="6">
        <f t="shared" si="293"/>
        <v>35.6</v>
      </c>
    </row>
    <row r="3704" spans="1:8" hidden="1" x14ac:dyDescent="0.3">
      <c r="A3704" s="13" t="s">
        <v>372</v>
      </c>
      <c r="H3704" s="6">
        <f>SUBTOTAL(9,H3693:H3703)</f>
        <v>0</v>
      </c>
    </row>
    <row r="3705" spans="1:8" hidden="1" x14ac:dyDescent="0.3">
      <c r="A3705" s="9">
        <v>45285</v>
      </c>
      <c r="B3705" t="s">
        <v>8</v>
      </c>
      <c r="C3705" t="s">
        <v>20</v>
      </c>
      <c r="D3705" t="s">
        <v>10</v>
      </c>
      <c r="E3705" t="s">
        <v>39</v>
      </c>
      <c r="F3705">
        <v>650</v>
      </c>
      <c r="G3705">
        <v>20</v>
      </c>
      <c r="H3705" s="6">
        <f t="shared" ref="H3705:H3711" si="294">F3705*G3705/1000</f>
        <v>13</v>
      </c>
    </row>
    <row r="3706" spans="1:8" hidden="1" x14ac:dyDescent="0.3">
      <c r="A3706" s="9">
        <v>45285</v>
      </c>
      <c r="B3706" t="s">
        <v>17</v>
      </c>
      <c r="C3706" t="s">
        <v>20</v>
      </c>
      <c r="D3706" t="s">
        <v>10</v>
      </c>
      <c r="E3706" t="s">
        <v>23</v>
      </c>
      <c r="F3706">
        <v>640</v>
      </c>
      <c r="G3706">
        <v>96</v>
      </c>
      <c r="H3706" s="6">
        <f t="shared" si="294"/>
        <v>61.44</v>
      </c>
    </row>
    <row r="3707" spans="1:8" hidden="1" x14ac:dyDescent="0.3">
      <c r="A3707" s="9">
        <v>45285</v>
      </c>
      <c r="B3707" t="s">
        <v>8</v>
      </c>
      <c r="C3707" t="s">
        <v>20</v>
      </c>
      <c r="D3707" t="s">
        <v>18</v>
      </c>
      <c r="E3707" t="s">
        <v>37</v>
      </c>
      <c r="F3707">
        <v>890</v>
      </c>
      <c r="G3707">
        <v>98</v>
      </c>
      <c r="H3707" s="6">
        <f t="shared" si="294"/>
        <v>87.22</v>
      </c>
    </row>
    <row r="3708" spans="1:8" hidden="1" x14ac:dyDescent="0.3">
      <c r="A3708" s="9">
        <v>45285</v>
      </c>
      <c r="B3708" t="s">
        <v>8</v>
      </c>
      <c r="C3708" t="s">
        <v>20</v>
      </c>
      <c r="D3708" t="s">
        <v>18</v>
      </c>
      <c r="E3708" t="s">
        <v>21</v>
      </c>
      <c r="F3708">
        <v>450</v>
      </c>
      <c r="G3708">
        <v>40</v>
      </c>
      <c r="H3708" s="6">
        <f t="shared" si="294"/>
        <v>18</v>
      </c>
    </row>
    <row r="3709" spans="1:8" hidden="1" x14ac:dyDescent="0.3">
      <c r="A3709" s="9">
        <v>45285</v>
      </c>
      <c r="B3709" t="s">
        <v>17</v>
      </c>
      <c r="C3709" t="s">
        <v>9</v>
      </c>
      <c r="D3709" t="s">
        <v>18</v>
      </c>
      <c r="E3709" t="s">
        <v>27</v>
      </c>
      <c r="F3709">
        <v>460</v>
      </c>
      <c r="G3709">
        <v>81</v>
      </c>
      <c r="H3709" s="6">
        <f t="shared" si="294"/>
        <v>37.26</v>
      </c>
    </row>
    <row r="3710" spans="1:8" x14ac:dyDescent="0.3">
      <c r="A3710" s="9">
        <v>45285</v>
      </c>
      <c r="B3710" t="s">
        <v>45</v>
      </c>
      <c r="C3710" t="s">
        <v>26</v>
      </c>
      <c r="D3710" t="s">
        <v>13</v>
      </c>
      <c r="E3710" t="s">
        <v>29</v>
      </c>
      <c r="F3710">
        <v>1230</v>
      </c>
      <c r="G3710">
        <v>81</v>
      </c>
      <c r="H3710" s="6">
        <f t="shared" si="294"/>
        <v>99.63</v>
      </c>
    </row>
    <row r="3711" spans="1:8" hidden="1" x14ac:dyDescent="0.3">
      <c r="A3711" s="9">
        <v>45285</v>
      </c>
      <c r="B3711" t="s">
        <v>12</v>
      </c>
      <c r="C3711" t="s">
        <v>35</v>
      </c>
      <c r="D3711" t="s">
        <v>18</v>
      </c>
      <c r="E3711" t="s">
        <v>28</v>
      </c>
      <c r="F3711">
        <v>690</v>
      </c>
      <c r="G3711">
        <v>13</v>
      </c>
      <c r="H3711" s="6">
        <f t="shared" si="294"/>
        <v>8.9700000000000006</v>
      </c>
    </row>
    <row r="3712" spans="1:8" hidden="1" x14ac:dyDescent="0.3">
      <c r="A3712" s="13" t="s">
        <v>373</v>
      </c>
      <c r="H3712" s="6">
        <f>SUBTOTAL(9,H3705:H3711)</f>
        <v>99.63</v>
      </c>
    </row>
    <row r="3713" spans="1:8" hidden="1" x14ac:dyDescent="0.3">
      <c r="A3713" s="9">
        <v>45286</v>
      </c>
      <c r="B3713" t="s">
        <v>17</v>
      </c>
      <c r="C3713" t="s">
        <v>20</v>
      </c>
      <c r="D3713" t="s">
        <v>18</v>
      </c>
      <c r="E3713" t="s">
        <v>19</v>
      </c>
      <c r="F3713">
        <v>325</v>
      </c>
      <c r="G3713">
        <v>85</v>
      </c>
      <c r="H3713" s="6">
        <f t="shared" ref="H3713:H3726" si="295">F3713*G3713/1000</f>
        <v>27.625</v>
      </c>
    </row>
    <row r="3714" spans="1:8" hidden="1" x14ac:dyDescent="0.3">
      <c r="A3714" s="9">
        <v>45286</v>
      </c>
      <c r="B3714" t="s">
        <v>12</v>
      </c>
      <c r="C3714" t="s">
        <v>20</v>
      </c>
      <c r="D3714" t="s">
        <v>18</v>
      </c>
      <c r="E3714" t="s">
        <v>19</v>
      </c>
      <c r="F3714">
        <v>325</v>
      </c>
      <c r="G3714">
        <v>5</v>
      </c>
      <c r="H3714" s="6">
        <f t="shared" si="295"/>
        <v>1.625</v>
      </c>
    </row>
    <row r="3715" spans="1:8" hidden="1" x14ac:dyDescent="0.3">
      <c r="A3715" s="9">
        <v>45286</v>
      </c>
      <c r="B3715" t="s">
        <v>17</v>
      </c>
      <c r="C3715" t="s">
        <v>20</v>
      </c>
      <c r="D3715" t="s">
        <v>13</v>
      </c>
      <c r="E3715" t="s">
        <v>44</v>
      </c>
      <c r="F3715">
        <v>2540</v>
      </c>
      <c r="G3715">
        <v>93</v>
      </c>
      <c r="H3715" s="6">
        <f t="shared" si="295"/>
        <v>236.22</v>
      </c>
    </row>
    <row r="3716" spans="1:8" hidden="1" x14ac:dyDescent="0.3">
      <c r="A3716" s="9">
        <v>45286</v>
      </c>
      <c r="B3716" t="s">
        <v>12</v>
      </c>
      <c r="C3716" t="s">
        <v>20</v>
      </c>
      <c r="D3716" t="s">
        <v>24</v>
      </c>
      <c r="E3716" t="s">
        <v>30</v>
      </c>
      <c r="F3716">
        <v>2970</v>
      </c>
      <c r="G3716">
        <v>94</v>
      </c>
      <c r="H3716" s="6">
        <f t="shared" si="295"/>
        <v>279.18</v>
      </c>
    </row>
    <row r="3717" spans="1:8" hidden="1" x14ac:dyDescent="0.3">
      <c r="A3717" s="9">
        <v>45286</v>
      </c>
      <c r="B3717" t="s">
        <v>17</v>
      </c>
      <c r="C3717" t="s">
        <v>20</v>
      </c>
      <c r="D3717" t="s">
        <v>24</v>
      </c>
      <c r="E3717" t="s">
        <v>34</v>
      </c>
      <c r="F3717">
        <v>1670</v>
      </c>
      <c r="G3717">
        <v>93</v>
      </c>
      <c r="H3717" s="6">
        <f t="shared" si="295"/>
        <v>155.31</v>
      </c>
    </row>
    <row r="3718" spans="1:8" hidden="1" x14ac:dyDescent="0.3">
      <c r="A3718" s="9">
        <v>45286</v>
      </c>
      <c r="B3718" t="s">
        <v>17</v>
      </c>
      <c r="C3718" t="s">
        <v>9</v>
      </c>
      <c r="D3718" t="s">
        <v>18</v>
      </c>
      <c r="E3718" t="s">
        <v>31</v>
      </c>
      <c r="F3718">
        <v>715</v>
      </c>
      <c r="G3718">
        <v>57</v>
      </c>
      <c r="H3718" s="6">
        <f t="shared" si="295"/>
        <v>40.755000000000003</v>
      </c>
    </row>
    <row r="3719" spans="1:8" hidden="1" x14ac:dyDescent="0.3">
      <c r="A3719" s="9">
        <v>45286</v>
      </c>
      <c r="B3719" t="s">
        <v>8</v>
      </c>
      <c r="C3719" t="s">
        <v>9</v>
      </c>
      <c r="D3719" t="s">
        <v>18</v>
      </c>
      <c r="E3719" t="s">
        <v>28</v>
      </c>
      <c r="F3719">
        <v>690</v>
      </c>
      <c r="G3719">
        <v>61</v>
      </c>
      <c r="H3719" s="6">
        <f t="shared" si="295"/>
        <v>42.09</v>
      </c>
    </row>
    <row r="3720" spans="1:8" hidden="1" x14ac:dyDescent="0.3">
      <c r="A3720" s="9">
        <v>45286</v>
      </c>
      <c r="B3720" t="s">
        <v>45</v>
      </c>
      <c r="C3720" t="s">
        <v>9</v>
      </c>
      <c r="D3720" t="s">
        <v>18</v>
      </c>
      <c r="E3720" t="s">
        <v>28</v>
      </c>
      <c r="F3720">
        <v>690</v>
      </c>
      <c r="G3720">
        <v>81</v>
      </c>
      <c r="H3720" s="6">
        <f t="shared" si="295"/>
        <v>55.89</v>
      </c>
    </row>
    <row r="3721" spans="1:8" hidden="1" x14ac:dyDescent="0.3">
      <c r="A3721" s="9">
        <v>45286</v>
      </c>
      <c r="B3721" t="s">
        <v>12</v>
      </c>
      <c r="C3721" t="s">
        <v>26</v>
      </c>
      <c r="D3721" t="s">
        <v>13</v>
      </c>
      <c r="E3721" t="s">
        <v>44</v>
      </c>
      <c r="F3721">
        <v>2540</v>
      </c>
      <c r="G3721">
        <v>28</v>
      </c>
      <c r="H3721" s="6">
        <f t="shared" si="295"/>
        <v>71.12</v>
      </c>
    </row>
    <row r="3722" spans="1:8" hidden="1" x14ac:dyDescent="0.3">
      <c r="A3722" s="9">
        <v>45286</v>
      </c>
      <c r="B3722" t="s">
        <v>8</v>
      </c>
      <c r="C3722" t="s">
        <v>33</v>
      </c>
      <c r="D3722" t="s">
        <v>10</v>
      </c>
      <c r="E3722" t="s">
        <v>23</v>
      </c>
      <c r="F3722">
        <v>640</v>
      </c>
      <c r="G3722">
        <v>47</v>
      </c>
      <c r="H3722" s="6">
        <f t="shared" si="295"/>
        <v>30.08</v>
      </c>
    </row>
    <row r="3723" spans="1:8" hidden="1" x14ac:dyDescent="0.3">
      <c r="A3723" s="9">
        <v>45286</v>
      </c>
      <c r="B3723" t="s">
        <v>8</v>
      </c>
      <c r="C3723" t="s">
        <v>33</v>
      </c>
      <c r="D3723" t="s">
        <v>10</v>
      </c>
      <c r="E3723" t="s">
        <v>16</v>
      </c>
      <c r="F3723">
        <v>1380</v>
      </c>
      <c r="G3723">
        <v>19</v>
      </c>
      <c r="H3723" s="6">
        <f t="shared" si="295"/>
        <v>26.22</v>
      </c>
    </row>
    <row r="3724" spans="1:8" hidden="1" x14ac:dyDescent="0.3">
      <c r="A3724" s="9">
        <v>45286</v>
      </c>
      <c r="B3724" t="s">
        <v>17</v>
      </c>
      <c r="C3724" t="s">
        <v>33</v>
      </c>
      <c r="D3724" t="s">
        <v>13</v>
      </c>
      <c r="E3724" t="s">
        <v>38</v>
      </c>
      <c r="F3724">
        <v>2400</v>
      </c>
      <c r="G3724">
        <v>17</v>
      </c>
      <c r="H3724" s="6">
        <f t="shared" si="295"/>
        <v>40.799999999999997</v>
      </c>
    </row>
    <row r="3725" spans="1:8" hidden="1" x14ac:dyDescent="0.3">
      <c r="A3725" s="9">
        <v>45286</v>
      </c>
      <c r="B3725" t="s">
        <v>45</v>
      </c>
      <c r="C3725" t="s">
        <v>35</v>
      </c>
      <c r="D3725" t="s">
        <v>18</v>
      </c>
      <c r="E3725" t="s">
        <v>21</v>
      </c>
      <c r="F3725">
        <v>450</v>
      </c>
      <c r="G3725">
        <v>90</v>
      </c>
      <c r="H3725" s="6">
        <f t="shared" si="295"/>
        <v>40.5</v>
      </c>
    </row>
    <row r="3726" spans="1:8" hidden="1" x14ac:dyDescent="0.3">
      <c r="A3726" s="9">
        <v>45286</v>
      </c>
      <c r="B3726" t="s">
        <v>12</v>
      </c>
      <c r="C3726" t="s">
        <v>35</v>
      </c>
      <c r="D3726" t="s">
        <v>24</v>
      </c>
      <c r="E3726" t="s">
        <v>34</v>
      </c>
      <c r="F3726">
        <v>1670</v>
      </c>
      <c r="G3726">
        <v>37</v>
      </c>
      <c r="H3726" s="6">
        <f t="shared" si="295"/>
        <v>61.79</v>
      </c>
    </row>
    <row r="3727" spans="1:8" hidden="1" x14ac:dyDescent="0.3">
      <c r="A3727" s="13" t="s">
        <v>374</v>
      </c>
      <c r="H3727" s="6">
        <f>SUBTOTAL(9,H3713:H3726)</f>
        <v>0</v>
      </c>
    </row>
    <row r="3728" spans="1:8" hidden="1" x14ac:dyDescent="0.3">
      <c r="A3728" s="9">
        <v>45287</v>
      </c>
      <c r="B3728" t="s">
        <v>45</v>
      </c>
      <c r="C3728" t="s">
        <v>20</v>
      </c>
      <c r="D3728" t="s">
        <v>18</v>
      </c>
      <c r="E3728" t="s">
        <v>19</v>
      </c>
      <c r="F3728">
        <v>325</v>
      </c>
      <c r="G3728">
        <v>17</v>
      </c>
      <c r="H3728" s="6">
        <f t="shared" ref="H3728:H3737" si="296">F3728*G3728/1000</f>
        <v>5.5250000000000004</v>
      </c>
    </row>
    <row r="3729" spans="1:8" hidden="1" x14ac:dyDescent="0.3">
      <c r="A3729" s="9">
        <v>45287</v>
      </c>
      <c r="B3729" t="s">
        <v>12</v>
      </c>
      <c r="C3729" t="s">
        <v>20</v>
      </c>
      <c r="D3729" t="s">
        <v>13</v>
      </c>
      <c r="E3729" t="s">
        <v>14</v>
      </c>
      <c r="F3729">
        <v>1320</v>
      </c>
      <c r="G3729">
        <v>88</v>
      </c>
      <c r="H3729" s="6">
        <f t="shared" si="296"/>
        <v>116.16</v>
      </c>
    </row>
    <row r="3730" spans="1:8" hidden="1" x14ac:dyDescent="0.3">
      <c r="A3730" s="9">
        <v>45287</v>
      </c>
      <c r="B3730" t="s">
        <v>12</v>
      </c>
      <c r="C3730" t="s">
        <v>9</v>
      </c>
      <c r="D3730" t="s">
        <v>24</v>
      </c>
      <c r="E3730" t="s">
        <v>34</v>
      </c>
      <c r="F3730">
        <v>1670</v>
      </c>
      <c r="G3730">
        <v>99</v>
      </c>
      <c r="H3730" s="6">
        <f t="shared" si="296"/>
        <v>165.33</v>
      </c>
    </row>
    <row r="3731" spans="1:8" hidden="1" x14ac:dyDescent="0.3">
      <c r="A3731" s="9">
        <v>45287</v>
      </c>
      <c r="B3731" t="s">
        <v>17</v>
      </c>
      <c r="C3731" t="s">
        <v>26</v>
      </c>
      <c r="D3731" t="s">
        <v>18</v>
      </c>
      <c r="E3731" t="s">
        <v>19</v>
      </c>
      <c r="F3731">
        <v>325</v>
      </c>
      <c r="G3731">
        <v>55</v>
      </c>
      <c r="H3731" s="6">
        <f t="shared" si="296"/>
        <v>17.875</v>
      </c>
    </row>
    <row r="3732" spans="1:8" hidden="1" x14ac:dyDescent="0.3">
      <c r="A3732" s="9">
        <v>45287</v>
      </c>
      <c r="B3732" t="s">
        <v>17</v>
      </c>
      <c r="C3732" t="s">
        <v>26</v>
      </c>
      <c r="D3732" t="s">
        <v>24</v>
      </c>
      <c r="E3732" t="s">
        <v>32</v>
      </c>
      <c r="F3732">
        <v>1505</v>
      </c>
      <c r="G3732">
        <v>92</v>
      </c>
      <c r="H3732" s="6">
        <f t="shared" si="296"/>
        <v>138.46</v>
      </c>
    </row>
    <row r="3733" spans="1:8" hidden="1" x14ac:dyDescent="0.3">
      <c r="A3733" s="9">
        <v>45287</v>
      </c>
      <c r="B3733" t="s">
        <v>8</v>
      </c>
      <c r="C3733" t="s">
        <v>33</v>
      </c>
      <c r="D3733" t="s">
        <v>10</v>
      </c>
      <c r="E3733" t="s">
        <v>41</v>
      </c>
      <c r="F3733">
        <v>650</v>
      </c>
      <c r="G3733">
        <v>88</v>
      </c>
      <c r="H3733" s="6">
        <f t="shared" si="296"/>
        <v>57.2</v>
      </c>
    </row>
    <row r="3734" spans="1:8" hidden="1" x14ac:dyDescent="0.3">
      <c r="A3734" s="9">
        <v>45287</v>
      </c>
      <c r="B3734" t="s">
        <v>17</v>
      </c>
      <c r="C3734" t="s">
        <v>33</v>
      </c>
      <c r="D3734" t="s">
        <v>10</v>
      </c>
      <c r="E3734" t="s">
        <v>16</v>
      </c>
      <c r="F3734">
        <v>1380</v>
      </c>
      <c r="G3734">
        <v>66</v>
      </c>
      <c r="H3734" s="6">
        <f t="shared" si="296"/>
        <v>91.08</v>
      </c>
    </row>
    <row r="3735" spans="1:8" hidden="1" x14ac:dyDescent="0.3">
      <c r="A3735" s="9">
        <v>45287</v>
      </c>
      <c r="B3735" t="s">
        <v>12</v>
      </c>
      <c r="C3735" t="s">
        <v>33</v>
      </c>
      <c r="D3735" t="s">
        <v>13</v>
      </c>
      <c r="E3735" t="s">
        <v>43</v>
      </c>
      <c r="F3735">
        <v>1420</v>
      </c>
      <c r="G3735">
        <v>22</v>
      </c>
      <c r="H3735" s="6">
        <f t="shared" si="296"/>
        <v>31.24</v>
      </c>
    </row>
    <row r="3736" spans="1:8" hidden="1" x14ac:dyDescent="0.3">
      <c r="A3736" s="9">
        <v>45287</v>
      </c>
      <c r="B3736" t="s">
        <v>45</v>
      </c>
      <c r="C3736" t="s">
        <v>35</v>
      </c>
      <c r="D3736" t="s">
        <v>13</v>
      </c>
      <c r="E3736" t="s">
        <v>43</v>
      </c>
      <c r="F3736">
        <v>1420</v>
      </c>
      <c r="G3736">
        <v>6</v>
      </c>
      <c r="H3736" s="6">
        <f t="shared" si="296"/>
        <v>8.52</v>
      </c>
    </row>
    <row r="3737" spans="1:8" hidden="1" x14ac:dyDescent="0.3">
      <c r="A3737" s="9">
        <v>45287</v>
      </c>
      <c r="B3737" t="s">
        <v>8</v>
      </c>
      <c r="C3737" t="s">
        <v>35</v>
      </c>
      <c r="D3737" t="s">
        <v>24</v>
      </c>
      <c r="E3737" t="s">
        <v>30</v>
      </c>
      <c r="F3737">
        <v>2970</v>
      </c>
      <c r="G3737">
        <v>94</v>
      </c>
      <c r="H3737" s="6">
        <f t="shared" si="296"/>
        <v>279.18</v>
      </c>
    </row>
    <row r="3738" spans="1:8" hidden="1" x14ac:dyDescent="0.3">
      <c r="A3738" s="13" t="s">
        <v>375</v>
      </c>
      <c r="H3738" s="6">
        <f>SUBTOTAL(9,H3728:H3737)</f>
        <v>0</v>
      </c>
    </row>
    <row r="3739" spans="1:8" hidden="1" x14ac:dyDescent="0.3">
      <c r="A3739" s="9">
        <v>45288</v>
      </c>
      <c r="B3739" t="s">
        <v>45</v>
      </c>
      <c r="C3739" t="s">
        <v>20</v>
      </c>
      <c r="D3739" t="s">
        <v>10</v>
      </c>
      <c r="E3739" t="s">
        <v>40</v>
      </c>
      <c r="F3739">
        <v>540</v>
      </c>
      <c r="G3739">
        <v>56</v>
      </c>
      <c r="H3739" s="6">
        <f t="shared" ref="H3739:H3753" si="297">F3739*G3739/1000</f>
        <v>30.24</v>
      </c>
    </row>
    <row r="3740" spans="1:8" hidden="1" x14ac:dyDescent="0.3">
      <c r="A3740" s="9">
        <v>45288</v>
      </c>
      <c r="B3740" t="s">
        <v>45</v>
      </c>
      <c r="C3740" t="s">
        <v>9</v>
      </c>
      <c r="D3740" t="s">
        <v>10</v>
      </c>
      <c r="E3740" t="s">
        <v>16</v>
      </c>
      <c r="F3740">
        <v>1380</v>
      </c>
      <c r="G3740">
        <v>61</v>
      </c>
      <c r="H3740" s="6">
        <f t="shared" si="297"/>
        <v>84.18</v>
      </c>
    </row>
    <row r="3741" spans="1:8" hidden="1" x14ac:dyDescent="0.3">
      <c r="A3741" s="9">
        <v>45288</v>
      </c>
      <c r="B3741" t="s">
        <v>45</v>
      </c>
      <c r="C3741" t="s">
        <v>26</v>
      </c>
      <c r="D3741" t="s">
        <v>10</v>
      </c>
      <c r="E3741" t="s">
        <v>40</v>
      </c>
      <c r="F3741">
        <v>540</v>
      </c>
      <c r="G3741">
        <v>5</v>
      </c>
      <c r="H3741" s="6">
        <f t="shared" si="297"/>
        <v>2.7</v>
      </c>
    </row>
    <row r="3742" spans="1:8" hidden="1" x14ac:dyDescent="0.3">
      <c r="A3742" s="9">
        <v>45288</v>
      </c>
      <c r="B3742" t="s">
        <v>8</v>
      </c>
      <c r="C3742" t="s">
        <v>15</v>
      </c>
      <c r="D3742" t="s">
        <v>18</v>
      </c>
      <c r="E3742" t="s">
        <v>27</v>
      </c>
      <c r="F3742">
        <v>460</v>
      </c>
      <c r="G3742">
        <v>34</v>
      </c>
      <c r="H3742" s="6">
        <f t="shared" si="297"/>
        <v>15.64</v>
      </c>
    </row>
    <row r="3743" spans="1:8" hidden="1" x14ac:dyDescent="0.3">
      <c r="A3743" s="9">
        <v>45288</v>
      </c>
      <c r="B3743" t="s">
        <v>8</v>
      </c>
      <c r="C3743" t="s">
        <v>15</v>
      </c>
      <c r="D3743" t="s">
        <v>18</v>
      </c>
      <c r="E3743" t="s">
        <v>28</v>
      </c>
      <c r="F3743">
        <v>690</v>
      </c>
      <c r="G3743">
        <v>56</v>
      </c>
      <c r="H3743" s="6">
        <f t="shared" si="297"/>
        <v>38.64</v>
      </c>
    </row>
    <row r="3744" spans="1:8" hidden="1" x14ac:dyDescent="0.3">
      <c r="A3744" s="9">
        <v>45288</v>
      </c>
      <c r="B3744" t="s">
        <v>17</v>
      </c>
      <c r="C3744" t="s">
        <v>15</v>
      </c>
      <c r="D3744" t="s">
        <v>18</v>
      </c>
      <c r="E3744" t="s">
        <v>21</v>
      </c>
      <c r="F3744">
        <v>450</v>
      </c>
      <c r="G3744">
        <v>50</v>
      </c>
      <c r="H3744" s="6">
        <f t="shared" si="297"/>
        <v>22.5</v>
      </c>
    </row>
    <row r="3745" spans="1:8" hidden="1" x14ac:dyDescent="0.3">
      <c r="A3745" s="9">
        <v>45288</v>
      </c>
      <c r="B3745" t="s">
        <v>12</v>
      </c>
      <c r="C3745" t="s">
        <v>15</v>
      </c>
      <c r="D3745" t="s">
        <v>13</v>
      </c>
      <c r="E3745" t="s">
        <v>29</v>
      </c>
      <c r="F3745">
        <v>1230</v>
      </c>
      <c r="G3745">
        <v>33</v>
      </c>
      <c r="H3745" s="6">
        <f t="shared" si="297"/>
        <v>40.590000000000003</v>
      </c>
    </row>
    <row r="3746" spans="1:8" hidden="1" x14ac:dyDescent="0.3">
      <c r="A3746" s="9">
        <v>45288</v>
      </c>
      <c r="B3746" t="s">
        <v>8</v>
      </c>
      <c r="C3746" t="s">
        <v>15</v>
      </c>
      <c r="D3746" t="s">
        <v>24</v>
      </c>
      <c r="E3746" t="s">
        <v>36</v>
      </c>
      <c r="F3746">
        <v>2460</v>
      </c>
      <c r="G3746">
        <v>12</v>
      </c>
      <c r="H3746" s="6">
        <f t="shared" si="297"/>
        <v>29.52</v>
      </c>
    </row>
    <row r="3747" spans="1:8" hidden="1" x14ac:dyDescent="0.3">
      <c r="A3747" s="9">
        <v>45288</v>
      </c>
      <c r="B3747" t="s">
        <v>17</v>
      </c>
      <c r="C3747" t="s">
        <v>33</v>
      </c>
      <c r="D3747" t="s">
        <v>10</v>
      </c>
      <c r="E3747" t="s">
        <v>39</v>
      </c>
      <c r="F3747">
        <v>650</v>
      </c>
      <c r="G3747">
        <v>72</v>
      </c>
      <c r="H3747" s="6">
        <f t="shared" si="297"/>
        <v>46.8</v>
      </c>
    </row>
    <row r="3748" spans="1:8" hidden="1" x14ac:dyDescent="0.3">
      <c r="A3748" s="9">
        <v>45288</v>
      </c>
      <c r="B3748" t="s">
        <v>8</v>
      </c>
      <c r="C3748" t="s">
        <v>33</v>
      </c>
      <c r="D3748" t="s">
        <v>18</v>
      </c>
      <c r="E3748" t="s">
        <v>21</v>
      </c>
      <c r="F3748">
        <v>450</v>
      </c>
      <c r="G3748">
        <v>41</v>
      </c>
      <c r="H3748" s="6">
        <f t="shared" si="297"/>
        <v>18.45</v>
      </c>
    </row>
    <row r="3749" spans="1:8" hidden="1" x14ac:dyDescent="0.3">
      <c r="A3749" s="9">
        <v>45288</v>
      </c>
      <c r="B3749" t="s">
        <v>8</v>
      </c>
      <c r="C3749" t="s">
        <v>33</v>
      </c>
      <c r="D3749" t="s">
        <v>13</v>
      </c>
      <c r="E3749" t="s">
        <v>29</v>
      </c>
      <c r="F3749">
        <v>1230</v>
      </c>
      <c r="G3749">
        <v>80</v>
      </c>
      <c r="H3749" s="6">
        <f t="shared" si="297"/>
        <v>98.4</v>
      </c>
    </row>
    <row r="3750" spans="1:8" hidden="1" x14ac:dyDescent="0.3">
      <c r="A3750" s="9">
        <v>45288</v>
      </c>
      <c r="B3750" t="s">
        <v>12</v>
      </c>
      <c r="C3750" t="s">
        <v>33</v>
      </c>
      <c r="D3750" t="s">
        <v>13</v>
      </c>
      <c r="E3750" t="s">
        <v>38</v>
      </c>
      <c r="F3750">
        <v>2400</v>
      </c>
      <c r="G3750">
        <v>71</v>
      </c>
      <c r="H3750" s="6">
        <f t="shared" si="297"/>
        <v>170.4</v>
      </c>
    </row>
    <row r="3751" spans="1:8" hidden="1" x14ac:dyDescent="0.3">
      <c r="A3751" s="9">
        <v>45288</v>
      </c>
      <c r="B3751" t="s">
        <v>8</v>
      </c>
      <c r="C3751" t="s">
        <v>33</v>
      </c>
      <c r="D3751" t="s">
        <v>24</v>
      </c>
      <c r="E3751" t="s">
        <v>25</v>
      </c>
      <c r="F3751">
        <v>1760</v>
      </c>
      <c r="G3751">
        <v>54</v>
      </c>
      <c r="H3751" s="6">
        <f t="shared" si="297"/>
        <v>95.04</v>
      </c>
    </row>
    <row r="3752" spans="1:8" hidden="1" x14ac:dyDescent="0.3">
      <c r="A3752" s="9">
        <v>45288</v>
      </c>
      <c r="B3752" t="s">
        <v>12</v>
      </c>
      <c r="C3752" t="s">
        <v>35</v>
      </c>
      <c r="D3752" t="s">
        <v>10</v>
      </c>
      <c r="E3752" t="s">
        <v>11</v>
      </c>
      <c r="F3752">
        <v>705</v>
      </c>
      <c r="G3752">
        <v>95</v>
      </c>
      <c r="H3752" s="6">
        <f t="shared" si="297"/>
        <v>66.974999999999994</v>
      </c>
    </row>
    <row r="3753" spans="1:8" hidden="1" x14ac:dyDescent="0.3">
      <c r="A3753" s="9">
        <v>45288</v>
      </c>
      <c r="B3753" t="s">
        <v>8</v>
      </c>
      <c r="C3753" t="s">
        <v>35</v>
      </c>
      <c r="D3753" t="s">
        <v>13</v>
      </c>
      <c r="E3753" t="s">
        <v>14</v>
      </c>
      <c r="F3753">
        <v>1320</v>
      </c>
      <c r="G3753">
        <v>74</v>
      </c>
      <c r="H3753" s="6">
        <f t="shared" si="297"/>
        <v>97.68</v>
      </c>
    </row>
    <row r="3754" spans="1:8" hidden="1" x14ac:dyDescent="0.3">
      <c r="A3754" s="13" t="s">
        <v>376</v>
      </c>
      <c r="H3754" s="6">
        <f>SUBTOTAL(9,H3739:H3753)</f>
        <v>0</v>
      </c>
    </row>
    <row r="3755" spans="1:8" hidden="1" x14ac:dyDescent="0.3">
      <c r="A3755" s="9">
        <v>45289</v>
      </c>
      <c r="B3755" t="s">
        <v>12</v>
      </c>
      <c r="C3755" t="s">
        <v>9</v>
      </c>
      <c r="D3755" t="s">
        <v>10</v>
      </c>
      <c r="E3755" t="s">
        <v>39</v>
      </c>
      <c r="F3755">
        <v>650</v>
      </c>
      <c r="G3755">
        <v>6</v>
      </c>
      <c r="H3755" s="6">
        <f t="shared" ref="H3755:H3766" si="298">F3755*G3755/1000</f>
        <v>3.9</v>
      </c>
    </row>
    <row r="3756" spans="1:8" hidden="1" x14ac:dyDescent="0.3">
      <c r="A3756" s="9">
        <v>45289</v>
      </c>
      <c r="B3756" t="s">
        <v>45</v>
      </c>
      <c r="C3756" t="s">
        <v>9</v>
      </c>
      <c r="D3756" t="s">
        <v>10</v>
      </c>
      <c r="E3756" t="s">
        <v>40</v>
      </c>
      <c r="F3756">
        <v>540</v>
      </c>
      <c r="G3756">
        <v>97</v>
      </c>
      <c r="H3756" s="6">
        <f t="shared" si="298"/>
        <v>52.38</v>
      </c>
    </row>
    <row r="3757" spans="1:8" hidden="1" x14ac:dyDescent="0.3">
      <c r="A3757" s="9">
        <v>45289</v>
      </c>
      <c r="B3757" t="s">
        <v>45</v>
      </c>
      <c r="C3757" t="s">
        <v>9</v>
      </c>
      <c r="D3757" t="s">
        <v>18</v>
      </c>
      <c r="E3757" t="s">
        <v>31</v>
      </c>
      <c r="F3757">
        <v>715</v>
      </c>
      <c r="G3757">
        <v>91</v>
      </c>
      <c r="H3757" s="6">
        <f t="shared" si="298"/>
        <v>65.064999999999998</v>
      </c>
    </row>
    <row r="3758" spans="1:8" hidden="1" x14ac:dyDescent="0.3">
      <c r="A3758" s="9">
        <v>45289</v>
      </c>
      <c r="B3758" t="s">
        <v>17</v>
      </c>
      <c r="C3758" t="s">
        <v>9</v>
      </c>
      <c r="D3758" t="s">
        <v>18</v>
      </c>
      <c r="E3758" t="s">
        <v>21</v>
      </c>
      <c r="F3758">
        <v>450</v>
      </c>
      <c r="G3758">
        <v>14</v>
      </c>
      <c r="H3758" s="6">
        <f t="shared" si="298"/>
        <v>6.3</v>
      </c>
    </row>
    <row r="3759" spans="1:8" hidden="1" x14ac:dyDescent="0.3">
      <c r="A3759" s="9">
        <v>45289</v>
      </c>
      <c r="B3759" t="s">
        <v>8</v>
      </c>
      <c r="C3759" t="s">
        <v>26</v>
      </c>
      <c r="D3759" t="s">
        <v>10</v>
      </c>
      <c r="E3759" t="s">
        <v>23</v>
      </c>
      <c r="F3759">
        <v>640</v>
      </c>
      <c r="G3759">
        <v>46</v>
      </c>
      <c r="H3759" s="6">
        <f t="shared" si="298"/>
        <v>29.44</v>
      </c>
    </row>
    <row r="3760" spans="1:8" hidden="1" x14ac:dyDescent="0.3">
      <c r="A3760" s="9">
        <v>45289</v>
      </c>
      <c r="B3760" t="s">
        <v>12</v>
      </c>
      <c r="C3760" t="s">
        <v>26</v>
      </c>
      <c r="D3760" t="s">
        <v>24</v>
      </c>
      <c r="E3760" t="s">
        <v>42</v>
      </c>
      <c r="F3760">
        <v>3205</v>
      </c>
      <c r="G3760">
        <v>7</v>
      </c>
      <c r="H3760" s="6">
        <f t="shared" si="298"/>
        <v>22.434999999999999</v>
      </c>
    </row>
    <row r="3761" spans="1:8" hidden="1" x14ac:dyDescent="0.3">
      <c r="A3761" s="9">
        <v>45289</v>
      </c>
      <c r="B3761" t="s">
        <v>8</v>
      </c>
      <c r="C3761" t="s">
        <v>15</v>
      </c>
      <c r="D3761" t="s">
        <v>18</v>
      </c>
      <c r="E3761" t="s">
        <v>37</v>
      </c>
      <c r="F3761">
        <v>890</v>
      </c>
      <c r="G3761">
        <v>76</v>
      </c>
      <c r="H3761" s="6">
        <f t="shared" si="298"/>
        <v>67.64</v>
      </c>
    </row>
    <row r="3762" spans="1:8" hidden="1" x14ac:dyDescent="0.3">
      <c r="A3762" s="9">
        <v>45289</v>
      </c>
      <c r="B3762" t="s">
        <v>12</v>
      </c>
      <c r="C3762" t="s">
        <v>15</v>
      </c>
      <c r="D3762" t="s">
        <v>13</v>
      </c>
      <c r="E3762" t="s">
        <v>22</v>
      </c>
      <c r="F3762">
        <v>930</v>
      </c>
      <c r="G3762">
        <v>36</v>
      </c>
      <c r="H3762" s="6">
        <f t="shared" si="298"/>
        <v>33.479999999999997</v>
      </c>
    </row>
    <row r="3763" spans="1:8" hidden="1" x14ac:dyDescent="0.3">
      <c r="A3763" s="9">
        <v>45289</v>
      </c>
      <c r="B3763" t="s">
        <v>17</v>
      </c>
      <c r="C3763" t="s">
        <v>33</v>
      </c>
      <c r="D3763" t="s">
        <v>18</v>
      </c>
      <c r="E3763" t="s">
        <v>28</v>
      </c>
      <c r="F3763">
        <v>690</v>
      </c>
      <c r="G3763">
        <v>15</v>
      </c>
      <c r="H3763" s="6">
        <f t="shared" si="298"/>
        <v>10.35</v>
      </c>
    </row>
    <row r="3764" spans="1:8" hidden="1" x14ac:dyDescent="0.3">
      <c r="A3764" s="9">
        <v>45289</v>
      </c>
      <c r="B3764" t="s">
        <v>17</v>
      </c>
      <c r="C3764" t="s">
        <v>33</v>
      </c>
      <c r="D3764" t="s">
        <v>24</v>
      </c>
      <c r="E3764" t="s">
        <v>42</v>
      </c>
      <c r="F3764">
        <v>3205</v>
      </c>
      <c r="G3764">
        <v>37</v>
      </c>
      <c r="H3764" s="6">
        <f t="shared" si="298"/>
        <v>118.58499999999999</v>
      </c>
    </row>
    <row r="3765" spans="1:8" hidden="1" x14ac:dyDescent="0.3">
      <c r="A3765" s="9">
        <v>45289</v>
      </c>
      <c r="B3765" t="s">
        <v>17</v>
      </c>
      <c r="C3765" t="s">
        <v>33</v>
      </c>
      <c r="D3765" t="s">
        <v>24</v>
      </c>
      <c r="E3765" t="s">
        <v>30</v>
      </c>
      <c r="F3765">
        <v>2970</v>
      </c>
      <c r="G3765">
        <v>21</v>
      </c>
      <c r="H3765" s="6">
        <f t="shared" si="298"/>
        <v>62.37</v>
      </c>
    </row>
    <row r="3766" spans="1:8" hidden="1" x14ac:dyDescent="0.3">
      <c r="A3766" s="9">
        <v>45289</v>
      </c>
      <c r="B3766" t="s">
        <v>12</v>
      </c>
      <c r="C3766" t="s">
        <v>35</v>
      </c>
      <c r="D3766" t="s">
        <v>13</v>
      </c>
      <c r="E3766" t="s">
        <v>38</v>
      </c>
      <c r="F3766">
        <v>2400</v>
      </c>
      <c r="G3766">
        <v>29</v>
      </c>
      <c r="H3766" s="6">
        <f t="shared" si="298"/>
        <v>69.599999999999994</v>
      </c>
    </row>
    <row r="3767" spans="1:8" hidden="1" x14ac:dyDescent="0.3">
      <c r="A3767" s="13" t="s">
        <v>377</v>
      </c>
      <c r="H3767" s="6">
        <f>SUBTOTAL(9,H3755:H3766)</f>
        <v>0</v>
      </c>
    </row>
    <row r="3768" spans="1:8" hidden="1" x14ac:dyDescent="0.3">
      <c r="A3768" s="9">
        <v>45290</v>
      </c>
      <c r="B3768" t="s">
        <v>12</v>
      </c>
      <c r="C3768" t="s">
        <v>20</v>
      </c>
      <c r="D3768" t="s">
        <v>13</v>
      </c>
      <c r="E3768" t="s">
        <v>29</v>
      </c>
      <c r="F3768">
        <v>1230</v>
      </c>
      <c r="G3768">
        <v>8</v>
      </c>
      <c r="H3768" s="6">
        <f t="shared" ref="H3768:H3777" si="299">F3768*G3768/1000</f>
        <v>9.84</v>
      </c>
    </row>
    <row r="3769" spans="1:8" hidden="1" x14ac:dyDescent="0.3">
      <c r="A3769" s="9">
        <v>45290</v>
      </c>
      <c r="B3769" t="s">
        <v>8</v>
      </c>
      <c r="C3769" t="s">
        <v>20</v>
      </c>
      <c r="D3769" t="s">
        <v>24</v>
      </c>
      <c r="E3769" t="s">
        <v>32</v>
      </c>
      <c r="F3769">
        <v>1505</v>
      </c>
      <c r="G3769">
        <v>67</v>
      </c>
      <c r="H3769" s="6">
        <f t="shared" si="299"/>
        <v>100.83499999999999</v>
      </c>
    </row>
    <row r="3770" spans="1:8" hidden="1" x14ac:dyDescent="0.3">
      <c r="A3770" s="9">
        <v>45290</v>
      </c>
      <c r="B3770" t="s">
        <v>17</v>
      </c>
      <c r="C3770" t="s">
        <v>9</v>
      </c>
      <c r="D3770" t="s">
        <v>13</v>
      </c>
      <c r="E3770" t="s">
        <v>43</v>
      </c>
      <c r="F3770">
        <v>1420</v>
      </c>
      <c r="G3770">
        <v>46</v>
      </c>
      <c r="H3770" s="6">
        <f t="shared" si="299"/>
        <v>65.319999999999993</v>
      </c>
    </row>
    <row r="3771" spans="1:8" hidden="1" x14ac:dyDescent="0.3">
      <c r="A3771" s="9">
        <v>45290</v>
      </c>
      <c r="B3771" t="s">
        <v>12</v>
      </c>
      <c r="C3771" t="s">
        <v>9</v>
      </c>
      <c r="D3771" t="s">
        <v>13</v>
      </c>
      <c r="E3771" t="s">
        <v>14</v>
      </c>
      <c r="F3771">
        <v>1320</v>
      </c>
      <c r="G3771">
        <v>67</v>
      </c>
      <c r="H3771" s="6">
        <f t="shared" si="299"/>
        <v>88.44</v>
      </c>
    </row>
    <row r="3772" spans="1:8" hidden="1" x14ac:dyDescent="0.3">
      <c r="A3772" s="9">
        <v>45290</v>
      </c>
      <c r="B3772" t="s">
        <v>17</v>
      </c>
      <c r="C3772" t="s">
        <v>26</v>
      </c>
      <c r="D3772" t="s">
        <v>10</v>
      </c>
      <c r="E3772" t="s">
        <v>16</v>
      </c>
      <c r="F3772">
        <v>1380</v>
      </c>
      <c r="G3772">
        <v>85</v>
      </c>
      <c r="H3772" s="6">
        <f t="shared" si="299"/>
        <v>117.3</v>
      </c>
    </row>
    <row r="3773" spans="1:8" hidden="1" x14ac:dyDescent="0.3">
      <c r="A3773" s="9">
        <v>45290</v>
      </c>
      <c r="B3773" t="s">
        <v>8</v>
      </c>
      <c r="C3773" t="s">
        <v>26</v>
      </c>
      <c r="D3773" t="s">
        <v>18</v>
      </c>
      <c r="E3773" t="s">
        <v>28</v>
      </c>
      <c r="F3773">
        <v>690</v>
      </c>
      <c r="G3773">
        <v>34</v>
      </c>
      <c r="H3773" s="6">
        <f t="shared" si="299"/>
        <v>23.46</v>
      </c>
    </row>
    <row r="3774" spans="1:8" hidden="1" x14ac:dyDescent="0.3">
      <c r="A3774" s="9">
        <v>45290</v>
      </c>
      <c r="B3774" t="s">
        <v>12</v>
      </c>
      <c r="C3774" t="s">
        <v>26</v>
      </c>
      <c r="D3774" t="s">
        <v>13</v>
      </c>
      <c r="E3774" t="s">
        <v>29</v>
      </c>
      <c r="F3774">
        <v>1230</v>
      </c>
      <c r="G3774">
        <v>30</v>
      </c>
      <c r="H3774" s="6">
        <f t="shared" si="299"/>
        <v>36.9</v>
      </c>
    </row>
    <row r="3775" spans="1:8" hidden="1" x14ac:dyDescent="0.3">
      <c r="A3775" s="9">
        <v>45290</v>
      </c>
      <c r="B3775" t="s">
        <v>45</v>
      </c>
      <c r="C3775" t="s">
        <v>15</v>
      </c>
      <c r="D3775" t="s">
        <v>10</v>
      </c>
      <c r="E3775" t="s">
        <v>11</v>
      </c>
      <c r="F3775">
        <v>705</v>
      </c>
      <c r="G3775">
        <v>93</v>
      </c>
      <c r="H3775" s="6">
        <f t="shared" si="299"/>
        <v>65.564999999999998</v>
      </c>
    </row>
    <row r="3776" spans="1:8" hidden="1" x14ac:dyDescent="0.3">
      <c r="A3776" s="9">
        <v>45290</v>
      </c>
      <c r="B3776" t="s">
        <v>45</v>
      </c>
      <c r="C3776" t="s">
        <v>33</v>
      </c>
      <c r="D3776" t="s">
        <v>13</v>
      </c>
      <c r="E3776" t="s">
        <v>44</v>
      </c>
      <c r="F3776">
        <v>2540</v>
      </c>
      <c r="G3776">
        <v>94</v>
      </c>
      <c r="H3776" s="6">
        <f t="shared" si="299"/>
        <v>238.76</v>
      </c>
    </row>
    <row r="3777" spans="1:8" hidden="1" x14ac:dyDescent="0.3">
      <c r="A3777" s="9">
        <v>45290</v>
      </c>
      <c r="B3777" t="s">
        <v>12</v>
      </c>
      <c r="C3777" t="s">
        <v>33</v>
      </c>
      <c r="D3777" t="s">
        <v>24</v>
      </c>
      <c r="E3777" t="s">
        <v>36</v>
      </c>
      <c r="F3777">
        <v>2460</v>
      </c>
      <c r="G3777">
        <v>16</v>
      </c>
      <c r="H3777" s="6">
        <f t="shared" si="299"/>
        <v>39.36</v>
      </c>
    </row>
    <row r="3778" spans="1:8" hidden="1" x14ac:dyDescent="0.3">
      <c r="A3778" s="13" t="s">
        <v>378</v>
      </c>
      <c r="H3778" s="6">
        <f>SUBTOTAL(9,H3768:H3777)</f>
        <v>0</v>
      </c>
    </row>
    <row r="3779" spans="1:8" x14ac:dyDescent="0.3">
      <c r="A3779" s="9">
        <v>45291</v>
      </c>
      <c r="B3779" t="s">
        <v>45</v>
      </c>
      <c r="C3779" t="s">
        <v>20</v>
      </c>
      <c r="D3779" t="s">
        <v>13</v>
      </c>
      <c r="E3779" t="s">
        <v>29</v>
      </c>
      <c r="F3779">
        <v>1230</v>
      </c>
      <c r="G3779">
        <v>29</v>
      </c>
      <c r="H3779" s="6">
        <f>F3779*G3779/1000</f>
        <v>35.67</v>
      </c>
    </row>
    <row r="3780" spans="1:8" hidden="1" x14ac:dyDescent="0.3">
      <c r="A3780" s="9">
        <v>45291</v>
      </c>
      <c r="B3780" t="s">
        <v>45</v>
      </c>
      <c r="C3780" t="s">
        <v>9</v>
      </c>
      <c r="D3780" t="s">
        <v>10</v>
      </c>
      <c r="E3780" t="s">
        <v>41</v>
      </c>
      <c r="F3780">
        <v>650</v>
      </c>
      <c r="G3780">
        <v>56</v>
      </c>
      <c r="H3780" s="6">
        <f>F3780*G3780/1000</f>
        <v>36.4</v>
      </c>
    </row>
    <row r="3781" spans="1:8" hidden="1" x14ac:dyDescent="0.3">
      <c r="A3781" s="9">
        <v>45291</v>
      </c>
      <c r="B3781" t="s">
        <v>45</v>
      </c>
      <c r="C3781" t="s">
        <v>15</v>
      </c>
      <c r="D3781" t="s">
        <v>24</v>
      </c>
      <c r="E3781" t="s">
        <v>36</v>
      </c>
      <c r="F3781">
        <v>2460</v>
      </c>
      <c r="G3781">
        <v>19</v>
      </c>
      <c r="H3781" s="6">
        <f>F3781*G3781/1000</f>
        <v>46.74</v>
      </c>
    </row>
    <row r="3782" spans="1:8" hidden="1" x14ac:dyDescent="0.3">
      <c r="A3782" s="9">
        <v>45291</v>
      </c>
      <c r="B3782" t="s">
        <v>45</v>
      </c>
      <c r="C3782" t="s">
        <v>33</v>
      </c>
      <c r="D3782" t="s">
        <v>24</v>
      </c>
      <c r="E3782" t="s">
        <v>36</v>
      </c>
      <c r="F3782">
        <v>2460</v>
      </c>
      <c r="G3782">
        <v>8</v>
      </c>
      <c r="H3782" s="6">
        <f>F3782*G3782/1000</f>
        <v>19.68</v>
      </c>
    </row>
    <row r="3783" spans="1:8" hidden="1" x14ac:dyDescent="0.3">
      <c r="A3783" s="9">
        <v>45291</v>
      </c>
      <c r="B3783" t="s">
        <v>17</v>
      </c>
      <c r="C3783" t="s">
        <v>35</v>
      </c>
      <c r="D3783" t="s">
        <v>10</v>
      </c>
      <c r="E3783" t="s">
        <v>23</v>
      </c>
      <c r="F3783">
        <v>640</v>
      </c>
      <c r="G3783">
        <v>30</v>
      </c>
      <c r="H3783" s="6">
        <f>F3783*G3783/1000</f>
        <v>19.2</v>
      </c>
    </row>
    <row r="3784" spans="1:8" hidden="1" x14ac:dyDescent="0.3">
      <c r="A3784" s="13" t="s">
        <v>379</v>
      </c>
      <c r="H3784" s="6">
        <f>SUBTOTAL(9,H3779:H3783)</f>
        <v>35.67</v>
      </c>
    </row>
    <row r="3785" spans="1:8" hidden="1" x14ac:dyDescent="0.3">
      <c r="A3785" s="9">
        <v>45955</v>
      </c>
      <c r="B3785" t="s">
        <v>46</v>
      </c>
      <c r="C3785" t="s">
        <v>9</v>
      </c>
      <c r="D3785" t="s">
        <v>10</v>
      </c>
      <c r="E3785" t="s">
        <v>11</v>
      </c>
      <c r="F3785">
        <v>7050</v>
      </c>
      <c r="G3785">
        <v>588</v>
      </c>
      <c r="H3785" s="6">
        <f>F3785*G3785/1000</f>
        <v>4145.3999999999996</v>
      </c>
    </row>
    <row r="3786" spans="1:8" hidden="1" x14ac:dyDescent="0.3">
      <c r="A3786" s="13" t="s">
        <v>380</v>
      </c>
      <c r="H3786" s="15">
        <f>SUBTOTAL(9,H3785:H3785)</f>
        <v>0</v>
      </c>
    </row>
    <row r="3787" spans="1:8" hidden="1" x14ac:dyDescent="0.3">
      <c r="A3787" s="13" t="s">
        <v>381</v>
      </c>
      <c r="H3787" s="15">
        <f>SUBTOTAL(9,H12:H3785)</f>
        <v>2227.5300000000002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0A92-DD37-4BDC-8C8E-5A3F04E609C7}">
  <dimension ref="A1:F7"/>
  <sheetViews>
    <sheetView workbookViewId="0">
      <selection activeCell="B21" sqref="B21"/>
    </sheetView>
  </sheetViews>
  <sheetFormatPr defaultRowHeight="14.4" x14ac:dyDescent="0.3"/>
  <cols>
    <col min="1" max="1" width="19.21875" customWidth="1"/>
    <col min="2" max="2" width="15.5546875" customWidth="1"/>
    <col min="3" max="3" width="21.109375" customWidth="1"/>
    <col min="4" max="4" width="18.21875" customWidth="1"/>
    <col min="5" max="5" width="28.77734375" customWidth="1"/>
    <col min="6" max="6" width="28.6640625" customWidth="1"/>
    <col min="7" max="7" width="13" customWidth="1"/>
    <col min="8" max="8" width="17.77734375" customWidth="1"/>
  </cols>
  <sheetData>
    <row r="1" spans="1:6" x14ac:dyDescent="0.3">
      <c r="A1" s="43" t="s">
        <v>384</v>
      </c>
      <c r="B1" s="43" t="s">
        <v>404</v>
      </c>
      <c r="C1" s="32" t="s">
        <v>406</v>
      </c>
      <c r="D1" s="32" t="s">
        <v>407</v>
      </c>
      <c r="E1" s="32" t="s">
        <v>408</v>
      </c>
      <c r="F1" s="32" t="s">
        <v>409</v>
      </c>
    </row>
    <row r="2" spans="1:6" x14ac:dyDescent="0.3">
      <c r="A2" s="34" t="s">
        <v>8</v>
      </c>
      <c r="B2" s="44">
        <v>61234.244999999959</v>
      </c>
      <c r="C2" s="32">
        <v>888</v>
      </c>
      <c r="D2" s="32">
        <v>68.957483108108065</v>
      </c>
      <c r="E2" s="32">
        <v>310.88499999999999</v>
      </c>
      <c r="F2" s="32">
        <v>1.625</v>
      </c>
    </row>
    <row r="3" spans="1:6" x14ac:dyDescent="0.3">
      <c r="A3" s="34" t="s">
        <v>17</v>
      </c>
      <c r="B3" s="44">
        <v>58862.600000000049</v>
      </c>
      <c r="C3" s="32">
        <v>873</v>
      </c>
      <c r="D3" s="32">
        <v>67.425658648339123</v>
      </c>
      <c r="E3" s="32">
        <v>310.88499999999999</v>
      </c>
      <c r="F3" s="32">
        <v>2.2749999999999999</v>
      </c>
    </row>
    <row r="4" spans="1:6" x14ac:dyDescent="0.3">
      <c r="A4" s="34" t="s">
        <v>45</v>
      </c>
      <c r="B4" s="44">
        <v>60538.194999999992</v>
      </c>
      <c r="C4" s="32">
        <v>869</v>
      </c>
      <c r="D4" s="32">
        <v>69.664205983889516</v>
      </c>
      <c r="E4" s="32">
        <v>307.68</v>
      </c>
      <c r="F4" s="32">
        <v>2.7</v>
      </c>
    </row>
    <row r="5" spans="1:6" x14ac:dyDescent="0.3">
      <c r="A5" s="34" t="s">
        <v>46</v>
      </c>
      <c r="B5" s="44">
        <v>4145.3999999999996</v>
      </c>
      <c r="C5" s="32">
        <v>1</v>
      </c>
      <c r="D5" s="32">
        <v>4145.3999999999996</v>
      </c>
      <c r="E5" s="32">
        <v>4145.3999999999996</v>
      </c>
      <c r="F5" s="32">
        <v>4145.3999999999996</v>
      </c>
    </row>
    <row r="6" spans="1:6" x14ac:dyDescent="0.3">
      <c r="A6" s="34" t="s">
        <v>12</v>
      </c>
      <c r="B6" s="44">
        <v>56827.945000000014</v>
      </c>
      <c r="C6" s="32">
        <v>808</v>
      </c>
      <c r="D6" s="32">
        <v>70.331615099009923</v>
      </c>
      <c r="E6" s="32">
        <v>317.29500000000002</v>
      </c>
      <c r="F6" s="32">
        <v>1.625</v>
      </c>
    </row>
    <row r="7" spans="1:6" x14ac:dyDescent="0.3">
      <c r="A7" s="34" t="s">
        <v>381</v>
      </c>
      <c r="B7" s="44">
        <v>241608.38500000001</v>
      </c>
      <c r="C7" s="32">
        <v>3439</v>
      </c>
      <c r="D7" s="32">
        <v>70.255418726373946</v>
      </c>
      <c r="E7" s="32">
        <v>4145.3999999999996</v>
      </c>
      <c r="F7" s="32">
        <v>1.625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3481-838E-4204-B8B0-5EEF3B3446BA}">
  <dimension ref="B2:O144"/>
  <sheetViews>
    <sheetView topLeftCell="G1" zoomScale="62" zoomScaleNormal="55" workbookViewId="0">
      <selection activeCell="R44" sqref="R44"/>
    </sheetView>
  </sheetViews>
  <sheetFormatPr defaultRowHeight="14.4" x14ac:dyDescent="0.3"/>
  <cols>
    <col min="2" max="2" width="11.77734375" bestFit="1" customWidth="1"/>
    <col min="3" max="3" width="20.77734375" bestFit="1" customWidth="1"/>
    <col min="5" max="5" width="17" bestFit="1" customWidth="1"/>
    <col min="6" max="6" width="20.5546875" bestFit="1" customWidth="1"/>
    <col min="7" max="7" width="16.21875" customWidth="1"/>
    <col min="8" max="8" width="18" bestFit="1" customWidth="1"/>
    <col min="9" max="9" width="14.33203125" bestFit="1" customWidth="1"/>
    <col min="10" max="10" width="19.5546875" bestFit="1" customWidth="1"/>
    <col min="11" max="11" width="12.5546875" bestFit="1" customWidth="1"/>
    <col min="12" max="12" width="29.21875" bestFit="1" customWidth="1"/>
    <col min="13" max="13" width="29.6640625" bestFit="1" customWidth="1"/>
    <col min="14" max="14" width="29.21875" bestFit="1" customWidth="1"/>
    <col min="15" max="15" width="29.6640625" bestFit="1" customWidth="1"/>
  </cols>
  <sheetData>
    <row r="2" spans="2:10" x14ac:dyDescent="0.3">
      <c r="B2" s="28" t="s">
        <v>384</v>
      </c>
      <c r="C2" t="s">
        <v>385</v>
      </c>
      <c r="E2" s="28" t="s">
        <v>384</v>
      </c>
      <c r="F2" t="s">
        <v>385</v>
      </c>
      <c r="H2" s="19"/>
      <c r="I2" s="20"/>
      <c r="J2" s="21"/>
    </row>
    <row r="3" spans="2:10" x14ac:dyDescent="0.3">
      <c r="B3" s="29" t="s">
        <v>20</v>
      </c>
      <c r="C3">
        <v>44680.395000000077</v>
      </c>
      <c r="E3" s="29" t="s">
        <v>10</v>
      </c>
      <c r="F3">
        <v>38382.134999999987</v>
      </c>
      <c r="H3" s="22"/>
      <c r="I3" s="23"/>
      <c r="J3" s="24"/>
    </row>
    <row r="4" spans="2:10" x14ac:dyDescent="0.3">
      <c r="B4" s="29" t="s">
        <v>9</v>
      </c>
      <c r="C4">
        <v>41954.889999999985</v>
      </c>
      <c r="E4" s="29" t="s">
        <v>18</v>
      </c>
      <c r="F4">
        <v>26124.535000000029</v>
      </c>
      <c r="H4" s="22"/>
      <c r="I4" s="23"/>
      <c r="J4" s="24"/>
    </row>
    <row r="5" spans="2:10" x14ac:dyDescent="0.3">
      <c r="B5" s="29" t="s">
        <v>26</v>
      </c>
      <c r="C5">
        <v>38515.119999999959</v>
      </c>
      <c r="E5" s="29" t="s">
        <v>13</v>
      </c>
      <c r="F5">
        <v>73644.000000000015</v>
      </c>
      <c r="H5" s="22"/>
      <c r="I5" s="23"/>
      <c r="J5" s="24"/>
    </row>
    <row r="6" spans="2:10" x14ac:dyDescent="0.3">
      <c r="B6" s="29" t="s">
        <v>15</v>
      </c>
      <c r="C6">
        <v>38616.97500000002</v>
      </c>
      <c r="E6" s="29" t="s">
        <v>24</v>
      </c>
      <c r="F6">
        <v>103457.71499999998</v>
      </c>
      <c r="H6" s="22"/>
      <c r="I6" s="23"/>
      <c r="J6" s="24"/>
    </row>
    <row r="7" spans="2:10" x14ac:dyDescent="0.3">
      <c r="B7" s="29" t="s">
        <v>33</v>
      </c>
      <c r="C7">
        <v>39007.079999999994</v>
      </c>
      <c r="E7" s="29" t="s">
        <v>381</v>
      </c>
      <c r="F7">
        <v>241608.38500000001</v>
      </c>
      <c r="H7" s="22"/>
      <c r="I7" s="23"/>
      <c r="J7" s="24"/>
    </row>
    <row r="8" spans="2:10" x14ac:dyDescent="0.3">
      <c r="B8" s="29" t="s">
        <v>35</v>
      </c>
      <c r="C8">
        <v>38833.925000000068</v>
      </c>
      <c r="H8" s="22"/>
      <c r="I8" s="23"/>
      <c r="J8" s="24"/>
    </row>
    <row r="9" spans="2:10" x14ac:dyDescent="0.3">
      <c r="B9" s="29" t="s">
        <v>381</v>
      </c>
      <c r="C9">
        <v>241608.38500000013</v>
      </c>
      <c r="H9" s="22"/>
      <c r="I9" s="23"/>
      <c r="J9" s="24"/>
    </row>
    <row r="10" spans="2:10" x14ac:dyDescent="0.3">
      <c r="H10" s="22"/>
      <c r="I10" s="23"/>
      <c r="J10" s="24"/>
    </row>
    <row r="11" spans="2:10" x14ac:dyDescent="0.3">
      <c r="H11" s="22"/>
      <c r="I11" s="23"/>
      <c r="J11" s="24"/>
    </row>
    <row r="12" spans="2:10" x14ac:dyDescent="0.3">
      <c r="H12" s="22"/>
      <c r="I12" s="23"/>
      <c r="J12" s="24"/>
    </row>
    <row r="13" spans="2:10" x14ac:dyDescent="0.3">
      <c r="H13" s="22"/>
      <c r="I13" s="23"/>
      <c r="J13" s="24"/>
    </row>
    <row r="14" spans="2:10" x14ac:dyDescent="0.3">
      <c r="H14" s="22"/>
      <c r="I14" s="23"/>
      <c r="J14" s="24"/>
    </row>
    <row r="15" spans="2:10" x14ac:dyDescent="0.3">
      <c r="H15" s="22"/>
      <c r="I15" s="23"/>
      <c r="J15" s="24"/>
    </row>
    <row r="16" spans="2:10" x14ac:dyDescent="0.3">
      <c r="H16" s="22"/>
      <c r="I16" s="23"/>
      <c r="J16" s="24"/>
    </row>
    <row r="17" spans="2:10" x14ac:dyDescent="0.3">
      <c r="B17" s="28" t="s">
        <v>384</v>
      </c>
      <c r="C17" t="s">
        <v>385</v>
      </c>
      <c r="H17" s="22"/>
      <c r="I17" s="23"/>
      <c r="J17" s="24"/>
    </row>
    <row r="18" spans="2:10" x14ac:dyDescent="0.3">
      <c r="B18" s="29" t="s">
        <v>387</v>
      </c>
      <c r="C18">
        <v>351.74</v>
      </c>
      <c r="H18" s="22"/>
      <c r="I18" s="23"/>
      <c r="J18" s="24"/>
    </row>
    <row r="19" spans="2:10" x14ac:dyDescent="0.3">
      <c r="B19" s="29" t="s">
        <v>388</v>
      </c>
      <c r="C19">
        <v>56030.284999999916</v>
      </c>
      <c r="H19" s="25"/>
      <c r="I19" s="26"/>
      <c r="J19" s="27"/>
    </row>
    <row r="20" spans="2:10" x14ac:dyDescent="0.3">
      <c r="B20" s="29" t="s">
        <v>389</v>
      </c>
      <c r="C20">
        <v>57589.614999999954</v>
      </c>
    </row>
    <row r="21" spans="2:10" x14ac:dyDescent="0.3">
      <c r="B21" s="29" t="s">
        <v>390</v>
      </c>
      <c r="C21">
        <v>38629.764999999985</v>
      </c>
    </row>
    <row r="22" spans="2:10" x14ac:dyDescent="0.3">
      <c r="B22" s="29" t="s">
        <v>391</v>
      </c>
      <c r="C22">
        <v>36764.504999999997</v>
      </c>
    </row>
    <row r="23" spans="2:10" x14ac:dyDescent="0.3">
      <c r="B23" s="29" t="s">
        <v>392</v>
      </c>
      <c r="C23">
        <v>39259.510000000009</v>
      </c>
    </row>
    <row r="24" spans="2:10" x14ac:dyDescent="0.3">
      <c r="B24" s="29" t="s">
        <v>393</v>
      </c>
      <c r="C24">
        <v>40834.874999999956</v>
      </c>
    </row>
    <row r="25" spans="2:10" x14ac:dyDescent="0.3">
      <c r="B25" s="29" t="s">
        <v>394</v>
      </c>
      <c r="C25">
        <v>41651.640000000021</v>
      </c>
    </row>
    <row r="26" spans="2:10" x14ac:dyDescent="0.3">
      <c r="B26" s="29" t="s">
        <v>395</v>
      </c>
      <c r="C26">
        <v>34894.445000000022</v>
      </c>
    </row>
    <row r="27" spans="2:10" x14ac:dyDescent="0.3">
      <c r="B27" s="29" t="s">
        <v>396</v>
      </c>
      <c r="C27">
        <v>46713.384999999987</v>
      </c>
    </row>
    <row r="28" spans="2:10" x14ac:dyDescent="0.3">
      <c r="B28" s="29" t="s">
        <v>397</v>
      </c>
      <c r="C28">
        <v>39458.320000000014</v>
      </c>
    </row>
    <row r="29" spans="2:10" x14ac:dyDescent="0.3">
      <c r="B29" s="29" t="s">
        <v>398</v>
      </c>
      <c r="C29">
        <v>39430.360000000008</v>
      </c>
    </row>
    <row r="30" spans="2:10" x14ac:dyDescent="0.3">
      <c r="B30" s="29" t="s">
        <v>381</v>
      </c>
      <c r="C30">
        <v>471608.44499999983</v>
      </c>
    </row>
    <row r="32" spans="2:10" x14ac:dyDescent="0.3">
      <c r="B32" s="19"/>
      <c r="C32" s="20"/>
      <c r="D32" s="21"/>
      <c r="F32" s="19"/>
      <c r="G32" s="20"/>
      <c r="H32" s="21"/>
    </row>
    <row r="33" spans="2:15" x14ac:dyDescent="0.3">
      <c r="B33" s="22"/>
      <c r="C33" s="23"/>
      <c r="D33" s="24"/>
      <c r="F33" s="22"/>
      <c r="G33" s="23"/>
      <c r="H33" s="24"/>
    </row>
    <row r="34" spans="2:15" x14ac:dyDescent="0.3">
      <c r="B34" s="22"/>
      <c r="C34" s="23"/>
      <c r="D34" s="24"/>
      <c r="F34" s="22"/>
      <c r="G34" s="23"/>
      <c r="H34" s="24"/>
    </row>
    <row r="35" spans="2:15" x14ac:dyDescent="0.3">
      <c r="B35" s="22"/>
      <c r="C35" s="23"/>
      <c r="D35" s="24"/>
      <c r="F35" s="22"/>
      <c r="G35" s="23"/>
      <c r="H35" s="24"/>
    </row>
    <row r="36" spans="2:15" x14ac:dyDescent="0.3">
      <c r="B36" s="22"/>
      <c r="C36" s="23"/>
      <c r="D36" s="24"/>
      <c r="F36" s="22"/>
      <c r="G36" s="23"/>
      <c r="H36" s="24"/>
      <c r="L36">
        <f>GETPIVOTDATA("Продажи, BYN",$J$40)</f>
        <v>241608.38500000001</v>
      </c>
      <c r="M36">
        <f>GETPIVOTDATA("Количество продаж",$J$40)</f>
        <v>3439</v>
      </c>
      <c r="N36">
        <f>GETPIVOTDATA("Средний чек",$J$40)</f>
        <v>70.255418726373946</v>
      </c>
    </row>
    <row r="37" spans="2:15" x14ac:dyDescent="0.3">
      <c r="B37" s="22"/>
      <c r="C37" s="23"/>
      <c r="D37" s="24"/>
      <c r="F37" s="22"/>
      <c r="G37" s="23"/>
      <c r="H37" s="24"/>
    </row>
    <row r="38" spans="2:15" x14ac:dyDescent="0.3">
      <c r="B38" s="22"/>
      <c r="C38" s="23"/>
      <c r="D38" s="24"/>
      <c r="F38" s="22"/>
      <c r="G38" s="23"/>
      <c r="H38" s="24"/>
    </row>
    <row r="39" spans="2:15" x14ac:dyDescent="0.3">
      <c r="B39" s="22"/>
      <c r="C39" s="23"/>
      <c r="D39" s="24"/>
      <c r="F39" s="22"/>
      <c r="G39" s="23"/>
      <c r="H39" s="24"/>
    </row>
    <row r="40" spans="2:15" x14ac:dyDescent="0.3">
      <c r="B40" s="22"/>
      <c r="C40" s="23"/>
      <c r="D40" s="24"/>
      <c r="F40" s="22"/>
      <c r="G40" s="23"/>
      <c r="H40" s="24"/>
      <c r="J40" s="28" t="s">
        <v>384</v>
      </c>
      <c r="K40" t="s">
        <v>404</v>
      </c>
      <c r="L40" t="s">
        <v>406</v>
      </c>
      <c r="M40" t="s">
        <v>407</v>
      </c>
      <c r="N40" t="s">
        <v>408</v>
      </c>
      <c r="O40" t="s">
        <v>409</v>
      </c>
    </row>
    <row r="41" spans="2:15" x14ac:dyDescent="0.3">
      <c r="B41" s="22"/>
      <c r="C41" s="23"/>
      <c r="D41" s="24"/>
      <c r="F41" s="22"/>
      <c r="G41" s="23"/>
      <c r="H41" s="24"/>
      <c r="J41" s="29" t="s">
        <v>8</v>
      </c>
      <c r="K41" s="39">
        <v>61234.244999999959</v>
      </c>
      <c r="L41">
        <v>888</v>
      </c>
      <c r="M41">
        <v>68.957483108108065</v>
      </c>
      <c r="N41">
        <v>310.88499999999999</v>
      </c>
      <c r="O41">
        <v>1.625</v>
      </c>
    </row>
    <row r="42" spans="2:15" x14ac:dyDescent="0.3">
      <c r="B42" s="22"/>
      <c r="C42" s="23"/>
      <c r="D42" s="24"/>
      <c r="F42" s="22"/>
      <c r="G42" s="23"/>
      <c r="H42" s="24"/>
      <c r="J42" s="29" t="s">
        <v>17</v>
      </c>
      <c r="K42" s="39">
        <v>58862.600000000049</v>
      </c>
      <c r="L42">
        <v>873</v>
      </c>
      <c r="M42">
        <v>67.425658648339123</v>
      </c>
      <c r="N42">
        <v>310.88499999999999</v>
      </c>
      <c r="O42">
        <v>2.2749999999999999</v>
      </c>
    </row>
    <row r="43" spans="2:15" x14ac:dyDescent="0.3">
      <c r="B43" s="22"/>
      <c r="C43" s="23"/>
      <c r="D43" s="24"/>
      <c r="F43" s="22"/>
      <c r="G43" s="23"/>
      <c r="H43" s="24"/>
      <c r="J43" s="29" t="s">
        <v>45</v>
      </c>
      <c r="K43" s="39">
        <v>60538.194999999992</v>
      </c>
      <c r="L43">
        <v>869</v>
      </c>
      <c r="M43">
        <v>69.664205983889516</v>
      </c>
      <c r="N43">
        <v>307.68</v>
      </c>
      <c r="O43">
        <v>2.7</v>
      </c>
    </row>
    <row r="44" spans="2:15" x14ac:dyDescent="0.3">
      <c r="B44" s="22"/>
      <c r="C44" s="23"/>
      <c r="D44" s="24"/>
      <c r="F44" s="22"/>
      <c r="G44" s="23"/>
      <c r="H44" s="24"/>
      <c r="J44" s="29" t="s">
        <v>46</v>
      </c>
      <c r="K44" s="39">
        <v>4145.3999999999996</v>
      </c>
      <c r="L44">
        <v>1</v>
      </c>
      <c r="M44">
        <v>4145.3999999999996</v>
      </c>
      <c r="N44">
        <v>4145.3999999999996</v>
      </c>
      <c r="O44">
        <v>4145.3999999999996</v>
      </c>
    </row>
    <row r="45" spans="2:15" x14ac:dyDescent="0.3">
      <c r="B45" s="22"/>
      <c r="C45" s="23"/>
      <c r="D45" s="24"/>
      <c r="F45" s="22"/>
      <c r="G45" s="23"/>
      <c r="H45" s="24"/>
      <c r="J45" s="29" t="s">
        <v>12</v>
      </c>
      <c r="K45" s="39">
        <v>56827.945000000014</v>
      </c>
      <c r="L45">
        <v>808</v>
      </c>
      <c r="M45">
        <v>70.331615099009923</v>
      </c>
      <c r="N45">
        <v>317.29500000000002</v>
      </c>
      <c r="O45">
        <v>1.625</v>
      </c>
    </row>
    <row r="46" spans="2:15" x14ac:dyDescent="0.3">
      <c r="B46" s="22"/>
      <c r="C46" s="23"/>
      <c r="D46" s="24"/>
      <c r="F46" s="22"/>
      <c r="G46" s="23"/>
      <c r="H46" s="24"/>
      <c r="J46" s="29" t="s">
        <v>381</v>
      </c>
      <c r="K46" s="39">
        <v>241608.38500000001</v>
      </c>
      <c r="L46">
        <v>3439</v>
      </c>
      <c r="M46">
        <v>70.255418726373946</v>
      </c>
      <c r="N46">
        <v>4145.3999999999996</v>
      </c>
      <c r="O46">
        <v>1.625</v>
      </c>
    </row>
    <row r="47" spans="2:15" x14ac:dyDescent="0.3">
      <c r="B47" s="22"/>
      <c r="C47" s="23"/>
      <c r="D47" s="24"/>
      <c r="F47" s="22"/>
      <c r="G47" s="23"/>
      <c r="H47" s="24"/>
    </row>
    <row r="48" spans="2:15" x14ac:dyDescent="0.3">
      <c r="B48" s="22"/>
      <c r="C48" s="23"/>
      <c r="D48" s="24"/>
      <c r="F48" s="22"/>
      <c r="G48" s="23"/>
      <c r="H48" s="24"/>
    </row>
    <row r="49" spans="2:8" x14ac:dyDescent="0.3">
      <c r="B49" s="25"/>
      <c r="C49" s="26"/>
      <c r="D49" s="27"/>
      <c r="F49" s="25"/>
      <c r="G49" s="26"/>
      <c r="H49" s="27"/>
    </row>
    <row r="58" spans="2:8" x14ac:dyDescent="0.3">
      <c r="B58" s="19"/>
      <c r="C58" s="20"/>
      <c r="D58" s="21"/>
      <c r="F58" s="28" t="s">
        <v>384</v>
      </c>
    </row>
    <row r="59" spans="2:8" x14ac:dyDescent="0.3">
      <c r="B59" s="22"/>
      <c r="C59" s="23"/>
      <c r="D59" s="24"/>
      <c r="F59" s="29" t="s">
        <v>387</v>
      </c>
    </row>
    <row r="60" spans="2:8" x14ac:dyDescent="0.3">
      <c r="B60" s="22"/>
      <c r="C60" s="23"/>
      <c r="D60" s="24"/>
      <c r="F60" s="29" t="s">
        <v>388</v>
      </c>
    </row>
    <row r="61" spans="2:8" x14ac:dyDescent="0.3">
      <c r="B61" s="22"/>
      <c r="C61" s="23"/>
      <c r="D61" s="24"/>
      <c r="F61" s="29" t="s">
        <v>389</v>
      </c>
    </row>
    <row r="62" spans="2:8" x14ac:dyDescent="0.3">
      <c r="B62" s="22"/>
      <c r="C62" s="23"/>
      <c r="D62" s="24"/>
      <c r="F62" s="29" t="s">
        <v>390</v>
      </c>
    </row>
    <row r="63" spans="2:8" x14ac:dyDescent="0.3">
      <c r="B63" s="22"/>
      <c r="C63" s="23"/>
      <c r="D63" s="24"/>
      <c r="F63" s="29" t="s">
        <v>391</v>
      </c>
    </row>
    <row r="64" spans="2:8" x14ac:dyDescent="0.3">
      <c r="B64" s="22"/>
      <c r="C64" s="23"/>
      <c r="D64" s="24"/>
      <c r="F64" s="29" t="s">
        <v>392</v>
      </c>
    </row>
    <row r="65" spans="2:13" x14ac:dyDescent="0.3">
      <c r="B65" s="22"/>
      <c r="C65" s="23"/>
      <c r="D65" s="24"/>
      <c r="F65" s="29" t="s">
        <v>393</v>
      </c>
    </row>
    <row r="66" spans="2:13" x14ac:dyDescent="0.3">
      <c r="B66" s="22"/>
      <c r="C66" s="23"/>
      <c r="D66" s="24"/>
      <c r="F66" s="29" t="s">
        <v>394</v>
      </c>
    </row>
    <row r="67" spans="2:13" ht="15" thickBot="1" x14ac:dyDescent="0.35">
      <c r="B67" s="22"/>
      <c r="C67" s="23"/>
      <c r="D67" s="24"/>
      <c r="F67" s="29" t="s">
        <v>395</v>
      </c>
    </row>
    <row r="68" spans="2:13" ht="15.6" thickTop="1" thickBot="1" x14ac:dyDescent="0.35">
      <c r="B68" s="22"/>
      <c r="C68" s="23"/>
      <c r="D68" s="24"/>
      <c r="F68" s="29" t="s">
        <v>396</v>
      </c>
      <c r="I68" s="36" t="s">
        <v>1</v>
      </c>
      <c r="J68" s="36" t="s">
        <v>0</v>
      </c>
      <c r="K68" s="38" t="s">
        <v>2</v>
      </c>
      <c r="L68" s="40" t="s">
        <v>412</v>
      </c>
    </row>
    <row r="69" spans="2:13" ht="15.6" thickTop="1" thickBot="1" x14ac:dyDescent="0.35">
      <c r="B69" s="22"/>
      <c r="C69" s="23"/>
      <c r="D69" s="24"/>
      <c r="F69" s="29" t="s">
        <v>397</v>
      </c>
      <c r="I69" s="36" t="s">
        <v>46</v>
      </c>
      <c r="J69" s="37">
        <v>45955</v>
      </c>
      <c r="K69" s="38" t="s">
        <v>9</v>
      </c>
      <c r="L69" s="41"/>
    </row>
    <row r="70" spans="2:13" ht="15" thickTop="1" x14ac:dyDescent="0.3">
      <c r="B70" s="22"/>
      <c r="C70" s="23"/>
      <c r="D70" s="24"/>
      <c r="F70" s="29" t="s">
        <v>398</v>
      </c>
    </row>
    <row r="71" spans="2:13" ht="15" thickBot="1" x14ac:dyDescent="0.35">
      <c r="B71" s="22"/>
      <c r="C71" s="23"/>
      <c r="D71" s="24"/>
      <c r="F71" s="29" t="s">
        <v>400</v>
      </c>
    </row>
    <row r="72" spans="2:13" ht="15.6" thickTop="1" thickBot="1" x14ac:dyDescent="0.35">
      <c r="B72" s="22"/>
      <c r="C72" s="23"/>
      <c r="D72" s="24"/>
      <c r="F72" s="29" t="s">
        <v>381</v>
      </c>
      <c r="I72" s="36" t="s">
        <v>4</v>
      </c>
      <c r="J72" s="36" t="s">
        <v>411</v>
      </c>
      <c r="K72" s="42" t="s">
        <v>409</v>
      </c>
    </row>
    <row r="73" spans="2:13" ht="15.6" thickTop="1" thickBot="1" x14ac:dyDescent="0.35">
      <c r="B73" s="22"/>
      <c r="C73" s="23"/>
      <c r="D73" s="24"/>
      <c r="I73" s="36" t="s">
        <v>19</v>
      </c>
      <c r="J73" s="36" t="s">
        <v>410</v>
      </c>
      <c r="K73" s="42"/>
    </row>
    <row r="74" spans="2:13" ht="15" thickTop="1" x14ac:dyDescent="0.3">
      <c r="B74" s="22"/>
      <c r="C74" s="23"/>
      <c r="D74" s="24"/>
    </row>
    <row r="75" spans="2:13" x14ac:dyDescent="0.3">
      <c r="B75" s="25"/>
      <c r="C75" s="26"/>
      <c r="D75" s="27"/>
    </row>
    <row r="76" spans="2:13" x14ac:dyDescent="0.3">
      <c r="E76" s="32" t="s">
        <v>404</v>
      </c>
      <c r="F76" s="32" t="s">
        <v>406</v>
      </c>
      <c r="G76" s="32" t="s">
        <v>405</v>
      </c>
    </row>
    <row r="77" spans="2:13" x14ac:dyDescent="0.3">
      <c r="E77" s="33">
        <v>241608.39</v>
      </c>
      <c r="F77" s="32">
        <v>3439</v>
      </c>
      <c r="G77" s="32">
        <v>70.260000000000005</v>
      </c>
    </row>
    <row r="78" spans="2:13" x14ac:dyDescent="0.3">
      <c r="H78" s="28" t="s">
        <v>384</v>
      </c>
      <c r="I78" t="s">
        <v>404</v>
      </c>
      <c r="J78" t="s">
        <v>406</v>
      </c>
      <c r="K78" t="s">
        <v>407</v>
      </c>
      <c r="L78" t="s">
        <v>408</v>
      </c>
      <c r="M78" t="s">
        <v>409</v>
      </c>
    </row>
    <row r="79" spans="2:13" x14ac:dyDescent="0.3">
      <c r="B79" s="28" t="s">
        <v>399</v>
      </c>
      <c r="C79" t="s">
        <v>385</v>
      </c>
      <c r="E79" s="28" t="s">
        <v>402</v>
      </c>
      <c r="F79" t="s">
        <v>401</v>
      </c>
      <c r="H79" s="29" t="s">
        <v>8</v>
      </c>
      <c r="I79" s="39">
        <v>61234.244999999959</v>
      </c>
      <c r="J79">
        <v>888</v>
      </c>
      <c r="K79">
        <v>68.957483108108065</v>
      </c>
      <c r="L79">
        <v>310.88499999999999</v>
      </c>
      <c r="M79">
        <v>1.625</v>
      </c>
    </row>
    <row r="80" spans="2:13" x14ac:dyDescent="0.3">
      <c r="B80" s="29">
        <v>1</v>
      </c>
      <c r="C80">
        <v>116980.19999999982</v>
      </c>
      <c r="E80" s="29" t="s">
        <v>14</v>
      </c>
      <c r="F80">
        <v>8171</v>
      </c>
      <c r="H80" s="29" t="s">
        <v>17</v>
      </c>
      <c r="I80" s="39">
        <v>58862.600000000049</v>
      </c>
      <c r="J80">
        <v>873</v>
      </c>
      <c r="K80">
        <v>67.425658648339123</v>
      </c>
      <c r="L80">
        <v>310.88499999999999</v>
      </c>
      <c r="M80">
        <v>2.2749999999999999</v>
      </c>
    </row>
    <row r="81" spans="2:13" x14ac:dyDescent="0.3">
      <c r="B81" s="29">
        <v>2</v>
      </c>
      <c r="C81">
        <v>116482.35999999996</v>
      </c>
      <c r="E81" s="29" t="s">
        <v>44</v>
      </c>
      <c r="F81">
        <v>6672</v>
      </c>
      <c r="H81" s="29" t="s">
        <v>45</v>
      </c>
      <c r="I81" s="39">
        <v>60538.194999999992</v>
      </c>
      <c r="J81">
        <v>869</v>
      </c>
      <c r="K81">
        <v>69.664205983889516</v>
      </c>
      <c r="L81">
        <v>307.68</v>
      </c>
      <c r="M81">
        <v>2.7</v>
      </c>
    </row>
    <row r="82" spans="2:13" x14ac:dyDescent="0.3">
      <c r="B82" s="29">
        <v>3</v>
      </c>
      <c r="C82">
        <v>118014.45499999973</v>
      </c>
      <c r="E82" s="29" t="s">
        <v>37</v>
      </c>
      <c r="F82">
        <v>7321</v>
      </c>
      <c r="H82" s="29" t="s">
        <v>46</v>
      </c>
      <c r="I82" s="39">
        <v>4145.3999999999996</v>
      </c>
      <c r="J82">
        <v>1</v>
      </c>
      <c r="K82">
        <v>4145.3999999999996</v>
      </c>
      <c r="L82">
        <v>4145.3999999999996</v>
      </c>
      <c r="M82">
        <v>4145.3999999999996</v>
      </c>
    </row>
    <row r="83" spans="2:13" x14ac:dyDescent="0.3">
      <c r="B83" s="29">
        <v>4</v>
      </c>
      <c r="C83">
        <v>126880.44000000021</v>
      </c>
      <c r="E83" s="29" t="s">
        <v>38</v>
      </c>
      <c r="F83">
        <v>7564</v>
      </c>
      <c r="H83" s="29" t="s">
        <v>12</v>
      </c>
      <c r="I83" s="39">
        <v>56827.945000000014</v>
      </c>
      <c r="J83">
        <v>808</v>
      </c>
      <c r="K83">
        <v>70.331615099009923</v>
      </c>
      <c r="L83">
        <v>317.29500000000002</v>
      </c>
      <c r="M83">
        <v>1.625</v>
      </c>
    </row>
    <row r="84" spans="2:13" x14ac:dyDescent="0.3">
      <c r="B84" s="29" t="s">
        <v>381</v>
      </c>
      <c r="C84">
        <v>478357.45499999973</v>
      </c>
      <c r="E84" s="29" t="s">
        <v>34</v>
      </c>
      <c r="F84">
        <v>6941</v>
      </c>
      <c r="H84" s="29" t="s">
        <v>381</v>
      </c>
      <c r="I84" s="39">
        <v>241608.38500000001</v>
      </c>
      <c r="J84">
        <v>3439</v>
      </c>
      <c r="K84">
        <v>70.255418726373946</v>
      </c>
      <c r="L84">
        <v>4145.3999999999996</v>
      </c>
      <c r="M84">
        <v>1.625</v>
      </c>
    </row>
    <row r="85" spans="2:13" x14ac:dyDescent="0.3">
      <c r="E85" s="29" t="s">
        <v>42</v>
      </c>
      <c r="F85">
        <v>8305</v>
      </c>
    </row>
    <row r="86" spans="2:13" x14ac:dyDescent="0.3">
      <c r="E86" s="29" t="s">
        <v>43</v>
      </c>
      <c r="F86">
        <v>8508</v>
      </c>
      <c r="H86" s="34" t="s">
        <v>46</v>
      </c>
      <c r="I86" s="32" t="s">
        <v>9</v>
      </c>
      <c r="J86" s="35">
        <v>45955</v>
      </c>
    </row>
    <row r="87" spans="2:13" x14ac:dyDescent="0.3">
      <c r="B87" s="28" t="s">
        <v>1</v>
      </c>
      <c r="C87" t="s">
        <v>403</v>
      </c>
      <c r="E87" s="29" t="s">
        <v>19</v>
      </c>
      <c r="F87">
        <v>7965</v>
      </c>
      <c r="H87" s="34" t="s">
        <v>19</v>
      </c>
      <c r="I87" s="32" t="s">
        <v>410</v>
      </c>
      <c r="J87" s="32"/>
    </row>
    <row r="88" spans="2:13" x14ac:dyDescent="0.3">
      <c r="B88" s="29" t="s">
        <v>8</v>
      </c>
      <c r="C88">
        <v>45587</v>
      </c>
      <c r="E88" s="29" t="s">
        <v>27</v>
      </c>
      <c r="F88">
        <v>6927</v>
      </c>
    </row>
    <row r="89" spans="2:13" x14ac:dyDescent="0.3">
      <c r="B89" s="29" t="s">
        <v>17</v>
      </c>
      <c r="C89">
        <v>45798</v>
      </c>
      <c r="E89" s="29" t="s">
        <v>28</v>
      </c>
      <c r="F89">
        <v>7551</v>
      </c>
    </row>
    <row r="90" spans="2:13" x14ac:dyDescent="0.3">
      <c r="B90" s="29" t="s">
        <v>45</v>
      </c>
      <c r="C90">
        <v>45711</v>
      </c>
      <c r="E90" s="29" t="s">
        <v>39</v>
      </c>
      <c r="F90">
        <v>7628</v>
      </c>
      <c r="K90" s="28" t="s">
        <v>384</v>
      </c>
      <c r="L90" t="s">
        <v>385</v>
      </c>
    </row>
    <row r="91" spans="2:13" x14ac:dyDescent="0.3">
      <c r="B91" s="29" t="s">
        <v>46</v>
      </c>
      <c r="C91">
        <v>588</v>
      </c>
      <c r="E91" s="29" t="s">
        <v>36</v>
      </c>
      <c r="F91">
        <v>6809</v>
      </c>
      <c r="K91" s="29" t="s">
        <v>8</v>
      </c>
    </row>
    <row r="92" spans="2:13" x14ac:dyDescent="0.3">
      <c r="B92" s="29" t="s">
        <v>12</v>
      </c>
      <c r="C92">
        <v>41952</v>
      </c>
      <c r="E92" s="29" t="s">
        <v>11</v>
      </c>
      <c r="F92">
        <v>7299</v>
      </c>
      <c r="K92" s="30" t="s">
        <v>388</v>
      </c>
      <c r="L92">
        <v>8325.3449999999975</v>
      </c>
    </row>
    <row r="93" spans="2:13" x14ac:dyDescent="0.3">
      <c r="B93" s="29" t="s">
        <v>400</v>
      </c>
      <c r="E93" s="29" t="s">
        <v>30</v>
      </c>
      <c r="F93">
        <v>8223</v>
      </c>
      <c r="K93" s="30" t="s">
        <v>389</v>
      </c>
      <c r="L93">
        <v>16240.879999999994</v>
      </c>
    </row>
    <row r="94" spans="2:13" x14ac:dyDescent="0.3">
      <c r="B94" s="29" t="s">
        <v>381</v>
      </c>
      <c r="C94">
        <v>179636</v>
      </c>
      <c r="E94" s="29" t="s">
        <v>31</v>
      </c>
      <c r="F94">
        <v>7274</v>
      </c>
      <c r="K94" s="30" t="s">
        <v>390</v>
      </c>
      <c r="L94">
        <v>19905.094999999994</v>
      </c>
    </row>
    <row r="95" spans="2:13" x14ac:dyDescent="0.3">
      <c r="E95" s="29" t="s">
        <v>23</v>
      </c>
      <c r="F95">
        <v>7337</v>
      </c>
      <c r="K95" s="30" t="s">
        <v>391</v>
      </c>
      <c r="L95">
        <v>26092.159999999993</v>
      </c>
    </row>
    <row r="96" spans="2:13" x14ac:dyDescent="0.3">
      <c r="E96" s="29" t="s">
        <v>16</v>
      </c>
      <c r="F96">
        <v>8526</v>
      </c>
      <c r="K96" s="30" t="s">
        <v>392</v>
      </c>
      <c r="L96">
        <v>32082.209999999988</v>
      </c>
    </row>
    <row r="97" spans="2:12" x14ac:dyDescent="0.3">
      <c r="E97" s="29" t="s">
        <v>40</v>
      </c>
      <c r="F97">
        <v>7253</v>
      </c>
      <c r="K97" s="30" t="s">
        <v>393</v>
      </c>
      <c r="L97">
        <v>37221.724999999991</v>
      </c>
    </row>
    <row r="98" spans="2:12" x14ac:dyDescent="0.3">
      <c r="E98" s="29" t="s">
        <v>21</v>
      </c>
      <c r="F98">
        <v>7476</v>
      </c>
      <c r="K98" s="30" t="s">
        <v>394</v>
      </c>
      <c r="L98">
        <v>41848.464999999989</v>
      </c>
    </row>
    <row r="99" spans="2:12" x14ac:dyDescent="0.3">
      <c r="E99" s="29" t="s">
        <v>22</v>
      </c>
      <c r="F99">
        <v>7638</v>
      </c>
      <c r="K99" s="30" t="s">
        <v>395</v>
      </c>
      <c r="L99">
        <v>45829.499999999993</v>
      </c>
    </row>
    <row r="100" spans="2:12" x14ac:dyDescent="0.3">
      <c r="E100" s="29" t="s">
        <v>32</v>
      </c>
      <c r="F100">
        <v>8174</v>
      </c>
      <c r="K100" s="30" t="s">
        <v>396</v>
      </c>
      <c r="L100">
        <v>51467.27</v>
      </c>
    </row>
    <row r="101" spans="2:12" x14ac:dyDescent="0.3">
      <c r="E101" s="29" t="s">
        <v>41</v>
      </c>
      <c r="F101">
        <v>6414</v>
      </c>
      <c r="K101" s="30" t="s">
        <v>397</v>
      </c>
      <c r="L101">
        <v>57342.799999999996</v>
      </c>
    </row>
    <row r="102" spans="2:12" x14ac:dyDescent="0.3">
      <c r="E102" s="29" t="s">
        <v>25</v>
      </c>
      <c r="F102">
        <v>6690</v>
      </c>
      <c r="K102" s="30" t="s">
        <v>398</v>
      </c>
      <c r="L102">
        <v>61234.244999999995</v>
      </c>
    </row>
    <row r="103" spans="2:12" x14ac:dyDescent="0.3">
      <c r="E103" s="29" t="s">
        <v>29</v>
      </c>
      <c r="F103">
        <v>6970</v>
      </c>
      <c r="K103" s="29" t="s">
        <v>17</v>
      </c>
    </row>
    <row r="104" spans="2:12" x14ac:dyDescent="0.3">
      <c r="E104" s="29" t="s">
        <v>381</v>
      </c>
      <c r="F104">
        <v>179636</v>
      </c>
      <c r="K104" s="30" t="s">
        <v>387</v>
      </c>
      <c r="L104">
        <v>65</v>
      </c>
    </row>
    <row r="105" spans="2:12" x14ac:dyDescent="0.3">
      <c r="K105" s="30" t="s">
        <v>388</v>
      </c>
      <c r="L105">
        <v>7111.5950000000039</v>
      </c>
    </row>
    <row r="106" spans="2:12" x14ac:dyDescent="0.3">
      <c r="K106" s="30" t="s">
        <v>389</v>
      </c>
      <c r="L106">
        <v>15134.805</v>
      </c>
    </row>
    <row r="107" spans="2:12" x14ac:dyDescent="0.3">
      <c r="K107" s="30" t="s">
        <v>390</v>
      </c>
      <c r="L107">
        <v>20957.385000000002</v>
      </c>
    </row>
    <row r="108" spans="2:12" x14ac:dyDescent="0.3">
      <c r="B108" s="28" t="s">
        <v>384</v>
      </c>
      <c r="C108" t="s">
        <v>385</v>
      </c>
      <c r="K108" s="30" t="s">
        <v>391</v>
      </c>
      <c r="L108">
        <v>24000.86</v>
      </c>
    </row>
    <row r="109" spans="2:12" x14ac:dyDescent="0.3">
      <c r="B109" s="29" t="s">
        <v>9</v>
      </c>
      <c r="C109">
        <v>41954.890000000021</v>
      </c>
      <c r="K109" s="30" t="s">
        <v>392</v>
      </c>
      <c r="L109">
        <v>29668.805</v>
      </c>
    </row>
    <row r="110" spans="2:12" x14ac:dyDescent="0.3">
      <c r="B110" s="29" t="s">
        <v>15</v>
      </c>
      <c r="C110">
        <v>38616.975000000028</v>
      </c>
      <c r="K110" s="30" t="s">
        <v>393</v>
      </c>
      <c r="L110">
        <v>33396.315000000002</v>
      </c>
    </row>
    <row r="111" spans="2:12" x14ac:dyDescent="0.3">
      <c r="B111" s="29" t="s">
        <v>35</v>
      </c>
      <c r="C111">
        <v>38833.924999999974</v>
      </c>
      <c r="K111" s="30" t="s">
        <v>394</v>
      </c>
      <c r="L111">
        <v>39098.305</v>
      </c>
    </row>
    <row r="112" spans="2:12" x14ac:dyDescent="0.3">
      <c r="B112" s="29" t="s">
        <v>381</v>
      </c>
      <c r="C112">
        <v>119405.79000000002</v>
      </c>
      <c r="K112" s="30" t="s">
        <v>395</v>
      </c>
      <c r="L112">
        <v>43418</v>
      </c>
    </row>
    <row r="113" spans="11:12" x14ac:dyDescent="0.3">
      <c r="K113" s="30" t="s">
        <v>396</v>
      </c>
      <c r="L113">
        <v>48974.91</v>
      </c>
    </row>
    <row r="114" spans="11:12" x14ac:dyDescent="0.3">
      <c r="K114" s="30" t="s">
        <v>397</v>
      </c>
      <c r="L114">
        <v>53761.825000000004</v>
      </c>
    </row>
    <row r="115" spans="11:12" x14ac:dyDescent="0.3">
      <c r="K115" s="30" t="s">
        <v>398</v>
      </c>
      <c r="L115">
        <v>58862.600000000006</v>
      </c>
    </row>
    <row r="116" spans="11:12" x14ac:dyDescent="0.3">
      <c r="K116" s="29" t="s">
        <v>45</v>
      </c>
    </row>
    <row r="117" spans="11:12" x14ac:dyDescent="0.3">
      <c r="K117" s="30" t="s">
        <v>387</v>
      </c>
      <c r="L117">
        <v>37.26</v>
      </c>
    </row>
    <row r="118" spans="11:12" x14ac:dyDescent="0.3">
      <c r="K118" s="30" t="s">
        <v>388</v>
      </c>
      <c r="L118">
        <v>7080.2</v>
      </c>
    </row>
    <row r="119" spans="11:12" x14ac:dyDescent="0.3">
      <c r="K119" s="30" t="s">
        <v>389</v>
      </c>
      <c r="L119">
        <v>14478.400000000001</v>
      </c>
    </row>
    <row r="120" spans="11:12" x14ac:dyDescent="0.3">
      <c r="K120" s="30" t="s">
        <v>390</v>
      </c>
      <c r="L120">
        <v>19137.800000000003</v>
      </c>
    </row>
    <row r="121" spans="11:12" x14ac:dyDescent="0.3">
      <c r="K121" s="30" t="s">
        <v>391</v>
      </c>
      <c r="L121">
        <v>24158.410000000003</v>
      </c>
    </row>
    <row r="122" spans="11:12" x14ac:dyDescent="0.3">
      <c r="K122" s="30" t="s">
        <v>392</v>
      </c>
      <c r="L122">
        <v>28824.045000000002</v>
      </c>
    </row>
    <row r="123" spans="11:12" x14ac:dyDescent="0.3">
      <c r="K123" s="30" t="s">
        <v>393</v>
      </c>
      <c r="L123">
        <v>34311.325000000004</v>
      </c>
    </row>
    <row r="124" spans="11:12" x14ac:dyDescent="0.3">
      <c r="K124" s="30" t="s">
        <v>394</v>
      </c>
      <c r="L124">
        <v>40484.115000000005</v>
      </c>
    </row>
    <row r="125" spans="11:12" x14ac:dyDescent="0.3">
      <c r="K125" s="30" t="s">
        <v>395</v>
      </c>
      <c r="L125">
        <v>44856.740000000005</v>
      </c>
    </row>
    <row r="126" spans="11:12" x14ac:dyDescent="0.3">
      <c r="K126" s="30" t="s">
        <v>396</v>
      </c>
      <c r="L126">
        <v>49591.555000000008</v>
      </c>
    </row>
    <row r="127" spans="11:12" x14ac:dyDescent="0.3">
      <c r="K127" s="30" t="s">
        <v>397</v>
      </c>
      <c r="L127">
        <v>55529.805000000008</v>
      </c>
    </row>
    <row r="128" spans="11:12" x14ac:dyDescent="0.3">
      <c r="K128" s="30" t="s">
        <v>398</v>
      </c>
      <c r="L128">
        <v>60538.195000000007</v>
      </c>
    </row>
    <row r="129" spans="11:12" x14ac:dyDescent="0.3">
      <c r="K129" s="29" t="s">
        <v>46</v>
      </c>
    </row>
    <row r="130" spans="11:12" x14ac:dyDescent="0.3">
      <c r="K130" s="30" t="s">
        <v>396</v>
      </c>
      <c r="L130">
        <v>4145.3999999999996</v>
      </c>
    </row>
    <row r="131" spans="11:12" x14ac:dyDescent="0.3">
      <c r="K131" s="29" t="s">
        <v>12</v>
      </c>
    </row>
    <row r="132" spans="11:12" x14ac:dyDescent="0.3">
      <c r="K132" s="30" t="s">
        <v>387</v>
      </c>
      <c r="L132">
        <v>249.48</v>
      </c>
    </row>
    <row r="133" spans="11:12" x14ac:dyDescent="0.3">
      <c r="K133" s="30" t="s">
        <v>388</v>
      </c>
      <c r="L133">
        <v>6789.8549999999996</v>
      </c>
    </row>
    <row r="134" spans="11:12" x14ac:dyDescent="0.3">
      <c r="K134" s="30" t="s">
        <v>389</v>
      </c>
      <c r="L134">
        <v>12636.014999999999</v>
      </c>
    </row>
    <row r="135" spans="11:12" x14ac:dyDescent="0.3">
      <c r="K135" s="30" t="s">
        <v>390</v>
      </c>
      <c r="L135">
        <v>18244.434999999998</v>
      </c>
    </row>
    <row r="136" spans="11:12" x14ac:dyDescent="0.3">
      <c r="K136" s="30" t="s">
        <v>391</v>
      </c>
      <c r="L136">
        <v>22765.625</v>
      </c>
    </row>
    <row r="137" spans="11:12" x14ac:dyDescent="0.3">
      <c r="K137" s="30" t="s">
        <v>392</v>
      </c>
      <c r="L137">
        <v>26156.22</v>
      </c>
    </row>
    <row r="138" spans="11:12" x14ac:dyDescent="0.3">
      <c r="K138" s="30" t="s">
        <v>393</v>
      </c>
      <c r="L138">
        <v>32285.285</v>
      </c>
    </row>
    <row r="139" spans="11:12" x14ac:dyDescent="0.3">
      <c r="K139" s="30" t="s">
        <v>394</v>
      </c>
      <c r="L139">
        <v>36860.400000000001</v>
      </c>
    </row>
    <row r="140" spans="11:12" x14ac:dyDescent="0.3">
      <c r="K140" s="30" t="s">
        <v>395</v>
      </c>
      <c r="L140">
        <v>41991.224999999999</v>
      </c>
    </row>
    <row r="141" spans="11:12" x14ac:dyDescent="0.3">
      <c r="K141" s="30" t="s">
        <v>396</v>
      </c>
      <c r="L141">
        <v>47570.53</v>
      </c>
    </row>
    <row r="142" spans="11:12" x14ac:dyDescent="0.3">
      <c r="K142" s="30" t="s">
        <v>397</v>
      </c>
      <c r="L142">
        <v>51113.375</v>
      </c>
    </row>
    <row r="143" spans="11:12" x14ac:dyDescent="0.3">
      <c r="K143" s="30" t="s">
        <v>398</v>
      </c>
      <c r="L143">
        <v>56827.945</v>
      </c>
    </row>
    <row r="144" spans="11:12" x14ac:dyDescent="0.3">
      <c r="K144" s="29" t="s">
        <v>381</v>
      </c>
    </row>
  </sheetData>
  <mergeCells count="2">
    <mergeCell ref="L68:L69"/>
    <mergeCell ref="K72:K73"/>
  </mergeCells>
  <pageMargins left="0.7" right="0.7" top="0.75" bottom="0.75" header="0.3" footer="0.3"/>
  <pageSetup paperSize="9" orientation="portrait" r:id="rId16"/>
  <drawing r:id="rId17"/>
  <extLst>
    <ext xmlns:x14="http://schemas.microsoft.com/office/spreadsheetml/2009/9/main" uri="{A8765BA9-456A-4dab-B4F3-ACF838C121DE}">
      <x14:slicerList>
        <x14:slicer r:id="rId1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База данных</vt:lpstr>
      <vt:lpstr>База данных с фильтрами</vt:lpstr>
      <vt:lpstr>Срезы</vt:lpstr>
      <vt:lpstr>Сводная таблица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</dc:creator>
  <cp:lastModifiedBy>Вася Кузнец</cp:lastModifiedBy>
  <dcterms:created xsi:type="dcterms:W3CDTF">2024-03-17T11:06:31Z</dcterms:created>
  <dcterms:modified xsi:type="dcterms:W3CDTF">2026-06-13T16:58:35Z</dcterms:modified>
</cp:coreProperties>
</file>