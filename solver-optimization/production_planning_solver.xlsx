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ортфолио\"/>
    </mc:Choice>
  </mc:AlternateContent>
  <xr:revisionPtr revIDLastSave="0" documentId="8_{411FEB73-5193-42E7-BEF5-FF8DB64CED72}" xr6:coauthVersionLast="47" xr6:coauthVersionMax="47" xr10:uidLastSave="{00000000-0000-0000-0000-000000000000}"/>
  <bookViews>
    <workbookView xWindow="-108" yWindow="-108" windowWidth="23256" windowHeight="13896" xr2:uid="{AA8869E3-AAE2-4F7D-89E5-96D9FFB81C5F}"/>
  </bookViews>
  <sheets>
    <sheet name="Лист1" sheetId="1" r:id="rId1"/>
    <sheet name="Лист2" sheetId="2" r:id="rId2"/>
    <sheet name="Лист3" sheetId="3" r:id="rId3"/>
  </sheets>
  <definedNames>
    <definedName name="solver_adj" localSheetId="0" hidden="1">Лист1!$D$9:$D$12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lhs1" localSheetId="0" hidden="1">Лист1!$D$13</definedName>
    <definedName name="solver_lhs2" localSheetId="0" hidden="1">Лист1!$D$9:$D$12</definedName>
    <definedName name="solver_lhs3" localSheetId="0" hidden="1">Лист1!$D$9:$D$12</definedName>
    <definedName name="solver_lhs4" localSheetId="0" hidden="1">Лист1!$F$9:$F$13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Лист1!$E$13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el2" localSheetId="0" hidden="1">4</definedName>
    <definedName name="solver_rel3" localSheetId="0" hidden="1">3</definedName>
    <definedName name="solver_rel4" localSheetId="0" hidden="1">1</definedName>
    <definedName name="solver_rhs1" localSheetId="0" hidden="1">Лист1!$D$3</definedName>
    <definedName name="solver_rhs2" localSheetId="0" hidden="1">"целое"</definedName>
    <definedName name="solver_rhs3" localSheetId="0" hidden="1">0</definedName>
    <definedName name="solver_rhs4" localSheetId="0" hidden="1">Лист1!$D$6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1" l="1"/>
  <c r="F10" i="1" l="1"/>
  <c r="F11" i="1"/>
  <c r="F12" i="1"/>
  <c r="F9" i="1"/>
  <c r="F13" i="1" s="1"/>
  <c r="E10" i="1"/>
  <c r="E11" i="1"/>
  <c r="E12" i="1"/>
  <c r="E9" i="1"/>
  <c r="B13" i="1"/>
  <c r="E13" i="1" l="1"/>
</calcChain>
</file>

<file path=xl/sharedStrings.xml><?xml version="1.0" encoding="utf-8"?>
<sst xmlns="http://schemas.openxmlformats.org/spreadsheetml/2006/main" count="15" uniqueCount="15">
  <si>
    <t>Задача на распределение заказов</t>
  </si>
  <si>
    <t>Число изделий, которое требуется произвести, шт:</t>
  </si>
  <si>
    <t>Справочно: для введенного числа изделий время выполнения заказа возможно от</t>
  </si>
  <si>
    <t>до</t>
  </si>
  <si>
    <t>Максимальное время выполнения заказа, дней:</t>
  </si>
  <si>
    <t>Мастер 1</t>
  </si>
  <si>
    <t>Мастер 2</t>
  </si>
  <si>
    <t>Мастер 3</t>
  </si>
  <si>
    <t>Мастер 4</t>
  </si>
  <si>
    <t>ИТОГО</t>
  </si>
  <si>
    <t>Производительность, изделий в день</t>
  </si>
  <si>
    <t>Тарифная ставка, руб</t>
  </si>
  <si>
    <t>Число заготовок, передаваемых в работу, шт</t>
  </si>
  <si>
    <t>Стоимость заказа, руб</t>
  </si>
  <si>
    <t>Время на выполнение заказа,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</si>
</sst>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BYN]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164" fontId="0" fillId="0" borderId="1" xfId="0" applyNumberForma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B747-7163-4FFC-B796-0CEB77AB9FA1}">
  <dimension ref="A1:F13"/>
  <sheetViews>
    <sheetView tabSelected="1" workbookViewId="0">
      <selection activeCell="E10" sqref="E10"/>
    </sheetView>
  </sheetViews>
  <sheetFormatPr defaultRowHeight="14.4" x14ac:dyDescent="0.3"/>
  <cols>
    <col min="1" max="1" width="14.77734375" customWidth="1"/>
    <col min="2" max="2" width="19.77734375" customWidth="1"/>
    <col min="3" max="3" width="16.21875" customWidth="1"/>
    <col min="4" max="4" width="22.21875" customWidth="1"/>
    <col min="5" max="5" width="10.6640625" customWidth="1"/>
    <col min="6" max="6" width="12.33203125" customWidth="1"/>
  </cols>
  <sheetData>
    <row r="1" spans="1:6" x14ac:dyDescent="0.3">
      <c r="A1" s="7" t="s">
        <v>0</v>
      </c>
      <c r="B1" s="7"/>
    </row>
    <row r="3" spans="1:6" x14ac:dyDescent="0.3">
      <c r="A3" s="8" t="s">
        <v>1</v>
      </c>
      <c r="B3" s="8"/>
      <c r="C3" s="8"/>
      <c r="D3" s="5">
        <v>100</v>
      </c>
    </row>
    <row r="4" spans="1:6" x14ac:dyDescent="0.3">
      <c r="A4" s="8" t="s">
        <v>2</v>
      </c>
      <c r="B4" s="8"/>
      <c r="C4" s="8"/>
      <c r="D4" s="8"/>
      <c r="E4">
        <v>111.12</v>
      </c>
    </row>
    <row r="5" spans="1:6" x14ac:dyDescent="0.3">
      <c r="D5" s="1" t="s">
        <v>3</v>
      </c>
      <c r="E5">
        <v>666.67</v>
      </c>
    </row>
    <row r="6" spans="1:6" x14ac:dyDescent="0.3">
      <c r="A6" s="8" t="s">
        <v>4</v>
      </c>
      <c r="B6" s="8"/>
      <c r="C6" s="8"/>
      <c r="D6" s="5">
        <v>30</v>
      </c>
    </row>
    <row r="8" spans="1:6" ht="52.2" customHeight="1" x14ac:dyDescent="0.3">
      <c r="A8" s="2"/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</row>
    <row r="9" spans="1:6" x14ac:dyDescent="0.3">
      <c r="A9" s="2" t="s">
        <v>5</v>
      </c>
      <c r="B9" s="2">
        <v>3</v>
      </c>
      <c r="C9" s="6">
        <v>15</v>
      </c>
      <c r="D9" s="2">
        <v>90</v>
      </c>
      <c r="E9" s="2">
        <f>D9*C9</f>
        <v>1350</v>
      </c>
      <c r="F9" s="2">
        <f>D9/B9</f>
        <v>30</v>
      </c>
    </row>
    <row r="10" spans="1:6" x14ac:dyDescent="0.3">
      <c r="A10" s="2" t="s">
        <v>6</v>
      </c>
      <c r="B10" s="2">
        <v>1.5</v>
      </c>
      <c r="C10" s="6">
        <v>17</v>
      </c>
      <c r="D10" s="2">
        <v>0</v>
      </c>
      <c r="E10" s="2">
        <f t="shared" ref="E10:E12" si="0">D10*C10</f>
        <v>0</v>
      </c>
      <c r="F10" s="2">
        <f t="shared" ref="F10:F12" si="1">D10/B10</f>
        <v>0</v>
      </c>
    </row>
    <row r="11" spans="1:6" x14ac:dyDescent="0.3">
      <c r="A11" s="2" t="s">
        <v>7</v>
      </c>
      <c r="B11" s="2">
        <v>2</v>
      </c>
      <c r="C11" s="6">
        <v>18</v>
      </c>
      <c r="D11" s="2">
        <v>0</v>
      </c>
      <c r="E11" s="2">
        <f t="shared" si="0"/>
        <v>0</v>
      </c>
      <c r="F11" s="2">
        <f t="shared" si="1"/>
        <v>0</v>
      </c>
    </row>
    <row r="12" spans="1:6" x14ac:dyDescent="0.3">
      <c r="A12" s="2" t="s">
        <v>8</v>
      </c>
      <c r="B12" s="2">
        <v>2.5</v>
      </c>
      <c r="C12" s="6">
        <v>16.8</v>
      </c>
      <c r="D12" s="2">
        <v>10</v>
      </c>
      <c r="E12" s="2">
        <f t="shared" si="0"/>
        <v>168</v>
      </c>
      <c r="F12" s="2">
        <f t="shared" si="1"/>
        <v>4</v>
      </c>
    </row>
    <row r="13" spans="1:6" x14ac:dyDescent="0.3">
      <c r="A13" s="4" t="s">
        <v>9</v>
      </c>
      <c r="B13" s="2">
        <f>SUM(B9:B12)</f>
        <v>9</v>
      </c>
      <c r="C13" s="6"/>
      <c r="D13" s="2">
        <f>SUM(D9:D12)</f>
        <v>100</v>
      </c>
      <c r="E13" s="2">
        <f>SUM(E9:E12)</f>
        <v>1518</v>
      </c>
      <c r="F13" s="2">
        <f>MAX(F9:F12)</f>
        <v>30</v>
      </c>
    </row>
  </sheetData>
  <mergeCells count="4">
    <mergeCell ref="A1:B1"/>
    <mergeCell ref="A3:C3"/>
    <mergeCell ref="A4:D4"/>
    <mergeCell ref="A6:C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2417-0970-4CA6-AA9A-8AA3A10AA92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2FAC-034F-4FE8-B57F-C0DAA5397C5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Вася Кузнец</dc:creator>
  <cp:lastModifiedBy>Вася Кузнец</cp:lastModifiedBy>
  <dcterms:created xsi:type="dcterms:W3CDTF">2026-02-16T14:47:22Z</dcterms:created>
  <dcterms:modified xsi:type="dcterms:W3CDTF">2026-06-13T19:28:27Z</dcterms:modified>
</cp:coreProperties>
</file>