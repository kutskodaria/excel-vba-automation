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Портфолио\"/>
    </mc:Choice>
  </mc:AlternateContent>
  <xr:revisionPtr revIDLastSave="0" documentId="13_ncr:1_{B1C1E272-275E-4DEC-A43B-AE9D3365D717}" xr6:coauthVersionLast="47" xr6:coauthVersionMax="47" xr10:uidLastSave="{00000000-0000-0000-0000-000000000000}"/>
  <bookViews>
    <workbookView xWindow="-108" yWindow="-108" windowWidth="23256" windowHeight="13896" xr2:uid="{4516B439-5EB2-438D-B635-B4DE9B16A3AE}"/>
  </bookViews>
  <sheets>
    <sheet name="Лист1" sheetId="1" r:id="rId1"/>
  </sheets>
  <definedNames>
    <definedName name="solver_adj" localSheetId="0" hidden="1">Лист1!$B$16:$B$19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Лист1!$B$16:$B$19</definedName>
    <definedName name="solver_lhs2" localSheetId="0" hidden="1">Лист1!$B$16:$B$19</definedName>
    <definedName name="solver_lhs3" localSheetId="0" hidden="1">Лист1!$B$16:$B$19</definedName>
    <definedName name="solver_lhs4" localSheetId="0" hidden="1">Лист1!$C$23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Лист1!$C$21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l4" localSheetId="0" hidden="1">2</definedName>
    <definedName name="solver_rhs1" localSheetId="0" hidden="1">4</definedName>
    <definedName name="solver_rhs2" localSheetId="0" hidden="1">"целое"</definedName>
    <definedName name="solver_rhs3" localSheetId="0" hidden="1">1</definedName>
    <definedName name="solver_rhs4" localSheetId="0" hidden="1">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C23" i="1" l="1"/>
  <c r="H7" i="1"/>
  <c r="I7" i="1"/>
  <c r="J7" i="1"/>
  <c r="K7" i="1"/>
  <c r="C16" i="1" s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C19" i="1" s="1"/>
  <c r="I11" i="1"/>
  <c r="J11" i="1"/>
  <c r="K11" i="1"/>
  <c r="G8" i="1"/>
  <c r="C20" i="1" s="1"/>
  <c r="G9" i="1"/>
  <c r="G10" i="1"/>
  <c r="G11" i="1"/>
  <c r="C17" i="1" l="1"/>
  <c r="C21" i="1" s="1"/>
  <c r="C18" i="1"/>
</calcChain>
</file>

<file path=xl/sharedStrings.xml><?xml version="1.0" encoding="utf-8"?>
<sst xmlns="http://schemas.openxmlformats.org/spreadsheetml/2006/main" count="23" uniqueCount="20">
  <si>
    <t>Координаты городов</t>
  </si>
  <si>
    <t>Город</t>
  </si>
  <si>
    <t xml:space="preserve">№ Города </t>
  </si>
  <si>
    <t>Город0</t>
  </si>
  <si>
    <t>Город1</t>
  </si>
  <si>
    <t>Город2</t>
  </si>
  <si>
    <t>Город3</t>
  </si>
  <si>
    <t>Город4</t>
  </si>
  <si>
    <t>X</t>
  </si>
  <si>
    <t>Y</t>
  </si>
  <si>
    <t>Города</t>
  </si>
  <si>
    <t>город</t>
  </si>
  <si>
    <t>последовательность</t>
  </si>
  <si>
    <t>расстояние</t>
  </si>
  <si>
    <t>город0</t>
  </si>
  <si>
    <t>город3</t>
  </si>
  <si>
    <t>город2</t>
  </si>
  <si>
    <t>город4</t>
  </si>
  <si>
    <t>город1</t>
  </si>
  <si>
    <t>С помощью поиска решений найдена последовательность городов, при которой суммарный пробег будет наименьшим.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</si>
</sst>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Кратчайший</a:t>
            </a:r>
            <a:r>
              <a:rPr lang="ru-RU" baseline="0"/>
              <a:t> маршрут между городами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Лист1!$G$14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B11-437F-81F9-FD0821417F3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B11-437F-81F9-FD0821417F3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B11-437F-81F9-FD0821417F3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0B11-437F-81F9-FD0821417F3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0B11-437F-81F9-FD0821417F3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11-437F-81F9-FD0821417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B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Лист1!$F$15:$F$20</c:f>
              <c:numCache>
                <c:formatCode>General</c:formatCode>
                <c:ptCount val="6"/>
                <c:pt idx="0">
                  <c:v>500</c:v>
                </c:pt>
                <c:pt idx="1">
                  <c:v>1200</c:v>
                </c:pt>
                <c:pt idx="2">
                  <c:v>2000</c:v>
                </c:pt>
                <c:pt idx="3">
                  <c:v>2465</c:v>
                </c:pt>
                <c:pt idx="4">
                  <c:v>2000</c:v>
                </c:pt>
                <c:pt idx="5">
                  <c:v>500</c:v>
                </c:pt>
              </c:numCache>
            </c:numRef>
          </c:xVal>
          <c:yVal>
            <c:numRef>
              <c:f>Лист1!$G$15:$G$20</c:f>
              <c:numCache>
                <c:formatCode>General</c:formatCode>
                <c:ptCount val="6"/>
                <c:pt idx="0">
                  <c:v>500</c:v>
                </c:pt>
                <c:pt idx="1">
                  <c:v>1400</c:v>
                </c:pt>
                <c:pt idx="2">
                  <c:v>2500</c:v>
                </c:pt>
                <c:pt idx="3">
                  <c:v>1779</c:v>
                </c:pt>
                <c:pt idx="4">
                  <c:v>250</c:v>
                </c:pt>
                <c:pt idx="5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11-437F-81F9-FD0821417F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08658736"/>
        <c:axId val="477960016"/>
      </c:scatterChart>
      <c:valAx>
        <c:axId val="70865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77960016"/>
        <c:crosses val="autoZero"/>
        <c:crossBetween val="midCat"/>
      </c:valAx>
      <c:valAx>
        <c:axId val="4779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0865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414020</xdr:colOff>
      <xdr:row>3</xdr:row>
      <xdr:rowOff>2540</xdr:rowOff>
    </xdr:from>
    <xdr:to>
      <xdr:col>19</xdr:col>
      <xdr:colOff>579120</xdr:colOff>
      <xdr:row>21</xdr:row>
      <xdr:rowOff>110490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2A95C1-3F05-478D-9FAD-9FA513A69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79D1-923F-4262-90F3-FE9063E66FF5}">
  <sheetPr codeName="Лист1"/>
  <dimension ref="A5:K29"/>
  <sheetViews>
    <sheetView tabSelected="1" zoomScale="79" workbookViewId="0">
      <selection activeCell="H28" sqref="H28"/>
    </sheetView>
  </sheetViews>
  <sheetFormatPr defaultRowHeight="14.4" x14ac:dyDescent="0.3"/>
  <cols>
    <col min="1" max="1" width="10.6640625" customWidth="1"/>
    <col min="2" max="2" width="14.5546875" customWidth="1"/>
    <col min="3" max="3" width="11.44140625" customWidth="1"/>
    <col min="7" max="7" width="11.44140625" customWidth="1"/>
  </cols>
  <sheetData>
    <row r="5" spans="1:11" ht="15" thickBot="1" x14ac:dyDescent="0.35">
      <c r="A5" s="3" t="s">
        <v>0</v>
      </c>
      <c r="B5" s="3"/>
    </row>
    <row r="6" spans="1:11" ht="15" thickBot="1" x14ac:dyDescent="0.35">
      <c r="A6" s="1" t="s">
        <v>1</v>
      </c>
      <c r="B6" s="1" t="s">
        <v>2</v>
      </c>
      <c r="C6" s="1" t="s">
        <v>8</v>
      </c>
      <c r="D6" s="1" t="s">
        <v>9</v>
      </c>
      <c r="F6" s="1" t="s">
        <v>10</v>
      </c>
      <c r="G6" s="1">
        <v>0</v>
      </c>
      <c r="H6" s="1">
        <v>1</v>
      </c>
      <c r="I6" s="1">
        <v>2</v>
      </c>
      <c r="J6" s="1">
        <v>3</v>
      </c>
      <c r="K6" s="1">
        <v>4</v>
      </c>
    </row>
    <row r="7" spans="1:11" ht="15" thickBot="1" x14ac:dyDescent="0.35">
      <c r="A7" s="1" t="s">
        <v>3</v>
      </c>
      <c r="B7" s="1">
        <v>0</v>
      </c>
      <c r="C7" s="1">
        <v>500</v>
      </c>
      <c r="D7" s="1">
        <v>500</v>
      </c>
      <c r="F7" s="1">
        <v>0</v>
      </c>
      <c r="G7" s="2">
        <f>SQRT((INDEX($C$7:$D$11,$F7+1,1)-INDEX($C$7:$D$11,G$6+1,1))^2+(INDEX($C$7:$D$11,$F7+1,2)-INDEX($C$7:$D$11,G$6+1,2))^2)</f>
        <v>0</v>
      </c>
      <c r="H7" s="2">
        <f t="shared" ref="H7:K11" si="0">SQRT((INDEX($C$7:$D$11,$F7+1,1)-INDEX($C$7:$D$11,H$6+1,1))^2+(INDEX($C$7:$D$11,$F7+1,2)-INDEX($C$7:$D$11,H$6+1,2))^2)</f>
        <v>2500</v>
      </c>
      <c r="I7" s="2">
        <f t="shared" si="0"/>
        <v>2344.5822655645929</v>
      </c>
      <c r="J7" s="2">
        <f t="shared" si="0"/>
        <v>1520.6906325745549</v>
      </c>
      <c r="K7" s="2">
        <f t="shared" si="0"/>
        <v>1140.175425099138</v>
      </c>
    </row>
    <row r="8" spans="1:11" ht="15" thickBot="1" x14ac:dyDescent="0.35">
      <c r="A8" s="1" t="s">
        <v>4</v>
      </c>
      <c r="B8" s="1">
        <v>1</v>
      </c>
      <c r="C8" s="1">
        <v>2000</v>
      </c>
      <c r="D8" s="1">
        <v>2500</v>
      </c>
      <c r="F8" s="1">
        <v>1</v>
      </c>
      <c r="G8" s="2">
        <f>SQRT((INDEX($C$7:$D$11,$F8+1,1)-INDEX($C$7:$D$11,G$6+1,1))^2+(INDEX($C$7:$D$11,$F8+1,2)-INDEX($C$7:$D$11,G$6+1,2))^2)</f>
        <v>2500</v>
      </c>
      <c r="H8" s="2">
        <f t="shared" si="0"/>
        <v>0</v>
      </c>
      <c r="I8" s="2">
        <f t="shared" si="0"/>
        <v>857.94288854212198</v>
      </c>
      <c r="J8" s="2">
        <f t="shared" si="0"/>
        <v>2250</v>
      </c>
      <c r="K8" s="2">
        <f t="shared" si="0"/>
        <v>1360.1470508735442</v>
      </c>
    </row>
    <row r="9" spans="1:11" ht="15" thickBot="1" x14ac:dyDescent="0.35">
      <c r="A9" s="1" t="s">
        <v>5</v>
      </c>
      <c r="B9" s="1">
        <v>2</v>
      </c>
      <c r="C9" s="1">
        <v>2465</v>
      </c>
      <c r="D9" s="1">
        <v>1779</v>
      </c>
      <c r="F9" s="1">
        <v>2</v>
      </c>
      <c r="G9" s="2">
        <f>SQRT((INDEX($C$7:$D$11,$F9+1,1)-INDEX($C$7:$D$11,G$6+1,1))^2+(INDEX($C$7:$D$11,$F9+1,2)-INDEX($C$7:$D$11,G$6+1,2))^2)</f>
        <v>2344.5822655645929</v>
      </c>
      <c r="H9" s="2">
        <f t="shared" si="0"/>
        <v>857.94288854212198</v>
      </c>
      <c r="I9" s="2">
        <f t="shared" si="0"/>
        <v>0</v>
      </c>
      <c r="J9" s="2">
        <f t="shared" si="0"/>
        <v>1598.1445491569277</v>
      </c>
      <c r="K9" s="2">
        <f t="shared" si="0"/>
        <v>1320.555186275833</v>
      </c>
    </row>
    <row r="10" spans="1:11" ht="15" thickBot="1" x14ac:dyDescent="0.35">
      <c r="A10" s="1" t="s">
        <v>6</v>
      </c>
      <c r="B10" s="1">
        <v>3</v>
      </c>
      <c r="C10" s="1">
        <v>2000</v>
      </c>
      <c r="D10" s="1">
        <v>250</v>
      </c>
      <c r="F10" s="1">
        <v>3</v>
      </c>
      <c r="G10" s="2">
        <f>SQRT((INDEX($C$7:$D$11,$F10+1,1)-INDEX($C$7:$D$11,G$6+1,1))^2+(INDEX($C$7:$D$11,$F10+1,2)-INDEX($C$7:$D$11,G$6+1,2))^2)</f>
        <v>1520.6906325745549</v>
      </c>
      <c r="H10" s="2">
        <f t="shared" si="0"/>
        <v>2250</v>
      </c>
      <c r="I10" s="2">
        <f t="shared" si="0"/>
        <v>1598.1445491569277</v>
      </c>
      <c r="J10" s="2">
        <f t="shared" si="0"/>
        <v>0</v>
      </c>
      <c r="K10" s="2">
        <f t="shared" si="0"/>
        <v>1400.89257261219</v>
      </c>
    </row>
    <row r="11" spans="1:11" ht="15" thickBot="1" x14ac:dyDescent="0.35">
      <c r="A11" s="1" t="s">
        <v>7</v>
      </c>
      <c r="B11" s="1">
        <v>4</v>
      </c>
      <c r="C11" s="1">
        <v>1200</v>
      </c>
      <c r="D11" s="1">
        <v>1400</v>
      </c>
      <c r="F11" s="1">
        <v>4</v>
      </c>
      <c r="G11" s="2">
        <f>SQRT((INDEX($C$7:$D$11,$F11+1,1)-INDEX($C$7:$D$11,G$6+1,1))^2+(INDEX($C$7:$D$11,$F11+1,2)-INDEX($C$7:$D$11,G$6+1,2))^2)</f>
        <v>1140.175425099138</v>
      </c>
      <c r="H11" s="2">
        <f t="shared" si="0"/>
        <v>1360.1470508735442</v>
      </c>
      <c r="I11" s="2">
        <f t="shared" si="0"/>
        <v>1320.555186275833</v>
      </c>
      <c r="J11" s="2">
        <f t="shared" si="0"/>
        <v>1400.89257261219</v>
      </c>
      <c r="K11" s="2">
        <f t="shared" si="0"/>
        <v>0</v>
      </c>
    </row>
    <row r="13" spans="1:11" ht="15" thickBot="1" x14ac:dyDescent="0.35"/>
    <row r="14" spans="1:11" ht="29.4" thickBot="1" x14ac:dyDescent="0.35">
      <c r="A14" s="4" t="s">
        <v>11</v>
      </c>
      <c r="B14" s="5" t="s">
        <v>12</v>
      </c>
      <c r="C14" s="4" t="s">
        <v>13</v>
      </c>
      <c r="F14" s="4" t="s">
        <v>8</v>
      </c>
      <c r="G14" s="4" t="s">
        <v>9</v>
      </c>
    </row>
    <row r="15" spans="1:11" ht="15" thickBot="1" x14ac:dyDescent="0.35">
      <c r="A15" s="1" t="s">
        <v>14</v>
      </c>
      <c r="B15" s="1">
        <v>0</v>
      </c>
      <c r="C15" s="1"/>
      <c r="F15" s="1">
        <v>500</v>
      </c>
      <c r="G15" s="1">
        <v>500</v>
      </c>
    </row>
    <row r="16" spans="1:11" ht="15" thickBot="1" x14ac:dyDescent="0.35">
      <c r="A16" s="1" t="s">
        <v>15</v>
      </c>
      <c r="B16" s="1">
        <v>4</v>
      </c>
      <c r="C16" s="1">
        <f>INDEX($G$7:$K$11,B15+1,B16+1)</f>
        <v>1140.175425099138</v>
      </c>
      <c r="F16" s="1">
        <v>1200</v>
      </c>
      <c r="G16" s="1">
        <v>1400</v>
      </c>
    </row>
    <row r="17" spans="1:7" ht="15" thickBot="1" x14ac:dyDescent="0.35">
      <c r="A17" s="1" t="s">
        <v>16</v>
      </c>
      <c r="B17" s="1">
        <v>1</v>
      </c>
      <c r="C17" s="1">
        <f t="shared" ref="C17:C19" si="1">INDEX($G$7:$K$11,B16+1,B17+1)</f>
        <v>1360.1470508735442</v>
      </c>
      <c r="F17" s="1">
        <v>2000</v>
      </c>
      <c r="G17" s="1">
        <v>2500</v>
      </c>
    </row>
    <row r="18" spans="1:7" ht="15" thickBot="1" x14ac:dyDescent="0.35">
      <c r="A18" s="1" t="s">
        <v>17</v>
      </c>
      <c r="B18" s="1">
        <v>2</v>
      </c>
      <c r="C18" s="1">
        <f t="shared" si="1"/>
        <v>857.94288854212198</v>
      </c>
      <c r="F18" s="1">
        <v>2465</v>
      </c>
      <c r="G18" s="1">
        <v>1779</v>
      </c>
    </row>
    <row r="19" spans="1:7" ht="15" thickBot="1" x14ac:dyDescent="0.35">
      <c r="A19" s="1" t="s">
        <v>18</v>
      </c>
      <c r="B19" s="1">
        <v>3</v>
      </c>
      <c r="C19" s="1">
        <f t="shared" si="1"/>
        <v>1598.1445491569277</v>
      </c>
      <c r="F19" s="1">
        <v>2000</v>
      </c>
      <c r="G19" s="1">
        <v>250</v>
      </c>
    </row>
    <row r="20" spans="1:7" ht="15" thickBot="1" x14ac:dyDescent="0.35">
      <c r="A20" s="1" t="s">
        <v>14</v>
      </c>
      <c r="B20" s="1">
        <v>0</v>
      </c>
      <c r="C20" s="1">
        <f>INDEX($G$7:$K$11,B19+1,B20+1)</f>
        <v>1520.6906325745549</v>
      </c>
      <c r="F20" s="1">
        <v>500</v>
      </c>
      <c r="G20" s="1">
        <v>500</v>
      </c>
    </row>
    <row r="21" spans="1:7" ht="15" thickBot="1" x14ac:dyDescent="0.35">
      <c r="A21" s="1"/>
      <c r="B21" s="1"/>
      <c r="C21" s="1">
        <f>SUM(C16:C20)</f>
        <v>6477.1005462462872</v>
      </c>
    </row>
    <row r="23" spans="1:7" x14ac:dyDescent="0.3">
      <c r="C23">
        <f xml:space="preserve"> SUMPRODUCT(1/COUNTIF(B16:B19,B16:B19))</f>
        <v>4</v>
      </c>
    </row>
    <row r="25" spans="1:7" ht="14.4" customHeight="1" x14ac:dyDescent="0.3">
      <c r="A25" s="6" t="s">
        <v>19</v>
      </c>
      <c r="B25" s="6"/>
      <c r="C25" s="6"/>
    </row>
    <row r="26" spans="1:7" ht="14.4" customHeight="1" x14ac:dyDescent="0.3">
      <c r="A26" s="6"/>
      <c r="B26" s="6"/>
      <c r="C26" s="6"/>
    </row>
    <row r="27" spans="1:7" ht="14.4" customHeight="1" x14ac:dyDescent="0.3">
      <c r="A27" s="6"/>
      <c r="B27" s="6"/>
      <c r="C27" s="6"/>
    </row>
    <row r="28" spans="1:7" ht="14.4" customHeight="1" x14ac:dyDescent="0.3">
      <c r="A28" s="6"/>
      <c r="B28" s="6"/>
      <c r="C28" s="6"/>
    </row>
    <row r="29" spans="1:7" x14ac:dyDescent="0.3">
      <c r="A29" s="6"/>
      <c r="B29" s="6"/>
      <c r="C29" s="6"/>
    </row>
  </sheetData>
  <mergeCells count="2">
    <mergeCell ref="A5:B5"/>
    <mergeCell ref="A25:C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form6</dc:creator>
  <cp:lastModifiedBy>Вася Кузнец</cp:lastModifiedBy>
  <dcterms:created xsi:type="dcterms:W3CDTF">2026-04-06T15:53:05Z</dcterms:created>
  <dcterms:modified xsi:type="dcterms:W3CDTF">2026-06-16T13:54:38Z</dcterms:modified>
</cp:coreProperties>
</file>