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89F0152-8AA3-45BF-A10A-3D16925238F4}" xr6:coauthVersionLast="47" xr6:coauthVersionMax="47" xr10:uidLastSave="{00000000-0000-0000-0000-000000000000}"/>
  <bookViews>
    <workbookView xWindow="-108" yWindow="-108" windowWidth="23256" windowHeight="13896" xr2:uid="{36788AA8-4055-4FF9-BA67-CF29C53FC68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3" i="1" l="1"/>
  <c r="O33" i="1"/>
  <c r="O31" i="1"/>
  <c r="O30" i="1" a="1"/>
  <c r="O30" i="1" s="1"/>
  <c r="F6" i="1"/>
  <c r="F7" i="1"/>
  <c r="F8" i="1"/>
  <c r="F9" i="1"/>
  <c r="F10" i="1"/>
  <c r="F13" i="1"/>
  <c r="F18" i="1"/>
  <c r="F19" i="1"/>
  <c r="F20" i="1"/>
  <c r="F21" i="1"/>
  <c r="F22" i="1"/>
  <c r="F25" i="1"/>
  <c r="F30" i="1"/>
  <c r="F31" i="1"/>
  <c r="F32" i="1"/>
  <c r="F33" i="1"/>
  <c r="F34" i="1"/>
  <c r="F37" i="1"/>
  <c r="F42" i="1"/>
  <c r="F43" i="1"/>
  <c r="F44" i="1"/>
  <c r="F45" i="1"/>
  <c r="F46" i="1"/>
  <c r="F49" i="1"/>
  <c r="F54" i="1"/>
  <c r="F55" i="1"/>
  <c r="F56" i="1"/>
  <c r="F57" i="1"/>
  <c r="F58" i="1"/>
  <c r="F61" i="1"/>
  <c r="F66" i="1"/>
  <c r="F67" i="1"/>
  <c r="F68" i="1"/>
  <c r="F69" i="1"/>
  <c r="F70" i="1"/>
  <c r="F73" i="1"/>
  <c r="F78" i="1"/>
  <c r="F79" i="1"/>
  <c r="F80" i="1"/>
  <c r="F81" i="1"/>
  <c r="F82" i="1"/>
  <c r="F85" i="1"/>
  <c r="F90" i="1"/>
  <c r="F91" i="1"/>
  <c r="F92" i="1"/>
  <c r="F93" i="1"/>
  <c r="F94" i="1"/>
  <c r="F97" i="1"/>
  <c r="F102" i="1"/>
  <c r="F103" i="1"/>
  <c r="F104" i="1"/>
  <c r="F105" i="1"/>
  <c r="F106" i="1"/>
  <c r="F109" i="1"/>
  <c r="F114" i="1"/>
  <c r="F115" i="1"/>
  <c r="F116" i="1"/>
  <c r="F117" i="1"/>
  <c r="F118" i="1"/>
  <c r="F121" i="1"/>
  <c r="F126" i="1"/>
  <c r="F127" i="1"/>
  <c r="F128" i="1"/>
  <c r="F129" i="1"/>
  <c r="F130" i="1"/>
  <c r="F133" i="1"/>
  <c r="F138" i="1"/>
  <c r="F139" i="1"/>
  <c r="F140" i="1"/>
  <c r="F141" i="1"/>
  <c r="F142" i="1"/>
  <c r="F145" i="1"/>
  <c r="F150" i="1"/>
  <c r="F151" i="1"/>
  <c r="F152" i="1"/>
  <c r="F153" i="1"/>
  <c r="F154" i="1"/>
  <c r="F157" i="1"/>
  <c r="F162" i="1"/>
  <c r="F163" i="1"/>
  <c r="F164" i="1"/>
  <c r="F165" i="1"/>
  <c r="F166" i="1"/>
  <c r="F169" i="1"/>
  <c r="F174" i="1"/>
  <c r="F175" i="1"/>
  <c r="F176" i="1"/>
  <c r="F177" i="1"/>
  <c r="F178" i="1"/>
  <c r="F181" i="1"/>
  <c r="F186" i="1"/>
  <c r="F187" i="1"/>
  <c r="F188" i="1"/>
  <c r="F189" i="1"/>
  <c r="F190" i="1"/>
  <c r="F193" i="1"/>
  <c r="F198" i="1"/>
  <c r="F199" i="1"/>
  <c r="F200" i="1"/>
  <c r="F2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  <c r="B202" i="1"/>
  <c r="D6" i="1"/>
  <c r="D13" i="1"/>
  <c r="D14" i="1"/>
  <c r="D15" i="1"/>
  <c r="D16" i="1"/>
  <c r="D17" i="1"/>
  <c r="D18" i="1"/>
  <c r="D25" i="1"/>
  <c r="D26" i="1"/>
  <c r="D30" i="1"/>
  <c r="D37" i="1"/>
  <c r="D38" i="1"/>
  <c r="D39" i="1"/>
  <c r="D40" i="1"/>
  <c r="D41" i="1"/>
  <c r="D42" i="1"/>
  <c r="D49" i="1"/>
  <c r="D50" i="1"/>
  <c r="D54" i="1"/>
  <c r="D61" i="1"/>
  <c r="D62" i="1"/>
  <c r="D63" i="1"/>
  <c r="D64" i="1"/>
  <c r="D65" i="1"/>
  <c r="D66" i="1"/>
  <c r="D73" i="1"/>
  <c r="D74" i="1"/>
  <c r="D78" i="1"/>
  <c r="D85" i="1"/>
  <c r="D86" i="1"/>
  <c r="D87" i="1"/>
  <c r="D88" i="1"/>
  <c r="D89" i="1"/>
  <c r="D90" i="1"/>
  <c r="D97" i="1"/>
  <c r="D98" i="1"/>
  <c r="D102" i="1"/>
  <c r="D109" i="1"/>
  <c r="D110" i="1"/>
  <c r="D111" i="1"/>
  <c r="D112" i="1"/>
  <c r="D113" i="1"/>
  <c r="D114" i="1"/>
  <c r="D121" i="1"/>
  <c r="D122" i="1"/>
  <c r="D126" i="1"/>
  <c r="D133" i="1"/>
  <c r="D134" i="1"/>
  <c r="D135" i="1"/>
  <c r="D136" i="1"/>
  <c r="D137" i="1"/>
  <c r="D138" i="1"/>
  <c r="D145" i="1"/>
  <c r="D150" i="1"/>
  <c r="D157" i="1"/>
  <c r="D158" i="1"/>
  <c r="D159" i="1"/>
  <c r="D160" i="1"/>
  <c r="D161" i="1"/>
  <c r="D162" i="1"/>
  <c r="D169" i="1"/>
  <c r="D170" i="1"/>
  <c r="D171" i="1"/>
  <c r="D172" i="1"/>
  <c r="D173" i="1"/>
  <c r="D174" i="1"/>
  <c r="D181" i="1"/>
  <c r="D182" i="1"/>
  <c r="D183" i="1"/>
  <c r="D184" i="1"/>
  <c r="D186" i="1"/>
  <c r="D193" i="1"/>
  <c r="D194" i="1"/>
  <c r="D195" i="1"/>
  <c r="D196" i="1"/>
  <c r="D197" i="1"/>
  <c r="D198" i="1"/>
  <c r="C3" i="1"/>
  <c r="F3" i="1" s="1"/>
  <c r="C4" i="1"/>
  <c r="F4" i="1" s="1"/>
  <c r="C5" i="1"/>
  <c r="F5" i="1" s="1"/>
  <c r="C6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C14" i="1"/>
  <c r="F14" i="1" s="1"/>
  <c r="C15" i="1"/>
  <c r="F15" i="1" s="1"/>
  <c r="C16" i="1"/>
  <c r="F16" i="1" s="1"/>
  <c r="C17" i="1"/>
  <c r="F17" i="1" s="1"/>
  <c r="C18" i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C26" i="1"/>
  <c r="F26" i="1" s="1"/>
  <c r="C27" i="1"/>
  <c r="F27" i="1" s="1"/>
  <c r="C28" i="1"/>
  <c r="F28" i="1" s="1"/>
  <c r="C29" i="1"/>
  <c r="F29" i="1" s="1"/>
  <c r="C30" i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C38" i="1"/>
  <c r="F38" i="1" s="1"/>
  <c r="C39" i="1"/>
  <c r="F39" i="1" s="1"/>
  <c r="C40" i="1"/>
  <c r="F40" i="1" s="1"/>
  <c r="C41" i="1"/>
  <c r="F41" i="1" s="1"/>
  <c r="C42" i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C50" i="1"/>
  <c r="F50" i="1" s="1"/>
  <c r="C51" i="1"/>
  <c r="F51" i="1" s="1"/>
  <c r="C52" i="1"/>
  <c r="F52" i="1" s="1"/>
  <c r="C53" i="1"/>
  <c r="F53" i="1" s="1"/>
  <c r="C54" i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C62" i="1"/>
  <c r="F62" i="1" s="1"/>
  <c r="C63" i="1"/>
  <c r="F63" i="1" s="1"/>
  <c r="C64" i="1"/>
  <c r="F64" i="1" s="1"/>
  <c r="C65" i="1"/>
  <c r="F65" i="1" s="1"/>
  <c r="C66" i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C74" i="1"/>
  <c r="F74" i="1" s="1"/>
  <c r="C75" i="1"/>
  <c r="F75" i="1" s="1"/>
  <c r="C76" i="1"/>
  <c r="F76" i="1" s="1"/>
  <c r="C77" i="1"/>
  <c r="F77" i="1" s="1"/>
  <c r="C78" i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C86" i="1"/>
  <c r="F86" i="1" s="1"/>
  <c r="C87" i="1"/>
  <c r="F87" i="1" s="1"/>
  <c r="C88" i="1"/>
  <c r="F88" i="1" s="1"/>
  <c r="C89" i="1"/>
  <c r="F89" i="1" s="1"/>
  <c r="C90" i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C98" i="1"/>
  <c r="F98" i="1" s="1"/>
  <c r="C99" i="1"/>
  <c r="F99" i="1" s="1"/>
  <c r="C100" i="1"/>
  <c r="F100" i="1" s="1"/>
  <c r="C101" i="1"/>
  <c r="F101" i="1" s="1"/>
  <c r="C102" i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C110" i="1"/>
  <c r="F110" i="1" s="1"/>
  <c r="C111" i="1"/>
  <c r="F111" i="1" s="1"/>
  <c r="C112" i="1"/>
  <c r="F112" i="1" s="1"/>
  <c r="C113" i="1"/>
  <c r="F113" i="1" s="1"/>
  <c r="C114" i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C122" i="1"/>
  <c r="F122" i="1" s="1"/>
  <c r="C123" i="1"/>
  <c r="F123" i="1" s="1"/>
  <c r="C124" i="1"/>
  <c r="F124" i="1" s="1"/>
  <c r="C125" i="1"/>
  <c r="F125" i="1" s="1"/>
  <c r="C126" i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C134" i="1"/>
  <c r="F134" i="1" s="1"/>
  <c r="C135" i="1"/>
  <c r="F135" i="1" s="1"/>
  <c r="C136" i="1"/>
  <c r="F136" i="1" s="1"/>
  <c r="C137" i="1"/>
  <c r="F137" i="1" s="1"/>
  <c r="C138" i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F144" i="1" s="1"/>
  <c r="C145" i="1"/>
  <c r="C146" i="1"/>
  <c r="F146" i="1" s="1"/>
  <c r="C147" i="1"/>
  <c r="F147" i="1" s="1"/>
  <c r="C148" i="1"/>
  <c r="F148" i="1" s="1"/>
  <c r="C149" i="1"/>
  <c r="F149" i="1" s="1"/>
  <c r="C150" i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F156" i="1" s="1"/>
  <c r="C157" i="1"/>
  <c r="C158" i="1"/>
  <c r="F158" i="1" s="1"/>
  <c r="C159" i="1"/>
  <c r="F159" i="1" s="1"/>
  <c r="C160" i="1"/>
  <c r="F160" i="1" s="1"/>
  <c r="C161" i="1"/>
  <c r="F161" i="1" s="1"/>
  <c r="C162" i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C170" i="1"/>
  <c r="F170" i="1" s="1"/>
  <c r="C171" i="1"/>
  <c r="F171" i="1" s="1"/>
  <c r="C172" i="1"/>
  <c r="F172" i="1" s="1"/>
  <c r="C173" i="1"/>
  <c r="F173" i="1" s="1"/>
  <c r="C174" i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C182" i="1"/>
  <c r="F182" i="1" s="1"/>
  <c r="C183" i="1"/>
  <c r="F183" i="1" s="1"/>
  <c r="C184" i="1"/>
  <c r="F184" i="1" s="1"/>
  <c r="C185" i="1"/>
  <c r="F185" i="1" s="1"/>
  <c r="C186" i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C194" i="1"/>
  <c r="F194" i="1" s="1"/>
  <c r="C195" i="1"/>
  <c r="F195" i="1" s="1"/>
  <c r="C196" i="1"/>
  <c r="F196" i="1" s="1"/>
  <c r="C197" i="1"/>
  <c r="F197" i="1" s="1"/>
  <c r="C198" i="1"/>
  <c r="C199" i="1"/>
  <c r="D199" i="1" s="1"/>
  <c r="C200" i="1"/>
  <c r="D200" i="1" s="1"/>
  <c r="C201" i="1"/>
  <c r="D201" i="1" s="1"/>
  <c r="C2" i="1"/>
  <c r="D2" i="1" s="1"/>
  <c r="C202" i="1" l="1"/>
  <c r="E202" i="1"/>
  <c r="F180" i="1"/>
  <c r="F72" i="1"/>
  <c r="F36" i="1"/>
  <c r="F143" i="1"/>
  <c r="F71" i="1"/>
  <c r="F120" i="1"/>
  <c r="F84" i="1"/>
  <c r="F48" i="1"/>
  <c r="D156" i="1"/>
  <c r="F155" i="1"/>
  <c r="F83" i="1"/>
  <c r="F47" i="1"/>
  <c r="D149" i="1"/>
  <c r="D125" i="1"/>
  <c r="D77" i="1"/>
  <c r="D29" i="1"/>
  <c r="F24" i="1"/>
  <c r="D144" i="1"/>
  <c r="F108" i="1"/>
  <c r="F179" i="1"/>
  <c r="F107" i="1"/>
  <c r="F35" i="1"/>
  <c r="F192" i="1"/>
  <c r="F12" i="1"/>
  <c r="F191" i="1"/>
  <c r="F119" i="1"/>
  <c r="F11" i="1"/>
  <c r="F202" i="1" s="1"/>
  <c r="L5" i="1" s="1"/>
  <c r="D148" i="1"/>
  <c r="D101" i="1"/>
  <c r="D53" i="1"/>
  <c r="D5" i="1"/>
  <c r="F168" i="1"/>
  <c r="F132" i="1"/>
  <c r="F96" i="1"/>
  <c r="F60" i="1"/>
  <c r="D147" i="1"/>
  <c r="D124" i="1"/>
  <c r="D100" i="1"/>
  <c r="D76" i="1"/>
  <c r="D52" i="1"/>
  <c r="D28" i="1"/>
  <c r="D4" i="1"/>
  <c r="F167" i="1"/>
  <c r="F131" i="1"/>
  <c r="F95" i="1"/>
  <c r="F59" i="1"/>
  <c r="F23" i="1"/>
  <c r="D185" i="1"/>
  <c r="D146" i="1"/>
  <c r="D123" i="1"/>
  <c r="D99" i="1"/>
  <c r="D75" i="1"/>
  <c r="D51" i="1"/>
  <c r="D27" i="1"/>
  <c r="D3" i="1"/>
  <c r="D20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<sst xmlns="http://schemas.openxmlformats.org/spreadsheetml/2006/main" count="42" uniqueCount="36">
  <si>
    <t>е</t>
  </si>
  <si>
    <t>х</t>
  </si>
  <si>
    <t>у</t>
  </si>
  <si>
    <t>у2</t>
  </si>
  <si>
    <t>х2</t>
  </si>
  <si>
    <t>у*х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</si>
  <si>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</si>
  <si>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</si>
  <si>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</si>
  <si>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</si>
  <si>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</si>
  <si>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</si>
  <si>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</si>
  <si>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</si>
  <si>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</si>
  <si>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</si>
  <si>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</si>
  <si>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</si>
  <si>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</si>
  <si>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</si>
  <si>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</si>
  <si>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</si>
  <si>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</si>
  <si>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</si>
  <si>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</si>
  <si>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</si>
  <si>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</si>
  <si>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</si>
  <si>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</si>
  <si>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</si>
  <si>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ВЫВОД ОСТАТКА</t>
  </si>
  <si>
    <t>Наблюдение</t>
  </si>
  <si>
    <t>Предсказанное у</t>
  </si>
  <si>
    <t>Остатки</t>
  </si>
  <si>
    <t>Сводная диаграмма:</t>
  </si>
  <si>
    <t>Коэффициент корреляции для линейной функции: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</si>
</sst>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разброса для линейной функции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у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Лист1!$B$2:$B$201</c:f>
              <c:numCache>
                <c:formatCode>0</c:formatCode>
                <c:ptCount val="200"/>
                <c:pt idx="0">
                  <c:v>1496.5971861934263</c:v>
                </c:pt>
                <c:pt idx="1">
                  <c:v>1026.0017700735496</c:v>
                </c:pt>
                <c:pt idx="2">
                  <c:v>2557.7867976928005</c:v>
                </c:pt>
                <c:pt idx="3">
                  <c:v>2069.1244239631337</c:v>
                </c:pt>
                <c:pt idx="4">
                  <c:v>3814.5390179143651</c:v>
                </c:pt>
                <c:pt idx="5">
                  <c:v>1942.0453505050814</c:v>
                </c:pt>
                <c:pt idx="6">
                  <c:v>2864.5588549455242</c:v>
                </c:pt>
                <c:pt idx="7">
                  <c:v>3991.7905209509568</c:v>
                </c:pt>
                <c:pt idx="8">
                  <c:v>1495.1322977385785</c:v>
                </c:pt>
                <c:pt idx="9">
                  <c:v>2624.0730002746668</c:v>
                </c:pt>
                <c:pt idx="10">
                  <c:v>3434.7666859950559</c:v>
                </c:pt>
                <c:pt idx="11">
                  <c:v>3065.248573259682</c:v>
                </c:pt>
                <c:pt idx="12">
                  <c:v>4023.8959929197058</c:v>
                </c:pt>
                <c:pt idx="13">
                  <c:v>1486.2208929715873</c:v>
                </c:pt>
                <c:pt idx="14">
                  <c:v>2418.2561723685417</c:v>
                </c:pt>
                <c:pt idx="15">
                  <c:v>2662.7704702902311</c:v>
                </c:pt>
                <c:pt idx="16">
                  <c:v>1813.9896847437972</c:v>
                </c:pt>
                <c:pt idx="17">
                  <c:v>3687.9482406079287</c:v>
                </c:pt>
                <c:pt idx="18">
                  <c:v>1135.7463301492355</c:v>
                </c:pt>
                <c:pt idx="19">
                  <c:v>2425.2143925290688</c:v>
                </c:pt>
                <c:pt idx="20">
                  <c:v>3132.5113681447797</c:v>
                </c:pt>
                <c:pt idx="21">
                  <c:v>4860.4693746757403</c:v>
                </c:pt>
                <c:pt idx="22">
                  <c:v>1398.4496597186194</c:v>
                </c:pt>
                <c:pt idx="23">
                  <c:v>4804.6815393536181</c:v>
                </c:pt>
                <c:pt idx="24">
                  <c:v>2968.6880092776269</c:v>
                </c:pt>
                <c:pt idx="25">
                  <c:v>2998.3520004882962</c:v>
                </c:pt>
                <c:pt idx="26">
                  <c:v>2333.6588641010776</c:v>
                </c:pt>
                <c:pt idx="27">
                  <c:v>3084.4141972106081</c:v>
                </c:pt>
                <c:pt idx="28">
                  <c:v>3474.806970427564</c:v>
                </c:pt>
                <c:pt idx="29">
                  <c:v>3639.8510696737571</c:v>
                </c:pt>
                <c:pt idx="30">
                  <c:v>1345.2253791924802</c:v>
                </c:pt>
                <c:pt idx="31">
                  <c:v>1000.4882961516159</c:v>
                </c:pt>
                <c:pt idx="32">
                  <c:v>3600.5432294686725</c:v>
                </c:pt>
                <c:pt idx="33">
                  <c:v>1460.0970488601338</c:v>
                </c:pt>
                <c:pt idx="34">
                  <c:v>1830.2255317850277</c:v>
                </c:pt>
                <c:pt idx="35">
                  <c:v>4090.1821955015716</c:v>
                </c:pt>
                <c:pt idx="36">
                  <c:v>1549.4552446058535</c:v>
                </c:pt>
                <c:pt idx="37">
                  <c:v>3405.9572130497145</c:v>
                </c:pt>
                <c:pt idx="38">
                  <c:v>4279.5190282906588</c:v>
                </c:pt>
                <c:pt idx="39">
                  <c:v>4890.7437360759304</c:v>
                </c:pt>
                <c:pt idx="40">
                  <c:v>3679.2809839167453</c:v>
                </c:pt>
                <c:pt idx="41">
                  <c:v>4491.8057802056946</c:v>
                </c:pt>
                <c:pt idx="42">
                  <c:v>3385.0825525681325</c:v>
                </c:pt>
                <c:pt idx="43">
                  <c:v>2116.9774468214973</c:v>
                </c:pt>
                <c:pt idx="44">
                  <c:v>3473.0979338969082</c:v>
                </c:pt>
                <c:pt idx="45">
                  <c:v>1387.2188482314523</c:v>
                </c:pt>
                <c:pt idx="46">
                  <c:v>3781.2128055665762</c:v>
                </c:pt>
                <c:pt idx="47">
                  <c:v>3938.3220923490098</c:v>
                </c:pt>
                <c:pt idx="48">
                  <c:v>4206.3966795861688</c:v>
                </c:pt>
                <c:pt idx="49">
                  <c:v>2916.9286172063357</c:v>
                </c:pt>
                <c:pt idx="50">
                  <c:v>1043.0921353801079</c:v>
                </c:pt>
                <c:pt idx="51">
                  <c:v>3482.8638569292275</c:v>
                </c:pt>
                <c:pt idx="52">
                  <c:v>4933.2255012665182</c:v>
                </c:pt>
                <c:pt idx="53">
                  <c:v>2600.0244148075808</c:v>
                </c:pt>
                <c:pt idx="54">
                  <c:v>4567.8579058198793</c:v>
                </c:pt>
                <c:pt idx="55">
                  <c:v>4694.5707571642197</c:v>
                </c:pt>
                <c:pt idx="56">
                  <c:v>3418.4087649159214</c:v>
                </c:pt>
                <c:pt idx="57">
                  <c:v>4354.4724875637075</c:v>
                </c:pt>
                <c:pt idx="58">
                  <c:v>4963.4998626667075</c:v>
                </c:pt>
                <c:pt idx="59">
                  <c:v>2664.2353587450789</c:v>
                </c:pt>
                <c:pt idx="60">
                  <c:v>3640.705587939085</c:v>
                </c:pt>
                <c:pt idx="61">
                  <c:v>2488.6928922391435</c:v>
                </c:pt>
                <c:pt idx="62">
                  <c:v>2571.5811639759513</c:v>
                </c:pt>
                <c:pt idx="63">
                  <c:v>4564.9281289101837</c:v>
                </c:pt>
                <c:pt idx="64">
                  <c:v>1489.5168919949949</c:v>
                </c:pt>
                <c:pt idx="65">
                  <c:v>3109.195226905118</c:v>
                </c:pt>
                <c:pt idx="66">
                  <c:v>3746.7879268776514</c:v>
                </c:pt>
                <c:pt idx="67">
                  <c:v>3311.7160557878356</c:v>
                </c:pt>
                <c:pt idx="68">
                  <c:v>4284.1578417310102</c:v>
                </c:pt>
                <c:pt idx="69">
                  <c:v>4066.2556840723896</c:v>
                </c:pt>
                <c:pt idx="70">
                  <c:v>1518.6925870540483</c:v>
                </c:pt>
                <c:pt idx="71">
                  <c:v>2074.3736075930055</c:v>
                </c:pt>
                <c:pt idx="72">
                  <c:v>1735.4960783715323</c:v>
                </c:pt>
                <c:pt idx="73">
                  <c:v>4563.0970183416248</c:v>
                </c:pt>
                <c:pt idx="74">
                  <c:v>3263.863032929472</c:v>
                </c:pt>
                <c:pt idx="75">
                  <c:v>1766.1366618854336</c:v>
                </c:pt>
                <c:pt idx="76">
                  <c:v>3981.902523880734</c:v>
                </c:pt>
                <c:pt idx="77">
                  <c:v>1555.314798425245</c:v>
                </c:pt>
                <c:pt idx="78">
                  <c:v>2006.8666646320994</c:v>
                </c:pt>
                <c:pt idx="79">
                  <c:v>1633.4421826837977</c:v>
                </c:pt>
                <c:pt idx="80">
                  <c:v>4316.0191656239513</c:v>
                </c:pt>
                <c:pt idx="81">
                  <c:v>4064.5466475417338</c:v>
                </c:pt>
                <c:pt idx="82">
                  <c:v>1983.5505233924375</c:v>
                </c:pt>
                <c:pt idx="83">
                  <c:v>1073.7327188940092</c:v>
                </c:pt>
                <c:pt idx="84">
                  <c:v>2235.7554857020782</c:v>
                </c:pt>
                <c:pt idx="85">
                  <c:v>2528.9773247474595</c:v>
                </c:pt>
                <c:pt idx="86">
                  <c:v>3083.4376049073762</c:v>
                </c:pt>
                <c:pt idx="87">
                  <c:v>4803.2166508987702</c:v>
                </c:pt>
                <c:pt idx="88">
                  <c:v>4438.0932035279402</c:v>
                </c:pt>
                <c:pt idx="89">
                  <c:v>4320.7800531022067</c:v>
                </c:pt>
                <c:pt idx="90">
                  <c:v>2801.4465773491625</c:v>
                </c:pt>
                <c:pt idx="91">
                  <c:v>3502.0294808801536</c:v>
                </c:pt>
                <c:pt idx="92">
                  <c:v>3383.9838862269967</c:v>
                </c:pt>
                <c:pt idx="93">
                  <c:v>4550.5233924375134</c:v>
                </c:pt>
                <c:pt idx="94">
                  <c:v>4323.3436078981904</c:v>
                </c:pt>
                <c:pt idx="95">
                  <c:v>4061.2506485183262</c:v>
                </c:pt>
                <c:pt idx="96">
                  <c:v>3059.2669454023867</c:v>
                </c:pt>
                <c:pt idx="97">
                  <c:v>3286.8129520554216</c:v>
                </c:pt>
                <c:pt idx="98">
                  <c:v>1366.7104098635823</c:v>
                </c:pt>
                <c:pt idx="99">
                  <c:v>1555.314798425245</c:v>
                </c:pt>
                <c:pt idx="100">
                  <c:v>3554.3992431409647</c:v>
                </c:pt>
                <c:pt idx="101">
                  <c:v>2314.737388225959</c:v>
                </c:pt>
                <c:pt idx="102">
                  <c:v>4407.696768089847</c:v>
                </c:pt>
                <c:pt idx="103">
                  <c:v>3067.3238319040497</c:v>
                </c:pt>
                <c:pt idx="104">
                  <c:v>2090.8536027100436</c:v>
                </c:pt>
                <c:pt idx="105">
                  <c:v>4557.4816125980415</c:v>
                </c:pt>
                <c:pt idx="106">
                  <c:v>2911.9235816522723</c:v>
                </c:pt>
                <c:pt idx="107">
                  <c:v>3490.1882992034666</c:v>
                </c:pt>
                <c:pt idx="108">
                  <c:v>2117.2215948973053</c:v>
                </c:pt>
                <c:pt idx="109">
                  <c:v>1288.4609515671254</c:v>
                </c:pt>
                <c:pt idx="110">
                  <c:v>4201.7578661458174</c:v>
                </c:pt>
                <c:pt idx="111">
                  <c:v>3429.2733542893761</c:v>
                </c:pt>
                <c:pt idx="112">
                  <c:v>4100.8026367992188</c:v>
                </c:pt>
                <c:pt idx="113">
                  <c:v>2256.7522202215641</c:v>
                </c:pt>
                <c:pt idx="114">
                  <c:v>3579.4244209112826</c:v>
                </c:pt>
                <c:pt idx="115">
                  <c:v>1331.5530869472336</c:v>
                </c:pt>
                <c:pt idx="116">
                  <c:v>1638.9355143894772</c:v>
                </c:pt>
                <c:pt idx="117">
                  <c:v>1851.2222663045136</c:v>
                </c:pt>
                <c:pt idx="118">
                  <c:v>2333.0484939115577</c:v>
                </c:pt>
                <c:pt idx="119">
                  <c:v>1967.680898464919</c:v>
                </c:pt>
                <c:pt idx="120">
                  <c:v>4516.9530320139165</c:v>
                </c:pt>
                <c:pt idx="121">
                  <c:v>4429.5480208746603</c:v>
                </c:pt>
                <c:pt idx="122">
                  <c:v>4251.0757774590293</c:v>
                </c:pt>
                <c:pt idx="123">
                  <c:v>1387.9512924588762</c:v>
                </c:pt>
                <c:pt idx="124">
                  <c:v>4334.696493423261</c:v>
                </c:pt>
                <c:pt idx="125">
                  <c:v>1935.5754264961699</c:v>
                </c:pt>
                <c:pt idx="126">
                  <c:v>3269.1122165593433</c:v>
                </c:pt>
                <c:pt idx="127">
                  <c:v>2482.7112643818477</c:v>
                </c:pt>
                <c:pt idx="128">
                  <c:v>4330.0576799829096</c:v>
                </c:pt>
                <c:pt idx="129">
                  <c:v>2931.45542771691</c:v>
                </c:pt>
                <c:pt idx="130">
                  <c:v>4875.1182592242194</c:v>
                </c:pt>
                <c:pt idx="131">
                  <c:v>1267.0979949339276</c:v>
                </c:pt>
                <c:pt idx="132">
                  <c:v>1021.485030671102</c:v>
                </c:pt>
                <c:pt idx="133">
                  <c:v>2168.0043946653645</c:v>
                </c:pt>
                <c:pt idx="134">
                  <c:v>1896.2675862910855</c:v>
                </c:pt>
                <c:pt idx="135">
                  <c:v>2018.8299203466902</c:v>
                </c:pt>
                <c:pt idx="136">
                  <c:v>3296.9450972014529</c:v>
                </c:pt>
                <c:pt idx="137">
                  <c:v>1819.8492385631885</c:v>
                </c:pt>
                <c:pt idx="138">
                  <c:v>3295.1139866328931</c:v>
                </c:pt>
                <c:pt idx="139">
                  <c:v>1391.7355876339</c:v>
                </c:pt>
                <c:pt idx="140">
                  <c:v>4571.8863490707117</c:v>
                </c:pt>
                <c:pt idx="141">
                  <c:v>1509.4149601733452</c:v>
                </c:pt>
                <c:pt idx="142">
                  <c:v>4597.2777489547407</c:v>
                </c:pt>
                <c:pt idx="143">
                  <c:v>3631.0617389446697</c:v>
                </c:pt>
                <c:pt idx="144">
                  <c:v>1643.8184759056367</c:v>
                </c:pt>
                <c:pt idx="145">
                  <c:v>4244.6058534501171</c:v>
                </c:pt>
                <c:pt idx="146">
                  <c:v>2577.5627918332466</c:v>
                </c:pt>
                <c:pt idx="147">
                  <c:v>3015.1982177190466</c:v>
                </c:pt>
                <c:pt idx="148">
                  <c:v>3866.5425580614642</c:v>
                </c:pt>
                <c:pt idx="149">
                  <c:v>3395.9471419415872</c:v>
                </c:pt>
                <c:pt idx="150">
                  <c:v>2829.4015320291755</c:v>
                </c:pt>
                <c:pt idx="151">
                  <c:v>3649.8611407818844</c:v>
                </c:pt>
                <c:pt idx="152">
                  <c:v>2269.3258461256751</c:v>
                </c:pt>
                <c:pt idx="153">
                  <c:v>1838.038270210883</c:v>
                </c:pt>
                <c:pt idx="154">
                  <c:v>2840.5102694784387</c:v>
                </c:pt>
                <c:pt idx="155">
                  <c:v>4737.0525223548084</c:v>
                </c:pt>
                <c:pt idx="156">
                  <c:v>2247.5966673787652</c:v>
                </c:pt>
                <c:pt idx="157">
                  <c:v>4379.3755912961205</c:v>
                </c:pt>
                <c:pt idx="158">
                  <c:v>3203.1922360911894</c:v>
                </c:pt>
                <c:pt idx="159">
                  <c:v>1447.4013489181189</c:v>
                </c:pt>
                <c:pt idx="160">
                  <c:v>1447.2792748802149</c:v>
                </c:pt>
                <c:pt idx="161">
                  <c:v>2606.372264778588</c:v>
                </c:pt>
                <c:pt idx="162">
                  <c:v>1581.0724204229866</c:v>
                </c:pt>
                <c:pt idx="163">
                  <c:v>1518.4484389782403</c:v>
                </c:pt>
                <c:pt idx="164">
                  <c:v>4471.6635639515371</c:v>
                </c:pt>
                <c:pt idx="165">
                  <c:v>1267.5862910855435</c:v>
                </c:pt>
                <c:pt idx="166">
                  <c:v>2059.7247230445264</c:v>
                </c:pt>
                <c:pt idx="167">
                  <c:v>3703.4516434217353</c:v>
                </c:pt>
                <c:pt idx="168">
                  <c:v>4030.610065004425</c:v>
                </c:pt>
                <c:pt idx="169">
                  <c:v>1319.9560533463546</c:v>
                </c:pt>
                <c:pt idx="170">
                  <c:v>2504.1962950529496</c:v>
                </c:pt>
                <c:pt idx="171">
                  <c:v>2198.2787560655534</c:v>
                </c:pt>
                <c:pt idx="172">
                  <c:v>4163.0603961302531</c:v>
                </c:pt>
                <c:pt idx="173">
                  <c:v>4766.1061433759569</c:v>
                </c:pt>
                <c:pt idx="174">
                  <c:v>4549.6688741721855</c:v>
                </c:pt>
                <c:pt idx="175">
                  <c:v>3169.6218756675926</c:v>
                </c:pt>
                <c:pt idx="176">
                  <c:v>3153.2639545884581</c:v>
                </c:pt>
                <c:pt idx="177">
                  <c:v>4403.9124729148225</c:v>
                </c:pt>
                <c:pt idx="178">
                  <c:v>4850.2151554918055</c:v>
                </c:pt>
                <c:pt idx="179">
                  <c:v>1508.3162938322093</c:v>
                </c:pt>
                <c:pt idx="180">
                  <c:v>3767.0522171697135</c:v>
                </c:pt>
                <c:pt idx="181">
                  <c:v>3617.145298623615</c:v>
                </c:pt>
                <c:pt idx="182">
                  <c:v>4210.1809747611924</c:v>
                </c:pt>
                <c:pt idx="183">
                  <c:v>3936.613055818354</c:v>
                </c:pt>
                <c:pt idx="184">
                  <c:v>4434.6751304666286</c:v>
                </c:pt>
                <c:pt idx="185">
                  <c:v>1328.3791619617298</c:v>
                </c:pt>
                <c:pt idx="186">
                  <c:v>1223.1513412884915</c:v>
                </c:pt>
                <c:pt idx="187">
                  <c:v>2589.1598254341257</c:v>
                </c:pt>
                <c:pt idx="188">
                  <c:v>3002.6245918149357</c:v>
                </c:pt>
                <c:pt idx="189">
                  <c:v>3242.0117801446577</c:v>
                </c:pt>
                <c:pt idx="190">
                  <c:v>3044.251838740196</c:v>
                </c:pt>
                <c:pt idx="191">
                  <c:v>1198.7365337076938</c:v>
                </c:pt>
                <c:pt idx="192">
                  <c:v>2681.9360942411572</c:v>
                </c:pt>
                <c:pt idx="193">
                  <c:v>2500.2899258400221</c:v>
                </c:pt>
                <c:pt idx="194">
                  <c:v>3919.5226905117956</c:v>
                </c:pt>
                <c:pt idx="195">
                  <c:v>2005.6459242530595</c:v>
                </c:pt>
                <c:pt idx="196">
                  <c:v>3815.8818323313089</c:v>
                </c:pt>
                <c:pt idx="197">
                  <c:v>2880.1843317972352</c:v>
                </c:pt>
                <c:pt idx="198">
                  <c:v>4098.4832300790422</c:v>
                </c:pt>
                <c:pt idx="199">
                  <c:v>3520.3405865657519</c:v>
                </c:pt>
              </c:numCache>
            </c:numRef>
          </c:xVal>
          <c:yVal>
            <c:numRef>
              <c:f>Лист1!$C$2:$C$201</c:f>
              <c:numCache>
                <c:formatCode>0</c:formatCode>
                <c:ptCount val="200"/>
                <c:pt idx="0">
                  <c:v>3512.2403324834982</c:v>
                </c:pt>
                <c:pt idx="1">
                  <c:v>2941.9056702921193</c:v>
                </c:pt>
                <c:pt idx="2">
                  <c:v>4552.0449551579404</c:v>
                </c:pt>
                <c:pt idx="3">
                  <c:v>4712.3461818962751</c:v>
                </c:pt>
                <c:pt idx="4">
                  <c:v>7337.3570824611716</c:v>
                </c:pt>
                <c:pt idx="5">
                  <c:v>4577.4239014394698</c:v>
                </c:pt>
                <c:pt idx="6">
                  <c:v>5783.4933531906772</c:v>
                </c:pt>
                <c:pt idx="7">
                  <c:v>7908.4145004793108</c:v>
                </c:pt>
                <c:pt idx="8">
                  <c:v>3316.6356210965891</c:v>
                </c:pt>
                <c:pt idx="9">
                  <c:v>5425.2744477526303</c:v>
                </c:pt>
                <c:pt idx="10">
                  <c:v>6685.9761184817953</c:v>
                </c:pt>
                <c:pt idx="11">
                  <c:v>5993.7533466107598</c:v>
                </c:pt>
                <c:pt idx="12">
                  <c:v>7188.2183862074944</c:v>
                </c:pt>
                <c:pt idx="13">
                  <c:v>2798.6977550207657</c:v>
                </c:pt>
                <c:pt idx="14">
                  <c:v>4076.5817940579709</c:v>
                </c:pt>
                <c:pt idx="15">
                  <c:v>5825.6553091165342</c:v>
                </c:pt>
                <c:pt idx="16">
                  <c:v>3594.1230504301684</c:v>
                </c:pt>
                <c:pt idx="17">
                  <c:v>7039.2170433856854</c:v>
                </c:pt>
                <c:pt idx="18">
                  <c:v>2561.0803482979072</c:v>
                </c:pt>
                <c:pt idx="19">
                  <c:v>5366.7780745905857</c:v>
                </c:pt>
                <c:pt idx="20">
                  <c:v>6415.4542838178631</c:v>
                </c:pt>
                <c:pt idx="21">
                  <c:v>8958.3506463265148</c:v>
                </c:pt>
                <c:pt idx="22">
                  <c:v>3135.4215145485982</c:v>
                </c:pt>
                <c:pt idx="23">
                  <c:v>8543.4098626585092</c:v>
                </c:pt>
                <c:pt idx="24">
                  <c:v>6749.017595541859</c:v>
                </c:pt>
                <c:pt idx="25">
                  <c:v>5597.3501391654418</c:v>
                </c:pt>
                <c:pt idx="26">
                  <c:v>4339.9557642723721</c:v>
                </c:pt>
                <c:pt idx="27">
                  <c:v>6973.7983264162049</c:v>
                </c:pt>
                <c:pt idx="28">
                  <c:v>7291.3188878554438</c:v>
                </c:pt>
                <c:pt idx="29">
                  <c:v>6643.1479756628432</c:v>
                </c:pt>
                <c:pt idx="30">
                  <c:v>2376.9849648940112</c:v>
                </c:pt>
                <c:pt idx="31">
                  <c:v>2694.8136758226838</c:v>
                </c:pt>
                <c:pt idx="32">
                  <c:v>8004.09556097318</c:v>
                </c:pt>
                <c:pt idx="33">
                  <c:v>2771.996944991206</c:v>
                </c:pt>
                <c:pt idx="34">
                  <c:v>4363.7607540494619</c:v>
                </c:pt>
                <c:pt idx="35">
                  <c:v>7142.1947536265825</c:v>
                </c:pt>
                <c:pt idx="36">
                  <c:v>4353.512160701539</c:v>
                </c:pt>
                <c:pt idx="37">
                  <c:v>5657.3642900631103</c:v>
                </c:pt>
                <c:pt idx="38">
                  <c:v>8528.4447874643556</c:v>
                </c:pt>
                <c:pt idx="39">
                  <c:v>8594.5821608789629</c:v>
                </c:pt>
                <c:pt idx="40">
                  <c:v>6550.0564941842749</c:v>
                </c:pt>
                <c:pt idx="41">
                  <c:v>8051.6882478293646</c:v>
                </c:pt>
                <c:pt idx="42">
                  <c:v>7900.532302130373</c:v>
                </c:pt>
                <c:pt idx="43">
                  <c:v>4196.7840929326894</c:v>
                </c:pt>
                <c:pt idx="44">
                  <c:v>6380.8278695274066</c:v>
                </c:pt>
                <c:pt idx="45">
                  <c:v>1872.8446005507471</c:v>
                </c:pt>
                <c:pt idx="46">
                  <c:v>9126.5013303505257</c:v>
                </c:pt>
                <c:pt idx="47">
                  <c:v>7020.5290633149971</c:v>
                </c:pt>
                <c:pt idx="48">
                  <c:v>8123.7361730825132</c:v>
                </c:pt>
                <c:pt idx="49">
                  <c:v>5668.0701020061333</c:v>
                </c:pt>
                <c:pt idx="50">
                  <c:v>1920.8739410525668</c:v>
                </c:pt>
                <c:pt idx="51">
                  <c:v>7546.8177835019069</c:v>
                </c:pt>
                <c:pt idx="52">
                  <c:v>8906.3337379004006</c:v>
                </c:pt>
                <c:pt idx="53">
                  <c:v>4945.7571301429207</c:v>
                </c:pt>
                <c:pt idx="54">
                  <c:v>8971.9608702808291</c:v>
                </c:pt>
                <c:pt idx="55">
                  <c:v>7643.7995803680187</c:v>
                </c:pt>
                <c:pt idx="56">
                  <c:v>6803.1370483271012</c:v>
                </c:pt>
                <c:pt idx="57">
                  <c:v>8587.0315985482339</c:v>
                </c:pt>
                <c:pt idx="58">
                  <c:v>8901.0575389758087</c:v>
                </c:pt>
                <c:pt idx="59">
                  <c:v>5049.1778155504035</c:v>
                </c:pt>
                <c:pt idx="60">
                  <c:v>7291.9853722365006</c:v>
                </c:pt>
                <c:pt idx="61">
                  <c:v>5553.1813557580754</c:v>
                </c:pt>
                <c:pt idx="62">
                  <c:v>5691.4676792651726</c:v>
                </c:pt>
                <c:pt idx="63">
                  <c:v>8047.3346239065904</c:v>
                </c:pt>
                <c:pt idx="64">
                  <c:v>3763.4295554568666</c:v>
                </c:pt>
                <c:pt idx="65">
                  <c:v>6472.2149315003626</c:v>
                </c:pt>
                <c:pt idx="66">
                  <c:v>6533.0690803131556</c:v>
                </c:pt>
                <c:pt idx="67">
                  <c:v>6379.2390368859524</c:v>
                </c:pt>
                <c:pt idx="68">
                  <c:v>7610.4241034366287</c:v>
                </c:pt>
                <c:pt idx="69">
                  <c:v>7949.0992825696094</c:v>
                </c:pt>
                <c:pt idx="70">
                  <c:v>3455.2750165715979</c:v>
                </c:pt>
                <c:pt idx="71">
                  <c:v>4662.8327568418736</c:v>
                </c:pt>
                <c:pt idx="72">
                  <c:v>3035.509340679977</c:v>
                </c:pt>
                <c:pt idx="73">
                  <c:v>7965.5920912433503</c:v>
                </c:pt>
                <c:pt idx="74">
                  <c:v>5814.2601429377673</c:v>
                </c:pt>
                <c:pt idx="75">
                  <c:v>4571.1556456459803</c:v>
                </c:pt>
                <c:pt idx="76">
                  <c:v>7271.8157900954093</c:v>
                </c:pt>
                <c:pt idx="77">
                  <c:v>3395.4132603196376</c:v>
                </c:pt>
                <c:pt idx="78">
                  <c:v>5275.7453714544699</c:v>
                </c:pt>
                <c:pt idx="79">
                  <c:v>3849.2627091748213</c:v>
                </c:pt>
                <c:pt idx="80">
                  <c:v>8401.7057566550156</c:v>
                </c:pt>
                <c:pt idx="81">
                  <c:v>7268.5709868836575</c:v>
                </c:pt>
                <c:pt idx="82">
                  <c:v>4407.5478610708224</c:v>
                </c:pt>
                <c:pt idx="83">
                  <c:v>2761.9387443706532</c:v>
                </c:pt>
                <c:pt idx="84">
                  <c:v>4637.4189760047848</c:v>
                </c:pt>
                <c:pt idx="85">
                  <c:v>5084.4305451764376</c:v>
                </c:pt>
                <c:pt idx="86">
                  <c:v>6487.7031005207537</c:v>
                </c:pt>
                <c:pt idx="87">
                  <c:v>9738.9934287380274</c:v>
                </c:pt>
                <c:pt idx="88">
                  <c:v>7712.4424773510364</c:v>
                </c:pt>
                <c:pt idx="89">
                  <c:v>7238.7889276589613</c:v>
                </c:pt>
                <c:pt idx="90">
                  <c:v>5770.2628295633294</c:v>
                </c:pt>
                <c:pt idx="91">
                  <c:v>6964.8023729374727</c:v>
                </c:pt>
                <c:pt idx="92">
                  <c:v>6999.9154563665606</c:v>
                </c:pt>
                <c:pt idx="93">
                  <c:v>8919.602125781752</c:v>
                </c:pt>
                <c:pt idx="94">
                  <c:v>9108.7271204588615</c:v>
                </c:pt>
                <c:pt idx="95">
                  <c:v>7448.8275323611451</c:v>
                </c:pt>
                <c:pt idx="96">
                  <c:v>6582.3574929157412</c:v>
                </c:pt>
                <c:pt idx="97">
                  <c:v>6856.7485358636977</c:v>
                </c:pt>
                <c:pt idx="98">
                  <c:v>3604.8559201622938</c:v>
                </c:pt>
                <c:pt idx="99">
                  <c:v>3391.3151908802865</c:v>
                </c:pt>
                <c:pt idx="100">
                  <c:v>6867.7066337054493</c:v>
                </c:pt>
                <c:pt idx="101">
                  <c:v>5041.1198643186981</c:v>
                </c:pt>
                <c:pt idx="102">
                  <c:v>9435.8282658133649</c:v>
                </c:pt>
                <c:pt idx="103">
                  <c:v>5681.9175559090127</c:v>
                </c:pt>
                <c:pt idx="104">
                  <c:v>3642.902352881998</c:v>
                </c:pt>
                <c:pt idx="105">
                  <c:v>8460.3985919707357</c:v>
                </c:pt>
                <c:pt idx="106">
                  <c:v>5990.0671683892015</c:v>
                </c:pt>
                <c:pt idx="107">
                  <c:v>7023.6942440309767</c:v>
                </c:pt>
                <c:pt idx="108">
                  <c:v>3603.5927714369409</c:v>
                </c:pt>
                <c:pt idx="109">
                  <c:v>2951.8267077853884</c:v>
                </c:pt>
                <c:pt idx="110">
                  <c:v>6957.8697888719853</c:v>
                </c:pt>
                <c:pt idx="111">
                  <c:v>5846.055116637307</c:v>
                </c:pt>
                <c:pt idx="112">
                  <c:v>8028.4360454300586</c:v>
                </c:pt>
                <c:pt idx="113">
                  <c:v>4503.9301909791975</c:v>
                </c:pt>
                <c:pt idx="114">
                  <c:v>7434.583398593345</c:v>
                </c:pt>
                <c:pt idx="115">
                  <c:v>2412.5289790857933</c:v>
                </c:pt>
                <c:pt idx="116">
                  <c:v>3955.9325410150864</c:v>
                </c:pt>
                <c:pt idx="117">
                  <c:v>3901.6160540965075</c:v>
                </c:pt>
                <c:pt idx="118">
                  <c:v>4645.5053819062587</c:v>
                </c:pt>
                <c:pt idx="119">
                  <c:v>3675.9547965191759</c:v>
                </c:pt>
                <c:pt idx="120">
                  <c:v>8004.9395362364921</c:v>
                </c:pt>
                <c:pt idx="121">
                  <c:v>7181.2958701362404</c:v>
                </c:pt>
                <c:pt idx="122">
                  <c:v>8101.0457555547127</c:v>
                </c:pt>
                <c:pt idx="123">
                  <c:v>3959.2401539101793</c:v>
                </c:pt>
                <c:pt idx="124">
                  <c:v>8631.5279505425697</c:v>
                </c:pt>
                <c:pt idx="125">
                  <c:v>3755.1206845571396</c:v>
                </c:pt>
                <c:pt idx="126">
                  <c:v>6722.7395425073082</c:v>
                </c:pt>
                <c:pt idx="127">
                  <c:v>5138.1342812641278</c:v>
                </c:pt>
                <c:pt idx="128">
                  <c:v>8678.7920406299818</c:v>
                </c:pt>
                <c:pt idx="129">
                  <c:v>6644.1495522414571</c:v>
                </c:pt>
                <c:pt idx="130">
                  <c:v>9850.6254721609366</c:v>
                </c:pt>
                <c:pt idx="131">
                  <c:v>2807.5300398756453</c:v>
                </c:pt>
                <c:pt idx="132">
                  <c:v>4131.3744531576058</c:v>
                </c:pt>
                <c:pt idx="133">
                  <c:v>5156.6392030907627</c:v>
                </c:pt>
                <c:pt idx="134">
                  <c:v>5027.562725640686</c:v>
                </c:pt>
                <c:pt idx="135">
                  <c:v>3772.1521721874651</c:v>
                </c:pt>
                <c:pt idx="136">
                  <c:v>6767.1718831953676</c:v>
                </c:pt>
                <c:pt idx="137">
                  <c:v>4570.8969347073589</c:v>
                </c:pt>
                <c:pt idx="138">
                  <c:v>6929.1312980431258</c:v>
                </c:pt>
                <c:pt idx="139">
                  <c:v>4088.2149802981771</c:v>
                </c:pt>
                <c:pt idx="140">
                  <c:v>8154.1205001018716</c:v>
                </c:pt>
                <c:pt idx="141">
                  <c:v>4408.2543273717492</c:v>
                </c:pt>
                <c:pt idx="142">
                  <c:v>8679.0157494655068</c:v>
                </c:pt>
                <c:pt idx="143">
                  <c:v>7204.0585487883081</c:v>
                </c:pt>
                <c:pt idx="144">
                  <c:v>3563.8492753931091</c:v>
                </c:pt>
                <c:pt idx="145">
                  <c:v>8246.4271662120918</c:v>
                </c:pt>
                <c:pt idx="146">
                  <c:v>5113.4075892549381</c:v>
                </c:pt>
                <c:pt idx="147">
                  <c:v>6439.9631556618979</c:v>
                </c:pt>
                <c:pt idx="148">
                  <c:v>7532.0762784832459</c:v>
                </c:pt>
                <c:pt idx="149">
                  <c:v>6511.7668388529555</c:v>
                </c:pt>
                <c:pt idx="150">
                  <c:v>6362.2852441532414</c:v>
                </c:pt>
                <c:pt idx="151">
                  <c:v>5959.9264269145397</c:v>
                </c:pt>
                <c:pt idx="152">
                  <c:v>4227.4428344017469</c:v>
                </c:pt>
                <c:pt idx="153">
                  <c:v>2744.9635941025458</c:v>
                </c:pt>
                <c:pt idx="154">
                  <c:v>5579.3270344716129</c:v>
                </c:pt>
                <c:pt idx="155">
                  <c:v>8765.5263909405439</c:v>
                </c:pt>
                <c:pt idx="156">
                  <c:v>4795.1751661799235</c:v>
                </c:pt>
                <c:pt idx="157">
                  <c:v>7289.6162070575811</c:v>
                </c:pt>
                <c:pt idx="158">
                  <c:v>6494.8243013540505</c:v>
                </c:pt>
                <c:pt idx="159">
                  <c:v>3438.3310509452067</c:v>
                </c:pt>
                <c:pt idx="160">
                  <c:v>3809.3750773875609</c:v>
                </c:pt>
                <c:pt idx="161">
                  <c:v>4809.2458248521561</c:v>
                </c:pt>
                <c:pt idx="162">
                  <c:v>3901.5254186737184</c:v>
                </c:pt>
                <c:pt idx="163">
                  <c:v>3136.6327569819719</c:v>
                </c:pt>
                <c:pt idx="164">
                  <c:v>8726.331620980749</c:v>
                </c:pt>
                <c:pt idx="165">
                  <c:v>1910.1000595700625</c:v>
                </c:pt>
                <c:pt idx="166">
                  <c:v>4160.6029761585069</c:v>
                </c:pt>
                <c:pt idx="167">
                  <c:v>7527.3386395446796</c:v>
                </c:pt>
                <c:pt idx="168">
                  <c:v>7048.5152870494112</c:v>
                </c:pt>
                <c:pt idx="169">
                  <c:v>2900.487135247929</c:v>
                </c:pt>
                <c:pt idx="170">
                  <c:v>5611.4027120659466</c:v>
                </c:pt>
                <c:pt idx="171">
                  <c:v>4410.35901710694</c:v>
                </c:pt>
                <c:pt idx="172">
                  <c:v>8165.2346009900675</c:v>
                </c:pt>
                <c:pt idx="173">
                  <c:v>9627.9789893291418</c:v>
                </c:pt>
                <c:pt idx="174">
                  <c:v>8144.4461469472299</c:v>
                </c:pt>
                <c:pt idx="175">
                  <c:v>6557.4087097995225</c:v>
                </c:pt>
                <c:pt idx="176">
                  <c:v>5685.6380790033245</c:v>
                </c:pt>
                <c:pt idx="177">
                  <c:v>8180.7309694843279</c:v>
                </c:pt>
                <c:pt idx="178">
                  <c:v>9501.8612514713132</c:v>
                </c:pt>
                <c:pt idx="179">
                  <c:v>3564.4101872556816</c:v>
                </c:pt>
                <c:pt idx="180">
                  <c:v>8310.6645220104947</c:v>
                </c:pt>
                <c:pt idx="181">
                  <c:v>7429.0815213807291</c:v>
                </c:pt>
                <c:pt idx="182">
                  <c:v>8816.677011139036</c:v>
                </c:pt>
                <c:pt idx="183">
                  <c:v>8886.491345144259</c:v>
                </c:pt>
                <c:pt idx="184">
                  <c:v>8916.9974527307459</c:v>
                </c:pt>
                <c:pt idx="185">
                  <c:v>3536.0956631815766</c:v>
                </c:pt>
                <c:pt idx="186">
                  <c:v>2606.6441916040608</c:v>
                </c:pt>
                <c:pt idx="187">
                  <c:v>5359.0576366108908</c:v>
                </c:pt>
                <c:pt idx="188">
                  <c:v>6640.922604755573</c:v>
                </c:pt>
                <c:pt idx="189">
                  <c:v>5446.2982173566188</c:v>
                </c:pt>
                <c:pt idx="190">
                  <c:v>6025.879003967173</c:v>
                </c:pt>
                <c:pt idx="191">
                  <c:v>2573.6392410018971</c:v>
                </c:pt>
                <c:pt idx="192">
                  <c:v>5080.7663368033891</c:v>
                </c:pt>
                <c:pt idx="193">
                  <c:v>4330.1274606496827</c:v>
                </c:pt>
                <c:pt idx="194">
                  <c:v>5546.6219443988175</c:v>
                </c:pt>
                <c:pt idx="195">
                  <c:v>5078.4119330287831</c:v>
                </c:pt>
                <c:pt idx="196">
                  <c:v>6263.4887221233967</c:v>
                </c:pt>
                <c:pt idx="197">
                  <c:v>6164.7407076212039</c:v>
                </c:pt>
                <c:pt idx="198">
                  <c:v>7637.3089478875008</c:v>
                </c:pt>
                <c:pt idx="199">
                  <c:v>7042.6030749127376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1-49B9-9355-983001DA6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227327"/>
        <c:axId val="1058230687"/>
      </c:scatterChart>
      <c:valAx>
        <c:axId val="105822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8230687"/>
        <c:crosses val="autoZero"/>
        <c:crossBetween val="midCat"/>
      </c:valAx>
      <c:valAx>
        <c:axId val="105823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8227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</a:t>
            </a:r>
            <a:r>
              <a:rPr lang="ru-RU" baseline="0"/>
              <a:t> регрессии</a:t>
            </a:r>
            <a:endParaRPr lang="ru-RU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у</c:v>
          </c:tx>
          <c:spPr>
            <a:ln w="19050">
              <a:noFill/>
            </a:ln>
          </c:spPr>
          <c:xVal>
            <c:numRef>
              <c:f>Лист1!$B$2:$B$201</c:f>
              <c:numCache>
                <c:formatCode>0</c:formatCode>
                <c:ptCount val="200"/>
                <c:pt idx="0">
                  <c:v>1496.5971861934263</c:v>
                </c:pt>
                <c:pt idx="1">
                  <c:v>1026.0017700735496</c:v>
                </c:pt>
                <c:pt idx="2">
                  <c:v>2557.7867976928005</c:v>
                </c:pt>
                <c:pt idx="3">
                  <c:v>2069.1244239631337</c:v>
                </c:pt>
                <c:pt idx="4">
                  <c:v>3814.5390179143651</c:v>
                </c:pt>
                <c:pt idx="5">
                  <c:v>1942.0453505050814</c:v>
                </c:pt>
                <c:pt idx="6">
                  <c:v>2864.5588549455242</c:v>
                </c:pt>
                <c:pt idx="7">
                  <c:v>3991.7905209509568</c:v>
                </c:pt>
                <c:pt idx="8">
                  <c:v>1495.1322977385785</c:v>
                </c:pt>
                <c:pt idx="9">
                  <c:v>2624.0730002746668</c:v>
                </c:pt>
                <c:pt idx="10">
                  <c:v>3434.7666859950559</c:v>
                </c:pt>
                <c:pt idx="11">
                  <c:v>3065.248573259682</c:v>
                </c:pt>
                <c:pt idx="12">
                  <c:v>4023.8959929197058</c:v>
                </c:pt>
                <c:pt idx="13">
                  <c:v>1486.2208929715873</c:v>
                </c:pt>
                <c:pt idx="14">
                  <c:v>2418.2561723685417</c:v>
                </c:pt>
                <c:pt idx="15">
                  <c:v>2662.7704702902311</c:v>
                </c:pt>
                <c:pt idx="16">
                  <c:v>1813.9896847437972</c:v>
                </c:pt>
                <c:pt idx="17">
                  <c:v>3687.9482406079287</c:v>
                </c:pt>
                <c:pt idx="18">
                  <c:v>1135.7463301492355</c:v>
                </c:pt>
                <c:pt idx="19">
                  <c:v>2425.2143925290688</c:v>
                </c:pt>
                <c:pt idx="20">
                  <c:v>3132.5113681447797</c:v>
                </c:pt>
                <c:pt idx="21">
                  <c:v>4860.4693746757403</c:v>
                </c:pt>
                <c:pt idx="22">
                  <c:v>1398.4496597186194</c:v>
                </c:pt>
                <c:pt idx="23">
                  <c:v>4804.6815393536181</c:v>
                </c:pt>
                <c:pt idx="24">
                  <c:v>2968.6880092776269</c:v>
                </c:pt>
                <c:pt idx="25">
                  <c:v>2998.3520004882962</c:v>
                </c:pt>
                <c:pt idx="26">
                  <c:v>2333.6588641010776</c:v>
                </c:pt>
                <c:pt idx="27">
                  <c:v>3084.4141972106081</c:v>
                </c:pt>
                <c:pt idx="28">
                  <c:v>3474.806970427564</c:v>
                </c:pt>
                <c:pt idx="29">
                  <c:v>3639.8510696737571</c:v>
                </c:pt>
                <c:pt idx="30">
                  <c:v>1345.2253791924802</c:v>
                </c:pt>
                <c:pt idx="31">
                  <c:v>1000.4882961516159</c:v>
                </c:pt>
                <c:pt idx="32">
                  <c:v>3600.5432294686725</c:v>
                </c:pt>
                <c:pt idx="33">
                  <c:v>1460.0970488601338</c:v>
                </c:pt>
                <c:pt idx="34">
                  <c:v>1830.2255317850277</c:v>
                </c:pt>
                <c:pt idx="35">
                  <c:v>4090.1821955015716</c:v>
                </c:pt>
                <c:pt idx="36">
                  <c:v>1549.4552446058535</c:v>
                </c:pt>
                <c:pt idx="37">
                  <c:v>3405.9572130497145</c:v>
                </c:pt>
                <c:pt idx="38">
                  <c:v>4279.5190282906588</c:v>
                </c:pt>
                <c:pt idx="39">
                  <c:v>4890.7437360759304</c:v>
                </c:pt>
                <c:pt idx="40">
                  <c:v>3679.2809839167453</c:v>
                </c:pt>
                <c:pt idx="41">
                  <c:v>4491.8057802056946</c:v>
                </c:pt>
                <c:pt idx="42">
                  <c:v>3385.0825525681325</c:v>
                </c:pt>
                <c:pt idx="43">
                  <c:v>2116.9774468214973</c:v>
                </c:pt>
                <c:pt idx="44">
                  <c:v>3473.0979338969082</c:v>
                </c:pt>
                <c:pt idx="45">
                  <c:v>1387.2188482314523</c:v>
                </c:pt>
                <c:pt idx="46">
                  <c:v>3781.2128055665762</c:v>
                </c:pt>
                <c:pt idx="47">
                  <c:v>3938.3220923490098</c:v>
                </c:pt>
                <c:pt idx="48">
                  <c:v>4206.3966795861688</c:v>
                </c:pt>
                <c:pt idx="49">
                  <c:v>2916.9286172063357</c:v>
                </c:pt>
                <c:pt idx="50">
                  <c:v>1043.0921353801079</c:v>
                </c:pt>
                <c:pt idx="51">
                  <c:v>3482.8638569292275</c:v>
                </c:pt>
                <c:pt idx="52">
                  <c:v>4933.2255012665182</c:v>
                </c:pt>
                <c:pt idx="53">
                  <c:v>2600.0244148075808</c:v>
                </c:pt>
                <c:pt idx="54">
                  <c:v>4567.8579058198793</c:v>
                </c:pt>
                <c:pt idx="55">
                  <c:v>4694.5707571642197</c:v>
                </c:pt>
                <c:pt idx="56">
                  <c:v>3418.4087649159214</c:v>
                </c:pt>
                <c:pt idx="57">
                  <c:v>4354.4724875637075</c:v>
                </c:pt>
                <c:pt idx="58">
                  <c:v>4963.4998626667075</c:v>
                </c:pt>
                <c:pt idx="59">
                  <c:v>2664.2353587450789</c:v>
                </c:pt>
                <c:pt idx="60">
                  <c:v>3640.705587939085</c:v>
                </c:pt>
                <c:pt idx="61">
                  <c:v>2488.6928922391435</c:v>
                </c:pt>
                <c:pt idx="62">
                  <c:v>2571.5811639759513</c:v>
                </c:pt>
                <c:pt idx="63">
                  <c:v>4564.9281289101837</c:v>
                </c:pt>
                <c:pt idx="64">
                  <c:v>1489.5168919949949</c:v>
                </c:pt>
                <c:pt idx="65">
                  <c:v>3109.195226905118</c:v>
                </c:pt>
                <c:pt idx="66">
                  <c:v>3746.7879268776514</c:v>
                </c:pt>
                <c:pt idx="67">
                  <c:v>3311.7160557878356</c:v>
                </c:pt>
                <c:pt idx="68">
                  <c:v>4284.1578417310102</c:v>
                </c:pt>
                <c:pt idx="69">
                  <c:v>4066.2556840723896</c:v>
                </c:pt>
                <c:pt idx="70">
                  <c:v>1518.6925870540483</c:v>
                </c:pt>
                <c:pt idx="71">
                  <c:v>2074.3736075930055</c:v>
                </c:pt>
                <c:pt idx="72">
                  <c:v>1735.4960783715323</c:v>
                </c:pt>
                <c:pt idx="73">
                  <c:v>4563.0970183416248</c:v>
                </c:pt>
                <c:pt idx="74">
                  <c:v>3263.863032929472</c:v>
                </c:pt>
                <c:pt idx="75">
                  <c:v>1766.1366618854336</c:v>
                </c:pt>
                <c:pt idx="76">
                  <c:v>3981.902523880734</c:v>
                </c:pt>
                <c:pt idx="77">
                  <c:v>1555.314798425245</c:v>
                </c:pt>
                <c:pt idx="78">
                  <c:v>2006.8666646320994</c:v>
                </c:pt>
                <c:pt idx="79">
                  <c:v>1633.4421826837977</c:v>
                </c:pt>
                <c:pt idx="80">
                  <c:v>4316.0191656239513</c:v>
                </c:pt>
                <c:pt idx="81">
                  <c:v>4064.5466475417338</c:v>
                </c:pt>
                <c:pt idx="82">
                  <c:v>1983.5505233924375</c:v>
                </c:pt>
                <c:pt idx="83">
                  <c:v>1073.7327188940092</c:v>
                </c:pt>
                <c:pt idx="84">
                  <c:v>2235.7554857020782</c:v>
                </c:pt>
                <c:pt idx="85">
                  <c:v>2528.9773247474595</c:v>
                </c:pt>
                <c:pt idx="86">
                  <c:v>3083.4376049073762</c:v>
                </c:pt>
                <c:pt idx="87">
                  <c:v>4803.2166508987702</c:v>
                </c:pt>
                <c:pt idx="88">
                  <c:v>4438.0932035279402</c:v>
                </c:pt>
                <c:pt idx="89">
                  <c:v>4320.7800531022067</c:v>
                </c:pt>
                <c:pt idx="90">
                  <c:v>2801.4465773491625</c:v>
                </c:pt>
                <c:pt idx="91">
                  <c:v>3502.0294808801536</c:v>
                </c:pt>
                <c:pt idx="92">
                  <c:v>3383.9838862269967</c:v>
                </c:pt>
                <c:pt idx="93">
                  <c:v>4550.5233924375134</c:v>
                </c:pt>
                <c:pt idx="94">
                  <c:v>4323.3436078981904</c:v>
                </c:pt>
                <c:pt idx="95">
                  <c:v>4061.2506485183262</c:v>
                </c:pt>
                <c:pt idx="96">
                  <c:v>3059.2669454023867</c:v>
                </c:pt>
                <c:pt idx="97">
                  <c:v>3286.8129520554216</c:v>
                </c:pt>
                <c:pt idx="98">
                  <c:v>1366.7104098635823</c:v>
                </c:pt>
                <c:pt idx="99">
                  <c:v>1555.314798425245</c:v>
                </c:pt>
                <c:pt idx="100">
                  <c:v>3554.3992431409647</c:v>
                </c:pt>
                <c:pt idx="101">
                  <c:v>2314.737388225959</c:v>
                </c:pt>
                <c:pt idx="102">
                  <c:v>4407.696768089847</c:v>
                </c:pt>
                <c:pt idx="103">
                  <c:v>3067.3238319040497</c:v>
                </c:pt>
                <c:pt idx="104">
                  <c:v>2090.8536027100436</c:v>
                </c:pt>
                <c:pt idx="105">
                  <c:v>4557.4816125980415</c:v>
                </c:pt>
                <c:pt idx="106">
                  <c:v>2911.9235816522723</c:v>
                </c:pt>
                <c:pt idx="107">
                  <c:v>3490.1882992034666</c:v>
                </c:pt>
                <c:pt idx="108">
                  <c:v>2117.2215948973053</c:v>
                </c:pt>
                <c:pt idx="109">
                  <c:v>1288.4609515671254</c:v>
                </c:pt>
                <c:pt idx="110">
                  <c:v>4201.7578661458174</c:v>
                </c:pt>
                <c:pt idx="111">
                  <c:v>3429.2733542893761</c:v>
                </c:pt>
                <c:pt idx="112">
                  <c:v>4100.8026367992188</c:v>
                </c:pt>
                <c:pt idx="113">
                  <c:v>2256.7522202215641</c:v>
                </c:pt>
                <c:pt idx="114">
                  <c:v>3579.4244209112826</c:v>
                </c:pt>
                <c:pt idx="115">
                  <c:v>1331.5530869472336</c:v>
                </c:pt>
                <c:pt idx="116">
                  <c:v>1638.9355143894772</c:v>
                </c:pt>
                <c:pt idx="117">
                  <c:v>1851.2222663045136</c:v>
                </c:pt>
                <c:pt idx="118">
                  <c:v>2333.0484939115577</c:v>
                </c:pt>
                <c:pt idx="119">
                  <c:v>1967.680898464919</c:v>
                </c:pt>
                <c:pt idx="120">
                  <c:v>4516.9530320139165</c:v>
                </c:pt>
                <c:pt idx="121">
                  <c:v>4429.5480208746603</c:v>
                </c:pt>
                <c:pt idx="122">
                  <c:v>4251.0757774590293</c:v>
                </c:pt>
                <c:pt idx="123">
                  <c:v>1387.9512924588762</c:v>
                </c:pt>
                <c:pt idx="124">
                  <c:v>4334.696493423261</c:v>
                </c:pt>
                <c:pt idx="125">
                  <c:v>1935.5754264961699</c:v>
                </c:pt>
                <c:pt idx="126">
                  <c:v>3269.1122165593433</c:v>
                </c:pt>
                <c:pt idx="127">
                  <c:v>2482.7112643818477</c:v>
                </c:pt>
                <c:pt idx="128">
                  <c:v>4330.0576799829096</c:v>
                </c:pt>
                <c:pt idx="129">
                  <c:v>2931.45542771691</c:v>
                </c:pt>
                <c:pt idx="130">
                  <c:v>4875.1182592242194</c:v>
                </c:pt>
                <c:pt idx="131">
                  <c:v>1267.0979949339276</c:v>
                </c:pt>
                <c:pt idx="132">
                  <c:v>1021.485030671102</c:v>
                </c:pt>
                <c:pt idx="133">
                  <c:v>2168.0043946653645</c:v>
                </c:pt>
                <c:pt idx="134">
                  <c:v>1896.2675862910855</c:v>
                </c:pt>
                <c:pt idx="135">
                  <c:v>2018.8299203466902</c:v>
                </c:pt>
                <c:pt idx="136">
                  <c:v>3296.9450972014529</c:v>
                </c:pt>
                <c:pt idx="137">
                  <c:v>1819.8492385631885</c:v>
                </c:pt>
                <c:pt idx="138">
                  <c:v>3295.1139866328931</c:v>
                </c:pt>
                <c:pt idx="139">
                  <c:v>1391.7355876339</c:v>
                </c:pt>
                <c:pt idx="140">
                  <c:v>4571.8863490707117</c:v>
                </c:pt>
                <c:pt idx="141">
                  <c:v>1509.4149601733452</c:v>
                </c:pt>
                <c:pt idx="142">
                  <c:v>4597.2777489547407</c:v>
                </c:pt>
                <c:pt idx="143">
                  <c:v>3631.0617389446697</c:v>
                </c:pt>
                <c:pt idx="144">
                  <c:v>1643.8184759056367</c:v>
                </c:pt>
                <c:pt idx="145">
                  <c:v>4244.6058534501171</c:v>
                </c:pt>
                <c:pt idx="146">
                  <c:v>2577.5627918332466</c:v>
                </c:pt>
                <c:pt idx="147">
                  <c:v>3015.1982177190466</c:v>
                </c:pt>
                <c:pt idx="148">
                  <c:v>3866.5425580614642</c:v>
                </c:pt>
                <c:pt idx="149">
                  <c:v>3395.9471419415872</c:v>
                </c:pt>
                <c:pt idx="150">
                  <c:v>2829.4015320291755</c:v>
                </c:pt>
                <c:pt idx="151">
                  <c:v>3649.8611407818844</c:v>
                </c:pt>
                <c:pt idx="152">
                  <c:v>2269.3258461256751</c:v>
                </c:pt>
                <c:pt idx="153">
                  <c:v>1838.038270210883</c:v>
                </c:pt>
                <c:pt idx="154">
                  <c:v>2840.5102694784387</c:v>
                </c:pt>
                <c:pt idx="155">
                  <c:v>4737.0525223548084</c:v>
                </c:pt>
                <c:pt idx="156">
                  <c:v>2247.5966673787652</c:v>
                </c:pt>
                <c:pt idx="157">
                  <c:v>4379.3755912961205</c:v>
                </c:pt>
                <c:pt idx="158">
                  <c:v>3203.1922360911894</c:v>
                </c:pt>
                <c:pt idx="159">
                  <c:v>1447.4013489181189</c:v>
                </c:pt>
                <c:pt idx="160">
                  <c:v>1447.2792748802149</c:v>
                </c:pt>
                <c:pt idx="161">
                  <c:v>2606.372264778588</c:v>
                </c:pt>
                <c:pt idx="162">
                  <c:v>1581.0724204229866</c:v>
                </c:pt>
                <c:pt idx="163">
                  <c:v>1518.4484389782403</c:v>
                </c:pt>
                <c:pt idx="164">
                  <c:v>4471.6635639515371</c:v>
                </c:pt>
                <c:pt idx="165">
                  <c:v>1267.5862910855435</c:v>
                </c:pt>
                <c:pt idx="166">
                  <c:v>2059.7247230445264</c:v>
                </c:pt>
                <c:pt idx="167">
                  <c:v>3703.4516434217353</c:v>
                </c:pt>
                <c:pt idx="168">
                  <c:v>4030.610065004425</c:v>
                </c:pt>
                <c:pt idx="169">
                  <c:v>1319.9560533463546</c:v>
                </c:pt>
                <c:pt idx="170">
                  <c:v>2504.1962950529496</c:v>
                </c:pt>
                <c:pt idx="171">
                  <c:v>2198.2787560655534</c:v>
                </c:pt>
                <c:pt idx="172">
                  <c:v>4163.0603961302531</c:v>
                </c:pt>
                <c:pt idx="173">
                  <c:v>4766.1061433759569</c:v>
                </c:pt>
                <c:pt idx="174">
                  <c:v>4549.6688741721855</c:v>
                </c:pt>
                <c:pt idx="175">
                  <c:v>3169.6218756675926</c:v>
                </c:pt>
                <c:pt idx="176">
                  <c:v>3153.2639545884581</c:v>
                </c:pt>
                <c:pt idx="177">
                  <c:v>4403.9124729148225</c:v>
                </c:pt>
                <c:pt idx="178">
                  <c:v>4850.2151554918055</c:v>
                </c:pt>
                <c:pt idx="179">
                  <c:v>1508.3162938322093</c:v>
                </c:pt>
                <c:pt idx="180">
                  <c:v>3767.0522171697135</c:v>
                </c:pt>
                <c:pt idx="181">
                  <c:v>3617.145298623615</c:v>
                </c:pt>
                <c:pt idx="182">
                  <c:v>4210.1809747611924</c:v>
                </c:pt>
                <c:pt idx="183">
                  <c:v>3936.613055818354</c:v>
                </c:pt>
                <c:pt idx="184">
                  <c:v>4434.6751304666286</c:v>
                </c:pt>
                <c:pt idx="185">
                  <c:v>1328.3791619617298</c:v>
                </c:pt>
                <c:pt idx="186">
                  <c:v>1223.1513412884915</c:v>
                </c:pt>
                <c:pt idx="187">
                  <c:v>2589.1598254341257</c:v>
                </c:pt>
                <c:pt idx="188">
                  <c:v>3002.6245918149357</c:v>
                </c:pt>
                <c:pt idx="189">
                  <c:v>3242.0117801446577</c:v>
                </c:pt>
                <c:pt idx="190">
                  <c:v>3044.251838740196</c:v>
                </c:pt>
                <c:pt idx="191">
                  <c:v>1198.7365337076938</c:v>
                </c:pt>
                <c:pt idx="192">
                  <c:v>2681.9360942411572</c:v>
                </c:pt>
                <c:pt idx="193">
                  <c:v>2500.2899258400221</c:v>
                </c:pt>
                <c:pt idx="194">
                  <c:v>3919.5226905117956</c:v>
                </c:pt>
                <c:pt idx="195">
                  <c:v>2005.6459242530595</c:v>
                </c:pt>
                <c:pt idx="196">
                  <c:v>3815.8818323313089</c:v>
                </c:pt>
                <c:pt idx="197">
                  <c:v>2880.1843317972352</c:v>
                </c:pt>
                <c:pt idx="198">
                  <c:v>4098.4832300790422</c:v>
                </c:pt>
                <c:pt idx="199">
                  <c:v>3520.3405865657519</c:v>
                </c:pt>
              </c:numCache>
            </c:numRef>
          </c:xVal>
          <c:yVal>
            <c:numRef>
              <c:f>Лист1!$C$2:$C$201</c:f>
              <c:numCache>
                <c:formatCode>0</c:formatCode>
                <c:ptCount val="200"/>
                <c:pt idx="0">
                  <c:v>3512.2403324834982</c:v>
                </c:pt>
                <c:pt idx="1">
                  <c:v>2941.9056702921193</c:v>
                </c:pt>
                <c:pt idx="2">
                  <c:v>4552.0449551579404</c:v>
                </c:pt>
                <c:pt idx="3">
                  <c:v>4712.3461818962751</c:v>
                </c:pt>
                <c:pt idx="4">
                  <c:v>7337.3570824611716</c:v>
                </c:pt>
                <c:pt idx="5">
                  <c:v>4577.4239014394698</c:v>
                </c:pt>
                <c:pt idx="6">
                  <c:v>5783.4933531906772</c:v>
                </c:pt>
                <c:pt idx="7">
                  <c:v>7908.4145004793108</c:v>
                </c:pt>
                <c:pt idx="8">
                  <c:v>3316.6356210965891</c:v>
                </c:pt>
                <c:pt idx="9">
                  <c:v>5425.2744477526303</c:v>
                </c:pt>
                <c:pt idx="10">
                  <c:v>6685.9761184817953</c:v>
                </c:pt>
                <c:pt idx="11">
                  <c:v>5993.7533466107598</c:v>
                </c:pt>
                <c:pt idx="12">
                  <c:v>7188.2183862074944</c:v>
                </c:pt>
                <c:pt idx="13">
                  <c:v>2798.6977550207657</c:v>
                </c:pt>
                <c:pt idx="14">
                  <c:v>4076.5817940579709</c:v>
                </c:pt>
                <c:pt idx="15">
                  <c:v>5825.6553091165342</c:v>
                </c:pt>
                <c:pt idx="16">
                  <c:v>3594.1230504301684</c:v>
                </c:pt>
                <c:pt idx="17">
                  <c:v>7039.2170433856854</c:v>
                </c:pt>
                <c:pt idx="18">
                  <c:v>2561.0803482979072</c:v>
                </c:pt>
                <c:pt idx="19">
                  <c:v>5366.7780745905857</c:v>
                </c:pt>
                <c:pt idx="20">
                  <c:v>6415.4542838178631</c:v>
                </c:pt>
                <c:pt idx="21">
                  <c:v>8958.3506463265148</c:v>
                </c:pt>
                <c:pt idx="22">
                  <c:v>3135.4215145485982</c:v>
                </c:pt>
                <c:pt idx="23">
                  <c:v>8543.4098626585092</c:v>
                </c:pt>
                <c:pt idx="24">
                  <c:v>6749.017595541859</c:v>
                </c:pt>
                <c:pt idx="25">
                  <c:v>5597.3501391654418</c:v>
                </c:pt>
                <c:pt idx="26">
                  <c:v>4339.9557642723721</c:v>
                </c:pt>
                <c:pt idx="27">
                  <c:v>6973.7983264162049</c:v>
                </c:pt>
                <c:pt idx="28">
                  <c:v>7291.3188878554438</c:v>
                </c:pt>
                <c:pt idx="29">
                  <c:v>6643.1479756628432</c:v>
                </c:pt>
                <c:pt idx="30">
                  <c:v>2376.9849648940112</c:v>
                </c:pt>
                <c:pt idx="31">
                  <c:v>2694.8136758226838</c:v>
                </c:pt>
                <c:pt idx="32">
                  <c:v>8004.09556097318</c:v>
                </c:pt>
                <c:pt idx="33">
                  <c:v>2771.996944991206</c:v>
                </c:pt>
                <c:pt idx="34">
                  <c:v>4363.7607540494619</c:v>
                </c:pt>
                <c:pt idx="35">
                  <c:v>7142.1947536265825</c:v>
                </c:pt>
                <c:pt idx="36">
                  <c:v>4353.512160701539</c:v>
                </c:pt>
                <c:pt idx="37">
                  <c:v>5657.3642900631103</c:v>
                </c:pt>
                <c:pt idx="38">
                  <c:v>8528.4447874643556</c:v>
                </c:pt>
                <c:pt idx="39">
                  <c:v>8594.5821608789629</c:v>
                </c:pt>
                <c:pt idx="40">
                  <c:v>6550.0564941842749</c:v>
                </c:pt>
                <c:pt idx="41">
                  <c:v>8051.6882478293646</c:v>
                </c:pt>
                <c:pt idx="42">
                  <c:v>7900.532302130373</c:v>
                </c:pt>
                <c:pt idx="43">
                  <c:v>4196.7840929326894</c:v>
                </c:pt>
                <c:pt idx="44">
                  <c:v>6380.8278695274066</c:v>
                </c:pt>
                <c:pt idx="45">
                  <c:v>1872.8446005507471</c:v>
                </c:pt>
                <c:pt idx="46">
                  <c:v>9126.5013303505257</c:v>
                </c:pt>
                <c:pt idx="47">
                  <c:v>7020.5290633149971</c:v>
                </c:pt>
                <c:pt idx="48">
                  <c:v>8123.7361730825132</c:v>
                </c:pt>
                <c:pt idx="49">
                  <c:v>5668.0701020061333</c:v>
                </c:pt>
                <c:pt idx="50">
                  <c:v>1920.8739410525668</c:v>
                </c:pt>
                <c:pt idx="51">
                  <c:v>7546.8177835019069</c:v>
                </c:pt>
                <c:pt idx="52">
                  <c:v>8906.3337379004006</c:v>
                </c:pt>
                <c:pt idx="53">
                  <c:v>4945.7571301429207</c:v>
                </c:pt>
                <c:pt idx="54">
                  <c:v>8971.9608702808291</c:v>
                </c:pt>
                <c:pt idx="55">
                  <c:v>7643.7995803680187</c:v>
                </c:pt>
                <c:pt idx="56">
                  <c:v>6803.1370483271012</c:v>
                </c:pt>
                <c:pt idx="57">
                  <c:v>8587.0315985482339</c:v>
                </c:pt>
                <c:pt idx="58">
                  <c:v>8901.0575389758087</c:v>
                </c:pt>
                <c:pt idx="59">
                  <c:v>5049.1778155504035</c:v>
                </c:pt>
                <c:pt idx="60">
                  <c:v>7291.9853722365006</c:v>
                </c:pt>
                <c:pt idx="61">
                  <c:v>5553.1813557580754</c:v>
                </c:pt>
                <c:pt idx="62">
                  <c:v>5691.4676792651726</c:v>
                </c:pt>
                <c:pt idx="63">
                  <c:v>8047.3346239065904</c:v>
                </c:pt>
                <c:pt idx="64">
                  <c:v>3763.4295554568666</c:v>
                </c:pt>
                <c:pt idx="65">
                  <c:v>6472.2149315003626</c:v>
                </c:pt>
                <c:pt idx="66">
                  <c:v>6533.0690803131556</c:v>
                </c:pt>
                <c:pt idx="67">
                  <c:v>6379.2390368859524</c:v>
                </c:pt>
                <c:pt idx="68">
                  <c:v>7610.4241034366287</c:v>
                </c:pt>
                <c:pt idx="69">
                  <c:v>7949.0992825696094</c:v>
                </c:pt>
                <c:pt idx="70">
                  <c:v>3455.2750165715979</c:v>
                </c:pt>
                <c:pt idx="71">
                  <c:v>4662.8327568418736</c:v>
                </c:pt>
                <c:pt idx="72">
                  <c:v>3035.509340679977</c:v>
                </c:pt>
                <c:pt idx="73">
                  <c:v>7965.5920912433503</c:v>
                </c:pt>
                <c:pt idx="74">
                  <c:v>5814.2601429377673</c:v>
                </c:pt>
                <c:pt idx="75">
                  <c:v>4571.1556456459803</c:v>
                </c:pt>
                <c:pt idx="76">
                  <c:v>7271.8157900954093</c:v>
                </c:pt>
                <c:pt idx="77">
                  <c:v>3395.4132603196376</c:v>
                </c:pt>
                <c:pt idx="78">
                  <c:v>5275.7453714544699</c:v>
                </c:pt>
                <c:pt idx="79">
                  <c:v>3849.2627091748213</c:v>
                </c:pt>
                <c:pt idx="80">
                  <c:v>8401.7057566550156</c:v>
                </c:pt>
                <c:pt idx="81">
                  <c:v>7268.5709868836575</c:v>
                </c:pt>
                <c:pt idx="82">
                  <c:v>4407.5478610708224</c:v>
                </c:pt>
                <c:pt idx="83">
                  <c:v>2761.9387443706532</c:v>
                </c:pt>
                <c:pt idx="84">
                  <c:v>4637.4189760047848</c:v>
                </c:pt>
                <c:pt idx="85">
                  <c:v>5084.4305451764376</c:v>
                </c:pt>
                <c:pt idx="86">
                  <c:v>6487.7031005207537</c:v>
                </c:pt>
                <c:pt idx="87">
                  <c:v>9738.9934287380274</c:v>
                </c:pt>
                <c:pt idx="88">
                  <c:v>7712.4424773510364</c:v>
                </c:pt>
                <c:pt idx="89">
                  <c:v>7238.7889276589613</c:v>
                </c:pt>
                <c:pt idx="90">
                  <c:v>5770.2628295633294</c:v>
                </c:pt>
                <c:pt idx="91">
                  <c:v>6964.8023729374727</c:v>
                </c:pt>
                <c:pt idx="92">
                  <c:v>6999.9154563665606</c:v>
                </c:pt>
                <c:pt idx="93">
                  <c:v>8919.602125781752</c:v>
                </c:pt>
                <c:pt idx="94">
                  <c:v>9108.7271204588615</c:v>
                </c:pt>
                <c:pt idx="95">
                  <c:v>7448.8275323611451</c:v>
                </c:pt>
                <c:pt idx="96">
                  <c:v>6582.3574929157412</c:v>
                </c:pt>
                <c:pt idx="97">
                  <c:v>6856.7485358636977</c:v>
                </c:pt>
                <c:pt idx="98">
                  <c:v>3604.8559201622938</c:v>
                </c:pt>
                <c:pt idx="99">
                  <c:v>3391.3151908802865</c:v>
                </c:pt>
                <c:pt idx="100">
                  <c:v>6867.7066337054493</c:v>
                </c:pt>
                <c:pt idx="101">
                  <c:v>5041.1198643186981</c:v>
                </c:pt>
                <c:pt idx="102">
                  <c:v>9435.8282658133649</c:v>
                </c:pt>
                <c:pt idx="103">
                  <c:v>5681.9175559090127</c:v>
                </c:pt>
                <c:pt idx="104">
                  <c:v>3642.902352881998</c:v>
                </c:pt>
                <c:pt idx="105">
                  <c:v>8460.3985919707357</c:v>
                </c:pt>
                <c:pt idx="106">
                  <c:v>5990.0671683892015</c:v>
                </c:pt>
                <c:pt idx="107">
                  <c:v>7023.6942440309767</c:v>
                </c:pt>
                <c:pt idx="108">
                  <c:v>3603.5927714369409</c:v>
                </c:pt>
                <c:pt idx="109">
                  <c:v>2951.8267077853884</c:v>
                </c:pt>
                <c:pt idx="110">
                  <c:v>6957.8697888719853</c:v>
                </c:pt>
                <c:pt idx="111">
                  <c:v>5846.055116637307</c:v>
                </c:pt>
                <c:pt idx="112">
                  <c:v>8028.4360454300586</c:v>
                </c:pt>
                <c:pt idx="113">
                  <c:v>4503.9301909791975</c:v>
                </c:pt>
                <c:pt idx="114">
                  <c:v>7434.583398593345</c:v>
                </c:pt>
                <c:pt idx="115">
                  <c:v>2412.5289790857933</c:v>
                </c:pt>
                <c:pt idx="116">
                  <c:v>3955.9325410150864</c:v>
                </c:pt>
                <c:pt idx="117">
                  <c:v>3901.6160540965075</c:v>
                </c:pt>
                <c:pt idx="118">
                  <c:v>4645.5053819062587</c:v>
                </c:pt>
                <c:pt idx="119">
                  <c:v>3675.9547965191759</c:v>
                </c:pt>
                <c:pt idx="120">
                  <c:v>8004.9395362364921</c:v>
                </c:pt>
                <c:pt idx="121">
                  <c:v>7181.2958701362404</c:v>
                </c:pt>
                <c:pt idx="122">
                  <c:v>8101.0457555547127</c:v>
                </c:pt>
                <c:pt idx="123">
                  <c:v>3959.2401539101793</c:v>
                </c:pt>
                <c:pt idx="124">
                  <c:v>8631.5279505425697</c:v>
                </c:pt>
                <c:pt idx="125">
                  <c:v>3755.1206845571396</c:v>
                </c:pt>
                <c:pt idx="126">
                  <c:v>6722.7395425073082</c:v>
                </c:pt>
                <c:pt idx="127">
                  <c:v>5138.1342812641278</c:v>
                </c:pt>
                <c:pt idx="128">
                  <c:v>8678.7920406299818</c:v>
                </c:pt>
                <c:pt idx="129">
                  <c:v>6644.1495522414571</c:v>
                </c:pt>
                <c:pt idx="130">
                  <c:v>9850.6254721609366</c:v>
                </c:pt>
                <c:pt idx="131">
                  <c:v>2807.5300398756453</c:v>
                </c:pt>
                <c:pt idx="132">
                  <c:v>4131.3744531576058</c:v>
                </c:pt>
                <c:pt idx="133">
                  <c:v>5156.6392030907627</c:v>
                </c:pt>
                <c:pt idx="134">
                  <c:v>5027.562725640686</c:v>
                </c:pt>
                <c:pt idx="135">
                  <c:v>3772.1521721874651</c:v>
                </c:pt>
                <c:pt idx="136">
                  <c:v>6767.1718831953676</c:v>
                </c:pt>
                <c:pt idx="137">
                  <c:v>4570.8969347073589</c:v>
                </c:pt>
                <c:pt idx="138">
                  <c:v>6929.1312980431258</c:v>
                </c:pt>
                <c:pt idx="139">
                  <c:v>4088.2149802981771</c:v>
                </c:pt>
                <c:pt idx="140">
                  <c:v>8154.1205001018716</c:v>
                </c:pt>
                <c:pt idx="141">
                  <c:v>4408.2543273717492</c:v>
                </c:pt>
                <c:pt idx="142">
                  <c:v>8679.0157494655068</c:v>
                </c:pt>
                <c:pt idx="143">
                  <c:v>7204.0585487883081</c:v>
                </c:pt>
                <c:pt idx="144">
                  <c:v>3563.8492753931091</c:v>
                </c:pt>
                <c:pt idx="145">
                  <c:v>8246.4271662120918</c:v>
                </c:pt>
                <c:pt idx="146">
                  <c:v>5113.4075892549381</c:v>
                </c:pt>
                <c:pt idx="147">
                  <c:v>6439.9631556618979</c:v>
                </c:pt>
                <c:pt idx="148">
                  <c:v>7532.0762784832459</c:v>
                </c:pt>
                <c:pt idx="149">
                  <c:v>6511.7668388529555</c:v>
                </c:pt>
                <c:pt idx="150">
                  <c:v>6362.2852441532414</c:v>
                </c:pt>
                <c:pt idx="151">
                  <c:v>5959.9264269145397</c:v>
                </c:pt>
                <c:pt idx="152">
                  <c:v>4227.4428344017469</c:v>
                </c:pt>
                <c:pt idx="153">
                  <c:v>2744.9635941025458</c:v>
                </c:pt>
                <c:pt idx="154">
                  <c:v>5579.3270344716129</c:v>
                </c:pt>
                <c:pt idx="155">
                  <c:v>8765.5263909405439</c:v>
                </c:pt>
                <c:pt idx="156">
                  <c:v>4795.1751661799235</c:v>
                </c:pt>
                <c:pt idx="157">
                  <c:v>7289.6162070575811</c:v>
                </c:pt>
                <c:pt idx="158">
                  <c:v>6494.8243013540505</c:v>
                </c:pt>
                <c:pt idx="159">
                  <c:v>3438.3310509452067</c:v>
                </c:pt>
                <c:pt idx="160">
                  <c:v>3809.3750773875609</c:v>
                </c:pt>
                <c:pt idx="161">
                  <c:v>4809.2458248521561</c:v>
                </c:pt>
                <c:pt idx="162">
                  <c:v>3901.5254186737184</c:v>
                </c:pt>
                <c:pt idx="163">
                  <c:v>3136.6327569819719</c:v>
                </c:pt>
                <c:pt idx="164">
                  <c:v>8726.331620980749</c:v>
                </c:pt>
                <c:pt idx="165">
                  <c:v>1910.1000595700625</c:v>
                </c:pt>
                <c:pt idx="166">
                  <c:v>4160.6029761585069</c:v>
                </c:pt>
                <c:pt idx="167">
                  <c:v>7527.3386395446796</c:v>
                </c:pt>
                <c:pt idx="168">
                  <c:v>7048.5152870494112</c:v>
                </c:pt>
                <c:pt idx="169">
                  <c:v>2900.487135247929</c:v>
                </c:pt>
                <c:pt idx="170">
                  <c:v>5611.4027120659466</c:v>
                </c:pt>
                <c:pt idx="171">
                  <c:v>4410.35901710694</c:v>
                </c:pt>
                <c:pt idx="172">
                  <c:v>8165.2346009900675</c:v>
                </c:pt>
                <c:pt idx="173">
                  <c:v>9627.9789893291418</c:v>
                </c:pt>
                <c:pt idx="174">
                  <c:v>8144.4461469472299</c:v>
                </c:pt>
                <c:pt idx="175">
                  <c:v>6557.4087097995225</c:v>
                </c:pt>
                <c:pt idx="176">
                  <c:v>5685.6380790033245</c:v>
                </c:pt>
                <c:pt idx="177">
                  <c:v>8180.7309694843279</c:v>
                </c:pt>
                <c:pt idx="178">
                  <c:v>9501.8612514713132</c:v>
                </c:pt>
                <c:pt idx="179">
                  <c:v>3564.4101872556816</c:v>
                </c:pt>
                <c:pt idx="180">
                  <c:v>8310.6645220104947</c:v>
                </c:pt>
                <c:pt idx="181">
                  <c:v>7429.0815213807291</c:v>
                </c:pt>
                <c:pt idx="182">
                  <c:v>8816.677011139036</c:v>
                </c:pt>
                <c:pt idx="183">
                  <c:v>8886.491345144259</c:v>
                </c:pt>
                <c:pt idx="184">
                  <c:v>8916.9974527307459</c:v>
                </c:pt>
                <c:pt idx="185">
                  <c:v>3536.0956631815766</c:v>
                </c:pt>
                <c:pt idx="186">
                  <c:v>2606.6441916040608</c:v>
                </c:pt>
                <c:pt idx="187">
                  <c:v>5359.0576366108908</c:v>
                </c:pt>
                <c:pt idx="188">
                  <c:v>6640.922604755573</c:v>
                </c:pt>
                <c:pt idx="189">
                  <c:v>5446.2982173566188</c:v>
                </c:pt>
                <c:pt idx="190">
                  <c:v>6025.879003967173</c:v>
                </c:pt>
                <c:pt idx="191">
                  <c:v>2573.6392410018971</c:v>
                </c:pt>
                <c:pt idx="192">
                  <c:v>5080.7663368033891</c:v>
                </c:pt>
                <c:pt idx="193">
                  <c:v>4330.1274606496827</c:v>
                </c:pt>
                <c:pt idx="194">
                  <c:v>5546.6219443988175</c:v>
                </c:pt>
                <c:pt idx="195">
                  <c:v>5078.4119330287831</c:v>
                </c:pt>
                <c:pt idx="196">
                  <c:v>6263.4887221233967</c:v>
                </c:pt>
                <c:pt idx="197">
                  <c:v>6164.7407076212039</c:v>
                </c:pt>
                <c:pt idx="198">
                  <c:v>7637.3089478875008</c:v>
                </c:pt>
                <c:pt idx="199">
                  <c:v>7042.6030749127376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7D-44B6-B26C-7623EF697BA3}"/>
            </c:ext>
          </c:extLst>
        </c:ser>
        <c:ser>
          <c:idx val="1"/>
          <c:order val="1"/>
          <c:tx>
            <c:v>Предсказанное у</c:v>
          </c:tx>
          <c:spPr>
            <a:ln w="19050">
              <a:noFill/>
            </a:ln>
          </c:spPr>
          <c:xVal>
            <c:numRef>
              <c:f>Лист1!$B$2:$B$201</c:f>
              <c:numCache>
                <c:formatCode>0</c:formatCode>
                <c:ptCount val="200"/>
                <c:pt idx="0">
                  <c:v>1496.5971861934263</c:v>
                </c:pt>
                <c:pt idx="1">
                  <c:v>1026.0017700735496</c:v>
                </c:pt>
                <c:pt idx="2">
                  <c:v>2557.7867976928005</c:v>
                </c:pt>
                <c:pt idx="3">
                  <c:v>2069.1244239631337</c:v>
                </c:pt>
                <c:pt idx="4">
                  <c:v>3814.5390179143651</c:v>
                </c:pt>
                <c:pt idx="5">
                  <c:v>1942.0453505050814</c:v>
                </c:pt>
                <c:pt idx="6">
                  <c:v>2864.5588549455242</c:v>
                </c:pt>
                <c:pt idx="7">
                  <c:v>3991.7905209509568</c:v>
                </c:pt>
                <c:pt idx="8">
                  <c:v>1495.1322977385785</c:v>
                </c:pt>
                <c:pt idx="9">
                  <c:v>2624.0730002746668</c:v>
                </c:pt>
                <c:pt idx="10">
                  <c:v>3434.7666859950559</c:v>
                </c:pt>
                <c:pt idx="11">
                  <c:v>3065.248573259682</c:v>
                </c:pt>
                <c:pt idx="12">
                  <c:v>4023.8959929197058</c:v>
                </c:pt>
                <c:pt idx="13">
                  <c:v>1486.2208929715873</c:v>
                </c:pt>
                <c:pt idx="14">
                  <c:v>2418.2561723685417</c:v>
                </c:pt>
                <c:pt idx="15">
                  <c:v>2662.7704702902311</c:v>
                </c:pt>
                <c:pt idx="16">
                  <c:v>1813.9896847437972</c:v>
                </c:pt>
                <c:pt idx="17">
                  <c:v>3687.9482406079287</c:v>
                </c:pt>
                <c:pt idx="18">
                  <c:v>1135.7463301492355</c:v>
                </c:pt>
                <c:pt idx="19">
                  <c:v>2425.2143925290688</c:v>
                </c:pt>
                <c:pt idx="20">
                  <c:v>3132.5113681447797</c:v>
                </c:pt>
                <c:pt idx="21">
                  <c:v>4860.4693746757403</c:v>
                </c:pt>
                <c:pt idx="22">
                  <c:v>1398.4496597186194</c:v>
                </c:pt>
                <c:pt idx="23">
                  <c:v>4804.6815393536181</c:v>
                </c:pt>
                <c:pt idx="24">
                  <c:v>2968.6880092776269</c:v>
                </c:pt>
                <c:pt idx="25">
                  <c:v>2998.3520004882962</c:v>
                </c:pt>
                <c:pt idx="26">
                  <c:v>2333.6588641010776</c:v>
                </c:pt>
                <c:pt idx="27">
                  <c:v>3084.4141972106081</c:v>
                </c:pt>
                <c:pt idx="28">
                  <c:v>3474.806970427564</c:v>
                </c:pt>
                <c:pt idx="29">
                  <c:v>3639.8510696737571</c:v>
                </c:pt>
                <c:pt idx="30">
                  <c:v>1345.2253791924802</c:v>
                </c:pt>
                <c:pt idx="31">
                  <c:v>1000.4882961516159</c:v>
                </c:pt>
                <c:pt idx="32">
                  <c:v>3600.5432294686725</c:v>
                </c:pt>
                <c:pt idx="33">
                  <c:v>1460.0970488601338</c:v>
                </c:pt>
                <c:pt idx="34">
                  <c:v>1830.2255317850277</c:v>
                </c:pt>
                <c:pt idx="35">
                  <c:v>4090.1821955015716</c:v>
                </c:pt>
                <c:pt idx="36">
                  <c:v>1549.4552446058535</c:v>
                </c:pt>
                <c:pt idx="37">
                  <c:v>3405.9572130497145</c:v>
                </c:pt>
                <c:pt idx="38">
                  <c:v>4279.5190282906588</c:v>
                </c:pt>
                <c:pt idx="39">
                  <c:v>4890.7437360759304</c:v>
                </c:pt>
                <c:pt idx="40">
                  <c:v>3679.2809839167453</c:v>
                </c:pt>
                <c:pt idx="41">
                  <c:v>4491.8057802056946</c:v>
                </c:pt>
                <c:pt idx="42">
                  <c:v>3385.0825525681325</c:v>
                </c:pt>
                <c:pt idx="43">
                  <c:v>2116.9774468214973</c:v>
                </c:pt>
                <c:pt idx="44">
                  <c:v>3473.0979338969082</c:v>
                </c:pt>
                <c:pt idx="45">
                  <c:v>1387.2188482314523</c:v>
                </c:pt>
                <c:pt idx="46">
                  <c:v>3781.2128055665762</c:v>
                </c:pt>
                <c:pt idx="47">
                  <c:v>3938.3220923490098</c:v>
                </c:pt>
                <c:pt idx="48">
                  <c:v>4206.3966795861688</c:v>
                </c:pt>
                <c:pt idx="49">
                  <c:v>2916.9286172063357</c:v>
                </c:pt>
                <c:pt idx="50">
                  <c:v>1043.0921353801079</c:v>
                </c:pt>
                <c:pt idx="51">
                  <c:v>3482.8638569292275</c:v>
                </c:pt>
                <c:pt idx="52">
                  <c:v>4933.2255012665182</c:v>
                </c:pt>
                <c:pt idx="53">
                  <c:v>2600.0244148075808</c:v>
                </c:pt>
                <c:pt idx="54">
                  <c:v>4567.8579058198793</c:v>
                </c:pt>
                <c:pt idx="55">
                  <c:v>4694.5707571642197</c:v>
                </c:pt>
                <c:pt idx="56">
                  <c:v>3418.4087649159214</c:v>
                </c:pt>
                <c:pt idx="57">
                  <c:v>4354.4724875637075</c:v>
                </c:pt>
                <c:pt idx="58">
                  <c:v>4963.4998626667075</c:v>
                </c:pt>
                <c:pt idx="59">
                  <c:v>2664.2353587450789</c:v>
                </c:pt>
                <c:pt idx="60">
                  <c:v>3640.705587939085</c:v>
                </c:pt>
                <c:pt idx="61">
                  <c:v>2488.6928922391435</c:v>
                </c:pt>
                <c:pt idx="62">
                  <c:v>2571.5811639759513</c:v>
                </c:pt>
                <c:pt idx="63">
                  <c:v>4564.9281289101837</c:v>
                </c:pt>
                <c:pt idx="64">
                  <c:v>1489.5168919949949</c:v>
                </c:pt>
                <c:pt idx="65">
                  <c:v>3109.195226905118</c:v>
                </c:pt>
                <c:pt idx="66">
                  <c:v>3746.7879268776514</c:v>
                </c:pt>
                <c:pt idx="67">
                  <c:v>3311.7160557878356</c:v>
                </c:pt>
                <c:pt idx="68">
                  <c:v>4284.1578417310102</c:v>
                </c:pt>
                <c:pt idx="69">
                  <c:v>4066.2556840723896</c:v>
                </c:pt>
                <c:pt idx="70">
                  <c:v>1518.6925870540483</c:v>
                </c:pt>
                <c:pt idx="71">
                  <c:v>2074.3736075930055</c:v>
                </c:pt>
                <c:pt idx="72">
                  <c:v>1735.4960783715323</c:v>
                </c:pt>
                <c:pt idx="73">
                  <c:v>4563.0970183416248</c:v>
                </c:pt>
                <c:pt idx="74">
                  <c:v>3263.863032929472</c:v>
                </c:pt>
                <c:pt idx="75">
                  <c:v>1766.1366618854336</c:v>
                </c:pt>
                <c:pt idx="76">
                  <c:v>3981.902523880734</c:v>
                </c:pt>
                <c:pt idx="77">
                  <c:v>1555.314798425245</c:v>
                </c:pt>
                <c:pt idx="78">
                  <c:v>2006.8666646320994</c:v>
                </c:pt>
                <c:pt idx="79">
                  <c:v>1633.4421826837977</c:v>
                </c:pt>
                <c:pt idx="80">
                  <c:v>4316.0191656239513</c:v>
                </c:pt>
                <c:pt idx="81">
                  <c:v>4064.5466475417338</c:v>
                </c:pt>
                <c:pt idx="82">
                  <c:v>1983.5505233924375</c:v>
                </c:pt>
                <c:pt idx="83">
                  <c:v>1073.7327188940092</c:v>
                </c:pt>
                <c:pt idx="84">
                  <c:v>2235.7554857020782</c:v>
                </c:pt>
                <c:pt idx="85">
                  <c:v>2528.9773247474595</c:v>
                </c:pt>
                <c:pt idx="86">
                  <c:v>3083.4376049073762</c:v>
                </c:pt>
                <c:pt idx="87">
                  <c:v>4803.2166508987702</c:v>
                </c:pt>
                <c:pt idx="88">
                  <c:v>4438.0932035279402</c:v>
                </c:pt>
                <c:pt idx="89">
                  <c:v>4320.7800531022067</c:v>
                </c:pt>
                <c:pt idx="90">
                  <c:v>2801.4465773491625</c:v>
                </c:pt>
                <c:pt idx="91">
                  <c:v>3502.0294808801536</c:v>
                </c:pt>
                <c:pt idx="92">
                  <c:v>3383.9838862269967</c:v>
                </c:pt>
                <c:pt idx="93">
                  <c:v>4550.5233924375134</c:v>
                </c:pt>
                <c:pt idx="94">
                  <c:v>4323.3436078981904</c:v>
                </c:pt>
                <c:pt idx="95">
                  <c:v>4061.2506485183262</c:v>
                </c:pt>
                <c:pt idx="96">
                  <c:v>3059.2669454023867</c:v>
                </c:pt>
                <c:pt idx="97">
                  <c:v>3286.8129520554216</c:v>
                </c:pt>
                <c:pt idx="98">
                  <c:v>1366.7104098635823</c:v>
                </c:pt>
                <c:pt idx="99">
                  <c:v>1555.314798425245</c:v>
                </c:pt>
                <c:pt idx="100">
                  <c:v>3554.3992431409647</c:v>
                </c:pt>
                <c:pt idx="101">
                  <c:v>2314.737388225959</c:v>
                </c:pt>
                <c:pt idx="102">
                  <c:v>4407.696768089847</c:v>
                </c:pt>
                <c:pt idx="103">
                  <c:v>3067.3238319040497</c:v>
                </c:pt>
                <c:pt idx="104">
                  <c:v>2090.8536027100436</c:v>
                </c:pt>
                <c:pt idx="105">
                  <c:v>4557.4816125980415</c:v>
                </c:pt>
                <c:pt idx="106">
                  <c:v>2911.9235816522723</c:v>
                </c:pt>
                <c:pt idx="107">
                  <c:v>3490.1882992034666</c:v>
                </c:pt>
                <c:pt idx="108">
                  <c:v>2117.2215948973053</c:v>
                </c:pt>
                <c:pt idx="109">
                  <c:v>1288.4609515671254</c:v>
                </c:pt>
                <c:pt idx="110">
                  <c:v>4201.7578661458174</c:v>
                </c:pt>
                <c:pt idx="111">
                  <c:v>3429.2733542893761</c:v>
                </c:pt>
                <c:pt idx="112">
                  <c:v>4100.8026367992188</c:v>
                </c:pt>
                <c:pt idx="113">
                  <c:v>2256.7522202215641</c:v>
                </c:pt>
                <c:pt idx="114">
                  <c:v>3579.4244209112826</c:v>
                </c:pt>
                <c:pt idx="115">
                  <c:v>1331.5530869472336</c:v>
                </c:pt>
                <c:pt idx="116">
                  <c:v>1638.9355143894772</c:v>
                </c:pt>
                <c:pt idx="117">
                  <c:v>1851.2222663045136</c:v>
                </c:pt>
                <c:pt idx="118">
                  <c:v>2333.0484939115577</c:v>
                </c:pt>
                <c:pt idx="119">
                  <c:v>1967.680898464919</c:v>
                </c:pt>
                <c:pt idx="120">
                  <c:v>4516.9530320139165</c:v>
                </c:pt>
                <c:pt idx="121">
                  <c:v>4429.5480208746603</c:v>
                </c:pt>
                <c:pt idx="122">
                  <c:v>4251.0757774590293</c:v>
                </c:pt>
                <c:pt idx="123">
                  <c:v>1387.9512924588762</c:v>
                </c:pt>
                <c:pt idx="124">
                  <c:v>4334.696493423261</c:v>
                </c:pt>
                <c:pt idx="125">
                  <c:v>1935.5754264961699</c:v>
                </c:pt>
                <c:pt idx="126">
                  <c:v>3269.1122165593433</c:v>
                </c:pt>
                <c:pt idx="127">
                  <c:v>2482.7112643818477</c:v>
                </c:pt>
                <c:pt idx="128">
                  <c:v>4330.0576799829096</c:v>
                </c:pt>
                <c:pt idx="129">
                  <c:v>2931.45542771691</c:v>
                </c:pt>
                <c:pt idx="130">
                  <c:v>4875.1182592242194</c:v>
                </c:pt>
                <c:pt idx="131">
                  <c:v>1267.0979949339276</c:v>
                </c:pt>
                <c:pt idx="132">
                  <c:v>1021.485030671102</c:v>
                </c:pt>
                <c:pt idx="133">
                  <c:v>2168.0043946653645</c:v>
                </c:pt>
                <c:pt idx="134">
                  <c:v>1896.2675862910855</c:v>
                </c:pt>
                <c:pt idx="135">
                  <c:v>2018.8299203466902</c:v>
                </c:pt>
                <c:pt idx="136">
                  <c:v>3296.9450972014529</c:v>
                </c:pt>
                <c:pt idx="137">
                  <c:v>1819.8492385631885</c:v>
                </c:pt>
                <c:pt idx="138">
                  <c:v>3295.1139866328931</c:v>
                </c:pt>
                <c:pt idx="139">
                  <c:v>1391.7355876339</c:v>
                </c:pt>
                <c:pt idx="140">
                  <c:v>4571.8863490707117</c:v>
                </c:pt>
                <c:pt idx="141">
                  <c:v>1509.4149601733452</c:v>
                </c:pt>
                <c:pt idx="142">
                  <c:v>4597.2777489547407</c:v>
                </c:pt>
                <c:pt idx="143">
                  <c:v>3631.0617389446697</c:v>
                </c:pt>
                <c:pt idx="144">
                  <c:v>1643.8184759056367</c:v>
                </c:pt>
                <c:pt idx="145">
                  <c:v>4244.6058534501171</c:v>
                </c:pt>
                <c:pt idx="146">
                  <c:v>2577.5627918332466</c:v>
                </c:pt>
                <c:pt idx="147">
                  <c:v>3015.1982177190466</c:v>
                </c:pt>
                <c:pt idx="148">
                  <c:v>3866.5425580614642</c:v>
                </c:pt>
                <c:pt idx="149">
                  <c:v>3395.9471419415872</c:v>
                </c:pt>
                <c:pt idx="150">
                  <c:v>2829.4015320291755</c:v>
                </c:pt>
                <c:pt idx="151">
                  <c:v>3649.8611407818844</c:v>
                </c:pt>
                <c:pt idx="152">
                  <c:v>2269.3258461256751</c:v>
                </c:pt>
                <c:pt idx="153">
                  <c:v>1838.038270210883</c:v>
                </c:pt>
                <c:pt idx="154">
                  <c:v>2840.5102694784387</c:v>
                </c:pt>
                <c:pt idx="155">
                  <c:v>4737.0525223548084</c:v>
                </c:pt>
                <c:pt idx="156">
                  <c:v>2247.5966673787652</c:v>
                </c:pt>
                <c:pt idx="157">
                  <c:v>4379.3755912961205</c:v>
                </c:pt>
                <c:pt idx="158">
                  <c:v>3203.1922360911894</c:v>
                </c:pt>
                <c:pt idx="159">
                  <c:v>1447.4013489181189</c:v>
                </c:pt>
                <c:pt idx="160">
                  <c:v>1447.2792748802149</c:v>
                </c:pt>
                <c:pt idx="161">
                  <c:v>2606.372264778588</c:v>
                </c:pt>
                <c:pt idx="162">
                  <c:v>1581.0724204229866</c:v>
                </c:pt>
                <c:pt idx="163">
                  <c:v>1518.4484389782403</c:v>
                </c:pt>
                <c:pt idx="164">
                  <c:v>4471.6635639515371</c:v>
                </c:pt>
                <c:pt idx="165">
                  <c:v>1267.5862910855435</c:v>
                </c:pt>
                <c:pt idx="166">
                  <c:v>2059.7247230445264</c:v>
                </c:pt>
                <c:pt idx="167">
                  <c:v>3703.4516434217353</c:v>
                </c:pt>
                <c:pt idx="168">
                  <c:v>4030.610065004425</c:v>
                </c:pt>
                <c:pt idx="169">
                  <c:v>1319.9560533463546</c:v>
                </c:pt>
                <c:pt idx="170">
                  <c:v>2504.1962950529496</c:v>
                </c:pt>
                <c:pt idx="171">
                  <c:v>2198.2787560655534</c:v>
                </c:pt>
                <c:pt idx="172">
                  <c:v>4163.0603961302531</c:v>
                </c:pt>
                <c:pt idx="173">
                  <c:v>4766.1061433759569</c:v>
                </c:pt>
                <c:pt idx="174">
                  <c:v>4549.6688741721855</c:v>
                </c:pt>
                <c:pt idx="175">
                  <c:v>3169.6218756675926</c:v>
                </c:pt>
                <c:pt idx="176">
                  <c:v>3153.2639545884581</c:v>
                </c:pt>
                <c:pt idx="177">
                  <c:v>4403.9124729148225</c:v>
                </c:pt>
                <c:pt idx="178">
                  <c:v>4850.2151554918055</c:v>
                </c:pt>
                <c:pt idx="179">
                  <c:v>1508.3162938322093</c:v>
                </c:pt>
                <c:pt idx="180">
                  <c:v>3767.0522171697135</c:v>
                </c:pt>
                <c:pt idx="181">
                  <c:v>3617.145298623615</c:v>
                </c:pt>
                <c:pt idx="182">
                  <c:v>4210.1809747611924</c:v>
                </c:pt>
                <c:pt idx="183">
                  <c:v>3936.613055818354</c:v>
                </c:pt>
                <c:pt idx="184">
                  <c:v>4434.6751304666286</c:v>
                </c:pt>
                <c:pt idx="185">
                  <c:v>1328.3791619617298</c:v>
                </c:pt>
                <c:pt idx="186">
                  <c:v>1223.1513412884915</c:v>
                </c:pt>
                <c:pt idx="187">
                  <c:v>2589.1598254341257</c:v>
                </c:pt>
                <c:pt idx="188">
                  <c:v>3002.6245918149357</c:v>
                </c:pt>
                <c:pt idx="189">
                  <c:v>3242.0117801446577</c:v>
                </c:pt>
                <c:pt idx="190">
                  <c:v>3044.251838740196</c:v>
                </c:pt>
                <c:pt idx="191">
                  <c:v>1198.7365337076938</c:v>
                </c:pt>
                <c:pt idx="192">
                  <c:v>2681.9360942411572</c:v>
                </c:pt>
                <c:pt idx="193">
                  <c:v>2500.2899258400221</c:v>
                </c:pt>
                <c:pt idx="194">
                  <c:v>3919.5226905117956</c:v>
                </c:pt>
                <c:pt idx="195">
                  <c:v>2005.6459242530595</c:v>
                </c:pt>
                <c:pt idx="196">
                  <c:v>3815.8818323313089</c:v>
                </c:pt>
                <c:pt idx="197">
                  <c:v>2880.1843317972352</c:v>
                </c:pt>
                <c:pt idx="198">
                  <c:v>4098.4832300790422</c:v>
                </c:pt>
                <c:pt idx="199">
                  <c:v>3520.3405865657519</c:v>
                </c:pt>
              </c:numCache>
            </c:numRef>
          </c:xVal>
          <c:yVal>
            <c:numRef>
              <c:f>Лист1!$K$33:$K$232</c:f>
              <c:numCache>
                <c:formatCode>General</c:formatCode>
                <c:ptCount val="200"/>
                <c:pt idx="0">
                  <c:v>3440.1250395036041</c:v>
                </c:pt>
                <c:pt idx="1">
                  <c:v>2652.2922209214994</c:v>
                </c:pt>
                <c:pt idx="2">
                  <c:v>5216.6829362440021</c:v>
                </c:pt>
                <c:pt idx="3">
                  <c:v>4398.6038771560216</c:v>
                </c:pt>
                <c:pt idx="4">
                  <c:v>7320.6359498115171</c:v>
                </c:pt>
                <c:pt idx="5">
                  <c:v>4185.8583611653685</c:v>
                </c:pt>
                <c:pt idx="6">
                  <c:v>5730.2559253741783</c:v>
                </c:pt>
                <c:pt idx="7">
                  <c:v>7617.3760931529478</c:v>
                </c:pt>
                <c:pt idx="8">
                  <c:v>3437.6726416247493</c:v>
                </c:pt>
                <c:pt idx="9">
                  <c:v>5327.6539402621829</c:v>
                </c:pt>
                <c:pt idx="10">
                  <c:v>6684.8517997184099</c:v>
                </c:pt>
                <c:pt idx="11">
                  <c:v>6066.234434777286</c:v>
                </c:pt>
                <c:pt idx="12">
                  <c:v>7671.1244799978485</c:v>
                </c:pt>
                <c:pt idx="13">
                  <c:v>3422.7538878617161</c:v>
                </c:pt>
                <c:pt idx="14">
                  <c:v>4983.0920382830827</c:v>
                </c:pt>
                <c:pt idx="15">
                  <c:v>5392.4381175619301</c:v>
                </c:pt>
                <c:pt idx="16">
                  <c:v>3971.4779132554777</c:v>
                </c:pt>
                <c:pt idx="17">
                  <c:v>7108.7078997804811</c:v>
                </c:pt>
                <c:pt idx="18">
                  <c:v>2836.0176953457049</c:v>
                </c:pt>
                <c:pt idx="19">
                  <c:v>4994.7409282076424</c:v>
                </c:pt>
                <c:pt idx="20">
                  <c:v>6178.8403707147027</c:v>
                </c:pt>
                <c:pt idx="21">
                  <c:v>9071.6480353138431</c:v>
                </c:pt>
                <c:pt idx="22">
                  <c:v>3275.8143816203324</c:v>
                </c:pt>
                <c:pt idx="23">
                  <c:v>8978.2525494274578</c:v>
                </c:pt>
                <c:pt idx="24">
                  <c:v>5904.5805412627742</c:v>
                </c:pt>
                <c:pt idx="25">
                  <c:v>5954.2415983095843</c:v>
                </c:pt>
                <c:pt idx="26">
                  <c:v>4841.4660607792184</c:v>
                </c:pt>
                <c:pt idx="27">
                  <c:v>6098.3199736923034</c:v>
                </c:pt>
                <c:pt idx="28">
                  <c:v>6751.8840084071071</c:v>
                </c:pt>
                <c:pt idx="29">
                  <c:v>7028.1875027580818</c:v>
                </c:pt>
                <c:pt idx="30">
                  <c:v>3186.710592021941</c:v>
                </c:pt>
                <c:pt idx="31">
                  <c:v>2609.579624531445</c:v>
                </c:pt>
                <c:pt idx="32">
                  <c:v>6962.381493008811</c:v>
                </c:pt>
                <c:pt idx="33">
                  <c:v>3379.0194590221386</c:v>
                </c:pt>
                <c:pt idx="34">
                  <c:v>3998.6586564127847</c:v>
                </c:pt>
                <c:pt idx="35">
                  <c:v>7782.0954840160284</c:v>
                </c:pt>
                <c:pt idx="36">
                  <c:v>3528.6157296322813</c:v>
                </c:pt>
                <c:pt idx="37">
                  <c:v>6636.6213081009319</c:v>
                </c:pt>
                <c:pt idx="38">
                  <c:v>8099.0679098580122</c:v>
                </c:pt>
                <c:pt idx="39">
                  <c:v>9122.3309248101777</c:v>
                </c:pt>
                <c:pt idx="40">
                  <c:v>7094.1978789972563</c:v>
                </c:pt>
                <c:pt idx="41">
                  <c:v>8454.4612358020531</c:v>
                </c:pt>
                <c:pt idx="42">
                  <c:v>6601.6746383272512</c:v>
                </c:pt>
                <c:pt idx="43">
                  <c:v>4478.7155411986123</c:v>
                </c:pt>
                <c:pt idx="44">
                  <c:v>6749.0228775484438</c:v>
                </c:pt>
                <c:pt idx="45">
                  <c:v>3257.0126645491118</c:v>
                </c:pt>
                <c:pt idx="46">
                  <c:v>7264.8438980675701</c:v>
                </c:pt>
                <c:pt idx="47">
                  <c:v>7527.8635705747474</c:v>
                </c:pt>
                <c:pt idx="48">
                  <c:v>7976.6523824051756</c:v>
                </c:pt>
                <c:pt idx="49">
                  <c:v>5817.9291495432381</c:v>
                </c:pt>
                <c:pt idx="50">
                  <c:v>2680.9035295081385</c:v>
                </c:pt>
                <c:pt idx="51">
                  <c:v>6765.3721967408092</c:v>
                </c:pt>
                <c:pt idx="52">
                  <c:v>9193.4504632969656</c:v>
                </c:pt>
                <c:pt idx="53">
                  <c:v>5287.3937417509824</c:v>
                </c:pt>
                <c:pt idx="54">
                  <c:v>8581.7815590125974</c:v>
                </c:pt>
                <c:pt idx="55">
                  <c:v>8793.9139755335382</c:v>
                </c:pt>
                <c:pt idx="56">
                  <c:v>6657.4666900711982</c:v>
                </c:pt>
                <c:pt idx="57">
                  <c:v>8224.548934659415</c:v>
                </c:pt>
                <c:pt idx="58">
                  <c:v>9244.1333527932984</c:v>
                </c:pt>
                <c:pt idx="59">
                  <c:v>5394.8905154407848</c:v>
                </c:pt>
                <c:pt idx="60">
                  <c:v>7029.6180681874139</c:v>
                </c:pt>
                <c:pt idx="61">
                  <c:v>5101.0115029580184</c:v>
                </c:pt>
                <c:pt idx="62">
                  <c:v>5239.7763496032185</c:v>
                </c:pt>
                <c:pt idx="63">
                  <c:v>8576.8767632548879</c:v>
                </c:pt>
                <c:pt idx="64">
                  <c:v>3428.2717830891388</c:v>
                </c:pt>
                <c:pt idx="65">
                  <c:v>6139.8063711429304</c:v>
                </c:pt>
                <c:pt idx="66">
                  <c:v>7207.2125479144825</c:v>
                </c:pt>
                <c:pt idx="67">
                  <c:v>6478.8503778946069</c:v>
                </c:pt>
                <c:pt idx="68">
                  <c:v>8106.8338364743859</c:v>
                </c:pt>
                <c:pt idx="69">
                  <c:v>7742.0396519947335</c:v>
                </c:pt>
                <c:pt idx="70">
                  <c:v>3477.1153741763305</c:v>
                </c:pt>
                <c:pt idx="71">
                  <c:v>4407.3916362219188</c:v>
                </c:pt>
                <c:pt idx="72">
                  <c:v>3840.0702602468409</c:v>
                </c:pt>
                <c:pt idx="73">
                  <c:v>8573.8112659063208</c:v>
                </c:pt>
                <c:pt idx="74">
                  <c:v>6398.7387138520171</c:v>
                </c:pt>
                <c:pt idx="75">
                  <c:v>3891.3662492128874</c:v>
                </c:pt>
                <c:pt idx="76">
                  <c:v>7600.8224074706786</c:v>
                </c:pt>
                <c:pt idx="77">
                  <c:v>3538.4253211477007</c:v>
                </c:pt>
                <c:pt idx="78">
                  <c:v>4294.3769673046936</c:v>
                </c:pt>
                <c:pt idx="79">
                  <c:v>3669.2198746866234</c:v>
                </c:pt>
                <c:pt idx="80">
                  <c:v>8160.1734903394772</c:v>
                </c:pt>
                <c:pt idx="81">
                  <c:v>7739.1785211360693</c:v>
                </c:pt>
                <c:pt idx="82">
                  <c:v>4255.3429677329204</c:v>
                </c:pt>
                <c:pt idx="83">
                  <c:v>2732.1995184741845</c:v>
                </c:pt>
                <c:pt idx="84">
                  <c:v>4677.5641358757548</c:v>
                </c:pt>
                <c:pt idx="85">
                  <c:v>5168.452444626525</c:v>
                </c:pt>
                <c:pt idx="86">
                  <c:v>6096.6850417730666</c:v>
                </c:pt>
                <c:pt idx="87">
                  <c:v>8975.800151548603</c:v>
                </c:pt>
                <c:pt idx="88">
                  <c:v>8364.5399802440443</c:v>
                </c:pt>
                <c:pt idx="89">
                  <c:v>8168.1437834457556</c:v>
                </c:pt>
                <c:pt idx="90">
                  <c:v>5624.5984500935183</c:v>
                </c:pt>
                <c:pt idx="91">
                  <c:v>6797.4577356558257</c:v>
                </c:pt>
                <c:pt idx="92">
                  <c:v>6599.8353399181105</c:v>
                </c:pt>
                <c:pt idx="93">
                  <c:v>8552.7615174461498</c:v>
                </c:pt>
                <c:pt idx="94">
                  <c:v>8172.435479733751</c:v>
                </c:pt>
                <c:pt idx="95">
                  <c:v>7733.6606259086457</c:v>
                </c:pt>
                <c:pt idx="96">
                  <c:v>6056.2204767719631</c:v>
                </c:pt>
                <c:pt idx="97">
                  <c:v>6437.1596139540752</c:v>
                </c:pt>
                <c:pt idx="98">
                  <c:v>3222.6790942451448</c:v>
                </c:pt>
                <c:pt idx="99">
                  <c:v>3538.4253211477007</c:v>
                </c:pt>
                <c:pt idx="100">
                  <c:v>6885.1309598248845</c:v>
                </c:pt>
                <c:pt idx="101">
                  <c:v>4809.7892548440104</c:v>
                </c:pt>
                <c:pt idx="102">
                  <c:v>8313.6527242578086</c:v>
                </c:pt>
                <c:pt idx="103">
                  <c:v>6069.7086651056643</c:v>
                </c:pt>
                <c:pt idx="104">
                  <c:v>4434.9811123590353</c:v>
                </c:pt>
                <c:pt idx="105">
                  <c:v>8564.4104073707113</c:v>
                </c:pt>
                <c:pt idx="106">
                  <c:v>5809.5501234571511</c:v>
                </c:pt>
                <c:pt idx="107">
                  <c:v>6777.6341861350829</c:v>
                </c:pt>
                <c:pt idx="108">
                  <c:v>4479.1242741784208</c:v>
                </c:pt>
                <c:pt idx="109">
                  <c:v>3091.6801742163175</c:v>
                </c:pt>
                <c:pt idx="110">
                  <c:v>7968.8864557888028</c:v>
                </c:pt>
                <c:pt idx="111">
                  <c:v>6675.6553076727041</c:v>
                </c:pt>
                <c:pt idx="112">
                  <c:v>7799.8753686377258</c:v>
                </c:pt>
                <c:pt idx="113">
                  <c:v>4712.7151721393402</c:v>
                </c:pt>
                <c:pt idx="114">
                  <c:v>6927.0260902553209</c:v>
                </c:pt>
                <c:pt idx="115">
                  <c:v>3163.8215451526298</c:v>
                </c:pt>
                <c:pt idx="116">
                  <c:v>3678.4163667323287</c:v>
                </c:pt>
                <c:pt idx="117">
                  <c:v>4033.8096926763701</c:v>
                </c:pt>
                <c:pt idx="118">
                  <c:v>4840.4442283296958</c:v>
                </c:pt>
                <c:pt idx="119">
                  <c:v>4228.7753240453276</c:v>
                </c:pt>
                <c:pt idx="120">
                  <c:v>8496.5607327223952</c:v>
                </c:pt>
                <c:pt idx="121">
                  <c:v>8350.2343259507252</c:v>
                </c:pt>
                <c:pt idx="122">
                  <c:v>8051.4505177102483</c:v>
                </c:pt>
                <c:pt idx="123">
                  <c:v>3258.2388634885392</c:v>
                </c:pt>
                <c:pt idx="124">
                  <c:v>8191.4415632948758</c:v>
                </c:pt>
                <c:pt idx="125">
                  <c:v>4175.0269372004259</c:v>
                </c:pt>
                <c:pt idx="126">
                  <c:v>6407.5264729179125</c:v>
                </c:pt>
                <c:pt idx="127">
                  <c:v>5090.9975449526946</c:v>
                </c:pt>
                <c:pt idx="128">
                  <c:v>8183.6756366785021</c:v>
                </c:pt>
                <c:pt idx="129">
                  <c:v>5842.2487618418809</c:v>
                </c:pt>
                <c:pt idx="130">
                  <c:v>9096.1720141023925</c:v>
                </c:pt>
                <c:pt idx="131">
                  <c:v>3055.9160384830188</c:v>
                </c:pt>
                <c:pt idx="132">
                  <c:v>2644.7306607950304</c:v>
                </c:pt>
                <c:pt idx="133">
                  <c:v>4564.1407339787211</c:v>
                </c:pt>
                <c:pt idx="134">
                  <c:v>4109.2209274511551</c:v>
                </c:pt>
                <c:pt idx="135">
                  <c:v>4314.4048833153402</c:v>
                </c:pt>
                <c:pt idx="136">
                  <c:v>6454.1220326161547</c:v>
                </c:pt>
                <c:pt idx="137">
                  <c:v>3981.2875047708962</c:v>
                </c:pt>
                <c:pt idx="138">
                  <c:v>6451.0565352675858</c:v>
                </c:pt>
                <c:pt idx="139">
                  <c:v>3264.5742246755813</c:v>
                </c:pt>
                <c:pt idx="140">
                  <c:v>8588.5256531794494</c:v>
                </c:pt>
                <c:pt idx="141">
                  <c:v>3461.5835209435836</c:v>
                </c:pt>
                <c:pt idx="142">
                  <c:v>8631.033883079599</c:v>
                </c:pt>
                <c:pt idx="143">
                  <c:v>7013.4731154849533</c:v>
                </c:pt>
                <c:pt idx="144">
                  <c:v>3686.5910263285114</c:v>
                </c:pt>
                <c:pt idx="145">
                  <c:v>8040.6190937453048</c:v>
                </c:pt>
                <c:pt idx="146">
                  <c:v>5249.7903076085422</c:v>
                </c:pt>
                <c:pt idx="147">
                  <c:v>5982.444173916414</c:v>
                </c:pt>
                <c:pt idx="148">
                  <c:v>7407.6960745108627</c:v>
                </c:pt>
                <c:pt idx="149">
                  <c:v>6619.8632559287571</c:v>
                </c:pt>
                <c:pt idx="150">
                  <c:v>5671.3983762816633</c:v>
                </c:pt>
                <c:pt idx="151">
                  <c:v>7044.9455549302565</c:v>
                </c:pt>
                <c:pt idx="152">
                  <c:v>4733.7649205995112</c:v>
                </c:pt>
                <c:pt idx="153">
                  <c:v>4011.7381117666773</c:v>
                </c:pt>
                <c:pt idx="154">
                  <c:v>5689.9957268629787</c:v>
                </c:pt>
                <c:pt idx="155">
                  <c:v>8865.0335140203279</c:v>
                </c:pt>
                <c:pt idx="156">
                  <c:v>4697.3876853964985</c:v>
                </c:pt>
                <c:pt idx="157">
                  <c:v>8266.2396985999476</c:v>
                </c:pt>
                <c:pt idx="158">
                  <c:v>6297.1685683694468</c:v>
                </c:pt>
                <c:pt idx="159">
                  <c:v>3357.7653440720637</c:v>
                </c:pt>
                <c:pt idx="160">
                  <c:v>3357.560977582159</c:v>
                </c:pt>
                <c:pt idx="161">
                  <c:v>5298.0207992260193</c:v>
                </c:pt>
                <c:pt idx="162">
                  <c:v>3581.5466505175641</c:v>
                </c:pt>
                <c:pt idx="163">
                  <c:v>3476.7066411965216</c:v>
                </c:pt>
                <c:pt idx="164">
                  <c:v>8420.7407649678007</c:v>
                </c:pt>
                <c:pt idx="165">
                  <c:v>3056.7335044426368</c:v>
                </c:pt>
                <c:pt idx="166">
                  <c:v>4382.8676574333695</c:v>
                </c:pt>
                <c:pt idx="167">
                  <c:v>7134.6624439983616</c:v>
                </c:pt>
                <c:pt idx="168">
                  <c:v>7682.3646369425996</c:v>
                </c:pt>
                <c:pt idx="169">
                  <c:v>3144.4067286116961</c:v>
                </c:pt>
                <c:pt idx="170">
                  <c:v>5126.966047175898</c:v>
                </c:pt>
                <c:pt idx="171">
                  <c:v>4614.823623475053</c:v>
                </c:pt>
                <c:pt idx="172">
                  <c:v>7904.1022784890556</c:v>
                </c:pt>
                <c:pt idx="173">
                  <c:v>8913.6727386176135</c:v>
                </c:pt>
                <c:pt idx="174">
                  <c:v>8551.3309520168186</c:v>
                </c:pt>
                <c:pt idx="175">
                  <c:v>6240.9677836456913</c:v>
                </c:pt>
                <c:pt idx="176">
                  <c:v>6213.5826739984795</c:v>
                </c:pt>
                <c:pt idx="177">
                  <c:v>8307.3173630707643</c:v>
                </c:pt>
                <c:pt idx="178">
                  <c:v>9054.4812501618617</c:v>
                </c:pt>
                <c:pt idx="179">
                  <c:v>3459.7442225344425</c:v>
                </c:pt>
                <c:pt idx="180">
                  <c:v>7241.1373852386405</c:v>
                </c:pt>
                <c:pt idx="181">
                  <c:v>6990.1753356358322</c:v>
                </c:pt>
                <c:pt idx="182">
                  <c:v>7982.9877435922172</c:v>
                </c:pt>
                <c:pt idx="183">
                  <c:v>7525.0024397160842</c:v>
                </c:pt>
                <c:pt idx="184">
                  <c:v>8358.8177185267159</c:v>
                </c:pt>
                <c:pt idx="185">
                  <c:v>3158.5080164151109</c:v>
                </c:pt>
                <c:pt idx="186">
                  <c:v>2982.3441021173749</c:v>
                </c:pt>
                <c:pt idx="187">
                  <c:v>5269.2051241494755</c:v>
                </c:pt>
                <c:pt idx="188">
                  <c:v>5961.3944254562439</c:v>
                </c:pt>
                <c:pt idx="189">
                  <c:v>6362.1571121590987</c:v>
                </c:pt>
                <c:pt idx="190">
                  <c:v>6031.0833985137015</c:v>
                </c:pt>
                <c:pt idx="191">
                  <c:v>2941.4708041364611</c:v>
                </c:pt>
                <c:pt idx="192">
                  <c:v>5424.5236564769466</c:v>
                </c:pt>
                <c:pt idx="193">
                  <c:v>5120.4263194989517</c:v>
                </c:pt>
                <c:pt idx="194">
                  <c:v>7496.3911311294451</c:v>
                </c:pt>
                <c:pt idx="195">
                  <c:v>4292.3333024056474</c:v>
                </c:pt>
                <c:pt idx="196">
                  <c:v>7322.8839812004671</c:v>
                </c:pt>
                <c:pt idx="197">
                  <c:v>5756.4148360819636</c:v>
                </c:pt>
                <c:pt idx="198">
                  <c:v>7795.9924053295381</c:v>
                </c:pt>
                <c:pt idx="199">
                  <c:v>6828.112709141511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7D-44B6-B26C-7623EF697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058623"/>
        <c:axId val="970049983"/>
      </c:scatterChart>
      <c:valAx>
        <c:axId val="970058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х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970049983"/>
        <c:crosses val="autoZero"/>
        <c:crossBetween val="midCat"/>
      </c:valAx>
      <c:valAx>
        <c:axId val="970049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у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9700586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227158</xdr:colOff>
      <xdr:row>34</xdr:row>
      <xdr:rowOff>141070</xdr:rowOff>
    </xdr:from>
    <xdr:to>
      <xdr:col>26</xdr:col>
      <xdr:colOff>388775</xdr:colOff>
      <xdr:row>60</xdr:row>
      <xdr:rowOff>77755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1D6FEF7-5025-F986-802A-AB0B7871B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265815</xdr:colOff>
      <xdr:row>1</xdr:row>
      <xdr:rowOff>87008</xdr:rowOff>
    </xdr:from>
    <xdr:to>
      <xdr:col>26</xdr:col>
      <xdr:colOff>478466</xdr:colOff>
      <xdr:row>21</xdr:row>
      <xdr:rowOff>177209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EA95321-7932-5449-645F-D4A44FAF7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1BA6-9843-460E-BC6F-AA9ED23F9CC5}">
  <dimension ref="A1:Z232"/>
  <sheetViews>
    <sheetView tabSelected="1" zoomScale="51" workbookViewId="0">
      <selection activeCell="L12" sqref="L12"/>
    </sheetView>
  </sheetViews>
  <sheetFormatPr defaultRowHeight="14.4" x14ac:dyDescent="0.3"/>
  <cols>
    <col min="1" max="1" width="9" customWidth="1"/>
    <col min="2" max="3" width="9" bestFit="1" customWidth="1"/>
    <col min="4" max="4" width="11.109375" bestFit="1" customWidth="1"/>
    <col min="5" max="5" width="12.44140625" customWidth="1"/>
    <col min="6" max="6" width="11.77734375" customWidth="1"/>
    <col min="10" max="10" width="26.109375" customWidth="1"/>
    <col min="11" max="11" width="16.77734375" customWidth="1"/>
    <col min="12" max="12" width="26.88671875" customWidth="1"/>
    <col min="13" max="13" width="16.88671875" customWidth="1"/>
    <col min="14" max="14" width="18.5546875" customWidth="1"/>
    <col min="15" max="15" width="14.5546875" customWidth="1"/>
    <col min="16" max="16" width="16.33203125" customWidth="1"/>
    <col min="17" max="17" width="19.6640625" customWidth="1"/>
    <col min="18" max="18" width="17.44140625" customWidth="1"/>
    <col min="19" max="19" width="26.5546875" customWidth="1"/>
  </cols>
  <sheetData>
    <row r="1" spans="1:13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K1" s="8" t="s">
        <v>35</v>
      </c>
      <c r="L1" s="8"/>
      <c r="M1" s="8"/>
    </row>
    <row r="2" spans="1:13" x14ac:dyDescent="0.3">
      <c r="A2" s="1">
        <v>0.16882722775335424</v>
      </c>
      <c r="B2" s="1">
        <v>1496.5971861934263</v>
      </c>
      <c r="C2" s="1">
        <f>950+1.65*B2+550*A2</f>
        <v>3512.2403324834982</v>
      </c>
      <c r="D2" s="1">
        <f>C2*C2</f>
        <v>12335832.153123794</v>
      </c>
      <c r="E2" s="1">
        <f>B2*B2</f>
        <v>2239803.137722081</v>
      </c>
      <c r="F2" s="1">
        <f>C2*B2</f>
        <v>5256408.9988298677</v>
      </c>
      <c r="K2" s="3"/>
      <c r="L2" s="3" t="s">
        <v>1</v>
      </c>
      <c r="M2" s="3" t="s">
        <v>2</v>
      </c>
    </row>
    <row r="3" spans="1:13" x14ac:dyDescent="0.3">
      <c r="A3" s="1">
        <v>0.54364136303775012</v>
      </c>
      <c r="B3" s="1">
        <v>1026.0017700735496</v>
      </c>
      <c r="C3" s="1">
        <f t="shared" ref="C3:C66" si="0">950+1.65*B3+550*A3</f>
        <v>2941.9056702921193</v>
      </c>
      <c r="D3" s="1">
        <f t="shared" ref="D3:D66" si="1">C3*C3</f>
        <v>8654808.9728969242</v>
      </c>
      <c r="E3" s="1">
        <f t="shared" ref="E3:E66" si="2">B3*B3</f>
        <v>1052679.6321940569</v>
      </c>
      <c r="F3" s="1">
        <f t="shared" ref="F3:F66" si="3">C3*B3</f>
        <v>3018400.4251091266</v>
      </c>
      <c r="K3" t="s">
        <v>1</v>
      </c>
      <c r="L3">
        <v>1</v>
      </c>
    </row>
    <row r="4" spans="1:13" ht="15" thickBot="1" x14ac:dyDescent="0.35">
      <c r="A4" s="1">
        <v>-1.1241877473366912</v>
      </c>
      <c r="B4" s="1">
        <v>2557.7867976928005</v>
      </c>
      <c r="C4" s="1">
        <f t="shared" si="0"/>
        <v>4552.0449551579404</v>
      </c>
      <c r="D4" s="1">
        <f t="shared" si="1"/>
        <v>20721113.273778856</v>
      </c>
      <c r="E4" s="1">
        <f t="shared" si="2"/>
        <v>6542273.302451591</v>
      </c>
      <c r="F4" s="1">
        <f t="shared" si="3"/>
        <v>11643160.488807097</v>
      </c>
      <c r="K4" s="2" t="s">
        <v>2</v>
      </c>
      <c r="L4" s="2">
        <v>0.95553063420669937</v>
      </c>
      <c r="M4" s="2">
        <v>1</v>
      </c>
    </row>
    <row r="5" spans="1:13" x14ac:dyDescent="0.3">
      <c r="A5" s="1">
        <v>0.63325614974019118</v>
      </c>
      <c r="B5" s="1">
        <v>2069.1244239631337</v>
      </c>
      <c r="C5" s="1">
        <f t="shared" si="0"/>
        <v>4712.3461818962751</v>
      </c>
      <c r="D5" s="1">
        <f t="shared" si="1"/>
        <v>22206206.538032401</v>
      </c>
      <c r="E5" s="1">
        <f t="shared" si="2"/>
        <v>4281275.8818407701</v>
      </c>
      <c r="F5" s="1">
        <f t="shared" si="3"/>
        <v>9750430.5791310035</v>
      </c>
      <c r="L5">
        <f>(200*F202-C202*B202)/SQRT((200*D202-C202*C202)*(200*E202-B202*B202))</f>
        <v>0.95553063420670437</v>
      </c>
    </row>
    <row r="6" spans="1:13" x14ac:dyDescent="0.3">
      <c r="A6" s="1">
        <v>0.16975945982267149</v>
      </c>
      <c r="B6" s="1">
        <v>3814.5390179143651</v>
      </c>
      <c r="C6" s="1">
        <f t="shared" si="0"/>
        <v>7337.3570824611716</v>
      </c>
      <c r="D6" s="1">
        <f t="shared" si="1"/>
        <v>53836808.955543116</v>
      </c>
      <c r="E6" s="1">
        <f t="shared" si="2"/>
        <v>14550707.919191089</v>
      </c>
      <c r="F6" s="1">
        <f t="shared" si="3"/>
        <v>27988634.879418448</v>
      </c>
    </row>
    <row r="7" spans="1:13" x14ac:dyDescent="0.3">
      <c r="A7" s="1">
        <v>0.7691801329201553</v>
      </c>
      <c r="B7" s="1">
        <v>1942.0453505050814</v>
      </c>
      <c r="C7" s="1">
        <f t="shared" si="0"/>
        <v>4577.4239014394698</v>
      </c>
      <c r="D7" s="1">
        <f t="shared" si="1"/>
        <v>20952809.573469337</v>
      </c>
      <c r="E7" s="1">
        <f t="shared" si="2"/>
        <v>3771540.1434184043</v>
      </c>
      <c r="F7" s="1">
        <f t="shared" si="3"/>
        <v>8889564.8050813526</v>
      </c>
    </row>
    <row r="8" spans="1:13" x14ac:dyDescent="0.3">
      <c r="A8" s="1">
        <v>0.19449316823738627</v>
      </c>
      <c r="B8" s="1">
        <v>2864.5588549455242</v>
      </c>
      <c r="C8" s="1">
        <f t="shared" si="0"/>
        <v>5783.4933531906772</v>
      </c>
      <c r="D8" s="1">
        <f t="shared" si="1"/>
        <v>33448795.366400745</v>
      </c>
      <c r="E8" s="1">
        <f t="shared" si="2"/>
        <v>8205697.4334468124</v>
      </c>
      <c r="F8" s="1">
        <f t="shared" si="3"/>
        <v>16567157.097400937</v>
      </c>
    </row>
    <row r="9" spans="1:13" x14ac:dyDescent="0.3">
      <c r="A9" s="1">
        <v>0.67629116529133171</v>
      </c>
      <c r="B9" s="1">
        <v>3991.7905209509568</v>
      </c>
      <c r="C9" s="1">
        <f t="shared" si="0"/>
        <v>7908.4145004793108</v>
      </c>
      <c r="D9" s="1">
        <f t="shared" si="1"/>
        <v>62543019.91139143</v>
      </c>
      <c r="E9" s="1">
        <f t="shared" si="2"/>
        <v>15934391.563153911</v>
      </c>
      <c r="F9" s="1">
        <f t="shared" si="3"/>
        <v>31568734.03876441</v>
      </c>
      <c r="J9" t="s">
        <v>6</v>
      </c>
    </row>
    <row r="10" spans="1:13" ht="15" thickBot="1" x14ac:dyDescent="0.35">
      <c r="A10" s="1">
        <v>-0.1824230366764823</v>
      </c>
      <c r="B10" s="1">
        <v>1495.1322977385785</v>
      </c>
      <c r="C10" s="1">
        <f t="shared" si="0"/>
        <v>3316.6356210965891</v>
      </c>
      <c r="D10" s="1">
        <f t="shared" si="1"/>
        <v>11000071.843126757</v>
      </c>
      <c r="E10" s="1">
        <f t="shared" si="2"/>
        <v>2235420.5877410411</v>
      </c>
      <c r="F10" s="1">
        <f t="shared" si="3"/>
        <v>4958809.0369317606</v>
      </c>
    </row>
    <row r="11" spans="1:13" x14ac:dyDescent="0.3">
      <c r="A11" s="1">
        <v>0.26464363145350944</v>
      </c>
      <c r="B11" s="1">
        <v>2624.0730002746668</v>
      </c>
      <c r="C11" s="1">
        <f t="shared" si="0"/>
        <v>5425.2744477526303</v>
      </c>
      <c r="D11" s="1">
        <f t="shared" si="1"/>
        <v>29433602.833437607</v>
      </c>
      <c r="E11" s="1">
        <f t="shared" si="2"/>
        <v>6885759.1107704919</v>
      </c>
      <c r="F11" s="1">
        <f t="shared" si="3"/>
        <v>14236316.197427731</v>
      </c>
      <c r="J11" s="4" t="s">
        <v>7</v>
      </c>
      <c r="K11" s="4"/>
    </row>
    <row r="12" spans="1:13" x14ac:dyDescent="0.3">
      <c r="A12" s="1">
        <v>0.12474743016355205</v>
      </c>
      <c r="B12" s="1">
        <v>3434.7666859950559</v>
      </c>
      <c r="C12" s="1">
        <f t="shared" si="0"/>
        <v>6685.9761184817953</v>
      </c>
      <c r="D12" s="1">
        <f t="shared" si="1"/>
        <v>44702276.656908892</v>
      </c>
      <c r="E12" s="1">
        <f t="shared" si="2"/>
        <v>11797622.187221458</v>
      </c>
      <c r="F12" s="1">
        <f t="shared" si="3"/>
        <v>22964768.035119802</v>
      </c>
      <c r="J12" t="s">
        <v>8</v>
      </c>
      <c r="K12">
        <v>0.95553063420670015</v>
      </c>
    </row>
    <row r="13" spans="1:13" x14ac:dyDescent="0.3">
      <c r="A13" s="1">
        <v>-2.5285089577664621E-2</v>
      </c>
      <c r="B13" s="1">
        <v>3065.248573259682</v>
      </c>
      <c r="C13" s="1">
        <f t="shared" si="0"/>
        <v>5993.7533466107598</v>
      </c>
      <c r="D13" s="1">
        <f t="shared" si="1"/>
        <v>35925079.180007681</v>
      </c>
      <c r="E13" s="1">
        <f t="shared" si="2"/>
        <v>9395748.815870516</v>
      </c>
      <c r="F13" s="1">
        <f t="shared" si="3"/>
        <v>18372343.894169074</v>
      </c>
      <c r="J13" t="s">
        <v>9</v>
      </c>
      <c r="K13">
        <v>0.9130387929074586</v>
      </c>
    </row>
    <row r="14" spans="1:13" x14ac:dyDescent="0.3">
      <c r="A14" s="1">
        <v>-0.72947273110912647</v>
      </c>
      <c r="B14" s="1">
        <v>4023.8959929197058</v>
      </c>
      <c r="C14" s="1">
        <f t="shared" si="0"/>
        <v>7188.2183862074944</v>
      </c>
      <c r="D14" s="1">
        <f t="shared" si="1"/>
        <v>51670483.567811474</v>
      </c>
      <c r="E14" s="1">
        <f t="shared" si="2"/>
        <v>16191738.961835265</v>
      </c>
      <c r="F14" s="1">
        <f t="shared" si="3"/>
        <v>28924643.160492092</v>
      </c>
      <c r="J14" t="s">
        <v>10</v>
      </c>
      <c r="K14">
        <v>0.91259959489183962</v>
      </c>
    </row>
    <row r="15" spans="1:13" x14ac:dyDescent="0.3">
      <c r="A15" s="1">
        <v>-1.0973940334224608</v>
      </c>
      <c r="B15" s="1">
        <v>1486.2208929715873</v>
      </c>
      <c r="C15" s="1">
        <f t="shared" si="0"/>
        <v>2798.6977550207657</v>
      </c>
      <c r="D15" s="1">
        <f t="shared" si="1"/>
        <v>7832709.1239582738</v>
      </c>
      <c r="E15" s="1">
        <f t="shared" si="2"/>
        <v>2208852.5427052625</v>
      </c>
      <c r="F15" s="1">
        <f t="shared" si="3"/>
        <v>4159483.0766245392</v>
      </c>
      <c r="J15" t="s">
        <v>11</v>
      </c>
      <c r="K15">
        <v>335.74308638545824</v>
      </c>
    </row>
    <row r="16" spans="1:13" ht="15" thickBot="1" x14ac:dyDescent="0.35">
      <c r="A16" s="1">
        <v>-1.5700743460911326</v>
      </c>
      <c r="B16" s="1">
        <v>2418.2561723685417</v>
      </c>
      <c r="C16" s="1">
        <f t="shared" si="0"/>
        <v>4076.5817940579709</v>
      </c>
      <c r="D16" s="1">
        <f t="shared" si="1"/>
        <v>16618519.123644905</v>
      </c>
      <c r="E16" s="1">
        <f t="shared" si="2"/>
        <v>5847962.9151985496</v>
      </c>
      <c r="F16" s="1">
        <f t="shared" si="3"/>
        <v>9858219.0856459122</v>
      </c>
      <c r="J16" s="2" t="s">
        <v>12</v>
      </c>
      <c r="K16" s="2">
        <v>200</v>
      </c>
    </row>
    <row r="17" spans="1:18" x14ac:dyDescent="0.3">
      <c r="A17" s="1">
        <v>0.87651642388664186</v>
      </c>
      <c r="B17" s="1">
        <v>2662.7704702902311</v>
      </c>
      <c r="C17" s="1">
        <f t="shared" si="0"/>
        <v>5825.6553091165342</v>
      </c>
      <c r="D17" s="1">
        <f t="shared" si="1"/>
        <v>33938259.780637659</v>
      </c>
      <c r="E17" s="1">
        <f t="shared" si="2"/>
        <v>7090346.577449658</v>
      </c>
      <c r="F17" s="1">
        <f t="shared" si="3"/>
        <v>15512382.927205015</v>
      </c>
    </row>
    <row r="18" spans="1:18" ht="15" thickBot="1" x14ac:dyDescent="0.35">
      <c r="A18" s="1">
        <v>-0.63447259890381247</v>
      </c>
      <c r="B18" s="1">
        <v>1813.9896847437972</v>
      </c>
      <c r="C18" s="1">
        <f t="shared" si="0"/>
        <v>3594.1230504301684</v>
      </c>
      <c r="D18" s="1">
        <f t="shared" si="1"/>
        <v>12917720.50163346</v>
      </c>
      <c r="E18" s="1">
        <f t="shared" si="2"/>
        <v>3290558.5763569009</v>
      </c>
      <c r="F18" s="1">
        <f t="shared" si="3"/>
        <v>6519702.1391802356</v>
      </c>
      <c r="J18" t="s">
        <v>13</v>
      </c>
    </row>
    <row r="19" spans="1:18" x14ac:dyDescent="0.3">
      <c r="A19" s="1">
        <v>7.4589934229152277E-3</v>
      </c>
      <c r="B19" s="1">
        <v>3687.9482406079287</v>
      </c>
      <c r="C19" s="1">
        <f t="shared" si="0"/>
        <v>7039.2170433856854</v>
      </c>
      <c r="D19" s="1">
        <f t="shared" si="1"/>
        <v>49550576.583891511</v>
      </c>
      <c r="E19" s="1">
        <f t="shared" si="2"/>
        <v>13600962.225403117</v>
      </c>
      <c r="F19" s="1">
        <f t="shared" si="3"/>
        <v>25960268.110411584</v>
      </c>
      <c r="J19" s="3"/>
      <c r="K19" s="3" t="s">
        <v>18</v>
      </c>
      <c r="L19" s="3" t="s">
        <v>19</v>
      </c>
      <c r="M19" s="3" t="s">
        <v>20</v>
      </c>
      <c r="N19" s="3" t="s">
        <v>21</v>
      </c>
      <c r="O19" s="3" t="s">
        <v>22</v>
      </c>
    </row>
    <row r="20" spans="1:18" x14ac:dyDescent="0.3">
      <c r="A20" s="1">
        <v>-0.47800199354242068</v>
      </c>
      <c r="B20" s="1">
        <v>1135.7463301492355</v>
      </c>
      <c r="C20" s="1">
        <f t="shared" si="0"/>
        <v>2561.0803482979072</v>
      </c>
      <c r="D20" s="1">
        <f t="shared" si="1"/>
        <v>6559132.5504377298</v>
      </c>
      <c r="E20" s="1">
        <f t="shared" si="2"/>
        <v>1289919.7264474563</v>
      </c>
      <c r="F20" s="1">
        <f t="shared" si="3"/>
        <v>2908737.606796674</v>
      </c>
      <c r="J20" t="s">
        <v>14</v>
      </c>
      <c r="K20">
        <v>1</v>
      </c>
      <c r="L20">
        <v>234338161.19356728</v>
      </c>
      <c r="M20">
        <v>234338161.19356728</v>
      </c>
      <c r="N20">
        <v>2078.8773182885375</v>
      </c>
      <c r="O20">
        <v>5.8322793106945254E-107</v>
      </c>
    </row>
    <row r="21" spans="1:18" x14ac:dyDescent="0.3">
      <c r="A21" s="1">
        <v>0.75486241257749498</v>
      </c>
      <c r="B21" s="1">
        <v>2425.2143925290688</v>
      </c>
      <c r="C21" s="1">
        <f t="shared" si="0"/>
        <v>5366.7780745905857</v>
      </c>
      <c r="D21" s="1">
        <f t="shared" si="1"/>
        <v>28802306.901906233</v>
      </c>
      <c r="E21" s="1">
        <f t="shared" si="2"/>
        <v>5881664.8497301405</v>
      </c>
      <c r="F21" s="1">
        <f t="shared" si="3"/>
        <v>13015587.428006534</v>
      </c>
      <c r="J21" t="s">
        <v>15</v>
      </c>
      <c r="K21">
        <v>198</v>
      </c>
      <c r="L21">
        <v>22319237.171015389</v>
      </c>
      <c r="M21">
        <v>112723.42005563328</v>
      </c>
    </row>
    <row r="22" spans="1:18" ht="15" thickBot="1" x14ac:dyDescent="0.35">
      <c r="A22" s="1">
        <v>0.53965550250723027</v>
      </c>
      <c r="B22" s="1">
        <v>3132.5113681447797</v>
      </c>
      <c r="C22" s="1">
        <f t="shared" si="0"/>
        <v>6415.4542838178631</v>
      </c>
      <c r="D22" s="1">
        <f t="shared" si="1"/>
        <v>41158053.667756975</v>
      </c>
      <c r="E22" s="1">
        <f t="shared" si="2"/>
        <v>9812627.4715562798</v>
      </c>
      <c r="F22" s="1">
        <f t="shared" si="3"/>
        <v>20096483.475872584</v>
      </c>
      <c r="J22" s="2" t="s">
        <v>16</v>
      </c>
      <c r="K22" s="2">
        <v>199</v>
      </c>
      <c r="L22" s="2">
        <v>256657398.36458266</v>
      </c>
      <c r="M22" s="2"/>
      <c r="N22" s="2"/>
      <c r="O22" s="2"/>
    </row>
    <row r="23" spans="1:18" ht="15" thickBot="1" x14ac:dyDescent="0.35">
      <c r="A23" s="1">
        <v>-2.0770585251739249E-2</v>
      </c>
      <c r="B23" s="1">
        <v>4860.4693746757403</v>
      </c>
      <c r="C23" s="1">
        <f t="shared" si="0"/>
        <v>8958.3506463265148</v>
      </c>
      <c r="D23" s="1">
        <f t="shared" si="1"/>
        <v>80252046.302538693</v>
      </c>
      <c r="E23" s="1">
        <f t="shared" si="2"/>
        <v>23624162.542160783</v>
      </c>
      <c r="F23" s="1">
        <f t="shared" si="3"/>
        <v>43541788.964076646</v>
      </c>
    </row>
    <row r="24" spans="1:18" x14ac:dyDescent="0.3">
      <c r="A24" s="1">
        <v>-0.22185531634022482</v>
      </c>
      <c r="B24" s="1">
        <v>1398.4496597186194</v>
      </c>
      <c r="C24" s="1">
        <f t="shared" si="0"/>
        <v>3135.4215145485982</v>
      </c>
      <c r="D24" s="1">
        <f t="shared" si="1"/>
        <v>9830868.0738942251</v>
      </c>
      <c r="E24" s="1">
        <f t="shared" si="2"/>
        <v>1955661.4507671224</v>
      </c>
      <c r="F24" s="1">
        <f t="shared" si="3"/>
        <v>4384729.1500949254</v>
      </c>
      <c r="J24" s="3"/>
      <c r="K24" s="3" t="s">
        <v>23</v>
      </c>
      <c r="L24" s="3" t="s">
        <v>11</v>
      </c>
      <c r="M24" s="3" t="s">
        <v>24</v>
      </c>
      <c r="N24" s="3" t="s">
        <v>25</v>
      </c>
      <c r="O24" s="3" t="s">
        <v>26</v>
      </c>
      <c r="P24" s="3" t="s">
        <v>27</v>
      </c>
      <c r="Q24" s="3" t="s">
        <v>28</v>
      </c>
      <c r="R24" s="3" t="s">
        <v>29</v>
      </c>
    </row>
    <row r="25" spans="1:18" x14ac:dyDescent="0.3">
      <c r="A25" s="1">
        <v>-0.60784486777265556</v>
      </c>
      <c r="B25" s="1">
        <v>4804.6815393536181</v>
      </c>
      <c r="C25" s="1">
        <f t="shared" si="0"/>
        <v>8543.4098626585092</v>
      </c>
      <c r="D25" s="1">
        <f t="shared" si="1"/>
        <v>72989852.081370682</v>
      </c>
      <c r="E25" s="1">
        <f t="shared" si="2"/>
        <v>23084964.694605451</v>
      </c>
      <c r="F25" s="1">
        <f t="shared" si="3"/>
        <v>41048363.65024697</v>
      </c>
      <c r="J25" t="s">
        <v>17</v>
      </c>
      <c r="K25">
        <v>-249.46993330188388</v>
      </c>
      <c r="L25">
        <v>74.97192469468375</v>
      </c>
      <c r="M25">
        <v>-3.3275113893344366</v>
      </c>
      <c r="N25">
        <v>1.0446124292365581E-3</v>
      </c>
      <c r="O25">
        <v>-397.31587914682768</v>
      </c>
      <c r="P25">
        <v>-101.62398745694006</v>
      </c>
      <c r="Q25">
        <v>-397.31587914682768</v>
      </c>
      <c r="R25">
        <v>-101.62398745694006</v>
      </c>
    </row>
    <row r="26" spans="1:18" ht="15" thickBot="1" x14ac:dyDescent="0.35">
      <c r="A26" s="1">
        <v>1.6376043276977725</v>
      </c>
      <c r="B26" s="1">
        <v>2968.6880092776269</v>
      </c>
      <c r="C26" s="1">
        <f t="shared" si="0"/>
        <v>6749.017595541859</v>
      </c>
      <c r="D26" s="1">
        <f t="shared" si="1"/>
        <v>45549238.504933618</v>
      </c>
      <c r="E26" s="1">
        <f t="shared" si="2"/>
        <v>8813108.4964287598</v>
      </c>
      <c r="F26" s="1">
        <f t="shared" si="3"/>
        <v>20035727.610288836</v>
      </c>
      <c r="J26" s="2" t="s">
        <v>2</v>
      </c>
      <c r="K26" s="2">
        <v>0.54538457975789023</v>
      </c>
      <c r="L26" s="2">
        <v>1.1961576553184462E-2</v>
      </c>
      <c r="M26" s="2">
        <v>45.594707130198124</v>
      </c>
      <c r="N26" s="2">
        <v>5.832279310694028E-107</v>
      </c>
      <c r="O26" s="2">
        <v>0.52179614173253352</v>
      </c>
      <c r="P26" s="2">
        <v>0.56897301778324694</v>
      </c>
      <c r="Q26" s="2">
        <v>0.52179614173253352</v>
      </c>
      <c r="R26" s="2">
        <v>0.56897301778324694</v>
      </c>
    </row>
    <row r="27" spans="1:18" x14ac:dyDescent="0.3">
      <c r="A27" s="1">
        <v>-0.54532847570953891</v>
      </c>
      <c r="B27" s="1">
        <v>2998.3520004882962</v>
      </c>
      <c r="C27" s="1">
        <f t="shared" si="0"/>
        <v>5597.3501391654418</v>
      </c>
      <c r="D27" s="1">
        <f t="shared" si="1"/>
        <v>31330328.58041539</v>
      </c>
      <c r="E27" s="1">
        <f t="shared" si="2"/>
        <v>8990114.7188321669</v>
      </c>
      <c r="F27" s="1">
        <f t="shared" si="3"/>
        <v>16782825.987200145</v>
      </c>
    </row>
    <row r="28" spans="1:18" x14ac:dyDescent="0.3">
      <c r="A28" s="1">
        <v>-0.83742065726255532</v>
      </c>
      <c r="B28" s="1">
        <v>2333.6588641010776</v>
      </c>
      <c r="C28" s="1">
        <f t="shared" si="0"/>
        <v>4339.9557642723721</v>
      </c>
      <c r="D28" s="1">
        <f t="shared" si="1"/>
        <v>18835216.035840988</v>
      </c>
      <c r="E28" s="1">
        <f t="shared" si="2"/>
        <v>5445963.6939975321</v>
      </c>
      <c r="F28" s="1">
        <f t="shared" si="3"/>
        <v>10127976.239100788</v>
      </c>
    </row>
    <row r="29" spans="1:18" x14ac:dyDescent="0.3">
      <c r="A29" s="1">
        <v>1.6991180018521845</v>
      </c>
      <c r="B29" s="1">
        <v>3084.4141972106081</v>
      </c>
      <c r="C29" s="1">
        <f t="shared" si="0"/>
        <v>6973.7983264162049</v>
      </c>
      <c r="D29" s="1">
        <f t="shared" si="1"/>
        <v>48633863.097525463</v>
      </c>
      <c r="E29" s="1">
        <f t="shared" si="2"/>
        <v>9513610.9399543609</v>
      </c>
      <c r="F29" s="1">
        <f t="shared" si="3"/>
        <v>21510082.566481721</v>
      </c>
    </row>
    <row r="30" spans="1:18" x14ac:dyDescent="0.3">
      <c r="A30" s="1">
        <v>1.1052497939090244</v>
      </c>
      <c r="B30" s="1">
        <v>3474.806970427564</v>
      </c>
      <c r="C30" s="1">
        <f t="shared" si="0"/>
        <v>7291.3188878554438</v>
      </c>
      <c r="D30" s="1">
        <f t="shared" si="1"/>
        <v>53163331.124397546</v>
      </c>
      <c r="E30" s="1">
        <f t="shared" si="2"/>
        <v>12074283.481731987</v>
      </c>
      <c r="F30" s="1">
        <f t="shared" si="3"/>
        <v>25335925.695130251</v>
      </c>
      <c r="J30" t="s">
        <v>30</v>
      </c>
      <c r="O30" cm="1">
        <f t="array" ref="O30:P30">LINEST(C2:C201, B2:B201)</f>
        <v>1.6741191936757345</v>
      </c>
      <c r="P30">
        <v>934.64296489609205</v>
      </c>
    </row>
    <row r="31" spans="1:18" ht="15" thickBot="1" x14ac:dyDescent="0.35">
      <c r="A31" s="1">
        <v>-0.56837507145246491</v>
      </c>
      <c r="B31" s="1">
        <v>3639.8510696737571</v>
      </c>
      <c r="C31" s="1">
        <f t="shared" si="0"/>
        <v>6643.1479756628432</v>
      </c>
      <c r="D31" s="1">
        <f t="shared" si="1"/>
        <v>44131415.026553333</v>
      </c>
      <c r="E31" s="1">
        <f t="shared" si="2"/>
        <v>13248515.809405195</v>
      </c>
      <c r="F31" s="1">
        <f t="shared" si="3"/>
        <v>24180069.265217453</v>
      </c>
      <c r="O31">
        <f>K26</f>
        <v>0.54538457975789023</v>
      </c>
    </row>
    <row r="32" spans="1:18" x14ac:dyDescent="0.3">
      <c r="A32" s="1">
        <v>-1.4411580195883289</v>
      </c>
      <c r="B32" s="1">
        <v>1345.2253791924802</v>
      </c>
      <c r="C32" s="1">
        <f t="shared" si="0"/>
        <v>2376.9849648940112</v>
      </c>
      <c r="D32" s="1">
        <f t="shared" si="1"/>
        <v>5650057.5233321842</v>
      </c>
      <c r="E32" s="1">
        <f t="shared" si="2"/>
        <v>1809631.3208235521</v>
      </c>
      <c r="F32" s="1">
        <f t="shared" si="3"/>
        <v>3197580.5007343707</v>
      </c>
      <c r="J32" s="3" t="s">
        <v>31</v>
      </c>
      <c r="K32" s="3" t="s">
        <v>32</v>
      </c>
      <c r="L32" s="3" t="s">
        <v>33</v>
      </c>
    </row>
    <row r="33" spans="1:26" x14ac:dyDescent="0.3">
      <c r="A33" s="1">
        <v>0.17092361304094084</v>
      </c>
      <c r="B33" s="1">
        <v>1000.4882961516159</v>
      </c>
      <c r="C33" s="1">
        <f t="shared" si="0"/>
        <v>2694.8136758226838</v>
      </c>
      <c r="D33" s="1">
        <f t="shared" si="1"/>
        <v>7262020.7474009646</v>
      </c>
      <c r="E33" s="1">
        <f t="shared" si="2"/>
        <v>1000976.8307363635</v>
      </c>
      <c r="F33" s="1">
        <f t="shared" si="3"/>
        <v>2696129.54296991</v>
      </c>
      <c r="J33">
        <v>1</v>
      </c>
      <c r="K33">
        <v>3440.1250395036041</v>
      </c>
      <c r="L33">
        <v>72.115292979894093</v>
      </c>
      <c r="O33">
        <f>L4</f>
        <v>0.95553063420669937</v>
      </c>
      <c r="P33">
        <f>SQRT(O30*O31)</f>
        <v>0.95553063420670004</v>
      </c>
    </row>
    <row r="34" spans="1:26" ht="23.4" x14ac:dyDescent="0.45">
      <c r="A34" s="1">
        <v>2.0239986042724922</v>
      </c>
      <c r="B34" s="1">
        <v>3600.5432294686725</v>
      </c>
      <c r="C34" s="1">
        <f t="shared" si="0"/>
        <v>8004.09556097318</v>
      </c>
      <c r="D34" s="1">
        <f t="shared" si="1"/>
        <v>64065545.749190561</v>
      </c>
      <c r="E34" s="1">
        <f t="shared" si="2"/>
        <v>12963911.547272697</v>
      </c>
      <c r="F34" s="1">
        <f t="shared" si="3"/>
        <v>28819092.080082238</v>
      </c>
      <c r="J34">
        <v>2</v>
      </c>
      <c r="K34">
        <v>2652.2922209214994</v>
      </c>
      <c r="L34">
        <v>289.61344937061995</v>
      </c>
      <c r="Q34" s="5" t="s">
        <v>34</v>
      </c>
      <c r="R34" s="6"/>
      <c r="S34" s="6"/>
      <c r="T34" s="6"/>
      <c r="U34" s="6"/>
      <c r="V34" s="6"/>
      <c r="W34" s="6"/>
      <c r="X34" s="6"/>
      <c r="Y34" s="6"/>
      <c r="Z34" s="7"/>
    </row>
    <row r="35" spans="1:26" x14ac:dyDescent="0.3">
      <c r="A35" s="1">
        <v>-1.067569428414572</v>
      </c>
      <c r="B35" s="1">
        <v>1460.0970488601338</v>
      </c>
      <c r="C35" s="1">
        <f t="shared" si="0"/>
        <v>2771.996944991206</v>
      </c>
      <c r="D35" s="1">
        <f t="shared" si="1"/>
        <v>7683967.0630405787</v>
      </c>
      <c r="E35" s="1">
        <f t="shared" si="2"/>
        <v>2131883.3920900719</v>
      </c>
      <c r="F35" s="1">
        <f t="shared" si="3"/>
        <v>4047384.5588309662</v>
      </c>
      <c r="J35">
        <v>3</v>
      </c>
      <c r="K35">
        <v>5216.6829362440021</v>
      </c>
      <c r="L35">
        <v>-664.6379810860617</v>
      </c>
    </row>
    <row r="36" spans="1:26" x14ac:dyDescent="0.3">
      <c r="A36" s="1">
        <v>0.71616113928030245</v>
      </c>
      <c r="B36" s="1">
        <v>1830.2255317850277</v>
      </c>
      <c r="C36" s="1">
        <f t="shared" si="0"/>
        <v>4363.7607540494619</v>
      </c>
      <c r="D36" s="1">
        <f t="shared" si="1"/>
        <v>19042407.918582328</v>
      </c>
      <c r="E36" s="1">
        <f t="shared" si="2"/>
        <v>3349725.4971977873</v>
      </c>
      <c r="F36" s="1">
        <f t="shared" si="3"/>
        <v>7986666.3466628101</v>
      </c>
      <c r="J36">
        <v>4</v>
      </c>
      <c r="K36">
        <v>4398.6038771560216</v>
      </c>
      <c r="L36">
        <v>313.74230474025353</v>
      </c>
    </row>
    <row r="37" spans="1:26" x14ac:dyDescent="0.3">
      <c r="A37" s="1">
        <v>-1.0120106708200183</v>
      </c>
      <c r="B37" s="1">
        <v>4090.1821955015716</v>
      </c>
      <c r="C37" s="1">
        <f t="shared" si="0"/>
        <v>7142.1947536265825</v>
      </c>
      <c r="D37" s="1">
        <f t="shared" si="1"/>
        <v>51010945.898731083</v>
      </c>
      <c r="E37" s="1">
        <f t="shared" si="2"/>
        <v>16729590.392398058</v>
      </c>
      <c r="F37" s="1">
        <f t="shared" si="3"/>
        <v>29212877.818088181</v>
      </c>
      <c r="J37">
        <v>5</v>
      </c>
      <c r="K37">
        <v>7320.6359498115171</v>
      </c>
      <c r="L37">
        <v>16.721132649654464</v>
      </c>
    </row>
    <row r="38" spans="1:26" x14ac:dyDescent="0.3">
      <c r="A38" s="1">
        <v>1.5398381947306916</v>
      </c>
      <c r="B38" s="1">
        <v>1549.4552446058535</v>
      </c>
      <c r="C38" s="1">
        <f t="shared" si="0"/>
        <v>4353.512160701539</v>
      </c>
      <c r="D38" s="1">
        <f t="shared" si="1"/>
        <v>18953068.133376181</v>
      </c>
      <c r="E38" s="1">
        <f t="shared" si="2"/>
        <v>2400811.5550365853</v>
      </c>
      <c r="F38" s="1">
        <f t="shared" si="3"/>
        <v>6745572.2498543607</v>
      </c>
      <c r="J38">
        <v>6</v>
      </c>
      <c r="K38">
        <v>4185.8583611653685</v>
      </c>
      <c r="L38">
        <v>391.56554027410129</v>
      </c>
    </row>
    <row r="39" spans="1:26" x14ac:dyDescent="0.3">
      <c r="A39" s="1">
        <v>-1.6590274753980339</v>
      </c>
      <c r="B39" s="1">
        <v>3405.9572130497145</v>
      </c>
      <c r="C39" s="1">
        <f t="shared" si="0"/>
        <v>5657.3642900631103</v>
      </c>
      <c r="D39" s="1">
        <f t="shared" si="1"/>
        <v>32005770.710481279</v>
      </c>
      <c r="E39" s="1">
        <f t="shared" si="2"/>
        <v>11600544.537125379</v>
      </c>
      <c r="F39" s="1">
        <f t="shared" si="3"/>
        <v>19268740.710590329</v>
      </c>
      <c r="J39">
        <v>7</v>
      </c>
      <c r="K39">
        <v>5730.2559253741783</v>
      </c>
      <c r="L39">
        <v>53.237427816498894</v>
      </c>
    </row>
    <row r="40" spans="1:26" x14ac:dyDescent="0.3">
      <c r="A40" s="1">
        <v>0.94043343779048882</v>
      </c>
      <c r="B40" s="1">
        <v>4279.5190282906588</v>
      </c>
      <c r="C40" s="1">
        <f t="shared" si="0"/>
        <v>8528.4447874643556</v>
      </c>
      <c r="D40" s="1">
        <f t="shared" si="1"/>
        <v>72734370.492827937</v>
      </c>
      <c r="E40" s="1">
        <f t="shared" si="2"/>
        <v>18314283.113501824</v>
      </c>
      <c r="F40" s="1">
        <f t="shared" si="3"/>
        <v>36497641.74967999</v>
      </c>
      <c r="J40">
        <v>8</v>
      </c>
      <c r="K40">
        <v>7617.3760931529478</v>
      </c>
      <c r="L40">
        <v>291.03840732636309</v>
      </c>
    </row>
    <row r="41" spans="1:26" x14ac:dyDescent="0.3">
      <c r="A41" s="1">
        <v>-0.77299091572058387</v>
      </c>
      <c r="B41" s="1">
        <v>4890.7437360759304</v>
      </c>
      <c r="C41" s="1">
        <f t="shared" si="0"/>
        <v>8594.5821608789629</v>
      </c>
      <c r="D41" s="1">
        <f t="shared" si="1"/>
        <v>73866842.52009891</v>
      </c>
      <c r="E41" s="1">
        <f t="shared" si="2"/>
        <v>23919374.29196595</v>
      </c>
      <c r="F41" s="1">
        <f t="shared" si="3"/>
        <v>42033898.867508724</v>
      </c>
      <c r="J41">
        <v>9</v>
      </c>
      <c r="K41">
        <v>3437.6726416247493</v>
      </c>
      <c r="L41">
        <v>-121.03702052816016</v>
      </c>
    </row>
    <row r="42" spans="1:26" x14ac:dyDescent="0.3">
      <c r="A42" s="1">
        <v>-0.85592205323337112</v>
      </c>
      <c r="B42" s="1">
        <v>3679.2809839167453</v>
      </c>
      <c r="C42" s="1">
        <f t="shared" si="0"/>
        <v>6550.0564941842749</v>
      </c>
      <c r="D42" s="1">
        <f t="shared" si="1"/>
        <v>42903240.077005595</v>
      </c>
      <c r="E42" s="1">
        <f t="shared" si="2"/>
        <v>13537108.558611372</v>
      </c>
      <c r="F42" s="1">
        <f t="shared" si="3"/>
        <v>24099498.302632585</v>
      </c>
      <c r="J42">
        <v>10</v>
      </c>
      <c r="K42">
        <v>5327.6539402621829</v>
      </c>
      <c r="L42">
        <v>97.62050749044738</v>
      </c>
    </row>
    <row r="43" spans="1:26" x14ac:dyDescent="0.3">
      <c r="A43" s="1">
        <v>-0.56325689001823775</v>
      </c>
      <c r="B43" s="1">
        <v>4491.8057802056946</v>
      </c>
      <c r="C43" s="1">
        <f t="shared" si="0"/>
        <v>8051.6882478293646</v>
      </c>
      <c r="D43" s="1">
        <f t="shared" si="1"/>
        <v>64829683.640233502</v>
      </c>
      <c r="E43" s="1">
        <f t="shared" si="2"/>
        <v>20176319.167089291</v>
      </c>
      <c r="F43" s="1">
        <f t="shared" si="3"/>
        <v>36166619.8120142</v>
      </c>
      <c r="J43">
        <v>11</v>
      </c>
      <c r="K43">
        <v>6684.8517997184099</v>
      </c>
      <c r="L43">
        <v>1.1243187633854177</v>
      </c>
    </row>
    <row r="44" spans="1:26" x14ac:dyDescent="0.3">
      <c r="A44" s="1">
        <v>2.482083800714463</v>
      </c>
      <c r="B44" s="1">
        <v>3385.0825525681325</v>
      </c>
      <c r="C44" s="1">
        <f t="shared" si="0"/>
        <v>7900.532302130373</v>
      </c>
      <c r="D44" s="1">
        <f t="shared" si="1"/>
        <v>62418410.657005452</v>
      </c>
      <c r="E44" s="1">
        <f t="shared" si="2"/>
        <v>11458783.887701184</v>
      </c>
      <c r="F44" s="1">
        <f t="shared" si="3"/>
        <v>26743954.051942468</v>
      </c>
      <c r="J44">
        <v>12</v>
      </c>
      <c r="K44">
        <v>6066.234434777286</v>
      </c>
      <c r="L44">
        <v>-72.481088166526206</v>
      </c>
    </row>
    <row r="45" spans="1:26" x14ac:dyDescent="0.3">
      <c r="A45" s="1">
        <v>-0.44768853513232898</v>
      </c>
      <c r="B45" s="1">
        <v>2116.9774468214973</v>
      </c>
      <c r="C45" s="1">
        <f t="shared" si="0"/>
        <v>4196.7840929326894</v>
      </c>
      <c r="D45" s="1">
        <f t="shared" si="1"/>
        <v>17612996.722692858</v>
      </c>
      <c r="E45" s="1">
        <f t="shared" si="2"/>
        <v>4481593.5103508653</v>
      </c>
      <c r="F45" s="1">
        <f t="shared" si="3"/>
        <v>8884497.2739177179</v>
      </c>
      <c r="J45">
        <v>13</v>
      </c>
      <c r="K45">
        <v>7671.1244799978485</v>
      </c>
      <c r="L45">
        <v>-482.90609379035413</v>
      </c>
    </row>
    <row r="46" spans="1:26" x14ac:dyDescent="0.3">
      <c r="A46" s="1">
        <v>-0.54506131164089311</v>
      </c>
      <c r="B46" s="1">
        <v>3473.0979338969082</v>
      </c>
      <c r="C46" s="1">
        <f t="shared" si="0"/>
        <v>6380.8278695274066</v>
      </c>
      <c r="D46" s="1">
        <f t="shared" si="1"/>
        <v>40714964.300537661</v>
      </c>
      <c r="E46" s="1">
        <f t="shared" si="2"/>
        <v>12062409.258438973</v>
      </c>
      <c r="F46" s="1">
        <f t="shared" si="3"/>
        <v>22161240.090207446</v>
      </c>
      <c r="J46">
        <v>14</v>
      </c>
      <c r="K46">
        <v>3422.7538878617161</v>
      </c>
      <c r="L46">
        <v>-624.05613284095034</v>
      </c>
    </row>
    <row r="47" spans="1:26" x14ac:dyDescent="0.3">
      <c r="A47" s="1">
        <v>-2.4837572709657252</v>
      </c>
      <c r="B47" s="1">
        <v>1387.2188482314523</v>
      </c>
      <c r="C47" s="1">
        <f t="shared" si="0"/>
        <v>1872.8446005507471</v>
      </c>
      <c r="D47" s="1">
        <f t="shared" si="1"/>
        <v>3507546.8978120876</v>
      </c>
      <c r="E47" s="1">
        <f t="shared" si="2"/>
        <v>1924376.132888597</v>
      </c>
      <c r="F47" s="1">
        <f t="shared" si="3"/>
        <v>2598045.3296925016</v>
      </c>
      <c r="J47">
        <v>15</v>
      </c>
      <c r="K47">
        <v>4983.0920382830827</v>
      </c>
      <c r="L47">
        <v>-906.51024422511182</v>
      </c>
    </row>
    <row r="48" spans="1:26" x14ac:dyDescent="0.3">
      <c r="A48" s="1">
        <v>3.5227276384830475</v>
      </c>
      <c r="B48" s="1">
        <v>3781.2128055665762</v>
      </c>
      <c r="C48" s="1">
        <f t="shared" si="0"/>
        <v>9126.5013303505257</v>
      </c>
      <c r="D48" s="1">
        <f t="shared" si="1"/>
        <v>83293026.532889917</v>
      </c>
      <c r="E48" s="1">
        <f t="shared" si="2"/>
        <v>14297570.280980658</v>
      </c>
      <c r="F48" s="1">
        <f t="shared" si="3"/>
        <v>34509243.700341798</v>
      </c>
      <c r="J48">
        <v>16</v>
      </c>
      <c r="K48">
        <v>5392.4381175619301</v>
      </c>
      <c r="L48">
        <v>433.21719155460414</v>
      </c>
    </row>
    <row r="49" spans="1:12" x14ac:dyDescent="0.3">
      <c r="A49" s="1">
        <v>-0.77764070738339797</v>
      </c>
      <c r="B49" s="1">
        <v>3938.3220923490098</v>
      </c>
      <c r="C49" s="1">
        <f t="shared" si="0"/>
        <v>7020.5290633149971</v>
      </c>
      <c r="D49" s="1">
        <f t="shared" si="1"/>
        <v>49287828.328850552</v>
      </c>
      <c r="E49" s="1">
        <f t="shared" si="2"/>
        <v>15510380.903084282</v>
      </c>
      <c r="F49" s="1">
        <f t="shared" si="3"/>
        <v>27649104.710031755</v>
      </c>
      <c r="J49">
        <v>17</v>
      </c>
      <c r="K49">
        <v>3971.4779132554777</v>
      </c>
      <c r="L49">
        <v>-377.35486282530928</v>
      </c>
    </row>
    <row r="50" spans="1:12" x14ac:dyDescent="0.3">
      <c r="A50" s="1">
        <v>0.42396663957333658</v>
      </c>
      <c r="B50" s="1">
        <v>4206.3966795861688</v>
      </c>
      <c r="C50" s="1">
        <f t="shared" si="0"/>
        <v>8123.7361730825132</v>
      </c>
      <c r="D50" s="1">
        <f t="shared" si="1"/>
        <v>65995089.409849316</v>
      </c>
      <c r="E50" s="1">
        <f t="shared" si="2"/>
        <v>17693773.026033547</v>
      </c>
      <c r="F50" s="1">
        <f t="shared" si="3"/>
        <v>34171656.86428833</v>
      </c>
      <c r="J50">
        <v>18</v>
      </c>
      <c r="K50">
        <v>7108.7078997804811</v>
      </c>
      <c r="L50">
        <v>-69.490856394795628</v>
      </c>
    </row>
    <row r="51" spans="1:12" x14ac:dyDescent="0.3">
      <c r="A51" s="1">
        <v>-0.17247657524421811</v>
      </c>
      <c r="B51" s="1">
        <v>2916.9286172063357</v>
      </c>
      <c r="C51" s="1">
        <f t="shared" si="0"/>
        <v>5668.0701020061333</v>
      </c>
      <c r="D51" s="1">
        <f t="shared" si="1"/>
        <v>32127018.681255817</v>
      </c>
      <c r="E51" s="1">
        <f t="shared" si="2"/>
        <v>8508472.5578772668</v>
      </c>
      <c r="F51" s="1">
        <f t="shared" si="3"/>
        <v>16533355.884873325</v>
      </c>
      <c r="J51">
        <v>19</v>
      </c>
      <c r="K51">
        <v>2836.0176953457049</v>
      </c>
      <c r="L51">
        <v>-274.93734704779763</v>
      </c>
    </row>
    <row r="52" spans="1:12" x14ac:dyDescent="0.3">
      <c r="A52" s="1">
        <v>-1.36405105877202</v>
      </c>
      <c r="B52" s="1">
        <v>1043.0921353801079</v>
      </c>
      <c r="C52" s="1">
        <f t="shared" si="0"/>
        <v>1920.8739410525668</v>
      </c>
      <c r="D52" s="1">
        <f t="shared" si="1"/>
        <v>3689756.6974148201</v>
      </c>
      <c r="E52" s="1">
        <f t="shared" si="2"/>
        <v>1088041.2028918334</v>
      </c>
      <c r="F52" s="1">
        <f t="shared" si="3"/>
        <v>2003648.5009685254</v>
      </c>
      <c r="J52">
        <v>20</v>
      </c>
      <c r="K52">
        <v>4994.7409282076424</v>
      </c>
      <c r="L52">
        <v>372.03714638294332</v>
      </c>
    </row>
    <row r="53" spans="1:12" x14ac:dyDescent="0.3">
      <c r="A53" s="1">
        <v>1.5456225810339674</v>
      </c>
      <c r="B53" s="1">
        <v>3482.8638569292275</v>
      </c>
      <c r="C53" s="1">
        <f t="shared" si="0"/>
        <v>7546.8177835019069</v>
      </c>
      <c r="D53" s="1">
        <f t="shared" si="1"/>
        <v>56954458.657380633</v>
      </c>
      <c r="E53" s="1">
        <f t="shared" si="2"/>
        <v>12130340.645903934</v>
      </c>
      <c r="F53" s="1">
        <f t="shared" si="3"/>
        <v>26284538.892989535</v>
      </c>
      <c r="J53">
        <v>21</v>
      </c>
      <c r="K53">
        <v>6178.8403707147027</v>
      </c>
      <c r="L53">
        <v>236.61391310316048</v>
      </c>
    </row>
    <row r="54" spans="1:12" x14ac:dyDescent="0.3">
      <c r="A54" s="1">
        <v>-0.33361516216245946</v>
      </c>
      <c r="B54" s="1">
        <v>4933.2255012665182</v>
      </c>
      <c r="C54" s="1">
        <f t="shared" si="0"/>
        <v>8906.3337379004006</v>
      </c>
      <c r="D54" s="1">
        <f t="shared" si="1"/>
        <v>79322780.650862917</v>
      </c>
      <c r="E54" s="1">
        <f t="shared" si="2"/>
        <v>24336713.846346289</v>
      </c>
      <c r="F54" s="1">
        <f t="shared" si="3"/>
        <v>43936952.718600608</v>
      </c>
      <c r="J54">
        <v>22</v>
      </c>
      <c r="K54">
        <v>9071.6480353138431</v>
      </c>
      <c r="L54">
        <v>-113.2973889873283</v>
      </c>
    </row>
    <row r="55" spans="1:12" x14ac:dyDescent="0.3">
      <c r="A55" s="1">
        <v>-0.53506028052652255</v>
      </c>
      <c r="B55" s="1">
        <v>2600.0244148075808</v>
      </c>
      <c r="C55" s="1">
        <f t="shared" si="0"/>
        <v>4945.7571301429207</v>
      </c>
      <c r="D55" s="1">
        <f t="shared" si="1"/>
        <v>24460513.590359539</v>
      </c>
      <c r="E55" s="1">
        <f t="shared" si="2"/>
        <v>6760126.957595503</v>
      </c>
      <c r="F55" s="1">
        <f t="shared" si="3"/>
        <v>12859089.288080268</v>
      </c>
      <c r="J55">
        <v>23</v>
      </c>
      <c r="K55">
        <v>3275.8143816203324</v>
      </c>
      <c r="L55">
        <v>-140.39286707173414</v>
      </c>
    </row>
    <row r="56" spans="1:12" x14ac:dyDescent="0.3">
      <c r="A56" s="1">
        <v>0.8818096830509603</v>
      </c>
      <c r="B56" s="1">
        <v>4567.8579058198793</v>
      </c>
      <c r="C56" s="1">
        <f t="shared" si="0"/>
        <v>8971.9608702808291</v>
      </c>
      <c r="D56" s="1">
        <f t="shared" si="1"/>
        <v>80496081.857850328</v>
      </c>
      <c r="E56" s="1">
        <f t="shared" si="2"/>
        <v>20865325.847761173</v>
      </c>
      <c r="F56" s="1">
        <f t="shared" si="3"/>
        <v>40982642.392018892</v>
      </c>
      <c r="J56">
        <v>24</v>
      </c>
      <c r="K56">
        <v>8978.2525494274578</v>
      </c>
      <c r="L56">
        <v>-434.84268676894862</v>
      </c>
    </row>
    <row r="57" spans="1:12" x14ac:dyDescent="0.3">
      <c r="A57" s="1">
        <v>-1.9131675799144432</v>
      </c>
      <c r="B57" s="1">
        <v>4694.5707571642197</v>
      </c>
      <c r="C57" s="1">
        <f t="shared" si="0"/>
        <v>7643.7995803680187</v>
      </c>
      <c r="D57" s="1">
        <f t="shared" si="1"/>
        <v>58427672.024834298</v>
      </c>
      <c r="E57" s="1">
        <f t="shared" si="2"/>
        <v>22038994.594021436</v>
      </c>
      <c r="F57" s="1">
        <f t="shared" si="3"/>
        <v>35884357.983619832</v>
      </c>
      <c r="J57">
        <v>25</v>
      </c>
      <c r="K57">
        <v>5904.5805412627742</v>
      </c>
      <c r="L57">
        <v>844.4370542790848</v>
      </c>
    </row>
    <row r="58" spans="1:12" x14ac:dyDescent="0.3">
      <c r="A58" s="1">
        <v>0.38684106584696565</v>
      </c>
      <c r="B58" s="1">
        <v>3418.4087649159214</v>
      </c>
      <c r="C58" s="1">
        <f t="shared" si="0"/>
        <v>6803.1370483271012</v>
      </c>
      <c r="D58" s="1">
        <f t="shared" si="1"/>
        <v>46282673.698320784</v>
      </c>
      <c r="E58" s="1">
        <f t="shared" si="2"/>
        <v>11685518.484053995</v>
      </c>
      <c r="F58" s="1">
        <f t="shared" si="3"/>
        <v>23255903.314925592</v>
      </c>
      <c r="J58">
        <v>26</v>
      </c>
      <c r="K58">
        <v>5954.2415983095843</v>
      </c>
      <c r="L58">
        <v>-356.89145914414257</v>
      </c>
    </row>
    <row r="59" spans="1:12" x14ac:dyDescent="0.3">
      <c r="A59" s="1">
        <v>0.82209453466930427</v>
      </c>
      <c r="B59" s="1">
        <v>4354.4724875637075</v>
      </c>
      <c r="C59" s="1">
        <f t="shared" si="0"/>
        <v>8587.0315985482339</v>
      </c>
      <c r="D59" s="1">
        <f t="shared" si="1"/>
        <v>73737111.674465835</v>
      </c>
      <c r="E59" s="1">
        <f t="shared" si="2"/>
        <v>18961430.644949265</v>
      </c>
      <c r="F59" s="1">
        <f t="shared" si="3"/>
        <v>37391992.845718488</v>
      </c>
      <c r="J59">
        <v>27</v>
      </c>
      <c r="K59">
        <v>4841.4660607792184</v>
      </c>
      <c r="L59">
        <v>-501.51029650684632</v>
      </c>
    </row>
    <row r="60" spans="1:12" x14ac:dyDescent="0.3">
      <c r="A60" s="1">
        <v>-0.43403133531683125</v>
      </c>
      <c r="B60" s="1">
        <v>4963.4998626667075</v>
      </c>
      <c r="C60" s="1">
        <f t="shared" si="0"/>
        <v>8901.0575389758087</v>
      </c>
      <c r="D60" s="1">
        <f t="shared" si="1"/>
        <v>79228825.312158078</v>
      </c>
      <c r="E60" s="1">
        <f t="shared" si="2"/>
        <v>24636330.886692423</v>
      </c>
      <c r="F60" s="1">
        <f t="shared" si="3"/>
        <v>44180397.872294888</v>
      </c>
      <c r="J60">
        <v>28</v>
      </c>
      <c r="K60">
        <v>6098.3199736923034</v>
      </c>
      <c r="L60">
        <v>875.47835272390148</v>
      </c>
    </row>
    <row r="61" spans="1:12" x14ac:dyDescent="0.3">
      <c r="A61" s="1">
        <v>-0.53965550250723027</v>
      </c>
      <c r="B61" s="1">
        <v>2664.2353587450789</v>
      </c>
      <c r="C61" s="1">
        <f t="shared" si="0"/>
        <v>5049.1778155504035</v>
      </c>
      <c r="D61" s="1">
        <f t="shared" si="1"/>
        <v>25494196.613046344</v>
      </c>
      <c r="E61" s="1">
        <f t="shared" si="2"/>
        <v>7098150.046787519</v>
      </c>
      <c r="F61" s="1">
        <f t="shared" si="3"/>
        <v>13452198.068780623</v>
      </c>
      <c r="J61">
        <v>29</v>
      </c>
      <c r="K61">
        <v>6751.8840084071071</v>
      </c>
      <c r="L61">
        <v>539.43487944833669</v>
      </c>
    </row>
    <row r="62" spans="1:12" x14ac:dyDescent="0.3">
      <c r="A62" s="1">
        <v>0.60876573115820065</v>
      </c>
      <c r="B62" s="1">
        <v>3640.705587939085</v>
      </c>
      <c r="C62" s="1">
        <f t="shared" si="0"/>
        <v>7291.9853722365006</v>
      </c>
      <c r="D62" s="1">
        <f t="shared" si="1"/>
        <v>53173050.668911092</v>
      </c>
      <c r="E62" s="1">
        <f t="shared" si="2"/>
        <v>13254737.178050879</v>
      </c>
      <c r="F62" s="1">
        <f t="shared" si="3"/>
        <v>26547971.891871497</v>
      </c>
      <c r="J62">
        <v>30</v>
      </c>
      <c r="K62">
        <v>7028.1875027580818</v>
      </c>
      <c r="L62">
        <v>-385.03952709523855</v>
      </c>
    </row>
    <row r="63" spans="1:12" x14ac:dyDescent="0.3">
      <c r="A63" s="1">
        <v>0.90334197011543438</v>
      </c>
      <c r="B63" s="1">
        <v>2488.6928922391435</v>
      </c>
      <c r="C63" s="1">
        <f t="shared" si="0"/>
        <v>5553.1813557580754</v>
      </c>
      <c r="D63" s="1">
        <f t="shared" si="1"/>
        <v>30837823.169939097</v>
      </c>
      <c r="E63" s="1">
        <f t="shared" si="2"/>
        <v>6193592.3118816325</v>
      </c>
      <c r="F63" s="1">
        <f t="shared" si="3"/>
        <v>13820162.969390053</v>
      </c>
      <c r="J63">
        <v>31</v>
      </c>
      <c r="K63">
        <v>3186.710592021941</v>
      </c>
      <c r="L63">
        <v>-809.72562712792978</v>
      </c>
    </row>
    <row r="64" spans="1:12" x14ac:dyDescent="0.3">
      <c r="A64" s="1">
        <v>0.90610683400882408</v>
      </c>
      <c r="B64" s="1">
        <v>2571.5811639759513</v>
      </c>
      <c r="C64" s="1">
        <f t="shared" si="0"/>
        <v>5691.4676792651726</v>
      </c>
      <c r="D64" s="1">
        <f t="shared" si="1"/>
        <v>32392804.344120089</v>
      </c>
      <c r="E64" s="1">
        <f t="shared" si="2"/>
        <v>6613029.6829159083</v>
      </c>
      <c r="F64" s="1">
        <f t="shared" si="3"/>
        <v>14636071.079376239</v>
      </c>
      <c r="J64">
        <v>32</v>
      </c>
      <c r="K64">
        <v>2609.579624531445</v>
      </c>
      <c r="L64">
        <v>85.234051291238757</v>
      </c>
    </row>
    <row r="65" spans="1:12" x14ac:dyDescent="0.3">
      <c r="A65" s="1">
        <v>-0.79053961599129252</v>
      </c>
      <c r="B65" s="1">
        <v>4564.9281289101837</v>
      </c>
      <c r="C65" s="1">
        <f t="shared" si="0"/>
        <v>8047.3346239065904</v>
      </c>
      <c r="D65" s="1">
        <f t="shared" si="1"/>
        <v>64759594.549125828</v>
      </c>
      <c r="E65" s="1">
        <f t="shared" si="2"/>
        <v>20838568.822115429</v>
      </c>
      <c r="F65" s="1">
        <f t="shared" si="3"/>
        <v>36735504.187424049</v>
      </c>
      <c r="J65">
        <v>33</v>
      </c>
      <c r="K65">
        <v>6962.381493008811</v>
      </c>
      <c r="L65">
        <v>1041.714067964369</v>
      </c>
    </row>
    <row r="66" spans="1:12" x14ac:dyDescent="0.3">
      <c r="A66" s="1">
        <v>0.64677578848204575</v>
      </c>
      <c r="B66" s="1">
        <v>1489.5168919949949</v>
      </c>
      <c r="C66" s="1">
        <f t="shared" si="0"/>
        <v>3763.4295554568666</v>
      </c>
      <c r="D66" s="1">
        <f t="shared" si="1"/>
        <v>14163402.018886268</v>
      </c>
      <c r="E66" s="1">
        <f t="shared" si="2"/>
        <v>2218660.5715384292</v>
      </c>
      <c r="F66" s="1">
        <f t="shared" si="3"/>
        <v>5605691.8946862174</v>
      </c>
      <c r="J66">
        <v>34</v>
      </c>
      <c r="K66">
        <v>3379.0194590221386</v>
      </c>
      <c r="L66">
        <v>-607.0225140309326</v>
      </c>
    </row>
    <row r="67" spans="1:12" x14ac:dyDescent="0.3">
      <c r="A67" s="1">
        <v>0.71280510383076034</v>
      </c>
      <c r="B67" s="1">
        <v>3109.195226905118</v>
      </c>
      <c r="C67" s="1">
        <f t="shared" ref="C67:C130" si="4">950+1.65*B67+550*A67</f>
        <v>6472.2149315003626</v>
      </c>
      <c r="D67" s="1">
        <f t="shared" ref="D67:D130" si="5">C67*C67</f>
        <v>41889566.119536243</v>
      </c>
      <c r="E67" s="1">
        <f t="shared" ref="E67:E130" si="6">B67*B67</f>
        <v>9667094.9590095691</v>
      </c>
      <c r="F67" s="1">
        <f t="shared" ref="F67:F130" si="7">C67*B67</f>
        <v>20123379.772524964</v>
      </c>
      <c r="J67">
        <v>35</v>
      </c>
      <c r="K67">
        <v>3998.6586564127847</v>
      </c>
      <c r="L67">
        <v>365.10209763667717</v>
      </c>
    </row>
    <row r="68" spans="1:12" x14ac:dyDescent="0.3">
      <c r="A68" s="1">
        <v>-1.0893290891544893</v>
      </c>
      <c r="B68" s="1">
        <v>3746.7879268776514</v>
      </c>
      <c r="C68" s="1">
        <f t="shared" si="4"/>
        <v>6533.0690803131556</v>
      </c>
      <c r="D68" s="1">
        <f t="shared" si="5"/>
        <v>42680991.608143784</v>
      </c>
      <c r="E68" s="1">
        <f t="shared" si="6"/>
        <v>14038419.768996129</v>
      </c>
      <c r="F68" s="1">
        <f t="shared" si="7"/>
        <v>24478024.355575014</v>
      </c>
      <c r="J68">
        <v>36</v>
      </c>
      <c r="K68">
        <v>7782.0954840160284</v>
      </c>
      <c r="L68">
        <v>-639.90073038944593</v>
      </c>
    </row>
    <row r="69" spans="1:12" x14ac:dyDescent="0.3">
      <c r="A69" s="1">
        <v>-6.3804463934502564E-2</v>
      </c>
      <c r="B69" s="1">
        <v>3311.7160557878356</v>
      </c>
      <c r="C69" s="1">
        <f t="shared" si="4"/>
        <v>6379.2390368859524</v>
      </c>
      <c r="D69" s="1">
        <f t="shared" si="5"/>
        <v>40694690.689729616</v>
      </c>
      <c r="E69" s="1">
        <f t="shared" si="6"/>
        <v>10967463.234162938</v>
      </c>
      <c r="F69" s="1">
        <f t="shared" si="7"/>
        <v>21126228.342163738</v>
      </c>
      <c r="J69">
        <v>37</v>
      </c>
      <c r="K69">
        <v>3528.6157296322813</v>
      </c>
      <c r="L69">
        <v>824.89643106925769</v>
      </c>
    </row>
    <row r="70" spans="1:12" x14ac:dyDescent="0.3">
      <c r="A70" s="1">
        <v>-0.74261151894461364</v>
      </c>
      <c r="B70" s="1">
        <v>4284.1578417310102</v>
      </c>
      <c r="C70" s="1">
        <f t="shared" si="4"/>
        <v>7610.4241034366287</v>
      </c>
      <c r="D70" s="1">
        <f t="shared" si="5"/>
        <v>57918555.034169212</v>
      </c>
      <c r="E70" s="1">
        <f t="shared" si="6"/>
        <v>18354008.412865307</v>
      </c>
      <c r="F70" s="1">
        <f t="shared" si="7"/>
        <v>32604258.101636726</v>
      </c>
      <c r="J70">
        <v>38</v>
      </c>
      <c r="K70">
        <v>6636.6213081009319</v>
      </c>
      <c r="L70">
        <v>-979.25701803782158</v>
      </c>
    </row>
    <row r="71" spans="1:12" x14ac:dyDescent="0.3">
      <c r="A71" s="1">
        <v>0.5268680070003029</v>
      </c>
      <c r="B71" s="1">
        <v>4066.2556840723896</v>
      </c>
      <c r="C71" s="1">
        <f t="shared" si="4"/>
        <v>7949.0992825696094</v>
      </c>
      <c r="D71" s="1">
        <f t="shared" si="5"/>
        <v>63188179.404148676</v>
      </c>
      <c r="E71" s="1">
        <f t="shared" si="6"/>
        <v>16534435.288251016</v>
      </c>
      <c r="F71" s="1">
        <f t="shared" si="7"/>
        <v>32323070.141004428</v>
      </c>
      <c r="J71">
        <v>39</v>
      </c>
      <c r="K71">
        <v>8099.0679098580122</v>
      </c>
      <c r="L71">
        <v>429.37687760634344</v>
      </c>
    </row>
    <row r="72" spans="1:12" x14ac:dyDescent="0.3">
      <c r="A72" s="1">
        <v>-1.0322764865122736E-3</v>
      </c>
      <c r="B72" s="1">
        <v>1518.6925870540483</v>
      </c>
      <c r="C72" s="1">
        <f t="shared" si="4"/>
        <v>3455.2750165715979</v>
      </c>
      <c r="D72" s="1">
        <f t="shared" si="5"/>
        <v>11938925.440143857</v>
      </c>
      <c r="E72" s="1">
        <f t="shared" si="6"/>
        <v>2306427.1739729182</v>
      </c>
      <c r="F72" s="1">
        <f t="shared" si="7"/>
        <v>5247500.5539003396</v>
      </c>
      <c r="J72">
        <v>40</v>
      </c>
      <c r="K72">
        <v>9122.3309248101777</v>
      </c>
      <c r="L72">
        <v>-527.74876393121485</v>
      </c>
    </row>
    <row r="73" spans="1:12" x14ac:dyDescent="0.3">
      <c r="A73" s="1">
        <v>0.52748418966075405</v>
      </c>
      <c r="B73" s="1">
        <v>2074.3736075930055</v>
      </c>
      <c r="C73" s="1">
        <f t="shared" si="4"/>
        <v>4662.8327568418736</v>
      </c>
      <c r="D73" s="1">
        <f t="shared" si="5"/>
        <v>21742009.318277586</v>
      </c>
      <c r="E73" s="1">
        <f t="shared" si="6"/>
        <v>4303025.8638784206</v>
      </c>
      <c r="F73" s="1">
        <f t="shared" si="7"/>
        <v>9672457.2074129172</v>
      </c>
      <c r="J73">
        <v>41</v>
      </c>
      <c r="K73">
        <v>7094.1978789972563</v>
      </c>
      <c r="L73">
        <v>-544.14138481298141</v>
      </c>
    </row>
    <row r="74" spans="1:12" x14ac:dyDescent="0.3">
      <c r="A74" s="1">
        <v>-1.4146530702419113</v>
      </c>
      <c r="B74" s="1">
        <v>1735.4960783715323</v>
      </c>
      <c r="C74" s="1">
        <f t="shared" si="4"/>
        <v>3035.509340679977</v>
      </c>
      <c r="D74" s="1">
        <f t="shared" si="5"/>
        <v>9214316.9573553875</v>
      </c>
      <c r="E74" s="1">
        <f t="shared" si="6"/>
        <v>3011946.6380429678</v>
      </c>
      <c r="F74" s="1">
        <f t="shared" si="7"/>
        <v>5268114.5566102555</v>
      </c>
      <c r="J74">
        <v>42</v>
      </c>
      <c r="K74">
        <v>8454.4612358020531</v>
      </c>
      <c r="L74">
        <v>-402.7729879726885</v>
      </c>
    </row>
    <row r="75" spans="1:12" x14ac:dyDescent="0.3">
      <c r="A75" s="1">
        <v>-0.93366907094605267</v>
      </c>
      <c r="B75" s="1">
        <v>4563.0970183416248</v>
      </c>
      <c r="C75" s="1">
        <f t="shared" si="4"/>
        <v>7965.5920912433503</v>
      </c>
      <c r="D75" s="1">
        <f t="shared" si="5"/>
        <v>63450657.364078611</v>
      </c>
      <c r="E75" s="1">
        <f t="shared" si="6"/>
        <v>20821854.398798227</v>
      </c>
      <c r="F75" s="1">
        <f t="shared" si="7"/>
        <v>36347769.520878159</v>
      </c>
      <c r="J75">
        <v>43</v>
      </c>
      <c r="K75">
        <v>6601.6746383272512</v>
      </c>
      <c r="L75">
        <v>1298.8576638031218</v>
      </c>
    </row>
    <row r="76" spans="1:12" x14ac:dyDescent="0.3">
      <c r="A76" s="1">
        <v>-0.94747974799247459</v>
      </c>
      <c r="B76" s="1">
        <v>3263.863032929472</v>
      </c>
      <c r="C76" s="1">
        <f t="shared" si="4"/>
        <v>5814.2601429377673</v>
      </c>
      <c r="D76" s="1">
        <f t="shared" si="5"/>
        <v>33805621.00975471</v>
      </c>
      <c r="E76" s="1">
        <f t="shared" si="6"/>
        <v>10652801.89772357</v>
      </c>
      <c r="F76" s="1">
        <f t="shared" si="7"/>
        <v>18976948.744369805</v>
      </c>
      <c r="J76">
        <v>44</v>
      </c>
      <c r="K76">
        <v>4478.7155411986123</v>
      </c>
      <c r="L76">
        <v>-281.93144826592288</v>
      </c>
    </row>
    <row r="77" spans="1:12" x14ac:dyDescent="0.3">
      <c r="A77" s="1">
        <v>1.2855093700636644</v>
      </c>
      <c r="B77" s="1">
        <v>1766.1366618854336</v>
      </c>
      <c r="C77" s="1">
        <f t="shared" si="4"/>
        <v>4571.1556456459803</v>
      </c>
      <c r="D77" s="1">
        <f t="shared" si="5"/>
        <v>20895463.93672112</v>
      </c>
      <c r="E77" s="1">
        <f t="shared" si="6"/>
        <v>3119238.7084558224</v>
      </c>
      <c r="F77" s="1">
        <f t="shared" si="7"/>
        <v>8073285.5729599455</v>
      </c>
      <c r="J77">
        <v>45</v>
      </c>
      <c r="K77">
        <v>6749.0228775484438</v>
      </c>
      <c r="L77">
        <v>-368.19500802103721</v>
      </c>
    </row>
    <row r="78" spans="1:12" x14ac:dyDescent="0.3">
      <c r="A78" s="1">
        <v>-0.45149704419600312</v>
      </c>
      <c r="B78" s="1">
        <v>3981.902523880734</v>
      </c>
      <c r="C78" s="1">
        <f t="shared" si="4"/>
        <v>7271.8157900954093</v>
      </c>
      <c r="D78" s="1">
        <f t="shared" si="5"/>
        <v>52879304.885080919</v>
      </c>
      <c r="E78" s="1">
        <f t="shared" si="6"/>
        <v>15855547.709687758</v>
      </c>
      <c r="F78" s="1">
        <f t="shared" si="7"/>
        <v>28955661.647776682</v>
      </c>
      <c r="J78">
        <v>46</v>
      </c>
      <c r="K78">
        <v>3257.0126645491118</v>
      </c>
      <c r="L78">
        <v>-1384.1680639983647</v>
      </c>
    </row>
    <row r="79" spans="1:12" x14ac:dyDescent="0.3">
      <c r="A79" s="1">
        <v>-0.21973846742184833</v>
      </c>
      <c r="B79" s="1">
        <v>1555.314798425245</v>
      </c>
      <c r="C79" s="1">
        <f t="shared" si="4"/>
        <v>3395.4132603196376</v>
      </c>
      <c r="D79" s="1">
        <f t="shared" si="5"/>
        <v>11528831.208354432</v>
      </c>
      <c r="E79" s="1">
        <f t="shared" si="6"/>
        <v>2419004.1222005608</v>
      </c>
      <c r="F79" s="1">
        <f t="shared" si="7"/>
        <v>5280936.4905444412</v>
      </c>
      <c r="J79">
        <v>47</v>
      </c>
      <c r="K79">
        <v>7264.8438980675701</v>
      </c>
      <c r="L79">
        <v>1861.6574322829556</v>
      </c>
    </row>
    <row r="80" spans="1:12" x14ac:dyDescent="0.3">
      <c r="A80" s="1">
        <v>1.8443915905663744</v>
      </c>
      <c r="B80" s="1">
        <v>2006.8666646320994</v>
      </c>
      <c r="C80" s="1">
        <f t="shared" si="4"/>
        <v>5275.7453714544699</v>
      </c>
      <c r="D80" s="1">
        <f t="shared" si="5"/>
        <v>27833489.224423263</v>
      </c>
      <c r="E80" s="1">
        <f t="shared" si="6"/>
        <v>4027513.8096115673</v>
      </c>
      <c r="F80" s="1">
        <f t="shared" si="7"/>
        <v>10587717.517059069</v>
      </c>
      <c r="J80">
        <v>48</v>
      </c>
      <c r="K80">
        <v>7527.8635705747474</v>
      </c>
      <c r="L80">
        <v>-507.33450725975035</v>
      </c>
    </row>
    <row r="81" spans="1:12" x14ac:dyDescent="0.3">
      <c r="A81" s="1">
        <v>0.37106019590282813</v>
      </c>
      <c r="B81" s="1">
        <v>1633.4421826837977</v>
      </c>
      <c r="C81" s="1">
        <f t="shared" si="4"/>
        <v>3849.2627091748213</v>
      </c>
      <c r="D81" s="1">
        <f t="shared" si="5"/>
        <v>14816823.404243885</v>
      </c>
      <c r="E81" s="1">
        <f t="shared" si="6"/>
        <v>2668133.3641708093</v>
      </c>
      <c r="F81" s="1">
        <f t="shared" si="7"/>
        <v>6287548.0813978687</v>
      </c>
      <c r="J81">
        <v>49</v>
      </c>
      <c r="K81">
        <v>7976.6523824051756</v>
      </c>
      <c r="L81">
        <v>147.08379067733767</v>
      </c>
    </row>
    <row r="82" spans="1:12" x14ac:dyDescent="0.3">
      <c r="A82" s="1">
        <v>0.60049842431908473</v>
      </c>
      <c r="B82" s="1">
        <v>4316.0191656239513</v>
      </c>
      <c r="C82" s="1">
        <f t="shared" si="4"/>
        <v>8401.7057566550156</v>
      </c>
      <c r="D82" s="1">
        <f t="shared" si="5"/>
        <v>70588659.621410027</v>
      </c>
      <c r="E82" s="1">
        <f t="shared" si="6"/>
        <v>18628021.438033268</v>
      </c>
      <c r="F82" s="1">
        <f t="shared" si="7"/>
        <v>36261923.069656126</v>
      </c>
      <c r="J82">
        <v>50</v>
      </c>
      <c r="K82">
        <v>5817.9291495432381</v>
      </c>
      <c r="L82">
        <v>-149.85904753710474</v>
      </c>
    </row>
    <row r="83" spans="1:12" x14ac:dyDescent="0.3">
      <c r="A83" s="1">
        <v>-0.70532905738218687</v>
      </c>
      <c r="B83" s="1">
        <v>4064.5466475417338</v>
      </c>
      <c r="C83" s="1">
        <f t="shared" si="4"/>
        <v>7268.5709868836575</v>
      </c>
      <c r="D83" s="1">
        <f t="shared" si="5"/>
        <v>52832124.191366866</v>
      </c>
      <c r="E83" s="1">
        <f t="shared" si="6"/>
        <v>16520539.450042747</v>
      </c>
      <c r="F83" s="1">
        <f t="shared" si="7"/>
        <v>29543445.837157082</v>
      </c>
      <c r="J83">
        <v>51</v>
      </c>
      <c r="K83">
        <v>2680.9035295081385</v>
      </c>
      <c r="L83">
        <v>-760.02958845557168</v>
      </c>
    </row>
    <row r="84" spans="1:12" x14ac:dyDescent="0.3">
      <c r="A84" s="1">
        <v>0.3357990863150917</v>
      </c>
      <c r="B84" s="1">
        <v>1983.5505233924375</v>
      </c>
      <c r="C84" s="1">
        <f t="shared" si="4"/>
        <v>4407.5478610708224</v>
      </c>
      <c r="D84" s="1">
        <f t="shared" si="5"/>
        <v>19426478.14762998</v>
      </c>
      <c r="E84" s="1">
        <f t="shared" si="6"/>
        <v>3934472.6788504128</v>
      </c>
      <c r="F84" s="1">
        <f t="shared" si="7"/>
        <v>8742593.8667042479</v>
      </c>
      <c r="J84">
        <v>52</v>
      </c>
      <c r="K84">
        <v>6765.3721967408092</v>
      </c>
      <c r="L84">
        <v>781.44558676109773</v>
      </c>
    </row>
    <row r="85" spans="1:12" x14ac:dyDescent="0.3">
      <c r="A85" s="1">
        <v>7.323592399188783E-2</v>
      </c>
      <c r="B85" s="1">
        <v>1073.7327188940092</v>
      </c>
      <c r="C85" s="1">
        <f t="shared" si="4"/>
        <v>2761.9387443706532</v>
      </c>
      <c r="D85" s="1">
        <f t="shared" si="5"/>
        <v>7628305.6276557408</v>
      </c>
      <c r="E85" s="1">
        <f t="shared" si="6"/>
        <v>1152901.9516235213</v>
      </c>
      <c r="F85" s="1">
        <f t="shared" si="7"/>
        <v>2965583.9974118071</v>
      </c>
      <c r="J85">
        <v>53</v>
      </c>
      <c r="K85">
        <v>9193.4504632969656</v>
      </c>
      <c r="L85">
        <v>-287.11672539656502</v>
      </c>
    </row>
    <row r="86" spans="1:12" x14ac:dyDescent="0.3">
      <c r="A86" s="1">
        <v>-2.8683189157163724E-3</v>
      </c>
      <c r="B86" s="1">
        <v>2235.7554857020782</v>
      </c>
      <c r="C86" s="1">
        <f t="shared" si="4"/>
        <v>4637.4189760047848</v>
      </c>
      <c r="D86" s="1">
        <f t="shared" si="5"/>
        <v>21505654.759009268</v>
      </c>
      <c r="E86" s="1">
        <f t="shared" si="6"/>
        <v>4998602.5918469355</v>
      </c>
      <c r="F86" s="1">
        <f t="shared" si="7"/>
        <v>10368134.915101612</v>
      </c>
      <c r="J86">
        <v>54</v>
      </c>
      <c r="K86">
        <v>5287.3937417509824</v>
      </c>
      <c r="L86">
        <v>-341.63661160806168</v>
      </c>
    </row>
    <row r="87" spans="1:12" x14ac:dyDescent="0.3">
      <c r="A87" s="1">
        <v>-6.9785528467036784E-2</v>
      </c>
      <c r="B87" s="1">
        <v>2528.9773247474595</v>
      </c>
      <c r="C87" s="1">
        <f t="shared" si="4"/>
        <v>5084.4305451764376</v>
      </c>
      <c r="D87" s="1">
        <f t="shared" si="5"/>
        <v>25851433.968723167</v>
      </c>
      <c r="E87" s="1">
        <f t="shared" si="6"/>
        <v>6395726.3090868173</v>
      </c>
      <c r="F87" s="1">
        <f t="shared" si="7"/>
        <v>12858409.558004575</v>
      </c>
      <c r="J87">
        <v>55</v>
      </c>
      <c r="K87">
        <v>8581.7815590125974</v>
      </c>
      <c r="L87">
        <v>390.17931126823169</v>
      </c>
    </row>
    <row r="88" spans="1:12" x14ac:dyDescent="0.3">
      <c r="A88" s="1">
        <v>0.81823827713378705</v>
      </c>
      <c r="B88" s="1">
        <v>3083.4376049073762</v>
      </c>
      <c r="C88" s="1">
        <f t="shared" si="4"/>
        <v>6487.7031005207537</v>
      </c>
      <c r="D88" s="1">
        <f t="shared" si="5"/>
        <v>42090291.520506598</v>
      </c>
      <c r="E88" s="1">
        <f t="shared" si="6"/>
        <v>9507587.4633569364</v>
      </c>
      <c r="F88" s="1">
        <f t="shared" si="7"/>
        <v>20004427.709619872</v>
      </c>
      <c r="J88">
        <v>56</v>
      </c>
      <c r="K88">
        <v>8793.9139755335382</v>
      </c>
      <c r="L88">
        <v>-1150.1143951655195</v>
      </c>
    </row>
    <row r="89" spans="1:12" x14ac:dyDescent="0.3">
      <c r="A89" s="1">
        <v>1.5703380995546468</v>
      </c>
      <c r="B89" s="1">
        <v>4803.2166508987702</v>
      </c>
      <c r="C89" s="1">
        <f t="shared" si="4"/>
        <v>9738.9934287380274</v>
      </c>
      <c r="D89" s="1">
        <f t="shared" si="5"/>
        <v>94847993.005002484</v>
      </c>
      <c r="E89" s="1">
        <f t="shared" si="6"/>
        <v>23070890.195471197</v>
      </c>
      <c r="F89" s="1">
        <f t="shared" si="7"/>
        <v>46778495.3999082</v>
      </c>
      <c r="J89">
        <v>57</v>
      </c>
      <c r="K89">
        <v>6657.4666900711982</v>
      </c>
      <c r="L89">
        <v>145.67035825590301</v>
      </c>
    </row>
    <row r="90" spans="1:12" x14ac:dyDescent="0.3">
      <c r="A90" s="1">
        <v>-1.0189296517637558</v>
      </c>
      <c r="B90" s="1">
        <v>4438.0932035279402</v>
      </c>
      <c r="C90" s="1">
        <f t="shared" si="4"/>
        <v>7712.4424773510364</v>
      </c>
      <c r="D90" s="1">
        <f t="shared" si="5"/>
        <v>59481768.96644859</v>
      </c>
      <c r="E90" s="1">
        <f t="shared" si="6"/>
        <v>19696671.283200894</v>
      </c>
      <c r="F90" s="1">
        <f t="shared" si="7"/>
        <v>34228538.541331828</v>
      </c>
      <c r="J90">
        <v>58</v>
      </c>
      <c r="K90">
        <v>8224.548934659415</v>
      </c>
      <c r="L90">
        <v>362.48266388881893</v>
      </c>
    </row>
    <row r="91" spans="1:12" x14ac:dyDescent="0.3">
      <c r="A91" s="1">
        <v>-1.5281784726539627</v>
      </c>
      <c r="B91" s="1">
        <v>4320.7800531022067</v>
      </c>
      <c r="C91" s="1">
        <f t="shared" si="4"/>
        <v>7238.7889276589613</v>
      </c>
      <c r="D91" s="1">
        <f t="shared" si="5"/>
        <v>52400065.139197975</v>
      </c>
      <c r="E91" s="1">
        <f t="shared" si="6"/>
        <v>18669140.26728591</v>
      </c>
      <c r="F91" s="1">
        <f t="shared" si="7"/>
        <v>31277214.807245951</v>
      </c>
      <c r="J91">
        <v>59</v>
      </c>
      <c r="K91">
        <v>9244.1333527932984</v>
      </c>
      <c r="L91">
        <v>-343.07581381748969</v>
      </c>
    </row>
    <row r="92" spans="1:12" x14ac:dyDescent="0.3">
      <c r="A92" s="1">
        <v>0.3597745035222033</v>
      </c>
      <c r="B92" s="1">
        <v>2801.4465773491625</v>
      </c>
      <c r="C92" s="1">
        <f t="shared" si="4"/>
        <v>5770.2628295633294</v>
      </c>
      <c r="D92" s="1">
        <f t="shared" si="5"/>
        <v>33295933.122240201</v>
      </c>
      <c r="E92" s="1">
        <f t="shared" si="6"/>
        <v>7848102.9257413372</v>
      </c>
      <c r="F92" s="1">
        <f t="shared" si="7"/>
        <v>16165083.054285282</v>
      </c>
      <c r="J92">
        <v>60</v>
      </c>
      <c r="K92">
        <v>5394.8905154407848</v>
      </c>
      <c r="L92">
        <v>-345.71269989038137</v>
      </c>
    </row>
    <row r="93" spans="1:12" x14ac:dyDescent="0.3">
      <c r="A93" s="1">
        <v>0.42991587179130875</v>
      </c>
      <c r="B93" s="1">
        <v>3502.0294808801536</v>
      </c>
      <c r="C93" s="1">
        <f t="shared" si="4"/>
        <v>6964.8023729374727</v>
      </c>
      <c r="D93" s="1">
        <f t="shared" si="5"/>
        <v>48508472.094075449</v>
      </c>
      <c r="E93" s="1">
        <f t="shared" si="6"/>
        <v>12264210.484953718</v>
      </c>
      <c r="F93" s="1">
        <f t="shared" si="7"/>
        <v>24390943.238531079</v>
      </c>
      <c r="J93">
        <v>61</v>
      </c>
      <c r="K93">
        <v>7029.6180681874139</v>
      </c>
      <c r="L93">
        <v>262.36730404908667</v>
      </c>
    </row>
    <row r="94" spans="1:12" x14ac:dyDescent="0.3">
      <c r="A94" s="1">
        <v>0.84789462562184781</v>
      </c>
      <c r="B94" s="1">
        <v>3383.9838862269967</v>
      </c>
      <c r="C94" s="1">
        <f t="shared" si="4"/>
        <v>6999.9154563665606</v>
      </c>
      <c r="D94" s="1">
        <f t="shared" si="5"/>
        <v>48998816.396279477</v>
      </c>
      <c r="E94" s="1">
        <f t="shared" si="6"/>
        <v>11451346.942243967</v>
      </c>
      <c r="F94" s="1">
        <f t="shared" si="7"/>
        <v>23687601.109295733</v>
      </c>
      <c r="J94">
        <v>62</v>
      </c>
      <c r="K94">
        <v>5101.0115029580184</v>
      </c>
      <c r="L94">
        <v>452.16985280005701</v>
      </c>
    </row>
    <row r="95" spans="1:12" x14ac:dyDescent="0.3">
      <c r="A95" s="1">
        <v>0.83861550592700951</v>
      </c>
      <c r="B95" s="1">
        <v>4550.5233924375134</v>
      </c>
      <c r="C95" s="1">
        <f t="shared" si="4"/>
        <v>8919.602125781752</v>
      </c>
      <c r="D95" s="1">
        <f t="shared" si="5"/>
        <v>79559302.082250342</v>
      </c>
      <c r="E95" s="1">
        <f t="shared" si="6"/>
        <v>20707263.145121016</v>
      </c>
      <c r="F95" s="1">
        <f t="shared" si="7"/>
        <v>40588858.124605231</v>
      </c>
      <c r="J95">
        <v>63</v>
      </c>
      <c r="K95">
        <v>5239.7763496032185</v>
      </c>
      <c r="L95">
        <v>451.69132966195411</v>
      </c>
    </row>
    <row r="96" spans="1:12" x14ac:dyDescent="0.3">
      <c r="A96" s="1">
        <v>1.8640184862306342</v>
      </c>
      <c r="B96" s="1">
        <v>4323.3436078981904</v>
      </c>
      <c r="C96" s="1">
        <f t="shared" si="4"/>
        <v>9108.7271204588615</v>
      </c>
      <c r="D96" s="1">
        <f t="shared" si="5"/>
        <v>82968909.754982784</v>
      </c>
      <c r="E96" s="1">
        <f t="shared" si="6"/>
        <v>18691299.951954141</v>
      </c>
      <c r="F96" s="1">
        <f t="shared" si="7"/>
        <v>39380157.17232471</v>
      </c>
      <c r="J96">
        <v>64</v>
      </c>
      <c r="K96">
        <v>8576.8767632548879</v>
      </c>
      <c r="L96">
        <v>-529.5421393482975</v>
      </c>
    </row>
    <row r="97" spans="1:12" x14ac:dyDescent="0.3">
      <c r="A97" s="1">
        <v>-0.36770188671653159</v>
      </c>
      <c r="B97" s="1">
        <v>4061.2506485183262</v>
      </c>
      <c r="C97" s="1">
        <f t="shared" si="4"/>
        <v>7448.8275323611451</v>
      </c>
      <c r="D97" s="1">
        <f t="shared" si="5"/>
        <v>55485031.606861427</v>
      </c>
      <c r="E97" s="1">
        <f t="shared" si="6"/>
        <v>16493756.830090525</v>
      </c>
      <c r="F97" s="1">
        <f t="shared" si="7"/>
        <v>30251555.646502864</v>
      </c>
      <c r="J97">
        <v>65</v>
      </c>
      <c r="K97">
        <v>3428.2717830891388</v>
      </c>
      <c r="L97">
        <v>335.15777236772783</v>
      </c>
    </row>
    <row r="98" spans="1:12" x14ac:dyDescent="0.3">
      <c r="A98" s="1">
        <v>1.0628491509123705</v>
      </c>
      <c r="B98" s="1">
        <v>3059.2669454023867</v>
      </c>
      <c r="C98" s="1">
        <f t="shared" si="4"/>
        <v>6582.3574929157412</v>
      </c>
      <c r="D98" s="1">
        <f t="shared" si="5"/>
        <v>43327430.164544001</v>
      </c>
      <c r="E98" s="1">
        <f t="shared" si="6"/>
        <v>9359114.2432316504</v>
      </c>
      <c r="F98" s="1">
        <f t="shared" si="7"/>
        <v>20137188.700898852</v>
      </c>
      <c r="J98">
        <v>66</v>
      </c>
      <c r="K98">
        <v>6139.8063711429304</v>
      </c>
      <c r="L98">
        <v>332.40856035743218</v>
      </c>
    </row>
    <row r="99" spans="1:12" x14ac:dyDescent="0.3">
      <c r="A99" s="1">
        <v>0.87910393631318584</v>
      </c>
      <c r="B99" s="1">
        <v>3286.8129520554216</v>
      </c>
      <c r="C99" s="1">
        <f t="shared" si="4"/>
        <v>6856.7485358636977</v>
      </c>
      <c r="D99" s="1">
        <f t="shared" si="5"/>
        <v>47015000.48406896</v>
      </c>
      <c r="E99" s="1">
        <f t="shared" si="6"/>
        <v>10803139.381799275</v>
      </c>
      <c r="F99" s="1">
        <f t="shared" si="7"/>
        <v>22536849.896663852</v>
      </c>
      <c r="J99">
        <v>67</v>
      </c>
      <c r="K99">
        <v>7207.2125479144825</v>
      </c>
      <c r="L99">
        <v>-674.14346760132685</v>
      </c>
    </row>
    <row r="100" spans="1:12" x14ac:dyDescent="0.3">
      <c r="A100" s="1">
        <v>0.72687953434069641</v>
      </c>
      <c r="B100" s="1">
        <v>1366.7104098635823</v>
      </c>
      <c r="C100" s="1">
        <f t="shared" si="4"/>
        <v>3604.8559201622938</v>
      </c>
      <c r="D100" s="1">
        <f t="shared" si="5"/>
        <v>12994986.205129139</v>
      </c>
      <c r="E100" s="1">
        <f t="shared" si="6"/>
        <v>1867897.3444294811</v>
      </c>
      <c r="F100" s="1">
        <f t="shared" si="7"/>
        <v>4926794.1121441694</v>
      </c>
      <c r="J100">
        <v>68</v>
      </c>
      <c r="K100">
        <v>6478.8503778946069</v>
      </c>
      <c r="L100">
        <v>-99.611341008654563</v>
      </c>
    </row>
    <row r="101" spans="1:12" x14ac:dyDescent="0.3">
      <c r="A101" s="1">
        <v>-0.22718950276612304</v>
      </c>
      <c r="B101" s="1">
        <v>1555.314798425245</v>
      </c>
      <c r="C101" s="1">
        <f t="shared" si="4"/>
        <v>3391.3151908802865</v>
      </c>
      <c r="D101" s="1">
        <f t="shared" si="5"/>
        <v>11501018.723895395</v>
      </c>
      <c r="E101" s="1">
        <f t="shared" si="6"/>
        <v>2419004.1222005608</v>
      </c>
      <c r="F101" s="1">
        <f t="shared" si="7"/>
        <v>5274562.7025004439</v>
      </c>
      <c r="J101">
        <v>69</v>
      </c>
      <c r="K101">
        <v>8106.8338364743859</v>
      </c>
      <c r="L101">
        <v>-496.40973303775718</v>
      </c>
    </row>
    <row r="102" spans="1:12" x14ac:dyDescent="0.3">
      <c r="A102" s="1">
        <v>9.6268877314287238E-2</v>
      </c>
      <c r="B102" s="1">
        <v>3554.3992431409647</v>
      </c>
      <c r="C102" s="1">
        <f t="shared" si="4"/>
        <v>6867.7066337054493</v>
      </c>
      <c r="D102" s="1">
        <f t="shared" si="5"/>
        <v>47165394.406641833</v>
      </c>
      <c r="E102" s="1">
        <f t="shared" si="6"/>
        <v>12633753.979641063</v>
      </c>
      <c r="F102" s="1">
        <f t="shared" si="7"/>
        <v>24410571.260956831</v>
      </c>
      <c r="J102">
        <v>70</v>
      </c>
      <c r="K102">
        <v>7742.0396519947335</v>
      </c>
      <c r="L102">
        <v>207.05963057487588</v>
      </c>
    </row>
    <row r="103" spans="1:12" x14ac:dyDescent="0.3">
      <c r="A103" s="1">
        <v>0.49418758862884715</v>
      </c>
      <c r="B103" s="1">
        <v>2314.737388225959</v>
      </c>
      <c r="C103" s="1">
        <f t="shared" si="4"/>
        <v>5041.1198643186981</v>
      </c>
      <c r="D103" s="1">
        <f t="shared" si="5"/>
        <v>25412889.48642857</v>
      </c>
      <c r="E103" s="1">
        <f t="shared" si="6"/>
        <v>5358009.1764511336</v>
      </c>
      <c r="F103" s="1">
        <f t="shared" si="7"/>
        <v>11668868.628467064</v>
      </c>
      <c r="J103">
        <v>71</v>
      </c>
      <c r="K103">
        <v>3477.1153741763305</v>
      </c>
      <c r="L103">
        <v>-21.840357604732617</v>
      </c>
    </row>
    <row r="104" spans="1:12" x14ac:dyDescent="0.3">
      <c r="A104" s="1">
        <v>2.2056883608456701</v>
      </c>
      <c r="B104" s="1">
        <v>4407.696768089847</v>
      </c>
      <c r="C104" s="1">
        <f t="shared" si="4"/>
        <v>9435.8282658133649</v>
      </c>
      <c r="D104" s="1">
        <f t="shared" si="5"/>
        <v>89034855.061922446</v>
      </c>
      <c r="E104" s="1">
        <f t="shared" si="6"/>
        <v>19427790.799429681</v>
      </c>
      <c r="F104" s="1">
        <f t="shared" si="7"/>
        <v>41590269.751476392</v>
      </c>
      <c r="J104">
        <v>72</v>
      </c>
      <c r="K104">
        <v>4407.3916362219188</v>
      </c>
      <c r="L104">
        <v>255.44112061995475</v>
      </c>
    </row>
    <row r="105" spans="1:12" x14ac:dyDescent="0.3">
      <c r="A105" s="1">
        <v>-0.59848503042303491</v>
      </c>
      <c r="B105" s="1">
        <v>3067.3238319040497</v>
      </c>
      <c r="C105" s="1">
        <f t="shared" si="4"/>
        <v>5681.9175559090127</v>
      </c>
      <c r="D105" s="1">
        <f t="shared" si="5"/>
        <v>32284187.112147048</v>
      </c>
      <c r="E105" s="1">
        <f t="shared" si="6"/>
        <v>9408475.4897665437</v>
      </c>
      <c r="F105" s="1">
        <f t="shared" si="7"/>
        <v>17428281.130153727</v>
      </c>
      <c r="J105">
        <v>73</v>
      </c>
      <c r="K105">
        <v>3840.0702602468409</v>
      </c>
      <c r="L105">
        <v>-804.56091956686396</v>
      </c>
    </row>
    <row r="106" spans="1:12" x14ac:dyDescent="0.3">
      <c r="A106" s="1">
        <v>-1.3763747119810432</v>
      </c>
      <c r="B106" s="1">
        <v>2090.8536027100436</v>
      </c>
      <c r="C106" s="1">
        <f t="shared" si="4"/>
        <v>3642.902352881998</v>
      </c>
      <c r="D106" s="1">
        <f t="shared" si="5"/>
        <v>13270737.552633198</v>
      </c>
      <c r="E106" s="1">
        <f t="shared" si="6"/>
        <v>4371668.7879655687</v>
      </c>
      <c r="F106" s="1">
        <f t="shared" si="7"/>
        <v>7616775.5088442201</v>
      </c>
      <c r="J106">
        <v>74</v>
      </c>
      <c r="K106">
        <v>8573.8112659063208</v>
      </c>
      <c r="L106">
        <v>-608.21917466297054</v>
      </c>
    </row>
    <row r="107" spans="1:12" x14ac:dyDescent="0.3">
      <c r="A107" s="1">
        <v>-1.7174670574604534E-2</v>
      </c>
      <c r="B107" s="1">
        <v>4557.4816125980415</v>
      </c>
      <c r="C107" s="1">
        <f t="shared" si="4"/>
        <v>8460.3985919707357</v>
      </c>
      <c r="D107" s="1">
        <f t="shared" si="5"/>
        <v>71578344.335020408</v>
      </c>
      <c r="E107" s="1">
        <f t="shared" si="6"/>
        <v>20770638.649169244</v>
      </c>
      <c r="F107" s="1">
        <f t="shared" si="7"/>
        <v>38558111.01815699</v>
      </c>
      <c r="J107">
        <v>75</v>
      </c>
      <c r="K107">
        <v>6398.7387138520171</v>
      </c>
      <c r="L107">
        <v>-584.47857091424976</v>
      </c>
    </row>
    <row r="108" spans="1:12" x14ac:dyDescent="0.3">
      <c r="A108" s="1">
        <v>0.42798774302355014</v>
      </c>
      <c r="B108" s="1">
        <v>2911.9235816522723</v>
      </c>
      <c r="C108" s="1">
        <f t="shared" si="4"/>
        <v>5990.0671683892015</v>
      </c>
      <c r="D108" s="1">
        <f t="shared" si="5"/>
        <v>35880904.681814224</v>
      </c>
      <c r="E108" s="1">
        <f t="shared" si="6"/>
        <v>8479298.9453825988</v>
      </c>
      <c r="F108" s="1">
        <f t="shared" si="7"/>
        <v>17442617.843313567</v>
      </c>
      <c r="J108">
        <v>76</v>
      </c>
      <c r="K108">
        <v>3891.3662492128874</v>
      </c>
      <c r="L108">
        <v>679.78939643309286</v>
      </c>
    </row>
    <row r="109" spans="1:12" x14ac:dyDescent="0.3">
      <c r="A109" s="1">
        <v>0.57251554608228616</v>
      </c>
      <c r="B109" s="1">
        <v>3490.1882992034666</v>
      </c>
      <c r="C109" s="1">
        <f t="shared" si="4"/>
        <v>7023.6942440309767</v>
      </c>
      <c r="D109" s="1">
        <f t="shared" si="5"/>
        <v>49332280.833633877</v>
      </c>
      <c r="E109" s="1">
        <f t="shared" si="6"/>
        <v>12181414.363896787</v>
      </c>
      <c r="F109" s="1">
        <f t="shared" si="7"/>
        <v>24514015.467699654</v>
      </c>
      <c r="J109">
        <v>77</v>
      </c>
      <c r="K109">
        <v>7600.8224074706786</v>
      </c>
      <c r="L109">
        <v>-329.00661737526934</v>
      </c>
    </row>
    <row r="110" spans="1:12" x14ac:dyDescent="0.3">
      <c r="A110" s="1">
        <v>-1.5269506548065692</v>
      </c>
      <c r="B110" s="1">
        <v>2117.2215948973053</v>
      </c>
      <c r="C110" s="1">
        <f t="shared" si="4"/>
        <v>3603.5927714369409</v>
      </c>
      <c r="D110" s="1">
        <f t="shared" si="5"/>
        <v>12985880.862352572</v>
      </c>
      <c r="E110" s="1">
        <f t="shared" si="6"/>
        <v>4482627.2818994895</v>
      </c>
      <c r="F110" s="1">
        <f t="shared" si="7"/>
        <v>7629604.4349021204</v>
      </c>
      <c r="J110">
        <v>78</v>
      </c>
      <c r="K110">
        <v>3538.4253211477007</v>
      </c>
      <c r="L110">
        <v>-143.01206082806311</v>
      </c>
    </row>
    <row r="111" spans="1:12" x14ac:dyDescent="0.3">
      <c r="A111" s="1">
        <v>-0.22569793145521544</v>
      </c>
      <c r="B111" s="1">
        <v>1288.4609515671254</v>
      </c>
      <c r="C111" s="1">
        <f t="shared" si="4"/>
        <v>2951.8267077853884</v>
      </c>
      <c r="D111" s="1">
        <f t="shared" si="5"/>
        <v>8713280.9127951246</v>
      </c>
      <c r="E111" s="1">
        <f t="shared" si="6"/>
        <v>1660131.6237132624</v>
      </c>
      <c r="F111" s="1">
        <f t="shared" si="7"/>
        <v>3803313.4487744165</v>
      </c>
      <c r="J111">
        <v>79</v>
      </c>
      <c r="K111">
        <v>4294.3769673046936</v>
      </c>
      <c r="L111">
        <v>981.36840414977632</v>
      </c>
    </row>
    <row r="112" spans="1:12" x14ac:dyDescent="0.3">
      <c r="A112" s="1">
        <v>-1.6818739823065698</v>
      </c>
      <c r="B112" s="1">
        <v>4201.7578661458174</v>
      </c>
      <c r="C112" s="1">
        <f t="shared" si="4"/>
        <v>6957.8697888719853</v>
      </c>
      <c r="D112" s="1">
        <f t="shared" si="5"/>
        <v>48411951.998897485</v>
      </c>
      <c r="E112" s="1">
        <f t="shared" si="6"/>
        <v>17654769.165718254</v>
      </c>
      <c r="F112" s="1">
        <f t="shared" si="7"/>
        <v>29235284.117011201</v>
      </c>
      <c r="J112">
        <v>80</v>
      </c>
      <c r="K112">
        <v>3669.2198746866234</v>
      </c>
      <c r="L112">
        <v>180.04283448819797</v>
      </c>
    </row>
    <row r="113" spans="1:12" x14ac:dyDescent="0.3">
      <c r="A113" s="1">
        <v>-1.3859016689821146</v>
      </c>
      <c r="B113" s="1">
        <v>3429.2733542893761</v>
      </c>
      <c r="C113" s="1">
        <f t="shared" si="4"/>
        <v>5846.055116637307</v>
      </c>
      <c r="D113" s="1">
        <f t="shared" si="5"/>
        <v>34176360.42676124</v>
      </c>
      <c r="E113" s="1">
        <f t="shared" si="6"/>
        <v>11759915.738439109</v>
      </c>
      <c r="F113" s="1">
        <f t="shared" si="7"/>
        <v>20047721.039191388</v>
      </c>
      <c r="J113">
        <v>81</v>
      </c>
      <c r="K113">
        <v>8160.1734903394772</v>
      </c>
      <c r="L113">
        <v>241.53226631553844</v>
      </c>
    </row>
    <row r="114" spans="1:12" x14ac:dyDescent="0.3">
      <c r="A114" s="1">
        <v>0.56747580856608693</v>
      </c>
      <c r="B114" s="1">
        <v>4100.8026367992188</v>
      </c>
      <c r="C114" s="1">
        <f t="shared" si="4"/>
        <v>8028.4360454300586</v>
      </c>
      <c r="D114" s="1">
        <f t="shared" si="5"/>
        <v>64455785.335560635</v>
      </c>
      <c r="E114" s="1">
        <f t="shared" si="6"/>
        <v>16816582.265979424</v>
      </c>
      <c r="F114" s="1">
        <f t="shared" si="7"/>
        <v>32923031.704473477</v>
      </c>
      <c r="J114">
        <v>82</v>
      </c>
      <c r="K114">
        <v>7739.1785211360693</v>
      </c>
      <c r="L114">
        <v>-470.60753425241182</v>
      </c>
    </row>
    <row r="115" spans="1:12" x14ac:dyDescent="0.3">
      <c r="A115" s="1">
        <v>-0.30856540433887858</v>
      </c>
      <c r="B115" s="1">
        <v>2256.7522202215641</v>
      </c>
      <c r="C115" s="1">
        <f t="shared" si="4"/>
        <v>4503.9301909791975</v>
      </c>
      <c r="D115" s="1">
        <f t="shared" si="5"/>
        <v>20285387.165213909</v>
      </c>
      <c r="E115" s="1">
        <f t="shared" si="6"/>
        <v>5092930.5834749592</v>
      </c>
      <c r="F115" s="1">
        <f t="shared" si="7"/>
        <v>10164254.458215237</v>
      </c>
      <c r="J115">
        <v>83</v>
      </c>
      <c r="K115">
        <v>4255.3429677329204</v>
      </c>
      <c r="L115">
        <v>152.20489333790192</v>
      </c>
    </row>
    <row r="116" spans="1:12" x14ac:dyDescent="0.3">
      <c r="A116" s="1">
        <v>1.0518783710722346</v>
      </c>
      <c r="B116" s="1">
        <v>3579.4244209112826</v>
      </c>
      <c r="C116" s="1">
        <f t="shared" si="4"/>
        <v>7434.583398593345</v>
      </c>
      <c r="D116" s="1">
        <f t="shared" si="5"/>
        <v>55273030.310639769</v>
      </c>
      <c r="E116" s="1">
        <f t="shared" si="6"/>
        <v>12812279.185016071</v>
      </c>
      <c r="F116" s="1">
        <f t="shared" si="7"/>
        <v>26611529.376226619</v>
      </c>
      <c r="J116">
        <v>84</v>
      </c>
      <c r="K116">
        <v>2732.1995184741845</v>
      </c>
      <c r="L116">
        <v>29.739225896468724</v>
      </c>
    </row>
    <row r="117" spans="1:12" x14ac:dyDescent="0.3">
      <c r="A117" s="1">
        <v>-1.3355156625038944</v>
      </c>
      <c r="B117" s="1">
        <v>1331.5530869472336</v>
      </c>
      <c r="C117" s="1">
        <f t="shared" si="4"/>
        <v>2412.5289790857933</v>
      </c>
      <c r="D117" s="1">
        <f t="shared" si="5"/>
        <v>5820296.07492874</v>
      </c>
      <c r="E117" s="1">
        <f t="shared" si="6"/>
        <v>1773033.6233587072</v>
      </c>
      <c r="F117" s="1">
        <f t="shared" si="7"/>
        <v>3212410.4094513459</v>
      </c>
      <c r="J117">
        <v>85</v>
      </c>
      <c r="K117">
        <v>4677.5641358757548</v>
      </c>
      <c r="L117">
        <v>-40.145159870970019</v>
      </c>
    </row>
    <row r="118" spans="1:12" x14ac:dyDescent="0.3">
      <c r="A118" s="1">
        <v>0.54852534958627075</v>
      </c>
      <c r="B118" s="1">
        <v>1638.9355143894772</v>
      </c>
      <c r="C118" s="1">
        <f t="shared" si="4"/>
        <v>3955.9325410150864</v>
      </c>
      <c r="D118" s="1">
        <f t="shared" si="5"/>
        <v>15649402.269062078</v>
      </c>
      <c r="E118" s="1">
        <f t="shared" si="6"/>
        <v>2686109.6203271002</v>
      </c>
      <c r="F118" s="1">
        <f t="shared" si="7"/>
        <v>6483518.3339986326</v>
      </c>
      <c r="J118">
        <v>86</v>
      </c>
      <c r="K118">
        <v>5168.452444626525</v>
      </c>
      <c r="L118">
        <v>-84.021899450087403</v>
      </c>
    </row>
    <row r="119" spans="1:12" x14ac:dyDescent="0.3">
      <c r="A119" s="1">
        <v>-0.18709215510170907</v>
      </c>
      <c r="B119" s="1">
        <v>1851.2222663045136</v>
      </c>
      <c r="C119" s="1">
        <f t="shared" si="4"/>
        <v>3901.6160540965075</v>
      </c>
      <c r="D119" s="1">
        <f t="shared" si="5"/>
        <v>15222607.833583601</v>
      </c>
      <c r="E119" s="1">
        <f t="shared" si="6"/>
        <v>3427023.8792616194</v>
      </c>
      <c r="F119" s="1">
        <f t="shared" si="7"/>
        <v>7222758.5139146103</v>
      </c>
      <c r="J119">
        <v>87</v>
      </c>
      <c r="K119">
        <v>6096.6850417730666</v>
      </c>
      <c r="L119">
        <v>391.01805874768706</v>
      </c>
    </row>
    <row r="120" spans="1:12" x14ac:dyDescent="0.3">
      <c r="A120" s="1">
        <v>-0.28004478735965677</v>
      </c>
      <c r="B120" s="1">
        <v>2333.0484939115577</v>
      </c>
      <c r="C120" s="1">
        <f t="shared" si="4"/>
        <v>4645.5053819062587</v>
      </c>
      <c r="D120" s="1">
        <f t="shared" si="5"/>
        <v>21580720.253320016</v>
      </c>
      <c r="E120" s="1">
        <f t="shared" si="6"/>
        <v>5443115.2749429876</v>
      </c>
      <c r="F120" s="1">
        <f t="shared" si="7"/>
        <v>10838189.334714433</v>
      </c>
      <c r="J120">
        <v>88</v>
      </c>
      <c r="K120">
        <v>8975.800151548603</v>
      </c>
      <c r="L120">
        <v>763.19327718942441</v>
      </c>
    </row>
    <row r="121" spans="1:12" x14ac:dyDescent="0.3">
      <c r="A121" s="1">
        <v>-0.94676124717807397</v>
      </c>
      <c r="B121" s="1">
        <v>1967.680898464919</v>
      </c>
      <c r="C121" s="1">
        <f t="shared" si="4"/>
        <v>3675.9547965191759</v>
      </c>
      <c r="D121" s="1">
        <f t="shared" si="5"/>
        <v>13512643.666052336</v>
      </c>
      <c r="E121" s="1">
        <f t="shared" si="6"/>
        <v>3871768.1181837106</v>
      </c>
      <c r="F121" s="1">
        <f t="shared" si="7"/>
        <v>7233106.0367312804</v>
      </c>
      <c r="J121">
        <v>89</v>
      </c>
      <c r="K121">
        <v>8364.5399802440443</v>
      </c>
      <c r="L121">
        <v>-652.09750289300791</v>
      </c>
    </row>
    <row r="122" spans="1:12" x14ac:dyDescent="0.3">
      <c r="A122" s="1">
        <v>-0.72369630288449116</v>
      </c>
      <c r="B122" s="1">
        <v>4516.9530320139165</v>
      </c>
      <c r="C122" s="1">
        <f t="shared" si="4"/>
        <v>8004.9395362364921</v>
      </c>
      <c r="D122" s="1">
        <f t="shared" si="5"/>
        <v>64079056.978802107</v>
      </c>
      <c r="E122" s="1">
        <f t="shared" si="6"/>
        <v>20402864.693419714</v>
      </c>
      <c r="F122" s="1">
        <f t="shared" si="7"/>
        <v>36157935.909291498</v>
      </c>
      <c r="J122">
        <v>90</v>
      </c>
      <c r="K122">
        <v>8168.1437834457556</v>
      </c>
      <c r="L122">
        <v>-929.35485578679436</v>
      </c>
    </row>
    <row r="123" spans="1:12" x14ac:dyDescent="0.3">
      <c r="A123" s="1">
        <v>-1.9590152078308165</v>
      </c>
      <c r="B123" s="1">
        <v>4429.5480208746603</v>
      </c>
      <c r="C123" s="1">
        <f t="shared" si="4"/>
        <v>7181.2958701362404</v>
      </c>
      <c r="D123" s="1">
        <f t="shared" si="5"/>
        <v>51571010.37443582</v>
      </c>
      <c r="E123" s="1">
        <f t="shared" si="6"/>
        <v>19620895.669234619</v>
      </c>
      <c r="F123" s="1">
        <f t="shared" si="7"/>
        <v>31809894.908877354</v>
      </c>
      <c r="J123">
        <v>91</v>
      </c>
      <c r="K123">
        <v>5624.5984500935183</v>
      </c>
      <c r="L123">
        <v>145.66437946981114</v>
      </c>
    </row>
    <row r="124" spans="1:12" x14ac:dyDescent="0.3">
      <c r="A124" s="1">
        <v>0.24867404135875404</v>
      </c>
      <c r="B124" s="1">
        <v>4251.0757774590293</v>
      </c>
      <c r="C124" s="1">
        <f t="shared" si="4"/>
        <v>8101.0457555547127</v>
      </c>
      <c r="D124" s="1">
        <f t="shared" si="5"/>
        <v>65626942.333591029</v>
      </c>
      <c r="E124" s="1">
        <f t="shared" si="6"/>
        <v>18071645.265698891</v>
      </c>
      <c r="F124" s="1">
        <f t="shared" si="7"/>
        <v>34438159.383525923</v>
      </c>
      <c r="J124">
        <v>92</v>
      </c>
      <c r="K124">
        <v>6797.4577356558257</v>
      </c>
      <c r="L124">
        <v>167.34463728164701</v>
      </c>
    </row>
    <row r="125" spans="1:12" x14ac:dyDescent="0.3">
      <c r="A125" s="1">
        <v>1.3074918570055161</v>
      </c>
      <c r="B125" s="1">
        <v>1387.9512924588762</v>
      </c>
      <c r="C125" s="1">
        <f t="shared" si="4"/>
        <v>3959.2401539101793</v>
      </c>
      <c r="D125" s="1">
        <f t="shared" si="5"/>
        <v>15675582.5963347</v>
      </c>
      <c r="E125" s="1">
        <f t="shared" si="6"/>
        <v>1926408.7902382649</v>
      </c>
      <c r="F125" s="1">
        <f t="shared" si="7"/>
        <v>5495232.4887747131</v>
      </c>
      <c r="J125">
        <v>93</v>
      </c>
      <c r="K125">
        <v>6599.8353399181105</v>
      </c>
      <c r="L125">
        <v>400.0801164484501</v>
      </c>
    </row>
    <row r="126" spans="1:12" x14ac:dyDescent="0.3">
      <c r="A126" s="1">
        <v>0.96232497526216321</v>
      </c>
      <c r="B126" s="1">
        <v>4334.696493423261</v>
      </c>
      <c r="C126" s="1">
        <f t="shared" si="4"/>
        <v>8631.5279505425697</v>
      </c>
      <c r="D126" s="1">
        <f t="shared" si="5"/>
        <v>74503274.760997608</v>
      </c>
      <c r="E126" s="1">
        <f t="shared" si="6"/>
        <v>18789593.690095916</v>
      </c>
      <c r="F126" s="1">
        <f t="shared" si="7"/>
        <v>37415053.940101743</v>
      </c>
      <c r="J126">
        <v>94</v>
      </c>
      <c r="K126">
        <v>8552.7615174461498</v>
      </c>
      <c r="L126">
        <v>366.84060833560216</v>
      </c>
    </row>
    <row r="127" spans="1:12" x14ac:dyDescent="0.3">
      <c r="A127" s="1">
        <v>-0.70650685302098282</v>
      </c>
      <c r="B127" s="1">
        <v>1935.5754264961699</v>
      </c>
      <c r="C127" s="1">
        <f t="shared" si="4"/>
        <v>3755.1206845571396</v>
      </c>
      <c r="D127" s="1">
        <f t="shared" si="5"/>
        <v>14100931.355588881</v>
      </c>
      <c r="E127" s="1">
        <f t="shared" si="6"/>
        <v>3746452.2316558301</v>
      </c>
      <c r="F127" s="1">
        <f t="shared" si="7"/>
        <v>7268319.3205562755</v>
      </c>
      <c r="J127">
        <v>95</v>
      </c>
      <c r="K127">
        <v>8172.435479733751</v>
      </c>
      <c r="L127">
        <v>936.29164072511048</v>
      </c>
    </row>
    <row r="128" spans="1:12" x14ac:dyDescent="0.3">
      <c r="A128" s="1">
        <v>0.68855342760798521</v>
      </c>
      <c r="B128" s="1">
        <v>3269.1122165593433</v>
      </c>
      <c r="C128" s="1">
        <f t="shared" si="4"/>
        <v>6722.7395425073082</v>
      </c>
      <c r="D128" s="1">
        <f t="shared" si="5"/>
        <v>45195226.956391372</v>
      </c>
      <c r="E128" s="1">
        <f t="shared" si="6"/>
        <v>10687094.684457542</v>
      </c>
      <c r="F128" s="1">
        <f t="shared" si="7"/>
        <v>21977389.967157211</v>
      </c>
      <c r="J128">
        <v>96</v>
      </c>
      <c r="K128">
        <v>7733.6606259086457</v>
      </c>
      <c r="L128">
        <v>-284.83309354750054</v>
      </c>
    </row>
    <row r="129" spans="1:12" x14ac:dyDescent="0.3">
      <c r="A129" s="1">
        <v>0.16665580915287137</v>
      </c>
      <c r="B129" s="1">
        <v>2482.7112643818477</v>
      </c>
      <c r="C129" s="1">
        <f t="shared" si="4"/>
        <v>5138.1342812641278</v>
      </c>
      <c r="D129" s="1">
        <f t="shared" si="5"/>
        <v>26400423.892301634</v>
      </c>
      <c r="E129" s="1">
        <f t="shared" si="6"/>
        <v>6163855.2222885126</v>
      </c>
      <c r="F129" s="1">
        <f t="shared" si="7"/>
        <v>12756503.858000979</v>
      </c>
      <c r="J129">
        <v>97</v>
      </c>
      <c r="K129">
        <v>6056.2204767719631</v>
      </c>
      <c r="L129">
        <v>526.13701614377806</v>
      </c>
    </row>
    <row r="130" spans="1:12" x14ac:dyDescent="0.3">
      <c r="A130" s="1">
        <v>1.0621761248330586</v>
      </c>
      <c r="B130" s="1">
        <v>4330.0576799829096</v>
      </c>
      <c r="C130" s="1">
        <f t="shared" si="4"/>
        <v>8678.7920406299818</v>
      </c>
      <c r="D130" s="1">
        <f t="shared" si="5"/>
        <v>75321431.284502327</v>
      </c>
      <c r="E130" s="1">
        <f t="shared" si="6"/>
        <v>18749399.511978976</v>
      </c>
      <c r="F130" s="1">
        <f t="shared" si="7"/>
        <v>37579670.128504403</v>
      </c>
      <c r="J130">
        <v>98</v>
      </c>
      <c r="K130">
        <v>6437.1596139540752</v>
      </c>
      <c r="L130">
        <v>419.58892190962251</v>
      </c>
    </row>
    <row r="131" spans="1:12" x14ac:dyDescent="0.3">
      <c r="A131" s="1">
        <v>1.5586329027428292</v>
      </c>
      <c r="B131" s="1">
        <v>2931.45542771691</v>
      </c>
      <c r="C131" s="1">
        <f t="shared" ref="C131:C194" si="8">950+1.65*B131+550*A131</f>
        <v>6644.1495522414571</v>
      </c>
      <c r="D131" s="1">
        <f t="shared" ref="D131:D194" si="9">C131*C131</f>
        <v>44144723.272550352</v>
      </c>
      <c r="E131" s="1">
        <f t="shared" ref="E131:E194" si="10">B131*B131</f>
        <v>8593430.924690932</v>
      </c>
      <c r="F131" s="1">
        <f t="shared" ref="F131:F194" si="11">C131*B131</f>
        <v>19477028.267481096</v>
      </c>
      <c r="J131">
        <v>99</v>
      </c>
      <c r="K131">
        <v>3222.6790942451448</v>
      </c>
      <c r="L131">
        <v>382.17682591714902</v>
      </c>
    </row>
    <row r="132" spans="1:12" x14ac:dyDescent="0.3">
      <c r="A132" s="1">
        <v>1.5576006262563169</v>
      </c>
      <c r="B132" s="1">
        <v>4875.1182592242194</v>
      </c>
      <c r="C132" s="1">
        <f t="shared" si="8"/>
        <v>9850.6254721609366</v>
      </c>
      <c r="D132" s="1">
        <f t="shared" si="9"/>
        <v>97034822.192785874</v>
      </c>
      <c r="E132" s="1">
        <f t="shared" si="10"/>
        <v>23766778.041421384</v>
      </c>
      <c r="F132" s="1">
        <f t="shared" si="11"/>
        <v>48022964.104110979</v>
      </c>
      <c r="J132">
        <v>100</v>
      </c>
      <c r="K132">
        <v>3538.4253211477007</v>
      </c>
      <c r="L132">
        <v>-147.11013026741421</v>
      </c>
    </row>
    <row r="133" spans="1:12" x14ac:dyDescent="0.3">
      <c r="A133" s="1">
        <v>-0.42396663957333658</v>
      </c>
      <c r="B133" s="1">
        <v>1267.0979949339276</v>
      </c>
      <c r="C133" s="1">
        <f t="shared" si="8"/>
        <v>2807.5300398756453</v>
      </c>
      <c r="D133" s="1">
        <f t="shared" si="9"/>
        <v>7882224.9248041427</v>
      </c>
      <c r="E133" s="1">
        <f t="shared" si="10"/>
        <v>1605537.3287655795</v>
      </c>
      <c r="F133" s="1">
        <f t="shared" si="11"/>
        <v>3557415.6842431999</v>
      </c>
      <c r="J133">
        <v>101</v>
      </c>
      <c r="K133">
        <v>6885.1309598248845</v>
      </c>
      <c r="L133">
        <v>-17.424326119435136</v>
      </c>
    </row>
    <row r="134" spans="1:12" x14ac:dyDescent="0.3">
      <c r="A134" s="1">
        <v>2.7198620955459774</v>
      </c>
      <c r="B134" s="1">
        <v>1021.485030671102</v>
      </c>
      <c r="C134" s="1">
        <f t="shared" si="8"/>
        <v>4131.3744531576058</v>
      </c>
      <c r="D134" s="1">
        <f t="shared" si="9"/>
        <v>17068254.872203305</v>
      </c>
      <c r="E134" s="1">
        <f t="shared" si="10"/>
        <v>1043431.6678851421</v>
      </c>
      <c r="F134" s="1">
        <f t="shared" si="11"/>
        <v>4220137.1599975042</v>
      </c>
      <c r="J134">
        <v>102</v>
      </c>
      <c r="K134">
        <v>4809.7892548440104</v>
      </c>
      <c r="L134">
        <v>231.33060947468766</v>
      </c>
    </row>
    <row r="135" spans="1:12" x14ac:dyDescent="0.3">
      <c r="A135" s="1">
        <v>1.1444217307143845</v>
      </c>
      <c r="B135" s="1">
        <v>2168.0043946653645</v>
      </c>
      <c r="C135" s="1">
        <f t="shared" si="8"/>
        <v>5156.6392030907627</v>
      </c>
      <c r="D135" s="1">
        <f t="shared" si="9"/>
        <v>26590927.870852537</v>
      </c>
      <c r="E135" s="1">
        <f t="shared" si="10"/>
        <v>4700243.0552883334</v>
      </c>
      <c r="F135" s="1">
        <f t="shared" si="11"/>
        <v>11179616.454004478</v>
      </c>
      <c r="J135">
        <v>103</v>
      </c>
      <c r="K135">
        <v>8313.6527242578086</v>
      </c>
      <c r="L135">
        <v>1122.1755415555563</v>
      </c>
    </row>
    <row r="136" spans="1:12" x14ac:dyDescent="0.3">
      <c r="A136" s="1">
        <v>1.7249476513825357</v>
      </c>
      <c r="B136" s="1">
        <v>1896.2675862910855</v>
      </c>
      <c r="C136" s="1">
        <f t="shared" si="8"/>
        <v>5027.562725640686</v>
      </c>
      <c r="D136" s="1">
        <f t="shared" si="9"/>
        <v>25276386.960251603</v>
      </c>
      <c r="E136" s="1">
        <f t="shared" si="10"/>
        <v>3595830.7588182194</v>
      </c>
      <c r="F136" s="1">
        <f t="shared" si="11"/>
        <v>9533604.2346776947</v>
      </c>
      <c r="J136">
        <v>104</v>
      </c>
      <c r="K136">
        <v>6069.7086651056643</v>
      </c>
      <c r="L136">
        <v>-387.79110919665163</v>
      </c>
    </row>
    <row r="137" spans="1:12" x14ac:dyDescent="0.3">
      <c r="A137" s="1">
        <v>-0.92530399342649616</v>
      </c>
      <c r="B137" s="1">
        <v>2018.8299203466902</v>
      </c>
      <c r="C137" s="1">
        <f t="shared" si="8"/>
        <v>3772.1521721874651</v>
      </c>
      <c r="D137" s="1">
        <f t="shared" si="9"/>
        <v>14229132.010138612</v>
      </c>
      <c r="E137" s="1">
        <f t="shared" si="10"/>
        <v>4075674.2472870233</v>
      </c>
      <c r="F137" s="1">
        <f t="shared" si="11"/>
        <v>7615333.6693128143</v>
      </c>
      <c r="J137">
        <v>105</v>
      </c>
      <c r="K137">
        <v>4434.9811123590353</v>
      </c>
      <c r="L137">
        <v>-792.07875947703724</v>
      </c>
    </row>
    <row r="138" spans="1:12" x14ac:dyDescent="0.3">
      <c r="A138" s="1">
        <v>0.68584085965994745</v>
      </c>
      <c r="B138" s="1">
        <v>3296.9450972014529</v>
      </c>
      <c r="C138" s="1">
        <f t="shared" si="8"/>
        <v>6767.1718831953676</v>
      </c>
      <c r="D138" s="1">
        <f t="shared" si="9"/>
        <v>45794615.29670994</v>
      </c>
      <c r="E138" s="1">
        <f t="shared" si="10"/>
        <v>10869846.973960698</v>
      </c>
      <c r="F138" s="1">
        <f t="shared" si="11"/>
        <v>22310994.162220489</v>
      </c>
      <c r="J138">
        <v>106</v>
      </c>
      <c r="K138">
        <v>8564.4104073707113</v>
      </c>
      <c r="L138">
        <v>-104.0118153999756</v>
      </c>
    </row>
    <row r="139" spans="1:12" x14ac:dyDescent="0.3">
      <c r="A139" s="1">
        <v>1.1239012565056328</v>
      </c>
      <c r="B139" s="1">
        <v>1819.8492385631885</v>
      </c>
      <c r="C139" s="1">
        <f t="shared" si="8"/>
        <v>4570.8969347073589</v>
      </c>
      <c r="D139" s="1">
        <f t="shared" si="9"/>
        <v>20893098.78771713</v>
      </c>
      <c r="E139" s="1">
        <f t="shared" si="10"/>
        <v>3311851.251099017</v>
      </c>
      <c r="F139" s="1">
        <f t="shared" si="11"/>
        <v>8318343.3061779989</v>
      </c>
      <c r="J139">
        <v>107</v>
      </c>
      <c r="K139">
        <v>5809.5501234571511</v>
      </c>
      <c r="L139">
        <v>180.51704493205034</v>
      </c>
    </row>
    <row r="140" spans="1:12" x14ac:dyDescent="0.3">
      <c r="A140" s="1">
        <v>0.98580585472518578</v>
      </c>
      <c r="B140" s="1">
        <v>3295.1139866328931</v>
      </c>
      <c r="C140" s="1">
        <f t="shared" si="8"/>
        <v>6929.1312980431258</v>
      </c>
      <c r="D140" s="1">
        <f t="shared" si="9"/>
        <v>48012860.545520812</v>
      </c>
      <c r="E140" s="1">
        <f t="shared" si="10"/>
        <v>10857776.184903719</v>
      </c>
      <c r="F140" s="1">
        <f t="shared" si="11"/>
        <v>22832277.455397636</v>
      </c>
      <c r="J140">
        <v>108</v>
      </c>
      <c r="K140">
        <v>6777.6341861350829</v>
      </c>
      <c r="L140">
        <v>246.06005789589381</v>
      </c>
    </row>
    <row r="141" spans="1:12" x14ac:dyDescent="0.3">
      <c r="A141" s="1">
        <v>1.5306386558222584</v>
      </c>
      <c r="B141" s="1">
        <v>1391.7355876339</v>
      </c>
      <c r="C141" s="1">
        <f t="shared" si="8"/>
        <v>4088.2149802981771</v>
      </c>
      <c r="D141" s="1">
        <f t="shared" si="9"/>
        <v>16713501.725134425</v>
      </c>
      <c r="E141" s="1">
        <f t="shared" si="10"/>
        <v>1936927.9458866769</v>
      </c>
      <c r="F141" s="1">
        <f t="shared" si="11"/>
        <v>5689714.2779789967</v>
      </c>
      <c r="J141">
        <v>109</v>
      </c>
      <c r="K141">
        <v>4479.1242741784208</v>
      </c>
      <c r="L141">
        <v>-875.53150274147993</v>
      </c>
    </row>
    <row r="142" spans="1:12" x14ac:dyDescent="0.3">
      <c r="A142" s="1">
        <v>-0.61725813793600537</v>
      </c>
      <c r="B142" s="1">
        <v>4571.8863490707117</v>
      </c>
      <c r="C142" s="1">
        <f t="shared" si="8"/>
        <v>8154.1205001018716</v>
      </c>
      <c r="D142" s="1">
        <f t="shared" si="9"/>
        <v>66489681.130181596</v>
      </c>
      <c r="E142" s="1">
        <f t="shared" si="10"/>
        <v>20902144.788819123</v>
      </c>
      <c r="F142" s="1">
        <f t="shared" si="11"/>
        <v>37279712.203093395</v>
      </c>
      <c r="J142">
        <v>110</v>
      </c>
      <c r="K142">
        <v>3091.6801742163175</v>
      </c>
      <c r="L142">
        <v>-139.85346643092907</v>
      </c>
    </row>
    <row r="143" spans="1:12" x14ac:dyDescent="0.3">
      <c r="A143" s="1">
        <v>1.7594902601558715</v>
      </c>
      <c r="B143" s="1">
        <v>1509.4149601733452</v>
      </c>
      <c r="C143" s="1">
        <f t="shared" si="8"/>
        <v>4408.2543273717492</v>
      </c>
      <c r="D143" s="1">
        <f t="shared" si="9"/>
        <v>19432706.214791752</v>
      </c>
      <c r="E143" s="1">
        <f t="shared" si="10"/>
        <v>2278333.5219951011</v>
      </c>
      <c r="F143" s="1">
        <f t="shared" si="11"/>
        <v>6653885.0299838055</v>
      </c>
      <c r="J143">
        <v>111</v>
      </c>
      <c r="K143">
        <v>7968.8864557888028</v>
      </c>
      <c r="L143">
        <v>-1011.0166669168175</v>
      </c>
    </row>
    <row r="144" spans="1:12" x14ac:dyDescent="0.3">
      <c r="A144" s="1">
        <v>0.26092266125488095</v>
      </c>
      <c r="B144" s="1">
        <v>4597.2777489547407</v>
      </c>
      <c r="C144" s="1">
        <f t="shared" si="8"/>
        <v>8679.0157494655068</v>
      </c>
      <c r="D144" s="1">
        <f t="shared" si="9"/>
        <v>75325314.379470319</v>
      </c>
      <c r="E144" s="1">
        <f t="shared" si="10"/>
        <v>21134962.701034367</v>
      </c>
      <c r="F144" s="1">
        <f t="shared" si="11"/>
        <v>39899845.987845525</v>
      </c>
      <c r="J144">
        <v>112</v>
      </c>
      <c r="K144">
        <v>6675.6553076727041</v>
      </c>
      <c r="L144">
        <v>-829.60019103539707</v>
      </c>
    </row>
    <row r="145" spans="1:12" x14ac:dyDescent="0.3">
      <c r="A145" s="1">
        <v>0.47783032641746104</v>
      </c>
      <c r="B145" s="1">
        <v>3631.0617389446697</v>
      </c>
      <c r="C145" s="1">
        <f t="shared" si="8"/>
        <v>7204.0585487883081</v>
      </c>
      <c r="D145" s="1">
        <f t="shared" si="9"/>
        <v>51898459.574369907</v>
      </c>
      <c r="E145" s="1">
        <f t="shared" si="10"/>
        <v>13184609.352027889</v>
      </c>
      <c r="F145" s="1">
        <f t="shared" si="11"/>
        <v>26158381.361622486</v>
      </c>
      <c r="J145">
        <v>113</v>
      </c>
      <c r="K145">
        <v>7799.8753686377258</v>
      </c>
      <c r="L145">
        <v>228.56067679233274</v>
      </c>
    </row>
    <row r="146" spans="1:12" x14ac:dyDescent="0.3">
      <c r="A146" s="1">
        <v>-0.17900219972943887</v>
      </c>
      <c r="B146" s="1">
        <v>1643.8184759056367</v>
      </c>
      <c r="C146" s="1">
        <f t="shared" si="8"/>
        <v>3563.8492753931091</v>
      </c>
      <c r="D146" s="1">
        <f t="shared" si="9"/>
        <v>12701021.657719988</v>
      </c>
      <c r="E146" s="1">
        <f t="shared" si="10"/>
        <v>2702139.18172873</v>
      </c>
      <c r="F146" s="1">
        <f t="shared" si="11"/>
        <v>5858321.2842341084</v>
      </c>
      <c r="J146">
        <v>114</v>
      </c>
      <c r="K146">
        <v>4712.7151721393402</v>
      </c>
      <c r="L146">
        <v>-208.78498116014271</v>
      </c>
    </row>
    <row r="147" spans="1:12" x14ac:dyDescent="0.3">
      <c r="A147" s="1">
        <v>0.53241365094436333</v>
      </c>
      <c r="B147" s="1">
        <v>4244.6058534501171</v>
      </c>
      <c r="C147" s="1">
        <f t="shared" si="8"/>
        <v>8246.4271662120918</v>
      </c>
      <c r="D147" s="1">
        <f t="shared" si="9"/>
        <v>68003561.007640794</v>
      </c>
      <c r="E147" s="1">
        <f t="shared" si="10"/>
        <v>18016678.851142999</v>
      </c>
      <c r="F147" s="1">
        <f t="shared" si="11"/>
        <v>35002833.019753911</v>
      </c>
      <c r="J147">
        <v>115</v>
      </c>
      <c r="K147">
        <v>6927.0260902553209</v>
      </c>
      <c r="L147">
        <v>507.55730833802409</v>
      </c>
    </row>
    <row r="148" spans="1:12" x14ac:dyDescent="0.3">
      <c r="A148" s="1">
        <v>-0.16285639503621496</v>
      </c>
      <c r="B148" s="1">
        <v>2577.5627918332466</v>
      </c>
      <c r="C148" s="1">
        <f t="shared" si="8"/>
        <v>5113.4075892549381</v>
      </c>
      <c r="D148" s="1">
        <f t="shared" si="9"/>
        <v>26146937.173849996</v>
      </c>
      <c r="E148" s="1">
        <f t="shared" si="10"/>
        <v>6643829.9458432002</v>
      </c>
      <c r="F148" s="1">
        <f t="shared" si="11"/>
        <v>13180129.141541269</v>
      </c>
      <c r="J148">
        <v>116</v>
      </c>
      <c r="K148">
        <v>3163.8215451526298</v>
      </c>
      <c r="L148">
        <v>-751.29256606683657</v>
      </c>
    </row>
    <row r="149" spans="1:12" x14ac:dyDescent="0.3">
      <c r="A149" s="1">
        <v>0.93615653895540163</v>
      </c>
      <c r="B149" s="1">
        <v>3015.1982177190466</v>
      </c>
      <c r="C149" s="1">
        <f t="shared" si="8"/>
        <v>6439.9631556618979</v>
      </c>
      <c r="D149" s="1">
        <f t="shared" si="9"/>
        <v>41473125.446282752</v>
      </c>
      <c r="E149" s="1">
        <f t="shared" si="10"/>
        <v>9091420.292136116</v>
      </c>
      <c r="F149" s="1">
        <f t="shared" si="11"/>
        <v>19417765.429128081</v>
      </c>
      <c r="J149">
        <v>117</v>
      </c>
      <c r="K149">
        <v>3678.4163667323287</v>
      </c>
      <c r="L149">
        <v>277.51617428275767</v>
      </c>
    </row>
    <row r="150" spans="1:12" x14ac:dyDescent="0.3">
      <c r="A150" s="1">
        <v>0.36778374123969115</v>
      </c>
      <c r="B150" s="1">
        <v>3866.5425580614642</v>
      </c>
      <c r="C150" s="1">
        <f t="shared" si="8"/>
        <v>7532.0762784832459</v>
      </c>
      <c r="D150" s="1">
        <f t="shared" si="9"/>
        <v>56732173.064890027</v>
      </c>
      <c r="E150" s="1">
        <f t="shared" si="10"/>
        <v>14950151.353300491</v>
      </c>
      <c r="F150" s="1">
        <f t="shared" si="11"/>
        <v>29123093.481320683</v>
      </c>
      <c r="J150">
        <v>118</v>
      </c>
      <c r="K150">
        <v>4033.8096926763701</v>
      </c>
      <c r="L150">
        <v>-132.19363857986264</v>
      </c>
    </row>
    <row r="151" spans="1:12" x14ac:dyDescent="0.3">
      <c r="A151" s="1">
        <v>-7.5538082455750555E-2</v>
      </c>
      <c r="B151" s="1">
        <v>3395.9471419415872</v>
      </c>
      <c r="C151" s="1">
        <f t="shared" si="8"/>
        <v>6511.7668388529555</v>
      </c>
      <c r="D151" s="1">
        <f t="shared" si="9"/>
        <v>42403107.36358501</v>
      </c>
      <c r="E151" s="1">
        <f t="shared" si="10"/>
        <v>11532456.990861235</v>
      </c>
      <c r="F151" s="1">
        <f t="shared" si="11"/>
        <v>22113615.985392697</v>
      </c>
      <c r="J151">
        <v>119</v>
      </c>
      <c r="K151">
        <v>4840.4442283296958</v>
      </c>
      <c r="L151">
        <v>-194.9388464234371</v>
      </c>
    </row>
    <row r="152" spans="1:12" x14ac:dyDescent="0.3">
      <c r="A152" s="1">
        <v>1.3523140296456404</v>
      </c>
      <c r="B152" s="1">
        <v>2829.4015320291755</v>
      </c>
      <c r="C152" s="1">
        <f t="shared" si="8"/>
        <v>6362.2852441532414</v>
      </c>
      <c r="D152" s="1">
        <f t="shared" si="9"/>
        <v>40478673.527970068</v>
      </c>
      <c r="E152" s="1">
        <f t="shared" si="10"/>
        <v>8005513.0294490457</v>
      </c>
      <c r="F152" s="1">
        <f t="shared" si="11"/>
        <v>18001459.617013797</v>
      </c>
      <c r="J152">
        <v>120</v>
      </c>
      <c r="K152">
        <v>4228.7753240453276</v>
      </c>
      <c r="L152">
        <v>-552.82052752615164</v>
      </c>
    </row>
    <row r="153" spans="1:12" x14ac:dyDescent="0.3">
      <c r="A153" s="1">
        <v>-1.8406262825010344</v>
      </c>
      <c r="B153" s="1">
        <v>3649.8611407818844</v>
      </c>
      <c r="C153" s="1">
        <f t="shared" si="8"/>
        <v>5959.9264269145397</v>
      </c>
      <c r="D153" s="1">
        <f t="shared" si="9"/>
        <v>35520723.014234312</v>
      </c>
      <c r="E153" s="1">
        <f t="shared" si="10"/>
        <v>13321486.346989639</v>
      </c>
      <c r="F153" s="1">
        <f t="shared" si="11"/>
        <v>21752903.867514402</v>
      </c>
      <c r="J153">
        <v>121</v>
      </c>
      <c r="K153">
        <v>8496.5607327223952</v>
      </c>
      <c r="L153">
        <v>-491.62119648590306</v>
      </c>
    </row>
    <row r="154" spans="1:12" x14ac:dyDescent="0.3">
      <c r="A154" s="1">
        <v>-0.84899056673748419</v>
      </c>
      <c r="B154" s="1">
        <v>2269.3258461256751</v>
      </c>
      <c r="C154" s="1">
        <f t="shared" si="8"/>
        <v>4227.4428344017469</v>
      </c>
      <c r="D154" s="1">
        <f t="shared" si="9"/>
        <v>17871272.918134674</v>
      </c>
      <c r="E154" s="1">
        <f t="shared" si="10"/>
        <v>5149839.7958940109</v>
      </c>
      <c r="F154" s="1">
        <f t="shared" si="11"/>
        <v>9593445.2871266659</v>
      </c>
      <c r="J154">
        <v>122</v>
      </c>
      <c r="K154">
        <v>8350.2343259507252</v>
      </c>
      <c r="L154">
        <v>-1168.9384558144848</v>
      </c>
    </row>
    <row r="155" spans="1:12" x14ac:dyDescent="0.3">
      <c r="A155" s="1">
        <v>-2.2505446395371109</v>
      </c>
      <c r="B155" s="1">
        <v>1838.038270210883</v>
      </c>
      <c r="C155" s="1">
        <f t="shared" si="8"/>
        <v>2744.9635941025458</v>
      </c>
      <c r="D155" s="1">
        <f t="shared" si="9"/>
        <v>7534825.132948366</v>
      </c>
      <c r="E155" s="1">
        <f t="shared" si="10"/>
        <v>3378384.6827598149</v>
      </c>
      <c r="F155" s="1">
        <f t="shared" si="11"/>
        <v>5045348.1362960916</v>
      </c>
      <c r="J155">
        <v>123</v>
      </c>
      <c r="K155">
        <v>8051.4505177102483</v>
      </c>
      <c r="L155">
        <v>49.595237844464464</v>
      </c>
    </row>
    <row r="156" spans="1:12" x14ac:dyDescent="0.3">
      <c r="A156" s="1">
        <v>-0.10457256394147407</v>
      </c>
      <c r="B156" s="1">
        <v>2840.5102694784387</v>
      </c>
      <c r="C156" s="1">
        <f t="shared" si="8"/>
        <v>5579.3270344716129</v>
      </c>
      <c r="D156" s="1">
        <f t="shared" si="9"/>
        <v>31128890.157585803</v>
      </c>
      <c r="E156" s="1">
        <f t="shared" si="10"/>
        <v>8068498.5910124723</v>
      </c>
      <c r="F156" s="1">
        <f t="shared" si="11"/>
        <v>15848135.7381953</v>
      </c>
      <c r="J156">
        <v>124</v>
      </c>
      <c r="K156">
        <v>3258.2388634885392</v>
      </c>
      <c r="L156">
        <v>701.00129042164008</v>
      </c>
    </row>
    <row r="157" spans="1:12" x14ac:dyDescent="0.3">
      <c r="A157" s="1">
        <v>-1.1095835361629725E-3</v>
      </c>
      <c r="B157" s="1">
        <v>4737.0525223548084</v>
      </c>
      <c r="C157" s="1">
        <f t="shared" si="8"/>
        <v>8765.5263909405439</v>
      </c>
      <c r="D157" s="1">
        <f t="shared" si="9"/>
        <v>76834452.910275161</v>
      </c>
      <c r="E157" s="1">
        <f t="shared" si="10"/>
        <v>22439666.599548053</v>
      </c>
      <c r="F157" s="1">
        <f t="shared" si="11"/>
        <v>41522758.899972543</v>
      </c>
      <c r="J157">
        <v>125</v>
      </c>
      <c r="K157">
        <v>8191.4415632948758</v>
      </c>
      <c r="L157">
        <v>440.08638724769389</v>
      </c>
    </row>
    <row r="158" spans="1:12" x14ac:dyDescent="0.3">
      <c r="A158" s="1">
        <v>0.24843757273629308</v>
      </c>
      <c r="B158" s="1">
        <v>2247.5966673787652</v>
      </c>
      <c r="C158" s="1">
        <f t="shared" si="8"/>
        <v>4795.1751661799235</v>
      </c>
      <c r="D158" s="1">
        <f t="shared" si="9"/>
        <v>22993704.874348655</v>
      </c>
      <c r="E158" s="1">
        <f t="shared" si="10"/>
        <v>5051690.7792121321</v>
      </c>
      <c r="F158" s="1">
        <f t="shared" si="11"/>
        <v>10777619.723003414</v>
      </c>
      <c r="J158">
        <v>126</v>
      </c>
      <c r="K158">
        <v>4175.0269372004259</v>
      </c>
      <c r="L158">
        <v>-419.90625264328628</v>
      </c>
    </row>
    <row r="159" spans="1:12" x14ac:dyDescent="0.3">
      <c r="A159" s="1">
        <v>-1.611551851965487</v>
      </c>
      <c r="B159" s="1">
        <v>4379.3755912961205</v>
      </c>
      <c r="C159" s="1">
        <f t="shared" si="8"/>
        <v>7289.6162070575811</v>
      </c>
      <c r="D159" s="1">
        <f t="shared" si="9"/>
        <v>53138504.446196556</v>
      </c>
      <c r="E159" s="1">
        <f t="shared" si="10"/>
        <v>19178930.569640245</v>
      </c>
      <c r="F159" s="1">
        <f t="shared" si="11"/>
        <v>31923967.287104577</v>
      </c>
      <c r="J159">
        <v>127</v>
      </c>
      <c r="K159">
        <v>6407.5264729179125</v>
      </c>
      <c r="L159">
        <v>315.21306958939567</v>
      </c>
    </row>
    <row r="160" spans="1:12" x14ac:dyDescent="0.3">
      <c r="A160" s="1">
        <v>0.47192202146106865</v>
      </c>
      <c r="B160" s="1">
        <v>3203.1922360911894</v>
      </c>
      <c r="C160" s="1">
        <f t="shared" si="8"/>
        <v>6494.8243013540505</v>
      </c>
      <c r="D160" s="1">
        <f t="shared" si="9"/>
        <v>42182742.705459133</v>
      </c>
      <c r="E160" s="1">
        <f t="shared" si="10"/>
        <v>10260440.501354875</v>
      </c>
      <c r="F160" s="1">
        <f t="shared" si="11"/>
        <v>20804170.776873678</v>
      </c>
      <c r="J160">
        <v>128</v>
      </c>
      <c r="K160">
        <v>5090.9975449526946</v>
      </c>
      <c r="L160">
        <v>47.136736311433197</v>
      </c>
    </row>
    <row r="161" spans="1:12" x14ac:dyDescent="0.3">
      <c r="A161" s="1">
        <v>0.18203422769147437</v>
      </c>
      <c r="B161" s="1">
        <v>1447.4013489181189</v>
      </c>
      <c r="C161" s="1">
        <f t="shared" si="8"/>
        <v>3438.3310509452067</v>
      </c>
      <c r="D161" s="1">
        <f t="shared" si="9"/>
        <v>11822120.41589397</v>
      </c>
      <c r="E161" s="1">
        <f t="shared" si="10"/>
        <v>2094970.66484999</v>
      </c>
      <c r="F161" s="1">
        <f t="shared" si="11"/>
        <v>4976645.0011651451</v>
      </c>
      <c r="J161">
        <v>129</v>
      </c>
      <c r="K161">
        <v>8183.6756366785021</v>
      </c>
      <c r="L161">
        <v>495.1164039514797</v>
      </c>
    </row>
    <row r="162" spans="1:12" x14ac:dyDescent="0.3">
      <c r="A162" s="1">
        <v>0.85702595242764801</v>
      </c>
      <c r="B162" s="1">
        <v>1447.2792748802149</v>
      </c>
      <c r="C162" s="1">
        <f t="shared" si="8"/>
        <v>3809.3750773875609</v>
      </c>
      <c r="D162" s="1">
        <f t="shared" si="9"/>
        <v>14511338.480221486</v>
      </c>
      <c r="E162" s="1">
        <f t="shared" si="10"/>
        <v>2094617.2994978006</v>
      </c>
      <c r="F162" s="1">
        <f t="shared" si="11"/>
        <v>5513229.5997482315</v>
      </c>
      <c r="J162">
        <v>130</v>
      </c>
      <c r="K162">
        <v>5842.2487618418809</v>
      </c>
      <c r="L162">
        <v>801.90079039957618</v>
      </c>
    </row>
    <row r="163" spans="1:12" x14ac:dyDescent="0.3">
      <c r="A163" s="1">
        <v>-0.80230620369547978</v>
      </c>
      <c r="B163" s="1">
        <v>2606.372264778588</v>
      </c>
      <c r="C163" s="1">
        <f t="shared" si="8"/>
        <v>4809.2458248521561</v>
      </c>
      <c r="D163" s="1">
        <f t="shared" si="9"/>
        <v>23128845.403857894</v>
      </c>
      <c r="E163" s="1">
        <f t="shared" si="10"/>
        <v>6793176.3826070661</v>
      </c>
      <c r="F163" s="1">
        <f t="shared" si="11"/>
        <v>12534684.932396883</v>
      </c>
      <c r="J163">
        <v>131</v>
      </c>
      <c r="K163">
        <v>9096.1720141023925</v>
      </c>
      <c r="L163">
        <v>754.45345805854413</v>
      </c>
    </row>
    <row r="164" spans="1:12" x14ac:dyDescent="0.3">
      <c r="A164" s="1">
        <v>0.62319259086507373</v>
      </c>
      <c r="B164" s="1">
        <v>1581.0724204229866</v>
      </c>
      <c r="C164" s="1">
        <f t="shared" si="8"/>
        <v>3901.5254186737184</v>
      </c>
      <c r="D164" s="1">
        <f t="shared" si="9"/>
        <v>15221900.592557134</v>
      </c>
      <c r="E164" s="1">
        <f t="shared" si="10"/>
        <v>2499789.9986222014</v>
      </c>
      <c r="F164" s="1">
        <f t="shared" si="11"/>
        <v>6168594.2370442618</v>
      </c>
      <c r="J164">
        <v>132</v>
      </c>
      <c r="K164">
        <v>3055.9160384830188</v>
      </c>
      <c r="L164">
        <v>-248.38599860737349</v>
      </c>
    </row>
    <row r="165" spans="1:12" x14ac:dyDescent="0.3">
      <c r="A165" s="1">
        <v>-0.57964939514931757</v>
      </c>
      <c r="B165" s="1">
        <v>1518.4484389782403</v>
      </c>
      <c r="C165" s="1">
        <f t="shared" si="8"/>
        <v>3136.6327569819719</v>
      </c>
      <c r="D165" s="1">
        <f t="shared" si="9"/>
        <v>9838465.0521723256</v>
      </c>
      <c r="E165" s="1">
        <f t="shared" si="10"/>
        <v>2305685.6618354549</v>
      </c>
      <c r="F165" s="1">
        <f t="shared" si="11"/>
        <v>4762815.1134872893</v>
      </c>
      <c r="J165">
        <v>133</v>
      </c>
      <c r="K165">
        <v>2644.7306607950304</v>
      </c>
      <c r="L165">
        <v>1486.6437923625754</v>
      </c>
    </row>
    <row r="166" spans="1:12" x14ac:dyDescent="0.3">
      <c r="A166" s="1">
        <v>0.72379407356493175</v>
      </c>
      <c r="B166" s="1">
        <v>4471.6635639515371</v>
      </c>
      <c r="C166" s="1">
        <f t="shared" si="8"/>
        <v>8726.331620980749</v>
      </c>
      <c r="D166" s="1">
        <f t="shared" si="9"/>
        <v>76148863.559328511</v>
      </c>
      <c r="E166" s="1">
        <f t="shared" si="10"/>
        <v>19995775.029171761</v>
      </c>
      <c r="F166" s="1">
        <f t="shared" si="11"/>
        <v>39021219.156497769</v>
      </c>
      <c r="J166">
        <v>134</v>
      </c>
      <c r="K166">
        <v>4564.1407339787211</v>
      </c>
      <c r="L166">
        <v>592.49846911204168</v>
      </c>
    </row>
    <row r="167" spans="1:12" x14ac:dyDescent="0.3">
      <c r="A167" s="1">
        <v>-2.0571224013110623</v>
      </c>
      <c r="B167" s="1">
        <v>1267.5862910855435</v>
      </c>
      <c r="C167" s="1">
        <f t="shared" si="8"/>
        <v>1910.1000595700625</v>
      </c>
      <c r="D167" s="1">
        <f t="shared" si="9"/>
        <v>3648482.2375695566</v>
      </c>
      <c r="E167" s="1">
        <f t="shared" si="10"/>
        <v>1606775.0053480042</v>
      </c>
      <c r="F167" s="1">
        <f t="shared" si="11"/>
        <v>2421216.6501126913</v>
      </c>
      <c r="J167">
        <v>135</v>
      </c>
      <c r="K167">
        <v>4109.2209274511551</v>
      </c>
      <c r="L167">
        <v>918.34179818953089</v>
      </c>
    </row>
    <row r="168" spans="1:12" x14ac:dyDescent="0.3">
      <c r="A168" s="1">
        <v>-0.34171421248174738</v>
      </c>
      <c r="B168" s="1">
        <v>2059.7247230445264</v>
      </c>
      <c r="C168" s="1">
        <f t="shared" si="8"/>
        <v>4160.6029761585069</v>
      </c>
      <c r="D168" s="1">
        <f t="shared" si="9"/>
        <v>17310617.125219025</v>
      </c>
      <c r="E168" s="1">
        <f t="shared" si="10"/>
        <v>4242465.9347208505</v>
      </c>
      <c r="F168" s="1">
        <f t="shared" si="11"/>
        <v>8569696.8127663136</v>
      </c>
      <c r="J168">
        <v>136</v>
      </c>
      <c r="K168">
        <v>4314.4048833153402</v>
      </c>
      <c r="L168">
        <v>-542.25271112787505</v>
      </c>
    </row>
    <row r="169" spans="1:12" x14ac:dyDescent="0.3">
      <c r="A169" s="1">
        <v>0.848442596179666</v>
      </c>
      <c r="B169" s="1">
        <v>3703.4516434217353</v>
      </c>
      <c r="C169" s="1">
        <f t="shared" si="8"/>
        <v>7527.3386395446796</v>
      </c>
      <c r="D169" s="1">
        <f t="shared" si="9"/>
        <v>56660826.994382352</v>
      </c>
      <c r="E169" s="1">
        <f t="shared" si="10"/>
        <v>13715554.075163152</v>
      </c>
      <c r="F169" s="1">
        <f t="shared" si="11"/>
        <v>27877134.655213673</v>
      </c>
      <c r="J169">
        <v>137</v>
      </c>
      <c r="K169">
        <v>6454.1220326161547</v>
      </c>
      <c r="L169">
        <v>313.04985057921294</v>
      </c>
    </row>
    <row r="170" spans="1:12" x14ac:dyDescent="0.3">
      <c r="A170" s="1">
        <v>-1.003620582196163</v>
      </c>
      <c r="B170" s="1">
        <v>4030.610065004425</v>
      </c>
      <c r="C170" s="1">
        <f t="shared" si="8"/>
        <v>7048.5152870494112</v>
      </c>
      <c r="D170" s="1">
        <f t="shared" si="9"/>
        <v>49681567.751769245</v>
      </c>
      <c r="E170" s="1">
        <f t="shared" si="10"/>
        <v>16245817.496114975</v>
      </c>
      <c r="F170" s="1">
        <f t="shared" si="11"/>
        <v>28409816.659318909</v>
      </c>
      <c r="J170">
        <v>138</v>
      </c>
      <c r="K170">
        <v>3981.2875047708962</v>
      </c>
      <c r="L170">
        <v>589.60942993646267</v>
      </c>
    </row>
    <row r="171" spans="1:12" x14ac:dyDescent="0.3">
      <c r="A171" s="1">
        <v>-0.4135279141337378</v>
      </c>
      <c r="B171" s="1">
        <v>1319.9560533463546</v>
      </c>
      <c r="C171" s="1">
        <f t="shared" si="8"/>
        <v>2900.487135247929</v>
      </c>
      <c r="D171" s="1">
        <f t="shared" si="9"/>
        <v>8412825.6217387374</v>
      </c>
      <c r="E171" s="1">
        <f t="shared" si="10"/>
        <v>1742283.9827656844</v>
      </c>
      <c r="F171" s="1">
        <f t="shared" si="11"/>
        <v>3828515.5518237306</v>
      </c>
      <c r="J171">
        <v>139</v>
      </c>
      <c r="K171">
        <v>6451.0565352675858</v>
      </c>
      <c r="L171">
        <v>478.07476277553997</v>
      </c>
    </row>
    <row r="172" spans="1:12" x14ac:dyDescent="0.3">
      <c r="A172" s="1">
        <v>0.96268877314287238</v>
      </c>
      <c r="B172" s="1">
        <v>2504.1962950529496</v>
      </c>
      <c r="C172" s="1">
        <f t="shared" si="8"/>
        <v>5611.4027120659466</v>
      </c>
      <c r="D172" s="1">
        <f t="shared" si="9"/>
        <v>31487840.396981061</v>
      </c>
      <c r="E172" s="1">
        <f t="shared" si="10"/>
        <v>6270999.0841569193</v>
      </c>
      <c r="F172" s="1">
        <f t="shared" si="11"/>
        <v>14052053.881605618</v>
      </c>
      <c r="J172">
        <v>140</v>
      </c>
      <c r="K172">
        <v>3264.5742246755813</v>
      </c>
      <c r="L172">
        <v>823.64075562259586</v>
      </c>
    </row>
    <row r="173" spans="1:12" x14ac:dyDescent="0.3">
      <c r="A173" s="1">
        <v>-0.30327441891131457</v>
      </c>
      <c r="B173" s="1">
        <v>2198.2787560655534</v>
      </c>
      <c r="C173" s="1">
        <f t="shared" si="8"/>
        <v>4410.35901710694</v>
      </c>
      <c r="D173" s="1">
        <f t="shared" si="9"/>
        <v>19451266.659776494</v>
      </c>
      <c r="E173" s="1">
        <f t="shared" si="10"/>
        <v>4832429.4893691167</v>
      </c>
      <c r="F173" s="1">
        <f t="shared" si="11"/>
        <v>9695198.5339283403</v>
      </c>
      <c r="J173">
        <v>141</v>
      </c>
      <c r="K173">
        <v>8588.5256531794494</v>
      </c>
      <c r="L173">
        <v>-434.40515307757778</v>
      </c>
    </row>
    <row r="174" spans="1:12" x14ac:dyDescent="0.3">
      <c r="A174" s="1">
        <v>0.62942717704572715</v>
      </c>
      <c r="B174" s="1">
        <v>4163.0603961302531</v>
      </c>
      <c r="C174" s="1">
        <f t="shared" si="8"/>
        <v>8165.2346009900675</v>
      </c>
      <c r="D174" s="1">
        <f t="shared" si="9"/>
        <v>66671056.089205429</v>
      </c>
      <c r="E174" s="1">
        <f t="shared" si="10"/>
        <v>17331071.861828182</v>
      </c>
      <c r="F174" s="1">
        <f t="shared" si="11"/>
        <v>33992364.792494163</v>
      </c>
      <c r="J174">
        <v>142</v>
      </c>
      <c r="K174">
        <v>3461.5835209435836</v>
      </c>
      <c r="L174">
        <v>946.67080642816563</v>
      </c>
    </row>
    <row r="175" spans="1:12" x14ac:dyDescent="0.3">
      <c r="A175" s="1">
        <v>1.4798251868342049</v>
      </c>
      <c r="B175" s="1">
        <v>4766.1061433759569</v>
      </c>
      <c r="C175" s="1">
        <f t="shared" si="8"/>
        <v>9627.9789893291418</v>
      </c>
      <c r="D175" s="1">
        <f t="shared" si="9"/>
        <v>92697979.418963403</v>
      </c>
      <c r="E175" s="1">
        <f t="shared" si="10"/>
        <v>22715767.769926038</v>
      </c>
      <c r="F175" s="1">
        <f t="shared" si="11"/>
        <v>45887969.80933626</v>
      </c>
      <c r="J175">
        <v>143</v>
      </c>
      <c r="K175">
        <v>8631.033883079599</v>
      </c>
      <c r="L175">
        <v>47.981866385907779</v>
      </c>
    </row>
    <row r="176" spans="1:12" x14ac:dyDescent="0.3">
      <c r="A176" s="1">
        <v>-0.56819544624886476</v>
      </c>
      <c r="B176" s="1">
        <v>4549.6688741721855</v>
      </c>
      <c r="C176" s="1">
        <f t="shared" si="8"/>
        <v>8144.4461469472299</v>
      </c>
      <c r="D176" s="1">
        <f t="shared" si="9"/>
        <v>66332003.040523581</v>
      </c>
      <c r="E176" s="1">
        <f t="shared" si="10"/>
        <v>20699486.864611201</v>
      </c>
      <c r="F176" s="1">
        <f t="shared" si="11"/>
        <v>37054533.132137395</v>
      </c>
      <c r="J176">
        <v>144</v>
      </c>
      <c r="K176">
        <v>7013.4731154849533</v>
      </c>
      <c r="L176">
        <v>190.58543330335488</v>
      </c>
    </row>
    <row r="177" spans="1:12" x14ac:dyDescent="0.3">
      <c r="A177" s="1">
        <v>0.68642293626908213</v>
      </c>
      <c r="B177" s="1">
        <v>3169.6218756675926</v>
      </c>
      <c r="C177" s="1">
        <f t="shared" si="8"/>
        <v>6557.4087097995225</v>
      </c>
      <c r="D177" s="1">
        <f t="shared" si="9"/>
        <v>42999608.987354636</v>
      </c>
      <c r="E177" s="1">
        <f t="shared" si="10"/>
        <v>10046502.834710548</v>
      </c>
      <c r="F177" s="1">
        <f t="shared" si="11"/>
        <v>20784506.094273772</v>
      </c>
      <c r="J177">
        <v>145</v>
      </c>
      <c r="K177">
        <v>3686.5910263285114</v>
      </c>
      <c r="L177">
        <v>-122.74175093540225</v>
      </c>
    </row>
    <row r="178" spans="1:12" x14ac:dyDescent="0.3">
      <c r="A178" s="1">
        <v>-0.84954081103205681</v>
      </c>
      <c r="B178" s="1">
        <v>3153.2639545884581</v>
      </c>
      <c r="C178" s="1">
        <f t="shared" si="8"/>
        <v>5685.6380790033245</v>
      </c>
      <c r="D178" s="1">
        <f t="shared" si="9"/>
        <v>32326480.365412615</v>
      </c>
      <c r="E178" s="1">
        <f t="shared" si="10"/>
        <v>9943073.5673068408</v>
      </c>
      <c r="F178" s="1">
        <f t="shared" si="11"/>
        <v>17928317.613356747</v>
      </c>
      <c r="J178">
        <v>146</v>
      </c>
      <c r="K178">
        <v>8040.6190937453048</v>
      </c>
      <c r="L178">
        <v>205.80807246678705</v>
      </c>
    </row>
    <row r="179" spans="1:12" x14ac:dyDescent="0.3">
      <c r="A179" s="1">
        <v>-6.4953837863868102E-2</v>
      </c>
      <c r="B179" s="1">
        <v>4403.9124729148225</v>
      </c>
      <c r="C179" s="1">
        <f t="shared" si="8"/>
        <v>8180.7309694843279</v>
      </c>
      <c r="D179" s="1">
        <f t="shared" si="9"/>
        <v>66924359.19507999</v>
      </c>
      <c r="E179" s="1">
        <f t="shared" si="10"/>
        <v>19394445.069094747</v>
      </c>
      <c r="F179" s="1">
        <f t="shared" si="11"/>
        <v>36027223.154072598</v>
      </c>
      <c r="J179">
        <v>147</v>
      </c>
      <c r="K179">
        <v>5249.7903076085422</v>
      </c>
      <c r="L179">
        <v>-136.3827183536041</v>
      </c>
    </row>
    <row r="180" spans="1:12" x14ac:dyDescent="0.3">
      <c r="A180" s="1">
        <v>0.99819317256333306</v>
      </c>
      <c r="B180" s="1">
        <v>4850.2151554918055</v>
      </c>
      <c r="C180" s="1">
        <f t="shared" si="8"/>
        <v>9501.8612514713132</v>
      </c>
      <c r="D180" s="1">
        <f t="shared" si="9"/>
        <v>90285367.242211983</v>
      </c>
      <c r="E180" s="1">
        <f t="shared" si="10"/>
        <v>23524587.054562397</v>
      </c>
      <c r="F180" s="1">
        <f t="shared" si="11"/>
        <v>46086071.447266497</v>
      </c>
      <c r="J180">
        <v>148</v>
      </c>
      <c r="K180">
        <v>5982.444173916414</v>
      </c>
      <c r="L180">
        <v>457.51898174548387</v>
      </c>
    </row>
    <row r="181" spans="1:12" x14ac:dyDescent="0.3">
      <c r="A181" s="1">
        <v>0.22852418624097481</v>
      </c>
      <c r="B181" s="1">
        <v>1508.3162938322093</v>
      </c>
      <c r="C181" s="1">
        <f t="shared" si="8"/>
        <v>3564.4101872556816</v>
      </c>
      <c r="D181" s="1">
        <f t="shared" si="9"/>
        <v>12705019.983012084</v>
      </c>
      <c r="E181" s="1">
        <f t="shared" si="10"/>
        <v>2275018.0422397316</v>
      </c>
      <c r="F181" s="1">
        <f t="shared" si="11"/>
        <v>5376257.9633392608</v>
      </c>
      <c r="J181">
        <v>149</v>
      </c>
      <c r="K181">
        <v>7407.6960745108627</v>
      </c>
      <c r="L181">
        <v>124.38020397238324</v>
      </c>
    </row>
    <row r="182" spans="1:12" x14ac:dyDescent="0.3">
      <c r="A182" s="1">
        <v>2.0818697521463037</v>
      </c>
      <c r="B182" s="1">
        <v>3767.0522171697135</v>
      </c>
      <c r="C182" s="1">
        <f t="shared" si="8"/>
        <v>8310.6645220104947</v>
      </c>
      <c r="D182" s="1">
        <f t="shared" si="9"/>
        <v>69067144.797403932</v>
      </c>
      <c r="E182" s="1">
        <f t="shared" si="10"/>
        <v>14190682.406883255</v>
      </c>
      <c r="F182" s="1">
        <f t="shared" si="11"/>
        <v>31306707.213793311</v>
      </c>
      <c r="J182">
        <v>150</v>
      </c>
      <c r="K182">
        <v>6619.8632559287571</v>
      </c>
      <c r="L182">
        <v>-108.09641707580158</v>
      </c>
    </row>
    <row r="183" spans="1:12" x14ac:dyDescent="0.3">
      <c r="A183" s="1">
        <v>0.92871232482139021</v>
      </c>
      <c r="B183" s="1">
        <v>3617.145298623615</v>
      </c>
      <c r="C183" s="1">
        <f t="shared" si="8"/>
        <v>7429.0815213807291</v>
      </c>
      <c r="D183" s="1">
        <f t="shared" si="9"/>
        <v>55191252.251320608</v>
      </c>
      <c r="E183" s="1">
        <f t="shared" si="10"/>
        <v>13083740.111354921</v>
      </c>
      <c r="F183" s="1">
        <f t="shared" si="11"/>
        <v>26872067.298153877</v>
      </c>
      <c r="J183">
        <v>151</v>
      </c>
      <c r="K183">
        <v>5671.3983762816633</v>
      </c>
      <c r="L183">
        <v>690.88686787157803</v>
      </c>
    </row>
    <row r="184" spans="1:12" x14ac:dyDescent="0.3">
      <c r="A184" s="1">
        <v>1.6725061868783087</v>
      </c>
      <c r="B184" s="1">
        <v>4210.1809747611924</v>
      </c>
      <c r="C184" s="1">
        <f t="shared" si="8"/>
        <v>8816.677011139036</v>
      </c>
      <c r="D184" s="1">
        <f t="shared" si="9"/>
        <v>77733793.518747568</v>
      </c>
      <c r="E184" s="1">
        <f t="shared" si="10"/>
        <v>17725623.840241104</v>
      </c>
      <c r="F184" s="1">
        <f t="shared" si="11"/>
        <v>37119805.812911943</v>
      </c>
      <c r="J184">
        <v>152</v>
      </c>
      <c r="K184">
        <v>7044.9455549302565</v>
      </c>
      <c r="L184">
        <v>-1085.0191280157169</v>
      </c>
    </row>
    <row r="185" spans="1:12" x14ac:dyDescent="0.3">
      <c r="A185" s="1">
        <v>2.6201450964435935</v>
      </c>
      <c r="B185" s="1">
        <v>3936.613055818354</v>
      </c>
      <c r="C185" s="1">
        <f t="shared" si="8"/>
        <v>8886.491345144259</v>
      </c>
      <c r="D185" s="1">
        <f t="shared" si="9"/>
        <v>78969728.427323818</v>
      </c>
      <c r="E185" s="1">
        <f t="shared" si="10"/>
        <v>15496922.351239519</v>
      </c>
      <c r="F185" s="1">
        <f t="shared" si="11"/>
        <v>34982677.849711694</v>
      </c>
      <c r="J185">
        <v>153</v>
      </c>
      <c r="K185">
        <v>4733.7649205995112</v>
      </c>
      <c r="L185">
        <v>-506.32208619776429</v>
      </c>
    </row>
    <row r="186" spans="1:12" x14ac:dyDescent="0.3">
      <c r="A186" s="1">
        <v>1.1814245226560161</v>
      </c>
      <c r="B186" s="1">
        <v>4434.6751304666286</v>
      </c>
      <c r="C186" s="1">
        <f t="shared" si="8"/>
        <v>8916.9974527307459</v>
      </c>
      <c r="D186" s="1">
        <f t="shared" si="9"/>
        <v>79512843.572006613</v>
      </c>
      <c r="E186" s="1">
        <f t="shared" si="10"/>
        <v>19666343.51277921</v>
      </c>
      <c r="F186" s="1">
        <f t="shared" si="11"/>
        <v>39543986.842059314</v>
      </c>
      <c r="J186">
        <v>154</v>
      </c>
      <c r="K186">
        <v>4011.7381117666773</v>
      </c>
      <c r="L186">
        <v>-1266.7745176641315</v>
      </c>
    </row>
    <row r="187" spans="1:12" x14ac:dyDescent="0.3">
      <c r="A187" s="1">
        <v>0.71685462899040431</v>
      </c>
      <c r="B187" s="1">
        <v>1328.3791619617298</v>
      </c>
      <c r="C187" s="1">
        <f t="shared" si="8"/>
        <v>3536.0956631815766</v>
      </c>
      <c r="D187" s="1">
        <f t="shared" si="9"/>
        <v>12503972.539171554</v>
      </c>
      <c r="E187" s="1">
        <f t="shared" si="10"/>
        <v>1764591.1979341474</v>
      </c>
      <c r="F187" s="1">
        <f t="shared" si="11"/>
        <v>4697275.7936736494</v>
      </c>
      <c r="J187">
        <v>155</v>
      </c>
      <c r="K187">
        <v>5689.9957268629787</v>
      </c>
      <c r="L187">
        <v>-110.66869239136577</v>
      </c>
    </row>
    <row r="188" spans="1:12" x14ac:dyDescent="0.3">
      <c r="A188" s="1">
        <v>-0.6573736754944548</v>
      </c>
      <c r="B188" s="1">
        <v>1223.1513412884915</v>
      </c>
      <c r="C188" s="1">
        <f t="shared" si="8"/>
        <v>2606.6441916040608</v>
      </c>
      <c r="D188" s="1">
        <f t="shared" si="9"/>
        <v>6794593.9416231876</v>
      </c>
      <c r="E188" s="1">
        <f t="shared" si="10"/>
        <v>1496099.2036958358</v>
      </c>
      <c r="F188" s="1">
        <f t="shared" si="11"/>
        <v>3188320.3392223627</v>
      </c>
      <c r="J188">
        <v>156</v>
      </c>
      <c r="K188">
        <v>8865.0335140203279</v>
      </c>
      <c r="L188">
        <v>-99.507123079783923</v>
      </c>
    </row>
    <row r="189" spans="1:12" x14ac:dyDescent="0.3">
      <c r="A189" s="1">
        <v>0.24898895389924292</v>
      </c>
      <c r="B189" s="1">
        <v>2589.1598254341257</v>
      </c>
      <c r="C189" s="1">
        <f t="shared" si="8"/>
        <v>5359.0576366108908</v>
      </c>
      <c r="D189" s="1">
        <f t="shared" si="9"/>
        <v>28719498.752517506</v>
      </c>
      <c r="E189" s="1">
        <f t="shared" si="10"/>
        <v>6703748.6016420722</v>
      </c>
      <c r="F189" s="1">
        <f t="shared" si="11"/>
        <v>13875456.734898873</v>
      </c>
      <c r="J189">
        <v>157</v>
      </c>
      <c r="K189">
        <v>4697.3876853964985</v>
      </c>
      <c r="L189">
        <v>97.787480783425053</v>
      </c>
    </row>
    <row r="190" spans="1:12" x14ac:dyDescent="0.3">
      <c r="A190" s="1">
        <v>1.33925823320169</v>
      </c>
      <c r="B190" s="1">
        <v>3002.6245918149357</v>
      </c>
      <c r="C190" s="1">
        <f t="shared" si="8"/>
        <v>6640.922604755573</v>
      </c>
      <c r="D190" s="1">
        <f t="shared" si="9"/>
        <v>44101853.042353548</v>
      </c>
      <c r="E190" s="1">
        <f t="shared" si="10"/>
        <v>9015754.4393718094</v>
      </c>
      <c r="F190" s="1">
        <f t="shared" si="11"/>
        <v>19940197.525378782</v>
      </c>
      <c r="J190">
        <v>158</v>
      </c>
      <c r="K190">
        <v>8266.2396985999476</v>
      </c>
      <c r="L190">
        <v>-976.62349154236654</v>
      </c>
    </row>
    <row r="191" spans="1:12" x14ac:dyDescent="0.3">
      <c r="A191" s="1">
        <v>-1.5509476725128479</v>
      </c>
      <c r="B191" s="1">
        <v>3242.0117801446577</v>
      </c>
      <c r="C191" s="1">
        <f t="shared" si="8"/>
        <v>5446.2982173566188</v>
      </c>
      <c r="D191" s="1">
        <f t="shared" si="9"/>
        <v>29662164.272381883</v>
      </c>
      <c r="E191" s="1">
        <f t="shared" si="10"/>
        <v>10510640.382596733</v>
      </c>
      <c r="F191" s="1">
        <f t="shared" si="11"/>
        <v>17656962.978851009</v>
      </c>
      <c r="J191">
        <v>159</v>
      </c>
      <c r="K191">
        <v>6297.1685683694468</v>
      </c>
      <c r="L191">
        <v>197.65573298460367</v>
      </c>
    </row>
    <row r="192" spans="1:12" x14ac:dyDescent="0.3">
      <c r="A192" s="1">
        <v>9.6115400083363056E-2</v>
      </c>
      <c r="B192" s="1">
        <v>3044.251838740196</v>
      </c>
      <c r="C192" s="1">
        <f t="shared" si="8"/>
        <v>6025.879003967173</v>
      </c>
      <c r="D192" s="1">
        <f t="shared" si="9"/>
        <v>36311217.77045241</v>
      </c>
      <c r="E192" s="1">
        <f t="shared" si="10"/>
        <v>9267469.2576730642</v>
      </c>
      <c r="F192" s="1">
        <f t="shared" si="11"/>
        <v>18344293.237853009</v>
      </c>
      <c r="J192">
        <v>160</v>
      </c>
      <c r="K192">
        <v>3357.7653440720637</v>
      </c>
      <c r="L192">
        <v>80.565706873142972</v>
      </c>
    </row>
    <row r="193" spans="1:12" x14ac:dyDescent="0.3">
      <c r="A193" s="1">
        <v>-0.64413825384690426</v>
      </c>
      <c r="B193" s="1">
        <v>1198.7365337076938</v>
      </c>
      <c r="C193" s="1">
        <f t="shared" si="8"/>
        <v>2573.6392410018971</v>
      </c>
      <c r="D193" s="1">
        <f t="shared" si="9"/>
        <v>6623618.942824821</v>
      </c>
      <c r="E193" s="1">
        <f t="shared" si="10"/>
        <v>1436969.2772455369</v>
      </c>
      <c r="F193" s="1">
        <f t="shared" si="11"/>
        <v>3085115.3827727139</v>
      </c>
      <c r="J193">
        <v>161</v>
      </c>
      <c r="K193">
        <v>3357.560977582159</v>
      </c>
      <c r="L193">
        <v>451.81409980540184</v>
      </c>
    </row>
    <row r="194" spans="1:12" x14ac:dyDescent="0.3">
      <c r="A194" s="1">
        <v>-0.5353240339900367</v>
      </c>
      <c r="B194" s="1">
        <v>2681.9360942411572</v>
      </c>
      <c r="C194" s="1">
        <f t="shared" si="8"/>
        <v>5080.7663368033891</v>
      </c>
      <c r="D194" s="1">
        <f t="shared" si="9"/>
        <v>25814186.569194529</v>
      </c>
      <c r="E194" s="1">
        <f t="shared" si="10"/>
        <v>7192781.2135935137</v>
      </c>
      <c r="F194" s="1">
        <f t="shared" si="11"/>
        <v>13626290.625078434</v>
      </c>
      <c r="J194">
        <v>162</v>
      </c>
      <c r="K194">
        <v>5298.0207992260193</v>
      </c>
      <c r="L194">
        <v>-488.77497437386319</v>
      </c>
    </row>
    <row r="195" spans="1:12" x14ac:dyDescent="0.3">
      <c r="A195" s="1">
        <v>-1.355183485429734</v>
      </c>
      <c r="B195" s="1">
        <v>2500.2899258400221</v>
      </c>
      <c r="C195" s="1">
        <f t="shared" ref="C195:C201" si="12">950+1.65*B195+550*A195</f>
        <v>4330.1274606496827</v>
      </c>
      <c r="D195" s="1">
        <f t="shared" ref="D195:D201" si="13">C195*C195</f>
        <v>18750003.82547247</v>
      </c>
      <c r="E195" s="1">
        <f t="shared" ref="E195:E201" si="14">B195*B195</f>
        <v>6251449.7132571032</v>
      </c>
      <c r="F195" s="1">
        <f t="shared" ref="F195:F201" si="15">C195*B195</f>
        <v>10826574.067465639</v>
      </c>
      <c r="J195">
        <v>163</v>
      </c>
      <c r="K195">
        <v>3581.5466505175641</v>
      </c>
      <c r="L195">
        <v>319.97876815615427</v>
      </c>
    </row>
    <row r="196" spans="1:12" x14ac:dyDescent="0.3">
      <c r="A196" s="1">
        <v>-3.4010736271739006</v>
      </c>
      <c r="B196" s="1">
        <v>3919.5226905117956</v>
      </c>
      <c r="C196" s="1">
        <f t="shared" si="12"/>
        <v>5546.6219443988175</v>
      </c>
      <c r="D196" s="1">
        <f t="shared" si="13"/>
        <v>30765014.994086519</v>
      </c>
      <c r="E196" s="1">
        <f t="shared" si="14"/>
        <v>15362658.121436825</v>
      </c>
      <c r="F196" s="1">
        <f t="shared" si="15"/>
        <v>21740110.566761822</v>
      </c>
      <c r="J196">
        <v>164</v>
      </c>
      <c r="K196">
        <v>3476.7066411965216</v>
      </c>
      <c r="L196">
        <v>-340.07388421454971</v>
      </c>
    </row>
    <row r="197" spans="1:12" x14ac:dyDescent="0.3">
      <c r="A197" s="1">
        <v>1.4892657418386079</v>
      </c>
      <c r="B197" s="1">
        <v>2005.6459242530595</v>
      </c>
      <c r="C197" s="1">
        <f t="shared" si="12"/>
        <v>5078.4119330287831</v>
      </c>
      <c r="D197" s="1">
        <f t="shared" si="13"/>
        <v>25790267.76152914</v>
      </c>
      <c r="E197" s="1">
        <f t="shared" si="14"/>
        <v>4022615.5734729096</v>
      </c>
      <c r="F197" s="1">
        <f t="shared" si="15"/>
        <v>10185496.19515728</v>
      </c>
      <c r="J197">
        <v>165</v>
      </c>
      <c r="K197">
        <v>8420.7407649678007</v>
      </c>
      <c r="L197">
        <v>305.59085601294828</v>
      </c>
    </row>
    <row r="198" spans="1:12" x14ac:dyDescent="0.3">
      <c r="A198" s="1">
        <v>-1.7867569113150239</v>
      </c>
      <c r="B198" s="1">
        <v>3815.8818323313089</v>
      </c>
      <c r="C198" s="1">
        <f t="shared" si="12"/>
        <v>6263.4887221233967</v>
      </c>
      <c r="D198" s="1">
        <f t="shared" si="13"/>
        <v>39231290.972166978</v>
      </c>
      <c r="E198" s="1">
        <f t="shared" si="14"/>
        <v>14560954.158316148</v>
      </c>
      <c r="F198" s="1">
        <f t="shared" si="15"/>
        <v>23900732.821762715</v>
      </c>
      <c r="J198">
        <v>166</v>
      </c>
      <c r="K198">
        <v>3056.7335044426368</v>
      </c>
      <c r="L198">
        <v>-1146.6334448725743</v>
      </c>
    </row>
    <row r="199" spans="1:12" x14ac:dyDescent="0.3">
      <c r="A199" s="1">
        <v>0.84079374573775567</v>
      </c>
      <c r="B199" s="1">
        <v>2880.1843317972352</v>
      </c>
      <c r="C199" s="1">
        <f t="shared" si="12"/>
        <v>6164.7407076212039</v>
      </c>
      <c r="D199" s="1">
        <f t="shared" si="13"/>
        <v>38004027.992201984</v>
      </c>
      <c r="E199" s="1">
        <f t="shared" si="14"/>
        <v>8295461.7851302866</v>
      </c>
      <c r="F199" s="1">
        <f t="shared" si="15"/>
        <v>17755589.595683191</v>
      </c>
      <c r="J199">
        <v>167</v>
      </c>
      <c r="K199">
        <v>4382.8676574333695</v>
      </c>
      <c r="L199">
        <v>-222.2646812748626</v>
      </c>
    </row>
    <row r="200" spans="1:12" x14ac:dyDescent="0.3">
      <c r="A200" s="1">
        <v>-0.13670614862348884</v>
      </c>
      <c r="B200" s="1">
        <v>4098.4832300790422</v>
      </c>
      <c r="C200" s="1">
        <f t="shared" si="12"/>
        <v>7637.3089478875008</v>
      </c>
      <c r="D200" s="1">
        <f t="shared" si="13"/>
        <v>58328487.965482488</v>
      </c>
      <c r="E200" s="1">
        <f t="shared" si="14"/>
        <v>16797564.787239138</v>
      </c>
      <c r="F200" s="1">
        <f t="shared" si="15"/>
        <v>31301382.645849537</v>
      </c>
      <c r="J200">
        <v>168</v>
      </c>
      <c r="K200">
        <v>7134.6624439983616</v>
      </c>
      <c r="L200">
        <v>392.67619554631801</v>
      </c>
    </row>
    <row r="201" spans="1:12" x14ac:dyDescent="0.3">
      <c r="A201" s="1">
        <v>0.51643837650772184</v>
      </c>
      <c r="B201" s="1">
        <v>3520.3405865657519</v>
      </c>
      <c r="C201" s="1">
        <f t="shared" si="12"/>
        <v>7042.6030749127376</v>
      </c>
      <c r="D201" s="1">
        <f t="shared" si="13"/>
        <v>49598258.070770346</v>
      </c>
      <c r="E201" s="1">
        <f t="shared" si="14"/>
        <v>12392797.845422102</v>
      </c>
      <c r="F201" s="1">
        <f t="shared" si="15"/>
        <v>24792361.439688075</v>
      </c>
      <c r="J201">
        <v>169</v>
      </c>
      <c r="K201">
        <v>7682.3646369425996</v>
      </c>
      <c r="L201">
        <v>-633.84934989318845</v>
      </c>
    </row>
    <row r="202" spans="1:12" x14ac:dyDescent="0.3">
      <c r="B202" s="1">
        <f t="shared" ref="B202:C202" si="16">SUM(B2:B201)</f>
        <v>598588.57997375366</v>
      </c>
      <c r="C202" s="1">
        <f t="shared" si="16"/>
        <v>1189037.2238283816</v>
      </c>
      <c r="D202" s="1">
        <f>SUM(D2:D201)</f>
        <v>7856886295.4687929</v>
      </c>
      <c r="E202" s="1">
        <f t="shared" ref="E202" si="17">SUM(E2:E201)</f>
        <v>2048198838.7395585</v>
      </c>
      <c r="F202" s="1">
        <f t="shared" ref="F202" si="18">SUM(F2:F201)</f>
        <v>3988395593.5378551</v>
      </c>
      <c r="J202">
        <v>170</v>
      </c>
      <c r="K202">
        <v>3144.4067286116961</v>
      </c>
      <c r="L202">
        <v>-243.91959336376704</v>
      </c>
    </row>
    <row r="203" spans="1:12" x14ac:dyDescent="0.3">
      <c r="J203">
        <v>171</v>
      </c>
      <c r="K203">
        <v>5126.966047175898</v>
      </c>
      <c r="L203">
        <v>484.43666489004863</v>
      </c>
    </row>
    <row r="204" spans="1:12" x14ac:dyDescent="0.3">
      <c r="J204">
        <v>172</v>
      </c>
      <c r="K204">
        <v>4614.823623475053</v>
      </c>
      <c r="L204">
        <v>-204.46460636811298</v>
      </c>
    </row>
    <row r="205" spans="1:12" x14ac:dyDescent="0.3">
      <c r="J205">
        <v>173</v>
      </c>
      <c r="K205">
        <v>7904.1022784890556</v>
      </c>
      <c r="L205">
        <v>261.13232250101191</v>
      </c>
    </row>
    <row r="206" spans="1:12" x14ac:dyDescent="0.3">
      <c r="J206">
        <v>174</v>
      </c>
      <c r="K206">
        <v>8913.6727386176135</v>
      </c>
      <c r="L206">
        <v>714.30625071152826</v>
      </c>
    </row>
    <row r="207" spans="1:12" x14ac:dyDescent="0.3">
      <c r="J207">
        <v>175</v>
      </c>
      <c r="K207">
        <v>8551.3309520168186</v>
      </c>
      <c r="L207">
        <v>-406.88480506958877</v>
      </c>
    </row>
    <row r="208" spans="1:12" x14ac:dyDescent="0.3">
      <c r="J208">
        <v>176</v>
      </c>
      <c r="K208">
        <v>6240.9677836456913</v>
      </c>
      <c r="L208">
        <v>316.44092615383124</v>
      </c>
    </row>
    <row r="209" spans="10:12" x14ac:dyDescent="0.3">
      <c r="J209">
        <v>177</v>
      </c>
      <c r="K209">
        <v>6213.5826739984795</v>
      </c>
      <c r="L209">
        <v>-527.94459499515506</v>
      </c>
    </row>
    <row r="210" spans="10:12" x14ac:dyDescent="0.3">
      <c r="J210">
        <v>178</v>
      </c>
      <c r="K210">
        <v>8307.3173630707643</v>
      </c>
      <c r="L210">
        <v>-126.58639358643632</v>
      </c>
    </row>
    <row r="211" spans="10:12" x14ac:dyDescent="0.3">
      <c r="J211">
        <v>179</v>
      </c>
      <c r="K211">
        <v>9054.4812501618617</v>
      </c>
      <c r="L211">
        <v>447.38000130945147</v>
      </c>
    </row>
    <row r="212" spans="10:12" x14ac:dyDescent="0.3">
      <c r="J212">
        <v>180</v>
      </c>
      <c r="K212">
        <v>3459.7442225344425</v>
      </c>
      <c r="L212">
        <v>104.66596472123911</v>
      </c>
    </row>
    <row r="213" spans="10:12" x14ac:dyDescent="0.3">
      <c r="J213">
        <v>181</v>
      </c>
      <c r="K213">
        <v>7241.1373852386405</v>
      </c>
      <c r="L213">
        <v>1069.5271367718542</v>
      </c>
    </row>
    <row r="214" spans="10:12" x14ac:dyDescent="0.3">
      <c r="J214">
        <v>182</v>
      </c>
      <c r="K214">
        <v>6990.1753356358322</v>
      </c>
      <c r="L214">
        <v>438.9061857448969</v>
      </c>
    </row>
    <row r="215" spans="10:12" x14ac:dyDescent="0.3">
      <c r="J215">
        <v>183</v>
      </c>
      <c r="K215">
        <v>7982.9877435922172</v>
      </c>
      <c r="L215">
        <v>833.68926754681888</v>
      </c>
    </row>
    <row r="216" spans="10:12" x14ac:dyDescent="0.3">
      <c r="J216">
        <v>184</v>
      </c>
      <c r="K216">
        <v>7525.0024397160842</v>
      </c>
      <c r="L216">
        <v>1361.4889054281748</v>
      </c>
    </row>
    <row r="217" spans="10:12" x14ac:dyDescent="0.3">
      <c r="J217">
        <v>185</v>
      </c>
      <c r="K217">
        <v>8358.8177185267159</v>
      </c>
      <c r="L217">
        <v>558.17973420402996</v>
      </c>
    </row>
    <row r="218" spans="10:12" x14ac:dyDescent="0.3">
      <c r="J218">
        <v>186</v>
      </c>
      <c r="K218">
        <v>3158.5080164151109</v>
      </c>
      <c r="L218">
        <v>377.5876467664657</v>
      </c>
    </row>
    <row r="219" spans="10:12" x14ac:dyDescent="0.3">
      <c r="J219">
        <v>187</v>
      </c>
      <c r="K219">
        <v>2982.3441021173749</v>
      </c>
      <c r="L219">
        <v>-375.69991051331408</v>
      </c>
    </row>
    <row r="220" spans="10:12" x14ac:dyDescent="0.3">
      <c r="J220">
        <v>188</v>
      </c>
      <c r="K220">
        <v>5269.2051241494755</v>
      </c>
      <c r="L220">
        <v>89.852512461415245</v>
      </c>
    </row>
    <row r="221" spans="10:12" x14ac:dyDescent="0.3">
      <c r="J221">
        <v>189</v>
      </c>
      <c r="K221">
        <v>5961.3944254562439</v>
      </c>
      <c r="L221">
        <v>679.52817929932917</v>
      </c>
    </row>
    <row r="222" spans="10:12" x14ac:dyDescent="0.3">
      <c r="J222">
        <v>190</v>
      </c>
      <c r="K222">
        <v>6362.1571121590987</v>
      </c>
      <c r="L222">
        <v>-915.85889480247988</v>
      </c>
    </row>
    <row r="223" spans="10:12" x14ac:dyDescent="0.3">
      <c r="J223">
        <v>191</v>
      </c>
      <c r="K223">
        <v>6031.0833985137015</v>
      </c>
      <c r="L223">
        <v>-5.2043945465284196</v>
      </c>
    </row>
    <row r="224" spans="10:12" x14ac:dyDescent="0.3">
      <c r="J224">
        <v>192</v>
      </c>
      <c r="K224">
        <v>2941.4708041364611</v>
      </c>
      <c r="L224">
        <v>-367.83156313456402</v>
      </c>
    </row>
    <row r="225" spans="10:12" x14ac:dyDescent="0.3">
      <c r="J225">
        <v>193</v>
      </c>
      <c r="K225">
        <v>5424.5236564769466</v>
      </c>
      <c r="L225">
        <v>-343.7573196735575</v>
      </c>
    </row>
    <row r="226" spans="10:12" x14ac:dyDescent="0.3">
      <c r="J226">
        <v>194</v>
      </c>
      <c r="K226">
        <v>5120.4263194989517</v>
      </c>
      <c r="L226">
        <v>-790.29885884926898</v>
      </c>
    </row>
    <row r="227" spans="10:12" x14ac:dyDescent="0.3">
      <c r="J227">
        <v>195</v>
      </c>
      <c r="K227">
        <v>7496.3911311294451</v>
      </c>
      <c r="L227">
        <v>-1949.7691867306276</v>
      </c>
    </row>
    <row r="228" spans="10:12" x14ac:dyDescent="0.3">
      <c r="J228">
        <v>196</v>
      </c>
      <c r="K228">
        <v>4292.3333024056474</v>
      </c>
      <c r="L228">
        <v>786.07863062313572</v>
      </c>
    </row>
    <row r="229" spans="10:12" x14ac:dyDescent="0.3">
      <c r="J229">
        <v>197</v>
      </c>
      <c r="K229">
        <v>7322.8839812004671</v>
      </c>
      <c r="L229">
        <v>-1059.3952590770705</v>
      </c>
    </row>
    <row r="230" spans="10:12" x14ac:dyDescent="0.3">
      <c r="J230">
        <v>198</v>
      </c>
      <c r="K230">
        <v>5756.4148360819636</v>
      </c>
      <c r="L230">
        <v>408.32587153924032</v>
      </c>
    </row>
    <row r="231" spans="10:12" x14ac:dyDescent="0.3">
      <c r="J231">
        <v>199</v>
      </c>
      <c r="K231">
        <v>7795.9924053295381</v>
      </c>
      <c r="L231">
        <v>-158.68345744203725</v>
      </c>
    </row>
    <row r="232" spans="10:12" ht="15" thickBot="1" x14ac:dyDescent="0.35">
      <c r="J232" s="2">
        <v>200</v>
      </c>
      <c r="K232" s="2">
        <v>6828.112709141511</v>
      </c>
      <c r="L232" s="2">
        <v>214.49036577122661</v>
      </c>
    </row>
  </sheetData>
  <mergeCells count="2">
    <mergeCell ref="Q34:Z34"/>
    <mergeCell ref="K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Evgeniya Akinchyts</dc:creator>
  <cp:lastModifiedBy>Вася Кузнец</cp:lastModifiedBy>
  <dcterms:created xsi:type="dcterms:W3CDTF">2025-12-11T21:33:10Z</dcterms:created>
  <dcterms:modified xsi:type="dcterms:W3CDTF">2026-06-13T19:21:47Z</dcterms:modified>
</cp:coreProperties>
</file>