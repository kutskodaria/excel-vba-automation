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Портфолио\"/>
    </mc:Choice>
  </mc:AlternateContent>
  <xr:revisionPtr revIDLastSave="0" documentId="8_{F2F5BA73-CE54-4C0A-89C8-7834CB7EF137}" xr6:coauthVersionLast="47" xr6:coauthVersionMax="47" xr10:uidLastSave="{00000000-0000-0000-0000-000000000000}"/>
  <bookViews>
    <workbookView xWindow="-108" yWindow="-108" windowWidth="23256" windowHeight="13896" activeTab="3" xr2:uid="{EDA8C289-C7C8-4DA9-822D-B4C0751DDBE9}"/>
  </bookViews>
  <sheets>
    <sheet name="поставщики" sheetId="1" r:id="rId1"/>
    <sheet name="Лист2" sheetId="2" r:id="rId2"/>
    <sheet name="Лист3" sheetId="3" r:id="rId3"/>
    <sheet name="номенклатура" sheetId="4" r:id="rId4"/>
    <sheet name="Приход" sheetId="5" r:id="rId5"/>
    <sheet name="Расход" sheetId="6" r:id="rId6"/>
    <sheet name="Итог" sheetId="14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14" l="1"/>
  <c r="I6" i="14"/>
  <c r="I7" i="14"/>
  <c r="I8" i="14"/>
  <c r="I9" i="14"/>
  <c r="I10" i="14"/>
  <c r="I4" i="14"/>
  <c r="B4" i="14"/>
  <c r="B5" i="14"/>
  <c r="B6" i="14"/>
  <c r="B7" i="14"/>
  <c r="B8" i="14"/>
  <c r="B9" i="14"/>
  <c r="B10" i="14"/>
  <c r="D4" i="14"/>
  <c r="D5" i="14"/>
  <c r="D6" i="14"/>
  <c r="D7" i="14"/>
  <c r="D8" i="14"/>
  <c r="D9" i="14"/>
  <c r="D10" i="14"/>
  <c r="C4" i="14"/>
  <c r="C5" i="14"/>
  <c r="C6" i="14"/>
  <c r="C7" i="14"/>
  <c r="C8" i="14"/>
  <c r="C9" i="14"/>
  <c r="C10" i="14"/>
  <c r="G4" i="6"/>
  <c r="G5" i="6"/>
  <c r="G6" i="6"/>
  <c r="G7" i="6"/>
  <c r="G8" i="6"/>
  <c r="F4" i="14"/>
  <c r="F5" i="14"/>
  <c r="F6" i="14"/>
  <c r="H6" i="14" s="1"/>
  <c r="F7" i="14"/>
  <c r="F8" i="14"/>
  <c r="F9" i="14"/>
  <c r="F10" i="14"/>
  <c r="E6" i="5"/>
  <c r="E7" i="5"/>
  <c r="E8" i="5"/>
  <c r="G6" i="5"/>
  <c r="G7" i="5"/>
  <c r="G8" i="5"/>
  <c r="J6" i="5"/>
  <c r="J7" i="5"/>
  <c r="J8" i="5"/>
  <c r="J5" i="6"/>
  <c r="J6" i="6"/>
  <c r="J7" i="6"/>
  <c r="J8" i="6"/>
  <c r="G4" i="14"/>
  <c r="G5" i="14"/>
  <c r="G6" i="14"/>
  <c r="G7" i="14"/>
  <c r="H7" i="14" s="1"/>
  <c r="G8" i="14"/>
  <c r="G9" i="14"/>
  <c r="G10" i="14"/>
  <c r="J4" i="6"/>
  <c r="G4" i="5"/>
  <c r="J4" i="5"/>
  <c r="J5" i="5"/>
  <c r="E4" i="5"/>
  <c r="E5" i="5"/>
  <c r="G5" i="5"/>
  <c r="H4" i="14" l="1"/>
  <c r="H10" i="14"/>
  <c r="H5" i="14"/>
  <c r="H9" i="14"/>
  <c r="H8" i="14"/>
</calcChain>
</file>

<file path=xl/sharedStrings.xml><?xml version="1.0" encoding="utf-8"?>
<sst xmlns="http://schemas.openxmlformats.org/spreadsheetml/2006/main" count="145" uniqueCount="70">
  <si>
    <t>Наименование</t>
  </si>
  <si>
    <t>Код</t>
  </si>
  <si>
    <t>Юридический адрес</t>
  </si>
  <si>
    <t>Комментарий</t>
  </si>
  <si>
    <t>ООО "Сивый"</t>
  </si>
  <si>
    <t>ИП "Добролебов А.Е."</t>
  </si>
  <si>
    <t>ООО "Досочка"</t>
  </si>
  <si>
    <t>11-110</t>
  </si>
  <si>
    <t>11-111</t>
  </si>
  <si>
    <t>11-112</t>
  </si>
  <si>
    <t>11-113</t>
  </si>
  <si>
    <t>Поставщики</t>
  </si>
  <si>
    <t>ТД "Кабушкин"</t>
  </si>
  <si>
    <t>ИП "Северюков А.Е."</t>
  </si>
  <si>
    <t>Группа компаний "Символ"</t>
  </si>
  <si>
    <t>ООО "Уют"</t>
  </si>
  <si>
    <t>15-102</t>
  </si>
  <si>
    <t>15-103</t>
  </si>
  <si>
    <t>15-104</t>
  </si>
  <si>
    <t>15-105</t>
  </si>
  <si>
    <t>Покупатели</t>
  </si>
  <si>
    <t>С-210</t>
  </si>
  <si>
    <t>С-211</t>
  </si>
  <si>
    <t>М-15</t>
  </si>
  <si>
    <t>М-16</t>
  </si>
  <si>
    <t>М-17</t>
  </si>
  <si>
    <t>ВП</t>
  </si>
  <si>
    <t>Б-1</t>
  </si>
  <si>
    <t>Б-2</t>
  </si>
  <si>
    <t>Склад 1</t>
  </si>
  <si>
    <t>Склад 2</t>
  </si>
  <si>
    <t>Магазин 1</t>
  </si>
  <si>
    <t>Магазин 2</t>
  </si>
  <si>
    <t>Магазин 3</t>
  </si>
  <si>
    <t>Выдача покупателю</t>
  </si>
  <si>
    <t>Брак</t>
  </si>
  <si>
    <t>Сорт</t>
  </si>
  <si>
    <t>Ед. изм.</t>
  </si>
  <si>
    <t>Характеристика</t>
  </si>
  <si>
    <t>Вагонка европрофиль сосна/ель</t>
  </si>
  <si>
    <t>Вагонка липа</t>
  </si>
  <si>
    <t>Вагонка ольха</t>
  </si>
  <si>
    <t>А</t>
  </si>
  <si>
    <t>прайм</t>
  </si>
  <si>
    <t>В</t>
  </si>
  <si>
    <t>Э</t>
  </si>
  <si>
    <t>О</t>
  </si>
  <si>
    <t>м3</t>
  </si>
  <si>
    <t>В12,5хШ96</t>
  </si>
  <si>
    <t>В15хШ98хД1800</t>
  </si>
  <si>
    <t>В12,5хШ85хД500</t>
  </si>
  <si>
    <t>Точки учета</t>
  </si>
  <si>
    <t>Номенклатура товаров</t>
  </si>
  <si>
    <t>Приход товаров</t>
  </si>
  <si>
    <t>Дата</t>
  </si>
  <si>
    <t>№ накладной</t>
  </si>
  <si>
    <t>Поставщик</t>
  </si>
  <si>
    <t>Точка учета</t>
  </si>
  <si>
    <t>К-во</t>
  </si>
  <si>
    <t>Цена</t>
  </si>
  <si>
    <t>Стоимость</t>
  </si>
  <si>
    <t>ЗАО "Бумажный бум"</t>
  </si>
  <si>
    <t>Точка учета отгрузки</t>
  </si>
  <si>
    <t>Точка учета поставки</t>
  </si>
  <si>
    <t>Покупатель</t>
  </si>
  <si>
    <t>Расход товаров</t>
  </si>
  <si>
    <t>Поступление</t>
  </si>
  <si>
    <t>Отгрузка</t>
  </si>
  <si>
    <t>Остаток на, _шт.</t>
  </si>
  <si>
    <t>Остаток на начало _шт.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</si>
</sst>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29FFCB-41B3-4DD1-9330-4CF481736DC6}" name="Таблица1" displayName="Таблица1" ref="A3:D7" totalsRowShown="0">
  <autoFilter ref="A3:D7" xr:uid="{2129FFCB-41B3-4DD1-9330-4CF481736DC6}"/>
  <tableColumns count="4">
    <tableColumn id="1" xr3:uid="{21093D71-AB4E-4465-8F1B-7981738AB040}" name="Наименование"/>
    <tableColumn id="2" xr3:uid="{D0877CB1-B49C-41D0-98FC-6667002C1764}" name="Код"/>
    <tableColumn id="3" xr3:uid="{716518D5-D0B4-4641-8424-B134000DC5EA}" name="Юридический адрес"/>
    <tableColumn id="4" xr3:uid="{E8BB3808-7940-4BE7-898A-C54756ED7D4A}" name="Комментарий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1839035-61AA-49EC-84F3-A408893593D3}" name="Таблица2" displayName="Таблица2" ref="A3:D7" totalsRowShown="0">
  <autoFilter ref="A3:D7" xr:uid="{61839035-61AA-49EC-84F3-A408893593D3}"/>
  <tableColumns count="4">
    <tableColumn id="1" xr3:uid="{B3D98271-A0BE-43C1-8992-83088BED1D61}" name="Наименование"/>
    <tableColumn id="2" xr3:uid="{D177464A-A949-4151-87A8-66F86C39B8A2}" name="Код"/>
    <tableColumn id="3" xr3:uid="{BAD9C2B8-9A52-4BF3-82F2-49D9333A3559}" name="Юридический адрес"/>
    <tableColumn id="4" xr3:uid="{10D2DB21-C1EA-4A33-AB92-BF0AB410AC61}" name="Комментарий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375C509-10E5-4A6C-A7DC-5D535BB9182D}" name="Таблица3" displayName="Таблица3" ref="A3:C11" totalsRowShown="0">
  <autoFilter ref="A3:C11" xr:uid="{6375C509-10E5-4A6C-A7DC-5D535BB9182D}"/>
  <tableColumns count="3">
    <tableColumn id="1" xr3:uid="{BC1BBDD9-C425-4819-9EE3-7590D9C10ABF}" name="Наименование"/>
    <tableColumn id="2" xr3:uid="{DA1952CC-E7C3-48DB-8388-F1C8E3203E36}" name="Код"/>
    <tableColumn id="3" xr3:uid="{6B53D27E-623F-4977-8579-FFE78539D569}" name="Комментарий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918922C-1636-4154-A9B3-19B9EA6F8951}" name="Таблица4" displayName="Таблица4" ref="A3:E8" totalsRowShown="0">
  <autoFilter ref="A3:E8" xr:uid="{E918922C-1636-4154-A9B3-19B9EA6F8951}"/>
  <tableColumns count="5">
    <tableColumn id="1" xr3:uid="{42F82905-9394-4314-818D-C03D15849682}" name="Наименование"/>
    <tableColumn id="2" xr3:uid="{192428E7-077E-4AD8-85A1-E775D1C21B98}" name="Сорт"/>
    <tableColumn id="3" xr3:uid="{D5A7A1F0-F9C2-46AD-A736-EC0BC028AA2A}" name="Ед. изм."/>
    <tableColumn id="4" xr3:uid="{D672A170-6696-4E9A-8D79-8B4B0B1ED3FD}" name="Характеристика"/>
    <tableColumn id="5" xr3:uid="{74DA43D0-6022-48C8-9E79-81E5A13E6E3A}" name="Комментарий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0848AF-185D-42B6-992B-75AFA8FE8B5F}" name="Таблица5" displayName="Таблица5" ref="A3:J8" totalsRowShown="0">
  <autoFilter ref="A3:J8" xr:uid="{5D0848AF-185D-42B6-992B-75AFA8FE8B5F}"/>
  <tableColumns count="10">
    <tableColumn id="1" xr3:uid="{6BC1AEC5-F0FB-4D88-9EE7-EF23E78578F4}" name="Наименование"/>
    <tableColumn id="2" xr3:uid="{C982AA32-299E-4E62-B9A1-17F1D72484E8}" name="Дата"/>
    <tableColumn id="3" xr3:uid="{FD1D0355-3166-4BA2-803F-646AFA0065A1}" name="№ накладной"/>
    <tableColumn id="4" xr3:uid="{A0BD4800-56FF-4A07-A53A-9C633786C890}" name="Поставщик"/>
    <tableColumn id="5" xr3:uid="{8EEFD514-3BDE-489E-B9AF-4729202EC6B1}" name="Код" dataDxfId="2">
      <calculatedColumnFormula>IF(ISNA(VLOOKUP(D4,Таблица1[],2,0)),"",VLOOKUP(D4,Таблица1[],2,0))</calculatedColumnFormula>
    </tableColumn>
    <tableColumn id="6" xr3:uid="{A0C42F61-5EDC-42D5-938F-559EC257CB9B}" name="Точка учета"/>
    <tableColumn id="7" xr3:uid="{1F5C3EA0-26EB-44C4-AC41-83DF0A3C60BE}" name="Ед. изм." dataDxfId="1">
      <calculatedColumnFormula>IF(ISNA(VLOOKUP(A4,Таблица4[],3,0)),"",VLOOKUP(A4,Таблица4[],3,0))</calculatedColumnFormula>
    </tableColumn>
    <tableColumn id="8" xr3:uid="{8BC3144F-BF85-465D-9C2F-A73FC4192EDB}" name="К-во"/>
    <tableColumn id="9" xr3:uid="{B9D61BE7-FEE0-4B60-9CA0-90D2CFA4EAC6}" name="Цена"/>
    <tableColumn id="10" xr3:uid="{393ED57D-C309-47FA-AD02-732776F9B219}" name="Стоимость" dataDxfId="0">
      <calculatedColumnFormula>Таблица5[[#This Row],[К-во]]*Таблица5[[#This Row],[Цена]]</calculatedColumnFormula>
    </tableColumn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07AF15E-41AF-4529-9E43-9C4D5E196109}" name="Таблица6" displayName="Таблица6" ref="A3:J8" totalsRowShown="0">
  <autoFilter ref="A3:J8" xr:uid="{507AF15E-41AF-4529-9E43-9C4D5E196109}"/>
  <tableColumns count="10">
    <tableColumn id="1" xr3:uid="{9CCCCD7F-C315-45A8-AEEB-98BF5B096C9E}" name="Наименование"/>
    <tableColumn id="2" xr3:uid="{19010240-BF27-4B8E-AF79-864455D9A8E1}" name="Дата"/>
    <tableColumn id="3" xr3:uid="{41BD28F8-C8C0-42FF-AD80-7027318BF016}" name="№ накладной"/>
    <tableColumn id="4" xr3:uid="{ED02F970-7DDA-4A3A-AA7E-98D6C0914932}" name="Точка учета отгрузки"/>
    <tableColumn id="5" xr3:uid="{A6D32AB3-C946-4F4B-BA55-4B1126CA0F45}" name="Точка учета поставки"/>
    <tableColumn id="6" xr3:uid="{B351AABF-66B4-4B3B-B38B-3F145808D47B}" name="Покупатель"/>
    <tableColumn id="7" xr3:uid="{31F753F0-BAD3-4077-A890-A0D790E4565A}" name="Ед. изм.">
      <calculatedColumnFormula>IF(ISNA(VLOOKUP(A4,Таблица4[],3,0)),"",VLOOKUP(A4,Таблица4[],3,0))</calculatedColumnFormula>
    </tableColumn>
    <tableColumn id="8" xr3:uid="{1E09CE01-F846-4F25-B73F-180E2481519F}" name="К-во"/>
    <tableColumn id="9" xr3:uid="{D2892F02-7C76-45CB-951A-6229A4E5B714}" name="Цена"/>
    <tableColumn id="10" xr3:uid="{90A8A0A8-DF7B-4CC1-B754-91F4C5AD6CF4}" name="Стоимость">
      <calculatedColumnFormula>Таблица6[[#This Row],[Цена]]*Таблица6[[#This Row],[К-во]]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9650CB6-452D-4CE6-ABD7-35B0FEF54AA2}" name="Таблица7" displayName="Таблица7" ref="A3:I10" totalsRowShown="0">
  <autoFilter ref="A3:I10" xr:uid="{89650CB6-452D-4CE6-ABD7-35B0FEF54AA2}"/>
  <tableColumns count="9">
    <tableColumn id="1" xr3:uid="{AB544AB0-C880-44A9-8ECF-F8C9BDFFC733}" name="Наименование"/>
    <tableColumn id="2" xr3:uid="{6BCC5E0A-F1A6-4AC2-88E9-2D88989CC55A}" name="Ед. изм." dataDxfId="9">
      <calculatedColumnFormula>IF(ISNA(VLOOKUP(A4,Таблица4[],3,0)),"",VLOOKUP(A4,Таблица4[],3,0))</calculatedColumnFormula>
    </tableColumn>
    <tableColumn id="3" xr3:uid="{B479129F-2972-4EB1-A5E1-9EE7F7D73AF6}" name="Сорт" dataDxfId="8">
      <calculatedColumnFormula>IF(ISNA(VLOOKUP(A4,Таблица4[],2,0)),"",VLOOKUP(A4,Таблица4[],2,0))</calculatedColumnFormula>
    </tableColumn>
    <tableColumn id="4" xr3:uid="{D2A281ED-6BF4-4A34-BA15-AAF7092232D1}" name="Характеристика" dataDxfId="7">
      <calculatedColumnFormula>IF(ISNA(VLOOKUP(A4,Таблица4[],4,0)),"",VLOOKUP(A4,Таблица4[],4,0))</calculatedColumnFormula>
    </tableColumn>
    <tableColumn id="5" xr3:uid="{1351215B-01F3-47C6-8623-F14C46A4124C}" name="Остаток на начало _шт."/>
    <tableColumn id="6" xr3:uid="{4D14D636-455D-4706-8ACB-CAFAF3DF8653}" name="Поступление" dataDxfId="6">
      <calculatedColumnFormula>SUMIFS(Приход!$H$4:$H$8,Приход!$A$4:$A$8,A4)</calculatedColumnFormula>
    </tableColumn>
    <tableColumn id="7" xr3:uid="{89E66B91-0675-4122-8223-3F549CC1C548}" name="Отгрузка" dataDxfId="5">
      <calculatedColumnFormula>SUMIFS(Расход!$H$4:$H$15,Расход!$A$4:$A$15,A4)</calculatedColumnFormula>
    </tableColumn>
    <tableColumn id="8" xr3:uid="{DD587EAE-587B-429C-8F1B-1E430BBC8536}" name="Остаток на, _шт." dataDxfId="4">
      <calculatedColumnFormula>Таблица7[[#This Row],[Поступление]]-Таблица7[[#This Row],[Отгрузка]]</calculatedColumnFormula>
    </tableColumn>
    <tableColumn id="9" xr3:uid="{7E7ECE29-88A7-4149-B8EA-B075A5366FE3}" name="Дата" dataDxfId="3">
      <calculatedColumnFormula>IF(ISNA(VLOOKUP(A4,Таблица5[],2,0)),"",VLOOKUP(A4,Таблица5[],2,0))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A37EE-6970-4069-B9A3-9A90599C9F23}">
  <dimension ref="A1:D7"/>
  <sheetViews>
    <sheetView workbookViewId="0">
      <selection activeCell="H11" sqref="H11"/>
    </sheetView>
  </sheetViews>
  <sheetFormatPr defaultRowHeight="14.4" x14ac:dyDescent="0.3"/>
  <cols>
    <col min="1" max="1" width="20.6640625" customWidth="1"/>
    <col min="2" max="2" width="11.109375" customWidth="1"/>
    <col min="3" max="3" width="21.44140625" customWidth="1"/>
    <col min="4" max="4" width="15.6640625" customWidth="1"/>
  </cols>
  <sheetData>
    <row r="1" spans="1:4" x14ac:dyDescent="0.3">
      <c r="A1" t="s">
        <v>11</v>
      </c>
    </row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4</v>
      </c>
      <c r="B4" t="s">
        <v>7</v>
      </c>
    </row>
    <row r="5" spans="1:4" x14ac:dyDescent="0.3">
      <c r="A5" t="s">
        <v>61</v>
      </c>
      <c r="B5" t="s">
        <v>8</v>
      </c>
    </row>
    <row r="6" spans="1:4" x14ac:dyDescent="0.3">
      <c r="A6" t="s">
        <v>5</v>
      </c>
      <c r="B6" t="s">
        <v>9</v>
      </c>
    </row>
    <row r="7" spans="1:4" x14ac:dyDescent="0.3">
      <c r="A7" t="s">
        <v>6</v>
      </c>
      <c r="B7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17F841-DB6F-40B1-B9A1-21646BDB25DD}">
  <dimension ref="A1:D7"/>
  <sheetViews>
    <sheetView workbookViewId="0">
      <selection activeCell="H15" sqref="H15"/>
    </sheetView>
  </sheetViews>
  <sheetFormatPr defaultRowHeight="14.4" x14ac:dyDescent="0.3"/>
  <cols>
    <col min="1" max="1" width="24.77734375" customWidth="1"/>
    <col min="2" max="2" width="11.109375" customWidth="1"/>
    <col min="3" max="3" width="22.21875" customWidth="1"/>
    <col min="4" max="4" width="15.6640625" customWidth="1"/>
  </cols>
  <sheetData>
    <row r="1" spans="1:4" x14ac:dyDescent="0.3">
      <c r="A1" t="s">
        <v>20</v>
      </c>
    </row>
    <row r="3" spans="1:4" x14ac:dyDescent="0.3">
      <c r="A3" t="s">
        <v>0</v>
      </c>
      <c r="B3" t="s">
        <v>1</v>
      </c>
      <c r="C3" t="s">
        <v>2</v>
      </c>
      <c r="D3" t="s">
        <v>3</v>
      </c>
    </row>
    <row r="4" spans="1:4" x14ac:dyDescent="0.3">
      <c r="A4" t="s">
        <v>12</v>
      </c>
      <c r="B4" t="s">
        <v>16</v>
      </c>
    </row>
    <row r="5" spans="1:4" x14ac:dyDescent="0.3">
      <c r="A5" t="s">
        <v>13</v>
      </c>
      <c r="B5" t="s">
        <v>17</v>
      </c>
    </row>
    <row r="6" spans="1:4" x14ac:dyDescent="0.3">
      <c r="A6" t="s">
        <v>14</v>
      </c>
      <c r="B6" t="s">
        <v>18</v>
      </c>
    </row>
    <row r="7" spans="1:4" x14ac:dyDescent="0.3">
      <c r="A7" t="s">
        <v>15</v>
      </c>
      <c r="B7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1B126-D193-42DC-B19E-5150017AC0E9}">
  <dimension ref="A1:C11"/>
  <sheetViews>
    <sheetView workbookViewId="0">
      <selection activeCell="G7" sqref="G7"/>
    </sheetView>
  </sheetViews>
  <sheetFormatPr defaultRowHeight="14.4" x14ac:dyDescent="0.3"/>
  <cols>
    <col min="1" max="1" width="16.109375" customWidth="1"/>
    <col min="2" max="2" width="11.109375" customWidth="1"/>
    <col min="3" max="3" width="18.21875" customWidth="1"/>
  </cols>
  <sheetData>
    <row r="1" spans="1:3" x14ac:dyDescent="0.3">
      <c r="A1" t="s">
        <v>51</v>
      </c>
    </row>
    <row r="3" spans="1:3" x14ac:dyDescent="0.3">
      <c r="A3" t="s">
        <v>0</v>
      </c>
      <c r="B3" t="s">
        <v>1</v>
      </c>
      <c r="C3" t="s">
        <v>3</v>
      </c>
    </row>
    <row r="4" spans="1:3" x14ac:dyDescent="0.3">
      <c r="A4" t="s">
        <v>21</v>
      </c>
      <c r="C4" t="s">
        <v>29</v>
      </c>
    </row>
    <row r="5" spans="1:3" x14ac:dyDescent="0.3">
      <c r="A5" t="s">
        <v>22</v>
      </c>
      <c r="C5" t="s">
        <v>30</v>
      </c>
    </row>
    <row r="6" spans="1:3" x14ac:dyDescent="0.3">
      <c r="A6" t="s">
        <v>23</v>
      </c>
      <c r="C6" t="s">
        <v>31</v>
      </c>
    </row>
    <row r="7" spans="1:3" x14ac:dyDescent="0.3">
      <c r="A7" t="s">
        <v>24</v>
      </c>
      <c r="C7" t="s">
        <v>32</v>
      </c>
    </row>
    <row r="8" spans="1:3" x14ac:dyDescent="0.3">
      <c r="A8" t="s">
        <v>25</v>
      </c>
      <c r="C8" t="s">
        <v>33</v>
      </c>
    </row>
    <row r="9" spans="1:3" x14ac:dyDescent="0.3">
      <c r="A9" t="s">
        <v>26</v>
      </c>
      <c r="C9" t="s">
        <v>34</v>
      </c>
    </row>
    <row r="10" spans="1:3" x14ac:dyDescent="0.3">
      <c r="A10" t="s">
        <v>27</v>
      </c>
      <c r="C10" t="s">
        <v>35</v>
      </c>
    </row>
    <row r="11" spans="1:3" x14ac:dyDescent="0.3">
      <c r="A11" t="s">
        <v>28</v>
      </c>
      <c r="C11" t="s">
        <v>35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4C760-E70F-4BF1-BD15-B0125C5D2F4E}">
  <dimension ref="A1:E8"/>
  <sheetViews>
    <sheetView tabSelected="1" workbookViewId="0">
      <selection activeCell="J7" sqref="J7"/>
    </sheetView>
  </sheetViews>
  <sheetFormatPr defaultRowHeight="14.4" x14ac:dyDescent="0.3"/>
  <cols>
    <col min="1" max="1" width="29.88671875" customWidth="1"/>
    <col min="2" max="3" width="11.109375" customWidth="1"/>
    <col min="4" max="4" width="17.77734375" customWidth="1"/>
    <col min="5" max="5" width="16.44140625" customWidth="1"/>
  </cols>
  <sheetData>
    <row r="1" spans="1:5" x14ac:dyDescent="0.3">
      <c r="A1" t="s">
        <v>52</v>
      </c>
    </row>
    <row r="3" spans="1:5" x14ac:dyDescent="0.3">
      <c r="A3" t="s">
        <v>0</v>
      </c>
      <c r="B3" t="s">
        <v>36</v>
      </c>
      <c r="C3" t="s">
        <v>37</v>
      </c>
      <c r="D3" t="s">
        <v>38</v>
      </c>
      <c r="E3" t="s">
        <v>3</v>
      </c>
    </row>
    <row r="4" spans="1:5" x14ac:dyDescent="0.3">
      <c r="A4" t="s">
        <v>39</v>
      </c>
      <c r="B4" t="s">
        <v>42</v>
      </c>
      <c r="C4" t="s">
        <v>47</v>
      </c>
      <c r="D4" t="s">
        <v>48</v>
      </c>
    </row>
    <row r="5" spans="1:5" x14ac:dyDescent="0.3">
      <c r="A5" t="s">
        <v>39</v>
      </c>
      <c r="B5" t="s">
        <v>43</v>
      </c>
      <c r="C5" t="s">
        <v>47</v>
      </c>
      <c r="D5" t="s">
        <v>48</v>
      </c>
    </row>
    <row r="6" spans="1:5" x14ac:dyDescent="0.3">
      <c r="A6" t="s">
        <v>39</v>
      </c>
      <c r="B6" t="s">
        <v>44</v>
      </c>
      <c r="C6" t="s">
        <v>47</v>
      </c>
      <c r="D6" t="s">
        <v>48</v>
      </c>
    </row>
    <row r="7" spans="1:5" x14ac:dyDescent="0.3">
      <c r="A7" t="s">
        <v>40</v>
      </c>
      <c r="B7" t="s">
        <v>45</v>
      </c>
      <c r="C7" t="s">
        <v>47</v>
      </c>
      <c r="D7" t="s">
        <v>49</v>
      </c>
    </row>
    <row r="8" spans="1:5" x14ac:dyDescent="0.3">
      <c r="A8" t="s">
        <v>41</v>
      </c>
      <c r="B8" t="s">
        <v>46</v>
      </c>
      <c r="C8" t="s">
        <v>47</v>
      </c>
      <c r="D8" t="s">
        <v>50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5E9DF-DDE6-4DAB-A0C9-34EF7CF5C34A}">
  <dimension ref="A1:J8"/>
  <sheetViews>
    <sheetView workbookViewId="0">
      <selection activeCell="I17" sqref="I17"/>
    </sheetView>
  </sheetViews>
  <sheetFormatPr defaultRowHeight="14.4" x14ac:dyDescent="0.3"/>
  <cols>
    <col min="1" max="1" width="29.5546875" customWidth="1"/>
    <col min="2" max="2" width="11.109375" customWidth="1"/>
    <col min="3" max="3" width="17.21875" customWidth="1"/>
    <col min="4" max="4" width="22.5546875" customWidth="1"/>
    <col min="5" max="5" width="11.109375" customWidth="1"/>
    <col min="6" max="6" width="13.44140625" customWidth="1"/>
    <col min="7" max="9" width="11.109375" customWidth="1"/>
    <col min="10" max="10" width="12.109375" customWidth="1"/>
  </cols>
  <sheetData>
    <row r="1" spans="1:10" x14ac:dyDescent="0.3">
      <c r="A1" t="s">
        <v>53</v>
      </c>
    </row>
    <row r="3" spans="1:10" x14ac:dyDescent="0.3">
      <c r="A3" t="s">
        <v>0</v>
      </c>
      <c r="B3" t="s">
        <v>54</v>
      </c>
      <c r="C3" t="s">
        <v>55</v>
      </c>
      <c r="D3" t="s">
        <v>56</v>
      </c>
      <c r="E3" t="s">
        <v>1</v>
      </c>
      <c r="F3" t="s">
        <v>57</v>
      </c>
      <c r="G3" t="s">
        <v>37</v>
      </c>
      <c r="H3" t="s">
        <v>58</v>
      </c>
      <c r="I3" t="s">
        <v>59</v>
      </c>
      <c r="J3" t="s">
        <v>60</v>
      </c>
    </row>
    <row r="4" spans="1:10" x14ac:dyDescent="0.3">
      <c r="A4" t="s">
        <v>39</v>
      </c>
      <c r="B4" s="1">
        <v>46113</v>
      </c>
      <c r="D4" t="s">
        <v>61</v>
      </c>
      <c r="E4" t="str">
        <f>IF(ISNA(VLOOKUP(D4,Таблица1[],2,0)),"",VLOOKUP(D4,Таблица1[],2,0))</f>
        <v>11-111</v>
      </c>
      <c r="F4" t="s">
        <v>25</v>
      </c>
      <c r="G4" t="str">
        <f>IF(ISNA(VLOOKUP(A4,Таблица4[],3,0)),"",VLOOKUP(A4,Таблица4[],3,0))</f>
        <v>м3</v>
      </c>
      <c r="H4">
        <v>17</v>
      </c>
      <c r="I4">
        <v>505</v>
      </c>
      <c r="J4">
        <f>Таблица5[[#This Row],[К-во]]*Таблица5[[#This Row],[Цена]]</f>
        <v>8585</v>
      </c>
    </row>
    <row r="5" spans="1:10" x14ac:dyDescent="0.3">
      <c r="A5" t="s">
        <v>41</v>
      </c>
      <c r="B5" s="1">
        <v>46114</v>
      </c>
      <c r="D5" t="s">
        <v>6</v>
      </c>
      <c r="E5" t="str">
        <f>IF(ISNA(VLOOKUP(D5,Таблица1[],2,0)),"",VLOOKUP(D5,Таблица1[],2,0))</f>
        <v>11-113</v>
      </c>
      <c r="F5" t="s">
        <v>24</v>
      </c>
      <c r="G5" t="str">
        <f>IF(ISNA(VLOOKUP(A5,Таблица4[],3,0)),"",VLOOKUP(A5,Таблица4[],3,0))</f>
        <v>м3</v>
      </c>
      <c r="H5">
        <v>26</v>
      </c>
      <c r="I5">
        <v>227</v>
      </c>
      <c r="J5">
        <f>Таблица5[[#This Row],[К-во]]*Таблица5[[#This Row],[Цена]]</f>
        <v>5902</v>
      </c>
    </row>
    <row r="6" spans="1:10" x14ac:dyDescent="0.3">
      <c r="A6" t="s">
        <v>40</v>
      </c>
      <c r="B6" s="1">
        <v>46115</v>
      </c>
      <c r="D6" t="s">
        <v>5</v>
      </c>
      <c r="E6" t="str">
        <f>IF(ISNA(VLOOKUP(D6,Таблица1[],2,0)),"",VLOOKUP(D6,Таблица1[],2,0))</f>
        <v>11-112</v>
      </c>
      <c r="F6" t="s">
        <v>21</v>
      </c>
      <c r="G6" t="str">
        <f>IF(ISNA(VLOOKUP(A6,Таблица4[],3,0)),"",VLOOKUP(A6,Таблица4[],3,0))</f>
        <v>м3</v>
      </c>
      <c r="H6">
        <v>18</v>
      </c>
      <c r="I6">
        <v>98</v>
      </c>
      <c r="J6">
        <f>Таблица5[[#This Row],[К-во]]*Таблица5[[#This Row],[Цена]]</f>
        <v>1764</v>
      </c>
    </row>
    <row r="7" spans="1:10" x14ac:dyDescent="0.3">
      <c r="A7" t="s">
        <v>39</v>
      </c>
      <c r="B7" s="1">
        <v>46116</v>
      </c>
      <c r="D7" t="s">
        <v>4</v>
      </c>
      <c r="E7" t="str">
        <f>IF(ISNA(VLOOKUP(D7,Таблица1[],2,0)),"",VLOOKUP(D7,Таблица1[],2,0))</f>
        <v>11-110</v>
      </c>
      <c r="F7" t="s">
        <v>27</v>
      </c>
      <c r="G7" t="str">
        <f>IF(ISNA(VLOOKUP(A7,Таблица4[],3,0)),"",VLOOKUP(A7,Таблица4[],3,0))</f>
        <v>м3</v>
      </c>
      <c r="H7">
        <v>25</v>
      </c>
      <c r="I7">
        <v>112</v>
      </c>
      <c r="J7">
        <f>Таблица5[[#This Row],[К-во]]*Таблица5[[#This Row],[Цена]]</f>
        <v>2800</v>
      </c>
    </row>
    <row r="8" spans="1:10" x14ac:dyDescent="0.3">
      <c r="A8" t="s">
        <v>39</v>
      </c>
      <c r="B8" s="1">
        <v>46117</v>
      </c>
      <c r="D8" t="s">
        <v>61</v>
      </c>
      <c r="E8" t="str">
        <f>IF(ISNA(VLOOKUP(D8,Таблица1[],2,0)),"",VLOOKUP(D8,Таблица1[],2,0))</f>
        <v>11-111</v>
      </c>
      <c r="F8" t="s">
        <v>22</v>
      </c>
      <c r="G8" t="str">
        <f>IF(ISNA(VLOOKUP(A8,Таблица4[],3,0)),"",VLOOKUP(A8,Таблица4[],3,0))</f>
        <v>м3</v>
      </c>
      <c r="H8">
        <v>64</v>
      </c>
      <c r="I8">
        <v>202</v>
      </c>
      <c r="J8">
        <f>Таблица5[[#This Row],[К-во]]*Таблица5[[#This Row],[Цена]]</f>
        <v>12928</v>
      </c>
    </row>
  </sheetData>
  <dataValidations count="2">
    <dataValidation type="list" allowBlank="1" showInputMessage="1" showErrorMessage="1" sqref="A4:A8" xr:uid="{20494B31-FF3E-40C7-A0E9-89E8C8D7C378}">
      <formula1>INDIRECT("номенклатура!$A$4:$A$8")</formula1>
    </dataValidation>
    <dataValidation type="list" allowBlank="1" showInputMessage="1" showErrorMessage="1" sqref="D4:D8" xr:uid="{6D8948CB-AF3F-44F9-A82F-82187989EFA4}">
      <formula1>INDIRECT("поставщики!$A$4:$A$7")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A7DBC95-F8B9-4FF7-95AE-F971EFB02E9E}">
          <x14:formula1>
            <xm:f>Лист3!$A$4:$A$11</xm:f>
          </x14:formula1>
          <xm:sqref>F4:F8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28EC1-2C11-448E-B209-D741890CFF88}">
  <dimension ref="A1:J8"/>
  <sheetViews>
    <sheetView workbookViewId="0">
      <selection activeCell="J12" sqref="J12"/>
    </sheetView>
  </sheetViews>
  <sheetFormatPr defaultRowHeight="14.4" x14ac:dyDescent="0.3"/>
  <cols>
    <col min="1" max="1" width="30.88671875" customWidth="1"/>
    <col min="2" max="2" width="11.109375" customWidth="1"/>
    <col min="3" max="3" width="17.44140625" customWidth="1"/>
    <col min="4" max="4" width="21.44140625" customWidth="1"/>
    <col min="5" max="5" width="21.77734375" customWidth="1"/>
    <col min="6" max="6" width="26.33203125" customWidth="1"/>
    <col min="7" max="9" width="11.109375" customWidth="1"/>
    <col min="10" max="10" width="12.109375" customWidth="1"/>
  </cols>
  <sheetData>
    <row r="1" spans="1:10" x14ac:dyDescent="0.3">
      <c r="A1" t="s">
        <v>65</v>
      </c>
    </row>
    <row r="3" spans="1:10" x14ac:dyDescent="0.3">
      <c r="A3" t="s">
        <v>0</v>
      </c>
      <c r="B3" t="s">
        <v>54</v>
      </c>
      <c r="C3" t="s">
        <v>55</v>
      </c>
      <c r="D3" t="s">
        <v>62</v>
      </c>
      <c r="E3" t="s">
        <v>63</v>
      </c>
      <c r="F3" t="s">
        <v>64</v>
      </c>
      <c r="G3" t="s">
        <v>37</v>
      </c>
      <c r="H3" t="s">
        <v>58</v>
      </c>
      <c r="I3" t="s">
        <v>59</v>
      </c>
      <c r="J3" t="s">
        <v>60</v>
      </c>
    </row>
    <row r="4" spans="1:10" x14ac:dyDescent="0.3">
      <c r="A4" t="s">
        <v>39</v>
      </c>
      <c r="D4" t="s">
        <v>22</v>
      </c>
      <c r="E4" t="s">
        <v>26</v>
      </c>
      <c r="F4" t="s">
        <v>14</v>
      </c>
      <c r="G4" t="str">
        <f>IF(ISNA(VLOOKUP(A4,Таблица4[],3,0)),"",VLOOKUP(A4,Таблица4[],3,0))</f>
        <v>м3</v>
      </c>
      <c r="H4">
        <v>12</v>
      </c>
      <c r="I4">
        <v>34</v>
      </c>
      <c r="J4">
        <f>Таблица6[[#This Row],[Цена]]*Таблица6[[#This Row],[К-во]]</f>
        <v>408</v>
      </c>
    </row>
    <row r="5" spans="1:10" x14ac:dyDescent="0.3">
      <c r="A5" t="s">
        <v>41</v>
      </c>
      <c r="D5" t="s">
        <v>22</v>
      </c>
      <c r="E5" t="s">
        <v>26</v>
      </c>
      <c r="F5" t="s">
        <v>15</v>
      </c>
      <c r="G5" t="str">
        <f>IF(ISNA(VLOOKUP(A5,Таблица4[],3,0)),"",VLOOKUP(A5,Таблица4[],3,0))</f>
        <v>м3</v>
      </c>
      <c r="H5">
        <v>11</v>
      </c>
      <c r="I5">
        <v>543</v>
      </c>
      <c r="J5">
        <f>Таблица6[[#This Row],[Цена]]*Таблица6[[#This Row],[К-во]]</f>
        <v>5973</v>
      </c>
    </row>
    <row r="6" spans="1:10" x14ac:dyDescent="0.3">
      <c r="A6" t="s">
        <v>40</v>
      </c>
      <c r="D6" t="s">
        <v>22</v>
      </c>
      <c r="E6" t="s">
        <v>23</v>
      </c>
      <c r="F6" t="s">
        <v>12</v>
      </c>
      <c r="G6" t="str">
        <f>IF(ISNA(VLOOKUP(A6,Таблица4[],3,0)),"",VLOOKUP(A6,Таблица4[],3,0))</f>
        <v>м3</v>
      </c>
      <c r="H6">
        <v>10</v>
      </c>
      <c r="I6">
        <v>22</v>
      </c>
      <c r="J6">
        <f>Таблица6[[#This Row],[Цена]]*Таблица6[[#This Row],[К-во]]</f>
        <v>220</v>
      </c>
    </row>
    <row r="7" spans="1:10" x14ac:dyDescent="0.3">
      <c r="A7" t="s">
        <v>39</v>
      </c>
      <c r="D7" t="s">
        <v>22</v>
      </c>
      <c r="E7" t="s">
        <v>24</v>
      </c>
      <c r="F7" t="s">
        <v>14</v>
      </c>
      <c r="G7" t="str">
        <f>IF(ISNA(VLOOKUP(A7,Таблица4[],3,0)),"",VLOOKUP(A7,Таблица4[],3,0))</f>
        <v>м3</v>
      </c>
      <c r="H7">
        <v>15</v>
      </c>
      <c r="I7">
        <v>45</v>
      </c>
      <c r="J7">
        <f>Таблица6[[#This Row],[Цена]]*Таблица6[[#This Row],[К-во]]</f>
        <v>675</v>
      </c>
    </row>
    <row r="8" spans="1:10" x14ac:dyDescent="0.3">
      <c r="A8" t="s">
        <v>39</v>
      </c>
      <c r="D8" t="s">
        <v>22</v>
      </c>
      <c r="E8" t="s">
        <v>25</v>
      </c>
      <c r="F8" t="s">
        <v>13</v>
      </c>
      <c r="G8" t="str">
        <f>IF(ISNA(VLOOKUP(A8,Таблица4[],3,0)),"",VLOOKUP(A8,Таблица4[],3,0))</f>
        <v>м3</v>
      </c>
      <c r="H8">
        <v>54</v>
      </c>
      <c r="I8">
        <v>655</v>
      </c>
      <c r="J8">
        <f>Таблица6[[#This Row],[Цена]]*Таблица6[[#This Row],[К-во]]</f>
        <v>35370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9C388CE-4AA3-4972-96B0-11E66A484057}">
          <x14:formula1>
            <xm:f>номенклатура!$A$4:$A$8</xm:f>
          </x14:formula1>
          <xm:sqref>A4:A8</xm:sqref>
        </x14:dataValidation>
        <x14:dataValidation type="list" allowBlank="1" showInputMessage="1" showErrorMessage="1" xr:uid="{5DDBB418-8B08-4004-9EE6-A77AE3D20EEF}">
          <x14:formula1>
            <xm:f>Лист2!$A$4:$A$7</xm:f>
          </x14:formula1>
          <xm:sqref>F4:F8</xm:sqref>
        </x14:dataValidation>
        <x14:dataValidation type="list" allowBlank="1" showInputMessage="1" showErrorMessage="1" xr:uid="{75FE98D7-09B6-47D8-8E6D-E20804744471}">
          <x14:formula1>
            <xm:f>Лист3!$A$4:$A$5</xm:f>
          </x14:formula1>
          <xm:sqref>D4:D8</xm:sqref>
        </x14:dataValidation>
        <x14:dataValidation type="list" allowBlank="1" showInputMessage="1" showErrorMessage="1" xr:uid="{136CD5F5-897F-47EB-8F28-F5F84CEA182E}">
          <x14:formula1>
            <xm:f>Лист3!$A$6:$A$9</xm:f>
          </x14:formula1>
          <xm:sqref>E4:E8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1FED9-7941-43FC-BB3E-284617188749}">
  <dimension ref="A3:I10"/>
  <sheetViews>
    <sheetView topLeftCell="A4" workbookViewId="0">
      <selection activeCell="I4" sqref="I4"/>
    </sheetView>
  </sheetViews>
  <sheetFormatPr defaultRowHeight="14.4" x14ac:dyDescent="0.3"/>
  <cols>
    <col min="1" max="1" width="30.21875" customWidth="1"/>
    <col min="2" max="3" width="11.109375" customWidth="1"/>
    <col min="4" max="4" width="18.77734375" customWidth="1"/>
    <col min="5" max="5" width="25" customWidth="1"/>
    <col min="6" max="6" width="17.77734375" customWidth="1"/>
    <col min="7" max="7" width="11.109375" customWidth="1"/>
    <col min="8" max="8" width="19.6640625" customWidth="1"/>
    <col min="9" max="9" width="10.109375" bestFit="1" customWidth="1"/>
  </cols>
  <sheetData>
    <row r="3" spans="1:9" x14ac:dyDescent="0.3">
      <c r="A3" t="s">
        <v>0</v>
      </c>
      <c r="B3" t="s">
        <v>37</v>
      </c>
      <c r="C3" t="s">
        <v>36</v>
      </c>
      <c r="D3" t="s">
        <v>38</v>
      </c>
      <c r="E3" t="s">
        <v>69</v>
      </c>
      <c r="F3" t="s">
        <v>66</v>
      </c>
      <c r="G3" t="s">
        <v>67</v>
      </c>
      <c r="H3" t="s">
        <v>68</v>
      </c>
      <c r="I3" t="s">
        <v>54</v>
      </c>
    </row>
    <row r="4" spans="1:9" x14ac:dyDescent="0.3">
      <c r="A4" t="s">
        <v>39</v>
      </c>
      <c r="B4" t="str">
        <f>IF(ISNA(VLOOKUP(A4,Таблица4[],3,0)),"",VLOOKUP(A4,Таблица4[],3,0))</f>
        <v>м3</v>
      </c>
      <c r="C4" t="str">
        <f>IF(ISNA(VLOOKUP(A4,Таблица4[],2,0)),"",VLOOKUP(A4,Таблица4[],2,0))</f>
        <v>А</v>
      </c>
      <c r="D4" t="str">
        <f>IF(ISNA(VLOOKUP(A4,Таблица4[],4,0)),"",VLOOKUP(A4,Таблица4[],4,0))</f>
        <v>В12,5хШ96</v>
      </c>
      <c r="E4">
        <v>0</v>
      </c>
      <c r="F4">
        <f>SUMIFS(Приход!$H$4:$H$8,Приход!$A$4:$A$8,A4)</f>
        <v>106</v>
      </c>
      <c r="G4">
        <f>SUMIFS(Расход!$H$4:$H$15,Расход!$A$4:$A$15,A4)</f>
        <v>81</v>
      </c>
      <c r="H4">
        <f>Таблица7[[#This Row],[Поступление]]-Таблица7[[#This Row],[Отгрузка]]</f>
        <v>25</v>
      </c>
      <c r="I4" s="1">
        <f>IF(ISNA(VLOOKUP(A4,Таблица5[],2,0)),"",VLOOKUP(A4,Таблица5[],2,0))</f>
        <v>46113</v>
      </c>
    </row>
    <row r="5" spans="1:9" x14ac:dyDescent="0.3">
      <c r="A5" t="s">
        <v>40</v>
      </c>
      <c r="B5" t="str">
        <f>IF(ISNA(VLOOKUP(A5,Таблица4[],3,0)),"",VLOOKUP(A5,Таблица4[],3,0))</f>
        <v>м3</v>
      </c>
      <c r="C5" t="str">
        <f>IF(ISNA(VLOOKUP(A5,Таблица4[],2,0)),"",VLOOKUP(A5,Таблица4[],2,0))</f>
        <v>Э</v>
      </c>
      <c r="D5" t="str">
        <f>IF(ISNA(VLOOKUP(A5,Таблица4[],4,0)),"",VLOOKUP(A5,Таблица4[],4,0))</f>
        <v>В15хШ98хД1800</v>
      </c>
      <c r="E5">
        <v>0</v>
      </c>
      <c r="F5">
        <f>SUMIFS(Приход!$H$4:$H$8,Приход!$A$4:$A$8,A5)</f>
        <v>18</v>
      </c>
      <c r="G5">
        <f>SUMIFS(Расход!$H$4:$H$15,Расход!$A$4:$A$15,A5)</f>
        <v>10</v>
      </c>
      <c r="H5">
        <f>Таблица7[[#This Row],[Поступление]]-Таблица7[[#This Row],[Отгрузка]]</f>
        <v>8</v>
      </c>
      <c r="I5" s="1">
        <f>IF(ISNA(VLOOKUP(A5,Таблица5[],2,0)),"",VLOOKUP(A5,Таблица5[],2,0))</f>
        <v>46115</v>
      </c>
    </row>
    <row r="6" spans="1:9" x14ac:dyDescent="0.3">
      <c r="A6" t="s">
        <v>41</v>
      </c>
      <c r="B6" t="str">
        <f>IF(ISNA(VLOOKUP(A6,Таблица4[],3,0)),"",VLOOKUP(A6,Таблица4[],3,0))</f>
        <v>м3</v>
      </c>
      <c r="C6" t="str">
        <f>IF(ISNA(VLOOKUP(A6,Таблица4[],2,0)),"",VLOOKUP(A6,Таблица4[],2,0))</f>
        <v>О</v>
      </c>
      <c r="D6" t="str">
        <f>IF(ISNA(VLOOKUP(A6,Таблица4[],4,0)),"",VLOOKUP(A6,Таблица4[],4,0))</f>
        <v>В12,5хШ85хД500</v>
      </c>
      <c r="E6">
        <v>0</v>
      </c>
      <c r="F6">
        <f>SUMIFS(Приход!$H$4:$H$8,Приход!$A$4:$A$8,A6)</f>
        <v>26</v>
      </c>
      <c r="G6">
        <f>SUMIFS(Расход!$H$4:$H$15,Расход!$A$4:$A$15,A6)</f>
        <v>11</v>
      </c>
      <c r="H6">
        <f>Таблица7[[#This Row],[Поступление]]-Таблица7[[#This Row],[Отгрузка]]</f>
        <v>15</v>
      </c>
      <c r="I6" s="1">
        <f>IF(ISNA(VLOOKUP(A6,Таблица5[],2,0)),"",VLOOKUP(A6,Таблица5[],2,0))</f>
        <v>46114</v>
      </c>
    </row>
    <row r="7" spans="1:9" x14ac:dyDescent="0.3">
      <c r="A7" t="s">
        <v>40</v>
      </c>
      <c r="B7" t="str">
        <f>IF(ISNA(VLOOKUP(A7,Таблица4[],3,0)),"",VLOOKUP(A7,Таблица4[],3,0))</f>
        <v>м3</v>
      </c>
      <c r="C7" t="str">
        <f>IF(ISNA(VLOOKUP(A7,Таблица4[],2,0)),"",VLOOKUP(A7,Таблица4[],2,0))</f>
        <v>Э</v>
      </c>
      <c r="D7" t="str">
        <f>IF(ISNA(VLOOKUP(A7,Таблица4[],4,0)),"",VLOOKUP(A7,Таблица4[],4,0))</f>
        <v>В15хШ98хД1800</v>
      </c>
      <c r="E7">
        <v>0</v>
      </c>
      <c r="F7">
        <f>SUMIFS(Приход!$H$4:$H$8,Приход!$A$4:$A$8,A7)</f>
        <v>18</v>
      </c>
      <c r="G7">
        <f>SUMIFS(Расход!$H$4:$H$15,Расход!$A$4:$A$15,A7)</f>
        <v>10</v>
      </c>
      <c r="H7">
        <f>Таблица7[[#This Row],[Поступление]]-Таблица7[[#This Row],[Отгрузка]]</f>
        <v>8</v>
      </c>
      <c r="I7" s="1">
        <f>IF(ISNA(VLOOKUP(A7,Таблица5[],2,0)),"",VLOOKUP(A7,Таблица5[],2,0))</f>
        <v>46115</v>
      </c>
    </row>
    <row r="8" spans="1:9" x14ac:dyDescent="0.3">
      <c r="A8" t="s">
        <v>39</v>
      </c>
      <c r="B8" t="str">
        <f>IF(ISNA(VLOOKUP(A8,Таблица4[],3,0)),"",VLOOKUP(A8,Таблица4[],3,0))</f>
        <v>м3</v>
      </c>
      <c r="C8" t="str">
        <f>IF(ISNA(VLOOKUP(A8,Таблица4[],2,0)),"",VLOOKUP(A8,Таблица4[],2,0))</f>
        <v>А</v>
      </c>
      <c r="D8" t="str">
        <f>IF(ISNA(VLOOKUP(A8,Таблица4[],4,0)),"",VLOOKUP(A8,Таблица4[],4,0))</f>
        <v>В12,5хШ96</v>
      </c>
      <c r="E8">
        <v>0</v>
      </c>
      <c r="F8">
        <f>SUMIFS(Приход!$H$4:$H$8,Приход!$A$4:$A$8,A8)</f>
        <v>106</v>
      </c>
      <c r="G8">
        <f>SUMIFS(Расход!$H$4:$H$15,Расход!$A$4:$A$15,A8)</f>
        <v>81</v>
      </c>
      <c r="H8">
        <f>Таблица7[[#This Row],[Поступление]]-Таблица7[[#This Row],[Отгрузка]]</f>
        <v>25</v>
      </c>
      <c r="I8" s="1">
        <f>IF(ISNA(VLOOKUP(A8,Таблица5[],2,0)),"",VLOOKUP(A8,Таблица5[],2,0))</f>
        <v>46113</v>
      </c>
    </row>
    <row r="9" spans="1:9" x14ac:dyDescent="0.3">
      <c r="A9" t="s">
        <v>39</v>
      </c>
      <c r="B9" t="str">
        <f>IF(ISNA(VLOOKUP(A9,Таблица4[],3,0)),"",VLOOKUP(A9,Таблица4[],3,0))</f>
        <v>м3</v>
      </c>
      <c r="C9" t="str">
        <f>IF(ISNA(VLOOKUP(A9,Таблица4[],2,0)),"",VLOOKUP(A9,Таблица4[],2,0))</f>
        <v>А</v>
      </c>
      <c r="D9" t="str">
        <f>IF(ISNA(VLOOKUP(A9,Таблица4[],4,0)),"",VLOOKUP(A9,Таблица4[],4,0))</f>
        <v>В12,5хШ96</v>
      </c>
      <c r="E9">
        <v>0</v>
      </c>
      <c r="F9">
        <f>SUMIFS(Приход!$H$4:$H$8,Приход!$A$4:$A$8,A9)</f>
        <v>106</v>
      </c>
      <c r="G9">
        <f>SUMIFS(Расход!$H$4:$H$15,Расход!$A$4:$A$15,A9)</f>
        <v>81</v>
      </c>
      <c r="H9">
        <f>Таблица7[[#This Row],[Поступление]]-Таблица7[[#This Row],[Отгрузка]]</f>
        <v>25</v>
      </c>
      <c r="I9" s="1">
        <f>IF(ISNA(VLOOKUP(A9,Таблица5[],2,0)),"",VLOOKUP(A9,Таблица5[],2,0))</f>
        <v>46113</v>
      </c>
    </row>
    <row r="10" spans="1:9" x14ac:dyDescent="0.3">
      <c r="A10" t="s">
        <v>41</v>
      </c>
      <c r="B10" t="str">
        <f>IF(ISNA(VLOOKUP(A10,Таблица4[],3,0)),"",VLOOKUP(A10,Таблица4[],3,0))</f>
        <v>м3</v>
      </c>
      <c r="C10" t="str">
        <f>IF(ISNA(VLOOKUP(A10,Таблица4[],2,0)),"",VLOOKUP(A10,Таблица4[],2,0))</f>
        <v>О</v>
      </c>
      <c r="D10" t="str">
        <f>IF(ISNA(VLOOKUP(A10,Таблица4[],4,0)),"",VLOOKUP(A10,Таблица4[],4,0))</f>
        <v>В12,5хШ85хД500</v>
      </c>
      <c r="E10">
        <v>0</v>
      </c>
      <c r="F10">
        <f>SUMIFS(Приход!$H$4:$H$8,Приход!$A$4:$A$8,A10)</f>
        <v>26</v>
      </c>
      <c r="G10">
        <f>SUMIFS(Расход!$H$4:$H$15,Расход!$A$4:$A$15,A10)</f>
        <v>11</v>
      </c>
      <c r="H10">
        <f>Таблица7[[#This Row],[Поступление]]-Таблица7[[#This Row],[Отгрузка]]</f>
        <v>15</v>
      </c>
      <c r="I10" s="1">
        <f>IF(ISNA(VLOOKUP(A10,Таблица5[],2,0)),"",VLOOKUP(A10,Таблица5[],2,0))</f>
        <v>46114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AC241D5-0035-404E-8495-2E0336325FFC}">
          <x14:formula1>
            <xm:f>номенклатура!$A$4:$A$8</xm:f>
          </x14:formula1>
          <xm:sqref>A4:A10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поставщики</vt:lpstr>
      <vt:lpstr>Лист2</vt:lpstr>
      <vt:lpstr>Лист3</vt:lpstr>
      <vt:lpstr>номенклатура</vt:lpstr>
      <vt:lpstr>Приход</vt:lpstr>
      <vt:lpstr>Расход</vt:lpstr>
      <vt:lpstr>Итог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Вася Кузнец</dc:creator>
  <cp:lastModifiedBy>Вася Кузнец</cp:lastModifiedBy>
  <dcterms:created xsi:type="dcterms:W3CDTF">2026-05-08T17:00:24Z</dcterms:created>
  <dcterms:modified xsi:type="dcterms:W3CDTF">2026-06-13T19:30:27Z</dcterms:modified>
</cp:coreProperties>
</file>